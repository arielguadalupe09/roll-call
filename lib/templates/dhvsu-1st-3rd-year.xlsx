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uki\Downloads\New folder (11)\"/>
    </mc:Choice>
  </mc:AlternateContent>
  <xr:revisionPtr revIDLastSave="0" documentId="13_ncr:1_{CDC6761E-E2EE-4D62-BB8C-BF3C06D21DEE}" xr6:coauthVersionLast="47" xr6:coauthVersionMax="47" xr10:uidLastSave="{00000000-0000-0000-0000-000000000000}"/>
  <bookViews>
    <workbookView xWindow="-120" yWindow="-120" windowWidth="38640" windowHeight="21120" activeTab="8" xr2:uid="{A52D7D03-108F-48B5-8D88-D474AF971B51}"/>
  </bookViews>
  <sheets>
    <sheet name="Info" sheetId="1" r:id="rId1"/>
    <sheet name="Student List" sheetId="2" r:id="rId2"/>
    <sheet name="Midterm" sheetId="3" r:id="rId3"/>
    <sheet name="MidCom" sheetId="19" state="hidden" r:id="rId4"/>
    <sheet name="MT Attendance" sheetId="13" r:id="rId5"/>
    <sheet name="Final Term" sheetId="20" r:id="rId6"/>
    <sheet name="FinCom" sheetId="21" state="hidden" r:id="rId7"/>
    <sheet name="FT Attendance" sheetId="15" r:id="rId8"/>
    <sheet name="Summary" sheetId="10" r:id="rId9"/>
    <sheet name="New Grade Equivalent" sheetId="7" r:id="rId10"/>
    <sheet name="Old Grade Equivalent" sheetId="24" state="hidden" r:id="rId11"/>
    <sheet name="Version" sheetId="12" r:id="rId12"/>
    <sheet name="Transmutation 3" sheetId="23" state="hidden" r:id="rId13"/>
    <sheet name="Transmutation 2" sheetId="22" state="hidden" r:id="rId14"/>
    <sheet name="Old Transmutation" sheetId="25" state="hidden" r:id="rId15"/>
    <sheet name="New Transmutation" sheetId="11" r:id="rId16"/>
    <sheet name="View Grades" sheetId="17" r:id="rId17"/>
    <sheet name="Changelog" sheetId="18" state="hidden" r:id="rId18"/>
  </sheets>
  <definedNames>
    <definedName name="_xlnm._FilterDatabase" localSheetId="0" hidden="1">Info!$A$34:$B$35</definedName>
    <definedName name="beed">Version!$B$247</definedName>
    <definedName name="board_transmu">#REF!</definedName>
    <definedName name="bsba">Version!$B$260:$B$261</definedName>
    <definedName name="bsed">Version!$B$236:$B$240</definedName>
    <definedName name="bsit">Version!$B$249:$B$257</definedName>
    <definedName name="btle">Version!$B$245</definedName>
    <definedName name="btvte">Version!$B$242:$B$243</definedName>
    <definedName name="cas">Version!$B$182:$B$186</definedName>
    <definedName name="cbs">Version!$B$189:$B$196</definedName>
    <definedName name="ccs">Version!$B$199:$B$202</definedName>
    <definedName name="cea">Version!$B$205:$B$211</definedName>
    <definedName name="chtm">Version!$B$214:$B$215</definedName>
    <definedName name="cit">Version!$B$218</definedName>
    <definedName name="coe">Version!$B$221:$B$227</definedName>
    <definedName name="colleges">Version!$B$171:$B$178</definedName>
    <definedName name="course_type">Version!$B$39:$B$46</definedName>
    <definedName name="cssp">Version!$B$230:$B$233</definedName>
    <definedName name="demo_percent">Version!$A$128:$B$131</definedName>
    <definedName name="Equivalent">'New Grade Equivalent'!$A$2:$C$47</definedName>
    <definedName name="FINAL_GRADE_TRANSMUTATION">'New Grade Equivalent'!$A$1:$C$46</definedName>
    <definedName name="fs_percent">Version!$A$121:$B$124</definedName>
    <definedName name="GetMajor">IF(Info!$B$19="Bachelor of Secondary Education", "bsed", IF(Info!$B$19="Bachelor of Technical-Vocational Teacher Education", "btvte", IF(Info!$B$19="Bachelor in Technical and Livelihood Education", "btle", IF(Info!$B$19="Bachelor of Elementary Education", "beed", IF(Info!$B$19="Bachelor of Science in Industrial Technology", "bsit", IF(Info!$B$19="Bachelor of Science in Business Administration", "bsba", ""))))))</definedName>
    <definedName name="GetProgram">IF(Info!$B$17="College of Computing Studies", "ccs",  IF(Info!$B$17="College of Arts and Sciences", "cas",  IF(Info!$B$17="College of Business Studies", "cbs",  IF(Info!$B$17="College of Engineering and Architecture", "cea",  IF(Info!$B$17="College of Hospitality and Tourism Management", "chtm",  IF(Info!$B$17="College of Industrial Technology", "cit",  IF(Info!$B$17="College of Education", "coe",  IF(Info!$B$17="College of Social Sciences and Philosophy", "cssp", ""))))))))</definedName>
    <definedName name="lab_percent">Version!$A$93:$B$97</definedName>
    <definedName name="lec_percent">Version!$A$86:$B$90</definedName>
    <definedName name="new_transmute">'New Transmutation'!$A$3:$D$1048576</definedName>
    <definedName name="nonboard_transmu">#REF!</definedName>
    <definedName name="ojt_percent">Version!$A$114:$B$115</definedName>
    <definedName name="Old_Equivalent">'Old Grade Equivalent'!$A$5:$C$49</definedName>
    <definedName name="old_transmute">'Old Transmutation'!$A$2:$D$103</definedName>
    <definedName name="pe_percent">Version!$A$135:$B$139</definedName>
    <definedName name="raw_score_transmu" localSheetId="13">'Transmutation 2'!$A$2:$C$103</definedName>
    <definedName name="raw_score_transmu" localSheetId="12">'Transmutation 3'!$A$2:$C$103</definedName>
    <definedName name="res_percent">Version!$A$107:$B$109</definedName>
    <definedName name="shop_percent">Version!$A$100:$B$104</definedName>
    <definedName name="Strict_Transmu" localSheetId="13">'Transmutation 2'!$A$3:$B$103</definedName>
    <definedName name="Strict_Transmu" localSheetId="12">'Transmutation 3'!$A$3:$B$103</definedName>
    <definedName name="transmute" localSheetId="14">'Old Transmutation'!$A$3:$D$1048576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7" i="3" l="1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H116" i="10"/>
  <c r="H115" i="10"/>
  <c r="H114" i="10"/>
  <c r="H113" i="10"/>
  <c r="H112" i="10"/>
  <c r="D116" i="10"/>
  <c r="D115" i="10"/>
  <c r="D114" i="10"/>
  <c r="D113" i="10"/>
  <c r="D112" i="10"/>
  <c r="I130" i="10"/>
  <c r="D131" i="10"/>
  <c r="D130" i="10"/>
  <c r="H121" i="10"/>
  <c r="D125" i="10"/>
  <c r="D124" i="10"/>
  <c r="D123" i="10"/>
  <c r="D122" i="10"/>
  <c r="B77" i="10"/>
  <c r="C77" i="10"/>
  <c r="D77" i="10"/>
  <c r="E77" i="10"/>
  <c r="F77" i="10"/>
  <c r="G77" i="10"/>
  <c r="H77" i="10"/>
  <c r="I77" i="10"/>
  <c r="J77" i="10"/>
  <c r="K77" i="10"/>
  <c r="L77" i="10"/>
  <c r="N77" i="10"/>
  <c r="O77" i="10"/>
  <c r="P77" i="10"/>
  <c r="B78" i="10"/>
  <c r="C78" i="10"/>
  <c r="N78" i="10" s="1"/>
  <c r="D78" i="10"/>
  <c r="E78" i="10"/>
  <c r="F78" i="10"/>
  <c r="G78" i="10"/>
  <c r="H78" i="10"/>
  <c r="I78" i="10"/>
  <c r="J78" i="10"/>
  <c r="K78" i="10"/>
  <c r="L78" i="10"/>
  <c r="B79" i="10"/>
  <c r="C79" i="10"/>
  <c r="N79" i="10" s="1"/>
  <c r="D79" i="10"/>
  <c r="E79" i="10"/>
  <c r="F79" i="10"/>
  <c r="G79" i="10"/>
  <c r="H79" i="10"/>
  <c r="I79" i="10"/>
  <c r="J79" i="10"/>
  <c r="K79" i="10"/>
  <c r="L79" i="10"/>
  <c r="B80" i="10"/>
  <c r="C80" i="10"/>
  <c r="O80" i="10" s="1"/>
  <c r="D80" i="10"/>
  <c r="E80" i="10"/>
  <c r="F80" i="10"/>
  <c r="G80" i="10"/>
  <c r="H80" i="10"/>
  <c r="I80" i="10"/>
  <c r="J80" i="10"/>
  <c r="K80" i="10"/>
  <c r="L80" i="10"/>
  <c r="N80" i="10"/>
  <c r="B81" i="10"/>
  <c r="C81" i="10"/>
  <c r="N81" i="10" s="1"/>
  <c r="D81" i="10"/>
  <c r="E81" i="10"/>
  <c r="F81" i="10"/>
  <c r="G81" i="10"/>
  <c r="H81" i="10"/>
  <c r="I81" i="10"/>
  <c r="J81" i="10"/>
  <c r="K81" i="10"/>
  <c r="L81" i="10"/>
  <c r="O81" i="10"/>
  <c r="P81" i="10"/>
  <c r="B82" i="10"/>
  <c r="C82" i="10"/>
  <c r="N82" i="10" s="1"/>
  <c r="D82" i="10"/>
  <c r="E82" i="10"/>
  <c r="F82" i="10"/>
  <c r="G82" i="10"/>
  <c r="H82" i="10"/>
  <c r="I82" i="10"/>
  <c r="J82" i="10"/>
  <c r="K82" i="10"/>
  <c r="L82" i="10"/>
  <c r="B83" i="10"/>
  <c r="C83" i="10"/>
  <c r="O83" i="10" s="1"/>
  <c r="D83" i="10"/>
  <c r="E83" i="10"/>
  <c r="F83" i="10"/>
  <c r="G83" i="10"/>
  <c r="H83" i="10"/>
  <c r="I83" i="10"/>
  <c r="J83" i="10"/>
  <c r="K83" i="10"/>
  <c r="L83" i="10"/>
  <c r="N83" i="10"/>
  <c r="B84" i="10"/>
  <c r="C84" i="10"/>
  <c r="D84" i="10"/>
  <c r="E84" i="10"/>
  <c r="F84" i="10"/>
  <c r="G84" i="10"/>
  <c r="H84" i="10"/>
  <c r="I84" i="10"/>
  <c r="J84" i="10"/>
  <c r="K84" i="10"/>
  <c r="L84" i="10"/>
  <c r="N84" i="10"/>
  <c r="O84" i="10"/>
  <c r="P84" i="10"/>
  <c r="B85" i="10"/>
  <c r="C85" i="10"/>
  <c r="D85" i="10"/>
  <c r="E85" i="10"/>
  <c r="F85" i="10"/>
  <c r="G85" i="10"/>
  <c r="H85" i="10"/>
  <c r="I85" i="10"/>
  <c r="J85" i="10"/>
  <c r="K85" i="10"/>
  <c r="L85" i="10"/>
  <c r="N85" i="10"/>
  <c r="O85" i="10"/>
  <c r="P85" i="10"/>
  <c r="B86" i="10"/>
  <c r="C86" i="10"/>
  <c r="N86" i="10" s="1"/>
  <c r="D86" i="10"/>
  <c r="E86" i="10"/>
  <c r="F86" i="10"/>
  <c r="G86" i="10"/>
  <c r="H86" i="10"/>
  <c r="I86" i="10"/>
  <c r="J86" i="10"/>
  <c r="K86" i="10"/>
  <c r="L86" i="10"/>
  <c r="B87" i="10"/>
  <c r="C87" i="10"/>
  <c r="N87" i="10" s="1"/>
  <c r="D87" i="10"/>
  <c r="E87" i="10"/>
  <c r="F87" i="10"/>
  <c r="G87" i="10"/>
  <c r="H87" i="10"/>
  <c r="I87" i="10"/>
  <c r="J87" i="10"/>
  <c r="K87" i="10"/>
  <c r="L87" i="10"/>
  <c r="B88" i="10"/>
  <c r="C88" i="10"/>
  <c r="O88" i="10" s="1"/>
  <c r="D88" i="10"/>
  <c r="E88" i="10"/>
  <c r="F88" i="10"/>
  <c r="G88" i="10"/>
  <c r="H88" i="10"/>
  <c r="I88" i="10"/>
  <c r="J88" i="10"/>
  <c r="K88" i="10"/>
  <c r="L88" i="10"/>
  <c r="N88" i="10"/>
  <c r="B89" i="10"/>
  <c r="C89" i="10"/>
  <c r="N89" i="10" s="1"/>
  <c r="D89" i="10"/>
  <c r="E89" i="10"/>
  <c r="F89" i="10"/>
  <c r="G89" i="10"/>
  <c r="H89" i="10"/>
  <c r="I89" i="10"/>
  <c r="J89" i="10"/>
  <c r="K89" i="10"/>
  <c r="L89" i="10"/>
  <c r="O89" i="10"/>
  <c r="P89" i="10"/>
  <c r="B90" i="10"/>
  <c r="C90" i="10"/>
  <c r="N90" i="10" s="1"/>
  <c r="D90" i="10"/>
  <c r="E90" i="10"/>
  <c r="F90" i="10"/>
  <c r="G90" i="10"/>
  <c r="H90" i="10"/>
  <c r="I90" i="10"/>
  <c r="J90" i="10"/>
  <c r="K90" i="10"/>
  <c r="L90" i="10"/>
  <c r="B91" i="10"/>
  <c r="C91" i="10"/>
  <c r="O91" i="10" s="1"/>
  <c r="D91" i="10"/>
  <c r="F91" i="10"/>
  <c r="H91" i="10"/>
  <c r="I91" i="10"/>
  <c r="J91" i="10"/>
  <c r="K91" i="10"/>
  <c r="L91" i="10"/>
  <c r="N91" i="10"/>
  <c r="B92" i="10"/>
  <c r="C92" i="10"/>
  <c r="E92" i="10"/>
  <c r="F92" i="10"/>
  <c r="H92" i="10"/>
  <c r="I92" i="10"/>
  <c r="J92" i="10"/>
  <c r="K92" i="10"/>
  <c r="L92" i="10"/>
  <c r="N92" i="10"/>
  <c r="O92" i="10"/>
  <c r="P92" i="10"/>
  <c r="B93" i="10"/>
  <c r="C93" i="10"/>
  <c r="E93" i="10"/>
  <c r="F93" i="10"/>
  <c r="H93" i="10"/>
  <c r="I93" i="10"/>
  <c r="J93" i="10"/>
  <c r="L93" i="10"/>
  <c r="N93" i="10"/>
  <c r="O93" i="10"/>
  <c r="P93" i="10"/>
  <c r="B94" i="10"/>
  <c r="C94" i="10"/>
  <c r="N94" i="10" s="1"/>
  <c r="D94" i="10"/>
  <c r="E94" i="10"/>
  <c r="F94" i="10"/>
  <c r="G94" i="10"/>
  <c r="H94" i="10"/>
  <c r="I94" i="10"/>
  <c r="J94" i="10"/>
  <c r="K94" i="10"/>
  <c r="L94" i="10"/>
  <c r="B95" i="10"/>
  <c r="C95" i="10"/>
  <c r="N95" i="10" s="1"/>
  <c r="D95" i="10"/>
  <c r="E95" i="10"/>
  <c r="F95" i="10"/>
  <c r="G95" i="10"/>
  <c r="H95" i="10"/>
  <c r="I95" i="10"/>
  <c r="J95" i="10"/>
  <c r="K95" i="10"/>
  <c r="L95" i="10"/>
  <c r="B96" i="10"/>
  <c r="C96" i="10"/>
  <c r="O96" i="10" s="1"/>
  <c r="D96" i="10"/>
  <c r="E96" i="10"/>
  <c r="F96" i="10"/>
  <c r="G96" i="10"/>
  <c r="H96" i="10"/>
  <c r="I96" i="10"/>
  <c r="J96" i="10"/>
  <c r="K96" i="10"/>
  <c r="L96" i="10"/>
  <c r="N96" i="10"/>
  <c r="B69" i="15"/>
  <c r="AV69" i="15" s="1"/>
  <c r="AY69" i="15"/>
  <c r="B70" i="15"/>
  <c r="AV70" i="15" s="1"/>
  <c r="B71" i="15"/>
  <c r="AV71" i="15"/>
  <c r="AW71" i="15"/>
  <c r="AX71" i="15"/>
  <c r="AY71" i="15"/>
  <c r="E73" i="21" s="1"/>
  <c r="B72" i="15"/>
  <c r="AV72" i="15" s="1"/>
  <c r="B73" i="15"/>
  <c r="AW73" i="15" s="1"/>
  <c r="AV73" i="15"/>
  <c r="B74" i="15"/>
  <c r="AV74" i="15"/>
  <c r="AW74" i="15"/>
  <c r="E76" i="21" s="1"/>
  <c r="AX74" i="15"/>
  <c r="AY74" i="15"/>
  <c r="B75" i="15"/>
  <c r="AW75" i="15" s="1"/>
  <c r="AV75" i="15"/>
  <c r="B76" i="15"/>
  <c r="AV76" i="15"/>
  <c r="AW76" i="15"/>
  <c r="AX76" i="15"/>
  <c r="AY76" i="15"/>
  <c r="B77" i="15"/>
  <c r="AV77" i="15" s="1"/>
  <c r="AW77" i="15"/>
  <c r="AX77" i="15"/>
  <c r="AY77" i="15"/>
  <c r="E79" i="21" s="1"/>
  <c r="B78" i="15"/>
  <c r="AX78" i="15" s="1"/>
  <c r="AV78" i="15"/>
  <c r="AW78" i="15"/>
  <c r="B79" i="15"/>
  <c r="AV79" i="15"/>
  <c r="AW79" i="15"/>
  <c r="E81" i="21" s="1"/>
  <c r="AX79" i="15"/>
  <c r="AY79" i="15"/>
  <c r="B80" i="15"/>
  <c r="AV80" i="15"/>
  <c r="AW80" i="15"/>
  <c r="AX80" i="15"/>
  <c r="AY80" i="15"/>
  <c r="B81" i="15"/>
  <c r="AY81" i="15" s="1"/>
  <c r="AV81" i="15"/>
  <c r="AW81" i="15"/>
  <c r="E83" i="21" s="1"/>
  <c r="AX81" i="15"/>
  <c r="B82" i="15"/>
  <c r="AV82" i="15"/>
  <c r="AW82" i="15"/>
  <c r="AX82" i="15"/>
  <c r="AY82" i="15"/>
  <c r="B83" i="15"/>
  <c r="AV83" i="15" s="1"/>
  <c r="AW83" i="15"/>
  <c r="AX83" i="15"/>
  <c r="AY83" i="15"/>
  <c r="B84" i="15"/>
  <c r="AV84" i="15"/>
  <c r="AW84" i="15"/>
  <c r="AX84" i="15"/>
  <c r="AY84" i="15"/>
  <c r="B85" i="15"/>
  <c r="AV85" i="15" s="1"/>
  <c r="AW85" i="15"/>
  <c r="AX85" i="15"/>
  <c r="AY85" i="15"/>
  <c r="B86" i="15"/>
  <c r="AV86" i="15" s="1"/>
  <c r="B87" i="15"/>
  <c r="AV87" i="15"/>
  <c r="AW87" i="15"/>
  <c r="AX87" i="15"/>
  <c r="AY87" i="15"/>
  <c r="E89" i="21" s="1"/>
  <c r="B88" i="15"/>
  <c r="AV88" i="15" s="1"/>
  <c r="B89" i="15"/>
  <c r="AW89" i="15" s="1"/>
  <c r="AV89" i="15"/>
  <c r="B90" i="15"/>
  <c r="AV90" i="15"/>
  <c r="I131" i="10" s="1"/>
  <c r="AW90" i="15"/>
  <c r="AX90" i="15"/>
  <c r="AY90" i="15"/>
  <c r="B71" i="21"/>
  <c r="C71" i="21"/>
  <c r="D71" i="21"/>
  <c r="F71" i="21"/>
  <c r="G71" i="21" s="1"/>
  <c r="G71" i="20" s="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B72" i="21"/>
  <c r="T72" i="21" s="1"/>
  <c r="C72" i="21"/>
  <c r="D72" i="21"/>
  <c r="R72" i="21"/>
  <c r="S72" i="21"/>
  <c r="S72" i="20" s="1"/>
  <c r="U72" i="21"/>
  <c r="W72" i="21"/>
  <c r="AH72" i="21"/>
  <c r="AI72" i="21"/>
  <c r="AK72" i="21"/>
  <c r="AM72" i="21"/>
  <c r="AR72" i="21"/>
  <c r="B73" i="21"/>
  <c r="F73" i="21" s="1"/>
  <c r="G73" i="21" s="1"/>
  <c r="G73" i="20" s="1"/>
  <c r="C73" i="21"/>
  <c r="D73" i="21"/>
  <c r="I73" i="21"/>
  <c r="R73" i="21"/>
  <c r="S73" i="21"/>
  <c r="T73" i="21"/>
  <c r="U73" i="21"/>
  <c r="W73" i="21"/>
  <c r="Y73" i="21"/>
  <c r="AH73" i="21"/>
  <c r="AI73" i="21"/>
  <c r="AJ73" i="21"/>
  <c r="AK73" i="21"/>
  <c r="AK73" i="20" s="1"/>
  <c r="AM73" i="21"/>
  <c r="AO73" i="21"/>
  <c r="AR73" i="21"/>
  <c r="B74" i="21"/>
  <c r="H74" i="21" s="1"/>
  <c r="C74" i="21"/>
  <c r="D74" i="21"/>
  <c r="F74" i="21"/>
  <c r="G74" i="21"/>
  <c r="G74" i="20" s="1"/>
  <c r="I74" i="21"/>
  <c r="K74" i="21"/>
  <c r="L74" i="21"/>
  <c r="M74" i="21"/>
  <c r="R74" i="21"/>
  <c r="S74" i="21"/>
  <c r="T74" i="21"/>
  <c r="U74" i="21"/>
  <c r="V74" i="21"/>
  <c r="W74" i="21"/>
  <c r="Y74" i="21"/>
  <c r="AA74" i="21"/>
  <c r="AB74" i="21"/>
  <c r="AC74" i="21"/>
  <c r="AH74" i="21"/>
  <c r="AI74" i="21"/>
  <c r="AJ74" i="21"/>
  <c r="AK74" i="21"/>
  <c r="AL74" i="21"/>
  <c r="AM74" i="21"/>
  <c r="AO74" i="21"/>
  <c r="AQ74" i="21"/>
  <c r="AR74" i="21"/>
  <c r="AS74" i="21"/>
  <c r="B75" i="21"/>
  <c r="J75" i="21" s="1"/>
  <c r="C75" i="21"/>
  <c r="D75" i="21"/>
  <c r="F75" i="21"/>
  <c r="G75" i="21"/>
  <c r="G75" i="20" s="1"/>
  <c r="H75" i="21"/>
  <c r="I75" i="21"/>
  <c r="K75" i="21"/>
  <c r="M75" i="21"/>
  <c r="N75" i="21"/>
  <c r="O75" i="21"/>
  <c r="Q75" i="21"/>
  <c r="R75" i="21"/>
  <c r="S75" i="21"/>
  <c r="T75" i="21"/>
  <c r="U75" i="21"/>
  <c r="V75" i="21"/>
  <c r="W75" i="21"/>
  <c r="X75" i="21"/>
  <c r="Y75" i="21"/>
  <c r="Y75" i="20" s="1"/>
  <c r="AA75" i="21"/>
  <c r="AC75" i="21"/>
  <c r="AD75" i="21"/>
  <c r="AE75" i="21"/>
  <c r="AG75" i="21"/>
  <c r="AH75" i="21"/>
  <c r="AI75" i="21"/>
  <c r="AJ75" i="21"/>
  <c r="AK75" i="21"/>
  <c r="AL75" i="21"/>
  <c r="AM75" i="21"/>
  <c r="AN75" i="21"/>
  <c r="AO75" i="21"/>
  <c r="AQ75" i="21"/>
  <c r="AQ75" i="20" s="1"/>
  <c r="AR75" i="21"/>
  <c r="AS75" i="21"/>
  <c r="AS75" i="20" s="1"/>
  <c r="AT75" i="21"/>
  <c r="AU75" i="21"/>
  <c r="B76" i="21"/>
  <c r="L76" i="21" s="1"/>
  <c r="C76" i="21"/>
  <c r="D76" i="21"/>
  <c r="F76" i="21"/>
  <c r="G76" i="21"/>
  <c r="H76" i="21"/>
  <c r="I76" i="21"/>
  <c r="J76" i="21"/>
  <c r="K76" i="21"/>
  <c r="M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C76" i="21"/>
  <c r="AE76" i="21"/>
  <c r="AF76" i="21"/>
  <c r="AG76" i="21"/>
  <c r="AH76" i="21"/>
  <c r="AI76" i="21"/>
  <c r="AJ76" i="21"/>
  <c r="AK76" i="21"/>
  <c r="AL76" i="21"/>
  <c r="AM76" i="21"/>
  <c r="AN76" i="21"/>
  <c r="AO76" i="21"/>
  <c r="AP76" i="21"/>
  <c r="AQ76" i="21"/>
  <c r="AR76" i="21"/>
  <c r="AS76" i="21"/>
  <c r="AS76" i="20" s="1"/>
  <c r="AU76" i="21"/>
  <c r="AU76" i="20" s="1"/>
  <c r="B77" i="21"/>
  <c r="N77" i="21" s="1"/>
  <c r="C77" i="21"/>
  <c r="D77" i="21"/>
  <c r="I77" i="21"/>
  <c r="J77" i="21"/>
  <c r="K77" i="21"/>
  <c r="L77" i="21"/>
  <c r="M77" i="21"/>
  <c r="M77" i="20" s="1"/>
  <c r="O77" i="21"/>
  <c r="Q77" i="21"/>
  <c r="R77" i="21"/>
  <c r="S77" i="21"/>
  <c r="U77" i="21"/>
  <c r="W77" i="21"/>
  <c r="Y77" i="21"/>
  <c r="Z77" i="21"/>
  <c r="AA77" i="21"/>
  <c r="AB77" i="21"/>
  <c r="AC77" i="21"/>
  <c r="AE77" i="21"/>
  <c r="AG77" i="21"/>
  <c r="AH77" i="21"/>
  <c r="AI77" i="21"/>
  <c r="AK77" i="21"/>
  <c r="AM77" i="21"/>
  <c r="AO77" i="21"/>
  <c r="AP77" i="21"/>
  <c r="AQ77" i="21"/>
  <c r="AR77" i="21"/>
  <c r="AS77" i="21"/>
  <c r="AU77" i="21"/>
  <c r="B78" i="21"/>
  <c r="P78" i="21" s="1"/>
  <c r="C78" i="21"/>
  <c r="D78" i="21"/>
  <c r="E78" i="21"/>
  <c r="F78" i="21"/>
  <c r="G78" i="21"/>
  <c r="G78" i="20" s="1"/>
  <c r="H78" i="21"/>
  <c r="I78" i="21"/>
  <c r="J78" i="21"/>
  <c r="K78" i="21"/>
  <c r="L78" i="21"/>
  <c r="M78" i="21"/>
  <c r="N78" i="21"/>
  <c r="O78" i="21"/>
  <c r="Q78" i="21"/>
  <c r="R78" i="21"/>
  <c r="S78" i="21"/>
  <c r="S78" i="20" s="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E78" i="20" s="1"/>
  <c r="AG78" i="21"/>
  <c r="AH78" i="21"/>
  <c r="AI78" i="21"/>
  <c r="AJ78" i="21"/>
  <c r="AK78" i="21"/>
  <c r="AL78" i="21"/>
  <c r="AM78" i="21"/>
  <c r="AN78" i="21"/>
  <c r="AO78" i="21"/>
  <c r="AP78" i="21"/>
  <c r="AQ78" i="21"/>
  <c r="AR78" i="21"/>
  <c r="AS78" i="21"/>
  <c r="AT78" i="21"/>
  <c r="AU78" i="21"/>
  <c r="AU78" i="20" s="1"/>
  <c r="B79" i="21"/>
  <c r="C79" i="21"/>
  <c r="D79" i="21"/>
  <c r="F79" i="21"/>
  <c r="G79" i="21" s="1"/>
  <c r="G79" i="20" s="1"/>
  <c r="H79" i="21"/>
  <c r="I79" i="21"/>
  <c r="J79" i="21"/>
  <c r="K79" i="21"/>
  <c r="L79" i="21"/>
  <c r="M79" i="21"/>
  <c r="M79" i="20" s="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K79" i="21"/>
  <c r="AK79" i="20" s="1"/>
  <c r="AL79" i="21"/>
  <c r="AM79" i="21"/>
  <c r="AN79" i="21"/>
  <c r="AO79" i="21"/>
  <c r="AP79" i="21"/>
  <c r="AQ79" i="21"/>
  <c r="AR79" i="21"/>
  <c r="AS79" i="21"/>
  <c r="AS79" i="20" s="1"/>
  <c r="AT79" i="21"/>
  <c r="AU79" i="21"/>
  <c r="B80" i="21"/>
  <c r="T80" i="21" s="1"/>
  <c r="C80" i="21"/>
  <c r="D80" i="21"/>
  <c r="I80" i="21"/>
  <c r="K80" i="21"/>
  <c r="M80" i="21"/>
  <c r="O80" i="21"/>
  <c r="Q80" i="21"/>
  <c r="R80" i="21"/>
  <c r="S80" i="21"/>
  <c r="S80" i="20" s="1"/>
  <c r="U80" i="21"/>
  <c r="W80" i="21"/>
  <c r="Y80" i="21"/>
  <c r="AA80" i="21"/>
  <c r="AC80" i="21"/>
  <c r="AE80" i="21"/>
  <c r="AE80" i="20" s="1"/>
  <c r="AF80" i="21"/>
  <c r="AG80" i="21"/>
  <c r="AH80" i="21"/>
  <c r="AI80" i="21"/>
  <c r="AK80" i="21"/>
  <c r="AM80" i="21"/>
  <c r="AO80" i="21"/>
  <c r="AQ80" i="21"/>
  <c r="AR80" i="21"/>
  <c r="AS80" i="21"/>
  <c r="AU80" i="21"/>
  <c r="B81" i="21"/>
  <c r="F81" i="21" s="1"/>
  <c r="G81" i="21" s="1"/>
  <c r="G81" i="20" s="1"/>
  <c r="C81" i="21"/>
  <c r="D81" i="21"/>
  <c r="I81" i="21"/>
  <c r="K81" i="21"/>
  <c r="M81" i="21"/>
  <c r="O81" i="21"/>
  <c r="Q81" i="21"/>
  <c r="R81" i="21"/>
  <c r="S81" i="21"/>
  <c r="T81" i="21"/>
  <c r="U81" i="21"/>
  <c r="W81" i="21"/>
  <c r="Y81" i="21"/>
  <c r="Y81" i="20" s="1"/>
  <c r="AA81" i="21"/>
  <c r="AC81" i="21"/>
  <c r="AE81" i="21"/>
  <c r="AG81" i="21"/>
  <c r="AH81" i="21"/>
  <c r="AI81" i="21"/>
  <c r="AJ81" i="21"/>
  <c r="AK81" i="21"/>
  <c r="AK81" i="20" s="1"/>
  <c r="AM81" i="21"/>
  <c r="AO81" i="21"/>
  <c r="AQ81" i="21"/>
  <c r="AQ81" i="20" s="1"/>
  <c r="AR81" i="21"/>
  <c r="AS81" i="21"/>
  <c r="AU81" i="21"/>
  <c r="B82" i="21"/>
  <c r="H82" i="21" s="1"/>
  <c r="C82" i="21"/>
  <c r="D82" i="21"/>
  <c r="E82" i="21"/>
  <c r="F82" i="21"/>
  <c r="G82" i="21" s="1"/>
  <c r="G82" i="20" s="1"/>
  <c r="I82" i="21"/>
  <c r="K82" i="21"/>
  <c r="L82" i="21"/>
  <c r="M82" i="21"/>
  <c r="M82" i="20" s="1"/>
  <c r="O82" i="21"/>
  <c r="Q82" i="21"/>
  <c r="R82" i="21"/>
  <c r="S82" i="21"/>
  <c r="T82" i="21"/>
  <c r="U82" i="21"/>
  <c r="V82" i="21"/>
  <c r="W82" i="21"/>
  <c r="Y82" i="21"/>
  <c r="AA82" i="21"/>
  <c r="AB82" i="21"/>
  <c r="AC82" i="21"/>
  <c r="AE82" i="21"/>
  <c r="AG82" i="21"/>
  <c r="AH82" i="21"/>
  <c r="AI82" i="21"/>
  <c r="AJ82" i="21"/>
  <c r="AK82" i="21"/>
  <c r="AK82" i="20" s="1"/>
  <c r="AL82" i="21"/>
  <c r="AM82" i="21"/>
  <c r="AO82" i="21"/>
  <c r="AQ82" i="21"/>
  <c r="AQ82" i="20" s="1"/>
  <c r="AR82" i="21"/>
  <c r="AS82" i="21"/>
  <c r="AS82" i="20" s="1"/>
  <c r="AU82" i="21"/>
  <c r="AU82" i="20" s="1"/>
  <c r="B83" i="21"/>
  <c r="J83" i="21" s="1"/>
  <c r="C83" i="21"/>
  <c r="D83" i="21"/>
  <c r="F83" i="21"/>
  <c r="G83" i="21" s="1"/>
  <c r="G83" i="20" s="1"/>
  <c r="H83" i="21"/>
  <c r="I83" i="21"/>
  <c r="K83" i="21"/>
  <c r="M83" i="21"/>
  <c r="M83" i="20" s="1"/>
  <c r="N83" i="21"/>
  <c r="O83" i="21"/>
  <c r="Q83" i="21"/>
  <c r="R83" i="21"/>
  <c r="S83" i="21"/>
  <c r="T83" i="21"/>
  <c r="U83" i="21"/>
  <c r="V83" i="21"/>
  <c r="W83" i="21"/>
  <c r="X83" i="21"/>
  <c r="Y83" i="21"/>
  <c r="Y83" i="20" s="1"/>
  <c r="AA83" i="21"/>
  <c r="AC83" i="21"/>
  <c r="AD83" i="21"/>
  <c r="AE83" i="21"/>
  <c r="AG83" i="21"/>
  <c r="AH83" i="21"/>
  <c r="AI83" i="21"/>
  <c r="AJ83" i="21"/>
  <c r="AK83" i="21"/>
  <c r="AK83" i="20" s="1"/>
  <c r="AL83" i="21"/>
  <c r="AM83" i="21"/>
  <c r="AN83" i="21"/>
  <c r="AO83" i="21"/>
  <c r="AQ83" i="21"/>
  <c r="AQ83" i="20" s="1"/>
  <c r="AR83" i="21"/>
  <c r="AS83" i="21"/>
  <c r="AT83" i="21"/>
  <c r="AU83" i="21"/>
  <c r="B84" i="21"/>
  <c r="L84" i="21" s="1"/>
  <c r="C84" i="21"/>
  <c r="D84" i="21"/>
  <c r="E84" i="21"/>
  <c r="F84" i="21"/>
  <c r="G84" i="21"/>
  <c r="G84" i="20" s="1"/>
  <c r="H84" i="21"/>
  <c r="I84" i="21"/>
  <c r="J84" i="21"/>
  <c r="K84" i="21"/>
  <c r="M84" i="21"/>
  <c r="M84" i="20" s="1"/>
  <c r="O84" i="21"/>
  <c r="P84" i="21"/>
  <c r="Q84" i="21"/>
  <c r="R84" i="21"/>
  <c r="S84" i="21"/>
  <c r="T84" i="21"/>
  <c r="U84" i="21"/>
  <c r="V84" i="21"/>
  <c r="W84" i="21"/>
  <c r="X84" i="21"/>
  <c r="Y84" i="21"/>
  <c r="Y84" i="20" s="1"/>
  <c r="Z84" i="21"/>
  <c r="AA84" i="21"/>
  <c r="AC84" i="21"/>
  <c r="AE84" i="21"/>
  <c r="AF84" i="21"/>
  <c r="AG84" i="21"/>
  <c r="AH84" i="21"/>
  <c r="AI84" i="21"/>
  <c r="AJ84" i="21"/>
  <c r="AK84" i="21"/>
  <c r="AL84" i="21"/>
  <c r="AM84" i="21"/>
  <c r="AN84" i="21"/>
  <c r="AO84" i="21"/>
  <c r="AP84" i="21"/>
  <c r="AQ84" i="21"/>
  <c r="AQ84" i="20" s="1"/>
  <c r="AR84" i="21"/>
  <c r="AS84" i="21"/>
  <c r="AU84" i="21"/>
  <c r="AU84" i="20" s="1"/>
  <c r="B85" i="21"/>
  <c r="N85" i="21" s="1"/>
  <c r="C85" i="21"/>
  <c r="D85" i="21"/>
  <c r="E85" i="21"/>
  <c r="I85" i="21"/>
  <c r="J85" i="21"/>
  <c r="K85" i="21"/>
  <c r="L85" i="21"/>
  <c r="M85" i="21"/>
  <c r="M85" i="20" s="1"/>
  <c r="O85" i="21"/>
  <c r="Q85" i="21"/>
  <c r="R85" i="21"/>
  <c r="S85" i="21"/>
  <c r="S85" i="20" s="1"/>
  <c r="U85" i="21"/>
  <c r="W85" i="21"/>
  <c r="Y85" i="21"/>
  <c r="Y85" i="20" s="1"/>
  <c r="Z85" i="21"/>
  <c r="AA85" i="21"/>
  <c r="AB85" i="21"/>
  <c r="AC85" i="21"/>
  <c r="AE85" i="21"/>
  <c r="AG85" i="21"/>
  <c r="AH85" i="21"/>
  <c r="AI85" i="21"/>
  <c r="AK85" i="21"/>
  <c r="AK85" i="20" s="1"/>
  <c r="AM85" i="21"/>
  <c r="AO85" i="21"/>
  <c r="AP85" i="21"/>
  <c r="AQ85" i="21"/>
  <c r="AQ85" i="20" s="1"/>
  <c r="AR85" i="21"/>
  <c r="AS85" i="21"/>
  <c r="AS85" i="20" s="1"/>
  <c r="AU85" i="21"/>
  <c r="B86" i="21"/>
  <c r="P86" i="21" s="1"/>
  <c r="C86" i="21"/>
  <c r="D86" i="21"/>
  <c r="F86" i="21"/>
  <c r="G86" i="21" s="1"/>
  <c r="G86" i="20" s="1"/>
  <c r="H86" i="21"/>
  <c r="I86" i="21"/>
  <c r="J86" i="21"/>
  <c r="K86" i="21"/>
  <c r="L86" i="21"/>
  <c r="M86" i="21"/>
  <c r="M86" i="20" s="1"/>
  <c r="N86" i="21"/>
  <c r="O86" i="21"/>
  <c r="Q86" i="21"/>
  <c r="R86" i="21"/>
  <c r="S86" i="21"/>
  <c r="T86" i="21"/>
  <c r="U86" i="21"/>
  <c r="V86" i="21"/>
  <c r="W86" i="21"/>
  <c r="X86" i="21"/>
  <c r="Y86" i="21"/>
  <c r="Y86" i="20" s="1"/>
  <c r="Z86" i="21"/>
  <c r="AA86" i="21"/>
  <c r="AB86" i="21"/>
  <c r="AC86" i="21"/>
  <c r="AD86" i="21"/>
  <c r="AE86" i="21"/>
  <c r="AE86" i="20" s="1"/>
  <c r="AG86" i="21"/>
  <c r="AH86" i="21"/>
  <c r="AI86" i="21"/>
  <c r="AJ86" i="21"/>
  <c r="AK86" i="21"/>
  <c r="AK86" i="20" s="1"/>
  <c r="AL86" i="21"/>
  <c r="AM86" i="21"/>
  <c r="AN86" i="21"/>
  <c r="AO86" i="21"/>
  <c r="AP86" i="21"/>
  <c r="AQ86" i="21"/>
  <c r="AQ86" i="20" s="1"/>
  <c r="AR86" i="21"/>
  <c r="AS86" i="21"/>
  <c r="AS86" i="20" s="1"/>
  <c r="AT86" i="21"/>
  <c r="AT86" i="20" s="1"/>
  <c r="AU86" i="21"/>
  <c r="AU86" i="20" s="1"/>
  <c r="B87" i="21"/>
  <c r="C87" i="21"/>
  <c r="D87" i="21"/>
  <c r="E87" i="21"/>
  <c r="F87" i="21"/>
  <c r="G87" i="21"/>
  <c r="G87" i="20" s="1"/>
  <c r="H87" i="21"/>
  <c r="I87" i="21"/>
  <c r="J87" i="21"/>
  <c r="K87" i="21"/>
  <c r="L87" i="21"/>
  <c r="M87" i="21"/>
  <c r="M87" i="20" s="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E87" i="20" s="1"/>
  <c r="AF87" i="21"/>
  <c r="AG87" i="21"/>
  <c r="AH87" i="21"/>
  <c r="AI87" i="21"/>
  <c r="AJ87" i="21"/>
  <c r="AK87" i="21"/>
  <c r="AK87" i="20" s="1"/>
  <c r="AL87" i="21"/>
  <c r="AM87" i="21"/>
  <c r="AN87" i="21"/>
  <c r="AO87" i="21"/>
  <c r="AP87" i="21"/>
  <c r="AQ87" i="21"/>
  <c r="AQ87" i="20" s="1"/>
  <c r="AR87" i="21"/>
  <c r="AS87" i="21"/>
  <c r="AS87" i="20" s="1"/>
  <c r="AT87" i="21"/>
  <c r="AT87" i="20" s="1"/>
  <c r="AU87" i="21"/>
  <c r="AU87" i="20" s="1"/>
  <c r="B88" i="21"/>
  <c r="T88" i="21" s="1"/>
  <c r="C88" i="21"/>
  <c r="D88" i="21"/>
  <c r="I88" i="21"/>
  <c r="M88" i="21"/>
  <c r="O88" i="21"/>
  <c r="P88" i="21"/>
  <c r="Q88" i="21"/>
  <c r="R88" i="21"/>
  <c r="S88" i="21"/>
  <c r="S88" i="20" s="1"/>
  <c r="U88" i="21"/>
  <c r="W88" i="21"/>
  <c r="Y88" i="21"/>
  <c r="AA88" i="21"/>
  <c r="AC88" i="21"/>
  <c r="AE88" i="21"/>
  <c r="AE88" i="20" s="1"/>
  <c r="AF88" i="21"/>
  <c r="AG88" i="21"/>
  <c r="AH88" i="21"/>
  <c r="AI88" i="21"/>
  <c r="AK88" i="21"/>
  <c r="AM88" i="21"/>
  <c r="AO88" i="21"/>
  <c r="AQ88" i="21"/>
  <c r="AR88" i="21"/>
  <c r="AS88" i="21"/>
  <c r="AS88" i="20" s="1"/>
  <c r="AU88" i="21"/>
  <c r="AU88" i="20" s="1"/>
  <c r="B89" i="21"/>
  <c r="F89" i="21" s="1"/>
  <c r="G89" i="21" s="1"/>
  <c r="G89" i="20" s="1"/>
  <c r="C89" i="21"/>
  <c r="D89" i="21"/>
  <c r="I89" i="21"/>
  <c r="K89" i="21"/>
  <c r="O89" i="21"/>
  <c r="Q89" i="21"/>
  <c r="R89" i="21"/>
  <c r="S89" i="21"/>
  <c r="S89" i="20" s="1"/>
  <c r="U89" i="21"/>
  <c r="W89" i="21"/>
  <c r="Y89" i="21"/>
  <c r="AA89" i="21"/>
  <c r="AE89" i="21"/>
  <c r="AE89" i="20" s="1"/>
  <c r="AG89" i="21"/>
  <c r="AH89" i="21"/>
  <c r="AI89" i="21"/>
  <c r="AK89" i="21"/>
  <c r="AM89" i="21"/>
  <c r="AO89" i="21"/>
  <c r="AQ89" i="21"/>
  <c r="AQ89" i="20" s="1"/>
  <c r="AR89" i="21"/>
  <c r="AU89" i="21"/>
  <c r="AU89" i="20" s="1"/>
  <c r="B90" i="21"/>
  <c r="H90" i="21" s="1"/>
  <c r="C90" i="21"/>
  <c r="D90" i="21"/>
  <c r="F90" i="21"/>
  <c r="G90" i="21"/>
  <c r="G90" i="20" s="1"/>
  <c r="I90" i="21"/>
  <c r="K90" i="21"/>
  <c r="L90" i="21"/>
  <c r="M90" i="21"/>
  <c r="M90" i="20" s="1"/>
  <c r="O90" i="21"/>
  <c r="Q90" i="21"/>
  <c r="R90" i="21"/>
  <c r="S90" i="21"/>
  <c r="S90" i="20" s="1"/>
  <c r="T90" i="21"/>
  <c r="U90" i="21"/>
  <c r="V90" i="21"/>
  <c r="W90" i="21"/>
  <c r="Y90" i="21"/>
  <c r="AA90" i="21"/>
  <c r="AB90" i="21"/>
  <c r="AC90" i="21"/>
  <c r="AE90" i="21"/>
  <c r="AG90" i="21"/>
  <c r="AH90" i="21"/>
  <c r="AI90" i="21"/>
  <c r="AJ90" i="21"/>
  <c r="AK90" i="21"/>
  <c r="AK90" i="20" s="1"/>
  <c r="AL90" i="21"/>
  <c r="AM90" i="21"/>
  <c r="AO90" i="21"/>
  <c r="AQ90" i="21"/>
  <c r="AR90" i="21"/>
  <c r="AS90" i="21"/>
  <c r="AS90" i="20" s="1"/>
  <c r="AU90" i="21"/>
  <c r="AU90" i="20" s="1"/>
  <c r="B88" i="20"/>
  <c r="C88" i="20"/>
  <c r="E88" i="20"/>
  <c r="F88" i="20"/>
  <c r="M88" i="20"/>
  <c r="Y88" i="20"/>
  <c r="AK88" i="20"/>
  <c r="AQ88" i="20"/>
  <c r="B89" i="20"/>
  <c r="F89" i="20" s="1"/>
  <c r="C89" i="20"/>
  <c r="E89" i="20"/>
  <c r="Y89" i="20"/>
  <c r="AK89" i="20"/>
  <c r="B90" i="20"/>
  <c r="F90" i="20" s="1"/>
  <c r="C90" i="20"/>
  <c r="E90" i="20"/>
  <c r="Y90" i="20"/>
  <c r="AE90" i="20"/>
  <c r="AL90" i="20"/>
  <c r="AQ90" i="20"/>
  <c r="B84" i="20"/>
  <c r="C84" i="20"/>
  <c r="E84" i="20"/>
  <c r="F84" i="20"/>
  <c r="S84" i="20"/>
  <c r="AE84" i="20"/>
  <c r="AK84" i="20"/>
  <c r="AL84" i="20"/>
  <c r="AS84" i="20"/>
  <c r="B85" i="20"/>
  <c r="F85" i="20" s="1"/>
  <c r="C85" i="20"/>
  <c r="E85" i="20"/>
  <c r="AE85" i="20"/>
  <c r="AU85" i="20"/>
  <c r="B86" i="20"/>
  <c r="F86" i="20" s="1"/>
  <c r="C86" i="20"/>
  <c r="E86" i="20"/>
  <c r="S86" i="20"/>
  <c r="AL86" i="20"/>
  <c r="B87" i="20"/>
  <c r="F87" i="20" s="1"/>
  <c r="C87" i="20"/>
  <c r="E87" i="20"/>
  <c r="S87" i="20"/>
  <c r="Y87" i="20"/>
  <c r="AL87" i="20"/>
  <c r="B71" i="20"/>
  <c r="C71" i="20"/>
  <c r="E71" i="20"/>
  <c r="F71" i="20"/>
  <c r="M71" i="20"/>
  <c r="S71" i="20"/>
  <c r="Y71" i="20"/>
  <c r="AE71" i="20"/>
  <c r="AK71" i="20"/>
  <c r="AL71" i="20"/>
  <c r="AQ71" i="20"/>
  <c r="AS71" i="20"/>
  <c r="AT71" i="20"/>
  <c r="AU71" i="20"/>
  <c r="B72" i="20"/>
  <c r="F72" i="20" s="1"/>
  <c r="C72" i="20"/>
  <c r="E72" i="20"/>
  <c r="AK72" i="20"/>
  <c r="B73" i="20"/>
  <c r="F73" i="20" s="1"/>
  <c r="C73" i="20"/>
  <c r="E73" i="20"/>
  <c r="S73" i="20"/>
  <c r="Y73" i="20"/>
  <c r="B74" i="20"/>
  <c r="F74" i="20" s="1"/>
  <c r="C74" i="20"/>
  <c r="E74" i="20"/>
  <c r="M74" i="20"/>
  <c r="S74" i="20"/>
  <c r="Y74" i="20"/>
  <c r="AK74" i="20"/>
  <c r="AL74" i="20"/>
  <c r="AQ74" i="20"/>
  <c r="AS74" i="20"/>
  <c r="B75" i="20"/>
  <c r="C75" i="20"/>
  <c r="E75" i="20"/>
  <c r="F75" i="20"/>
  <c r="M75" i="20"/>
  <c r="S75" i="20"/>
  <c r="AE75" i="20"/>
  <c r="AK75" i="20"/>
  <c r="AL75" i="20"/>
  <c r="AT75" i="20"/>
  <c r="AU75" i="20"/>
  <c r="B76" i="20"/>
  <c r="C76" i="20"/>
  <c r="E76" i="20"/>
  <c r="F76" i="20"/>
  <c r="G76" i="20"/>
  <c r="M76" i="20"/>
  <c r="S76" i="20"/>
  <c r="Y76" i="20"/>
  <c r="AE76" i="20"/>
  <c r="AK76" i="20"/>
  <c r="AL76" i="20"/>
  <c r="AQ76" i="20"/>
  <c r="B77" i="20"/>
  <c r="C77" i="20"/>
  <c r="E77" i="20"/>
  <c r="F77" i="20"/>
  <c r="S77" i="20"/>
  <c r="Y77" i="20"/>
  <c r="AE77" i="20"/>
  <c r="AK77" i="20"/>
  <c r="AQ77" i="20"/>
  <c r="AS77" i="20"/>
  <c r="AU77" i="20"/>
  <c r="B78" i="20"/>
  <c r="C78" i="20"/>
  <c r="E78" i="20"/>
  <c r="F78" i="20"/>
  <c r="M78" i="20"/>
  <c r="Y78" i="20"/>
  <c r="AK78" i="20"/>
  <c r="AL78" i="20"/>
  <c r="AQ78" i="20"/>
  <c r="AS78" i="20"/>
  <c r="AT78" i="20"/>
  <c r="B79" i="20"/>
  <c r="C79" i="20"/>
  <c r="E79" i="20"/>
  <c r="F79" i="20"/>
  <c r="S79" i="20"/>
  <c r="Y79" i="20"/>
  <c r="AE79" i="20"/>
  <c r="AL79" i="20"/>
  <c r="AQ79" i="20"/>
  <c r="AT79" i="20"/>
  <c r="AU79" i="20"/>
  <c r="B80" i="20"/>
  <c r="C80" i="20"/>
  <c r="E80" i="20"/>
  <c r="F80" i="20"/>
  <c r="M80" i="20"/>
  <c r="Y80" i="20"/>
  <c r="AK80" i="20"/>
  <c r="AQ80" i="20"/>
  <c r="AS80" i="20"/>
  <c r="AU80" i="20"/>
  <c r="B81" i="20"/>
  <c r="C81" i="20"/>
  <c r="E81" i="20"/>
  <c r="F81" i="20"/>
  <c r="M81" i="20"/>
  <c r="S81" i="20"/>
  <c r="AE81" i="20"/>
  <c r="AS81" i="20"/>
  <c r="AU81" i="20"/>
  <c r="B82" i="20"/>
  <c r="F82" i="20" s="1"/>
  <c r="C82" i="20"/>
  <c r="E82" i="20"/>
  <c r="S82" i="20"/>
  <c r="Y82" i="20"/>
  <c r="AE82" i="20"/>
  <c r="AL82" i="20"/>
  <c r="B83" i="20"/>
  <c r="F83" i="20" s="1"/>
  <c r="C83" i="20"/>
  <c r="E83" i="20"/>
  <c r="S83" i="20"/>
  <c r="AE83" i="20"/>
  <c r="AL83" i="20"/>
  <c r="AS83" i="20"/>
  <c r="AT83" i="20"/>
  <c r="AU83" i="20"/>
  <c r="B69" i="13"/>
  <c r="AV69" i="13" s="1"/>
  <c r="AY69" i="13"/>
  <c r="B70" i="13"/>
  <c r="AV70" i="13" s="1"/>
  <c r="B71" i="13"/>
  <c r="AV71" i="13"/>
  <c r="AW71" i="13"/>
  <c r="AX71" i="13"/>
  <c r="AY71" i="13"/>
  <c r="B72" i="13"/>
  <c r="AV72" i="13" s="1"/>
  <c r="B73" i="13"/>
  <c r="AW73" i="13" s="1"/>
  <c r="AV73" i="13"/>
  <c r="B74" i="13"/>
  <c r="AV74" i="13"/>
  <c r="AW74" i="13"/>
  <c r="AX74" i="13"/>
  <c r="AY74" i="13"/>
  <c r="B75" i="13"/>
  <c r="AW75" i="13" s="1"/>
  <c r="AV75" i="13"/>
  <c r="B76" i="13"/>
  <c r="AV76" i="13"/>
  <c r="AW76" i="13"/>
  <c r="AX76" i="13"/>
  <c r="AY76" i="13"/>
  <c r="B77" i="13"/>
  <c r="AV77" i="13"/>
  <c r="AW77" i="13"/>
  <c r="AX77" i="13"/>
  <c r="AY77" i="13"/>
  <c r="B78" i="13"/>
  <c r="AX78" i="13" s="1"/>
  <c r="AV78" i="13"/>
  <c r="AW78" i="13"/>
  <c r="B79" i="13"/>
  <c r="AV79" i="13"/>
  <c r="AW79" i="13"/>
  <c r="AX79" i="13"/>
  <c r="AY79" i="13"/>
  <c r="B80" i="13"/>
  <c r="AV80" i="13"/>
  <c r="AW80" i="13"/>
  <c r="AX80" i="13"/>
  <c r="AY80" i="13"/>
  <c r="B81" i="13"/>
  <c r="AY81" i="13" s="1"/>
  <c r="AV81" i="13"/>
  <c r="AW81" i="13"/>
  <c r="AX81" i="13"/>
  <c r="B82" i="13"/>
  <c r="AV82" i="13"/>
  <c r="AW82" i="13"/>
  <c r="AX82" i="13"/>
  <c r="AY82" i="13"/>
  <c r="B83" i="13"/>
  <c r="AV83" i="13"/>
  <c r="AW83" i="13"/>
  <c r="AX83" i="13"/>
  <c r="AY83" i="13"/>
  <c r="B84" i="13"/>
  <c r="AV84" i="13"/>
  <c r="AW84" i="13"/>
  <c r="AX84" i="13"/>
  <c r="AY84" i="13"/>
  <c r="B85" i="13"/>
  <c r="AV85" i="13" s="1"/>
  <c r="AW85" i="13"/>
  <c r="AX85" i="13"/>
  <c r="AY85" i="13"/>
  <c r="D132" i="10" s="1"/>
  <c r="B86" i="13"/>
  <c r="AV86" i="13" s="1"/>
  <c r="B87" i="13"/>
  <c r="AV87" i="13"/>
  <c r="AW87" i="13"/>
  <c r="AX87" i="13"/>
  <c r="AY87" i="13"/>
  <c r="B88" i="13"/>
  <c r="AV88" i="13" s="1"/>
  <c r="B71" i="19"/>
  <c r="C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E71" i="3" s="1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AS71" i="19"/>
  <c r="AT71" i="19"/>
  <c r="AU71" i="19"/>
  <c r="B72" i="19"/>
  <c r="D72" i="19" s="1"/>
  <c r="C72" i="19"/>
  <c r="R72" i="19"/>
  <c r="S72" i="19"/>
  <c r="AG72" i="19"/>
  <c r="AH72" i="19"/>
  <c r="AI72" i="19"/>
  <c r="AR72" i="19"/>
  <c r="B73" i="19"/>
  <c r="F73" i="19" s="1"/>
  <c r="C73" i="19"/>
  <c r="D73" i="19"/>
  <c r="E73" i="19"/>
  <c r="E73" i="3" s="1"/>
  <c r="R73" i="19"/>
  <c r="S73" i="19"/>
  <c r="T73" i="19"/>
  <c r="U73" i="19"/>
  <c r="AH73" i="19"/>
  <c r="AI73" i="19"/>
  <c r="AJ73" i="19"/>
  <c r="AK73" i="19"/>
  <c r="AR73" i="19"/>
  <c r="B74" i="19"/>
  <c r="H74" i="19" s="1"/>
  <c r="C74" i="19"/>
  <c r="D74" i="19"/>
  <c r="E74" i="19"/>
  <c r="F74" i="19"/>
  <c r="G74" i="19"/>
  <c r="G74" i="3" s="1"/>
  <c r="M74" i="19"/>
  <c r="R74" i="19"/>
  <c r="S74" i="19"/>
  <c r="T74" i="19"/>
  <c r="U74" i="19"/>
  <c r="V74" i="19"/>
  <c r="W74" i="19"/>
  <c r="AC74" i="19"/>
  <c r="AH74" i="19"/>
  <c r="AI74" i="19"/>
  <c r="AJ74" i="19"/>
  <c r="AK74" i="19"/>
  <c r="AL74" i="19"/>
  <c r="AM74" i="19"/>
  <c r="AR74" i="19"/>
  <c r="AS74" i="19"/>
  <c r="B75" i="19"/>
  <c r="J75" i="19" s="1"/>
  <c r="C75" i="19"/>
  <c r="D75" i="19"/>
  <c r="E75" i="19"/>
  <c r="F75" i="19"/>
  <c r="G75" i="19"/>
  <c r="H75" i="19"/>
  <c r="I75" i="19"/>
  <c r="L75" i="19"/>
  <c r="M75" i="19"/>
  <c r="N75" i="19"/>
  <c r="O75" i="19"/>
  <c r="Q75" i="19"/>
  <c r="R75" i="19"/>
  <c r="S75" i="19"/>
  <c r="T75" i="19"/>
  <c r="U75" i="19"/>
  <c r="V75" i="19"/>
  <c r="W75" i="19"/>
  <c r="X75" i="19"/>
  <c r="Y75" i="19"/>
  <c r="Y75" i="3" s="1"/>
  <c r="AB75" i="19"/>
  <c r="AC75" i="19"/>
  <c r="AD75" i="19"/>
  <c r="AE75" i="19"/>
  <c r="AG75" i="19"/>
  <c r="AH75" i="19"/>
  <c r="AI75" i="19"/>
  <c r="AJ75" i="19"/>
  <c r="AK75" i="19"/>
  <c r="AL75" i="19"/>
  <c r="AM75" i="19"/>
  <c r="AN75" i="19"/>
  <c r="AO75" i="19"/>
  <c r="AR75" i="19"/>
  <c r="AS75" i="19"/>
  <c r="AT75" i="19"/>
  <c r="AU75" i="19"/>
  <c r="AU75" i="3" s="1"/>
  <c r="B76" i="19"/>
  <c r="L76" i="19" s="1"/>
  <c r="C76" i="19"/>
  <c r="D76" i="19"/>
  <c r="E76" i="19"/>
  <c r="F76" i="19"/>
  <c r="G76" i="19"/>
  <c r="H76" i="19"/>
  <c r="I76" i="19"/>
  <c r="J76" i="19"/>
  <c r="K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D76" i="19"/>
  <c r="AE76" i="19"/>
  <c r="AF76" i="19"/>
  <c r="AG76" i="19"/>
  <c r="AH76" i="19"/>
  <c r="AI76" i="19"/>
  <c r="AJ76" i="19"/>
  <c r="AK76" i="19"/>
  <c r="AL76" i="19"/>
  <c r="AM76" i="19"/>
  <c r="AN76" i="19"/>
  <c r="AO76" i="19"/>
  <c r="AP76" i="19"/>
  <c r="AQ76" i="19"/>
  <c r="AQ76" i="3" s="1"/>
  <c r="AR76" i="19"/>
  <c r="AT76" i="19"/>
  <c r="AT76" i="3" s="1"/>
  <c r="AU76" i="19"/>
  <c r="AU76" i="3" s="1"/>
  <c r="B77" i="19"/>
  <c r="N77" i="19" s="1"/>
  <c r="C77" i="19"/>
  <c r="H77" i="19"/>
  <c r="I77" i="19"/>
  <c r="J77" i="19"/>
  <c r="K77" i="19"/>
  <c r="L77" i="19"/>
  <c r="M77" i="19"/>
  <c r="M77" i="3" s="1"/>
  <c r="R77" i="19"/>
  <c r="S77" i="19"/>
  <c r="X77" i="19"/>
  <c r="Y77" i="19"/>
  <c r="Z77" i="19"/>
  <c r="AA77" i="19"/>
  <c r="AB77" i="19"/>
  <c r="AC77" i="19"/>
  <c r="AH77" i="19"/>
  <c r="AI77" i="19"/>
  <c r="AN77" i="19"/>
  <c r="AO77" i="19"/>
  <c r="AP77" i="19"/>
  <c r="AQ77" i="19"/>
  <c r="AR77" i="19"/>
  <c r="AS77" i="19"/>
  <c r="B78" i="19"/>
  <c r="P78" i="19" s="1"/>
  <c r="C78" i="19"/>
  <c r="D78" i="19"/>
  <c r="E78" i="19"/>
  <c r="E78" i="3" s="1"/>
  <c r="I78" i="19"/>
  <c r="J78" i="19"/>
  <c r="K78" i="19"/>
  <c r="L78" i="19"/>
  <c r="M78" i="19"/>
  <c r="N78" i="19"/>
  <c r="O78" i="19"/>
  <c r="R78" i="19"/>
  <c r="S78" i="19"/>
  <c r="T78" i="19"/>
  <c r="U78" i="19"/>
  <c r="Y78" i="19"/>
  <c r="Z78" i="19"/>
  <c r="AA78" i="19"/>
  <c r="AB78" i="19"/>
  <c r="AC78" i="19"/>
  <c r="AD78" i="19"/>
  <c r="AE78" i="19"/>
  <c r="AE78" i="3" s="1"/>
  <c r="AH78" i="19"/>
  <c r="AI78" i="19"/>
  <c r="AJ78" i="19"/>
  <c r="AK78" i="19"/>
  <c r="AO78" i="19"/>
  <c r="AP78" i="19"/>
  <c r="AQ78" i="19"/>
  <c r="AR78" i="19"/>
  <c r="AS78" i="19"/>
  <c r="AT78" i="19"/>
  <c r="AU78" i="19"/>
  <c r="AU78" i="3" s="1"/>
  <c r="B79" i="19"/>
  <c r="C79" i="19"/>
  <c r="D79" i="19"/>
  <c r="E79" i="19"/>
  <c r="E79" i="3" s="1"/>
  <c r="F79" i="19"/>
  <c r="G79" i="19"/>
  <c r="G79" i="3" s="1"/>
  <c r="H79" i="19"/>
  <c r="I79" i="19"/>
  <c r="J79" i="19"/>
  <c r="K79" i="19"/>
  <c r="L79" i="19"/>
  <c r="M79" i="19"/>
  <c r="N79" i="19"/>
  <c r="O79" i="19"/>
  <c r="P79" i="19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E79" i="3" s="1"/>
  <c r="AF79" i="19"/>
  <c r="AG79" i="19"/>
  <c r="AH79" i="19"/>
  <c r="AI79" i="19"/>
  <c r="AJ79" i="19"/>
  <c r="AK79" i="19"/>
  <c r="AL79" i="19"/>
  <c r="AM79" i="19"/>
  <c r="AN79" i="19"/>
  <c r="AO79" i="19"/>
  <c r="AP79" i="19"/>
  <c r="AQ79" i="19"/>
  <c r="AR79" i="19"/>
  <c r="AS79" i="19"/>
  <c r="AT79" i="19"/>
  <c r="AU79" i="19"/>
  <c r="B80" i="19"/>
  <c r="D80" i="19" s="1"/>
  <c r="C80" i="19"/>
  <c r="R80" i="19"/>
  <c r="S80" i="19"/>
  <c r="S80" i="3" s="1"/>
  <c r="AH80" i="19"/>
  <c r="AI80" i="19"/>
  <c r="AR80" i="19"/>
  <c r="B81" i="19"/>
  <c r="F81" i="19" s="1"/>
  <c r="C81" i="19"/>
  <c r="D81" i="19"/>
  <c r="E81" i="19"/>
  <c r="E81" i="3" s="1"/>
  <c r="R81" i="19"/>
  <c r="S81" i="19"/>
  <c r="T81" i="19"/>
  <c r="U81" i="19"/>
  <c r="AH81" i="19"/>
  <c r="AI81" i="19"/>
  <c r="AJ81" i="19"/>
  <c r="AK81" i="19"/>
  <c r="AK81" i="3" s="1"/>
  <c r="AR81" i="19"/>
  <c r="B82" i="19"/>
  <c r="H82" i="19" s="1"/>
  <c r="C82" i="19"/>
  <c r="D82" i="19"/>
  <c r="E82" i="19"/>
  <c r="E82" i="3" s="1"/>
  <c r="F82" i="19"/>
  <c r="G82" i="19"/>
  <c r="G82" i="3" s="1"/>
  <c r="R82" i="19"/>
  <c r="T82" i="19"/>
  <c r="U82" i="19"/>
  <c r="V82" i="19"/>
  <c r="W82" i="19"/>
  <c r="AC82" i="19"/>
  <c r="AH82" i="19"/>
  <c r="AJ82" i="19"/>
  <c r="AK82" i="19"/>
  <c r="AL82" i="19"/>
  <c r="AM82" i="19"/>
  <c r="AR82" i="19"/>
  <c r="AS82" i="19"/>
  <c r="B83" i="19"/>
  <c r="J83" i="19" s="1"/>
  <c r="C83" i="19"/>
  <c r="D83" i="19"/>
  <c r="E83" i="19"/>
  <c r="E83" i="3" s="1"/>
  <c r="F83" i="19"/>
  <c r="G83" i="19"/>
  <c r="G83" i="3" s="1"/>
  <c r="H83" i="19"/>
  <c r="I83" i="19"/>
  <c r="L83" i="19"/>
  <c r="M83" i="19"/>
  <c r="N83" i="19"/>
  <c r="O83" i="19"/>
  <c r="Q83" i="19"/>
  <c r="R83" i="19"/>
  <c r="S83" i="19"/>
  <c r="T83" i="19"/>
  <c r="U83" i="19"/>
  <c r="V83" i="19"/>
  <c r="W83" i="19"/>
  <c r="X83" i="19"/>
  <c r="Y83" i="19"/>
  <c r="Y83" i="3" s="1"/>
  <c r="AB83" i="19"/>
  <c r="AC83" i="19"/>
  <c r="AD83" i="19"/>
  <c r="AE83" i="19"/>
  <c r="AG83" i="19"/>
  <c r="AH83" i="19"/>
  <c r="AI83" i="19"/>
  <c r="AJ83" i="19"/>
  <c r="AK83" i="19"/>
  <c r="AL83" i="19"/>
  <c r="AM83" i="19"/>
  <c r="AN83" i="19"/>
  <c r="AO83" i="19"/>
  <c r="AR83" i="19"/>
  <c r="AS83" i="19"/>
  <c r="AT83" i="19"/>
  <c r="AT83" i="3" s="1"/>
  <c r="AU83" i="19"/>
  <c r="AU83" i="3" s="1"/>
  <c r="B84" i="19"/>
  <c r="L84" i="19" s="1"/>
  <c r="C84" i="19"/>
  <c r="D84" i="19"/>
  <c r="E84" i="19"/>
  <c r="F84" i="19"/>
  <c r="G84" i="19"/>
  <c r="G84" i="3" s="1"/>
  <c r="H84" i="19"/>
  <c r="I84" i="19"/>
  <c r="J84" i="19"/>
  <c r="K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Y84" i="3" s="1"/>
  <c r="Z84" i="19"/>
  <c r="AA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AT84" i="19"/>
  <c r="AU84" i="19"/>
  <c r="B85" i="19"/>
  <c r="N85" i="19" s="1"/>
  <c r="C85" i="19"/>
  <c r="H85" i="19"/>
  <c r="I85" i="19"/>
  <c r="J85" i="19"/>
  <c r="K85" i="19"/>
  <c r="L85" i="19"/>
  <c r="M85" i="19"/>
  <c r="R85" i="19"/>
  <c r="S85" i="19"/>
  <c r="S85" i="3" s="1"/>
  <c r="X85" i="19"/>
  <c r="Y85" i="19"/>
  <c r="Y85" i="3" s="1"/>
  <c r="Z85" i="19"/>
  <c r="AA85" i="19"/>
  <c r="AB85" i="19"/>
  <c r="AC85" i="19"/>
  <c r="AH85" i="19"/>
  <c r="AI85" i="19"/>
  <c r="AN85" i="19"/>
  <c r="AO85" i="19"/>
  <c r="AP85" i="19"/>
  <c r="AQ85" i="19"/>
  <c r="AQ85" i="3" s="1"/>
  <c r="AR85" i="19"/>
  <c r="AS85" i="19"/>
  <c r="B86" i="19"/>
  <c r="P86" i="19" s="1"/>
  <c r="C86" i="19"/>
  <c r="D86" i="19"/>
  <c r="E86" i="19"/>
  <c r="E86" i="3" s="1"/>
  <c r="G86" i="19"/>
  <c r="G86" i="3" s="1"/>
  <c r="I86" i="19"/>
  <c r="J86" i="19"/>
  <c r="K86" i="19"/>
  <c r="L86" i="19"/>
  <c r="M86" i="19"/>
  <c r="M86" i="3" s="1"/>
  <c r="N86" i="19"/>
  <c r="O86" i="19"/>
  <c r="S86" i="19"/>
  <c r="T86" i="19"/>
  <c r="U86" i="19"/>
  <c r="W86" i="19"/>
  <c r="Y86" i="19"/>
  <c r="Y86" i="3" s="1"/>
  <c r="Z86" i="19"/>
  <c r="AA86" i="19"/>
  <c r="AB86" i="19"/>
  <c r="AC86" i="19"/>
  <c r="AD86" i="19"/>
  <c r="AE86" i="19"/>
  <c r="AE86" i="3" s="1"/>
  <c r="AI86" i="19"/>
  <c r="AJ86" i="19"/>
  <c r="AK86" i="19"/>
  <c r="AK86" i="3" s="1"/>
  <c r="AM86" i="19"/>
  <c r="AO86" i="19"/>
  <c r="AP86" i="19"/>
  <c r="AQ86" i="19"/>
  <c r="AR86" i="19"/>
  <c r="AS86" i="19"/>
  <c r="AT86" i="19"/>
  <c r="AT86" i="3" s="1"/>
  <c r="AU86" i="19"/>
  <c r="B87" i="19"/>
  <c r="S87" i="19" s="1"/>
  <c r="S87" i="3" s="1"/>
  <c r="C87" i="19"/>
  <c r="D87" i="19"/>
  <c r="E87" i="19"/>
  <c r="E87" i="3" s="1"/>
  <c r="F87" i="19"/>
  <c r="G87" i="19"/>
  <c r="G87" i="3" s="1"/>
  <c r="H87" i="19"/>
  <c r="I87" i="19"/>
  <c r="J87" i="19"/>
  <c r="K87" i="19"/>
  <c r="L87" i="19"/>
  <c r="M87" i="19"/>
  <c r="M87" i="3" s="1"/>
  <c r="N87" i="19"/>
  <c r="O87" i="19"/>
  <c r="P87" i="19"/>
  <c r="Q87" i="19"/>
  <c r="R87" i="19"/>
  <c r="T87" i="19"/>
  <c r="U87" i="19"/>
  <c r="V87" i="19"/>
  <c r="W87" i="19"/>
  <c r="X87" i="19"/>
  <c r="Y87" i="19"/>
  <c r="Z87" i="19"/>
  <c r="AA87" i="19"/>
  <c r="AB87" i="19"/>
  <c r="AC87" i="19"/>
  <c r="AD87" i="19"/>
  <c r="AE87" i="19"/>
  <c r="AE87" i="3" s="1"/>
  <c r="AF87" i="19"/>
  <c r="AG87" i="19"/>
  <c r="AH87" i="19"/>
  <c r="AJ87" i="19"/>
  <c r="AK87" i="19"/>
  <c r="AL87" i="19"/>
  <c r="AL87" i="3" s="1"/>
  <c r="AM87" i="19"/>
  <c r="AN87" i="19"/>
  <c r="AO87" i="19"/>
  <c r="AP87" i="19"/>
  <c r="AQ87" i="19"/>
  <c r="AR87" i="19"/>
  <c r="AS87" i="19"/>
  <c r="AT87" i="19"/>
  <c r="AT87" i="3" s="1"/>
  <c r="AU87" i="19"/>
  <c r="AU87" i="3" s="1"/>
  <c r="B88" i="19"/>
  <c r="Q88" i="19" s="1"/>
  <c r="C88" i="19"/>
  <c r="P88" i="19"/>
  <c r="R88" i="19"/>
  <c r="AI88" i="19"/>
  <c r="AR88" i="19"/>
  <c r="B89" i="19"/>
  <c r="C89" i="19"/>
  <c r="D89" i="19"/>
  <c r="E89" i="19"/>
  <c r="R89" i="19"/>
  <c r="S89" i="19"/>
  <c r="S89" i="3" s="1"/>
  <c r="T89" i="19"/>
  <c r="U89" i="19"/>
  <c r="AH89" i="19"/>
  <c r="AI89" i="19"/>
  <c r="AR89" i="19"/>
  <c r="B90" i="19"/>
  <c r="H90" i="19" s="1"/>
  <c r="C90" i="19"/>
  <c r="D90" i="19"/>
  <c r="E90" i="19"/>
  <c r="F90" i="19"/>
  <c r="G90" i="19"/>
  <c r="M90" i="19"/>
  <c r="M90" i="3" s="1"/>
  <c r="S90" i="19"/>
  <c r="S90" i="3" s="1"/>
  <c r="T90" i="19"/>
  <c r="U90" i="19"/>
  <c r="V90" i="19"/>
  <c r="W90" i="19"/>
  <c r="AC90" i="19"/>
  <c r="AI90" i="19"/>
  <c r="AJ90" i="19"/>
  <c r="AK90" i="19"/>
  <c r="AK90" i="3" s="1"/>
  <c r="AL90" i="19"/>
  <c r="AL90" i="3" s="1"/>
  <c r="AM90" i="19"/>
  <c r="AR90" i="19"/>
  <c r="AS90" i="19"/>
  <c r="B81" i="3"/>
  <c r="F81" i="3" s="1"/>
  <c r="C81" i="3"/>
  <c r="S81" i="3"/>
  <c r="B82" i="3"/>
  <c r="F82" i="3" s="1"/>
  <c r="C82" i="3"/>
  <c r="AK82" i="3"/>
  <c r="AL82" i="3"/>
  <c r="B83" i="3"/>
  <c r="F83" i="3" s="1"/>
  <c r="C83" i="3"/>
  <c r="M83" i="3"/>
  <c r="S83" i="3"/>
  <c r="AE83" i="3"/>
  <c r="AK83" i="3"/>
  <c r="AL83" i="3"/>
  <c r="B84" i="3"/>
  <c r="F84" i="3" s="1"/>
  <c r="C84" i="3"/>
  <c r="E84" i="3"/>
  <c r="S84" i="3"/>
  <c r="AE84" i="3"/>
  <c r="AK84" i="3"/>
  <c r="AL84" i="3"/>
  <c r="AQ84" i="3"/>
  <c r="AT84" i="3"/>
  <c r="AU84" i="3"/>
  <c r="B85" i="3"/>
  <c r="C85" i="3"/>
  <c r="F85" i="3"/>
  <c r="M85" i="3"/>
  <c r="B86" i="3"/>
  <c r="C86" i="3"/>
  <c r="F86" i="3"/>
  <c r="S86" i="3"/>
  <c r="AQ86" i="3"/>
  <c r="AU86" i="3"/>
  <c r="B87" i="3"/>
  <c r="C87" i="3"/>
  <c r="F87" i="3"/>
  <c r="Y87" i="3"/>
  <c r="AK87" i="3"/>
  <c r="AQ87" i="3"/>
  <c r="B88" i="3"/>
  <c r="C88" i="3"/>
  <c r="F88" i="3"/>
  <c r="B89" i="3"/>
  <c r="C89" i="3"/>
  <c r="E89" i="3"/>
  <c r="F89" i="3"/>
  <c r="B90" i="3"/>
  <c r="C90" i="3"/>
  <c r="E90" i="3"/>
  <c r="F90" i="3"/>
  <c r="G90" i="3"/>
  <c r="B71" i="3"/>
  <c r="F71" i="3" s="1"/>
  <c r="C71" i="3"/>
  <c r="E71" i="3"/>
  <c r="G71" i="3"/>
  <c r="M71" i="3"/>
  <c r="S71" i="3"/>
  <c r="Y71" i="3"/>
  <c r="AK71" i="3"/>
  <c r="AL71" i="3"/>
  <c r="AQ71" i="3"/>
  <c r="AT71" i="3"/>
  <c r="AU71" i="3"/>
  <c r="B72" i="3"/>
  <c r="F72" i="3" s="1"/>
  <c r="C72" i="3"/>
  <c r="S72" i="3"/>
  <c r="B73" i="3"/>
  <c r="F73" i="3" s="1"/>
  <c r="C73" i="3"/>
  <c r="S73" i="3"/>
  <c r="AK73" i="3"/>
  <c r="B74" i="3"/>
  <c r="F74" i="3" s="1"/>
  <c r="C74" i="3"/>
  <c r="E74" i="3"/>
  <c r="M74" i="3"/>
  <c r="S74" i="3"/>
  <c r="AK74" i="3"/>
  <c r="AL74" i="3"/>
  <c r="B75" i="3"/>
  <c r="C75" i="3"/>
  <c r="E75" i="3"/>
  <c r="F75" i="3"/>
  <c r="G75" i="3"/>
  <c r="M75" i="3"/>
  <c r="S75" i="3"/>
  <c r="AE75" i="3"/>
  <c r="AK75" i="3"/>
  <c r="AL75" i="3"/>
  <c r="AT75" i="3"/>
  <c r="B76" i="3"/>
  <c r="C76" i="3"/>
  <c r="E76" i="3"/>
  <c r="F76" i="3"/>
  <c r="G76" i="3"/>
  <c r="S76" i="3"/>
  <c r="Y76" i="3"/>
  <c r="AE76" i="3"/>
  <c r="AK76" i="3"/>
  <c r="AL76" i="3"/>
  <c r="B77" i="3"/>
  <c r="C77" i="3"/>
  <c r="F77" i="3"/>
  <c r="S77" i="3"/>
  <c r="Y77" i="3"/>
  <c r="AQ77" i="3"/>
  <c r="B78" i="3"/>
  <c r="C78" i="3"/>
  <c r="F78" i="3"/>
  <c r="M78" i="3"/>
  <c r="S78" i="3"/>
  <c r="Y78" i="3"/>
  <c r="AK78" i="3"/>
  <c r="AQ78" i="3"/>
  <c r="AT78" i="3"/>
  <c r="B79" i="3"/>
  <c r="C79" i="3"/>
  <c r="F79" i="3"/>
  <c r="M79" i="3"/>
  <c r="S79" i="3"/>
  <c r="Y79" i="3"/>
  <c r="AK79" i="3"/>
  <c r="AL79" i="3"/>
  <c r="AQ79" i="3"/>
  <c r="AT79" i="3"/>
  <c r="AU79" i="3"/>
  <c r="B80" i="3"/>
  <c r="C80" i="3"/>
  <c r="F80" i="3"/>
  <c r="L12" i="10"/>
  <c r="D93" i="10" l="1"/>
  <c r="D104" i="10"/>
  <c r="H104" i="10" s="1"/>
  <c r="D105" i="10"/>
  <c r="H105" i="10" s="1"/>
  <c r="D107" i="10"/>
  <c r="H107" i="10" s="1"/>
  <c r="K93" i="10"/>
  <c r="G93" i="10"/>
  <c r="G92" i="10"/>
  <c r="D92" i="10"/>
  <c r="E86" i="21"/>
  <c r="P94" i="10"/>
  <c r="P86" i="10"/>
  <c r="P78" i="10"/>
  <c r="O94" i="10"/>
  <c r="O86" i="10"/>
  <c r="O78" i="10"/>
  <c r="P95" i="10"/>
  <c r="P87" i="10"/>
  <c r="P79" i="10"/>
  <c r="O95" i="10"/>
  <c r="O87" i="10"/>
  <c r="O79" i="10"/>
  <c r="P96" i="10"/>
  <c r="P88" i="10"/>
  <c r="P80" i="10"/>
  <c r="P90" i="10"/>
  <c r="P82" i="10"/>
  <c r="O90" i="10"/>
  <c r="O82" i="10"/>
  <c r="P91" i="10"/>
  <c r="D108" i="10" s="1"/>
  <c r="H108" i="10" s="1"/>
  <c r="P83" i="10"/>
  <c r="E77" i="21"/>
  <c r="AY86" i="15"/>
  <c r="AY70" i="15"/>
  <c r="AY89" i="15"/>
  <c r="I132" i="10" s="1"/>
  <c r="AX86" i="15"/>
  <c r="AY73" i="15"/>
  <c r="E75" i="21" s="1"/>
  <c r="AX70" i="15"/>
  <c r="AX89" i="15"/>
  <c r="AW86" i="15"/>
  <c r="E88" i="21" s="1"/>
  <c r="AX73" i="15"/>
  <c r="AW70" i="15"/>
  <c r="E72" i="21" s="1"/>
  <c r="AY88" i="15"/>
  <c r="AY72" i="15"/>
  <c r="AX69" i="15"/>
  <c r="AX88" i="15"/>
  <c r="AY75" i="15"/>
  <c r="AX72" i="15"/>
  <c r="AW69" i="15"/>
  <c r="E71" i="21" s="1"/>
  <c r="AW88" i="15"/>
  <c r="AY78" i="15"/>
  <c r="E80" i="21" s="1"/>
  <c r="AX75" i="15"/>
  <c r="AW72" i="15"/>
  <c r="AJ89" i="21"/>
  <c r="T89" i="21"/>
  <c r="AG72" i="21"/>
  <c r="Q72" i="21"/>
  <c r="P80" i="21"/>
  <c r="AF72" i="21"/>
  <c r="P72" i="21"/>
  <c r="AG73" i="21"/>
  <c r="Q73" i="21"/>
  <c r="AU72" i="21"/>
  <c r="AU72" i="20" s="1"/>
  <c r="AE72" i="21"/>
  <c r="AE72" i="20" s="1"/>
  <c r="O72" i="21"/>
  <c r="AF89" i="21"/>
  <c r="P89" i="21"/>
  <c r="AT88" i="21"/>
  <c r="AT88" i="20" s="1"/>
  <c r="AD88" i="21"/>
  <c r="N88" i="21"/>
  <c r="AN85" i="21"/>
  <c r="X85" i="21"/>
  <c r="H85" i="21"/>
  <c r="AF81" i="21"/>
  <c r="P81" i="21"/>
  <c r="AT80" i="21"/>
  <c r="AT80" i="20" s="1"/>
  <c r="AD80" i="21"/>
  <c r="N80" i="21"/>
  <c r="AN77" i="21"/>
  <c r="X77" i="21"/>
  <c r="H77" i="21"/>
  <c r="AF73" i="21"/>
  <c r="P73" i="21"/>
  <c r="AT72" i="21"/>
  <c r="AT72" i="20" s="1"/>
  <c r="AD72" i="21"/>
  <c r="N72" i="21"/>
  <c r="AG74" i="21"/>
  <c r="Q74" i="21"/>
  <c r="AU73" i="21"/>
  <c r="AU73" i="20" s="1"/>
  <c r="AE73" i="21"/>
  <c r="AE73" i="20" s="1"/>
  <c r="O73" i="21"/>
  <c r="AS72" i="21"/>
  <c r="AS72" i="20" s="1"/>
  <c r="AC72" i="21"/>
  <c r="M72" i="21"/>
  <c r="M72" i="20" s="1"/>
  <c r="AF90" i="21"/>
  <c r="P90" i="21"/>
  <c r="AT89" i="21"/>
  <c r="AT89" i="20" s="1"/>
  <c r="AD89" i="21"/>
  <c r="N89" i="21"/>
  <c r="AB88" i="21"/>
  <c r="L88" i="21"/>
  <c r="AL85" i="21"/>
  <c r="AL85" i="20" s="1"/>
  <c r="V85" i="21"/>
  <c r="F85" i="21"/>
  <c r="G85" i="21" s="1"/>
  <c r="G85" i="20" s="1"/>
  <c r="AF82" i="21"/>
  <c r="P82" i="21"/>
  <c r="AT81" i="21"/>
  <c r="AT81" i="20" s="1"/>
  <c r="AD81" i="21"/>
  <c r="N81" i="21"/>
  <c r="AB80" i="21"/>
  <c r="L80" i="21"/>
  <c r="AL77" i="21"/>
  <c r="AL77" i="20" s="1"/>
  <c r="V77" i="21"/>
  <c r="F77" i="21"/>
  <c r="G77" i="21" s="1"/>
  <c r="G77" i="20" s="1"/>
  <c r="AF74" i="21"/>
  <c r="P74" i="21"/>
  <c r="AT73" i="21"/>
  <c r="AT73" i="20" s="1"/>
  <c r="AD73" i="21"/>
  <c r="N73" i="21"/>
  <c r="AB72" i="21"/>
  <c r="L72" i="21"/>
  <c r="AS89" i="21"/>
  <c r="AS89" i="20" s="1"/>
  <c r="AC89" i="21"/>
  <c r="M89" i="21"/>
  <c r="M89" i="20" s="1"/>
  <c r="K88" i="21"/>
  <c r="AU74" i="21"/>
  <c r="AU74" i="20" s="1"/>
  <c r="AE74" i="21"/>
  <c r="AE74" i="20" s="1"/>
  <c r="O74" i="21"/>
  <c r="AS73" i="21"/>
  <c r="AS73" i="20" s="1"/>
  <c r="AC73" i="21"/>
  <c r="M73" i="21"/>
  <c r="M73" i="20" s="1"/>
  <c r="AQ72" i="21"/>
  <c r="AQ72" i="20" s="1"/>
  <c r="AA72" i="21"/>
  <c r="K72" i="21"/>
  <c r="AT90" i="21"/>
  <c r="AT90" i="20" s="1"/>
  <c r="AD90" i="21"/>
  <c r="N90" i="21"/>
  <c r="AB89" i="21"/>
  <c r="L89" i="21"/>
  <c r="AP88" i="21"/>
  <c r="Z88" i="21"/>
  <c r="J88" i="21"/>
  <c r="AJ85" i="21"/>
  <c r="T85" i="21"/>
  <c r="AF83" i="21"/>
  <c r="P83" i="21"/>
  <c r="AT82" i="21"/>
  <c r="AT82" i="20" s="1"/>
  <c r="AD82" i="21"/>
  <c r="N82" i="21"/>
  <c r="AB81" i="21"/>
  <c r="L81" i="21"/>
  <c r="AP80" i="21"/>
  <c r="Z80" i="21"/>
  <c r="J80" i="21"/>
  <c r="AJ77" i="21"/>
  <c r="T77" i="21"/>
  <c r="AF75" i="21"/>
  <c r="P75" i="21"/>
  <c r="AT74" i="21"/>
  <c r="AT74" i="20" s="1"/>
  <c r="AD74" i="21"/>
  <c r="N74" i="21"/>
  <c r="AB73" i="21"/>
  <c r="L73" i="21"/>
  <c r="AP72" i="21"/>
  <c r="Z72" i="21"/>
  <c r="J72" i="21"/>
  <c r="AQ73" i="21"/>
  <c r="AQ73" i="20" s="1"/>
  <c r="AA73" i="21"/>
  <c r="K73" i="21"/>
  <c r="AO72" i="21"/>
  <c r="Y72" i="21"/>
  <c r="Y72" i="20" s="1"/>
  <c r="I72" i="21"/>
  <c r="AP89" i="21"/>
  <c r="Z89" i="21"/>
  <c r="J89" i="21"/>
  <c r="AN88" i="21"/>
  <c r="X88" i="21"/>
  <c r="H88" i="21"/>
  <c r="AP81" i="21"/>
  <c r="Z81" i="21"/>
  <c r="J81" i="21"/>
  <c r="AN80" i="21"/>
  <c r="X80" i="21"/>
  <c r="H80" i="21"/>
  <c r="AP73" i="21"/>
  <c r="Z73" i="21"/>
  <c r="J73" i="21"/>
  <c r="AN72" i="21"/>
  <c r="X72" i="21"/>
  <c r="H72" i="21"/>
  <c r="AP90" i="21"/>
  <c r="Z90" i="21"/>
  <c r="J90" i="21"/>
  <c r="AN89" i="21"/>
  <c r="X89" i="21"/>
  <c r="H89" i="21"/>
  <c r="AL88" i="21"/>
  <c r="AL88" i="20" s="1"/>
  <c r="V88" i="21"/>
  <c r="F88" i="21"/>
  <c r="G88" i="21" s="1"/>
  <c r="G88" i="20" s="1"/>
  <c r="AF85" i="21"/>
  <c r="P85" i="21"/>
  <c r="AT84" i="21"/>
  <c r="AT84" i="20" s="1"/>
  <c r="AD84" i="21"/>
  <c r="N84" i="21"/>
  <c r="AB83" i="21"/>
  <c r="L83" i="21"/>
  <c r="AP82" i="21"/>
  <c r="Z82" i="21"/>
  <c r="J82" i="21"/>
  <c r="AN81" i="21"/>
  <c r="X81" i="21"/>
  <c r="H81" i="21"/>
  <c r="AL80" i="21"/>
  <c r="AL80" i="20" s="1"/>
  <c r="V80" i="21"/>
  <c r="F80" i="21"/>
  <c r="G80" i="21" s="1"/>
  <c r="G80" i="20" s="1"/>
  <c r="AF77" i="21"/>
  <c r="P77" i="21"/>
  <c r="AT76" i="21"/>
  <c r="AT76" i="20" s="1"/>
  <c r="AD76" i="21"/>
  <c r="N76" i="21"/>
  <c r="AB75" i="21"/>
  <c r="L75" i="21"/>
  <c r="AP74" i="21"/>
  <c r="Z74" i="21"/>
  <c r="J74" i="21"/>
  <c r="AN73" i="21"/>
  <c r="X73" i="21"/>
  <c r="H73" i="21"/>
  <c r="AL72" i="21"/>
  <c r="AL72" i="20" s="1"/>
  <c r="V72" i="21"/>
  <c r="F72" i="21"/>
  <c r="G72" i="21" s="1"/>
  <c r="G72" i="20" s="1"/>
  <c r="AN90" i="21"/>
  <c r="X90" i="21"/>
  <c r="AL89" i="21"/>
  <c r="AL89" i="20" s="1"/>
  <c r="V89" i="21"/>
  <c r="AJ88" i="21"/>
  <c r="AF86" i="21"/>
  <c r="AT85" i="21"/>
  <c r="AT85" i="20" s="1"/>
  <c r="AD85" i="21"/>
  <c r="AB84" i="21"/>
  <c r="AP83" i="21"/>
  <c r="Z83" i="21"/>
  <c r="AN82" i="21"/>
  <c r="X82" i="21"/>
  <c r="AL81" i="21"/>
  <c r="AL81" i="20" s="1"/>
  <c r="V81" i="21"/>
  <c r="AJ80" i="21"/>
  <c r="AF78" i="21"/>
  <c r="AT77" i="21"/>
  <c r="AT77" i="20" s="1"/>
  <c r="AD77" i="21"/>
  <c r="AB76" i="21"/>
  <c r="AP75" i="21"/>
  <c r="Z75" i="21"/>
  <c r="AN74" i="21"/>
  <c r="X74" i="21"/>
  <c r="AL73" i="21"/>
  <c r="AL73" i="20" s="1"/>
  <c r="V73" i="21"/>
  <c r="AJ72" i="21"/>
  <c r="AY86" i="13"/>
  <c r="AY70" i="13"/>
  <c r="AX86" i="13"/>
  <c r="AY73" i="13"/>
  <c r="AX70" i="13"/>
  <c r="AW86" i="13"/>
  <c r="AX73" i="13"/>
  <c r="AW70" i="13"/>
  <c r="AY88" i="13"/>
  <c r="AY72" i="13"/>
  <c r="AX69" i="13"/>
  <c r="AX88" i="13"/>
  <c r="AY75" i="13"/>
  <c r="AX72" i="13"/>
  <c r="AW69" i="13"/>
  <c r="AW88" i="13"/>
  <c r="AY78" i="13"/>
  <c r="AX75" i="13"/>
  <c r="AW72" i="13"/>
  <c r="D88" i="19"/>
  <c r="T88" i="19"/>
  <c r="AJ88" i="19"/>
  <c r="G88" i="19"/>
  <c r="G88" i="3" s="1"/>
  <c r="W88" i="19"/>
  <c r="H88" i="19"/>
  <c r="E88" i="19"/>
  <c r="E88" i="3" s="1"/>
  <c r="U88" i="19"/>
  <c r="AK88" i="19"/>
  <c r="AK88" i="3" s="1"/>
  <c r="F88" i="19"/>
  <c r="V88" i="19"/>
  <c r="X88" i="19"/>
  <c r="AL88" i="19"/>
  <c r="AL88" i="3" s="1"/>
  <c r="I88" i="19"/>
  <c r="AM88" i="19"/>
  <c r="AN88" i="19"/>
  <c r="Y88" i="19"/>
  <c r="Y88" i="3" s="1"/>
  <c r="AO88" i="19"/>
  <c r="J88" i="19"/>
  <c r="Z88" i="19"/>
  <c r="AP88" i="19"/>
  <c r="AD88" i="19"/>
  <c r="K88" i="19"/>
  <c r="AA88" i="19"/>
  <c r="AQ88" i="19"/>
  <c r="AQ88" i="3" s="1"/>
  <c r="L88" i="19"/>
  <c r="AB88" i="19"/>
  <c r="M88" i="19"/>
  <c r="M88" i="3" s="1"/>
  <c r="AC88" i="19"/>
  <c r="AS88" i="19"/>
  <c r="N88" i="19"/>
  <c r="AT88" i="19"/>
  <c r="AT88" i="3" s="1"/>
  <c r="O88" i="19"/>
  <c r="AE88" i="19"/>
  <c r="AE88" i="3" s="1"/>
  <c r="AU88" i="19"/>
  <c r="AU88" i="3" s="1"/>
  <c r="F89" i="19"/>
  <c r="V89" i="19"/>
  <c r="AL89" i="19"/>
  <c r="AL89" i="3" s="1"/>
  <c r="H89" i="19"/>
  <c r="AN89" i="19"/>
  <c r="Y89" i="19"/>
  <c r="Y89" i="3" s="1"/>
  <c r="Z89" i="19"/>
  <c r="K89" i="19"/>
  <c r="G89" i="19"/>
  <c r="G89" i="3" s="1"/>
  <c r="W89" i="19"/>
  <c r="AM89" i="19"/>
  <c r="X89" i="19"/>
  <c r="AO89" i="19"/>
  <c r="AP89" i="19"/>
  <c r="AQ89" i="19"/>
  <c r="AQ89" i="3" s="1"/>
  <c r="I89" i="19"/>
  <c r="J89" i="19"/>
  <c r="AA89" i="19"/>
  <c r="L89" i="19"/>
  <c r="AB89" i="19"/>
  <c r="O89" i="19"/>
  <c r="M89" i="19"/>
  <c r="M89" i="3" s="1"/>
  <c r="AC89" i="19"/>
  <c r="AS89" i="19"/>
  <c r="AF89" i="19"/>
  <c r="N89" i="19"/>
  <c r="AD89" i="19"/>
  <c r="AT89" i="19"/>
  <c r="AT89" i="3" s="1"/>
  <c r="AE89" i="19"/>
  <c r="AE89" i="3" s="1"/>
  <c r="P89" i="19"/>
  <c r="AU89" i="19"/>
  <c r="AU89" i="3" s="1"/>
  <c r="Q89" i="19"/>
  <c r="AG89" i="19"/>
  <c r="AK89" i="19"/>
  <c r="AK89" i="3" s="1"/>
  <c r="AF88" i="19"/>
  <c r="AH88" i="19"/>
  <c r="AG88" i="19"/>
  <c r="AJ89" i="19"/>
  <c r="S88" i="19"/>
  <c r="S88" i="3" s="1"/>
  <c r="AG80" i="19"/>
  <c r="Q80" i="19"/>
  <c r="Q72" i="19"/>
  <c r="AF80" i="19"/>
  <c r="P80" i="19"/>
  <c r="AF72" i="19"/>
  <c r="P72" i="19"/>
  <c r="AI82" i="19"/>
  <c r="S82" i="19"/>
  <c r="S82" i="3" s="1"/>
  <c r="AG81" i="19"/>
  <c r="Q81" i="19"/>
  <c r="AU80" i="19"/>
  <c r="AU80" i="3" s="1"/>
  <c r="AE80" i="19"/>
  <c r="AE80" i="3" s="1"/>
  <c r="O80" i="19"/>
  <c r="AG73" i="19"/>
  <c r="Q73" i="19"/>
  <c r="AU72" i="19"/>
  <c r="AU72" i="3" s="1"/>
  <c r="AE72" i="19"/>
  <c r="AE72" i="3" s="1"/>
  <c r="O72" i="19"/>
  <c r="R90" i="19"/>
  <c r="AF81" i="19"/>
  <c r="P81" i="19"/>
  <c r="AT80" i="19"/>
  <c r="AT80" i="3" s="1"/>
  <c r="AD80" i="19"/>
  <c r="N80" i="19"/>
  <c r="AF73" i="19"/>
  <c r="P73" i="19"/>
  <c r="AT72" i="19"/>
  <c r="AT72" i="3" s="1"/>
  <c r="AD72" i="19"/>
  <c r="N72" i="19"/>
  <c r="AG90" i="19"/>
  <c r="AM85" i="19"/>
  <c r="W85" i="19"/>
  <c r="G85" i="19"/>
  <c r="G85" i="3" s="1"/>
  <c r="AG82" i="19"/>
  <c r="Q82" i="19"/>
  <c r="AU81" i="19"/>
  <c r="AU81" i="3" s="1"/>
  <c r="AE81" i="19"/>
  <c r="AE81" i="3" s="1"/>
  <c r="O81" i="19"/>
  <c r="AS80" i="19"/>
  <c r="AC80" i="19"/>
  <c r="M80" i="19"/>
  <c r="M80" i="3" s="1"/>
  <c r="AM77" i="19"/>
  <c r="W77" i="19"/>
  <c r="G77" i="19"/>
  <c r="G77" i="3" s="1"/>
  <c r="AG74" i="19"/>
  <c r="Q74" i="19"/>
  <c r="AU73" i="19"/>
  <c r="AU73" i="3" s="1"/>
  <c r="AE73" i="19"/>
  <c r="AE73" i="3" s="1"/>
  <c r="O73" i="19"/>
  <c r="AS72" i="19"/>
  <c r="AC72" i="19"/>
  <c r="M72" i="19"/>
  <c r="M72" i="3" s="1"/>
  <c r="AH90" i="19"/>
  <c r="AF90" i="19"/>
  <c r="P90" i="19"/>
  <c r="AN86" i="19"/>
  <c r="X86" i="19"/>
  <c r="H86" i="19"/>
  <c r="AL85" i="19"/>
  <c r="V85" i="19"/>
  <c r="F85" i="19"/>
  <c r="AF82" i="19"/>
  <c r="P82" i="19"/>
  <c r="AT81" i="19"/>
  <c r="AT81" i="3" s="1"/>
  <c r="AD81" i="19"/>
  <c r="N81" i="19"/>
  <c r="AB80" i="19"/>
  <c r="L80" i="19"/>
  <c r="AN78" i="19"/>
  <c r="X78" i="19"/>
  <c r="H78" i="19"/>
  <c r="AL77" i="19"/>
  <c r="AL77" i="3" s="1"/>
  <c r="V77" i="19"/>
  <c r="F77" i="19"/>
  <c r="AF74" i="19"/>
  <c r="P74" i="19"/>
  <c r="AT73" i="19"/>
  <c r="AT73" i="3" s="1"/>
  <c r="AD73" i="19"/>
  <c r="N73" i="19"/>
  <c r="AB72" i="19"/>
  <c r="L72" i="19"/>
  <c r="Q90" i="19"/>
  <c r="AU90" i="19"/>
  <c r="AU90" i="3" s="1"/>
  <c r="AE90" i="19"/>
  <c r="AE90" i="3" s="1"/>
  <c r="O90" i="19"/>
  <c r="AK85" i="19"/>
  <c r="AK85" i="3" s="1"/>
  <c r="U85" i="19"/>
  <c r="E85" i="19"/>
  <c r="E85" i="3" s="1"/>
  <c r="AU82" i="19"/>
  <c r="AU82" i="3" s="1"/>
  <c r="AE82" i="19"/>
  <c r="AE82" i="3" s="1"/>
  <c r="O82" i="19"/>
  <c r="AS81" i="19"/>
  <c r="AC81" i="19"/>
  <c r="M81" i="19"/>
  <c r="M81" i="3" s="1"/>
  <c r="AQ80" i="19"/>
  <c r="AQ80" i="3" s="1"/>
  <c r="AA80" i="19"/>
  <c r="K80" i="19"/>
  <c r="AM78" i="19"/>
  <c r="W78" i="19"/>
  <c r="G78" i="19"/>
  <c r="G78" i="3" s="1"/>
  <c r="AK77" i="19"/>
  <c r="AK77" i="3" s="1"/>
  <c r="U77" i="19"/>
  <c r="E77" i="19"/>
  <c r="E77" i="3" s="1"/>
  <c r="AU74" i="19"/>
  <c r="AU74" i="3" s="1"/>
  <c r="AE74" i="19"/>
  <c r="AE74" i="3" s="1"/>
  <c r="O74" i="19"/>
  <c r="AS73" i="19"/>
  <c r="AC73" i="19"/>
  <c r="M73" i="19"/>
  <c r="M73" i="3" s="1"/>
  <c r="AQ72" i="19"/>
  <c r="AQ72" i="3" s="1"/>
  <c r="AA72" i="19"/>
  <c r="K72" i="19"/>
  <c r="AT90" i="19"/>
  <c r="AT90" i="3" s="1"/>
  <c r="AD90" i="19"/>
  <c r="N90" i="19"/>
  <c r="AL86" i="19"/>
  <c r="AL86" i="3" s="1"/>
  <c r="V86" i="19"/>
  <c r="F86" i="19"/>
  <c r="AJ85" i="19"/>
  <c r="T85" i="19"/>
  <c r="D85" i="19"/>
  <c r="AF83" i="19"/>
  <c r="P83" i="19"/>
  <c r="AT82" i="19"/>
  <c r="AT82" i="3" s="1"/>
  <c r="AD82" i="19"/>
  <c r="N82" i="19"/>
  <c r="AB81" i="19"/>
  <c r="L81" i="19"/>
  <c r="AP80" i="19"/>
  <c r="Z80" i="19"/>
  <c r="J80" i="19"/>
  <c r="AL78" i="19"/>
  <c r="AL78" i="3" s="1"/>
  <c r="V78" i="19"/>
  <c r="F78" i="19"/>
  <c r="AJ77" i="19"/>
  <c r="T77" i="19"/>
  <c r="D77" i="19"/>
  <c r="AF75" i="19"/>
  <c r="P75" i="19"/>
  <c r="AT74" i="19"/>
  <c r="AT74" i="3" s="1"/>
  <c r="AD74" i="19"/>
  <c r="N74" i="19"/>
  <c r="AB73" i="19"/>
  <c r="L73" i="19"/>
  <c r="AP72" i="19"/>
  <c r="Z72" i="19"/>
  <c r="J72" i="19"/>
  <c r="M82" i="19"/>
  <c r="M82" i="3" s="1"/>
  <c r="AQ81" i="19"/>
  <c r="AQ81" i="3" s="1"/>
  <c r="AA81" i="19"/>
  <c r="K81" i="19"/>
  <c r="AO80" i="19"/>
  <c r="Y80" i="19"/>
  <c r="Y80" i="3" s="1"/>
  <c r="I80" i="19"/>
  <c r="AQ73" i="19"/>
  <c r="AQ73" i="3" s="1"/>
  <c r="AA73" i="19"/>
  <c r="K73" i="19"/>
  <c r="AO72" i="19"/>
  <c r="Y72" i="19"/>
  <c r="Y72" i="3" s="1"/>
  <c r="I72" i="19"/>
  <c r="AB82" i="19"/>
  <c r="L82" i="19"/>
  <c r="AP81" i="19"/>
  <c r="Z81" i="19"/>
  <c r="J81" i="19"/>
  <c r="AN80" i="19"/>
  <c r="X80" i="19"/>
  <c r="H80" i="19"/>
  <c r="AB74" i="19"/>
  <c r="L74" i="19"/>
  <c r="AP73" i="19"/>
  <c r="Z73" i="19"/>
  <c r="J73" i="19"/>
  <c r="AN72" i="19"/>
  <c r="X72" i="19"/>
  <c r="H72" i="19"/>
  <c r="AA90" i="19"/>
  <c r="AG85" i="19"/>
  <c r="AQ82" i="19"/>
  <c r="AQ82" i="3" s="1"/>
  <c r="AA82" i="19"/>
  <c r="K82" i="19"/>
  <c r="AO81" i="19"/>
  <c r="Y81" i="19"/>
  <c r="Y81" i="3" s="1"/>
  <c r="I81" i="19"/>
  <c r="AM80" i="19"/>
  <c r="W80" i="19"/>
  <c r="G80" i="19"/>
  <c r="G80" i="3" s="1"/>
  <c r="AG77" i="19"/>
  <c r="Q77" i="19"/>
  <c r="AQ74" i="19"/>
  <c r="AQ74" i="3" s="1"/>
  <c r="AA74" i="19"/>
  <c r="K74" i="19"/>
  <c r="AO73" i="19"/>
  <c r="Y73" i="19"/>
  <c r="Y73" i="3" s="1"/>
  <c r="I73" i="19"/>
  <c r="AM72" i="19"/>
  <c r="W72" i="19"/>
  <c r="G72" i="19"/>
  <c r="G72" i="3" s="1"/>
  <c r="AB90" i="19"/>
  <c r="J90" i="19"/>
  <c r="P85" i="19"/>
  <c r="J82" i="19"/>
  <c r="AN81" i="19"/>
  <c r="X81" i="19"/>
  <c r="H81" i="19"/>
  <c r="AL80" i="19"/>
  <c r="AL80" i="3" s="1"/>
  <c r="V80" i="19"/>
  <c r="F80" i="19"/>
  <c r="AF77" i="19"/>
  <c r="P77" i="19"/>
  <c r="AP74" i="19"/>
  <c r="Z74" i="19"/>
  <c r="J74" i="19"/>
  <c r="AN73" i="19"/>
  <c r="X73" i="19"/>
  <c r="H73" i="19"/>
  <c r="AL72" i="19"/>
  <c r="AL72" i="3" s="1"/>
  <c r="V72" i="19"/>
  <c r="F72" i="19"/>
  <c r="Z90" i="19"/>
  <c r="R86" i="19"/>
  <c r="AP82" i="19"/>
  <c r="AO90" i="19"/>
  <c r="Y90" i="19"/>
  <c r="Y90" i="3" s="1"/>
  <c r="I90" i="19"/>
  <c r="AI87" i="19"/>
  <c r="AG86" i="19"/>
  <c r="Q86" i="19"/>
  <c r="AU85" i="19"/>
  <c r="AU85" i="3" s="1"/>
  <c r="AE85" i="19"/>
  <c r="AE85" i="3" s="1"/>
  <c r="O85" i="19"/>
  <c r="AS84" i="19"/>
  <c r="AC84" i="19"/>
  <c r="M84" i="19"/>
  <c r="M84" i="3" s="1"/>
  <c r="AQ83" i="19"/>
  <c r="AQ83" i="3" s="1"/>
  <c r="AA83" i="19"/>
  <c r="K83" i="19"/>
  <c r="AO82" i="19"/>
  <c r="Y82" i="19"/>
  <c r="Y82" i="3" s="1"/>
  <c r="I82" i="19"/>
  <c r="AM81" i="19"/>
  <c r="W81" i="19"/>
  <c r="G81" i="19"/>
  <c r="G81" i="3" s="1"/>
  <c r="AK80" i="19"/>
  <c r="AK80" i="3" s="1"/>
  <c r="U80" i="19"/>
  <c r="E80" i="19"/>
  <c r="E80" i="3" s="1"/>
  <c r="AG78" i="19"/>
  <c r="Q78" i="19"/>
  <c r="AU77" i="19"/>
  <c r="AU77" i="3" s="1"/>
  <c r="AE77" i="19"/>
  <c r="AE77" i="3" s="1"/>
  <c r="O77" i="19"/>
  <c r="AS76" i="19"/>
  <c r="AC76" i="19"/>
  <c r="M76" i="19"/>
  <c r="M76" i="3" s="1"/>
  <c r="AQ75" i="19"/>
  <c r="AQ75" i="3" s="1"/>
  <c r="AA75" i="19"/>
  <c r="K75" i="19"/>
  <c r="AO74" i="19"/>
  <c r="Y74" i="19"/>
  <c r="Y74" i="3" s="1"/>
  <c r="I74" i="19"/>
  <c r="AM73" i="19"/>
  <c r="W73" i="19"/>
  <c r="G73" i="19"/>
  <c r="G73" i="3" s="1"/>
  <c r="AK72" i="19"/>
  <c r="AK72" i="3" s="1"/>
  <c r="U72" i="19"/>
  <c r="E72" i="19"/>
  <c r="E72" i="3" s="1"/>
  <c r="L90" i="19"/>
  <c r="AQ90" i="19"/>
  <c r="AQ90" i="3" s="1"/>
  <c r="K90" i="19"/>
  <c r="Q85" i="19"/>
  <c r="AP90" i="19"/>
  <c r="AH86" i="19"/>
  <c r="AF85" i="19"/>
  <c r="Z82" i="19"/>
  <c r="AN90" i="19"/>
  <c r="X90" i="19"/>
  <c r="AF86" i="19"/>
  <c r="AT85" i="19"/>
  <c r="AD85" i="19"/>
  <c r="AB84" i="19"/>
  <c r="AP83" i="19"/>
  <c r="Z83" i="19"/>
  <c r="AN82" i="19"/>
  <c r="X82" i="19"/>
  <c r="AL81" i="19"/>
  <c r="AL81" i="3" s="1"/>
  <c r="V81" i="19"/>
  <c r="AJ80" i="19"/>
  <c r="T80" i="19"/>
  <c r="AF78" i="19"/>
  <c r="AT77" i="19"/>
  <c r="AT77" i="3" s="1"/>
  <c r="AD77" i="19"/>
  <c r="AB76" i="19"/>
  <c r="AP75" i="19"/>
  <c r="Z75" i="19"/>
  <c r="AN74" i="19"/>
  <c r="X74" i="19"/>
  <c r="AL73" i="19"/>
  <c r="AL73" i="3" s="1"/>
  <c r="V73" i="19"/>
  <c r="AJ72" i="19"/>
  <c r="T72" i="19"/>
  <c r="BH4" i="13"/>
  <c r="BB4" i="13"/>
  <c r="AL85" i="3" l="1"/>
  <c r="E91" i="10"/>
  <c r="AT85" i="3"/>
  <c r="G91" i="10"/>
  <c r="D106" i="10"/>
  <c r="H106" i="10" s="1"/>
  <c r="E74" i="21"/>
  <c r="E90" i="21"/>
  <c r="L3" i="10"/>
  <c r="C2" i="2"/>
  <c r="J5" i="19"/>
  <c r="B35" i="1"/>
  <c r="B34" i="1"/>
  <c r="C6" i="10" l="1"/>
  <c r="C5" i="10"/>
  <c r="L5" i="10"/>
  <c r="L4" i="10"/>
  <c r="C8" i="10"/>
  <c r="L2" i="10"/>
  <c r="C3" i="10"/>
  <c r="D7" i="21" l="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6" i="21"/>
  <c r="A1" i="21"/>
  <c r="A1" i="20" s="1"/>
  <c r="A1" i="19"/>
  <c r="A1" i="3" s="1"/>
  <c r="AD3" i="21" l="1"/>
  <c r="AC3" i="21"/>
  <c r="AB3" i="21"/>
  <c r="AA3" i="21"/>
  <c r="Z3" i="21"/>
  <c r="AD2" i="21"/>
  <c r="AC2" i="21"/>
  <c r="AB2" i="21"/>
  <c r="AA2" i="21"/>
  <c r="Z2" i="21"/>
  <c r="T3" i="21"/>
  <c r="U3" i="21"/>
  <c r="V3" i="21"/>
  <c r="W3" i="21"/>
  <c r="X3" i="21"/>
  <c r="U2" i="21"/>
  <c r="V2" i="21"/>
  <c r="W2" i="21"/>
  <c r="X2" i="21"/>
  <c r="T2" i="21"/>
  <c r="N3" i="21"/>
  <c r="O3" i="21"/>
  <c r="P3" i="21"/>
  <c r="Q3" i="21"/>
  <c r="R3" i="21"/>
  <c r="O2" i="21"/>
  <c r="P2" i="21"/>
  <c r="Q2" i="21"/>
  <c r="R2" i="21"/>
  <c r="N2" i="21"/>
  <c r="H3" i="21"/>
  <c r="I3" i="21"/>
  <c r="J3" i="21"/>
  <c r="K3" i="21"/>
  <c r="L3" i="21"/>
  <c r="I2" i="21"/>
  <c r="J2" i="21"/>
  <c r="K2" i="21"/>
  <c r="L2" i="21"/>
  <c r="H2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6" i="21"/>
  <c r="F5" i="21"/>
  <c r="AN2" i="19"/>
  <c r="AO2" i="19"/>
  <c r="AP2" i="19"/>
  <c r="AN3" i="19"/>
  <c r="AO3" i="19"/>
  <c r="AP3" i="19"/>
  <c r="AM3" i="19"/>
  <c r="AM2" i="19"/>
  <c r="AG2" i="19"/>
  <c r="AH2" i="19"/>
  <c r="AI2" i="19"/>
  <c r="AJ2" i="19"/>
  <c r="AG3" i="19"/>
  <c r="AH3" i="19"/>
  <c r="AI3" i="19"/>
  <c r="AJ3" i="19"/>
  <c r="AF3" i="19"/>
  <c r="AF2" i="19"/>
  <c r="AA2" i="19"/>
  <c r="AB2" i="19"/>
  <c r="AC2" i="19"/>
  <c r="AD2" i="19"/>
  <c r="AA3" i="19"/>
  <c r="AB3" i="19"/>
  <c r="AC3" i="19"/>
  <c r="AD3" i="19"/>
  <c r="Z3" i="19"/>
  <c r="Z2" i="19"/>
  <c r="U2" i="19"/>
  <c r="V2" i="19"/>
  <c r="W2" i="19"/>
  <c r="X2" i="19"/>
  <c r="U3" i="19"/>
  <c r="V3" i="19"/>
  <c r="W3" i="19"/>
  <c r="X3" i="19"/>
  <c r="T3" i="19"/>
  <c r="T2" i="19"/>
  <c r="O2" i="19"/>
  <c r="P2" i="19"/>
  <c r="Q2" i="19"/>
  <c r="R2" i="19"/>
  <c r="O3" i="19"/>
  <c r="P3" i="19"/>
  <c r="Q3" i="19"/>
  <c r="R3" i="19"/>
  <c r="N3" i="19"/>
  <c r="N2" i="19"/>
  <c r="I2" i="19"/>
  <c r="J2" i="19"/>
  <c r="K2" i="19"/>
  <c r="L2" i="19"/>
  <c r="I3" i="19"/>
  <c r="J3" i="19"/>
  <c r="K3" i="19"/>
  <c r="L3" i="19"/>
  <c r="H3" i="19"/>
  <c r="H2" i="19"/>
  <c r="AR7" i="19"/>
  <c r="L13" i="10" s="1"/>
  <c r="AR8" i="19"/>
  <c r="L14" i="10" s="1"/>
  <c r="AR9" i="19"/>
  <c r="AR10" i="19"/>
  <c r="AR11" i="19"/>
  <c r="AR12" i="19"/>
  <c r="L18" i="10" s="1"/>
  <c r="AR13" i="19"/>
  <c r="AR14" i="19"/>
  <c r="AR15" i="19"/>
  <c r="L21" i="10" s="1"/>
  <c r="AR16" i="19"/>
  <c r="L22" i="10" s="1"/>
  <c r="AR17" i="19"/>
  <c r="L23" i="10" s="1"/>
  <c r="AR18" i="19"/>
  <c r="L24" i="10" s="1"/>
  <c r="AR19" i="19"/>
  <c r="L25" i="10" s="1"/>
  <c r="AR20" i="19"/>
  <c r="L26" i="10" s="1"/>
  <c r="AR21" i="19"/>
  <c r="AR22" i="19"/>
  <c r="L28" i="10" s="1"/>
  <c r="AR23" i="19"/>
  <c r="L29" i="10" s="1"/>
  <c r="AR24" i="19"/>
  <c r="L30" i="10" s="1"/>
  <c r="AR25" i="19"/>
  <c r="AR26" i="19"/>
  <c r="AR27" i="19"/>
  <c r="AR28" i="19"/>
  <c r="AR29" i="19"/>
  <c r="AR30" i="19"/>
  <c r="AR31" i="19"/>
  <c r="L37" i="10" s="1"/>
  <c r="AR32" i="19"/>
  <c r="L38" i="10" s="1"/>
  <c r="AR33" i="19"/>
  <c r="L39" i="10" s="1"/>
  <c r="AR34" i="19"/>
  <c r="L40" i="10" s="1"/>
  <c r="AR35" i="19"/>
  <c r="L41" i="10" s="1"/>
  <c r="AR36" i="19"/>
  <c r="L42" i="10" s="1"/>
  <c r="AR37" i="19"/>
  <c r="AR38" i="19"/>
  <c r="L44" i="10" s="1"/>
  <c r="AR39" i="19"/>
  <c r="L45" i="10" s="1"/>
  <c r="AR40" i="19"/>
  <c r="AR41" i="19"/>
  <c r="AR42" i="19"/>
  <c r="L48" i="10" s="1"/>
  <c r="AR43" i="19"/>
  <c r="AR44" i="19"/>
  <c r="AR45" i="19"/>
  <c r="AR46" i="19"/>
  <c r="AR47" i="19"/>
  <c r="L53" i="10" s="1"/>
  <c r="AR48" i="19"/>
  <c r="L54" i="10" s="1"/>
  <c r="AR49" i="19"/>
  <c r="L55" i="10" s="1"/>
  <c r="AR50" i="19"/>
  <c r="L56" i="10" s="1"/>
  <c r="AR51" i="19"/>
  <c r="L57" i="10" s="1"/>
  <c r="AR52" i="19"/>
  <c r="L58" i="10" s="1"/>
  <c r="AR53" i="19"/>
  <c r="AR54" i="19"/>
  <c r="L60" i="10" s="1"/>
  <c r="AR55" i="19"/>
  <c r="AR56" i="19"/>
  <c r="L62" i="10" s="1"/>
  <c r="AR57" i="19"/>
  <c r="AR58" i="19"/>
  <c r="AR59" i="19"/>
  <c r="AR60" i="19"/>
  <c r="L66" i="10" s="1"/>
  <c r="AR61" i="19"/>
  <c r="L67" i="10" s="1"/>
  <c r="AR62" i="19"/>
  <c r="L68" i="10" s="1"/>
  <c r="AR63" i="19"/>
  <c r="L69" i="10" s="1"/>
  <c r="AR64" i="19"/>
  <c r="L70" i="10" s="1"/>
  <c r="AR65" i="19"/>
  <c r="L71" i="10" s="1"/>
  <c r="AR66" i="19"/>
  <c r="L72" i="10" s="1"/>
  <c r="AR67" i="19"/>
  <c r="L73" i="10" s="1"/>
  <c r="AR68" i="19"/>
  <c r="L74" i="10" s="1"/>
  <c r="AR69" i="19"/>
  <c r="AR70" i="19"/>
  <c r="L76" i="10" s="1"/>
  <c r="AR6" i="19"/>
  <c r="L20" i="10" l="1"/>
  <c r="L34" i="10"/>
  <c r="L36" i="10"/>
  <c r="L16" i="10"/>
  <c r="L65" i="10"/>
  <c r="L64" i="10"/>
  <c r="L32" i="10"/>
  <c r="L61" i="10"/>
  <c r="L50" i="10"/>
  <c r="L52" i="10"/>
  <c r="L51" i="10"/>
  <c r="L35" i="10"/>
  <c r="L19" i="10"/>
  <c r="L33" i="10"/>
  <c r="L17" i="10"/>
  <c r="L49" i="10"/>
  <c r="L63" i="10"/>
  <c r="L47" i="10"/>
  <c r="L31" i="10"/>
  <c r="L15" i="10"/>
  <c r="L75" i="10"/>
  <c r="L59" i="10"/>
  <c r="L43" i="10"/>
  <c r="L27" i="10"/>
  <c r="N5" i="19" l="1"/>
  <c r="H5" i="19"/>
  <c r="G4" i="19" l="1"/>
  <c r="AN5" i="21" l="1"/>
  <c r="AO5" i="21"/>
  <c r="AP5" i="21"/>
  <c r="AM5" i="21"/>
  <c r="AJ5" i="21"/>
  <c r="AI5" i="21"/>
  <c r="AH5" i="21"/>
  <c r="AG5" i="21"/>
  <c r="AF5" i="21"/>
  <c r="AD5" i="21"/>
  <c r="AC5" i="21"/>
  <c r="AB5" i="21"/>
  <c r="AA5" i="21"/>
  <c r="Z5" i="21"/>
  <c r="X5" i="21"/>
  <c r="W5" i="21"/>
  <c r="V5" i="21"/>
  <c r="U5" i="21"/>
  <c r="T5" i="21"/>
  <c r="R5" i="21"/>
  <c r="Q5" i="21"/>
  <c r="P5" i="21"/>
  <c r="O5" i="21"/>
  <c r="N5" i="21"/>
  <c r="I5" i="21"/>
  <c r="J5" i="21"/>
  <c r="K5" i="21"/>
  <c r="L5" i="21"/>
  <c r="H5" i="21"/>
  <c r="AN5" i="19"/>
  <c r="AO5" i="19"/>
  <c r="AP5" i="19"/>
  <c r="AM5" i="19"/>
  <c r="AJ5" i="19"/>
  <c r="AI5" i="19"/>
  <c r="AH5" i="19"/>
  <c r="AG5" i="19"/>
  <c r="AF5" i="19"/>
  <c r="AD5" i="19"/>
  <c r="AC5" i="19"/>
  <c r="AB5" i="19"/>
  <c r="AA5" i="19"/>
  <c r="Z5" i="19"/>
  <c r="X5" i="19"/>
  <c r="W5" i="19"/>
  <c r="V5" i="19"/>
  <c r="U5" i="19"/>
  <c r="T5" i="19"/>
  <c r="O5" i="19"/>
  <c r="P5" i="19"/>
  <c r="Q5" i="19"/>
  <c r="R5" i="19"/>
  <c r="I5" i="19"/>
  <c r="K5" i="19"/>
  <c r="L5" i="19"/>
  <c r="L140" i="10"/>
  <c r="L139" i="10"/>
  <c r="E140" i="10"/>
  <c r="E139" i="10"/>
  <c r="C140" i="10"/>
  <c r="C139" i="10"/>
  <c r="G4" i="21"/>
  <c r="G4" i="20" s="1"/>
  <c r="M4" i="21"/>
  <c r="M4" i="20" s="1"/>
  <c r="S4" i="21"/>
  <c r="S4" i="20" s="1"/>
  <c r="Y4" i="21"/>
  <c r="Y4" i="20" s="1"/>
  <c r="AE4" i="21"/>
  <c r="AE4" i="20" s="1"/>
  <c r="AK4" i="21"/>
  <c r="AK4" i="20" s="1"/>
  <c r="AQ4" i="21"/>
  <c r="AQ4" i="20" s="1"/>
  <c r="AQ4" i="19"/>
  <c r="AQ4" i="3" s="1"/>
  <c r="AK4" i="19"/>
  <c r="AK4" i="3" s="1"/>
  <c r="AE4" i="19"/>
  <c r="AE4" i="3" s="1"/>
  <c r="Y4" i="19"/>
  <c r="Y4" i="3" s="1"/>
  <c r="S4" i="19"/>
  <c r="S4" i="3" s="1"/>
  <c r="M4" i="19"/>
  <c r="M4" i="3" s="1"/>
  <c r="G4" i="3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9" i="21"/>
  <c r="B59" i="21"/>
  <c r="C58" i="21"/>
  <c r="B58" i="21"/>
  <c r="C57" i="21"/>
  <c r="B57" i="21"/>
  <c r="C56" i="21"/>
  <c r="B56" i="21"/>
  <c r="C55" i="21"/>
  <c r="B55" i="21"/>
  <c r="C54" i="21"/>
  <c r="B54" i="21"/>
  <c r="C53" i="21"/>
  <c r="B53" i="21"/>
  <c r="C52" i="21"/>
  <c r="B52" i="21"/>
  <c r="C51" i="21"/>
  <c r="B51" i="21"/>
  <c r="C50" i="21"/>
  <c r="B50" i="21"/>
  <c r="C49" i="21"/>
  <c r="B49" i="21"/>
  <c r="C48" i="21"/>
  <c r="B48" i="21"/>
  <c r="C47" i="21"/>
  <c r="B47" i="21"/>
  <c r="C46" i="21"/>
  <c r="B46" i="21"/>
  <c r="C45" i="21"/>
  <c r="B45" i="21"/>
  <c r="C44" i="21"/>
  <c r="B44" i="21"/>
  <c r="C43" i="21"/>
  <c r="B43" i="21"/>
  <c r="C42" i="21"/>
  <c r="B42" i="21"/>
  <c r="C41" i="21"/>
  <c r="B41" i="21"/>
  <c r="C40" i="21"/>
  <c r="B40" i="21"/>
  <c r="C39" i="21"/>
  <c r="B39" i="21"/>
  <c r="C38" i="21"/>
  <c r="B38" i="21"/>
  <c r="C37" i="21"/>
  <c r="B37" i="21"/>
  <c r="C36" i="21"/>
  <c r="B36" i="21"/>
  <c r="C35" i="21"/>
  <c r="B35" i="21"/>
  <c r="C34" i="2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C17" i="21"/>
  <c r="B17" i="21"/>
  <c r="C16" i="21"/>
  <c r="B16" i="21"/>
  <c r="C15" i="21"/>
  <c r="B15" i="21"/>
  <c r="C14" i="21"/>
  <c r="B14" i="21"/>
  <c r="C13" i="21"/>
  <c r="B13" i="21"/>
  <c r="C12" i="21"/>
  <c r="B12" i="21"/>
  <c r="C11" i="21"/>
  <c r="B11" i="21"/>
  <c r="C10" i="21"/>
  <c r="B10" i="21"/>
  <c r="C9" i="21"/>
  <c r="B9" i="21"/>
  <c r="C8" i="21"/>
  <c r="B8" i="21"/>
  <c r="C7" i="21"/>
  <c r="B7" i="21"/>
  <c r="C6" i="21"/>
  <c r="B6" i="21"/>
  <c r="AK2" i="21"/>
  <c r="I126" i="10" s="1"/>
  <c r="AE2" i="21"/>
  <c r="I125" i="10" s="1"/>
  <c r="Y2" i="21"/>
  <c r="I124" i="10" s="1"/>
  <c r="S2" i="21"/>
  <c r="I123" i="10" s="1"/>
  <c r="M2" i="21"/>
  <c r="I122" i="10" s="1"/>
  <c r="AQ1" i="21"/>
  <c r="I121" i="10" s="1"/>
  <c r="AM1" i="21"/>
  <c r="AL1" i="21"/>
  <c r="H1" i="21"/>
  <c r="G1" i="21"/>
  <c r="C70" i="20"/>
  <c r="B70" i="20"/>
  <c r="F70" i="20" s="1"/>
  <c r="C69" i="20"/>
  <c r="B69" i="20"/>
  <c r="F69" i="20" s="1"/>
  <c r="C68" i="20"/>
  <c r="B68" i="20"/>
  <c r="F68" i="20" s="1"/>
  <c r="C67" i="20"/>
  <c r="B67" i="20"/>
  <c r="F67" i="20" s="1"/>
  <c r="C66" i="20"/>
  <c r="B66" i="20"/>
  <c r="F66" i="20" s="1"/>
  <c r="C65" i="20"/>
  <c r="B65" i="20"/>
  <c r="F65" i="20" s="1"/>
  <c r="C64" i="20"/>
  <c r="B64" i="20"/>
  <c r="F64" i="20" s="1"/>
  <c r="C63" i="20"/>
  <c r="B63" i="20"/>
  <c r="F63" i="20" s="1"/>
  <c r="C62" i="20"/>
  <c r="B62" i="20"/>
  <c r="F62" i="20" s="1"/>
  <c r="C61" i="20"/>
  <c r="B61" i="20"/>
  <c r="F61" i="20" s="1"/>
  <c r="C60" i="20"/>
  <c r="B60" i="20"/>
  <c r="F60" i="20" s="1"/>
  <c r="C59" i="20"/>
  <c r="B59" i="20"/>
  <c r="F59" i="20" s="1"/>
  <c r="C58" i="20"/>
  <c r="B58" i="20"/>
  <c r="F58" i="20" s="1"/>
  <c r="C57" i="20"/>
  <c r="B57" i="20"/>
  <c r="F57" i="20" s="1"/>
  <c r="C56" i="20"/>
  <c r="B56" i="20"/>
  <c r="F56" i="20" s="1"/>
  <c r="C55" i="20"/>
  <c r="B55" i="20"/>
  <c r="F55" i="20" s="1"/>
  <c r="C54" i="20"/>
  <c r="B54" i="20"/>
  <c r="F54" i="20" s="1"/>
  <c r="C53" i="20"/>
  <c r="B53" i="20"/>
  <c r="F53" i="20" s="1"/>
  <c r="C52" i="20"/>
  <c r="B52" i="20"/>
  <c r="F52" i="20" s="1"/>
  <c r="C51" i="20"/>
  <c r="B51" i="20"/>
  <c r="F51" i="20" s="1"/>
  <c r="C50" i="20"/>
  <c r="B50" i="20"/>
  <c r="C49" i="20"/>
  <c r="B49" i="20"/>
  <c r="C48" i="20"/>
  <c r="B48" i="20"/>
  <c r="C47" i="20"/>
  <c r="B47" i="20"/>
  <c r="C46" i="20"/>
  <c r="B46" i="20"/>
  <c r="C45" i="20"/>
  <c r="B45" i="20"/>
  <c r="C44" i="20"/>
  <c r="B44" i="20"/>
  <c r="C43" i="20"/>
  <c r="B43" i="20"/>
  <c r="C42" i="20"/>
  <c r="B42" i="20"/>
  <c r="C41" i="20"/>
  <c r="B41" i="20"/>
  <c r="C40" i="20"/>
  <c r="B40" i="20"/>
  <c r="C39" i="20"/>
  <c r="B39" i="20"/>
  <c r="C38" i="20"/>
  <c r="B38" i="20"/>
  <c r="C37" i="20"/>
  <c r="B37" i="20"/>
  <c r="C36" i="20"/>
  <c r="B36" i="20"/>
  <c r="C35" i="20"/>
  <c r="B35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C10" i="20"/>
  <c r="B10" i="20"/>
  <c r="C9" i="20"/>
  <c r="B9" i="20"/>
  <c r="C8" i="20"/>
  <c r="B8" i="20"/>
  <c r="C7" i="20"/>
  <c r="B7" i="20"/>
  <c r="C6" i="20"/>
  <c r="B6" i="20"/>
  <c r="AK2" i="20"/>
  <c r="H126" i="10" s="1"/>
  <c r="AE2" i="20"/>
  <c r="H125" i="10" s="1"/>
  <c r="Y2" i="20"/>
  <c r="H124" i="10" s="1"/>
  <c r="S2" i="20"/>
  <c r="H123" i="10" s="1"/>
  <c r="M2" i="20"/>
  <c r="H122" i="10" s="1"/>
  <c r="AQ1" i="20"/>
  <c r="AL1" i="20"/>
  <c r="H1" i="20"/>
  <c r="G1" i="20"/>
  <c r="C70" i="19"/>
  <c r="B70" i="19"/>
  <c r="C69" i="19"/>
  <c r="B69" i="19"/>
  <c r="C68" i="19"/>
  <c r="B68" i="19"/>
  <c r="C67" i="19"/>
  <c r="B67" i="19"/>
  <c r="C66" i="19"/>
  <c r="B66" i="19"/>
  <c r="C65" i="19"/>
  <c r="B65" i="19"/>
  <c r="C64" i="19"/>
  <c r="B64" i="19"/>
  <c r="C63" i="19"/>
  <c r="B63" i="19"/>
  <c r="C62" i="19"/>
  <c r="B62" i="19"/>
  <c r="C61" i="19"/>
  <c r="B61" i="19"/>
  <c r="C60" i="19"/>
  <c r="B60" i="19"/>
  <c r="C59" i="19"/>
  <c r="B59" i="19"/>
  <c r="C58" i="19"/>
  <c r="B58" i="19"/>
  <c r="C57" i="19"/>
  <c r="B57" i="19"/>
  <c r="C56" i="19"/>
  <c r="B56" i="19"/>
  <c r="C55" i="19"/>
  <c r="B55" i="19"/>
  <c r="C54" i="19"/>
  <c r="B54" i="19"/>
  <c r="C53" i="19"/>
  <c r="B53" i="19"/>
  <c r="C52" i="19"/>
  <c r="B52" i="19"/>
  <c r="C51" i="19"/>
  <c r="B51" i="19"/>
  <c r="C50" i="19"/>
  <c r="B50" i="19"/>
  <c r="C49" i="19"/>
  <c r="B49" i="19"/>
  <c r="C48" i="19"/>
  <c r="B48" i="19"/>
  <c r="C47" i="19"/>
  <c r="B47" i="19"/>
  <c r="C46" i="19"/>
  <c r="B46" i="19"/>
  <c r="C45" i="19"/>
  <c r="B45" i="19"/>
  <c r="C44" i="19"/>
  <c r="B44" i="19"/>
  <c r="C43" i="19"/>
  <c r="B43" i="19"/>
  <c r="C42" i="19"/>
  <c r="B42" i="19"/>
  <c r="C41" i="19"/>
  <c r="B41" i="19"/>
  <c r="C40" i="19"/>
  <c r="B40" i="19"/>
  <c r="C39" i="19"/>
  <c r="B39" i="19"/>
  <c r="C38" i="19"/>
  <c r="B38" i="19"/>
  <c r="C37" i="19"/>
  <c r="B37" i="19"/>
  <c r="C36" i="19"/>
  <c r="B36" i="19"/>
  <c r="C35" i="19"/>
  <c r="B35" i="19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C25" i="19"/>
  <c r="B25" i="19"/>
  <c r="C24" i="19"/>
  <c r="B24" i="19"/>
  <c r="C23" i="19"/>
  <c r="B23" i="19"/>
  <c r="C22" i="19"/>
  <c r="B22" i="19"/>
  <c r="C21" i="19"/>
  <c r="B21" i="19"/>
  <c r="C20" i="19"/>
  <c r="B20" i="19"/>
  <c r="C19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1" i="19"/>
  <c r="B11" i="19"/>
  <c r="C10" i="19"/>
  <c r="B10" i="19"/>
  <c r="C9" i="19"/>
  <c r="B9" i="19"/>
  <c r="C8" i="19"/>
  <c r="B8" i="19"/>
  <c r="C7" i="19"/>
  <c r="B7" i="19"/>
  <c r="C6" i="19"/>
  <c r="B6" i="19"/>
  <c r="F5" i="19"/>
  <c r="AK2" i="19"/>
  <c r="E126" i="10" s="1"/>
  <c r="AE2" i="19"/>
  <c r="E125" i="10" s="1"/>
  <c r="Y2" i="19"/>
  <c r="E124" i="10" s="1"/>
  <c r="S2" i="19"/>
  <c r="E123" i="10" s="1"/>
  <c r="M2" i="19"/>
  <c r="E122" i="10" s="1"/>
  <c r="AQ1" i="19"/>
  <c r="E121" i="10" s="1"/>
  <c r="AM1" i="19"/>
  <c r="AL1" i="19"/>
  <c r="H1" i="19"/>
  <c r="G1" i="19"/>
  <c r="AK2" i="3"/>
  <c r="D126" i="10" s="1"/>
  <c r="AE2" i="3"/>
  <c r="Y2" i="3"/>
  <c r="S2" i="3"/>
  <c r="M2" i="3"/>
  <c r="AQ1" i="3"/>
  <c r="D121" i="10" s="1"/>
  <c r="H1" i="3"/>
  <c r="AL1" i="3"/>
  <c r="G1" i="3"/>
  <c r="B40" i="1"/>
  <c r="AU54" i="21" l="1"/>
  <c r="AL54" i="21"/>
  <c r="AL62" i="21"/>
  <c r="AU62" i="21"/>
  <c r="AU54" i="20"/>
  <c r="AU62" i="20"/>
  <c r="AU66" i="19"/>
  <c r="AL66" i="19"/>
  <c r="E66" i="19"/>
  <c r="AU58" i="3"/>
  <c r="AU66" i="3"/>
  <c r="AU55" i="21"/>
  <c r="AU55" i="20" s="1"/>
  <c r="AL55" i="21"/>
  <c r="AL63" i="21"/>
  <c r="AU63" i="21"/>
  <c r="AU51" i="19"/>
  <c r="AL51" i="19"/>
  <c r="E51" i="19"/>
  <c r="AL59" i="19"/>
  <c r="E59" i="19"/>
  <c r="AU59" i="19"/>
  <c r="AU67" i="19"/>
  <c r="AU67" i="3" s="1"/>
  <c r="AL67" i="19"/>
  <c r="E67" i="19"/>
  <c r="AU63" i="20"/>
  <c r="AU56" i="21"/>
  <c r="AU56" i="20" s="1"/>
  <c r="AL56" i="21"/>
  <c r="AL64" i="21"/>
  <c r="AU64" i="21"/>
  <c r="AU64" i="20"/>
  <c r="AU65" i="19"/>
  <c r="AL65" i="19"/>
  <c r="E65" i="19"/>
  <c r="AU51" i="3"/>
  <c r="AU52" i="19"/>
  <c r="AL52" i="19"/>
  <c r="E52" i="19"/>
  <c r="AL60" i="19"/>
  <c r="E60" i="19"/>
  <c r="AU60" i="19"/>
  <c r="AU52" i="3"/>
  <c r="AU60" i="3"/>
  <c r="AU68" i="3"/>
  <c r="AU57" i="21"/>
  <c r="AL57" i="21"/>
  <c r="AL65" i="21"/>
  <c r="AU65" i="21"/>
  <c r="AL58" i="19"/>
  <c r="E58" i="19"/>
  <c r="AU58" i="19"/>
  <c r="AU68" i="19"/>
  <c r="AL68" i="19"/>
  <c r="E68" i="19"/>
  <c r="AU53" i="19"/>
  <c r="AU53" i="3" s="1"/>
  <c r="AL53" i="19"/>
  <c r="E53" i="19"/>
  <c r="AL61" i="19"/>
  <c r="E61" i="19"/>
  <c r="AU61" i="19"/>
  <c r="AU61" i="3" s="1"/>
  <c r="AU69" i="19"/>
  <c r="AL69" i="19"/>
  <c r="E69" i="19"/>
  <c r="AU57" i="20"/>
  <c r="AU65" i="20"/>
  <c r="AU69" i="3"/>
  <c r="AU58" i="21"/>
  <c r="AU58" i="20" s="1"/>
  <c r="AL58" i="21"/>
  <c r="AL66" i="21"/>
  <c r="AU66" i="21"/>
  <c r="AU66" i="20" s="1"/>
  <c r="AU54" i="19"/>
  <c r="AU54" i="3" s="1"/>
  <c r="E54" i="19"/>
  <c r="AL54" i="19"/>
  <c r="AL62" i="19"/>
  <c r="E62" i="19"/>
  <c r="AU62" i="19"/>
  <c r="AU65" i="3"/>
  <c r="AU62" i="3"/>
  <c r="AU51" i="21"/>
  <c r="AU51" i="20" s="1"/>
  <c r="AL51" i="21"/>
  <c r="AU59" i="21"/>
  <c r="AU59" i="20" s="1"/>
  <c r="AL59" i="21"/>
  <c r="AU67" i="21"/>
  <c r="AU67" i="20" s="1"/>
  <c r="AL67" i="21"/>
  <c r="E55" i="19"/>
  <c r="AU55" i="19"/>
  <c r="AU55" i="3" s="1"/>
  <c r="AL55" i="19"/>
  <c r="AL63" i="19"/>
  <c r="E63" i="19"/>
  <c r="AU63" i="19"/>
  <c r="AU63" i="3"/>
  <c r="AU52" i="21"/>
  <c r="AU52" i="20" s="1"/>
  <c r="AL52" i="21"/>
  <c r="AU60" i="21"/>
  <c r="AU60" i="20" s="1"/>
  <c r="AL60" i="21"/>
  <c r="AU68" i="21"/>
  <c r="AU68" i="20" s="1"/>
  <c r="AL68" i="21"/>
  <c r="E56" i="19"/>
  <c r="AU56" i="19"/>
  <c r="AL56" i="19"/>
  <c r="AU64" i="19"/>
  <c r="AL64" i="19"/>
  <c r="E64" i="19"/>
  <c r="E57" i="19"/>
  <c r="AU57" i="19"/>
  <c r="AL57" i="19"/>
  <c r="AU57" i="3"/>
  <c r="AU59" i="3"/>
  <c r="AU56" i="3"/>
  <c r="AU64" i="3"/>
  <c r="AU53" i="21"/>
  <c r="AU53" i="20" s="1"/>
  <c r="AL53" i="21"/>
  <c r="AL61" i="21"/>
  <c r="AU61" i="21"/>
  <c r="AU61" i="20" s="1"/>
  <c r="AU69" i="21"/>
  <c r="AU69" i="20" s="1"/>
  <c r="AL69" i="21"/>
  <c r="AU70" i="19"/>
  <c r="AU70" i="3" s="1"/>
  <c r="E70" i="19"/>
  <c r="AL70" i="19"/>
  <c r="AU70" i="21"/>
  <c r="AU70" i="20" s="1"/>
  <c r="AL70" i="21"/>
  <c r="E50" i="19"/>
  <c r="E48" i="19"/>
  <c r="AN6" i="19"/>
  <c r="AO6" i="19"/>
  <c r="AP6" i="19"/>
  <c r="AM6" i="19"/>
  <c r="AG6" i="19"/>
  <c r="AH6" i="19"/>
  <c r="AI6" i="19"/>
  <c r="AJ6" i="19"/>
  <c r="AF6" i="19"/>
  <c r="AA6" i="19"/>
  <c r="H6" i="19"/>
  <c r="AB6" i="19"/>
  <c r="U6" i="19"/>
  <c r="AC6" i="19"/>
  <c r="V6" i="19"/>
  <c r="AD6" i="19"/>
  <c r="W6" i="19"/>
  <c r="Z6" i="19"/>
  <c r="X6" i="19"/>
  <c r="T6" i="19"/>
  <c r="O6" i="19"/>
  <c r="P6" i="19"/>
  <c r="Q6" i="19"/>
  <c r="I6" i="19"/>
  <c r="J6" i="19"/>
  <c r="K6" i="19"/>
  <c r="L6" i="19"/>
  <c r="R6" i="19"/>
  <c r="N6" i="19"/>
  <c r="AM11" i="21"/>
  <c r="AG11" i="21"/>
  <c r="AH11" i="21"/>
  <c r="AI11" i="21"/>
  <c r="AJ11" i="21"/>
  <c r="Z11" i="21"/>
  <c r="AA11" i="21"/>
  <c r="AB11" i="21"/>
  <c r="AC11" i="21"/>
  <c r="AD11" i="21"/>
  <c r="AO11" i="21"/>
  <c r="V11" i="21"/>
  <c r="AF11" i="21"/>
  <c r="W11" i="21"/>
  <c r="N11" i="21"/>
  <c r="X11" i="21"/>
  <c r="O11" i="21"/>
  <c r="P11" i="21"/>
  <c r="Q11" i="21"/>
  <c r="R11" i="21"/>
  <c r="H11" i="21"/>
  <c r="I11" i="21"/>
  <c r="AP11" i="21"/>
  <c r="AN11" i="21"/>
  <c r="T11" i="21"/>
  <c r="J11" i="21"/>
  <c r="U11" i="21"/>
  <c r="L11" i="21"/>
  <c r="K11" i="21"/>
  <c r="AD19" i="21"/>
  <c r="AM19" i="21"/>
  <c r="AF19" i="21"/>
  <c r="AN19" i="21"/>
  <c r="AG19" i="21"/>
  <c r="AO19" i="21"/>
  <c r="AH19" i="21"/>
  <c r="AP19" i="21"/>
  <c r="J19" i="21"/>
  <c r="K19" i="21"/>
  <c r="L19" i="21"/>
  <c r="T19" i="21"/>
  <c r="U19" i="21"/>
  <c r="V19" i="21"/>
  <c r="W19" i="21"/>
  <c r="X19" i="21"/>
  <c r="Z19" i="21"/>
  <c r="N19" i="21"/>
  <c r="AA19" i="21"/>
  <c r="AJ19" i="21"/>
  <c r="R19" i="21"/>
  <c r="P19" i="21"/>
  <c r="AI19" i="21"/>
  <c r="H19" i="21"/>
  <c r="I19" i="21"/>
  <c r="O19" i="21"/>
  <c r="AB19" i="21"/>
  <c r="AC19" i="21"/>
  <c r="Q19" i="21"/>
  <c r="AG27" i="21"/>
  <c r="AH27" i="21"/>
  <c r="AI27" i="21"/>
  <c r="AJ27" i="21"/>
  <c r="Z27" i="21"/>
  <c r="AB27" i="21"/>
  <c r="AM27" i="21"/>
  <c r="AC27" i="21"/>
  <c r="AN27" i="21"/>
  <c r="AO27" i="21"/>
  <c r="AP27" i="21"/>
  <c r="X27" i="21"/>
  <c r="N27" i="21"/>
  <c r="O27" i="21"/>
  <c r="P27" i="21"/>
  <c r="Q27" i="21"/>
  <c r="R27" i="21"/>
  <c r="I27" i="21"/>
  <c r="AF27" i="21"/>
  <c r="U27" i="21"/>
  <c r="AD27" i="21"/>
  <c r="W27" i="21"/>
  <c r="H27" i="21"/>
  <c r="L27" i="21"/>
  <c r="K27" i="21"/>
  <c r="J27" i="21"/>
  <c r="T27" i="21"/>
  <c r="AA27" i="21"/>
  <c r="V27" i="21"/>
  <c r="AD35" i="21"/>
  <c r="AM35" i="21"/>
  <c r="AF35" i="21"/>
  <c r="AN35" i="21"/>
  <c r="AG35" i="21"/>
  <c r="AO35" i="21"/>
  <c r="AH35" i="21"/>
  <c r="AP35" i="21"/>
  <c r="J35" i="21"/>
  <c r="K35" i="21"/>
  <c r="M35" i="21" s="1"/>
  <c r="M35" i="20" s="1"/>
  <c r="L35" i="21"/>
  <c r="T35" i="21"/>
  <c r="AI35" i="21"/>
  <c r="U35" i="21"/>
  <c r="AJ35" i="21"/>
  <c r="Z35" i="21"/>
  <c r="V35" i="21"/>
  <c r="AA35" i="21"/>
  <c r="W35" i="21"/>
  <c r="AB35" i="21"/>
  <c r="X35" i="21"/>
  <c r="AC35" i="21"/>
  <c r="N35" i="21"/>
  <c r="R35" i="21"/>
  <c r="O35" i="21"/>
  <c r="P35" i="21"/>
  <c r="H35" i="21"/>
  <c r="Q35" i="21"/>
  <c r="I35" i="21"/>
  <c r="AG43" i="21"/>
  <c r="AH43" i="21"/>
  <c r="AI43" i="21"/>
  <c r="AJ43" i="21"/>
  <c r="AM43" i="21"/>
  <c r="AC43" i="21"/>
  <c r="AN43" i="21"/>
  <c r="AO43" i="21"/>
  <c r="AP43" i="21"/>
  <c r="AB43" i="21"/>
  <c r="X43" i="21"/>
  <c r="AD43" i="21"/>
  <c r="N43" i="21"/>
  <c r="O43" i="21"/>
  <c r="AF43" i="21"/>
  <c r="P43" i="21"/>
  <c r="Q43" i="21"/>
  <c r="R43" i="21"/>
  <c r="I43" i="21"/>
  <c r="U43" i="21"/>
  <c r="H43" i="21"/>
  <c r="T43" i="21"/>
  <c r="J43" i="21"/>
  <c r="M43" i="21" s="1"/>
  <c r="Z43" i="21"/>
  <c r="AE43" i="21" s="1"/>
  <c r="AE43" i="20" s="1"/>
  <c r="V43" i="21"/>
  <c r="Y43" i="21" s="1"/>
  <c r="Y43" i="20" s="1"/>
  <c r="K43" i="21"/>
  <c r="W43" i="21"/>
  <c r="L43" i="21"/>
  <c r="AA43" i="21"/>
  <c r="S43" i="21"/>
  <c r="S43" i="20" s="1"/>
  <c r="AK43" i="21"/>
  <c r="AK43" i="20" s="1"/>
  <c r="AT51" i="21"/>
  <c r="AS51" i="21"/>
  <c r="AD51" i="21"/>
  <c r="F51" i="21"/>
  <c r="G51" i="21" s="1"/>
  <c r="AM51" i="21"/>
  <c r="AF51" i="21"/>
  <c r="AN51" i="21"/>
  <c r="AG51" i="21"/>
  <c r="AO51" i="21"/>
  <c r="AH51" i="21"/>
  <c r="AP51" i="21"/>
  <c r="J51" i="21"/>
  <c r="K51" i="21"/>
  <c r="T51" i="21"/>
  <c r="U51" i="21"/>
  <c r="V51" i="21"/>
  <c r="W51" i="21"/>
  <c r="X51" i="21"/>
  <c r="N51" i="21"/>
  <c r="AB51" i="21"/>
  <c r="O51" i="21"/>
  <c r="AI51" i="21"/>
  <c r="Z51" i="21"/>
  <c r="P51" i="21"/>
  <c r="H51" i="21"/>
  <c r="AA51" i="21"/>
  <c r="Q51" i="21"/>
  <c r="I51" i="21"/>
  <c r="AC51" i="21"/>
  <c r="R51" i="21"/>
  <c r="L51" i="21"/>
  <c r="AJ51" i="21"/>
  <c r="AK51" i="21"/>
  <c r="AK51" i="20" s="1"/>
  <c r="M51" i="21"/>
  <c r="M51" i="20" s="1"/>
  <c r="AE51" i="21"/>
  <c r="AE51" i="20" s="1"/>
  <c r="Y51" i="21"/>
  <c r="Y51" i="20" s="1"/>
  <c r="AQ51" i="21"/>
  <c r="S51" i="21"/>
  <c r="S51" i="20" s="1"/>
  <c r="AT59" i="21"/>
  <c r="AS59" i="21"/>
  <c r="F59" i="21"/>
  <c r="G59" i="21" s="1"/>
  <c r="AG59" i="21"/>
  <c r="AH59" i="21"/>
  <c r="AI59" i="21"/>
  <c r="AJ59" i="21"/>
  <c r="AM59" i="21"/>
  <c r="AC59" i="21"/>
  <c r="AN59" i="21"/>
  <c r="AO59" i="21"/>
  <c r="AP59" i="21"/>
  <c r="X59" i="21"/>
  <c r="N59" i="21"/>
  <c r="O59" i="21"/>
  <c r="P59" i="21"/>
  <c r="Q59" i="21"/>
  <c r="R59" i="21"/>
  <c r="I59" i="21"/>
  <c r="Z59" i="21"/>
  <c r="AA59" i="21"/>
  <c r="AB59" i="21"/>
  <c r="U59" i="21"/>
  <c r="H59" i="21"/>
  <c r="K59" i="21"/>
  <c r="J59" i="21"/>
  <c r="L59" i="21"/>
  <c r="T59" i="21"/>
  <c r="V59" i="21"/>
  <c r="AD59" i="21"/>
  <c r="W59" i="21"/>
  <c r="AF59" i="21"/>
  <c r="Y59" i="21"/>
  <c r="Y59" i="20" s="1"/>
  <c r="AQ59" i="21"/>
  <c r="S59" i="21"/>
  <c r="S59" i="20" s="1"/>
  <c r="AK59" i="21"/>
  <c r="AK59" i="20" s="1"/>
  <c r="M59" i="21"/>
  <c r="M59" i="20" s="1"/>
  <c r="AE59" i="21"/>
  <c r="AE59" i="20" s="1"/>
  <c r="AT67" i="21"/>
  <c r="AD67" i="21"/>
  <c r="AS67" i="21"/>
  <c r="AM67" i="21"/>
  <c r="AF67" i="21"/>
  <c r="AN67" i="21"/>
  <c r="AG67" i="21"/>
  <c r="AO67" i="21"/>
  <c r="AH67" i="21"/>
  <c r="AP67" i="21"/>
  <c r="F67" i="21"/>
  <c r="G67" i="21" s="1"/>
  <c r="T67" i="21"/>
  <c r="U67" i="21"/>
  <c r="V67" i="21"/>
  <c r="AI67" i="21"/>
  <c r="W67" i="21"/>
  <c r="AJ67" i="21"/>
  <c r="Z67" i="21"/>
  <c r="X67" i="21"/>
  <c r="AA67" i="21"/>
  <c r="AB67" i="21"/>
  <c r="AC67" i="21"/>
  <c r="H67" i="21"/>
  <c r="N67" i="21"/>
  <c r="O67" i="21"/>
  <c r="P67" i="21"/>
  <c r="Q67" i="21"/>
  <c r="R67" i="21"/>
  <c r="K67" i="21"/>
  <c r="J67" i="21"/>
  <c r="I67" i="21"/>
  <c r="L67" i="21"/>
  <c r="AK67" i="21"/>
  <c r="AK67" i="20" s="1"/>
  <c r="M67" i="21"/>
  <c r="M67" i="20" s="1"/>
  <c r="AE67" i="21"/>
  <c r="AE67" i="20" s="1"/>
  <c r="Y67" i="21"/>
  <c r="Y67" i="20" s="1"/>
  <c r="AQ67" i="21"/>
  <c r="S67" i="21"/>
  <c r="S67" i="20" s="1"/>
  <c r="AG22" i="19"/>
  <c r="AH22" i="19"/>
  <c r="AI22" i="19"/>
  <c r="AJ22" i="19"/>
  <c r="Z22" i="19"/>
  <c r="AA22" i="19"/>
  <c r="AB22" i="19"/>
  <c r="AC22" i="19"/>
  <c r="AD22" i="19"/>
  <c r="AM22" i="19"/>
  <c r="AN22" i="19"/>
  <c r="AF22" i="19"/>
  <c r="W22" i="19"/>
  <c r="X22" i="19"/>
  <c r="N22" i="19"/>
  <c r="O22" i="19"/>
  <c r="P22" i="19"/>
  <c r="Q22" i="19"/>
  <c r="R22" i="19"/>
  <c r="H22" i="19"/>
  <c r="I22" i="19"/>
  <c r="AO22" i="19"/>
  <c r="T22" i="19"/>
  <c r="J22" i="19"/>
  <c r="K22" i="19"/>
  <c r="L22" i="19"/>
  <c r="U22" i="19"/>
  <c r="V22" i="19"/>
  <c r="AP22" i="19"/>
  <c r="AM7" i="19"/>
  <c r="AN7" i="19"/>
  <c r="W7" i="19"/>
  <c r="AO7" i="19"/>
  <c r="AP7" i="19"/>
  <c r="AF7" i="19"/>
  <c r="AG7" i="19"/>
  <c r="AH7" i="19"/>
  <c r="AI7" i="19"/>
  <c r="AJ7" i="19"/>
  <c r="Z7" i="19"/>
  <c r="AA7" i="19"/>
  <c r="AB7" i="19"/>
  <c r="AC7" i="19"/>
  <c r="AD7" i="19"/>
  <c r="L7" i="19"/>
  <c r="T7" i="19"/>
  <c r="U7" i="19"/>
  <c r="N7" i="19"/>
  <c r="V7" i="19"/>
  <c r="O7" i="19"/>
  <c r="X7" i="19"/>
  <c r="P7" i="19"/>
  <c r="Q7" i="19"/>
  <c r="I7" i="19"/>
  <c r="R7" i="19"/>
  <c r="H7" i="19"/>
  <c r="J7" i="19"/>
  <c r="K7" i="19"/>
  <c r="AM15" i="19"/>
  <c r="AJ15" i="19"/>
  <c r="AN15" i="19"/>
  <c r="Z15" i="19"/>
  <c r="AO15" i="19"/>
  <c r="AA15" i="19"/>
  <c r="AP15" i="19"/>
  <c r="AB15" i="19"/>
  <c r="AC15" i="19"/>
  <c r="AD15" i="19"/>
  <c r="AF15" i="19"/>
  <c r="AG15" i="19"/>
  <c r="O15" i="19"/>
  <c r="P15" i="19"/>
  <c r="Q15" i="19"/>
  <c r="R15" i="19"/>
  <c r="H15" i="19"/>
  <c r="I15" i="19"/>
  <c r="J15" i="19"/>
  <c r="K15" i="19"/>
  <c r="L15" i="19"/>
  <c r="T15" i="19"/>
  <c r="W15" i="19"/>
  <c r="N15" i="19"/>
  <c r="AH15" i="19"/>
  <c r="AI15" i="19"/>
  <c r="U15" i="19"/>
  <c r="X15" i="19"/>
  <c r="V15" i="19"/>
  <c r="AM23" i="19"/>
  <c r="AN23" i="19"/>
  <c r="AO23" i="19"/>
  <c r="AP23" i="19"/>
  <c r="AF23" i="19"/>
  <c r="AG23" i="19"/>
  <c r="AH23" i="19"/>
  <c r="AI23" i="19"/>
  <c r="AJ23" i="19"/>
  <c r="Z23" i="19"/>
  <c r="AA23" i="19"/>
  <c r="AB23" i="19"/>
  <c r="AC23" i="19"/>
  <c r="AD23" i="19"/>
  <c r="L23" i="19"/>
  <c r="T23" i="19"/>
  <c r="U23" i="19"/>
  <c r="V23" i="19"/>
  <c r="W23" i="19"/>
  <c r="X23" i="19"/>
  <c r="N23" i="19"/>
  <c r="O23" i="19"/>
  <c r="P23" i="19"/>
  <c r="Q23" i="19"/>
  <c r="I23" i="19"/>
  <c r="H23" i="19"/>
  <c r="J23" i="19"/>
  <c r="K23" i="19"/>
  <c r="R23" i="19"/>
  <c r="AM31" i="19"/>
  <c r="AJ31" i="19"/>
  <c r="AN31" i="19"/>
  <c r="Z31" i="19"/>
  <c r="AO31" i="19"/>
  <c r="AA31" i="19"/>
  <c r="AP31" i="19"/>
  <c r="AB31" i="19"/>
  <c r="AC31" i="19"/>
  <c r="AD31" i="19"/>
  <c r="AF31" i="19"/>
  <c r="AG31" i="19"/>
  <c r="O31" i="19"/>
  <c r="P31" i="19"/>
  <c r="Q31" i="19"/>
  <c r="R31" i="19"/>
  <c r="H31" i="19"/>
  <c r="AH31" i="19"/>
  <c r="I31" i="19"/>
  <c r="AI31" i="19"/>
  <c r="J31" i="19"/>
  <c r="K31" i="19"/>
  <c r="L31" i="19"/>
  <c r="T31" i="19"/>
  <c r="W31" i="19"/>
  <c r="U31" i="19"/>
  <c r="V31" i="19"/>
  <c r="X31" i="19"/>
  <c r="N31" i="19"/>
  <c r="AM39" i="19"/>
  <c r="AN39" i="19"/>
  <c r="AO39" i="19"/>
  <c r="AP39" i="19"/>
  <c r="AF39" i="19"/>
  <c r="AG39" i="19"/>
  <c r="AH39" i="19"/>
  <c r="AI39" i="19"/>
  <c r="AJ39" i="19"/>
  <c r="Z39" i="19"/>
  <c r="AA39" i="19"/>
  <c r="AB39" i="19"/>
  <c r="L39" i="19"/>
  <c r="T39" i="19"/>
  <c r="Y39" i="19" s="1"/>
  <c r="Y39" i="3" s="1"/>
  <c r="U39" i="19"/>
  <c r="V39" i="19"/>
  <c r="W39" i="19"/>
  <c r="X39" i="19"/>
  <c r="N39" i="19"/>
  <c r="O39" i="19"/>
  <c r="P39" i="19"/>
  <c r="Q39" i="19"/>
  <c r="I39" i="19"/>
  <c r="AC39" i="19"/>
  <c r="AD39" i="19"/>
  <c r="H39" i="19"/>
  <c r="J39" i="19"/>
  <c r="K39" i="19"/>
  <c r="R39" i="19"/>
  <c r="D39" i="19"/>
  <c r="E39" i="19" s="1"/>
  <c r="AM47" i="19"/>
  <c r="AJ47" i="19"/>
  <c r="AN47" i="19"/>
  <c r="AQ47" i="19" s="1"/>
  <c r="Z47" i="19"/>
  <c r="AO47" i="19"/>
  <c r="AA47" i="19"/>
  <c r="AP47" i="19"/>
  <c r="AB47" i="19"/>
  <c r="AC47" i="19"/>
  <c r="AD47" i="19"/>
  <c r="AF47" i="19"/>
  <c r="AG47" i="19"/>
  <c r="AI47" i="19"/>
  <c r="O47" i="19"/>
  <c r="P47" i="19"/>
  <c r="Q47" i="19"/>
  <c r="R47" i="19"/>
  <c r="H47" i="19"/>
  <c r="I47" i="19"/>
  <c r="J47" i="19"/>
  <c r="K47" i="19"/>
  <c r="L47" i="19"/>
  <c r="T47" i="19"/>
  <c r="Y47" i="19" s="1"/>
  <c r="Y47" i="3" s="1"/>
  <c r="W47" i="19"/>
  <c r="U47" i="19"/>
  <c r="V47" i="19"/>
  <c r="X47" i="19"/>
  <c r="N47" i="19"/>
  <c r="S47" i="19" s="1"/>
  <c r="S47" i="3" s="1"/>
  <c r="AH47" i="19"/>
  <c r="D47" i="19"/>
  <c r="E47" i="19" s="1"/>
  <c r="AK47" i="19"/>
  <c r="AK47" i="3" s="1"/>
  <c r="AM55" i="19"/>
  <c r="AN55" i="19"/>
  <c r="AO55" i="19"/>
  <c r="AT55" i="19"/>
  <c r="AP55" i="19"/>
  <c r="AF55" i="19"/>
  <c r="AG55" i="19"/>
  <c r="AH55" i="19"/>
  <c r="AI55" i="19"/>
  <c r="AJ55" i="19"/>
  <c r="AS55" i="19"/>
  <c r="Z55" i="19"/>
  <c r="AA55" i="19"/>
  <c r="AB55" i="19"/>
  <c r="AD55" i="19"/>
  <c r="L55" i="19"/>
  <c r="F55" i="19"/>
  <c r="T55" i="19"/>
  <c r="U55" i="19"/>
  <c r="V55" i="19"/>
  <c r="W55" i="19"/>
  <c r="X55" i="19"/>
  <c r="N55" i="19"/>
  <c r="O55" i="19"/>
  <c r="P55" i="19"/>
  <c r="Q55" i="19"/>
  <c r="I55" i="19"/>
  <c r="R55" i="19"/>
  <c r="H55" i="19"/>
  <c r="AC55" i="19"/>
  <c r="J55" i="19"/>
  <c r="K55" i="19"/>
  <c r="D55" i="19"/>
  <c r="S55" i="19"/>
  <c r="S55" i="3" s="1"/>
  <c r="M55" i="19"/>
  <c r="M55" i="3" s="1"/>
  <c r="AE55" i="19"/>
  <c r="AE55" i="3" s="1"/>
  <c r="AQ55" i="19"/>
  <c r="Y55" i="19"/>
  <c r="Y55" i="3" s="1"/>
  <c r="G55" i="19"/>
  <c r="AK55" i="19"/>
  <c r="AK55" i="3" s="1"/>
  <c r="AM63" i="19"/>
  <c r="AJ63" i="19"/>
  <c r="AS63" i="19"/>
  <c r="AN63" i="19"/>
  <c r="Z63" i="19"/>
  <c r="AO63" i="19"/>
  <c r="AP63" i="19"/>
  <c r="AC63" i="19"/>
  <c r="AD63" i="19"/>
  <c r="AT63" i="19"/>
  <c r="AF63" i="19"/>
  <c r="AG63" i="19"/>
  <c r="O63" i="19"/>
  <c r="P63" i="19"/>
  <c r="Q63" i="19"/>
  <c r="R63" i="19"/>
  <c r="H63" i="19"/>
  <c r="I63" i="19"/>
  <c r="J63" i="19"/>
  <c r="K63" i="19"/>
  <c r="L63" i="19"/>
  <c r="AH63" i="19"/>
  <c r="AI63" i="19"/>
  <c r="T63" i="19"/>
  <c r="AA63" i="19"/>
  <c r="W63" i="19"/>
  <c r="U63" i="19"/>
  <c r="V63" i="19"/>
  <c r="N63" i="19"/>
  <c r="X63" i="19"/>
  <c r="AB63" i="19"/>
  <c r="F63" i="19"/>
  <c r="D63" i="19"/>
  <c r="AK63" i="19"/>
  <c r="AK63" i="3" s="1"/>
  <c r="AE63" i="19"/>
  <c r="AE63" i="3" s="1"/>
  <c r="M63" i="19"/>
  <c r="M63" i="3" s="1"/>
  <c r="Y63" i="19"/>
  <c r="Y63" i="3" s="1"/>
  <c r="G63" i="19"/>
  <c r="S63" i="19"/>
  <c r="S63" i="3" s="1"/>
  <c r="AQ63" i="19"/>
  <c r="AF45" i="19"/>
  <c r="AK45" i="19" s="1"/>
  <c r="AK45" i="3" s="1"/>
  <c r="AG45" i="19"/>
  <c r="AH45" i="19"/>
  <c r="AI45" i="19"/>
  <c r="AJ45" i="19"/>
  <c r="Z45" i="19"/>
  <c r="AM45" i="19"/>
  <c r="AQ45" i="19" s="1"/>
  <c r="AA45" i="19"/>
  <c r="AN45" i="19"/>
  <c r="AB45" i="19"/>
  <c r="AO45" i="19"/>
  <c r="AC45" i="19"/>
  <c r="AP45" i="19"/>
  <c r="AD45" i="19"/>
  <c r="T45" i="19"/>
  <c r="U45" i="19"/>
  <c r="V45" i="19"/>
  <c r="W45" i="19"/>
  <c r="X45" i="19"/>
  <c r="N45" i="19"/>
  <c r="O45" i="19"/>
  <c r="P45" i="19"/>
  <c r="S45" i="19" s="1"/>
  <c r="S45" i="3" s="1"/>
  <c r="Q45" i="19"/>
  <c r="R45" i="19"/>
  <c r="K45" i="19"/>
  <c r="H45" i="19"/>
  <c r="I45" i="19"/>
  <c r="J45" i="19"/>
  <c r="L45" i="19"/>
  <c r="D45" i="19"/>
  <c r="Y45" i="19"/>
  <c r="Y45" i="3" s="1"/>
  <c r="AF44" i="21"/>
  <c r="AG44" i="21"/>
  <c r="AH44" i="21"/>
  <c r="AI44" i="21"/>
  <c r="AJ44" i="21"/>
  <c r="AO44" i="21"/>
  <c r="T44" i="21"/>
  <c r="Y44" i="21" s="1"/>
  <c r="Y44" i="20" s="1"/>
  <c r="Z44" i="21"/>
  <c r="AE44" i="21" s="1"/>
  <c r="AE44" i="20" s="1"/>
  <c r="U44" i="21"/>
  <c r="AA44" i="21"/>
  <c r="V44" i="21"/>
  <c r="AB44" i="21"/>
  <c r="W44" i="21"/>
  <c r="AC44" i="21"/>
  <c r="X44" i="21"/>
  <c r="AD44" i="21"/>
  <c r="N44" i="21"/>
  <c r="O44" i="21"/>
  <c r="P44" i="21"/>
  <c r="Q44" i="21"/>
  <c r="AM44" i="21"/>
  <c r="R44" i="21"/>
  <c r="H44" i="21"/>
  <c r="AN44" i="21"/>
  <c r="AQ44" i="21" s="1"/>
  <c r="AP44" i="21"/>
  <c r="I44" i="21"/>
  <c r="J44" i="21"/>
  <c r="K44" i="21"/>
  <c r="L44" i="21"/>
  <c r="AK44" i="21"/>
  <c r="AK44" i="20" s="1"/>
  <c r="AB8" i="19"/>
  <c r="AC8" i="19"/>
  <c r="AD8" i="19"/>
  <c r="AM8" i="19"/>
  <c r="AN8" i="19"/>
  <c r="V8" i="19"/>
  <c r="AO8" i="19"/>
  <c r="AP8" i="19"/>
  <c r="X8" i="19"/>
  <c r="AF8" i="19"/>
  <c r="AG8" i="19"/>
  <c r="AH8" i="19"/>
  <c r="AI8" i="19"/>
  <c r="AJ8" i="19"/>
  <c r="AA8" i="19"/>
  <c r="R8" i="19"/>
  <c r="H8" i="19"/>
  <c r="I8" i="19"/>
  <c r="J8" i="19"/>
  <c r="K8" i="19"/>
  <c r="L8" i="19"/>
  <c r="T8" i="19"/>
  <c r="O8" i="19"/>
  <c r="Z8" i="19"/>
  <c r="U8" i="19"/>
  <c r="W8" i="19"/>
  <c r="N8" i="19"/>
  <c r="P8" i="19"/>
  <c r="Q8" i="19"/>
  <c r="AF16" i="19"/>
  <c r="AG16" i="19"/>
  <c r="AH16" i="19"/>
  <c r="AM16" i="19"/>
  <c r="AI16" i="19"/>
  <c r="AN16" i="19"/>
  <c r="AJ16" i="19"/>
  <c r="AO16" i="19"/>
  <c r="Z16" i="19"/>
  <c r="AP16" i="19"/>
  <c r="AA16" i="19"/>
  <c r="AB16" i="19"/>
  <c r="AC16" i="19"/>
  <c r="AD16" i="19"/>
  <c r="U16" i="19"/>
  <c r="V16" i="19"/>
  <c r="W16" i="19"/>
  <c r="X16" i="19"/>
  <c r="N16" i="19"/>
  <c r="O16" i="19"/>
  <c r="P16" i="19"/>
  <c r="Q16" i="19"/>
  <c r="R16" i="19"/>
  <c r="H16" i="19"/>
  <c r="L16" i="19"/>
  <c r="T16" i="19"/>
  <c r="I16" i="19"/>
  <c r="J16" i="19"/>
  <c r="K16" i="19"/>
  <c r="AB24" i="19"/>
  <c r="AC24" i="19"/>
  <c r="AD24" i="19"/>
  <c r="AM24" i="19"/>
  <c r="AN24" i="19"/>
  <c r="AO24" i="19"/>
  <c r="AP24" i="19"/>
  <c r="AF24" i="19"/>
  <c r="AG24" i="19"/>
  <c r="AH24" i="19"/>
  <c r="AI24" i="19"/>
  <c r="AJ24" i="19"/>
  <c r="R24" i="19"/>
  <c r="H24" i="19"/>
  <c r="J24" i="19"/>
  <c r="K24" i="19"/>
  <c r="L24" i="19"/>
  <c r="T24" i="19"/>
  <c r="U24" i="19"/>
  <c r="Z24" i="19"/>
  <c r="V24" i="19"/>
  <c r="AA24" i="19"/>
  <c r="W24" i="19"/>
  <c r="O24" i="19"/>
  <c r="I24" i="19"/>
  <c r="X24" i="19"/>
  <c r="N24" i="19"/>
  <c r="P24" i="19"/>
  <c r="Q24" i="19"/>
  <c r="AF32" i="19"/>
  <c r="AG32" i="19"/>
  <c r="AH32" i="19"/>
  <c r="AM32" i="19"/>
  <c r="AI32" i="19"/>
  <c r="AN32" i="19"/>
  <c r="AJ32" i="19"/>
  <c r="AO32" i="19"/>
  <c r="Z32" i="19"/>
  <c r="AP32" i="19"/>
  <c r="AA32" i="19"/>
  <c r="AB32" i="19"/>
  <c r="AC32" i="19"/>
  <c r="AD32" i="19"/>
  <c r="U32" i="19"/>
  <c r="V32" i="19"/>
  <c r="W32" i="19"/>
  <c r="X32" i="19"/>
  <c r="N32" i="19"/>
  <c r="O32" i="19"/>
  <c r="P32" i="19"/>
  <c r="Q32" i="19"/>
  <c r="R32" i="19"/>
  <c r="L32" i="19"/>
  <c r="T32" i="19"/>
  <c r="H32" i="19"/>
  <c r="I32" i="19"/>
  <c r="J32" i="19"/>
  <c r="K32" i="19"/>
  <c r="AB40" i="19"/>
  <c r="AC40" i="19"/>
  <c r="AD40" i="19"/>
  <c r="AM40" i="19"/>
  <c r="AN40" i="19"/>
  <c r="AO40" i="19"/>
  <c r="AP40" i="19"/>
  <c r="AF40" i="19"/>
  <c r="AG40" i="19"/>
  <c r="AK40" i="19" s="1"/>
  <c r="AK40" i="3" s="1"/>
  <c r="AH40" i="19"/>
  <c r="AI40" i="19"/>
  <c r="AJ40" i="19"/>
  <c r="R40" i="19"/>
  <c r="H40" i="19"/>
  <c r="J40" i="19"/>
  <c r="K40" i="19"/>
  <c r="L40" i="19"/>
  <c r="T40" i="19"/>
  <c r="Y40" i="19" s="1"/>
  <c r="Y40" i="3" s="1"/>
  <c r="U40" i="19"/>
  <c r="V40" i="19"/>
  <c r="W40" i="19"/>
  <c r="Z40" i="19"/>
  <c r="O40" i="19"/>
  <c r="Q40" i="19"/>
  <c r="AA40" i="19"/>
  <c r="I40" i="19"/>
  <c r="X40" i="19"/>
  <c r="N40" i="19"/>
  <c r="P40" i="19"/>
  <c r="D40" i="19"/>
  <c r="AF48" i="19"/>
  <c r="AG48" i="19"/>
  <c r="AK48" i="19" s="1"/>
  <c r="AK48" i="3" s="1"/>
  <c r="AH48" i="19"/>
  <c r="AM48" i="19"/>
  <c r="AI48" i="19"/>
  <c r="AN48" i="19"/>
  <c r="AJ48" i="19"/>
  <c r="AO48" i="19"/>
  <c r="Z48" i="19"/>
  <c r="AP48" i="19"/>
  <c r="AA48" i="19"/>
  <c r="AB48" i="19"/>
  <c r="AC48" i="19"/>
  <c r="AD48" i="19"/>
  <c r="U48" i="19"/>
  <c r="V48" i="19"/>
  <c r="W48" i="19"/>
  <c r="X48" i="19"/>
  <c r="N48" i="19"/>
  <c r="O48" i="19"/>
  <c r="P48" i="19"/>
  <c r="Q48" i="19"/>
  <c r="R48" i="19"/>
  <c r="S48" i="19" s="1"/>
  <c r="S48" i="3" s="1"/>
  <c r="L48" i="19"/>
  <c r="T48" i="19"/>
  <c r="Y48" i="19" s="1"/>
  <c r="Y48" i="3" s="1"/>
  <c r="H48" i="19"/>
  <c r="I48" i="19"/>
  <c r="J48" i="19"/>
  <c r="K48" i="19"/>
  <c r="D48" i="19"/>
  <c r="AB56" i="19"/>
  <c r="AC56" i="19"/>
  <c r="AD56" i="19"/>
  <c r="AT56" i="19"/>
  <c r="AM56" i="19"/>
  <c r="AN56" i="19"/>
  <c r="AO56" i="19"/>
  <c r="AP56" i="19"/>
  <c r="AF56" i="19"/>
  <c r="AS56" i="19"/>
  <c r="AG56" i="19"/>
  <c r="AH56" i="19"/>
  <c r="AI56" i="19"/>
  <c r="AJ56" i="19"/>
  <c r="R56" i="19"/>
  <c r="Z56" i="19"/>
  <c r="H56" i="19"/>
  <c r="AA56" i="19"/>
  <c r="J56" i="19"/>
  <c r="K56" i="19"/>
  <c r="L56" i="19"/>
  <c r="T56" i="19"/>
  <c r="U56" i="19"/>
  <c r="V56" i="19"/>
  <c r="W56" i="19"/>
  <c r="O56" i="19"/>
  <c r="X56" i="19"/>
  <c r="N56" i="19"/>
  <c r="P56" i="19"/>
  <c r="Q56" i="19"/>
  <c r="I56" i="19"/>
  <c r="F56" i="19"/>
  <c r="D56" i="19"/>
  <c r="S56" i="19"/>
  <c r="S56" i="3" s="1"/>
  <c r="M56" i="19"/>
  <c r="M56" i="3" s="1"/>
  <c r="AQ56" i="19"/>
  <c r="G56" i="19"/>
  <c r="AK56" i="19"/>
  <c r="AK56" i="3" s="1"/>
  <c r="AE56" i="19"/>
  <c r="AE56" i="3" s="1"/>
  <c r="Y56" i="19"/>
  <c r="Y56" i="3" s="1"/>
  <c r="AF64" i="19"/>
  <c r="AS64" i="19"/>
  <c r="AG64" i="19"/>
  <c r="AH64" i="19"/>
  <c r="AM64" i="19"/>
  <c r="AI64" i="19"/>
  <c r="AN64" i="19"/>
  <c r="AJ64" i="19"/>
  <c r="AO64" i="19"/>
  <c r="Z64" i="19"/>
  <c r="AP64" i="19"/>
  <c r="AA64" i="19"/>
  <c r="AB64" i="19"/>
  <c r="AC64" i="19"/>
  <c r="AT64" i="19"/>
  <c r="U64" i="19"/>
  <c r="V64" i="19"/>
  <c r="W64" i="19"/>
  <c r="X64" i="19"/>
  <c r="N64" i="19"/>
  <c r="O64" i="19"/>
  <c r="P64" i="19"/>
  <c r="Q64" i="19"/>
  <c r="R64" i="19"/>
  <c r="AD64" i="19"/>
  <c r="J64" i="19"/>
  <c r="K64" i="19"/>
  <c r="L64" i="19"/>
  <c r="F64" i="19"/>
  <c r="H64" i="19"/>
  <c r="I64" i="19"/>
  <c r="T64" i="19"/>
  <c r="D64" i="19"/>
  <c r="AK64" i="19"/>
  <c r="AK64" i="3" s="1"/>
  <c r="AE64" i="19"/>
  <c r="AE64" i="3" s="1"/>
  <c r="G64" i="19"/>
  <c r="M64" i="19"/>
  <c r="M64" i="3" s="1"/>
  <c r="Y64" i="19"/>
  <c r="Y64" i="3" s="1"/>
  <c r="S64" i="19"/>
  <c r="S64" i="3" s="1"/>
  <c r="AQ64" i="19"/>
  <c r="AD30" i="19"/>
  <c r="AF30" i="19"/>
  <c r="AG30" i="19"/>
  <c r="AH30" i="19"/>
  <c r="AI30" i="19"/>
  <c r="AJ30" i="19"/>
  <c r="AM30" i="19"/>
  <c r="AN30" i="19"/>
  <c r="AA30" i="19"/>
  <c r="I30" i="19"/>
  <c r="AO30" i="19"/>
  <c r="AB30" i="19"/>
  <c r="J30" i="19"/>
  <c r="AP30" i="19"/>
  <c r="AC30" i="19"/>
  <c r="L30" i="19"/>
  <c r="T30" i="19"/>
  <c r="U30" i="19"/>
  <c r="V30" i="19"/>
  <c r="W30" i="19"/>
  <c r="X30" i="19"/>
  <c r="N30" i="19"/>
  <c r="Q30" i="19"/>
  <c r="O30" i="19"/>
  <c r="P30" i="19"/>
  <c r="R30" i="19"/>
  <c r="Z30" i="19"/>
  <c r="H30" i="19"/>
  <c r="K30" i="19"/>
  <c r="AB13" i="21"/>
  <c r="AC13" i="21"/>
  <c r="AM13" i="21"/>
  <c r="AD13" i="21"/>
  <c r="AN13" i="21"/>
  <c r="AO13" i="21"/>
  <c r="AP13" i="21"/>
  <c r="X13" i="21"/>
  <c r="AF13" i="21"/>
  <c r="AJ13" i="21"/>
  <c r="H13" i="21"/>
  <c r="I13" i="21"/>
  <c r="AG13" i="21"/>
  <c r="J13" i="21"/>
  <c r="AH13" i="21"/>
  <c r="K13" i="21"/>
  <c r="AI13" i="21"/>
  <c r="L13" i="21"/>
  <c r="T13" i="21"/>
  <c r="U13" i="21"/>
  <c r="V13" i="21"/>
  <c r="W13" i="21"/>
  <c r="Z13" i="21"/>
  <c r="P13" i="21"/>
  <c r="N13" i="21"/>
  <c r="O13" i="21"/>
  <c r="Q13" i="21"/>
  <c r="AA13" i="21"/>
  <c r="R13" i="21"/>
  <c r="AN21" i="21"/>
  <c r="AO21" i="21"/>
  <c r="AF21" i="21"/>
  <c r="AP21" i="21"/>
  <c r="AG21" i="21"/>
  <c r="AH21" i="21"/>
  <c r="AI21" i="21"/>
  <c r="AJ21" i="21"/>
  <c r="Z21" i="21"/>
  <c r="AA21" i="21"/>
  <c r="V21" i="21"/>
  <c r="W21" i="21"/>
  <c r="X21" i="21"/>
  <c r="N21" i="21"/>
  <c r="O21" i="21"/>
  <c r="P21" i="21"/>
  <c r="Q21" i="21"/>
  <c r="R21" i="21"/>
  <c r="AM21" i="21"/>
  <c r="AB21" i="21"/>
  <c r="K21" i="21"/>
  <c r="AD21" i="21"/>
  <c r="L21" i="21"/>
  <c r="T21" i="21"/>
  <c r="H21" i="21"/>
  <c r="U21" i="21"/>
  <c r="I21" i="21"/>
  <c r="AC21" i="21"/>
  <c r="J21" i="21"/>
  <c r="AN29" i="21"/>
  <c r="AB29" i="21"/>
  <c r="AO29" i="21"/>
  <c r="AC29" i="21"/>
  <c r="AP29" i="21"/>
  <c r="AD29" i="21"/>
  <c r="AF29" i="21"/>
  <c r="AJ29" i="21"/>
  <c r="AM29" i="21"/>
  <c r="H29" i="21"/>
  <c r="I29" i="21"/>
  <c r="J29" i="21"/>
  <c r="K29" i="21"/>
  <c r="Z29" i="21"/>
  <c r="AA29" i="21"/>
  <c r="T29" i="21"/>
  <c r="U29" i="21"/>
  <c r="V29" i="21"/>
  <c r="W29" i="21"/>
  <c r="X29" i="21"/>
  <c r="AI29" i="21"/>
  <c r="P29" i="21"/>
  <c r="R29" i="21"/>
  <c r="AG29" i="21"/>
  <c r="N29" i="21"/>
  <c r="AH29" i="21"/>
  <c r="L29" i="21"/>
  <c r="O29" i="21"/>
  <c r="Q29" i="21"/>
  <c r="AN37" i="21"/>
  <c r="AO37" i="21"/>
  <c r="AF37" i="21"/>
  <c r="AP37" i="21"/>
  <c r="AG37" i="21"/>
  <c r="AH37" i="21"/>
  <c r="AI37" i="21"/>
  <c r="AJ37" i="21"/>
  <c r="AA37" i="21"/>
  <c r="V37" i="21"/>
  <c r="W37" i="21"/>
  <c r="X37" i="21"/>
  <c r="N37" i="21"/>
  <c r="O37" i="21"/>
  <c r="P37" i="21"/>
  <c r="Q37" i="21"/>
  <c r="R37" i="21"/>
  <c r="AM37" i="21"/>
  <c r="AC37" i="21"/>
  <c r="L37" i="21"/>
  <c r="H37" i="21"/>
  <c r="U37" i="21"/>
  <c r="Z37" i="21"/>
  <c r="AB37" i="21"/>
  <c r="AE37" i="21" s="1"/>
  <c r="AE37" i="20" s="1"/>
  <c r="AD37" i="21"/>
  <c r="J37" i="21"/>
  <c r="I37" i="21"/>
  <c r="K37" i="21"/>
  <c r="T37" i="21"/>
  <c r="AN45" i="21"/>
  <c r="AB45" i="21"/>
  <c r="AO45" i="21"/>
  <c r="AC45" i="21"/>
  <c r="AP45" i="21"/>
  <c r="AD45" i="21"/>
  <c r="AF45" i="21"/>
  <c r="AJ45" i="21"/>
  <c r="AM45" i="21"/>
  <c r="H45" i="21"/>
  <c r="I45" i="21"/>
  <c r="K45" i="21"/>
  <c r="AG45" i="21"/>
  <c r="AH45" i="21"/>
  <c r="AI45" i="21"/>
  <c r="T45" i="21"/>
  <c r="Z45" i="21"/>
  <c r="AE45" i="21" s="1"/>
  <c r="AE45" i="20" s="1"/>
  <c r="U45" i="21"/>
  <c r="AA45" i="21"/>
  <c r="V45" i="21"/>
  <c r="W45" i="21"/>
  <c r="X45" i="21"/>
  <c r="P45" i="21"/>
  <c r="N45" i="21"/>
  <c r="S45" i="21" s="1"/>
  <c r="S45" i="20" s="1"/>
  <c r="L45" i="21"/>
  <c r="O45" i="21"/>
  <c r="J45" i="21"/>
  <c r="M45" i="21" s="1"/>
  <c r="Q45" i="21"/>
  <c r="R45" i="21"/>
  <c r="AK45" i="21"/>
  <c r="AK45" i="20" s="1"/>
  <c r="AS53" i="21"/>
  <c r="F53" i="21"/>
  <c r="G53" i="21" s="1"/>
  <c r="AT53" i="21"/>
  <c r="AN53" i="21"/>
  <c r="AO53" i="21"/>
  <c r="AF53" i="21"/>
  <c r="AP53" i="21"/>
  <c r="AG53" i="21"/>
  <c r="AH53" i="21"/>
  <c r="AI53" i="21"/>
  <c r="AJ53" i="21"/>
  <c r="AA53" i="21"/>
  <c r="V53" i="21"/>
  <c r="W53" i="21"/>
  <c r="Z53" i="21"/>
  <c r="X53" i="21"/>
  <c r="AB53" i="21"/>
  <c r="N53" i="21"/>
  <c r="AC53" i="21"/>
  <c r="O53" i="21"/>
  <c r="AD53" i="21"/>
  <c r="P53" i="21"/>
  <c r="Q53" i="21"/>
  <c r="R53" i="21"/>
  <c r="AM53" i="21"/>
  <c r="U53" i="21"/>
  <c r="K53" i="21"/>
  <c r="H53" i="21"/>
  <c r="I53" i="21"/>
  <c r="J53" i="21"/>
  <c r="T53" i="21"/>
  <c r="L53" i="21"/>
  <c r="AK53" i="21"/>
  <c r="AK53" i="20" s="1"/>
  <c r="M53" i="21"/>
  <c r="M53" i="20" s="1"/>
  <c r="AE53" i="21"/>
  <c r="AE53" i="20" s="1"/>
  <c r="AQ53" i="21"/>
  <c r="Y53" i="21"/>
  <c r="Y53" i="20" s="1"/>
  <c r="S53" i="21"/>
  <c r="S53" i="20" s="1"/>
  <c r="AT61" i="21"/>
  <c r="AS61" i="21"/>
  <c r="AN61" i="21"/>
  <c r="AB61" i="21"/>
  <c r="AO61" i="21"/>
  <c r="AC61" i="21"/>
  <c r="AP61" i="21"/>
  <c r="F61" i="21"/>
  <c r="G61" i="21" s="1"/>
  <c r="AF61" i="21"/>
  <c r="AJ61" i="21"/>
  <c r="AM61" i="21"/>
  <c r="Z61" i="21"/>
  <c r="AA61" i="21"/>
  <c r="AD61" i="21"/>
  <c r="T61" i="21"/>
  <c r="U61" i="21"/>
  <c r="V61" i="21"/>
  <c r="W61" i="21"/>
  <c r="AG61" i="21"/>
  <c r="AI61" i="21"/>
  <c r="L61" i="21"/>
  <c r="I61" i="21"/>
  <c r="J61" i="21"/>
  <c r="H61" i="21"/>
  <c r="N61" i="21"/>
  <c r="R61" i="21"/>
  <c r="O61" i="21"/>
  <c r="P61" i="21"/>
  <c r="Q61" i="21"/>
  <c r="X61" i="21"/>
  <c r="AH61" i="21"/>
  <c r="K61" i="21"/>
  <c r="Y61" i="21"/>
  <c r="Y61" i="20" s="1"/>
  <c r="AE61" i="21"/>
  <c r="AE61" i="20" s="1"/>
  <c r="AQ61" i="21"/>
  <c r="S61" i="21"/>
  <c r="S61" i="20" s="1"/>
  <c r="AK61" i="21"/>
  <c r="AK61" i="20" s="1"/>
  <c r="M61" i="21"/>
  <c r="M61" i="20" s="1"/>
  <c r="AS69" i="21"/>
  <c r="F69" i="21"/>
  <c r="G69" i="21" s="1"/>
  <c r="AT69" i="21"/>
  <c r="AN69" i="21"/>
  <c r="AO69" i="21"/>
  <c r="AF69" i="21"/>
  <c r="AP69" i="21"/>
  <c r="AG69" i="21"/>
  <c r="AH69" i="21"/>
  <c r="AI69" i="21"/>
  <c r="AJ69" i="21"/>
  <c r="AA69" i="21"/>
  <c r="Z69" i="21"/>
  <c r="V69" i="21"/>
  <c r="AB69" i="21"/>
  <c r="W69" i="21"/>
  <c r="AC69" i="21"/>
  <c r="X69" i="21"/>
  <c r="AD69" i="21"/>
  <c r="N69" i="21"/>
  <c r="O69" i="21"/>
  <c r="Q69" i="21"/>
  <c r="R69" i="21"/>
  <c r="AM69" i="21"/>
  <c r="I69" i="21"/>
  <c r="H69" i="21"/>
  <c r="J69" i="21"/>
  <c r="T69" i="21"/>
  <c r="K69" i="21"/>
  <c r="U69" i="21"/>
  <c r="L69" i="21"/>
  <c r="P69" i="21"/>
  <c r="AQ69" i="21"/>
  <c r="AK69" i="21"/>
  <c r="AK69" i="20" s="1"/>
  <c r="M69" i="21"/>
  <c r="M69" i="20" s="1"/>
  <c r="S69" i="21"/>
  <c r="S69" i="20" s="1"/>
  <c r="AE69" i="21"/>
  <c r="AE69" i="20" s="1"/>
  <c r="Y69" i="21"/>
  <c r="Y69" i="20" s="1"/>
  <c r="AF13" i="19"/>
  <c r="AG13" i="19"/>
  <c r="AH13" i="19"/>
  <c r="AI13" i="19"/>
  <c r="AJ13" i="19"/>
  <c r="Z13" i="19"/>
  <c r="AM13" i="19"/>
  <c r="AA13" i="19"/>
  <c r="AN13" i="19"/>
  <c r="AB13" i="19"/>
  <c r="AO13" i="19"/>
  <c r="AC13" i="19"/>
  <c r="AP13" i="19"/>
  <c r="AD13" i="19"/>
  <c r="T13" i="19"/>
  <c r="U13" i="19"/>
  <c r="V13" i="19"/>
  <c r="W13" i="19"/>
  <c r="X13" i="19"/>
  <c r="N13" i="19"/>
  <c r="O13" i="19"/>
  <c r="P13" i="19"/>
  <c r="Q13" i="19"/>
  <c r="R13" i="19"/>
  <c r="K13" i="19"/>
  <c r="H13" i="19"/>
  <c r="I13" i="19"/>
  <c r="J13" i="19"/>
  <c r="L13" i="19"/>
  <c r="AT69" i="19"/>
  <c r="AB69" i="19"/>
  <c r="AS69" i="19"/>
  <c r="AM69" i="19"/>
  <c r="AN69" i="19"/>
  <c r="AO69" i="19"/>
  <c r="AF69" i="19"/>
  <c r="AP69" i="19"/>
  <c r="AG69" i="19"/>
  <c r="AH69" i="19"/>
  <c r="AI69" i="19"/>
  <c r="AD69" i="19"/>
  <c r="Q69" i="19"/>
  <c r="R69" i="19"/>
  <c r="I69" i="19"/>
  <c r="J69" i="19"/>
  <c r="K69" i="19"/>
  <c r="L69" i="19"/>
  <c r="T69" i="19"/>
  <c r="U69" i="19"/>
  <c r="V69" i="19"/>
  <c r="AJ69" i="19"/>
  <c r="Z69" i="19"/>
  <c r="N69" i="19"/>
  <c r="W69" i="19"/>
  <c r="X69" i="19"/>
  <c r="AA69" i="19"/>
  <c r="AC69" i="19"/>
  <c r="F69" i="19"/>
  <c r="O69" i="19"/>
  <c r="P69" i="19"/>
  <c r="H69" i="19"/>
  <c r="D69" i="19"/>
  <c r="S69" i="19"/>
  <c r="S69" i="3" s="1"/>
  <c r="AQ69" i="19"/>
  <c r="M69" i="19"/>
  <c r="M69" i="3" s="1"/>
  <c r="AE69" i="19"/>
  <c r="AE69" i="3" s="1"/>
  <c r="AK69" i="19"/>
  <c r="AK69" i="3" s="1"/>
  <c r="Y69" i="19"/>
  <c r="Y69" i="3" s="1"/>
  <c r="G69" i="19"/>
  <c r="AS62" i="19"/>
  <c r="AF62" i="19"/>
  <c r="AG62" i="19"/>
  <c r="AH62" i="19"/>
  <c r="AT62" i="19"/>
  <c r="AI62" i="19"/>
  <c r="AJ62" i="19"/>
  <c r="AM62" i="19"/>
  <c r="AN62" i="19"/>
  <c r="I62" i="19"/>
  <c r="AO62" i="19"/>
  <c r="J62" i="19"/>
  <c r="AP62" i="19"/>
  <c r="L62" i="19"/>
  <c r="T62" i="19"/>
  <c r="U62" i="19"/>
  <c r="V62" i="19"/>
  <c r="Z62" i="19"/>
  <c r="W62" i="19"/>
  <c r="F62" i="19"/>
  <c r="AA62" i="19"/>
  <c r="X62" i="19"/>
  <c r="AB62" i="19"/>
  <c r="Q62" i="19"/>
  <c r="N62" i="19"/>
  <c r="O62" i="19"/>
  <c r="AC62" i="19"/>
  <c r="K62" i="19"/>
  <c r="P62" i="19"/>
  <c r="R62" i="19"/>
  <c r="H62" i="19"/>
  <c r="AD62" i="19"/>
  <c r="D62" i="19"/>
  <c r="Y62" i="19"/>
  <c r="Y62" i="3" s="1"/>
  <c r="G62" i="19"/>
  <c r="S62" i="19"/>
  <c r="S62" i="3" s="1"/>
  <c r="AE62" i="19"/>
  <c r="AE62" i="3" s="1"/>
  <c r="AQ62" i="19"/>
  <c r="M62" i="19"/>
  <c r="M62" i="3" s="1"/>
  <c r="AK62" i="19"/>
  <c r="AK62" i="3" s="1"/>
  <c r="AJ20" i="21"/>
  <c r="Z20" i="21"/>
  <c r="AA20" i="21"/>
  <c r="AB20" i="21"/>
  <c r="AC20" i="21"/>
  <c r="AD20" i="21"/>
  <c r="AO20" i="21"/>
  <c r="AG20" i="21"/>
  <c r="AI20" i="21"/>
  <c r="P20" i="21"/>
  <c r="Q20" i="21"/>
  <c r="R20" i="21"/>
  <c r="H20" i="21"/>
  <c r="I20" i="21"/>
  <c r="AM20" i="21"/>
  <c r="AN20" i="21"/>
  <c r="K20" i="21"/>
  <c r="AP20" i="21"/>
  <c r="L20" i="21"/>
  <c r="T20" i="21"/>
  <c r="U20" i="21"/>
  <c r="X20" i="21"/>
  <c r="AH20" i="21"/>
  <c r="N20" i="21"/>
  <c r="O20" i="21"/>
  <c r="V20" i="21"/>
  <c r="W20" i="21"/>
  <c r="J20" i="21"/>
  <c r="AF20" i="21"/>
  <c r="AS68" i="21"/>
  <c r="F68" i="21"/>
  <c r="G68" i="21" s="1"/>
  <c r="AT68" i="21"/>
  <c r="AJ68" i="21"/>
  <c r="Z68" i="21"/>
  <c r="AO68" i="21"/>
  <c r="P68" i="21"/>
  <c r="Q68" i="21"/>
  <c r="R68" i="21"/>
  <c r="AM68" i="21"/>
  <c r="AN68" i="21"/>
  <c r="AP68" i="21"/>
  <c r="AF68" i="21"/>
  <c r="T68" i="21"/>
  <c r="AG68" i="21"/>
  <c r="AB68" i="21"/>
  <c r="X68" i="21"/>
  <c r="I68" i="21"/>
  <c r="L68" i="21"/>
  <c r="V68" i="21"/>
  <c r="AH68" i="21"/>
  <c r="J68" i="21"/>
  <c r="AI68" i="21"/>
  <c r="AA68" i="21"/>
  <c r="K68" i="21"/>
  <c r="AC68" i="21"/>
  <c r="AD68" i="21"/>
  <c r="U68" i="21"/>
  <c r="W68" i="21"/>
  <c r="N68" i="21"/>
  <c r="O68" i="21"/>
  <c r="H68" i="21"/>
  <c r="AQ68" i="21"/>
  <c r="AK68" i="21"/>
  <c r="AK68" i="20" s="1"/>
  <c r="M68" i="21"/>
  <c r="M68" i="20" s="1"/>
  <c r="AE68" i="21"/>
  <c r="AE68" i="20" s="1"/>
  <c r="Y68" i="21"/>
  <c r="Y68" i="20" s="1"/>
  <c r="S68" i="21"/>
  <c r="S68" i="20" s="1"/>
  <c r="AH9" i="19"/>
  <c r="AI9" i="19"/>
  <c r="AJ9" i="19"/>
  <c r="Z9" i="19"/>
  <c r="AA9" i="19"/>
  <c r="AB9" i="19"/>
  <c r="AC9" i="19"/>
  <c r="AD9" i="19"/>
  <c r="AM9" i="19"/>
  <c r="T9" i="19"/>
  <c r="AN9" i="19"/>
  <c r="AO9" i="19"/>
  <c r="AP9" i="19"/>
  <c r="X9" i="19"/>
  <c r="N9" i="19"/>
  <c r="O9" i="19"/>
  <c r="P9" i="19"/>
  <c r="Q9" i="19"/>
  <c r="R9" i="19"/>
  <c r="H9" i="19"/>
  <c r="AF9" i="19"/>
  <c r="I9" i="19"/>
  <c r="AG9" i="19"/>
  <c r="J9" i="19"/>
  <c r="K9" i="19"/>
  <c r="U9" i="19"/>
  <c r="V9" i="19"/>
  <c r="W9" i="19"/>
  <c r="L9" i="19"/>
  <c r="AF17" i="19"/>
  <c r="AG17" i="19"/>
  <c r="AM17" i="19"/>
  <c r="AH17" i="19"/>
  <c r="AN17" i="19"/>
  <c r="AI17" i="19"/>
  <c r="AO17" i="19"/>
  <c r="AJ17" i="19"/>
  <c r="AP17" i="19"/>
  <c r="Z17" i="19"/>
  <c r="AA17" i="19"/>
  <c r="AB17" i="19"/>
  <c r="J17" i="19"/>
  <c r="K17" i="19"/>
  <c r="L17" i="19"/>
  <c r="T17" i="19"/>
  <c r="AC17" i="19"/>
  <c r="U17" i="19"/>
  <c r="AD17" i="19"/>
  <c r="V17" i="19"/>
  <c r="W17" i="19"/>
  <c r="X17" i="19"/>
  <c r="N17" i="19"/>
  <c r="O17" i="19"/>
  <c r="R17" i="19"/>
  <c r="P17" i="19"/>
  <c r="Q17" i="19"/>
  <c r="H17" i="19"/>
  <c r="I17" i="19"/>
  <c r="AH25" i="19"/>
  <c r="AI25" i="19"/>
  <c r="AJ25" i="19"/>
  <c r="Z25" i="19"/>
  <c r="AA25" i="19"/>
  <c r="AB25" i="19"/>
  <c r="AC25" i="19"/>
  <c r="AD25" i="19"/>
  <c r="AM25" i="19"/>
  <c r="AN25" i="19"/>
  <c r="AO25" i="19"/>
  <c r="AP25" i="19"/>
  <c r="X25" i="19"/>
  <c r="AF25" i="19"/>
  <c r="N25" i="19"/>
  <c r="AG25" i="19"/>
  <c r="O25" i="19"/>
  <c r="P25" i="19"/>
  <c r="Q25" i="19"/>
  <c r="R25" i="19"/>
  <c r="H25" i="19"/>
  <c r="I25" i="19"/>
  <c r="J25" i="19"/>
  <c r="U25" i="19"/>
  <c r="K25" i="19"/>
  <c r="L25" i="19"/>
  <c r="T25" i="19"/>
  <c r="V25" i="19"/>
  <c r="W25" i="19"/>
  <c r="AF33" i="19"/>
  <c r="AG33" i="19"/>
  <c r="AM33" i="19"/>
  <c r="AH33" i="19"/>
  <c r="AN33" i="19"/>
  <c r="AI33" i="19"/>
  <c r="AO33" i="19"/>
  <c r="AJ33" i="19"/>
  <c r="AP33" i="19"/>
  <c r="Z33" i="19"/>
  <c r="J33" i="19"/>
  <c r="K33" i="19"/>
  <c r="AA33" i="19"/>
  <c r="AB33" i="19"/>
  <c r="T33" i="19"/>
  <c r="AC33" i="19"/>
  <c r="U33" i="19"/>
  <c r="AD33" i="19"/>
  <c r="V33" i="19"/>
  <c r="W33" i="19"/>
  <c r="X33" i="19"/>
  <c r="N33" i="19"/>
  <c r="O33" i="19"/>
  <c r="R33" i="19"/>
  <c r="P33" i="19"/>
  <c r="Q33" i="19"/>
  <c r="H33" i="19"/>
  <c r="I33" i="19"/>
  <c r="L33" i="19"/>
  <c r="AH41" i="19"/>
  <c r="AI41" i="19"/>
  <c r="AJ41" i="19"/>
  <c r="Z41" i="19"/>
  <c r="AA41" i="19"/>
  <c r="AB41" i="19"/>
  <c r="AC41" i="19"/>
  <c r="AD41" i="19"/>
  <c r="AM41" i="19"/>
  <c r="AN41" i="19"/>
  <c r="AO41" i="19"/>
  <c r="AP41" i="19"/>
  <c r="X41" i="19"/>
  <c r="N41" i="19"/>
  <c r="O41" i="19"/>
  <c r="P41" i="19"/>
  <c r="Q41" i="19"/>
  <c r="R41" i="19"/>
  <c r="H41" i="19"/>
  <c r="I41" i="19"/>
  <c r="J41" i="19"/>
  <c r="U41" i="19"/>
  <c r="W41" i="19"/>
  <c r="AF41" i="19"/>
  <c r="AG41" i="19"/>
  <c r="K41" i="19"/>
  <c r="L41" i="19"/>
  <c r="T41" i="19"/>
  <c r="V41" i="19"/>
  <c r="D41" i="19"/>
  <c r="AF49" i="19"/>
  <c r="AG49" i="19"/>
  <c r="AK49" i="19" s="1"/>
  <c r="AK49" i="3" s="1"/>
  <c r="AM49" i="19"/>
  <c r="AH49" i="19"/>
  <c r="AN49" i="19"/>
  <c r="AI49" i="19"/>
  <c r="AO49" i="19"/>
  <c r="AJ49" i="19"/>
  <c r="AP49" i="19"/>
  <c r="Z49" i="19"/>
  <c r="J49" i="19"/>
  <c r="K49" i="19"/>
  <c r="T49" i="19"/>
  <c r="U49" i="19"/>
  <c r="V49" i="19"/>
  <c r="AA49" i="19"/>
  <c r="W49" i="19"/>
  <c r="AB49" i="19"/>
  <c r="X49" i="19"/>
  <c r="AC49" i="19"/>
  <c r="N49" i="19"/>
  <c r="AD49" i="19"/>
  <c r="O49" i="19"/>
  <c r="R49" i="19"/>
  <c r="P49" i="19"/>
  <c r="Q49" i="19"/>
  <c r="H49" i="19"/>
  <c r="I49" i="19"/>
  <c r="L49" i="19"/>
  <c r="D49" i="19"/>
  <c r="E49" i="19" s="1"/>
  <c r="AH57" i="19"/>
  <c r="AI57" i="19"/>
  <c r="AJ57" i="19"/>
  <c r="Z57" i="19"/>
  <c r="AA57" i="19"/>
  <c r="AT57" i="19"/>
  <c r="AB57" i="19"/>
  <c r="AC57" i="19"/>
  <c r="AD57" i="19"/>
  <c r="AM57" i="19"/>
  <c r="AN57" i="19"/>
  <c r="AO57" i="19"/>
  <c r="AS57" i="19"/>
  <c r="AP57" i="19"/>
  <c r="X57" i="19"/>
  <c r="N57" i="19"/>
  <c r="O57" i="19"/>
  <c r="P57" i="19"/>
  <c r="F57" i="19"/>
  <c r="Q57" i="19"/>
  <c r="AF57" i="19"/>
  <c r="R57" i="19"/>
  <c r="AG57" i="19"/>
  <c r="H57" i="19"/>
  <c r="I57" i="19"/>
  <c r="J57" i="19"/>
  <c r="U57" i="19"/>
  <c r="T57" i="19"/>
  <c r="V57" i="19"/>
  <c r="W57" i="19"/>
  <c r="L57" i="19"/>
  <c r="K57" i="19"/>
  <c r="D57" i="19"/>
  <c r="AK57" i="19"/>
  <c r="AK57" i="3" s="1"/>
  <c r="S57" i="19"/>
  <c r="S57" i="3" s="1"/>
  <c r="G57" i="19"/>
  <c r="M57" i="19"/>
  <c r="M57" i="3" s="1"/>
  <c r="AQ57" i="19"/>
  <c r="AE57" i="19"/>
  <c r="AE57" i="3" s="1"/>
  <c r="Y57" i="19"/>
  <c r="Y57" i="3" s="1"/>
  <c r="AS65" i="19"/>
  <c r="AF65" i="19"/>
  <c r="AG65" i="19"/>
  <c r="AM65" i="19"/>
  <c r="AH65" i="19"/>
  <c r="AN65" i="19"/>
  <c r="AI65" i="19"/>
  <c r="AO65" i="19"/>
  <c r="AJ65" i="19"/>
  <c r="AP65" i="19"/>
  <c r="AT65" i="19"/>
  <c r="Z65" i="19"/>
  <c r="J65" i="19"/>
  <c r="AA65" i="19"/>
  <c r="K65" i="19"/>
  <c r="AB65" i="19"/>
  <c r="AC65" i="19"/>
  <c r="AD65" i="19"/>
  <c r="T65" i="19"/>
  <c r="U65" i="19"/>
  <c r="V65" i="19"/>
  <c r="W65" i="19"/>
  <c r="X65" i="19"/>
  <c r="N65" i="19"/>
  <c r="R65" i="19"/>
  <c r="Q65" i="19"/>
  <c r="F65" i="19"/>
  <c r="H65" i="19"/>
  <c r="I65" i="19"/>
  <c r="L65" i="19"/>
  <c r="O65" i="19"/>
  <c r="P65" i="19"/>
  <c r="D65" i="19"/>
  <c r="AK65" i="19"/>
  <c r="AK65" i="3" s="1"/>
  <c r="AE65" i="19"/>
  <c r="AE65" i="3" s="1"/>
  <c r="Y65" i="19"/>
  <c r="Y65" i="3" s="1"/>
  <c r="G65" i="19"/>
  <c r="S65" i="19"/>
  <c r="S65" i="3" s="1"/>
  <c r="AQ65" i="19"/>
  <c r="M65" i="19"/>
  <c r="M65" i="3" s="1"/>
  <c r="AA53" i="19"/>
  <c r="AT53" i="19"/>
  <c r="AB53" i="19"/>
  <c r="AC53" i="19"/>
  <c r="AD53" i="19"/>
  <c r="AS53" i="19"/>
  <c r="AM53" i="19"/>
  <c r="AN53" i="19"/>
  <c r="AO53" i="19"/>
  <c r="AF53" i="19"/>
  <c r="AP53" i="19"/>
  <c r="AG53" i="19"/>
  <c r="AH53" i="19"/>
  <c r="AI53" i="19"/>
  <c r="Q53" i="19"/>
  <c r="R53" i="19"/>
  <c r="AJ53" i="19"/>
  <c r="I53" i="19"/>
  <c r="J53" i="19"/>
  <c r="K53" i="19"/>
  <c r="L53" i="19"/>
  <c r="T53" i="19"/>
  <c r="U53" i="19"/>
  <c r="V53" i="19"/>
  <c r="N53" i="19"/>
  <c r="P53" i="19"/>
  <c r="H53" i="19"/>
  <c r="W53" i="19"/>
  <c r="O53" i="19"/>
  <c r="Z53" i="19"/>
  <c r="X53" i="19"/>
  <c r="F53" i="19"/>
  <c r="D53" i="19"/>
  <c r="S53" i="19"/>
  <c r="S53" i="3" s="1"/>
  <c r="Y53" i="19"/>
  <c r="Y53" i="3" s="1"/>
  <c r="AQ53" i="19"/>
  <c r="M53" i="19"/>
  <c r="M53" i="3" s="1"/>
  <c r="AK53" i="19"/>
  <c r="AK53" i="3" s="1"/>
  <c r="AE53" i="19"/>
  <c r="AE53" i="3" s="1"/>
  <c r="G53" i="19"/>
  <c r="AG54" i="19"/>
  <c r="AH54" i="19"/>
  <c r="AT54" i="19"/>
  <c r="AI54" i="19"/>
  <c r="AJ54" i="19"/>
  <c r="Z54" i="19"/>
  <c r="AA54" i="19"/>
  <c r="AB54" i="19"/>
  <c r="AC54" i="19"/>
  <c r="AS54" i="19"/>
  <c r="AD54" i="19"/>
  <c r="AM54" i="19"/>
  <c r="AN54" i="19"/>
  <c r="W54" i="19"/>
  <c r="F54" i="19"/>
  <c r="X54" i="19"/>
  <c r="N54" i="19"/>
  <c r="O54" i="19"/>
  <c r="AF54" i="19"/>
  <c r="P54" i="19"/>
  <c r="Q54" i="19"/>
  <c r="R54" i="19"/>
  <c r="H54" i="19"/>
  <c r="I54" i="19"/>
  <c r="AO54" i="19"/>
  <c r="T54" i="19"/>
  <c r="V54" i="19"/>
  <c r="AP54" i="19"/>
  <c r="J54" i="19"/>
  <c r="K54" i="19"/>
  <c r="L54" i="19"/>
  <c r="U54" i="19"/>
  <c r="D54" i="19"/>
  <c r="AQ54" i="19"/>
  <c r="M54" i="19"/>
  <c r="M54" i="3" s="1"/>
  <c r="AE54" i="19"/>
  <c r="AE54" i="3" s="1"/>
  <c r="G54" i="19"/>
  <c r="AK54" i="19"/>
  <c r="AK54" i="3" s="1"/>
  <c r="Y54" i="19"/>
  <c r="Y54" i="3" s="1"/>
  <c r="S54" i="19"/>
  <c r="S54" i="3" s="1"/>
  <c r="AJ36" i="21"/>
  <c r="Z36" i="21"/>
  <c r="AE36" i="21" s="1"/>
  <c r="AE36" i="20" s="1"/>
  <c r="AA36" i="21"/>
  <c r="AB36" i="21"/>
  <c r="AC36" i="21"/>
  <c r="AO36" i="21"/>
  <c r="AQ36" i="21" s="1"/>
  <c r="AG36" i="21"/>
  <c r="P36" i="21"/>
  <c r="Q36" i="21"/>
  <c r="R36" i="21"/>
  <c r="H36" i="21"/>
  <c r="AM36" i="21"/>
  <c r="AN36" i="21"/>
  <c r="AP36" i="21"/>
  <c r="AF36" i="21"/>
  <c r="L36" i="21"/>
  <c r="AH36" i="21"/>
  <c r="AI36" i="21"/>
  <c r="T36" i="21"/>
  <c r="AD36" i="21"/>
  <c r="U36" i="21"/>
  <c r="X36" i="21"/>
  <c r="J36" i="21"/>
  <c r="K36" i="21"/>
  <c r="V36" i="21"/>
  <c r="N36" i="21"/>
  <c r="I36" i="21"/>
  <c r="W36" i="21"/>
  <c r="O36" i="21"/>
  <c r="AT60" i="21"/>
  <c r="AS60" i="21"/>
  <c r="AF60" i="21"/>
  <c r="AG60" i="21"/>
  <c r="F60" i="21"/>
  <c r="G60" i="21" s="1"/>
  <c r="AH60" i="21"/>
  <c r="AI60" i="21"/>
  <c r="AJ60" i="21"/>
  <c r="AO60" i="21"/>
  <c r="AD60" i="21"/>
  <c r="T60" i="21"/>
  <c r="U60" i="21"/>
  <c r="V60" i="21"/>
  <c r="W60" i="21"/>
  <c r="X60" i="21"/>
  <c r="N60" i="21"/>
  <c r="O60" i="21"/>
  <c r="P60" i="21"/>
  <c r="AM60" i="21"/>
  <c r="AA60" i="21"/>
  <c r="K60" i="21"/>
  <c r="AC60" i="21"/>
  <c r="R60" i="21"/>
  <c r="Q60" i="21"/>
  <c r="AB60" i="21"/>
  <c r="AN60" i="21"/>
  <c r="H60" i="21"/>
  <c r="I60" i="21"/>
  <c r="AP60" i="21"/>
  <c r="J60" i="21"/>
  <c r="Z60" i="21"/>
  <c r="L60" i="21"/>
  <c r="Y60" i="21"/>
  <c r="Y60" i="20" s="1"/>
  <c r="AQ60" i="21"/>
  <c r="S60" i="21"/>
  <c r="S60" i="20" s="1"/>
  <c r="AE60" i="21"/>
  <c r="AE60" i="20" s="1"/>
  <c r="AK60" i="21"/>
  <c r="AK60" i="20" s="1"/>
  <c r="M60" i="21"/>
  <c r="M60" i="20" s="1"/>
  <c r="AA6" i="21"/>
  <c r="AN6" i="21"/>
  <c r="AO6" i="21"/>
  <c r="AP6" i="21"/>
  <c r="AM6" i="21"/>
  <c r="AI6" i="21"/>
  <c r="R6" i="21"/>
  <c r="AJ6" i="21"/>
  <c r="N6" i="21"/>
  <c r="AF6" i="21"/>
  <c r="U6" i="21"/>
  <c r="AB6" i="21"/>
  <c r="V6" i="21"/>
  <c r="AC6" i="21"/>
  <c r="P6" i="21"/>
  <c r="K6" i="21"/>
  <c r="H6" i="21"/>
  <c r="Q6" i="21"/>
  <c r="L6" i="21"/>
  <c r="AG6" i="21"/>
  <c r="AH6" i="21"/>
  <c r="AD6" i="21"/>
  <c r="Z6" i="21"/>
  <c r="I6" i="21"/>
  <c r="W6" i="21"/>
  <c r="X6" i="21"/>
  <c r="O6" i="21"/>
  <c r="J6" i="21"/>
  <c r="T6" i="21"/>
  <c r="AN14" i="21"/>
  <c r="AH14" i="21"/>
  <c r="AI14" i="21"/>
  <c r="AJ14" i="21"/>
  <c r="Z14" i="21"/>
  <c r="AA14" i="21"/>
  <c r="AB14" i="21"/>
  <c r="AM14" i="21"/>
  <c r="AC14" i="21"/>
  <c r="AO14" i="21"/>
  <c r="AD14" i="21"/>
  <c r="AP14" i="21"/>
  <c r="N14" i="21"/>
  <c r="O14" i="21"/>
  <c r="P14" i="21"/>
  <c r="Q14" i="21"/>
  <c r="R14" i="21"/>
  <c r="AF14" i="21"/>
  <c r="AG14" i="21"/>
  <c r="I14" i="21"/>
  <c r="J14" i="21"/>
  <c r="V14" i="21"/>
  <c r="X14" i="21"/>
  <c r="U14" i="21"/>
  <c r="T14" i="21"/>
  <c r="H14" i="21"/>
  <c r="K14" i="21"/>
  <c r="L14" i="21"/>
  <c r="W14" i="21"/>
  <c r="AM22" i="21"/>
  <c r="AN22" i="21"/>
  <c r="AO22" i="21"/>
  <c r="AP22" i="21"/>
  <c r="AF22" i="21"/>
  <c r="AG22" i="21"/>
  <c r="AH22" i="21"/>
  <c r="AI22" i="21"/>
  <c r="Z22" i="21"/>
  <c r="K22" i="21"/>
  <c r="AJ22" i="21"/>
  <c r="AA22" i="21"/>
  <c r="L22" i="21"/>
  <c r="AB22" i="21"/>
  <c r="AC22" i="21"/>
  <c r="T22" i="21"/>
  <c r="AD22" i="21"/>
  <c r="U22" i="21"/>
  <c r="V22" i="21"/>
  <c r="W22" i="21"/>
  <c r="X22" i="21"/>
  <c r="N22" i="21"/>
  <c r="O22" i="21"/>
  <c r="P22" i="21"/>
  <c r="Q22" i="21"/>
  <c r="H22" i="21"/>
  <c r="R22" i="21"/>
  <c r="J22" i="21"/>
  <c r="I22" i="21"/>
  <c r="AH30" i="21"/>
  <c r="AI30" i="21"/>
  <c r="AJ30" i="21"/>
  <c r="AM30" i="21"/>
  <c r="Z30" i="21"/>
  <c r="AN30" i="21"/>
  <c r="AA30" i="21"/>
  <c r="AO30" i="21"/>
  <c r="AP30" i="21"/>
  <c r="AC30" i="21"/>
  <c r="AD30" i="21"/>
  <c r="N30" i="21"/>
  <c r="O30" i="21"/>
  <c r="P30" i="21"/>
  <c r="Q30" i="21"/>
  <c r="R30" i="21"/>
  <c r="AB30" i="21"/>
  <c r="J30" i="21"/>
  <c r="V30" i="21"/>
  <c r="I30" i="21"/>
  <c r="T30" i="21"/>
  <c r="U30" i="21"/>
  <c r="AF30" i="21"/>
  <c r="W30" i="21"/>
  <c r="AG30" i="21"/>
  <c r="X30" i="21"/>
  <c r="H30" i="21"/>
  <c r="K30" i="21"/>
  <c r="L30" i="21"/>
  <c r="AM38" i="21"/>
  <c r="AN38" i="21"/>
  <c r="AO38" i="21"/>
  <c r="AP38" i="21"/>
  <c r="AF38" i="21"/>
  <c r="AG38" i="21"/>
  <c r="AH38" i="21"/>
  <c r="AI38" i="21"/>
  <c r="AA38" i="21"/>
  <c r="K38" i="21"/>
  <c r="AB38" i="21"/>
  <c r="L38" i="21"/>
  <c r="AC38" i="21"/>
  <c r="AD38" i="21"/>
  <c r="T38" i="21"/>
  <c r="U38" i="21"/>
  <c r="V38" i="21"/>
  <c r="W38" i="21"/>
  <c r="X38" i="21"/>
  <c r="N38" i="21"/>
  <c r="O38" i="21"/>
  <c r="AJ38" i="21"/>
  <c r="H38" i="21"/>
  <c r="I38" i="21"/>
  <c r="J38" i="21"/>
  <c r="P38" i="21"/>
  <c r="Z38" i="21"/>
  <c r="Q38" i="21"/>
  <c r="R38" i="21"/>
  <c r="AH46" i="21"/>
  <c r="AK46" i="21" s="1"/>
  <c r="AK46" i="20" s="1"/>
  <c r="AI46" i="21"/>
  <c r="AJ46" i="21"/>
  <c r="AM46" i="21"/>
  <c r="AQ46" i="21" s="1"/>
  <c r="Z46" i="21"/>
  <c r="AE46" i="21" s="1"/>
  <c r="AE46" i="20" s="1"/>
  <c r="AN46" i="21"/>
  <c r="AO46" i="21"/>
  <c r="AP46" i="21"/>
  <c r="AD46" i="21"/>
  <c r="N46" i="21"/>
  <c r="O46" i="21"/>
  <c r="P46" i="21"/>
  <c r="Q46" i="21"/>
  <c r="R46" i="21"/>
  <c r="AF46" i="21"/>
  <c r="J46" i="21"/>
  <c r="AG46" i="21"/>
  <c r="AA46" i="21"/>
  <c r="AB46" i="21"/>
  <c r="V46" i="21"/>
  <c r="H46" i="21"/>
  <c r="T46" i="21"/>
  <c r="Y46" i="21" s="1"/>
  <c r="Y46" i="20" s="1"/>
  <c r="U46" i="21"/>
  <c r="W46" i="21"/>
  <c r="X46" i="21"/>
  <c r="AC46" i="21"/>
  <c r="I46" i="21"/>
  <c r="L46" i="21"/>
  <c r="K46" i="21"/>
  <c r="S46" i="21"/>
  <c r="S46" i="20" s="1"/>
  <c r="AT54" i="21"/>
  <c r="AS54" i="21"/>
  <c r="F54" i="21"/>
  <c r="G54" i="21" s="1"/>
  <c r="AM54" i="21"/>
  <c r="AN54" i="21"/>
  <c r="AO54" i="21"/>
  <c r="AP54" i="21"/>
  <c r="AF54" i="21"/>
  <c r="AG54" i="21"/>
  <c r="AH54" i="21"/>
  <c r="AI54" i="21"/>
  <c r="K54" i="21"/>
  <c r="AJ54" i="21"/>
  <c r="T54" i="21"/>
  <c r="U54" i="21"/>
  <c r="V54" i="21"/>
  <c r="Z54" i="21"/>
  <c r="W54" i="21"/>
  <c r="AA54" i="21"/>
  <c r="X54" i="21"/>
  <c r="AB54" i="21"/>
  <c r="N54" i="21"/>
  <c r="AC54" i="21"/>
  <c r="AD54" i="21"/>
  <c r="L54" i="21"/>
  <c r="O54" i="21"/>
  <c r="I54" i="21"/>
  <c r="P54" i="21"/>
  <c r="Q54" i="21"/>
  <c r="R54" i="21"/>
  <c r="J54" i="21"/>
  <c r="H54" i="21"/>
  <c r="AQ54" i="21"/>
  <c r="S54" i="21"/>
  <c r="S54" i="20" s="1"/>
  <c r="Y54" i="21"/>
  <c r="Y54" i="20" s="1"/>
  <c r="AK54" i="21"/>
  <c r="AK54" i="20" s="1"/>
  <c r="M54" i="21"/>
  <c r="M54" i="20" s="1"/>
  <c r="AE54" i="21"/>
  <c r="AE54" i="20" s="1"/>
  <c r="AT62" i="21"/>
  <c r="AS62" i="21"/>
  <c r="AH62" i="21"/>
  <c r="AI62" i="21"/>
  <c r="AJ62" i="21"/>
  <c r="AM62" i="21"/>
  <c r="Z62" i="21"/>
  <c r="AN62" i="21"/>
  <c r="AO62" i="21"/>
  <c r="AP62" i="21"/>
  <c r="AD62" i="21"/>
  <c r="F62" i="21"/>
  <c r="G62" i="21" s="1"/>
  <c r="AF62" i="21"/>
  <c r="N62" i="21"/>
  <c r="AG62" i="21"/>
  <c r="O62" i="21"/>
  <c r="P62" i="21"/>
  <c r="Q62" i="21"/>
  <c r="AA62" i="21"/>
  <c r="R62" i="21"/>
  <c r="AB62" i="21"/>
  <c r="AC62" i="21"/>
  <c r="V62" i="21"/>
  <c r="U62" i="21"/>
  <c r="H62" i="21"/>
  <c r="J62" i="21"/>
  <c r="I62" i="21"/>
  <c r="K62" i="21"/>
  <c r="L62" i="21"/>
  <c r="T62" i="21"/>
  <c r="W62" i="21"/>
  <c r="X62" i="21"/>
  <c r="AE62" i="21"/>
  <c r="AE62" i="20" s="1"/>
  <c r="M62" i="21"/>
  <c r="M62" i="20" s="1"/>
  <c r="Y62" i="21"/>
  <c r="Y62" i="20" s="1"/>
  <c r="AQ62" i="21"/>
  <c r="S62" i="21"/>
  <c r="S62" i="20" s="1"/>
  <c r="AK62" i="21"/>
  <c r="AK62" i="20" s="1"/>
  <c r="AT70" i="21"/>
  <c r="AS70" i="21"/>
  <c r="AM70" i="21"/>
  <c r="AN70" i="21"/>
  <c r="AO70" i="21"/>
  <c r="AP70" i="21"/>
  <c r="AF70" i="21"/>
  <c r="AG70" i="21"/>
  <c r="AH70" i="21"/>
  <c r="AI70" i="21"/>
  <c r="T70" i="21"/>
  <c r="Z70" i="21"/>
  <c r="U70" i="21"/>
  <c r="AA70" i="21"/>
  <c r="V70" i="21"/>
  <c r="AB70" i="21"/>
  <c r="W70" i="21"/>
  <c r="AC70" i="21"/>
  <c r="X70" i="21"/>
  <c r="AD70" i="21"/>
  <c r="AJ70" i="21"/>
  <c r="L70" i="21"/>
  <c r="R70" i="21"/>
  <c r="K70" i="21"/>
  <c r="J70" i="21"/>
  <c r="I70" i="21"/>
  <c r="O70" i="21"/>
  <c r="Q70" i="21"/>
  <c r="H70" i="21"/>
  <c r="F70" i="21"/>
  <c r="G70" i="21" s="1"/>
  <c r="P70" i="21"/>
  <c r="N70" i="21"/>
  <c r="AQ70" i="21"/>
  <c r="S70" i="21"/>
  <c r="S70" i="20" s="1"/>
  <c r="AK70" i="21"/>
  <c r="AK70" i="20" s="1"/>
  <c r="M70" i="21"/>
  <c r="M70" i="20" s="1"/>
  <c r="AE70" i="21"/>
  <c r="AE70" i="20" s="1"/>
  <c r="Y70" i="21"/>
  <c r="Y70" i="20" s="1"/>
  <c r="AF29" i="19"/>
  <c r="AG29" i="19"/>
  <c r="AH29" i="19"/>
  <c r="AI29" i="19"/>
  <c r="AJ29" i="19"/>
  <c r="Z29" i="19"/>
  <c r="AM29" i="19"/>
  <c r="AA29" i="19"/>
  <c r="AN29" i="19"/>
  <c r="AB29" i="19"/>
  <c r="AO29" i="19"/>
  <c r="AC29" i="19"/>
  <c r="AP29" i="19"/>
  <c r="AD29" i="19"/>
  <c r="T29" i="19"/>
  <c r="U29" i="19"/>
  <c r="V29" i="19"/>
  <c r="W29" i="19"/>
  <c r="X29" i="19"/>
  <c r="N29" i="19"/>
  <c r="O29" i="19"/>
  <c r="P29" i="19"/>
  <c r="Q29" i="19"/>
  <c r="R29" i="19"/>
  <c r="K29" i="19"/>
  <c r="H29" i="19"/>
  <c r="I29" i="19"/>
  <c r="J29" i="19"/>
  <c r="L29" i="19"/>
  <c r="AD14" i="19"/>
  <c r="AF14" i="19"/>
  <c r="AG14" i="19"/>
  <c r="AH14" i="19"/>
  <c r="AI14" i="19"/>
  <c r="AJ14" i="19"/>
  <c r="AM14" i="19"/>
  <c r="Z14" i="19"/>
  <c r="AN14" i="19"/>
  <c r="AA14" i="19"/>
  <c r="I14" i="19"/>
  <c r="J14" i="19"/>
  <c r="K14" i="19"/>
  <c r="AB14" i="19"/>
  <c r="L14" i="19"/>
  <c r="AC14" i="19"/>
  <c r="T14" i="19"/>
  <c r="U14" i="19"/>
  <c r="V14" i="19"/>
  <c r="W14" i="19"/>
  <c r="AO14" i="19"/>
  <c r="X14" i="19"/>
  <c r="AP14" i="19"/>
  <c r="N14" i="19"/>
  <c r="Q14" i="19"/>
  <c r="H14" i="19"/>
  <c r="O14" i="19"/>
  <c r="P14" i="19"/>
  <c r="R14" i="19"/>
  <c r="AG70" i="19"/>
  <c r="AH70" i="19"/>
  <c r="AT70" i="19"/>
  <c r="AI70" i="19"/>
  <c r="AJ70" i="19"/>
  <c r="AA70" i="19"/>
  <c r="AB70" i="19"/>
  <c r="AC70" i="19"/>
  <c r="AS70" i="19"/>
  <c r="AD70" i="19"/>
  <c r="AM70" i="19"/>
  <c r="AN70" i="19"/>
  <c r="W70" i="19"/>
  <c r="F70" i="19"/>
  <c r="Z70" i="19"/>
  <c r="X70" i="19"/>
  <c r="N70" i="19"/>
  <c r="O70" i="19"/>
  <c r="P70" i="19"/>
  <c r="AO70" i="19"/>
  <c r="Q70" i="19"/>
  <c r="AP70" i="19"/>
  <c r="R70" i="19"/>
  <c r="H70" i="19"/>
  <c r="I70" i="19"/>
  <c r="T70" i="19"/>
  <c r="L70" i="19"/>
  <c r="U70" i="19"/>
  <c r="V70" i="19"/>
  <c r="J70" i="19"/>
  <c r="AF70" i="19"/>
  <c r="K70" i="19"/>
  <c r="D70" i="19"/>
  <c r="G70" i="19"/>
  <c r="AQ70" i="19"/>
  <c r="M70" i="19"/>
  <c r="M70" i="3" s="1"/>
  <c r="AK70" i="19"/>
  <c r="AK70" i="3" s="1"/>
  <c r="AE70" i="19"/>
  <c r="AE70" i="3" s="1"/>
  <c r="Y70" i="19"/>
  <c r="Y70" i="3" s="1"/>
  <c r="S70" i="19"/>
  <c r="S70" i="3" s="1"/>
  <c r="AF28" i="21"/>
  <c r="AG28" i="21"/>
  <c r="AH28" i="21"/>
  <c r="AI28" i="21"/>
  <c r="AJ28" i="21"/>
  <c r="AO28" i="21"/>
  <c r="Z28" i="21"/>
  <c r="AA28" i="21"/>
  <c r="T28" i="21"/>
  <c r="AB28" i="21"/>
  <c r="U28" i="21"/>
  <c r="AC28" i="21"/>
  <c r="V28" i="21"/>
  <c r="AD28" i="21"/>
  <c r="W28" i="21"/>
  <c r="X28" i="21"/>
  <c r="N28" i="21"/>
  <c r="O28" i="21"/>
  <c r="P28" i="21"/>
  <c r="Q28" i="21"/>
  <c r="AM28" i="21"/>
  <c r="AP28" i="21"/>
  <c r="J28" i="21"/>
  <c r="K28" i="21"/>
  <c r="L28" i="21"/>
  <c r="R28" i="21"/>
  <c r="H28" i="21"/>
  <c r="AN28" i="21"/>
  <c r="I28" i="21"/>
  <c r="AF10" i="19"/>
  <c r="AG10" i="19"/>
  <c r="AH10" i="19"/>
  <c r="AI10" i="19"/>
  <c r="AJ10" i="19"/>
  <c r="Z10" i="19"/>
  <c r="AA10" i="19"/>
  <c r="AB10" i="19"/>
  <c r="AC10" i="19"/>
  <c r="AM10" i="19"/>
  <c r="AD10" i="19"/>
  <c r="AN10" i="19"/>
  <c r="T10" i="19"/>
  <c r="U10" i="19"/>
  <c r="V10" i="19"/>
  <c r="W10" i="19"/>
  <c r="X10" i="19"/>
  <c r="N10" i="19"/>
  <c r="AO10" i="19"/>
  <c r="O10" i="19"/>
  <c r="AP10" i="19"/>
  <c r="P10" i="19"/>
  <c r="Q10" i="19"/>
  <c r="R10" i="19"/>
  <c r="J10" i="19"/>
  <c r="K10" i="19"/>
  <c r="L10" i="19"/>
  <c r="H10" i="19"/>
  <c r="I10" i="19"/>
  <c r="AF26" i="19"/>
  <c r="AG26" i="19"/>
  <c r="AH26" i="19"/>
  <c r="AI26" i="19"/>
  <c r="AJ26" i="19"/>
  <c r="Z26" i="19"/>
  <c r="AA26" i="19"/>
  <c r="AB26" i="19"/>
  <c r="AC26" i="19"/>
  <c r="AM26" i="19"/>
  <c r="AN26" i="19"/>
  <c r="AP26" i="19"/>
  <c r="T26" i="19"/>
  <c r="U26" i="19"/>
  <c r="V26" i="19"/>
  <c r="W26" i="19"/>
  <c r="X26" i="19"/>
  <c r="N26" i="19"/>
  <c r="O26" i="19"/>
  <c r="P26" i="19"/>
  <c r="Q26" i="19"/>
  <c r="R26" i="19"/>
  <c r="J26" i="19"/>
  <c r="AO26" i="19"/>
  <c r="AD26" i="19"/>
  <c r="H26" i="19"/>
  <c r="L26" i="19"/>
  <c r="I26" i="19"/>
  <c r="K26" i="19"/>
  <c r="Z34" i="19"/>
  <c r="AA34" i="19"/>
  <c r="AB34" i="19"/>
  <c r="AC34" i="19"/>
  <c r="AD34" i="19"/>
  <c r="AF34" i="19"/>
  <c r="AM34" i="19"/>
  <c r="AG34" i="19"/>
  <c r="AN34" i="19"/>
  <c r="AH34" i="19"/>
  <c r="P34" i="19"/>
  <c r="Q34" i="19"/>
  <c r="R34" i="19"/>
  <c r="AO34" i="19"/>
  <c r="H34" i="19"/>
  <c r="AP34" i="19"/>
  <c r="I34" i="19"/>
  <c r="J34" i="19"/>
  <c r="K34" i="19"/>
  <c r="AI34" i="19"/>
  <c r="L34" i="19"/>
  <c r="AJ34" i="19"/>
  <c r="T34" i="19"/>
  <c r="U34" i="19"/>
  <c r="X34" i="19"/>
  <c r="V34" i="19"/>
  <c r="W34" i="19"/>
  <c r="N34" i="19"/>
  <c r="O34" i="19"/>
  <c r="AF42" i="19"/>
  <c r="AG42" i="19"/>
  <c r="AH42" i="19"/>
  <c r="AI42" i="19"/>
  <c r="AJ42" i="19"/>
  <c r="Z42" i="19"/>
  <c r="AA42" i="19"/>
  <c r="AB42" i="19"/>
  <c r="AC42" i="19"/>
  <c r="AM42" i="19"/>
  <c r="AN42" i="19"/>
  <c r="T42" i="19"/>
  <c r="U42" i="19"/>
  <c r="V42" i="19"/>
  <c r="W42" i="19"/>
  <c r="X42" i="19"/>
  <c r="N42" i="19"/>
  <c r="AO42" i="19"/>
  <c r="O42" i="19"/>
  <c r="AP42" i="19"/>
  <c r="P42" i="19"/>
  <c r="Q42" i="19"/>
  <c r="R42" i="19"/>
  <c r="J42" i="19"/>
  <c r="L42" i="19"/>
  <c r="AD42" i="19"/>
  <c r="H42" i="19"/>
  <c r="I42" i="19"/>
  <c r="K42" i="19"/>
  <c r="D42" i="19"/>
  <c r="S42" i="19"/>
  <c r="S42" i="3" s="1"/>
  <c r="Z50" i="19"/>
  <c r="AA50" i="19"/>
  <c r="AB50" i="19"/>
  <c r="AC50" i="19"/>
  <c r="AD50" i="19"/>
  <c r="AF50" i="19"/>
  <c r="AM50" i="19"/>
  <c r="AG50" i="19"/>
  <c r="AK50" i="19" s="1"/>
  <c r="AK50" i="3" s="1"/>
  <c r="AN50" i="19"/>
  <c r="AH50" i="19"/>
  <c r="P50" i="19"/>
  <c r="AI50" i="19"/>
  <c r="Q50" i="19"/>
  <c r="AJ50" i="19"/>
  <c r="R50" i="19"/>
  <c r="H50" i="19"/>
  <c r="I50" i="19"/>
  <c r="J50" i="19"/>
  <c r="K50" i="19"/>
  <c r="L50" i="19"/>
  <c r="T50" i="19"/>
  <c r="Y50" i="19" s="1"/>
  <c r="Y50" i="3" s="1"/>
  <c r="U50" i="19"/>
  <c r="X50" i="19"/>
  <c r="AO50" i="19"/>
  <c r="AP50" i="19"/>
  <c r="V50" i="19"/>
  <c r="W50" i="19"/>
  <c r="N50" i="19"/>
  <c r="S50" i="19" s="1"/>
  <c r="S50" i="3" s="1"/>
  <c r="O50" i="19"/>
  <c r="D50" i="19"/>
  <c r="AF58" i="19"/>
  <c r="AG58" i="19"/>
  <c r="AH58" i="19"/>
  <c r="AT58" i="19"/>
  <c r="AI58" i="19"/>
  <c r="AJ58" i="19"/>
  <c r="Z58" i="19"/>
  <c r="AA58" i="19"/>
  <c r="AB58" i="19"/>
  <c r="AC58" i="19"/>
  <c r="AS58" i="19"/>
  <c r="AM58" i="19"/>
  <c r="AN58" i="19"/>
  <c r="AP58" i="19"/>
  <c r="T58" i="19"/>
  <c r="U58" i="19"/>
  <c r="AD58" i="19"/>
  <c r="V58" i="19"/>
  <c r="W58" i="19"/>
  <c r="F58" i="19"/>
  <c r="X58" i="19"/>
  <c r="N58" i="19"/>
  <c r="O58" i="19"/>
  <c r="P58" i="19"/>
  <c r="Q58" i="19"/>
  <c r="R58" i="19"/>
  <c r="H58" i="19"/>
  <c r="I58" i="19"/>
  <c r="J58" i="19"/>
  <c r="K58" i="19"/>
  <c r="AO58" i="19"/>
  <c r="L58" i="19"/>
  <c r="D58" i="19"/>
  <c r="G58" i="19"/>
  <c r="M58" i="19"/>
  <c r="M58" i="3" s="1"/>
  <c r="S58" i="19"/>
  <c r="S58" i="3" s="1"/>
  <c r="AQ58" i="19"/>
  <c r="AK58" i="19"/>
  <c r="AK58" i="3" s="1"/>
  <c r="AE58" i="19"/>
  <c r="AE58" i="3" s="1"/>
  <c r="Y58" i="19"/>
  <c r="Y58" i="3" s="1"/>
  <c r="AA66" i="19"/>
  <c r="AS66" i="19"/>
  <c r="AD66" i="19"/>
  <c r="AF66" i="19"/>
  <c r="AM66" i="19"/>
  <c r="AG66" i="19"/>
  <c r="AN66" i="19"/>
  <c r="AH66" i="19"/>
  <c r="P66" i="19"/>
  <c r="Q66" i="19"/>
  <c r="R66" i="19"/>
  <c r="AO66" i="19"/>
  <c r="H66" i="19"/>
  <c r="AP66" i="19"/>
  <c r="I66" i="19"/>
  <c r="Z66" i="19"/>
  <c r="J66" i="19"/>
  <c r="AB66" i="19"/>
  <c r="K66" i="19"/>
  <c r="AT66" i="19"/>
  <c r="AC66" i="19"/>
  <c r="L66" i="19"/>
  <c r="T66" i="19"/>
  <c r="U66" i="19"/>
  <c r="X66" i="19"/>
  <c r="N66" i="19"/>
  <c r="F66" i="19"/>
  <c r="O66" i="19"/>
  <c r="AI66" i="19"/>
  <c r="V66" i="19"/>
  <c r="AJ66" i="19"/>
  <c r="W66" i="19"/>
  <c r="D66" i="19"/>
  <c r="Y66" i="19"/>
  <c r="Y66" i="3" s="1"/>
  <c r="AK66" i="19"/>
  <c r="AK66" i="3" s="1"/>
  <c r="AE66" i="19"/>
  <c r="AE66" i="3" s="1"/>
  <c r="G66" i="19"/>
  <c r="S66" i="19"/>
  <c r="S66" i="3" s="1"/>
  <c r="AQ66" i="19"/>
  <c r="M66" i="19"/>
  <c r="M66" i="3" s="1"/>
  <c r="Z18" i="19"/>
  <c r="AA18" i="19"/>
  <c r="AB18" i="19"/>
  <c r="AC18" i="19"/>
  <c r="AD18" i="19"/>
  <c r="AF18" i="19"/>
  <c r="AM18" i="19"/>
  <c r="AG18" i="19"/>
  <c r="AN18" i="19"/>
  <c r="AH18" i="19"/>
  <c r="P18" i="19"/>
  <c r="Q18" i="19"/>
  <c r="R18" i="19"/>
  <c r="H18" i="19"/>
  <c r="I18" i="19"/>
  <c r="J18" i="19"/>
  <c r="K18" i="19"/>
  <c r="L18" i="19"/>
  <c r="T18" i="19"/>
  <c r="U18" i="19"/>
  <c r="AI18" i="19"/>
  <c r="X18" i="19"/>
  <c r="V18" i="19"/>
  <c r="W18" i="19"/>
  <c r="N18" i="19"/>
  <c r="O18" i="19"/>
  <c r="AJ18" i="19"/>
  <c r="AO18" i="19"/>
  <c r="AP18" i="19"/>
  <c r="AM7" i="21"/>
  <c r="AO7" i="21"/>
  <c r="Z7" i="21"/>
  <c r="AP7" i="21"/>
  <c r="AA7" i="21"/>
  <c r="AB7" i="21"/>
  <c r="AC7" i="21"/>
  <c r="AD7" i="21"/>
  <c r="V7" i="21"/>
  <c r="AH7" i="21"/>
  <c r="X7" i="21"/>
  <c r="Q7" i="21"/>
  <c r="R7" i="21"/>
  <c r="H7" i="21"/>
  <c r="I7" i="21"/>
  <c r="J7" i="21"/>
  <c r="L7" i="21"/>
  <c r="AF7" i="21"/>
  <c r="AG7" i="21"/>
  <c r="T7" i="21"/>
  <c r="N7" i="21"/>
  <c r="P7" i="21"/>
  <c r="O7" i="21"/>
  <c r="K7" i="21"/>
  <c r="U7" i="21"/>
  <c r="W7" i="21"/>
  <c r="AI7" i="21"/>
  <c r="AN7" i="21"/>
  <c r="AJ7" i="21"/>
  <c r="AF15" i="21"/>
  <c r="AG15" i="21"/>
  <c r="AH15" i="21"/>
  <c r="AI15" i="21"/>
  <c r="AJ15" i="21"/>
  <c r="Z15" i="21"/>
  <c r="AM15" i="21"/>
  <c r="AN15" i="21"/>
  <c r="AB15" i="21"/>
  <c r="T15" i="21"/>
  <c r="AO15" i="21"/>
  <c r="AC15" i="21"/>
  <c r="U15" i="21"/>
  <c r="AP15" i="21"/>
  <c r="AD15" i="21"/>
  <c r="V15" i="21"/>
  <c r="W15" i="21"/>
  <c r="X15" i="21"/>
  <c r="N15" i="21"/>
  <c r="O15" i="21"/>
  <c r="P15" i="21"/>
  <c r="Q15" i="21"/>
  <c r="R15" i="21"/>
  <c r="K15" i="21"/>
  <c r="L15" i="21"/>
  <c r="H15" i="21"/>
  <c r="AA15" i="21"/>
  <c r="I15" i="21"/>
  <c r="J15" i="21"/>
  <c r="Z23" i="21"/>
  <c r="AA23" i="21"/>
  <c r="AB23" i="21"/>
  <c r="AC23" i="21"/>
  <c r="AD23" i="21"/>
  <c r="AM23" i="21"/>
  <c r="AN23" i="21"/>
  <c r="AO23" i="21"/>
  <c r="AP23" i="21"/>
  <c r="AH23" i="21"/>
  <c r="Q23" i="21"/>
  <c r="R23" i="21"/>
  <c r="AF23" i="21"/>
  <c r="H23" i="21"/>
  <c r="AG23" i="21"/>
  <c r="I23" i="21"/>
  <c r="AI23" i="21"/>
  <c r="J23" i="21"/>
  <c r="AJ23" i="21"/>
  <c r="L23" i="21"/>
  <c r="T23" i="21"/>
  <c r="U23" i="21"/>
  <c r="V23" i="21"/>
  <c r="N23" i="21"/>
  <c r="O23" i="21"/>
  <c r="P23" i="21"/>
  <c r="W23" i="21"/>
  <c r="X23" i="21"/>
  <c r="K23" i="21"/>
  <c r="AF31" i="21"/>
  <c r="AG31" i="21"/>
  <c r="AH31" i="21"/>
  <c r="AI31" i="21"/>
  <c r="AM31" i="21"/>
  <c r="AJ31" i="21"/>
  <c r="AN31" i="21"/>
  <c r="AO31" i="21"/>
  <c r="AP31" i="21"/>
  <c r="T31" i="21"/>
  <c r="U31" i="21"/>
  <c r="V31" i="21"/>
  <c r="W31" i="21"/>
  <c r="X31" i="21"/>
  <c r="N31" i="21"/>
  <c r="O31" i="21"/>
  <c r="P31" i="21"/>
  <c r="Z31" i="21"/>
  <c r="Q31" i="21"/>
  <c r="AA31" i="21"/>
  <c r="R31" i="21"/>
  <c r="AB31" i="21"/>
  <c r="AC31" i="21"/>
  <c r="AD31" i="21"/>
  <c r="H31" i="21"/>
  <c r="I31" i="21"/>
  <c r="K31" i="21"/>
  <c r="J31" i="21"/>
  <c r="L31" i="21"/>
  <c r="Z39" i="21"/>
  <c r="AE39" i="21" s="1"/>
  <c r="AE39" i="20" s="1"/>
  <c r="AA39" i="21"/>
  <c r="AB39" i="21"/>
  <c r="AC39" i="21"/>
  <c r="AD39" i="21"/>
  <c r="AM39" i="21"/>
  <c r="AN39" i="21"/>
  <c r="AO39" i="21"/>
  <c r="AP39" i="21"/>
  <c r="AH39" i="21"/>
  <c r="Q39" i="21"/>
  <c r="R39" i="21"/>
  <c r="H39" i="21"/>
  <c r="I39" i="21"/>
  <c r="T39" i="21"/>
  <c r="U39" i="21"/>
  <c r="V39" i="21"/>
  <c r="AI39" i="21"/>
  <c r="N39" i="21"/>
  <c r="O39" i="21"/>
  <c r="W39" i="21"/>
  <c r="J39" i="21"/>
  <c r="K39" i="21"/>
  <c r="AF39" i="21"/>
  <c r="AG39" i="21"/>
  <c r="L39" i="21"/>
  <c r="AJ39" i="21"/>
  <c r="X39" i="21"/>
  <c r="P39" i="21"/>
  <c r="AF47" i="21"/>
  <c r="AG47" i="21"/>
  <c r="AH47" i="21"/>
  <c r="AI47" i="21"/>
  <c r="AM47" i="21"/>
  <c r="AQ47" i="21" s="1"/>
  <c r="AJ47" i="21"/>
  <c r="AK47" i="21" s="1"/>
  <c r="AK47" i="20" s="1"/>
  <c r="AN47" i="21"/>
  <c r="AO47" i="21"/>
  <c r="AP47" i="21"/>
  <c r="AD47" i="21"/>
  <c r="T47" i="21"/>
  <c r="Y47" i="21" s="1"/>
  <c r="Y47" i="20" s="1"/>
  <c r="U47" i="21"/>
  <c r="V47" i="21"/>
  <c r="W47" i="21"/>
  <c r="X47" i="21"/>
  <c r="N47" i="21"/>
  <c r="O47" i="21"/>
  <c r="P47" i="21"/>
  <c r="Q47" i="21"/>
  <c r="R47" i="21"/>
  <c r="S47" i="21" s="1"/>
  <c r="S47" i="20" s="1"/>
  <c r="AA47" i="21"/>
  <c r="AC47" i="21"/>
  <c r="H47" i="21"/>
  <c r="Z47" i="21"/>
  <c r="AE47" i="21" s="1"/>
  <c r="AE47" i="20" s="1"/>
  <c r="I47" i="21"/>
  <c r="J47" i="21"/>
  <c r="K47" i="21"/>
  <c r="L47" i="21"/>
  <c r="AB47" i="21"/>
  <c r="AT55" i="21"/>
  <c r="AS55" i="21"/>
  <c r="F55" i="21"/>
  <c r="G55" i="21" s="1"/>
  <c r="Z55" i="21"/>
  <c r="AA55" i="21"/>
  <c r="AC55" i="21"/>
  <c r="AM55" i="21"/>
  <c r="AN55" i="21"/>
  <c r="AO55" i="21"/>
  <c r="AP55" i="21"/>
  <c r="AH55" i="21"/>
  <c r="Q55" i="21"/>
  <c r="R55" i="21"/>
  <c r="AF55" i="21"/>
  <c r="AG55" i="21"/>
  <c r="AI55" i="21"/>
  <c r="AJ55" i="21"/>
  <c r="T55" i="21"/>
  <c r="U55" i="21"/>
  <c r="V55" i="21"/>
  <c r="W55" i="21"/>
  <c r="H55" i="21"/>
  <c r="O55" i="21"/>
  <c r="X55" i="21"/>
  <c r="I55" i="21"/>
  <c r="J55" i="21"/>
  <c r="L55" i="21"/>
  <c r="K55" i="21"/>
  <c r="AB55" i="21"/>
  <c r="AD55" i="21"/>
  <c r="N55" i="21"/>
  <c r="P55" i="21"/>
  <c r="AQ55" i="21"/>
  <c r="S55" i="21"/>
  <c r="S55" i="20" s="1"/>
  <c r="AK55" i="21"/>
  <c r="AK55" i="20" s="1"/>
  <c r="M55" i="21"/>
  <c r="M55" i="20" s="1"/>
  <c r="AE55" i="21"/>
  <c r="AE55" i="20" s="1"/>
  <c r="Y55" i="21"/>
  <c r="Y55" i="20" s="1"/>
  <c r="AT63" i="21"/>
  <c r="AS63" i="21"/>
  <c r="AF63" i="21"/>
  <c r="AG63" i="21"/>
  <c r="AH63" i="21"/>
  <c r="AI63" i="21"/>
  <c r="AM63" i="21"/>
  <c r="AJ63" i="21"/>
  <c r="AN63" i="21"/>
  <c r="F63" i="21"/>
  <c r="G63" i="21" s="1"/>
  <c r="AO63" i="21"/>
  <c r="AP63" i="21"/>
  <c r="T63" i="21"/>
  <c r="U63" i="21"/>
  <c r="V63" i="21"/>
  <c r="W63" i="21"/>
  <c r="X63" i="21"/>
  <c r="N63" i="21"/>
  <c r="O63" i="21"/>
  <c r="Z63" i="21"/>
  <c r="P63" i="21"/>
  <c r="AA63" i="21"/>
  <c r="Q63" i="21"/>
  <c r="AB63" i="21"/>
  <c r="AC63" i="21"/>
  <c r="R63" i="21"/>
  <c r="L63" i="21"/>
  <c r="H63" i="21"/>
  <c r="AD63" i="21"/>
  <c r="I63" i="21"/>
  <c r="J63" i="21"/>
  <c r="K63" i="21"/>
  <c r="AE63" i="21"/>
  <c r="AE63" i="20" s="1"/>
  <c r="Y63" i="21"/>
  <c r="Y63" i="20" s="1"/>
  <c r="AQ63" i="21"/>
  <c r="S63" i="21"/>
  <c r="S63" i="20" s="1"/>
  <c r="AK63" i="21"/>
  <c r="AK63" i="20" s="1"/>
  <c r="M63" i="21"/>
  <c r="M63" i="20" s="1"/>
  <c r="AA37" i="19"/>
  <c r="AB37" i="19"/>
  <c r="AC37" i="19"/>
  <c r="AD37" i="19"/>
  <c r="AM37" i="19"/>
  <c r="AN37" i="19"/>
  <c r="AO37" i="19"/>
  <c r="AF37" i="19"/>
  <c r="AP37" i="19"/>
  <c r="AQ37" i="19" s="1"/>
  <c r="AG37" i="19"/>
  <c r="AH37" i="19"/>
  <c r="AI37" i="19"/>
  <c r="Q37" i="19"/>
  <c r="R37" i="19"/>
  <c r="I37" i="19"/>
  <c r="J37" i="19"/>
  <c r="K37" i="19"/>
  <c r="L37" i="19"/>
  <c r="T37" i="19"/>
  <c r="AJ37" i="19"/>
  <c r="U37" i="19"/>
  <c r="Z37" i="19"/>
  <c r="V37" i="19"/>
  <c r="N37" i="19"/>
  <c r="H37" i="19"/>
  <c r="W37" i="19"/>
  <c r="X37" i="19"/>
  <c r="O37" i="19"/>
  <c r="P37" i="19"/>
  <c r="D37" i="19"/>
  <c r="AD46" i="19"/>
  <c r="AF46" i="19"/>
  <c r="AG46" i="19"/>
  <c r="AK46" i="19" s="1"/>
  <c r="AK46" i="3" s="1"/>
  <c r="AH46" i="19"/>
  <c r="AI46" i="19"/>
  <c r="AJ46" i="19"/>
  <c r="AM46" i="19"/>
  <c r="AN46" i="19"/>
  <c r="I46" i="19"/>
  <c r="J46" i="19"/>
  <c r="Z46" i="19"/>
  <c r="AE46" i="19" s="1"/>
  <c r="AE46" i="3" s="1"/>
  <c r="L46" i="19"/>
  <c r="AA46" i="19"/>
  <c r="AB46" i="19"/>
  <c r="T46" i="19"/>
  <c r="AC46" i="19"/>
  <c r="U46" i="19"/>
  <c r="V46" i="19"/>
  <c r="Y46" i="19" s="1"/>
  <c r="Y46" i="3" s="1"/>
  <c r="W46" i="19"/>
  <c r="AO46" i="19"/>
  <c r="X46" i="19"/>
  <c r="AP46" i="19"/>
  <c r="N46" i="19"/>
  <c r="S46" i="19" s="1"/>
  <c r="S46" i="3" s="1"/>
  <c r="Q46" i="19"/>
  <c r="O46" i="19"/>
  <c r="P46" i="19"/>
  <c r="R46" i="19"/>
  <c r="H46" i="19"/>
  <c r="K46" i="19"/>
  <c r="D46" i="19"/>
  <c r="AQ46" i="19"/>
  <c r="AM11" i="19"/>
  <c r="AC11" i="19"/>
  <c r="AN11" i="19"/>
  <c r="AD11" i="19"/>
  <c r="AO11" i="19"/>
  <c r="AP11" i="19"/>
  <c r="AF11" i="19"/>
  <c r="AG11" i="19"/>
  <c r="AH11" i="19"/>
  <c r="AI11" i="19"/>
  <c r="AJ11" i="19"/>
  <c r="Z11" i="19"/>
  <c r="H11" i="19"/>
  <c r="AA11" i="19"/>
  <c r="I11" i="19"/>
  <c r="AB11" i="19"/>
  <c r="J11" i="19"/>
  <c r="K11" i="19"/>
  <c r="L11" i="19"/>
  <c r="T11" i="19"/>
  <c r="U11" i="19"/>
  <c r="V11" i="19"/>
  <c r="W11" i="19"/>
  <c r="X11" i="19"/>
  <c r="P11" i="19"/>
  <c r="N11" i="19"/>
  <c r="O11" i="19"/>
  <c r="Q11" i="19"/>
  <c r="R11" i="19"/>
  <c r="AM19" i="19"/>
  <c r="AF19" i="19"/>
  <c r="AN19" i="19"/>
  <c r="AG19" i="19"/>
  <c r="AO19" i="19"/>
  <c r="AH19" i="19"/>
  <c r="AP19" i="19"/>
  <c r="AI19" i="19"/>
  <c r="AJ19" i="19"/>
  <c r="Z19" i="19"/>
  <c r="AA19" i="19"/>
  <c r="AB19" i="19"/>
  <c r="AC19" i="19"/>
  <c r="AD19" i="19"/>
  <c r="V19" i="19"/>
  <c r="W19" i="19"/>
  <c r="X19" i="19"/>
  <c r="N19" i="19"/>
  <c r="O19" i="19"/>
  <c r="P19" i="19"/>
  <c r="Q19" i="19"/>
  <c r="R19" i="19"/>
  <c r="H19" i="19"/>
  <c r="I19" i="19"/>
  <c r="T19" i="19"/>
  <c r="U19" i="19"/>
  <c r="K19" i="19"/>
  <c r="J19" i="19"/>
  <c r="L19" i="19"/>
  <c r="AM27" i="19"/>
  <c r="AC27" i="19"/>
  <c r="AN27" i="19"/>
  <c r="AD27" i="19"/>
  <c r="AO27" i="19"/>
  <c r="AP27" i="19"/>
  <c r="AF27" i="19"/>
  <c r="AG27" i="19"/>
  <c r="AH27" i="19"/>
  <c r="AI27" i="19"/>
  <c r="AJ27" i="19"/>
  <c r="H27" i="19"/>
  <c r="I27" i="19"/>
  <c r="K27" i="19"/>
  <c r="L27" i="19"/>
  <c r="T27" i="19"/>
  <c r="U27" i="19"/>
  <c r="V27" i="19"/>
  <c r="W27" i="19"/>
  <c r="X27" i="19"/>
  <c r="AA27" i="19"/>
  <c r="P27" i="19"/>
  <c r="R27" i="19"/>
  <c r="Z27" i="19"/>
  <c r="AB27" i="19"/>
  <c r="N27" i="19"/>
  <c r="O27" i="19"/>
  <c r="Q27" i="19"/>
  <c r="J27" i="19"/>
  <c r="AM35" i="19"/>
  <c r="AF35" i="19"/>
  <c r="AK35" i="19" s="1"/>
  <c r="AK35" i="3" s="1"/>
  <c r="AN35" i="19"/>
  <c r="AG35" i="19"/>
  <c r="AO35" i="19"/>
  <c r="AQ35" i="19" s="1"/>
  <c r="AH35" i="19"/>
  <c r="AP35" i="19"/>
  <c r="AI35" i="19"/>
  <c r="AJ35" i="19"/>
  <c r="Z35" i="19"/>
  <c r="AA35" i="19"/>
  <c r="AB35" i="19"/>
  <c r="AC35" i="19"/>
  <c r="AD35" i="19"/>
  <c r="V35" i="19"/>
  <c r="W35" i="19"/>
  <c r="X35" i="19"/>
  <c r="N35" i="19"/>
  <c r="O35" i="19"/>
  <c r="P35" i="19"/>
  <c r="Q35" i="19"/>
  <c r="R35" i="19"/>
  <c r="H35" i="19"/>
  <c r="L35" i="19"/>
  <c r="T35" i="19"/>
  <c r="U35" i="19"/>
  <c r="I35" i="19"/>
  <c r="J35" i="19"/>
  <c r="K35" i="19"/>
  <c r="D35" i="19"/>
  <c r="AM43" i="19"/>
  <c r="AC43" i="19"/>
  <c r="AN43" i="19"/>
  <c r="AD43" i="19"/>
  <c r="AO43" i="19"/>
  <c r="AP43" i="19"/>
  <c r="AF43" i="19"/>
  <c r="AG43" i="19"/>
  <c r="AH43" i="19"/>
  <c r="AI43" i="19"/>
  <c r="AJ43" i="19"/>
  <c r="Z43" i="19"/>
  <c r="H43" i="19"/>
  <c r="AA43" i="19"/>
  <c r="I43" i="19"/>
  <c r="AB43" i="19"/>
  <c r="K43" i="19"/>
  <c r="L43" i="19"/>
  <c r="T43" i="19"/>
  <c r="Y43" i="19" s="1"/>
  <c r="Y43" i="3" s="1"/>
  <c r="U43" i="19"/>
  <c r="V43" i="19"/>
  <c r="W43" i="19"/>
  <c r="X43" i="19"/>
  <c r="P43" i="19"/>
  <c r="N43" i="19"/>
  <c r="J43" i="19"/>
  <c r="O43" i="19"/>
  <c r="Q43" i="19"/>
  <c r="R43" i="19"/>
  <c r="D43" i="19"/>
  <c r="E43" i="19" s="1"/>
  <c r="AK43" i="19"/>
  <c r="AK43" i="3" s="1"/>
  <c r="AM51" i="19"/>
  <c r="AF51" i="19"/>
  <c r="AN51" i="19"/>
  <c r="AG51" i="19"/>
  <c r="AO51" i="19"/>
  <c r="AH51" i="19"/>
  <c r="AP51" i="19"/>
  <c r="AI51" i="19"/>
  <c r="AJ51" i="19"/>
  <c r="AS51" i="19"/>
  <c r="Z51" i="19"/>
  <c r="AA51" i="19"/>
  <c r="AB51" i="19"/>
  <c r="AC51" i="19"/>
  <c r="AD51" i="19"/>
  <c r="V51" i="19"/>
  <c r="W51" i="19"/>
  <c r="X51" i="19"/>
  <c r="N51" i="19"/>
  <c r="O51" i="19"/>
  <c r="P51" i="19"/>
  <c r="AT51" i="19"/>
  <c r="Q51" i="19"/>
  <c r="R51" i="19"/>
  <c r="H51" i="19"/>
  <c r="I51" i="19"/>
  <c r="J51" i="19"/>
  <c r="K51" i="19"/>
  <c r="L51" i="19"/>
  <c r="F51" i="19"/>
  <c r="T51" i="19"/>
  <c r="U51" i="19"/>
  <c r="D51" i="19"/>
  <c r="AQ51" i="19"/>
  <c r="M51" i="19"/>
  <c r="M51" i="3" s="1"/>
  <c r="AE51" i="19"/>
  <c r="AE51" i="3" s="1"/>
  <c r="AK51" i="19"/>
  <c r="AK51" i="3" s="1"/>
  <c r="S51" i="19"/>
  <c r="S51" i="3" s="1"/>
  <c r="Y51" i="19"/>
  <c r="Y51" i="3" s="1"/>
  <c r="G51" i="19"/>
  <c r="AM59" i="19"/>
  <c r="AC59" i="19"/>
  <c r="AN59" i="19"/>
  <c r="AD59" i="19"/>
  <c r="AO59" i="19"/>
  <c r="AP59" i="19"/>
  <c r="AT59" i="19"/>
  <c r="AF59" i="19"/>
  <c r="AG59" i="19"/>
  <c r="AH59" i="19"/>
  <c r="AI59" i="19"/>
  <c r="AJ59" i="19"/>
  <c r="AS59" i="19"/>
  <c r="H59" i="19"/>
  <c r="I59" i="19"/>
  <c r="K59" i="19"/>
  <c r="Z59" i="19"/>
  <c r="L59" i="19"/>
  <c r="AA59" i="19"/>
  <c r="F59" i="19"/>
  <c r="AB59" i="19"/>
  <c r="T59" i="19"/>
  <c r="U59" i="19"/>
  <c r="V59" i="19"/>
  <c r="W59" i="19"/>
  <c r="X59" i="19"/>
  <c r="P59" i="19"/>
  <c r="N59" i="19"/>
  <c r="J59" i="19"/>
  <c r="O59" i="19"/>
  <c r="Q59" i="19"/>
  <c r="R59" i="19"/>
  <c r="D59" i="19"/>
  <c r="Y59" i="19"/>
  <c r="Y59" i="3" s="1"/>
  <c r="G59" i="19"/>
  <c r="S59" i="19"/>
  <c r="S59" i="3" s="1"/>
  <c r="AQ59" i="19"/>
  <c r="M59" i="19"/>
  <c r="M59" i="3" s="1"/>
  <c r="AE59" i="19"/>
  <c r="AE59" i="3" s="1"/>
  <c r="AK59" i="19"/>
  <c r="AK59" i="3" s="1"/>
  <c r="AM67" i="19"/>
  <c r="AF67" i="19"/>
  <c r="AN67" i="19"/>
  <c r="AG67" i="19"/>
  <c r="AO67" i="19"/>
  <c r="AH67" i="19"/>
  <c r="AP67" i="19"/>
  <c r="AI67" i="19"/>
  <c r="AJ67" i="19"/>
  <c r="AS67" i="19"/>
  <c r="Z67" i="19"/>
  <c r="AA67" i="19"/>
  <c r="AB67" i="19"/>
  <c r="AC67" i="19"/>
  <c r="AD67" i="19"/>
  <c r="V67" i="19"/>
  <c r="W67" i="19"/>
  <c r="X67" i="19"/>
  <c r="N67" i="19"/>
  <c r="O67" i="19"/>
  <c r="P67" i="19"/>
  <c r="Q67" i="19"/>
  <c r="R67" i="19"/>
  <c r="AT67" i="19"/>
  <c r="H67" i="19"/>
  <c r="U67" i="19"/>
  <c r="F67" i="19"/>
  <c r="I67" i="19"/>
  <c r="J67" i="19"/>
  <c r="K67" i="19"/>
  <c r="L67" i="19"/>
  <c r="T67" i="19"/>
  <c r="D67" i="19"/>
  <c r="AQ67" i="19"/>
  <c r="M67" i="19"/>
  <c r="M67" i="3" s="1"/>
  <c r="S67" i="19"/>
  <c r="S67" i="3" s="1"/>
  <c r="AK67" i="19"/>
  <c r="AK67" i="3" s="1"/>
  <c r="AE67" i="19"/>
  <c r="AE67" i="3" s="1"/>
  <c r="Y67" i="19"/>
  <c r="Y67" i="3" s="1"/>
  <c r="G67" i="19"/>
  <c r="AA21" i="19"/>
  <c r="AB21" i="19"/>
  <c r="AC21" i="19"/>
  <c r="AD21" i="19"/>
  <c r="AM21" i="19"/>
  <c r="AN21" i="19"/>
  <c r="AO21" i="19"/>
  <c r="AF21" i="19"/>
  <c r="AP21" i="19"/>
  <c r="AG21" i="19"/>
  <c r="AH21" i="19"/>
  <c r="AI21" i="19"/>
  <c r="Q21" i="19"/>
  <c r="R21" i="19"/>
  <c r="H21" i="19"/>
  <c r="I21" i="19"/>
  <c r="J21" i="19"/>
  <c r="K21" i="19"/>
  <c r="L21" i="19"/>
  <c r="Z21" i="19"/>
  <c r="T21" i="19"/>
  <c r="U21" i="19"/>
  <c r="V21" i="19"/>
  <c r="N21" i="19"/>
  <c r="W21" i="19"/>
  <c r="X21" i="19"/>
  <c r="O21" i="19"/>
  <c r="AJ21" i="19"/>
  <c r="P21" i="19"/>
  <c r="AM12" i="21"/>
  <c r="AO12" i="21"/>
  <c r="V12" i="21"/>
  <c r="AP12" i="21"/>
  <c r="AF12" i="21"/>
  <c r="AG12" i="21"/>
  <c r="AH12" i="21"/>
  <c r="AI12" i="21"/>
  <c r="AJ12" i="21"/>
  <c r="Z12" i="21"/>
  <c r="AN12" i="21"/>
  <c r="T12" i="21"/>
  <c r="U12" i="21"/>
  <c r="W12" i="21"/>
  <c r="X12" i="21"/>
  <c r="N12" i="21"/>
  <c r="O12" i="21"/>
  <c r="P12" i="21"/>
  <c r="AA12" i="21"/>
  <c r="Q12" i="21"/>
  <c r="AB12" i="21"/>
  <c r="I12" i="21"/>
  <c r="J12" i="21"/>
  <c r="K12" i="21"/>
  <c r="R12" i="21"/>
  <c r="L12" i="21"/>
  <c r="AC12" i="21"/>
  <c r="AD12" i="21"/>
  <c r="H12" i="21"/>
  <c r="F52" i="21"/>
  <c r="G52" i="21" s="1"/>
  <c r="AT52" i="21"/>
  <c r="AJ52" i="21"/>
  <c r="Z52" i="21"/>
  <c r="AS52" i="21"/>
  <c r="AB52" i="21"/>
  <c r="AO52" i="21"/>
  <c r="AG52" i="21"/>
  <c r="AF52" i="21"/>
  <c r="AC52" i="21"/>
  <c r="P52" i="21"/>
  <c r="AH52" i="21"/>
  <c r="AD52" i="21"/>
  <c r="Q52" i="21"/>
  <c r="AI52" i="21"/>
  <c r="R52" i="21"/>
  <c r="AM52" i="21"/>
  <c r="AN52" i="21"/>
  <c r="AP52" i="21"/>
  <c r="L52" i="21"/>
  <c r="T52" i="21"/>
  <c r="U52" i="21"/>
  <c r="X52" i="21"/>
  <c r="I52" i="21"/>
  <c r="AA52" i="21"/>
  <c r="N52" i="21"/>
  <c r="H52" i="21"/>
  <c r="O52" i="21"/>
  <c r="J52" i="21"/>
  <c r="K52" i="21"/>
  <c r="V52" i="21"/>
  <c r="W52" i="21"/>
  <c r="S52" i="21"/>
  <c r="S52" i="20" s="1"/>
  <c r="AK52" i="21"/>
  <c r="AK52" i="20" s="1"/>
  <c r="M52" i="21"/>
  <c r="M52" i="20" s="1"/>
  <c r="AE52" i="21"/>
  <c r="AE52" i="20" s="1"/>
  <c r="AQ52" i="21"/>
  <c r="Y52" i="21"/>
  <c r="Y52" i="20" s="1"/>
  <c r="AM8" i="21"/>
  <c r="AF8" i="21"/>
  <c r="AG8" i="21"/>
  <c r="AN8" i="21"/>
  <c r="AH8" i="21"/>
  <c r="AO8" i="21"/>
  <c r="AI8" i="21"/>
  <c r="AP8" i="21"/>
  <c r="AJ8" i="21"/>
  <c r="Z8" i="21"/>
  <c r="AA8" i="21"/>
  <c r="AB8" i="21"/>
  <c r="AC8" i="21"/>
  <c r="AD8" i="21"/>
  <c r="T8" i="21"/>
  <c r="U8" i="21"/>
  <c r="N8" i="21"/>
  <c r="V8" i="21"/>
  <c r="O8" i="21"/>
  <c r="W8" i="21"/>
  <c r="P8" i="21"/>
  <c r="X8" i="21"/>
  <c r="Q8" i="21"/>
  <c r="R8" i="21"/>
  <c r="H8" i="21"/>
  <c r="I8" i="21"/>
  <c r="J8" i="21"/>
  <c r="K8" i="21"/>
  <c r="L8" i="21"/>
  <c r="AM16" i="21"/>
  <c r="AC16" i="21"/>
  <c r="AD16" i="21"/>
  <c r="AF16" i="21"/>
  <c r="AG16" i="21"/>
  <c r="AN16" i="21"/>
  <c r="I16" i="21"/>
  <c r="J16" i="21"/>
  <c r="K16" i="21"/>
  <c r="AO16" i="21"/>
  <c r="Z16" i="21"/>
  <c r="L16" i="21"/>
  <c r="AP16" i="21"/>
  <c r="AA16" i="21"/>
  <c r="AB16" i="21"/>
  <c r="T16" i="21"/>
  <c r="U16" i="21"/>
  <c r="AH16" i="21"/>
  <c r="V16" i="21"/>
  <c r="AI16" i="21"/>
  <c r="W16" i="21"/>
  <c r="AJ16" i="21"/>
  <c r="X16" i="21"/>
  <c r="Q16" i="21"/>
  <c r="H16" i="21"/>
  <c r="N16" i="21"/>
  <c r="O16" i="21"/>
  <c r="R16" i="21"/>
  <c r="P16" i="21"/>
  <c r="AF24" i="21"/>
  <c r="AG24" i="21"/>
  <c r="AH24" i="21"/>
  <c r="AI24" i="21"/>
  <c r="AJ24" i="21"/>
  <c r="AA24" i="21"/>
  <c r="AB24" i="21"/>
  <c r="AO24" i="21"/>
  <c r="W24" i="21"/>
  <c r="X24" i="21"/>
  <c r="N24" i="21"/>
  <c r="O24" i="21"/>
  <c r="P24" i="21"/>
  <c r="Z24" i="21"/>
  <c r="Q24" i="21"/>
  <c r="AC24" i="21"/>
  <c r="R24" i="21"/>
  <c r="AD24" i="21"/>
  <c r="H24" i="21"/>
  <c r="AM24" i="21"/>
  <c r="AN24" i="21"/>
  <c r="T24" i="21"/>
  <c r="I24" i="21"/>
  <c r="AP24" i="21"/>
  <c r="J24" i="21"/>
  <c r="K24" i="21"/>
  <c r="L24" i="21"/>
  <c r="V24" i="21"/>
  <c r="U24" i="21"/>
  <c r="AC32" i="21"/>
  <c r="AD32" i="21"/>
  <c r="AF32" i="21"/>
  <c r="AG32" i="21"/>
  <c r="AO32" i="21"/>
  <c r="AH32" i="21"/>
  <c r="I32" i="21"/>
  <c r="AM32" i="21"/>
  <c r="AI32" i="21"/>
  <c r="J32" i="21"/>
  <c r="AN32" i="21"/>
  <c r="AJ32" i="21"/>
  <c r="K32" i="21"/>
  <c r="AP32" i="21"/>
  <c r="L32" i="21"/>
  <c r="T32" i="21"/>
  <c r="U32" i="21"/>
  <c r="V32" i="21"/>
  <c r="W32" i="21"/>
  <c r="X32" i="21"/>
  <c r="Z32" i="21"/>
  <c r="Q32" i="21"/>
  <c r="H32" i="21"/>
  <c r="N32" i="21"/>
  <c r="O32" i="21"/>
  <c r="AA32" i="21"/>
  <c r="P32" i="21"/>
  <c r="AB32" i="21"/>
  <c r="R32" i="21"/>
  <c r="AF40" i="21"/>
  <c r="AK40" i="21" s="1"/>
  <c r="AK40" i="20" s="1"/>
  <c r="AG40" i="21"/>
  <c r="AH40" i="21"/>
  <c r="AI40" i="21"/>
  <c r="AJ40" i="21"/>
  <c r="AB40" i="21"/>
  <c r="AO40" i="21"/>
  <c r="W40" i="21"/>
  <c r="X40" i="21"/>
  <c r="N40" i="21"/>
  <c r="S40" i="21" s="1"/>
  <c r="S40" i="20" s="1"/>
  <c r="O40" i="21"/>
  <c r="Z40" i="21"/>
  <c r="P40" i="21"/>
  <c r="AA40" i="21"/>
  <c r="Q40" i="21"/>
  <c r="AC40" i="21"/>
  <c r="R40" i="21"/>
  <c r="AD40" i="21"/>
  <c r="H40" i="21"/>
  <c r="AM40" i="21"/>
  <c r="AN40" i="21"/>
  <c r="T40" i="21"/>
  <c r="V40" i="21"/>
  <c r="AP40" i="21"/>
  <c r="L40" i="21"/>
  <c r="I40" i="21"/>
  <c r="J40" i="21"/>
  <c r="K40" i="21"/>
  <c r="U40" i="21"/>
  <c r="AC48" i="21"/>
  <c r="AD48" i="21"/>
  <c r="AF48" i="21"/>
  <c r="AK48" i="21" s="1"/>
  <c r="AK48" i="20" s="1"/>
  <c r="AG48" i="21"/>
  <c r="AO48" i="21"/>
  <c r="I48" i="21"/>
  <c r="AM48" i="21"/>
  <c r="Z48" i="21"/>
  <c r="J48" i="21"/>
  <c r="AN48" i="21"/>
  <c r="AA48" i="21"/>
  <c r="AP48" i="21"/>
  <c r="AB48" i="21"/>
  <c r="T48" i="21"/>
  <c r="U48" i="21"/>
  <c r="V48" i="21"/>
  <c r="W48" i="21"/>
  <c r="AH48" i="21"/>
  <c r="X48" i="21"/>
  <c r="AI48" i="21"/>
  <c r="P48" i="21"/>
  <c r="O48" i="21"/>
  <c r="Q48" i="21"/>
  <c r="H48" i="21"/>
  <c r="M48" i="21" s="1"/>
  <c r="M48" i="20" s="1"/>
  <c r="K48" i="21"/>
  <c r="L48" i="21"/>
  <c r="N48" i="21"/>
  <c r="S48" i="21" s="1"/>
  <c r="S48" i="20" s="1"/>
  <c r="AJ48" i="21"/>
  <c r="R48" i="21"/>
  <c r="AT56" i="21"/>
  <c r="AS56" i="21"/>
  <c r="AF56" i="21"/>
  <c r="AG56" i="21"/>
  <c r="AH56" i="21"/>
  <c r="F56" i="21"/>
  <c r="G56" i="21" s="1"/>
  <c r="AI56" i="21"/>
  <c r="AJ56" i="21"/>
  <c r="AB56" i="21"/>
  <c r="AO56" i="21"/>
  <c r="AD56" i="21"/>
  <c r="W56" i="21"/>
  <c r="X56" i="21"/>
  <c r="N56" i="21"/>
  <c r="O56" i="21"/>
  <c r="P56" i="21"/>
  <c r="Q56" i="21"/>
  <c r="R56" i="21"/>
  <c r="H56" i="21"/>
  <c r="AM56" i="21"/>
  <c r="AN56" i="21"/>
  <c r="Z56" i="21"/>
  <c r="T56" i="21"/>
  <c r="U56" i="21"/>
  <c r="V56" i="21"/>
  <c r="AP56" i="21"/>
  <c r="I56" i="21"/>
  <c r="AA56" i="21"/>
  <c r="J56" i="21"/>
  <c r="AC56" i="21"/>
  <c r="K56" i="21"/>
  <c r="L56" i="21"/>
  <c r="AQ56" i="21"/>
  <c r="S56" i="21"/>
  <c r="S56" i="20" s="1"/>
  <c r="Y56" i="21"/>
  <c r="Y56" i="20" s="1"/>
  <c r="AK56" i="21"/>
  <c r="AK56" i="20" s="1"/>
  <c r="M56" i="21"/>
  <c r="M56" i="20" s="1"/>
  <c r="AE56" i="21"/>
  <c r="AE56" i="20" s="1"/>
  <c r="AT64" i="21"/>
  <c r="AS64" i="21"/>
  <c r="AC64" i="21"/>
  <c r="AD64" i="21"/>
  <c r="AF64" i="21"/>
  <c r="AG64" i="21"/>
  <c r="F64" i="21"/>
  <c r="G64" i="21" s="1"/>
  <c r="AO64" i="21"/>
  <c r="AM64" i="21"/>
  <c r="AN64" i="21"/>
  <c r="AH64" i="21"/>
  <c r="AP64" i="21"/>
  <c r="AI64" i="21"/>
  <c r="AJ64" i="21"/>
  <c r="T64" i="21"/>
  <c r="U64" i="21"/>
  <c r="V64" i="21"/>
  <c r="W64" i="21"/>
  <c r="X64" i="21"/>
  <c r="AA64" i="21"/>
  <c r="R64" i="21"/>
  <c r="I64" i="21"/>
  <c r="P64" i="21"/>
  <c r="K64" i="21"/>
  <c r="N64" i="21"/>
  <c r="O64" i="21"/>
  <c r="J64" i="21"/>
  <c r="Z64" i="21"/>
  <c r="H64" i="21"/>
  <c r="AB64" i="21"/>
  <c r="Q64" i="21"/>
  <c r="L64" i="21"/>
  <c r="AK64" i="21"/>
  <c r="AK64" i="20" s="1"/>
  <c r="AE64" i="21"/>
  <c r="AE64" i="20" s="1"/>
  <c r="Y64" i="21"/>
  <c r="Y64" i="20" s="1"/>
  <c r="M64" i="21"/>
  <c r="M64" i="20" s="1"/>
  <c r="AQ64" i="21"/>
  <c r="S64" i="21"/>
  <c r="S64" i="20" s="1"/>
  <c r="AI12" i="19"/>
  <c r="AJ12" i="19"/>
  <c r="Z12" i="19"/>
  <c r="AA12" i="19"/>
  <c r="AM12" i="19"/>
  <c r="AB12" i="19"/>
  <c r="AN12" i="19"/>
  <c r="AC12" i="19"/>
  <c r="AO12" i="19"/>
  <c r="AD12" i="19"/>
  <c r="AP12" i="19"/>
  <c r="AF12" i="19"/>
  <c r="N12" i="19"/>
  <c r="O12" i="19"/>
  <c r="P12" i="19"/>
  <c r="Q12" i="19"/>
  <c r="R12" i="19"/>
  <c r="H12" i="19"/>
  <c r="I12" i="19"/>
  <c r="J12" i="19"/>
  <c r="K12" i="19"/>
  <c r="AG12" i="19"/>
  <c r="L12" i="19"/>
  <c r="AH12" i="19"/>
  <c r="V12" i="19"/>
  <c r="T12" i="19"/>
  <c r="U12" i="19"/>
  <c r="W12" i="19"/>
  <c r="X12" i="19"/>
  <c r="AM20" i="19"/>
  <c r="AN20" i="19"/>
  <c r="AF20" i="19"/>
  <c r="AO20" i="19"/>
  <c r="AG20" i="19"/>
  <c r="AP20" i="19"/>
  <c r="AH20" i="19"/>
  <c r="AI20" i="19"/>
  <c r="AJ20" i="19"/>
  <c r="Z20" i="19"/>
  <c r="AA20" i="19"/>
  <c r="AB20" i="19"/>
  <c r="AC20" i="19"/>
  <c r="K20" i="19"/>
  <c r="L20" i="19"/>
  <c r="T20" i="19"/>
  <c r="U20" i="19"/>
  <c r="V20" i="19"/>
  <c r="W20" i="19"/>
  <c r="AD20" i="19"/>
  <c r="X20" i="19"/>
  <c r="N20" i="19"/>
  <c r="O20" i="19"/>
  <c r="P20" i="19"/>
  <c r="H20" i="19"/>
  <c r="J20" i="19"/>
  <c r="Q20" i="19"/>
  <c r="R20" i="19"/>
  <c r="I20" i="19"/>
  <c r="AI28" i="19"/>
  <c r="AJ28" i="19"/>
  <c r="Z28" i="19"/>
  <c r="AA28" i="19"/>
  <c r="AM28" i="19"/>
  <c r="AB28" i="19"/>
  <c r="AN28" i="19"/>
  <c r="AC28" i="19"/>
  <c r="AO28" i="19"/>
  <c r="AD28" i="19"/>
  <c r="AP28" i="19"/>
  <c r="AF28" i="19"/>
  <c r="N28" i="19"/>
  <c r="O28" i="19"/>
  <c r="P28" i="19"/>
  <c r="AG28" i="19"/>
  <c r="Q28" i="19"/>
  <c r="AH28" i="19"/>
  <c r="R28" i="19"/>
  <c r="H28" i="19"/>
  <c r="I28" i="19"/>
  <c r="J28" i="19"/>
  <c r="K28" i="19"/>
  <c r="V28" i="19"/>
  <c r="X28" i="19"/>
  <c r="T28" i="19"/>
  <c r="L28" i="19"/>
  <c r="U28" i="19"/>
  <c r="W28" i="19"/>
  <c r="AM36" i="19"/>
  <c r="AN36" i="19"/>
  <c r="AF36" i="19"/>
  <c r="AO36" i="19"/>
  <c r="AG36" i="19"/>
  <c r="AP36" i="19"/>
  <c r="AH36" i="19"/>
  <c r="AI36" i="19"/>
  <c r="AJ36" i="19"/>
  <c r="Z36" i="19"/>
  <c r="AA36" i="19"/>
  <c r="K36" i="19"/>
  <c r="L36" i="19"/>
  <c r="T36" i="19"/>
  <c r="U36" i="19"/>
  <c r="V36" i="19"/>
  <c r="W36" i="19"/>
  <c r="AB36" i="19"/>
  <c r="X36" i="19"/>
  <c r="AC36" i="19"/>
  <c r="N36" i="19"/>
  <c r="AD36" i="19"/>
  <c r="O36" i="19"/>
  <c r="P36" i="19"/>
  <c r="H36" i="19"/>
  <c r="I36" i="19"/>
  <c r="J36" i="19"/>
  <c r="Q36" i="19"/>
  <c r="R36" i="19"/>
  <c r="D36" i="19"/>
  <c r="E36" i="19" s="1"/>
  <c r="AI44" i="19"/>
  <c r="AJ44" i="19"/>
  <c r="Z44" i="19"/>
  <c r="AA44" i="19"/>
  <c r="AE44" i="19" s="1"/>
  <c r="AE44" i="3" s="1"/>
  <c r="AM44" i="19"/>
  <c r="AB44" i="19"/>
  <c r="AN44" i="19"/>
  <c r="AC44" i="19"/>
  <c r="AO44" i="19"/>
  <c r="AD44" i="19"/>
  <c r="AP44" i="19"/>
  <c r="AF44" i="19"/>
  <c r="AK44" i="19" s="1"/>
  <c r="AK44" i="3" s="1"/>
  <c r="N44" i="19"/>
  <c r="O44" i="19"/>
  <c r="P44" i="19"/>
  <c r="Q44" i="19"/>
  <c r="R44" i="19"/>
  <c r="H44" i="19"/>
  <c r="I44" i="19"/>
  <c r="M44" i="19" s="1"/>
  <c r="J44" i="19"/>
  <c r="K44" i="19"/>
  <c r="AG44" i="19"/>
  <c r="V44" i="19"/>
  <c r="T44" i="19"/>
  <c r="Y44" i="19" s="1"/>
  <c r="Y44" i="3" s="1"/>
  <c r="U44" i="19"/>
  <c r="L44" i="19"/>
  <c r="W44" i="19"/>
  <c r="X44" i="19"/>
  <c r="AH44" i="19"/>
  <c r="D44" i="19"/>
  <c r="AT52" i="19"/>
  <c r="AM52" i="19"/>
  <c r="AN52" i="19"/>
  <c r="AF52" i="19"/>
  <c r="AS52" i="19"/>
  <c r="AO52" i="19"/>
  <c r="AG52" i="19"/>
  <c r="AP52" i="19"/>
  <c r="AH52" i="19"/>
  <c r="AI52" i="19"/>
  <c r="AJ52" i="19"/>
  <c r="Z52" i="19"/>
  <c r="AA52" i="19"/>
  <c r="K52" i="19"/>
  <c r="L52" i="19"/>
  <c r="T52" i="19"/>
  <c r="U52" i="19"/>
  <c r="V52" i="19"/>
  <c r="W52" i="19"/>
  <c r="X52" i="19"/>
  <c r="N52" i="19"/>
  <c r="O52" i="19"/>
  <c r="P52" i="19"/>
  <c r="AD52" i="19"/>
  <c r="H52" i="19"/>
  <c r="I52" i="19"/>
  <c r="J52" i="19"/>
  <c r="AB52" i="19"/>
  <c r="AC52" i="19"/>
  <c r="Q52" i="19"/>
  <c r="F52" i="19"/>
  <c r="R52" i="19"/>
  <c r="D52" i="19"/>
  <c r="G52" i="19"/>
  <c r="AQ52" i="19"/>
  <c r="M52" i="19"/>
  <c r="M52" i="3" s="1"/>
  <c r="AE52" i="19"/>
  <c r="AE52" i="3" s="1"/>
  <c r="S52" i="19"/>
  <c r="S52" i="3" s="1"/>
  <c r="AK52" i="19"/>
  <c r="AK52" i="3" s="1"/>
  <c r="Y52" i="19"/>
  <c r="Y52" i="3" s="1"/>
  <c r="AI60" i="19"/>
  <c r="AJ60" i="19"/>
  <c r="Z60" i="19"/>
  <c r="AA60" i="19"/>
  <c r="AM60" i="19"/>
  <c r="AB60" i="19"/>
  <c r="AN60" i="19"/>
  <c r="AC60" i="19"/>
  <c r="AO60" i="19"/>
  <c r="AD60" i="19"/>
  <c r="AP60" i="19"/>
  <c r="AT60" i="19"/>
  <c r="AF60" i="19"/>
  <c r="N60" i="19"/>
  <c r="O60" i="19"/>
  <c r="P60" i="19"/>
  <c r="Q60" i="19"/>
  <c r="R60" i="19"/>
  <c r="H60" i="19"/>
  <c r="I60" i="19"/>
  <c r="F60" i="19"/>
  <c r="AG60" i="19"/>
  <c r="J60" i="19"/>
  <c r="AH60" i="19"/>
  <c r="K60" i="19"/>
  <c r="V60" i="19"/>
  <c r="T60" i="19"/>
  <c r="U60" i="19"/>
  <c r="L60" i="19"/>
  <c r="W60" i="19"/>
  <c r="AS60" i="19"/>
  <c r="X60" i="19"/>
  <c r="D60" i="19"/>
  <c r="G60" i="19"/>
  <c r="Y60" i="19"/>
  <c r="Y60" i="3" s="1"/>
  <c r="S60" i="19"/>
  <c r="S60" i="3" s="1"/>
  <c r="AE60" i="19"/>
  <c r="AE60" i="3" s="1"/>
  <c r="AQ60" i="19"/>
  <c r="M60" i="19"/>
  <c r="M60" i="3" s="1"/>
  <c r="AK60" i="19"/>
  <c r="AK60" i="3" s="1"/>
  <c r="AT68" i="19"/>
  <c r="AM68" i="19"/>
  <c r="AN68" i="19"/>
  <c r="AF68" i="19"/>
  <c r="AS68" i="19"/>
  <c r="AO68" i="19"/>
  <c r="AG68" i="19"/>
  <c r="AP68" i="19"/>
  <c r="AH68" i="19"/>
  <c r="AI68" i="19"/>
  <c r="AJ68" i="19"/>
  <c r="K68" i="19"/>
  <c r="L68" i="19"/>
  <c r="T68" i="19"/>
  <c r="U68" i="19"/>
  <c r="V68" i="19"/>
  <c r="W68" i="19"/>
  <c r="X68" i="19"/>
  <c r="Z68" i="19"/>
  <c r="N68" i="19"/>
  <c r="AA68" i="19"/>
  <c r="O68" i="19"/>
  <c r="AB68" i="19"/>
  <c r="AC68" i="19"/>
  <c r="AD68" i="19"/>
  <c r="P68" i="19"/>
  <c r="F68" i="19"/>
  <c r="Q68" i="19"/>
  <c r="R68" i="19"/>
  <c r="H68" i="19"/>
  <c r="I68" i="19"/>
  <c r="J68" i="19"/>
  <c r="D68" i="19"/>
  <c r="AE68" i="19"/>
  <c r="AE68" i="3" s="1"/>
  <c r="AQ68" i="19"/>
  <c r="M68" i="19"/>
  <c r="M68" i="3" s="1"/>
  <c r="AK68" i="19"/>
  <c r="AK68" i="3" s="1"/>
  <c r="G68" i="19"/>
  <c r="Y68" i="19"/>
  <c r="Y68" i="3" s="1"/>
  <c r="S68" i="19"/>
  <c r="S68" i="3" s="1"/>
  <c r="AF61" i="19"/>
  <c r="AG61" i="19"/>
  <c r="AH61" i="19"/>
  <c r="AI61" i="19"/>
  <c r="AJ61" i="19"/>
  <c r="Z61" i="19"/>
  <c r="AM61" i="19"/>
  <c r="AA61" i="19"/>
  <c r="AT61" i="19"/>
  <c r="AN61" i="19"/>
  <c r="AB61" i="19"/>
  <c r="AO61" i="19"/>
  <c r="AC61" i="19"/>
  <c r="AP61" i="19"/>
  <c r="AS61" i="19"/>
  <c r="T61" i="19"/>
  <c r="U61" i="19"/>
  <c r="V61" i="19"/>
  <c r="W61" i="19"/>
  <c r="X61" i="19"/>
  <c r="N61" i="19"/>
  <c r="O61" i="19"/>
  <c r="AD61" i="19"/>
  <c r="P61" i="19"/>
  <c r="F61" i="19"/>
  <c r="Q61" i="19"/>
  <c r="R61" i="19"/>
  <c r="H61" i="19"/>
  <c r="I61" i="19"/>
  <c r="J61" i="19"/>
  <c r="K61" i="19"/>
  <c r="L61" i="19"/>
  <c r="D61" i="19"/>
  <c r="Y61" i="19"/>
  <c r="Y61" i="3" s="1"/>
  <c r="G61" i="19"/>
  <c r="AE61" i="19"/>
  <c r="AE61" i="3" s="1"/>
  <c r="M61" i="19"/>
  <c r="M61" i="3" s="1"/>
  <c r="AK61" i="19"/>
  <c r="AK61" i="3" s="1"/>
  <c r="S61" i="19"/>
  <c r="S61" i="3" s="1"/>
  <c r="AQ61" i="19"/>
  <c r="AG38" i="19"/>
  <c r="AH38" i="19"/>
  <c r="AI38" i="19"/>
  <c r="AJ38" i="19"/>
  <c r="Z38" i="19"/>
  <c r="AA38" i="19"/>
  <c r="AB38" i="19"/>
  <c r="AC38" i="19"/>
  <c r="AD38" i="19"/>
  <c r="AM38" i="19"/>
  <c r="AN38" i="19"/>
  <c r="W38" i="19"/>
  <c r="X38" i="19"/>
  <c r="N38" i="19"/>
  <c r="O38" i="19"/>
  <c r="P38" i="19"/>
  <c r="AO38" i="19"/>
  <c r="Q38" i="19"/>
  <c r="AP38" i="19"/>
  <c r="R38" i="19"/>
  <c r="H38" i="19"/>
  <c r="I38" i="19"/>
  <c r="AF38" i="19"/>
  <c r="T38" i="19"/>
  <c r="Y38" i="19" s="1"/>
  <c r="Y38" i="3" s="1"/>
  <c r="J38" i="19"/>
  <c r="K38" i="19"/>
  <c r="L38" i="19"/>
  <c r="U38" i="19"/>
  <c r="V38" i="19"/>
  <c r="D38" i="19"/>
  <c r="E38" i="19" s="1"/>
  <c r="U9" i="21"/>
  <c r="AM9" i="21"/>
  <c r="AF9" i="21"/>
  <c r="AN9" i="21"/>
  <c r="AG9" i="21"/>
  <c r="AO9" i="21"/>
  <c r="AH9" i="21"/>
  <c r="AP9" i="21"/>
  <c r="AI9" i="21"/>
  <c r="AJ9" i="21"/>
  <c r="L9" i="21"/>
  <c r="Z9" i="21"/>
  <c r="AA9" i="21"/>
  <c r="AB9" i="21"/>
  <c r="AC9" i="21"/>
  <c r="T9" i="21"/>
  <c r="AD9" i="21"/>
  <c r="V9" i="21"/>
  <c r="N9" i="21"/>
  <c r="W9" i="21"/>
  <c r="O9" i="21"/>
  <c r="X9" i="21"/>
  <c r="P9" i="21"/>
  <c r="Q9" i="21"/>
  <c r="H9" i="21"/>
  <c r="I9" i="21"/>
  <c r="K9" i="21"/>
  <c r="J9" i="21"/>
  <c r="R9" i="21"/>
  <c r="AM17" i="21"/>
  <c r="AI17" i="21"/>
  <c r="AN17" i="21"/>
  <c r="AJ17" i="21"/>
  <c r="AO17" i="21"/>
  <c r="Z17" i="21"/>
  <c r="AP17" i="21"/>
  <c r="AA17" i="21"/>
  <c r="AB17" i="21"/>
  <c r="AC17" i="21"/>
  <c r="AD17" i="21"/>
  <c r="AF17" i="21"/>
  <c r="O17" i="21"/>
  <c r="P17" i="21"/>
  <c r="Q17" i="21"/>
  <c r="R17" i="21"/>
  <c r="H17" i="21"/>
  <c r="J17" i="21"/>
  <c r="K17" i="21"/>
  <c r="AG17" i="21"/>
  <c r="T17" i="21"/>
  <c r="W17" i="21"/>
  <c r="L17" i="21"/>
  <c r="U17" i="21"/>
  <c r="V17" i="21"/>
  <c r="I17" i="21"/>
  <c r="X17" i="21"/>
  <c r="N17" i="21"/>
  <c r="AH17" i="21"/>
  <c r="AN25" i="21"/>
  <c r="AO25" i="21"/>
  <c r="AP25" i="21"/>
  <c r="AF25" i="21"/>
  <c r="AG25" i="21"/>
  <c r="AH25" i="21"/>
  <c r="AI25" i="21"/>
  <c r="AJ25" i="21"/>
  <c r="L25" i="21"/>
  <c r="T25" i="21"/>
  <c r="U25" i="21"/>
  <c r="V25" i="21"/>
  <c r="W25" i="21"/>
  <c r="X25" i="21"/>
  <c r="N25" i="21"/>
  <c r="Z25" i="21"/>
  <c r="O25" i="21"/>
  <c r="AA25" i="21"/>
  <c r="P25" i="21"/>
  <c r="AB25" i="21"/>
  <c r="AC25" i="21"/>
  <c r="AD25" i="21"/>
  <c r="H25" i="21"/>
  <c r="I25" i="21"/>
  <c r="AM25" i="21"/>
  <c r="J25" i="21"/>
  <c r="Q25" i="21"/>
  <c r="K25" i="21"/>
  <c r="R25" i="21"/>
  <c r="AN33" i="21"/>
  <c r="AI33" i="21"/>
  <c r="AO33" i="21"/>
  <c r="AJ33" i="21"/>
  <c r="AP33" i="21"/>
  <c r="Z33" i="21"/>
  <c r="AA33" i="21"/>
  <c r="AB33" i="21"/>
  <c r="AF33" i="21"/>
  <c r="AC33" i="21"/>
  <c r="O33" i="21"/>
  <c r="AD33" i="21"/>
  <c r="P33" i="21"/>
  <c r="Q33" i="21"/>
  <c r="AG33" i="21"/>
  <c r="R33" i="21"/>
  <c r="AM33" i="21"/>
  <c r="AH33" i="21"/>
  <c r="K33" i="21"/>
  <c r="T33" i="21"/>
  <c r="W33" i="21"/>
  <c r="J33" i="21"/>
  <c r="L33" i="21"/>
  <c r="N33" i="21"/>
  <c r="U33" i="21"/>
  <c r="V33" i="21"/>
  <c r="X33" i="21"/>
  <c r="H33" i="21"/>
  <c r="I33" i="21"/>
  <c r="AN41" i="21"/>
  <c r="AO41" i="21"/>
  <c r="AP41" i="21"/>
  <c r="AF41" i="21"/>
  <c r="AG41" i="21"/>
  <c r="AH41" i="21"/>
  <c r="AI41" i="21"/>
  <c r="AJ41" i="21"/>
  <c r="L41" i="21"/>
  <c r="T41" i="21"/>
  <c r="U41" i="21"/>
  <c r="V41" i="21"/>
  <c r="W41" i="21"/>
  <c r="X41" i="21"/>
  <c r="N41" i="21"/>
  <c r="Z41" i="21"/>
  <c r="O41" i="21"/>
  <c r="AA41" i="21"/>
  <c r="P41" i="21"/>
  <c r="AB41" i="21"/>
  <c r="Q41" i="21"/>
  <c r="R41" i="21"/>
  <c r="K41" i="21"/>
  <c r="AM41" i="21"/>
  <c r="AQ41" i="21" s="1"/>
  <c r="J41" i="21"/>
  <c r="I41" i="21"/>
  <c r="AC41" i="21"/>
  <c r="AD41" i="21"/>
  <c r="H41" i="21"/>
  <c r="AN49" i="21"/>
  <c r="AQ49" i="21" s="1"/>
  <c r="AI49" i="21"/>
  <c r="AO49" i="21"/>
  <c r="AJ49" i="21"/>
  <c r="AP49" i="21"/>
  <c r="Z49" i="21"/>
  <c r="AE49" i="21" s="1"/>
  <c r="AE49" i="20" s="1"/>
  <c r="AA49" i="21"/>
  <c r="AF49" i="21"/>
  <c r="AK49" i="21" s="1"/>
  <c r="AK49" i="20" s="1"/>
  <c r="O49" i="21"/>
  <c r="P49" i="21"/>
  <c r="Q49" i="21"/>
  <c r="R49" i="21"/>
  <c r="AM49" i="21"/>
  <c r="AB49" i="21"/>
  <c r="AC49" i="21"/>
  <c r="AD49" i="21"/>
  <c r="K49" i="21"/>
  <c r="T49" i="21"/>
  <c r="AH49" i="21"/>
  <c r="W49" i="21"/>
  <c r="L49" i="21"/>
  <c r="H49" i="21"/>
  <c r="J49" i="21"/>
  <c r="U49" i="21"/>
  <c r="I49" i="21"/>
  <c r="AG49" i="21"/>
  <c r="V49" i="21"/>
  <c r="X49" i="21"/>
  <c r="N49" i="21"/>
  <c r="S49" i="21" s="1"/>
  <c r="S49" i="20" s="1"/>
  <c r="Y49" i="21"/>
  <c r="Y49" i="20" s="1"/>
  <c r="AT57" i="21"/>
  <c r="AS57" i="21"/>
  <c r="AN57" i="21"/>
  <c r="AO57" i="21"/>
  <c r="AP57" i="21"/>
  <c r="F57" i="21"/>
  <c r="G57" i="21" s="1"/>
  <c r="AF57" i="21"/>
  <c r="AG57" i="21"/>
  <c r="AH57" i="21"/>
  <c r="AI57" i="21"/>
  <c r="AJ57" i="21"/>
  <c r="L57" i="21"/>
  <c r="Z57" i="21"/>
  <c r="AA57" i="21"/>
  <c r="T57" i="21"/>
  <c r="AB57" i="21"/>
  <c r="U57" i="21"/>
  <c r="AC57" i="21"/>
  <c r="V57" i="21"/>
  <c r="AD57" i="21"/>
  <c r="W57" i="21"/>
  <c r="X57" i="21"/>
  <c r="N57" i="21"/>
  <c r="O57" i="21"/>
  <c r="I57" i="21"/>
  <c r="P57" i="21"/>
  <c r="K57" i="21"/>
  <c r="AM57" i="21"/>
  <c r="H57" i="21"/>
  <c r="J57" i="21"/>
  <c r="Q57" i="21"/>
  <c r="R57" i="21"/>
  <c r="AQ57" i="21"/>
  <c r="S57" i="21"/>
  <c r="S57" i="20" s="1"/>
  <c r="AK57" i="21"/>
  <c r="AK57" i="20" s="1"/>
  <c r="M57" i="21"/>
  <c r="M57" i="20" s="1"/>
  <c r="AE57" i="21"/>
  <c r="AE57" i="20" s="1"/>
  <c r="Y57" i="21"/>
  <c r="Y57" i="20" s="1"/>
  <c r="AT65" i="21"/>
  <c r="AS65" i="21"/>
  <c r="AN65" i="21"/>
  <c r="AI65" i="21"/>
  <c r="AO65" i="21"/>
  <c r="AJ65" i="21"/>
  <c r="AP65" i="21"/>
  <c r="AF65" i="21"/>
  <c r="AA65" i="21"/>
  <c r="O65" i="21"/>
  <c r="AB65" i="21"/>
  <c r="P65" i="21"/>
  <c r="AC65" i="21"/>
  <c r="Q65" i="21"/>
  <c r="AD65" i="21"/>
  <c r="R65" i="21"/>
  <c r="AM65" i="21"/>
  <c r="AG65" i="21"/>
  <c r="AH65" i="21"/>
  <c r="F65" i="21"/>
  <c r="G65" i="21" s="1"/>
  <c r="W65" i="21"/>
  <c r="Z65" i="21"/>
  <c r="U65" i="21"/>
  <c r="H65" i="21"/>
  <c r="V65" i="21"/>
  <c r="N65" i="21"/>
  <c r="I65" i="21"/>
  <c r="J65" i="21"/>
  <c r="X65" i="21"/>
  <c r="K65" i="21"/>
  <c r="L65" i="21"/>
  <c r="T65" i="21"/>
  <c r="AE65" i="21"/>
  <c r="AE65" i="20" s="1"/>
  <c r="Y65" i="21"/>
  <c r="Y65" i="20" s="1"/>
  <c r="M65" i="21"/>
  <c r="M65" i="20" s="1"/>
  <c r="AQ65" i="21"/>
  <c r="S65" i="21"/>
  <c r="S65" i="20" s="1"/>
  <c r="AK65" i="21"/>
  <c r="AK65" i="20" s="1"/>
  <c r="AN10" i="21"/>
  <c r="AA10" i="21"/>
  <c r="AB10" i="21"/>
  <c r="AC10" i="21"/>
  <c r="AD10" i="21"/>
  <c r="W10" i="21"/>
  <c r="AM10" i="21"/>
  <c r="AO10" i="21"/>
  <c r="AI10" i="21"/>
  <c r="AJ10" i="21"/>
  <c r="R10" i="21"/>
  <c r="H10" i="21"/>
  <c r="I10" i="21"/>
  <c r="J10" i="21"/>
  <c r="K10" i="21"/>
  <c r="Z10" i="21"/>
  <c r="T10" i="21"/>
  <c r="AP10" i="21"/>
  <c r="AF10" i="21"/>
  <c r="X10" i="21"/>
  <c r="O10" i="21"/>
  <c r="N10" i="21"/>
  <c r="P10" i="21"/>
  <c r="Q10" i="21"/>
  <c r="AG10" i="21"/>
  <c r="U10" i="21"/>
  <c r="V10" i="21"/>
  <c r="L10" i="21"/>
  <c r="AH10" i="21"/>
  <c r="AN18" i="21"/>
  <c r="AF18" i="21"/>
  <c r="AG18" i="21"/>
  <c r="AM18" i="21"/>
  <c r="AH18" i="21"/>
  <c r="AO18" i="21"/>
  <c r="AI18" i="21"/>
  <c r="AP18" i="21"/>
  <c r="AJ18" i="21"/>
  <c r="Z18" i="21"/>
  <c r="AA18" i="21"/>
  <c r="U18" i="21"/>
  <c r="V18" i="21"/>
  <c r="W18" i="21"/>
  <c r="X18" i="21"/>
  <c r="N18" i="21"/>
  <c r="O18" i="21"/>
  <c r="AB18" i="21"/>
  <c r="P18" i="21"/>
  <c r="AC18" i="21"/>
  <c r="Q18" i="21"/>
  <c r="AD18" i="21"/>
  <c r="R18" i="21"/>
  <c r="I18" i="21"/>
  <c r="J18" i="21"/>
  <c r="K18" i="21"/>
  <c r="L18" i="21"/>
  <c r="T18" i="21"/>
  <c r="H18" i="21"/>
  <c r="AA26" i="21"/>
  <c r="AB26" i="21"/>
  <c r="AC26" i="21"/>
  <c r="AM26" i="21"/>
  <c r="AD26" i="21"/>
  <c r="AN26" i="21"/>
  <c r="AO26" i="21"/>
  <c r="AP26" i="21"/>
  <c r="AI26" i="21"/>
  <c r="R26" i="21"/>
  <c r="H26" i="21"/>
  <c r="I26" i="21"/>
  <c r="J26" i="21"/>
  <c r="AF26" i="21"/>
  <c r="AG26" i="21"/>
  <c r="T26" i="21"/>
  <c r="AH26" i="21"/>
  <c r="U26" i="21"/>
  <c r="AJ26" i="21"/>
  <c r="V26" i="21"/>
  <c r="W26" i="21"/>
  <c r="Z26" i="21"/>
  <c r="O26" i="21"/>
  <c r="K26" i="21"/>
  <c r="N26" i="21"/>
  <c r="L26" i="21"/>
  <c r="P26" i="21"/>
  <c r="Q26" i="21"/>
  <c r="X26" i="21"/>
  <c r="AF34" i="21"/>
  <c r="AM34" i="21"/>
  <c r="AG34" i="21"/>
  <c r="AN34" i="21"/>
  <c r="AH34" i="21"/>
  <c r="AO34" i="21"/>
  <c r="AI34" i="21"/>
  <c r="AP34" i="21"/>
  <c r="AJ34" i="21"/>
  <c r="Z34" i="21"/>
  <c r="U34" i="21"/>
  <c r="V34" i="21"/>
  <c r="AA34" i="21"/>
  <c r="W34" i="21"/>
  <c r="AB34" i="21"/>
  <c r="X34" i="21"/>
  <c r="AC34" i="21"/>
  <c r="N34" i="21"/>
  <c r="AD34" i="21"/>
  <c r="O34" i="21"/>
  <c r="P34" i="21"/>
  <c r="Q34" i="21"/>
  <c r="R34" i="21"/>
  <c r="H34" i="21"/>
  <c r="I34" i="21"/>
  <c r="J34" i="21"/>
  <c r="K34" i="21"/>
  <c r="L34" i="21"/>
  <c r="T34" i="21"/>
  <c r="AA42" i="21"/>
  <c r="AB42" i="21"/>
  <c r="AC42" i="21"/>
  <c r="AM42" i="21"/>
  <c r="AQ42" i="21" s="1"/>
  <c r="AD42" i="21"/>
  <c r="AN42" i="21"/>
  <c r="AO42" i="21"/>
  <c r="AP42" i="21"/>
  <c r="AI42" i="21"/>
  <c r="AG42" i="21"/>
  <c r="R42" i="21"/>
  <c r="AH42" i="21"/>
  <c r="H42" i="21"/>
  <c r="AJ42" i="21"/>
  <c r="I42" i="21"/>
  <c r="J42" i="21"/>
  <c r="T42" i="21"/>
  <c r="U42" i="21"/>
  <c r="V42" i="21"/>
  <c r="W42" i="21"/>
  <c r="Z42" i="21"/>
  <c r="O42" i="21"/>
  <c r="L42" i="21"/>
  <c r="X42" i="21"/>
  <c r="N42" i="21"/>
  <c r="P42" i="21"/>
  <c r="Q42" i="21"/>
  <c r="AF42" i="21"/>
  <c r="AK42" i="21" s="1"/>
  <c r="AK42" i="20" s="1"/>
  <c r="K42" i="21"/>
  <c r="AF50" i="21"/>
  <c r="AM50" i="21"/>
  <c r="AQ50" i="21" s="1"/>
  <c r="AG50" i="21"/>
  <c r="AN50" i="21"/>
  <c r="AH50" i="21"/>
  <c r="AK50" i="21" s="1"/>
  <c r="AK50" i="20" s="1"/>
  <c r="AO50" i="21"/>
  <c r="AI50" i="21"/>
  <c r="AP50" i="21"/>
  <c r="AJ50" i="21"/>
  <c r="Z50" i="21"/>
  <c r="U50" i="21"/>
  <c r="V50" i="21"/>
  <c r="W50" i="21"/>
  <c r="X50" i="21"/>
  <c r="N50" i="21"/>
  <c r="O50" i="21"/>
  <c r="P50" i="21"/>
  <c r="AA50" i="21"/>
  <c r="Q50" i="21"/>
  <c r="AB50" i="21"/>
  <c r="R50" i="21"/>
  <c r="AC50" i="21"/>
  <c r="AD50" i="21"/>
  <c r="L50" i="21"/>
  <c r="J50" i="21"/>
  <c r="I50" i="21"/>
  <c r="H50" i="21"/>
  <c r="T50" i="21"/>
  <c r="Y50" i="21" s="1"/>
  <c r="Y50" i="20" s="1"/>
  <c r="K50" i="21"/>
  <c r="AT58" i="21"/>
  <c r="AS58" i="21"/>
  <c r="AA58" i="21"/>
  <c r="AB58" i="21"/>
  <c r="AM58" i="21"/>
  <c r="AD58" i="21"/>
  <c r="AN58" i="21"/>
  <c r="F58" i="21"/>
  <c r="G58" i="21" s="1"/>
  <c r="AO58" i="21"/>
  <c r="AP58" i="21"/>
  <c r="AI58" i="21"/>
  <c r="R58" i="21"/>
  <c r="Z58" i="21"/>
  <c r="AC58" i="21"/>
  <c r="T58" i="21"/>
  <c r="AF58" i="21"/>
  <c r="U58" i="21"/>
  <c r="AG58" i="21"/>
  <c r="V58" i="21"/>
  <c r="AH58" i="21"/>
  <c r="N58" i="21"/>
  <c r="J58" i="21"/>
  <c r="L58" i="21"/>
  <c r="O58" i="21"/>
  <c r="K58" i="21"/>
  <c r="P58" i="21"/>
  <c r="Q58" i="21"/>
  <c r="W58" i="21"/>
  <c r="X58" i="21"/>
  <c r="AJ58" i="21"/>
  <c r="H58" i="21"/>
  <c r="I58" i="21"/>
  <c r="Y58" i="21"/>
  <c r="Y58" i="20" s="1"/>
  <c r="AQ58" i="21"/>
  <c r="S58" i="21"/>
  <c r="S58" i="20" s="1"/>
  <c r="AK58" i="21"/>
  <c r="AK58" i="20" s="1"/>
  <c r="M58" i="21"/>
  <c r="M58" i="20" s="1"/>
  <c r="AE58" i="21"/>
  <c r="AE58" i="20" s="1"/>
  <c r="AT66" i="21"/>
  <c r="AS66" i="21"/>
  <c r="AF66" i="21"/>
  <c r="AM66" i="21"/>
  <c r="AG66" i="21"/>
  <c r="AN66" i="21"/>
  <c r="AH66" i="21"/>
  <c r="AO66" i="21"/>
  <c r="AI66" i="21"/>
  <c r="AP66" i="21"/>
  <c r="AJ66" i="21"/>
  <c r="Z66" i="21"/>
  <c r="U66" i="21"/>
  <c r="V66" i="21"/>
  <c r="W66" i="21"/>
  <c r="X66" i="21"/>
  <c r="AA66" i="21"/>
  <c r="N66" i="21"/>
  <c r="AB66" i="21"/>
  <c r="O66" i="21"/>
  <c r="AC66" i="21"/>
  <c r="P66" i="21"/>
  <c r="AD66" i="21"/>
  <c r="Q66" i="21"/>
  <c r="R66" i="21"/>
  <c r="F66" i="21"/>
  <c r="G66" i="21" s="1"/>
  <c r="H66" i="21"/>
  <c r="T66" i="21"/>
  <c r="I66" i="21"/>
  <c r="J66" i="21"/>
  <c r="K66" i="21"/>
  <c r="L66" i="21"/>
  <c r="AK66" i="21"/>
  <c r="AK66" i="20" s="1"/>
  <c r="M66" i="21"/>
  <c r="M66" i="20" s="1"/>
  <c r="AE66" i="21"/>
  <c r="AE66" i="20" s="1"/>
  <c r="S66" i="21"/>
  <c r="S66" i="20" s="1"/>
  <c r="Y66" i="21"/>
  <c r="Y66" i="20" s="1"/>
  <c r="AQ66" i="21"/>
  <c r="D15" i="19"/>
  <c r="E15" i="19" s="1"/>
  <c r="D16" i="19"/>
  <c r="E16" i="19" s="1"/>
  <c r="D32" i="19"/>
  <c r="E32" i="19" s="1"/>
  <c r="D9" i="19"/>
  <c r="E9" i="19" s="1"/>
  <c r="D17" i="19"/>
  <c r="E17" i="19" s="1"/>
  <c r="D25" i="19"/>
  <c r="E25" i="19" s="1"/>
  <c r="D33" i="19"/>
  <c r="E33" i="19" s="1"/>
  <c r="D10" i="19"/>
  <c r="E10" i="19" s="1"/>
  <c r="D34" i="19"/>
  <c r="E34" i="19" s="1"/>
  <c r="D31" i="19"/>
  <c r="E31" i="19" s="1"/>
  <c r="D24" i="19"/>
  <c r="E24" i="19" s="1"/>
  <c r="D11" i="19"/>
  <c r="E11" i="19" s="1"/>
  <c r="D19" i="19"/>
  <c r="E19" i="19" s="1"/>
  <c r="D27" i="19"/>
  <c r="E27" i="19" s="1"/>
  <c r="D7" i="19"/>
  <c r="E7" i="19" s="1"/>
  <c r="D18" i="19"/>
  <c r="E18" i="19" s="1"/>
  <c r="D12" i="19"/>
  <c r="E12" i="19" s="1"/>
  <c r="D20" i="19"/>
  <c r="E20" i="19" s="1"/>
  <c r="D28" i="19"/>
  <c r="E28" i="19" s="1"/>
  <c r="D8" i="19"/>
  <c r="E8" i="19" s="1"/>
  <c r="D23" i="19"/>
  <c r="E23" i="19" s="1"/>
  <c r="D13" i="19"/>
  <c r="E13" i="19" s="1"/>
  <c r="D21" i="19"/>
  <c r="E21" i="19" s="1"/>
  <c r="D29" i="19"/>
  <c r="E29" i="19" s="1"/>
  <c r="D26" i="19"/>
  <c r="E26" i="19" s="1"/>
  <c r="D6" i="19"/>
  <c r="E6" i="19" s="1"/>
  <c r="D14" i="19"/>
  <c r="E14" i="19" s="1"/>
  <c r="D22" i="19"/>
  <c r="E22" i="19" s="1"/>
  <c r="D30" i="19"/>
  <c r="E30" i="19" s="1"/>
  <c r="F5" i="3"/>
  <c r="AL4" i="21"/>
  <c r="AL4" i="20" s="1"/>
  <c r="N106" i="10"/>
  <c r="B46" i="1"/>
  <c r="AL4" i="19"/>
  <c r="AL4" i="3" s="1"/>
  <c r="H19" i="17"/>
  <c r="H20" i="17"/>
  <c r="H21" i="17"/>
  <c r="H24" i="17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12" i="10"/>
  <c r="B68" i="15"/>
  <c r="AY68" i="15" s="1"/>
  <c r="B67" i="15"/>
  <c r="AY67" i="15" s="1"/>
  <c r="B66" i="15"/>
  <c r="AY66" i="15" s="1"/>
  <c r="B65" i="15"/>
  <c r="AX65" i="15" s="1"/>
  <c r="B64" i="15"/>
  <c r="AX64" i="15" s="1"/>
  <c r="B63" i="15"/>
  <c r="AY63" i="15" s="1"/>
  <c r="B62" i="15"/>
  <c r="AW62" i="15" s="1"/>
  <c r="B61" i="15"/>
  <c r="AY61" i="15" s="1"/>
  <c r="B60" i="15"/>
  <c r="AY60" i="15" s="1"/>
  <c r="B59" i="15"/>
  <c r="AV59" i="15" s="1"/>
  <c r="B58" i="15"/>
  <c r="B57" i="15"/>
  <c r="B56" i="15"/>
  <c r="B55" i="15"/>
  <c r="AV55" i="15" s="1"/>
  <c r="B54" i="15"/>
  <c r="B53" i="15"/>
  <c r="AY53" i="15" s="1"/>
  <c r="B52" i="15"/>
  <c r="AY52" i="15" s="1"/>
  <c r="B51" i="15"/>
  <c r="AY51" i="15" s="1"/>
  <c r="B50" i="15"/>
  <c r="AY50" i="15" s="1"/>
  <c r="B49" i="15"/>
  <c r="AX49" i="15" s="1"/>
  <c r="AV1" i="15"/>
  <c r="AV1" i="13"/>
  <c r="B49" i="13"/>
  <c r="AW49" i="13" s="1"/>
  <c r="B50" i="13"/>
  <c r="AX50" i="13" s="1"/>
  <c r="B51" i="13"/>
  <c r="AY51" i="13" s="1"/>
  <c r="B52" i="13"/>
  <c r="AV52" i="13" s="1"/>
  <c r="B53" i="13"/>
  <c r="AY53" i="13" s="1"/>
  <c r="B54" i="13"/>
  <c r="AY54" i="13" s="1"/>
  <c r="B55" i="13"/>
  <c r="AY55" i="13" s="1"/>
  <c r="B56" i="13"/>
  <c r="AY56" i="13" s="1"/>
  <c r="B57" i="13"/>
  <c r="AY57" i="13" s="1"/>
  <c r="B58" i="13"/>
  <c r="AY58" i="13" s="1"/>
  <c r="B59" i="13"/>
  <c r="AY59" i="13" s="1"/>
  <c r="B60" i="13"/>
  <c r="AX60" i="13" s="1"/>
  <c r="B61" i="13"/>
  <c r="AV61" i="13" s="1"/>
  <c r="B62" i="13"/>
  <c r="AV62" i="13" s="1"/>
  <c r="B63" i="13"/>
  <c r="AW63" i="13" s="1"/>
  <c r="B64" i="13"/>
  <c r="AV64" i="13" s="1"/>
  <c r="B65" i="13"/>
  <c r="AW65" i="13" s="1"/>
  <c r="B66" i="13"/>
  <c r="AX66" i="13" s="1"/>
  <c r="B67" i="13"/>
  <c r="AY67" i="13" s="1"/>
  <c r="B68" i="13"/>
  <c r="AV68" i="13" s="1"/>
  <c r="H25" i="17" l="1"/>
  <c r="D18" i="17"/>
  <c r="AE41" i="21"/>
  <c r="AE41" i="20" s="1"/>
  <c r="AE38" i="21"/>
  <c r="AE38" i="20" s="1"/>
  <c r="M41" i="21"/>
  <c r="K66" i="10"/>
  <c r="M39" i="19"/>
  <c r="M39" i="3" s="1"/>
  <c r="Y39" i="21"/>
  <c r="Y39" i="20" s="1"/>
  <c r="AQ40" i="19"/>
  <c r="Y42" i="21"/>
  <c r="Y42" i="20" s="1"/>
  <c r="S35" i="19"/>
  <c r="S35" i="3" s="1"/>
  <c r="S37" i="19"/>
  <c r="S37" i="3" s="1"/>
  <c r="Y42" i="19"/>
  <c r="Y42" i="3" s="1"/>
  <c r="M36" i="21"/>
  <c r="M36" i="20" s="1"/>
  <c r="M41" i="19"/>
  <c r="M41" i="3" s="1"/>
  <c r="S39" i="19"/>
  <c r="S39" i="3" s="1"/>
  <c r="AE35" i="21"/>
  <c r="AE35" i="20" s="1"/>
  <c r="Y41" i="21"/>
  <c r="Y41" i="20" s="1"/>
  <c r="M39" i="21"/>
  <c r="M39" i="20" s="1"/>
  <c r="Y38" i="21"/>
  <c r="Y38" i="20" s="1"/>
  <c r="AK36" i="19"/>
  <c r="AK36" i="3" s="1"/>
  <c r="AK37" i="21"/>
  <c r="AK37" i="20" s="1"/>
  <c r="Y40" i="21"/>
  <c r="Y40" i="20" s="1"/>
  <c r="AE42" i="19"/>
  <c r="AE42" i="3" s="1"/>
  <c r="AQ39" i="19"/>
  <c r="M42" i="21"/>
  <c r="M42" i="20" s="1"/>
  <c r="AQ38" i="19"/>
  <c r="AK39" i="21"/>
  <c r="AK39" i="20" s="1"/>
  <c r="S41" i="19"/>
  <c r="S41" i="3" s="1"/>
  <c r="AK37" i="19"/>
  <c r="AK37" i="3" s="1"/>
  <c r="Y37" i="19"/>
  <c r="Y37" i="3" s="1"/>
  <c r="AQ39" i="21"/>
  <c r="AQ39" i="20" s="1"/>
  <c r="M40" i="21"/>
  <c r="M40" i="20" s="1"/>
  <c r="AK41" i="21"/>
  <c r="AK41" i="20" s="1"/>
  <c r="AK38" i="19"/>
  <c r="AK38" i="3" s="1"/>
  <c r="AK35" i="21"/>
  <c r="AK35" i="20" s="1"/>
  <c r="AQ36" i="19"/>
  <c r="AQ36" i="3" s="1"/>
  <c r="M37" i="19"/>
  <c r="M37" i="3" s="1"/>
  <c r="AK42" i="19"/>
  <c r="AK42" i="3" s="1"/>
  <c r="S37" i="21"/>
  <c r="S37" i="20" s="1"/>
  <c r="S35" i="21"/>
  <c r="S35" i="20" s="1"/>
  <c r="Y35" i="21"/>
  <c r="Y35" i="20" s="1"/>
  <c r="S41" i="21"/>
  <c r="S41" i="20" s="1"/>
  <c r="AK36" i="21"/>
  <c r="AK36" i="20" s="1"/>
  <c r="Y41" i="19"/>
  <c r="Y41" i="3" s="1"/>
  <c r="Y35" i="19"/>
  <c r="Y35" i="3" s="1"/>
  <c r="AK38" i="21"/>
  <c r="AK38" i="20" s="1"/>
  <c r="AQ41" i="19"/>
  <c r="F47" i="10" s="1"/>
  <c r="S40" i="19"/>
  <c r="S40" i="3" s="1"/>
  <c r="AE39" i="19"/>
  <c r="AE39" i="3" s="1"/>
  <c r="S39" i="21"/>
  <c r="S39" i="20" s="1"/>
  <c r="AK39" i="19"/>
  <c r="AK39" i="3" s="1"/>
  <c r="S38" i="21"/>
  <c r="S38" i="20" s="1"/>
  <c r="AK41" i="19"/>
  <c r="AK41" i="3" s="1"/>
  <c r="AQ48" i="21"/>
  <c r="AQ48" i="20" s="1"/>
  <c r="AQ38" i="21"/>
  <c r="AQ35" i="21"/>
  <c r="AQ43" i="21"/>
  <c r="AQ43" i="20" s="1"/>
  <c r="AQ40" i="21"/>
  <c r="AQ37" i="21"/>
  <c r="AQ45" i="21"/>
  <c r="AE40" i="21"/>
  <c r="AE40" i="20" s="1"/>
  <c r="AE42" i="21"/>
  <c r="AE42" i="20" s="1"/>
  <c r="AE50" i="21"/>
  <c r="AE50" i="20" s="1"/>
  <c r="AE48" i="21"/>
  <c r="AE48" i="20" s="1"/>
  <c r="Y36" i="21"/>
  <c r="Y36" i="20" s="1"/>
  <c r="Y48" i="21"/>
  <c r="Y48" i="20" s="1"/>
  <c r="Y45" i="21"/>
  <c r="Y45" i="20" s="1"/>
  <c r="K62" i="10"/>
  <c r="Y37" i="21"/>
  <c r="Y37" i="20" s="1"/>
  <c r="K61" i="10"/>
  <c r="S42" i="21"/>
  <c r="S42" i="20" s="1"/>
  <c r="S36" i="21"/>
  <c r="S36" i="20" s="1"/>
  <c r="S50" i="21"/>
  <c r="S50" i="20" s="1"/>
  <c r="K72" i="10"/>
  <c r="S44" i="21"/>
  <c r="S44" i="20" s="1"/>
  <c r="M49" i="21"/>
  <c r="M49" i="20" s="1"/>
  <c r="M47" i="21"/>
  <c r="AL47" i="21" s="1"/>
  <c r="M46" i="21"/>
  <c r="K59" i="10"/>
  <c r="M38" i="21"/>
  <c r="M38" i="20" s="1"/>
  <c r="K58" i="10"/>
  <c r="M50" i="21"/>
  <c r="M50" i="20" s="1"/>
  <c r="M37" i="21"/>
  <c r="M37" i="20" s="1"/>
  <c r="M44" i="21"/>
  <c r="M44" i="20" s="1"/>
  <c r="AE48" i="19"/>
  <c r="AE48" i="3" s="1"/>
  <c r="AE49" i="19"/>
  <c r="AE49" i="3" s="1"/>
  <c r="AE38" i="19"/>
  <c r="AE38" i="3" s="1"/>
  <c r="AE43" i="19"/>
  <c r="AE43" i="3" s="1"/>
  <c r="AE36" i="19"/>
  <c r="AE36" i="3" s="1"/>
  <c r="K60" i="10"/>
  <c r="AQ42" i="19"/>
  <c r="AQ44" i="19"/>
  <c r="AQ43" i="19"/>
  <c r="F49" i="10" s="1"/>
  <c r="AQ49" i="19"/>
  <c r="AQ49" i="3" s="1"/>
  <c r="AE40" i="19"/>
  <c r="AE40" i="3" s="1"/>
  <c r="AE47" i="19"/>
  <c r="AE47" i="3" s="1"/>
  <c r="AE37" i="19"/>
  <c r="AE37" i="3" s="1"/>
  <c r="AE45" i="19"/>
  <c r="AE45" i="3" s="1"/>
  <c r="AE35" i="19"/>
  <c r="AE35" i="3" s="1"/>
  <c r="Y49" i="19"/>
  <c r="Y49" i="3" s="1"/>
  <c r="S38" i="19"/>
  <c r="S38" i="3" s="1"/>
  <c r="S36" i="19"/>
  <c r="S36" i="3" s="1"/>
  <c r="S44" i="19"/>
  <c r="S44" i="3" s="1"/>
  <c r="S49" i="19"/>
  <c r="S49" i="3" s="1"/>
  <c r="M46" i="19"/>
  <c r="M46" i="3" s="1"/>
  <c r="M47" i="19"/>
  <c r="M47" i="3" s="1"/>
  <c r="M40" i="19"/>
  <c r="M40" i="3" s="1"/>
  <c r="M43" i="19"/>
  <c r="M43" i="3" s="1"/>
  <c r="M35" i="19"/>
  <c r="M35" i="3" s="1"/>
  <c r="M42" i="19"/>
  <c r="M42" i="3" s="1"/>
  <c r="M36" i="19"/>
  <c r="M36" i="3" s="1"/>
  <c r="M45" i="19"/>
  <c r="M45" i="3" s="1"/>
  <c r="M48" i="19"/>
  <c r="AL48" i="19" s="1"/>
  <c r="AL48" i="3" s="1"/>
  <c r="AQ48" i="19"/>
  <c r="AQ50" i="19"/>
  <c r="AQ50" i="3" s="1"/>
  <c r="AE50" i="19"/>
  <c r="AE50" i="3" s="1"/>
  <c r="AE41" i="19"/>
  <c r="AE41" i="3" s="1"/>
  <c r="Y36" i="19"/>
  <c r="Y36" i="3" s="1"/>
  <c r="S43" i="19"/>
  <c r="S43" i="3" s="1"/>
  <c r="M50" i="19"/>
  <c r="M50" i="3" s="1"/>
  <c r="M38" i="19"/>
  <c r="M38" i="3" s="1"/>
  <c r="M49" i="19"/>
  <c r="M49" i="3" s="1"/>
  <c r="AL46" i="19"/>
  <c r="E52" i="10" s="1"/>
  <c r="M43" i="20"/>
  <c r="AL43" i="21"/>
  <c r="I49" i="10" s="1"/>
  <c r="AL50" i="21"/>
  <c r="I56" i="10" s="1"/>
  <c r="M46" i="20"/>
  <c r="AL46" i="21"/>
  <c r="I52" i="10" s="1"/>
  <c r="AL49" i="21"/>
  <c r="I55" i="10" s="1"/>
  <c r="M44" i="3"/>
  <c r="AL44" i="19"/>
  <c r="E50" i="10" s="1"/>
  <c r="AL43" i="19"/>
  <c r="E49" i="10" s="1"/>
  <c r="AL49" i="19"/>
  <c r="E55" i="10" s="1"/>
  <c r="M41" i="20"/>
  <c r="M45" i="20"/>
  <c r="AL45" i="21"/>
  <c r="I51" i="10" s="1"/>
  <c r="AL48" i="21"/>
  <c r="AL48" i="20" s="1"/>
  <c r="E35" i="19"/>
  <c r="E35" i="3" s="1"/>
  <c r="E35" i="20" s="1"/>
  <c r="E45" i="19"/>
  <c r="E45" i="3" s="1"/>
  <c r="E45" i="20" s="1"/>
  <c r="AL35" i="21"/>
  <c r="I41" i="10" s="1"/>
  <c r="E40" i="19"/>
  <c r="E40" i="3" s="1"/>
  <c r="E40" i="20" s="1"/>
  <c r="E46" i="19"/>
  <c r="E42" i="19"/>
  <c r="E42" i="3" s="1"/>
  <c r="E42" i="20" s="1"/>
  <c r="E44" i="19"/>
  <c r="E44" i="3" s="1"/>
  <c r="E44" i="20" s="1"/>
  <c r="E37" i="19"/>
  <c r="E37" i="3" s="1"/>
  <c r="E37" i="20" s="1"/>
  <c r="E41" i="19"/>
  <c r="AK6" i="19"/>
  <c r="K64" i="10"/>
  <c r="K70" i="10"/>
  <c r="K68" i="10"/>
  <c r="K73" i="10"/>
  <c r="K67" i="10"/>
  <c r="M6" i="19"/>
  <c r="K71" i="10"/>
  <c r="K65" i="10"/>
  <c r="K76" i="10"/>
  <c r="K74" i="10"/>
  <c r="K75" i="10"/>
  <c r="K63" i="10"/>
  <c r="K69" i="10"/>
  <c r="K57" i="10"/>
  <c r="AT59" i="3"/>
  <c r="G65" i="10"/>
  <c r="AT62" i="20"/>
  <c r="AT60" i="20"/>
  <c r="AT63" i="3"/>
  <c r="G69" i="10"/>
  <c r="AT66" i="20"/>
  <c r="AT65" i="20"/>
  <c r="AT60" i="3"/>
  <c r="G66" i="10"/>
  <c r="AT67" i="3"/>
  <c r="G73" i="10"/>
  <c r="AT58" i="3"/>
  <c r="G64" i="10"/>
  <c r="AT70" i="3"/>
  <c r="G76" i="10"/>
  <c r="AT57" i="3"/>
  <c r="G63" i="10"/>
  <c r="AT68" i="20"/>
  <c r="AT64" i="3"/>
  <c r="G70" i="10"/>
  <c r="AT59" i="20"/>
  <c r="AT61" i="3"/>
  <c r="G67" i="10"/>
  <c r="AT54" i="20"/>
  <c r="AT69" i="3"/>
  <c r="G75" i="10"/>
  <c r="AT53" i="20"/>
  <c r="AT63" i="20"/>
  <c r="AT55" i="3"/>
  <c r="G61" i="10"/>
  <c r="AT68" i="3"/>
  <c r="G74" i="10"/>
  <c r="AT55" i="20"/>
  <c r="AT53" i="3"/>
  <c r="G59" i="10"/>
  <c r="AT65" i="3"/>
  <c r="G71" i="10"/>
  <c r="AT52" i="20"/>
  <c r="AT70" i="20"/>
  <c r="AT69" i="20"/>
  <c r="AT56" i="20"/>
  <c r="AT61" i="20"/>
  <c r="AT52" i="3"/>
  <c r="G58" i="10"/>
  <c r="AT64" i="20"/>
  <c r="AT51" i="3"/>
  <c r="G57" i="10"/>
  <c r="AT62" i="3"/>
  <c r="G68" i="10"/>
  <c r="AT56" i="3"/>
  <c r="G62" i="10"/>
  <c r="AT58" i="20"/>
  <c r="AT57" i="20"/>
  <c r="AT66" i="3"/>
  <c r="G72" i="10"/>
  <c r="AT51" i="20"/>
  <c r="AT54" i="3"/>
  <c r="G60" i="10"/>
  <c r="AT67" i="20"/>
  <c r="S19" i="19"/>
  <c r="S19" i="3" s="1"/>
  <c r="S18" i="19"/>
  <c r="S18" i="3" s="1"/>
  <c r="G68" i="20"/>
  <c r="H74" i="10"/>
  <c r="AQ61" i="3"/>
  <c r="F67" i="10"/>
  <c r="G68" i="3"/>
  <c r="D74" i="10"/>
  <c r="E60" i="3"/>
  <c r="E60" i="20" s="1"/>
  <c r="G55" i="20"/>
  <c r="H61" i="10"/>
  <c r="E68" i="10"/>
  <c r="AL62" i="3"/>
  <c r="AS53" i="20"/>
  <c r="G56" i="3"/>
  <c r="D62" i="10"/>
  <c r="AQ44" i="20"/>
  <c r="J50" i="10"/>
  <c r="J56" i="10"/>
  <c r="AQ50" i="20"/>
  <c r="AQ35" i="3"/>
  <c r="F41" i="10"/>
  <c r="AL60" i="3"/>
  <c r="E66" i="10"/>
  <c r="J58" i="10"/>
  <c r="AQ52" i="20"/>
  <c r="AQ67" i="3"/>
  <c r="F73" i="10"/>
  <c r="E43" i="3"/>
  <c r="E43" i="20" s="1"/>
  <c r="AQ37" i="3"/>
  <c r="F43" i="10"/>
  <c r="J61" i="10"/>
  <c r="AQ55" i="20"/>
  <c r="AS55" i="20"/>
  <c r="E50" i="3"/>
  <c r="E50" i="20" s="1"/>
  <c r="J52" i="10"/>
  <c r="AQ46" i="20"/>
  <c r="E53" i="3"/>
  <c r="E53" i="20" s="1"/>
  <c r="G69" i="3"/>
  <c r="D75" i="10"/>
  <c r="J75" i="10"/>
  <c r="AQ69" i="20"/>
  <c r="G69" i="20"/>
  <c r="H75" i="10"/>
  <c r="AQ56" i="3"/>
  <c r="F62" i="10"/>
  <c r="G63" i="3"/>
  <c r="D69" i="10"/>
  <c r="E55" i="3"/>
  <c r="E55" i="20" s="1"/>
  <c r="AQ39" i="3"/>
  <c r="F45" i="10"/>
  <c r="F68" i="10"/>
  <c r="AQ62" i="3"/>
  <c r="AQ42" i="20"/>
  <c r="J48" i="10"/>
  <c r="AQ41" i="20"/>
  <c r="J47" i="10"/>
  <c r="G64" i="20"/>
  <c r="H70" i="10"/>
  <c r="AL56" i="20"/>
  <c r="I62" i="10"/>
  <c r="AS52" i="20"/>
  <c r="H69" i="10"/>
  <c r="G63" i="20"/>
  <c r="AQ58" i="3"/>
  <c r="F64" i="10"/>
  <c r="G70" i="20"/>
  <c r="H76" i="10"/>
  <c r="D60" i="10"/>
  <c r="G54" i="3"/>
  <c r="AL53" i="3"/>
  <c r="E59" i="10"/>
  <c r="AQ57" i="3"/>
  <c r="F63" i="10"/>
  <c r="E49" i="3"/>
  <c r="E49" i="20" s="1"/>
  <c r="AS69" i="20"/>
  <c r="H67" i="10"/>
  <c r="G61" i="20"/>
  <c r="E61" i="10"/>
  <c r="AL55" i="3"/>
  <c r="G53" i="3"/>
  <c r="D59" i="10"/>
  <c r="E69" i="3"/>
  <c r="E69" i="20" s="1"/>
  <c r="AQ57" i="20"/>
  <c r="J63" i="10"/>
  <c r="AS57" i="20"/>
  <c r="AQ68" i="3"/>
  <c r="F74" i="10"/>
  <c r="J70" i="10"/>
  <c r="AQ64" i="20"/>
  <c r="I70" i="10"/>
  <c r="AL64" i="20"/>
  <c r="E67" i="3"/>
  <c r="E67" i="20" s="1"/>
  <c r="AQ46" i="3"/>
  <c r="F52" i="10"/>
  <c r="J68" i="10"/>
  <c r="AQ62" i="20"/>
  <c r="H66" i="10"/>
  <c r="G60" i="20"/>
  <c r="AQ64" i="3"/>
  <c r="F70" i="10"/>
  <c r="I71" i="10"/>
  <c r="AL65" i="20"/>
  <c r="J51" i="10"/>
  <c r="AQ45" i="20"/>
  <c r="E56" i="3"/>
  <c r="E56" i="20" s="1"/>
  <c r="AQ47" i="3"/>
  <c r="F53" i="10"/>
  <c r="E68" i="3"/>
  <c r="E68" i="20" s="1"/>
  <c r="J42" i="10"/>
  <c r="AQ36" i="20"/>
  <c r="J64" i="10"/>
  <c r="AQ58" i="20"/>
  <c r="I72" i="10"/>
  <c r="AL66" i="20"/>
  <c r="AS58" i="20"/>
  <c r="AL67" i="3"/>
  <c r="E73" i="10"/>
  <c r="AL55" i="20"/>
  <c r="I61" i="10"/>
  <c r="AQ70" i="3"/>
  <c r="F76" i="10"/>
  <c r="AL54" i="20"/>
  <c r="I60" i="10"/>
  <c r="D63" i="10"/>
  <c r="G57" i="3"/>
  <c r="AQ40" i="3"/>
  <c r="F46" i="10"/>
  <c r="J49" i="10"/>
  <c r="G61" i="3"/>
  <c r="D67" i="10"/>
  <c r="G52" i="20"/>
  <c r="H58" i="10"/>
  <c r="AQ47" i="20"/>
  <c r="J53" i="10"/>
  <c r="AQ69" i="3"/>
  <c r="F75" i="10"/>
  <c r="AL56" i="3"/>
  <c r="E62" i="10"/>
  <c r="J65" i="10"/>
  <c r="AQ59" i="20"/>
  <c r="H65" i="10"/>
  <c r="G59" i="20"/>
  <c r="AL51" i="20"/>
  <c r="I57" i="10"/>
  <c r="AL68" i="3"/>
  <c r="E74" i="10"/>
  <c r="AQ52" i="3"/>
  <c r="F58" i="10"/>
  <c r="AS64" i="20"/>
  <c r="E51" i="3"/>
  <c r="E51" i="20" s="1"/>
  <c r="E58" i="3"/>
  <c r="E58" i="20" s="1"/>
  <c r="E70" i="3"/>
  <c r="E70" i="20" s="1"/>
  <c r="E54" i="3"/>
  <c r="E54" i="20" s="1"/>
  <c r="AQ65" i="3"/>
  <c r="F71" i="10"/>
  <c r="G64" i="3"/>
  <c r="D70" i="10"/>
  <c r="AQ48" i="3"/>
  <c r="F54" i="10"/>
  <c r="AQ45" i="3"/>
  <c r="F51" i="10"/>
  <c r="E63" i="3"/>
  <c r="E63" i="20" s="1"/>
  <c r="G67" i="20"/>
  <c r="H73" i="10"/>
  <c r="AS59" i="20"/>
  <c r="AL57" i="20"/>
  <c r="I63" i="10"/>
  <c r="AQ68" i="20"/>
  <c r="J74" i="10"/>
  <c r="J55" i="10"/>
  <c r="AQ49" i="20"/>
  <c r="AQ66" i="3"/>
  <c r="F72" i="10"/>
  <c r="AQ42" i="3"/>
  <c r="F48" i="10"/>
  <c r="AS62" i="20"/>
  <c r="AS60" i="20"/>
  <c r="AS68" i="20"/>
  <c r="J67" i="10"/>
  <c r="AQ61" i="20"/>
  <c r="AL53" i="20"/>
  <c r="I59" i="10"/>
  <c r="J72" i="10"/>
  <c r="AQ66" i="20"/>
  <c r="AL58" i="20"/>
  <c r="I64" i="10"/>
  <c r="E61" i="3"/>
  <c r="E61" i="20" s="1"/>
  <c r="G52" i="3"/>
  <c r="D58" i="10"/>
  <c r="AQ59" i="3"/>
  <c r="F65" i="10"/>
  <c r="AL51" i="3"/>
  <c r="E57" i="10"/>
  <c r="J69" i="10"/>
  <c r="AQ63" i="20"/>
  <c r="G66" i="3"/>
  <c r="D72" i="10"/>
  <c r="AL58" i="3"/>
  <c r="E64" i="10"/>
  <c r="AL70" i="3"/>
  <c r="E76" i="10"/>
  <c r="AL70" i="20"/>
  <c r="I76" i="10"/>
  <c r="I66" i="10"/>
  <c r="AL60" i="20"/>
  <c r="E57" i="3"/>
  <c r="E57" i="20" s="1"/>
  <c r="AL69" i="20"/>
  <c r="I75" i="10"/>
  <c r="AS61" i="20"/>
  <c r="J41" i="10"/>
  <c r="AQ35" i="20"/>
  <c r="AL54" i="3"/>
  <c r="E60" i="10"/>
  <c r="G65" i="20"/>
  <c r="H71" i="10"/>
  <c r="AQ38" i="3"/>
  <c r="F44" i="10"/>
  <c r="AQ60" i="3"/>
  <c r="F66" i="10"/>
  <c r="E52" i="3"/>
  <c r="E52" i="20" s="1"/>
  <c r="G56" i="20"/>
  <c r="H62" i="10"/>
  <c r="G59" i="3"/>
  <c r="D65" i="10"/>
  <c r="AS63" i="20"/>
  <c r="AL57" i="3"/>
  <c r="E63" i="10"/>
  <c r="AL68" i="20"/>
  <c r="I74" i="10"/>
  <c r="AL69" i="3"/>
  <c r="E75" i="10"/>
  <c r="E69" i="10"/>
  <c r="AL63" i="3"/>
  <c r="G55" i="3"/>
  <c r="D61" i="10"/>
  <c r="AQ51" i="20"/>
  <c r="J57" i="10"/>
  <c r="AQ60" i="20"/>
  <c r="J66" i="10"/>
  <c r="G65" i="3"/>
  <c r="D71" i="10"/>
  <c r="AL52" i="3"/>
  <c r="E58" i="10"/>
  <c r="AL52" i="20"/>
  <c r="I58" i="10"/>
  <c r="G67" i="3"/>
  <c r="D73" i="10"/>
  <c r="I69" i="10"/>
  <c r="AL63" i="20"/>
  <c r="J44" i="10"/>
  <c r="AQ38" i="20"/>
  <c r="E64" i="3"/>
  <c r="E64" i="20" s="1"/>
  <c r="E47" i="3"/>
  <c r="E47" i="20" s="1"/>
  <c r="AQ51" i="3"/>
  <c r="F57" i="10"/>
  <c r="G70" i="3"/>
  <c r="D76" i="10"/>
  <c r="AQ43" i="3"/>
  <c r="AQ40" i="20"/>
  <c r="J46" i="10"/>
  <c r="H68" i="10"/>
  <c r="G62" i="20"/>
  <c r="G54" i="20"/>
  <c r="H60" i="10"/>
  <c r="E41" i="3"/>
  <c r="E41" i="20" s="1"/>
  <c r="G62" i="3"/>
  <c r="D68" i="10"/>
  <c r="J59" i="10"/>
  <c r="AQ53" i="20"/>
  <c r="AQ55" i="3"/>
  <c r="F61" i="10"/>
  <c r="J73" i="10"/>
  <c r="AQ67" i="20"/>
  <c r="AL67" i="20"/>
  <c r="I73" i="10"/>
  <c r="I65" i="10"/>
  <c r="AL59" i="20"/>
  <c r="G51" i="20"/>
  <c r="H57" i="10"/>
  <c r="G58" i="3"/>
  <c r="D64" i="10"/>
  <c r="AQ54" i="3"/>
  <c r="F60" i="10"/>
  <c r="I67" i="10"/>
  <c r="AL61" i="20"/>
  <c r="AS65" i="20"/>
  <c r="AS66" i="20"/>
  <c r="E59" i="3"/>
  <c r="E59" i="20" s="1"/>
  <c r="E66" i="3"/>
  <c r="E66" i="20" s="1"/>
  <c r="J60" i="10"/>
  <c r="AQ54" i="20"/>
  <c r="AS54" i="20"/>
  <c r="AQ53" i="3"/>
  <c r="F59" i="10"/>
  <c r="J43" i="10"/>
  <c r="AQ37" i="20"/>
  <c r="AL64" i="3"/>
  <c r="E70" i="10"/>
  <c r="E39" i="3"/>
  <c r="E39" i="20" s="1"/>
  <c r="E46" i="3"/>
  <c r="E46" i="20" s="1"/>
  <c r="G58" i="20"/>
  <c r="H64" i="10"/>
  <c r="E38" i="3"/>
  <c r="E38" i="20" s="1"/>
  <c r="G60" i="3"/>
  <c r="D66" i="10"/>
  <c r="AQ44" i="3"/>
  <c r="F50" i="10"/>
  <c r="E36" i="3"/>
  <c r="E36" i="20" s="1"/>
  <c r="AQ56" i="20"/>
  <c r="J62" i="10"/>
  <c r="AS56" i="20"/>
  <c r="AL59" i="3"/>
  <c r="E65" i="10"/>
  <c r="E65" i="3"/>
  <c r="E65" i="20" s="1"/>
  <c r="AS51" i="20"/>
  <c r="G66" i="20"/>
  <c r="H72" i="10"/>
  <c r="J71" i="10"/>
  <c r="AQ65" i="20"/>
  <c r="AL61" i="3"/>
  <c r="E67" i="10"/>
  <c r="G57" i="20"/>
  <c r="H63" i="10"/>
  <c r="G51" i="3"/>
  <c r="D57" i="10"/>
  <c r="AL66" i="3"/>
  <c r="E72" i="10"/>
  <c r="AQ70" i="20"/>
  <c r="J76" i="10"/>
  <c r="AS70" i="20"/>
  <c r="I68" i="10"/>
  <c r="AL62" i="20"/>
  <c r="AL65" i="3"/>
  <c r="E71" i="10"/>
  <c r="E62" i="3"/>
  <c r="E62" i="20" s="1"/>
  <c r="G53" i="20"/>
  <c r="H59" i="10"/>
  <c r="E48" i="3"/>
  <c r="E48" i="20" s="1"/>
  <c r="AQ63" i="3"/>
  <c r="F69" i="10"/>
  <c r="AS67" i="20"/>
  <c r="M31" i="19"/>
  <c r="M32" i="19"/>
  <c r="AE6" i="19"/>
  <c r="AE6" i="3" s="1"/>
  <c r="S33" i="19"/>
  <c r="S33" i="3" s="1"/>
  <c r="M11" i="19"/>
  <c r="S10" i="19"/>
  <c r="S10" i="3" s="1"/>
  <c r="M19" i="19"/>
  <c r="S30" i="19"/>
  <c r="S30" i="3" s="1"/>
  <c r="M8" i="19"/>
  <c r="M8" i="3" s="1"/>
  <c r="S22" i="19"/>
  <c r="S22" i="3" s="1"/>
  <c r="M30" i="19"/>
  <c r="M34" i="19"/>
  <c r="M34" i="3" s="1"/>
  <c r="M13" i="19"/>
  <c r="M13" i="3" s="1"/>
  <c r="M21" i="19"/>
  <c r="M21" i="3" s="1"/>
  <c r="M12" i="19"/>
  <c r="M29" i="19"/>
  <c r="M28" i="19"/>
  <c r="S27" i="19"/>
  <c r="S27" i="3" s="1"/>
  <c r="M17" i="19"/>
  <c r="M17" i="3" s="1"/>
  <c r="M23" i="19"/>
  <c r="M14" i="19"/>
  <c r="M26" i="19"/>
  <c r="Y8" i="19"/>
  <c r="Y8" i="3" s="1"/>
  <c r="S11" i="19"/>
  <c r="S11" i="3" s="1"/>
  <c r="AQ34" i="19"/>
  <c r="AQ34" i="3" s="1"/>
  <c r="AQ13" i="19"/>
  <c r="AQ13" i="3" s="1"/>
  <c r="AQ30" i="19"/>
  <c r="F36" i="10" s="1"/>
  <c r="S24" i="19"/>
  <c r="S24" i="3" s="1"/>
  <c r="AQ15" i="21"/>
  <c r="AQ15" i="20" s="1"/>
  <c r="S14" i="19"/>
  <c r="S14" i="3" s="1"/>
  <c r="AE21" i="21"/>
  <c r="AE21" i="20" s="1"/>
  <c r="S23" i="19"/>
  <c r="S23" i="3" s="1"/>
  <c r="M25" i="19"/>
  <c r="AQ13" i="21"/>
  <c r="AQ13" i="20" s="1"/>
  <c r="M26" i="21"/>
  <c r="AE29" i="21"/>
  <c r="AE29" i="20" s="1"/>
  <c r="S31" i="21"/>
  <c r="S31" i="20" s="1"/>
  <c r="S33" i="21"/>
  <c r="S33" i="20" s="1"/>
  <c r="AK19" i="21"/>
  <c r="AK19" i="20" s="1"/>
  <c r="Y28" i="21"/>
  <c r="Y28" i="20" s="1"/>
  <c r="Y18" i="19"/>
  <c r="Y18" i="3" s="1"/>
  <c r="Y13" i="19"/>
  <c r="Y13" i="3" s="1"/>
  <c r="AQ32" i="19"/>
  <c r="AQ32" i="3" s="1"/>
  <c r="AQ22" i="19"/>
  <c r="F28" i="10" s="1"/>
  <c r="Y24" i="19"/>
  <c r="Y24" i="3" s="1"/>
  <c r="Y16" i="19"/>
  <c r="Y16" i="3" s="1"/>
  <c r="AQ28" i="19"/>
  <c r="AQ28" i="3" s="1"/>
  <c r="AQ18" i="19"/>
  <c r="AQ18" i="3" s="1"/>
  <c r="AQ24" i="19"/>
  <c r="F30" i="10" s="1"/>
  <c r="AQ14" i="19"/>
  <c r="F20" i="10" s="1"/>
  <c r="AQ27" i="21"/>
  <c r="AQ27" i="20" s="1"/>
  <c r="Y6" i="19"/>
  <c r="Y6" i="3" s="1"/>
  <c r="AQ20" i="19"/>
  <c r="F26" i="10" s="1"/>
  <c r="AQ10" i="19"/>
  <c r="AQ10" i="3" s="1"/>
  <c r="Y34" i="21"/>
  <c r="Y34" i="20" s="1"/>
  <c r="S24" i="21"/>
  <c r="S24" i="20" s="1"/>
  <c r="AQ16" i="19"/>
  <c r="AQ16" i="3" s="1"/>
  <c r="Y11" i="19"/>
  <c r="Y11" i="3" s="1"/>
  <c r="AQ8" i="19"/>
  <c r="AQ8" i="3" s="1"/>
  <c r="AE33" i="21"/>
  <c r="AE33" i="20" s="1"/>
  <c r="AE9" i="21"/>
  <c r="AE9" i="20" s="1"/>
  <c r="AQ33" i="21"/>
  <c r="J39" i="10" s="1"/>
  <c r="Y27" i="19"/>
  <c r="Y27" i="3" s="1"/>
  <c r="Y34" i="19"/>
  <c r="Y34" i="3" s="1"/>
  <c r="Y29" i="19"/>
  <c r="Y29" i="3" s="1"/>
  <c r="AQ17" i="19"/>
  <c r="S21" i="19"/>
  <c r="S21" i="3" s="1"/>
  <c r="S16" i="19"/>
  <c r="S16" i="3" s="1"/>
  <c r="Y9" i="21"/>
  <c r="Y9" i="20" s="1"/>
  <c r="AQ17" i="21"/>
  <c r="M9" i="19"/>
  <c r="AK31" i="19"/>
  <c r="AK31" i="3" s="1"/>
  <c r="AK26" i="19"/>
  <c r="AK26" i="3" s="1"/>
  <c r="M7" i="21"/>
  <c r="M12" i="21"/>
  <c r="AE10" i="21"/>
  <c r="AE10" i="20" s="1"/>
  <c r="S28" i="21"/>
  <c r="S28" i="20" s="1"/>
  <c r="S14" i="21"/>
  <c r="S14" i="20" s="1"/>
  <c r="AK11" i="21"/>
  <c r="AK11" i="20" s="1"/>
  <c r="AE8" i="19"/>
  <c r="AE8" i="3" s="1"/>
  <c r="AE19" i="19"/>
  <c r="AE19" i="3" s="1"/>
  <c r="AK10" i="19"/>
  <c r="AK10" i="3" s="1"/>
  <c r="Y21" i="19"/>
  <c r="Y21" i="3" s="1"/>
  <c r="Y32" i="19"/>
  <c r="Y32" i="3" s="1"/>
  <c r="AQ9" i="19"/>
  <c r="AQ26" i="19"/>
  <c r="S8" i="19"/>
  <c r="S8" i="3" s="1"/>
  <c r="S20" i="19"/>
  <c r="S20" i="3" s="1"/>
  <c r="Y12" i="21"/>
  <c r="Y12" i="20" s="1"/>
  <c r="AQ34" i="21"/>
  <c r="AQ9" i="21"/>
  <c r="M33" i="19"/>
  <c r="AK34" i="19"/>
  <c r="AK34" i="3" s="1"/>
  <c r="AK29" i="19"/>
  <c r="AK29" i="3" s="1"/>
  <c r="M10" i="21"/>
  <c r="AE24" i="21"/>
  <c r="AE24" i="20" s="1"/>
  <c r="AE13" i="21"/>
  <c r="AE13" i="20" s="1"/>
  <c r="S15" i="21"/>
  <c r="S15" i="20" s="1"/>
  <c r="S17" i="21"/>
  <c r="S17" i="20" s="1"/>
  <c r="AK22" i="21"/>
  <c r="AK22" i="20" s="1"/>
  <c r="AK30" i="21"/>
  <c r="AK30" i="20" s="1"/>
  <c r="AE27" i="19"/>
  <c r="AE27" i="3" s="1"/>
  <c r="Y20" i="21"/>
  <c r="Y20" i="20" s="1"/>
  <c r="Y17" i="21"/>
  <c r="Y17" i="20" s="1"/>
  <c r="AQ30" i="21"/>
  <c r="AQ31" i="21"/>
  <c r="AK18" i="19"/>
  <c r="AK18" i="3" s="1"/>
  <c r="AK13" i="19"/>
  <c r="AK13" i="3" s="1"/>
  <c r="M31" i="21"/>
  <c r="AE8" i="21"/>
  <c r="AE8" i="20" s="1"/>
  <c r="AE18" i="21"/>
  <c r="AE18" i="20" s="1"/>
  <c r="S34" i="21"/>
  <c r="S34" i="20" s="1"/>
  <c r="S20" i="21"/>
  <c r="S20" i="20" s="1"/>
  <c r="AK25" i="21"/>
  <c r="AK25" i="20" s="1"/>
  <c r="AK14" i="21"/>
  <c r="AK14" i="20" s="1"/>
  <c r="AE11" i="19"/>
  <c r="AE11" i="3" s="1"/>
  <c r="Y19" i="19"/>
  <c r="Y19" i="3" s="1"/>
  <c r="Y23" i="21"/>
  <c r="Y23" i="20" s="1"/>
  <c r="Y31" i="21"/>
  <c r="Y31" i="20" s="1"/>
  <c r="AQ26" i="21"/>
  <c r="AQ11" i="21"/>
  <c r="M20" i="19"/>
  <c r="AK21" i="19"/>
  <c r="AK21" i="3" s="1"/>
  <c r="AK32" i="19"/>
  <c r="AK32" i="3" s="1"/>
  <c r="M15" i="21"/>
  <c r="M24" i="21"/>
  <c r="AE6" i="21"/>
  <c r="AE6" i="20" s="1"/>
  <c r="AE32" i="21"/>
  <c r="AE32" i="20" s="1"/>
  <c r="S18" i="21"/>
  <c r="S18" i="20" s="1"/>
  <c r="S23" i="21"/>
  <c r="S23" i="20" s="1"/>
  <c r="AK9" i="21"/>
  <c r="AK9" i="20" s="1"/>
  <c r="AK33" i="21"/>
  <c r="AK33" i="20" s="1"/>
  <c r="AE7" i="19"/>
  <c r="AE7" i="3" s="1"/>
  <c r="AE30" i="19"/>
  <c r="AE30" i="3" s="1"/>
  <c r="Y7" i="21"/>
  <c r="Y7" i="20" s="1"/>
  <c r="Y15" i="21"/>
  <c r="Y15" i="20" s="1"/>
  <c r="AQ22" i="21"/>
  <c r="AK24" i="19"/>
  <c r="AK24" i="3" s="1"/>
  <c r="AK16" i="19"/>
  <c r="AK16" i="3" s="1"/>
  <c r="M34" i="21"/>
  <c r="M8" i="21"/>
  <c r="AE27" i="21"/>
  <c r="AE27" i="20" s="1"/>
  <c r="AE16" i="21"/>
  <c r="AE16" i="20" s="1"/>
  <c r="S19" i="21"/>
  <c r="S19" i="20" s="1"/>
  <c r="S7" i="21"/>
  <c r="S7" i="20" s="1"/>
  <c r="AK28" i="21"/>
  <c r="AK28" i="20" s="1"/>
  <c r="AK17" i="21"/>
  <c r="AK17" i="20" s="1"/>
  <c r="AE22" i="19"/>
  <c r="AE22" i="3" s="1"/>
  <c r="AE14" i="19"/>
  <c r="AE14" i="3" s="1"/>
  <c r="Y26" i="21"/>
  <c r="Y26" i="20" s="1"/>
  <c r="AQ18" i="21"/>
  <c r="AQ32" i="21"/>
  <c r="M7" i="19"/>
  <c r="AK8" i="19"/>
  <c r="AK8" i="3" s="1"/>
  <c r="AK19" i="19"/>
  <c r="AK19" i="3" s="1"/>
  <c r="M21" i="21"/>
  <c r="M29" i="21"/>
  <c r="AE11" i="21"/>
  <c r="AE11" i="20" s="1"/>
  <c r="AE19" i="21"/>
  <c r="AE19" i="20" s="1"/>
  <c r="S21" i="21"/>
  <c r="S21" i="20" s="1"/>
  <c r="S26" i="21"/>
  <c r="S26" i="20" s="1"/>
  <c r="AK12" i="21"/>
  <c r="AK12" i="20" s="1"/>
  <c r="AK20" i="21"/>
  <c r="AK20" i="20" s="1"/>
  <c r="AE25" i="19"/>
  <c r="AE25" i="3" s="1"/>
  <c r="AE33" i="19"/>
  <c r="AE33" i="3" s="1"/>
  <c r="AE9" i="19"/>
  <c r="AE9" i="3" s="1"/>
  <c r="AE17" i="19"/>
  <c r="AE17" i="3" s="1"/>
  <c r="AQ6" i="19"/>
  <c r="Y10" i="21"/>
  <c r="Y10" i="20" s="1"/>
  <c r="Y18" i="21"/>
  <c r="Y18" i="20" s="1"/>
  <c r="AQ14" i="21"/>
  <c r="AQ28" i="21"/>
  <c r="AK7" i="19"/>
  <c r="AK7" i="3" s="1"/>
  <c r="M27" i="21"/>
  <c r="M13" i="21"/>
  <c r="AE30" i="21"/>
  <c r="AE30" i="20" s="1"/>
  <c r="AE22" i="21"/>
  <c r="AE22" i="20" s="1"/>
  <c r="S10" i="21"/>
  <c r="S10" i="20" s="1"/>
  <c r="AK31" i="21"/>
  <c r="AK31" i="20" s="1"/>
  <c r="AK23" i="21"/>
  <c r="AK23" i="20" s="1"/>
  <c r="Y7" i="19"/>
  <c r="Y7" i="3" s="1"/>
  <c r="Y30" i="19"/>
  <c r="Y30" i="3" s="1"/>
  <c r="AQ12" i="19"/>
  <c r="S25" i="19"/>
  <c r="S25" i="3" s="1"/>
  <c r="S17" i="19"/>
  <c r="S17" i="3" s="1"/>
  <c r="Y33" i="21"/>
  <c r="Y33" i="20" s="1"/>
  <c r="Y21" i="21"/>
  <c r="Y21" i="20" s="1"/>
  <c r="AQ10" i="21"/>
  <c r="AQ24" i="21"/>
  <c r="M15" i="19"/>
  <c r="M10" i="19"/>
  <c r="AK27" i="19"/>
  <c r="AK27" i="3" s="1"/>
  <c r="M30" i="21"/>
  <c r="M32" i="21"/>
  <c r="AE14" i="21"/>
  <c r="AE14" i="20" s="1"/>
  <c r="AE25" i="21"/>
  <c r="AE25" i="20" s="1"/>
  <c r="S8" i="21"/>
  <c r="S8" i="20" s="1"/>
  <c r="S29" i="21"/>
  <c r="S29" i="20" s="1"/>
  <c r="AK15" i="21"/>
  <c r="AK15" i="20" s="1"/>
  <c r="AK7" i="21"/>
  <c r="AK7" i="20" s="1"/>
  <c r="AE28" i="19"/>
  <c r="AE28" i="3" s="1"/>
  <c r="AE20" i="19"/>
  <c r="AE20" i="3" s="1"/>
  <c r="Y29" i="21"/>
  <c r="Y29" i="20" s="1"/>
  <c r="AQ20" i="21"/>
  <c r="AK11" i="19"/>
  <c r="AK11" i="3" s="1"/>
  <c r="M14" i="21"/>
  <c r="M16" i="21"/>
  <c r="S25" i="21"/>
  <c r="S25" i="20" s="1"/>
  <c r="S13" i="21"/>
  <c r="S13" i="20" s="1"/>
  <c r="AK34" i="21"/>
  <c r="AK34" i="20" s="1"/>
  <c r="AK26" i="21"/>
  <c r="AK26" i="20" s="1"/>
  <c r="AE12" i="19"/>
  <c r="AE12" i="3" s="1"/>
  <c r="AE23" i="19"/>
  <c r="AE23" i="3" s="1"/>
  <c r="Y25" i="19"/>
  <c r="Y25" i="3" s="1"/>
  <c r="Y33" i="19"/>
  <c r="Y33" i="3" s="1"/>
  <c r="AQ31" i="19"/>
  <c r="S28" i="19"/>
  <c r="S28" i="3" s="1"/>
  <c r="S7" i="19"/>
  <c r="S7" i="3" s="1"/>
  <c r="S6" i="19"/>
  <c r="S6" i="3" s="1"/>
  <c r="Y13" i="21"/>
  <c r="Y13" i="20" s="1"/>
  <c r="Y8" i="21"/>
  <c r="Y8" i="20" s="1"/>
  <c r="AQ19" i="21"/>
  <c r="AQ16" i="21"/>
  <c r="M18" i="19"/>
  <c r="AK30" i="19"/>
  <c r="AK30" i="3" s="1"/>
  <c r="M33" i="21"/>
  <c r="M6" i="21"/>
  <c r="AE17" i="21"/>
  <c r="AE17" i="20" s="1"/>
  <c r="AE28" i="21"/>
  <c r="AE28" i="20" s="1"/>
  <c r="S6" i="21"/>
  <c r="S6" i="20" s="1"/>
  <c r="AK18" i="21"/>
  <c r="AK18" i="20" s="1"/>
  <c r="AK10" i="21"/>
  <c r="AK10" i="20" s="1"/>
  <c r="AE31" i="19"/>
  <c r="AE31" i="3" s="1"/>
  <c r="AE26" i="19"/>
  <c r="AE26" i="3" s="1"/>
  <c r="Y24" i="21"/>
  <c r="Y24" i="20" s="1"/>
  <c r="Y9" i="19"/>
  <c r="Y9" i="3" s="1"/>
  <c r="Y17" i="19"/>
  <c r="Y17" i="3" s="1"/>
  <c r="AQ7" i="19"/>
  <c r="AQ27" i="19"/>
  <c r="S12" i="19"/>
  <c r="S12" i="3" s="1"/>
  <c r="S26" i="19"/>
  <c r="S26" i="3" s="1"/>
  <c r="Y32" i="21"/>
  <c r="Y32" i="20" s="1"/>
  <c r="Y6" i="21"/>
  <c r="Y6" i="20" s="1"/>
  <c r="AQ7" i="21"/>
  <c r="AQ12" i="21"/>
  <c r="AK22" i="19"/>
  <c r="AK22" i="3" s="1"/>
  <c r="AK14" i="19"/>
  <c r="AK14" i="3" s="1"/>
  <c r="M17" i="21"/>
  <c r="M19" i="21"/>
  <c r="AE20" i="21"/>
  <c r="AE20" i="20" s="1"/>
  <c r="AE12" i="21"/>
  <c r="AE12" i="20" s="1"/>
  <c r="S27" i="21"/>
  <c r="S27" i="20" s="1"/>
  <c r="AK21" i="21"/>
  <c r="AK21" i="20" s="1"/>
  <c r="AK29" i="21"/>
  <c r="AK29" i="20" s="1"/>
  <c r="AE15" i="19"/>
  <c r="AE15" i="3" s="1"/>
  <c r="AE10" i="19"/>
  <c r="AE10" i="3" s="1"/>
  <c r="Y14" i="19"/>
  <c r="Y14" i="3" s="1"/>
  <c r="Y28" i="19"/>
  <c r="Y28" i="3" s="1"/>
  <c r="AQ33" i="19"/>
  <c r="AQ23" i="19"/>
  <c r="S31" i="19"/>
  <c r="S31" i="3" s="1"/>
  <c r="Y16" i="21"/>
  <c r="Y16" i="20" s="1"/>
  <c r="M24" i="19"/>
  <c r="M16" i="19"/>
  <c r="AK25" i="19"/>
  <c r="AK25" i="3" s="1"/>
  <c r="AK33" i="19"/>
  <c r="AK33" i="3" s="1"/>
  <c r="M11" i="21"/>
  <c r="M22" i="21"/>
  <c r="AE23" i="21"/>
  <c r="AE23" i="20" s="1"/>
  <c r="AE31" i="21"/>
  <c r="AE31" i="20" s="1"/>
  <c r="S11" i="21"/>
  <c r="S11" i="20" s="1"/>
  <c r="AK24" i="21"/>
  <c r="AK24" i="20" s="1"/>
  <c r="AK13" i="21"/>
  <c r="AK13" i="20" s="1"/>
  <c r="AE34" i="19"/>
  <c r="AE34" i="3" s="1"/>
  <c r="AE29" i="19"/>
  <c r="AE29" i="3" s="1"/>
  <c r="S9" i="19"/>
  <c r="S9" i="3" s="1"/>
  <c r="AQ23" i="21"/>
  <c r="Y20" i="19"/>
  <c r="Y20" i="3" s="1"/>
  <c r="Y27" i="21"/>
  <c r="Y27" i="20" s="1"/>
  <c r="AE18" i="19"/>
  <c r="AE18" i="3" s="1"/>
  <c r="AE13" i="19"/>
  <c r="AE13" i="3" s="1"/>
  <c r="AK15" i="19"/>
  <c r="AK15" i="3" s="1"/>
  <c r="AQ8" i="21"/>
  <c r="Y12" i="19"/>
  <c r="Y12" i="3" s="1"/>
  <c r="Y23" i="19"/>
  <c r="Y23" i="3" s="1"/>
  <c r="AQ29" i="19"/>
  <c r="AQ19" i="19"/>
  <c r="S15" i="19"/>
  <c r="S15" i="3" s="1"/>
  <c r="S29" i="19"/>
  <c r="S29" i="3" s="1"/>
  <c r="Y19" i="21"/>
  <c r="Y19" i="20" s="1"/>
  <c r="Y11" i="21"/>
  <c r="Y11" i="20" s="1"/>
  <c r="AQ29" i="21"/>
  <c r="AQ6" i="21"/>
  <c r="AK9" i="19"/>
  <c r="AK9" i="3" s="1"/>
  <c r="AK17" i="19"/>
  <c r="AK17" i="3" s="1"/>
  <c r="M20" i="21"/>
  <c r="M25" i="21"/>
  <c r="AE7" i="21"/>
  <c r="AE7" i="20" s="1"/>
  <c r="AE15" i="21"/>
  <c r="AE15" i="20" s="1"/>
  <c r="S32" i="21"/>
  <c r="S32" i="20" s="1"/>
  <c r="S16" i="21"/>
  <c r="S16" i="20" s="1"/>
  <c r="AK8" i="21"/>
  <c r="AK8" i="20" s="1"/>
  <c r="AK32" i="21"/>
  <c r="AK32" i="20" s="1"/>
  <c r="Y31" i="19"/>
  <c r="Y31" i="3" s="1"/>
  <c r="Y26" i="19"/>
  <c r="Y26" i="3" s="1"/>
  <c r="AQ25" i="19"/>
  <c r="AQ15" i="19"/>
  <c r="S34" i="19"/>
  <c r="S34" i="3" s="1"/>
  <c r="S13" i="19"/>
  <c r="S13" i="3" s="1"/>
  <c r="Y22" i="21"/>
  <c r="Y22" i="20" s="1"/>
  <c r="Y30" i="21"/>
  <c r="Y30" i="20" s="1"/>
  <c r="AQ25" i="21"/>
  <c r="M27" i="19"/>
  <c r="M22" i="19"/>
  <c r="AK28" i="19"/>
  <c r="AK28" i="3" s="1"/>
  <c r="AK20" i="19"/>
  <c r="AK20" i="3" s="1"/>
  <c r="M18" i="21"/>
  <c r="M9" i="21"/>
  <c r="AE34" i="21"/>
  <c r="AE34" i="20" s="1"/>
  <c r="S22" i="21"/>
  <c r="S22" i="20" s="1"/>
  <c r="S12" i="21"/>
  <c r="S12" i="20" s="1"/>
  <c r="AK6" i="21"/>
  <c r="AK6" i="20" s="1"/>
  <c r="AK16" i="21"/>
  <c r="AK16" i="20" s="1"/>
  <c r="AE21" i="19"/>
  <c r="AE21" i="3" s="1"/>
  <c r="AE32" i="19"/>
  <c r="AE32" i="3" s="1"/>
  <c r="Y22" i="19"/>
  <c r="Y22" i="3" s="1"/>
  <c r="Y15" i="19"/>
  <c r="Y15" i="3" s="1"/>
  <c r="Y10" i="19"/>
  <c r="Y10" i="3" s="1"/>
  <c r="AQ21" i="19"/>
  <c r="AQ11" i="19"/>
  <c r="S32" i="19"/>
  <c r="S32" i="3" s="1"/>
  <c r="Y25" i="21"/>
  <c r="Y25" i="20" s="1"/>
  <c r="Y14" i="21"/>
  <c r="Y14" i="20" s="1"/>
  <c r="AQ21" i="21"/>
  <c r="AK12" i="19"/>
  <c r="AK12" i="3" s="1"/>
  <c r="AK23" i="19"/>
  <c r="AK23" i="3" s="1"/>
  <c r="M23" i="21"/>
  <c r="M28" i="21"/>
  <c r="AE26" i="21"/>
  <c r="AE26" i="20" s="1"/>
  <c r="S9" i="21"/>
  <c r="S9" i="20" s="1"/>
  <c r="S30" i="21"/>
  <c r="S30" i="20" s="1"/>
  <c r="AK27" i="21"/>
  <c r="AK27" i="20" s="1"/>
  <c r="AE24" i="19"/>
  <c r="AE24" i="3" s="1"/>
  <c r="AE16" i="19"/>
  <c r="AE16" i="3" s="1"/>
  <c r="AY64" i="13"/>
  <c r="AY63" i="13"/>
  <c r="AY62" i="13"/>
  <c r="AY61" i="13"/>
  <c r="AY62" i="15"/>
  <c r="AY59" i="15"/>
  <c r="AY58" i="15"/>
  <c r="AY57" i="15"/>
  <c r="AY56" i="15"/>
  <c r="AY55" i="15"/>
  <c r="AY54" i="15"/>
  <c r="AY65" i="15"/>
  <c r="AY49" i="15"/>
  <c r="AY64" i="15"/>
  <c r="AY60" i="13"/>
  <c r="AY68" i="13"/>
  <c r="AY52" i="13"/>
  <c r="AY66" i="13"/>
  <c r="AY50" i="13"/>
  <c r="AY65" i="13"/>
  <c r="AY49" i="13"/>
  <c r="AV63" i="13"/>
  <c r="AX65" i="13"/>
  <c r="AV54" i="13"/>
  <c r="AX64" i="13"/>
  <c r="AX63" i="13"/>
  <c r="AX54" i="13"/>
  <c r="AW64" i="13"/>
  <c r="AX49" i="13"/>
  <c r="AW54" i="13"/>
  <c r="AX61" i="15"/>
  <c r="AX62" i="15"/>
  <c r="AW56" i="15"/>
  <c r="AV56" i="15"/>
  <c r="AX56" i="15"/>
  <c r="AW58" i="15"/>
  <c r="AW59" i="15"/>
  <c r="AX59" i="15"/>
  <c r="AV60" i="13"/>
  <c r="AV59" i="13"/>
  <c r="AW60" i="13"/>
  <c r="AX61" i="13"/>
  <c r="AV57" i="13"/>
  <c r="AW58" i="13"/>
  <c r="AX59" i="13"/>
  <c r="AW61" i="13"/>
  <c r="AW59" i="13"/>
  <c r="AV56" i="13"/>
  <c r="AW57" i="13"/>
  <c r="AX58" i="13"/>
  <c r="AW62" i="13"/>
  <c r="E64" i="21" s="1"/>
  <c r="AX62" i="13"/>
  <c r="AV58" i="13"/>
  <c r="AV55" i="13"/>
  <c r="AW56" i="13"/>
  <c r="AX57" i="13"/>
  <c r="AW55" i="13"/>
  <c r="AX56" i="13"/>
  <c r="AX55" i="13"/>
  <c r="AV67" i="13"/>
  <c r="AV51" i="13"/>
  <c r="AW68" i="13"/>
  <c r="AW52" i="13"/>
  <c r="AX53" i="13"/>
  <c r="AV53" i="13"/>
  <c r="AW53" i="13"/>
  <c r="AV66" i="13"/>
  <c r="AV50" i="13"/>
  <c r="AW67" i="13"/>
  <c r="E69" i="21" s="1"/>
  <c r="AW51" i="13"/>
  <c r="AX68" i="13"/>
  <c r="AX52" i="13"/>
  <c r="AV65" i="13"/>
  <c r="AV49" i="13"/>
  <c r="AW66" i="13"/>
  <c r="AW50" i="13"/>
  <c r="AX67" i="13"/>
  <c r="AX51" i="13"/>
  <c r="AV53" i="15"/>
  <c r="AV50" i="15"/>
  <c r="AW53" i="15"/>
  <c r="AV66" i="15"/>
  <c r="AW50" i="15"/>
  <c r="AX53" i="15"/>
  <c r="AV63" i="15"/>
  <c r="AW66" i="15"/>
  <c r="AX50" i="15"/>
  <c r="AV60" i="15"/>
  <c r="AW63" i="15"/>
  <c r="AX66" i="15"/>
  <c r="AV57" i="15"/>
  <c r="AW60" i="15"/>
  <c r="AX63" i="15"/>
  <c r="AV54" i="15"/>
  <c r="AW57" i="15"/>
  <c r="AX60" i="15"/>
  <c r="AV51" i="15"/>
  <c r="AW54" i="15"/>
  <c r="AX57" i="15"/>
  <c r="AV67" i="15"/>
  <c r="AW51" i="15"/>
  <c r="AX54" i="15"/>
  <c r="AV64" i="15"/>
  <c r="AW67" i="15"/>
  <c r="AX51" i="15"/>
  <c r="AV61" i="15"/>
  <c r="AW64" i="15"/>
  <c r="AX67" i="15"/>
  <c r="AV58" i="15"/>
  <c r="AW61" i="15"/>
  <c r="AV52" i="15"/>
  <c r="AW55" i="15"/>
  <c r="AX58" i="15"/>
  <c r="AV68" i="15"/>
  <c r="AV49" i="15"/>
  <c r="AW52" i="15"/>
  <c r="AX55" i="15"/>
  <c r="AV65" i="15"/>
  <c r="AW68" i="15"/>
  <c r="AW49" i="15"/>
  <c r="AX52" i="15"/>
  <c r="AV62" i="15"/>
  <c r="AW65" i="15"/>
  <c r="AX68" i="15"/>
  <c r="F55" i="10" l="1"/>
  <c r="J45" i="10"/>
  <c r="M47" i="20"/>
  <c r="AL41" i="21"/>
  <c r="I47" i="10" s="1"/>
  <c r="AL46" i="20"/>
  <c r="AL40" i="21"/>
  <c r="AL40" i="20" s="1"/>
  <c r="AQ41" i="3"/>
  <c r="F42" i="10"/>
  <c r="AL42" i="19"/>
  <c r="E48" i="10" s="1"/>
  <c r="AL40" i="19"/>
  <c r="AL40" i="3" s="1"/>
  <c r="F56" i="10"/>
  <c r="J54" i="10"/>
  <c r="M48" i="3"/>
  <c r="AL37" i="21"/>
  <c r="I43" i="10" s="1"/>
  <c r="AL39" i="19"/>
  <c r="E45" i="10" s="1"/>
  <c r="AL41" i="19"/>
  <c r="E47" i="10" s="1"/>
  <c r="AL42" i="21"/>
  <c r="I48" i="10" s="1"/>
  <c r="AL36" i="21"/>
  <c r="AL36" i="20" s="1"/>
  <c r="AL38" i="21"/>
  <c r="AL38" i="20" s="1"/>
  <c r="AL39" i="21"/>
  <c r="I45" i="10" s="1"/>
  <c r="E60" i="21"/>
  <c r="E68" i="21"/>
  <c r="AL45" i="20"/>
  <c r="AL50" i="20"/>
  <c r="AL43" i="20"/>
  <c r="I54" i="10"/>
  <c r="AL47" i="20"/>
  <c r="I53" i="10"/>
  <c r="AL44" i="21"/>
  <c r="AL47" i="19"/>
  <c r="AL47" i="3" s="1"/>
  <c r="AL38" i="19"/>
  <c r="AL38" i="3" s="1"/>
  <c r="AL45" i="19"/>
  <c r="AL45" i="3" s="1"/>
  <c r="AL37" i="19"/>
  <c r="E43" i="10" s="1"/>
  <c r="AL35" i="19"/>
  <c r="E41" i="10" s="1"/>
  <c r="AL49" i="20"/>
  <c r="AL46" i="3"/>
  <c r="AL44" i="3"/>
  <c r="AL50" i="19"/>
  <c r="AL50" i="3" s="1"/>
  <c r="AL49" i="3"/>
  <c r="AL36" i="19"/>
  <c r="AL43" i="3"/>
  <c r="E54" i="10"/>
  <c r="AL27" i="19"/>
  <c r="AL35" i="20"/>
  <c r="AQ30" i="3"/>
  <c r="AL22" i="19"/>
  <c r="AL10" i="19"/>
  <c r="AL15" i="19"/>
  <c r="M12" i="3"/>
  <c r="AL12" i="19"/>
  <c r="AL21" i="19"/>
  <c r="AL16" i="19"/>
  <c r="AL13" i="19"/>
  <c r="AL24" i="19"/>
  <c r="AL33" i="19"/>
  <c r="AL34" i="19"/>
  <c r="AL20" i="19"/>
  <c r="M30" i="3"/>
  <c r="AL30" i="19"/>
  <c r="AL7" i="19"/>
  <c r="M29" i="3"/>
  <c r="AL29" i="19"/>
  <c r="AL8" i="19"/>
  <c r="AL8" i="3" s="1"/>
  <c r="AL6" i="19"/>
  <c r="AL6" i="3" s="1"/>
  <c r="AL9" i="19"/>
  <c r="M19" i="3"/>
  <c r="AL19" i="19"/>
  <c r="AL26" i="19"/>
  <c r="AL14" i="19"/>
  <c r="M11" i="3"/>
  <c r="AL11" i="19"/>
  <c r="AL11" i="3" s="1"/>
  <c r="M23" i="3"/>
  <c r="AL23" i="19"/>
  <c r="AL18" i="19"/>
  <c r="AL17" i="19"/>
  <c r="AL30" i="21"/>
  <c r="M32" i="3"/>
  <c r="AL32" i="19"/>
  <c r="AL32" i="3" s="1"/>
  <c r="AL25" i="19"/>
  <c r="AL28" i="19"/>
  <c r="M31" i="3"/>
  <c r="AL31" i="19"/>
  <c r="AL28" i="21"/>
  <c r="AL23" i="21"/>
  <c r="AL29" i="21"/>
  <c r="AL31" i="21"/>
  <c r="AL33" i="21"/>
  <c r="AL17" i="21"/>
  <c r="AL19" i="21"/>
  <c r="AL9" i="21"/>
  <c r="AL16" i="21"/>
  <c r="AL11" i="21"/>
  <c r="AL14" i="21"/>
  <c r="AL13" i="21"/>
  <c r="AL22" i="21"/>
  <c r="AL25" i="21"/>
  <c r="AL27" i="21"/>
  <c r="AL24" i="21"/>
  <c r="AL10" i="21"/>
  <c r="AL21" i="21"/>
  <c r="AL34" i="21"/>
  <c r="AL20" i="21"/>
  <c r="AL8" i="21"/>
  <c r="AL12" i="21"/>
  <c r="AL7" i="21"/>
  <c r="AL15" i="21"/>
  <c r="AL18" i="21"/>
  <c r="AL32" i="21"/>
  <c r="AL26" i="21"/>
  <c r="AL6" i="21"/>
  <c r="E58" i="21"/>
  <c r="E56" i="21"/>
  <c r="E51" i="21"/>
  <c r="E63" i="21"/>
  <c r="E66" i="21"/>
  <c r="E67" i="21"/>
  <c r="E65" i="21"/>
  <c r="E55" i="21"/>
  <c r="E59" i="21"/>
  <c r="E57" i="21"/>
  <c r="E53" i="21"/>
  <c r="E62" i="21"/>
  <c r="E61" i="21"/>
  <c r="E70" i="21"/>
  <c r="E52" i="21"/>
  <c r="E54" i="21"/>
  <c r="M28" i="3"/>
  <c r="M25" i="3"/>
  <c r="M26" i="3"/>
  <c r="M14" i="3"/>
  <c r="M26" i="20"/>
  <c r="AK6" i="3"/>
  <c r="AQ24" i="3"/>
  <c r="AQ22" i="3"/>
  <c r="F14" i="10"/>
  <c r="F40" i="10"/>
  <c r="J21" i="10"/>
  <c r="AQ33" i="20"/>
  <c r="J33" i="10"/>
  <c r="J19" i="10"/>
  <c r="AQ14" i="3"/>
  <c r="F38" i="10"/>
  <c r="F19" i="10"/>
  <c r="F22" i="10"/>
  <c r="AQ20" i="3"/>
  <c r="F16" i="10"/>
  <c r="F24" i="10"/>
  <c r="F34" i="10"/>
  <c r="J20" i="10"/>
  <c r="AQ14" i="20"/>
  <c r="AQ21" i="3"/>
  <c r="F27" i="10"/>
  <c r="M27" i="3"/>
  <c r="M25" i="20"/>
  <c r="AQ12" i="3"/>
  <c r="F18" i="10"/>
  <c r="AQ28" i="20"/>
  <c r="J34" i="10"/>
  <c r="J28" i="10"/>
  <c r="AQ22" i="20"/>
  <c r="M7" i="20"/>
  <c r="M14" i="20"/>
  <c r="AQ26" i="20"/>
  <c r="J32" i="10"/>
  <c r="M9" i="3"/>
  <c r="M20" i="20"/>
  <c r="M21" i="20"/>
  <c r="M23" i="20"/>
  <c r="AQ6" i="3"/>
  <c r="F12" i="10"/>
  <c r="AQ8" i="20"/>
  <c r="J14" i="10"/>
  <c r="AQ31" i="3"/>
  <c r="F37" i="10"/>
  <c r="M32" i="20"/>
  <c r="M6" i="3"/>
  <c r="F21" i="10"/>
  <c r="AQ15" i="3"/>
  <c r="AQ12" i="20"/>
  <c r="J18" i="10"/>
  <c r="M30" i="20"/>
  <c r="M7" i="3"/>
  <c r="M8" i="20"/>
  <c r="M31" i="20"/>
  <c r="J23" i="10"/>
  <c r="AQ17" i="20"/>
  <c r="M22" i="20"/>
  <c r="AQ7" i="20"/>
  <c r="J13" i="10"/>
  <c r="J26" i="10"/>
  <c r="AQ20" i="20"/>
  <c r="M34" i="20"/>
  <c r="AQ23" i="3"/>
  <c r="F29" i="10"/>
  <c r="M20" i="3"/>
  <c r="F31" i="10"/>
  <c r="AQ25" i="3"/>
  <c r="J12" i="10"/>
  <c r="AQ6" i="20"/>
  <c r="M11" i="20"/>
  <c r="M6" i="20"/>
  <c r="M10" i="3"/>
  <c r="M13" i="20"/>
  <c r="M10" i="20"/>
  <c r="J35" i="10"/>
  <c r="AQ29" i="20"/>
  <c r="M33" i="20"/>
  <c r="M15" i="3"/>
  <c r="M27" i="20"/>
  <c r="J38" i="10"/>
  <c r="AQ32" i="20"/>
  <c r="J24" i="10"/>
  <c r="AQ18" i="20"/>
  <c r="AQ25" i="20"/>
  <c r="J31" i="10"/>
  <c r="M16" i="3"/>
  <c r="AQ10" i="20"/>
  <c r="J16" i="10"/>
  <c r="AQ31" i="20"/>
  <c r="J37" i="10"/>
  <c r="M33" i="3"/>
  <c r="J29" i="10"/>
  <c r="AQ23" i="20"/>
  <c r="AQ24" i="20"/>
  <c r="J30" i="10"/>
  <c r="M18" i="20"/>
  <c r="M24" i="3"/>
  <c r="AQ27" i="3"/>
  <c r="F33" i="10"/>
  <c r="AQ30" i="20"/>
  <c r="J36" i="10"/>
  <c r="AQ9" i="20"/>
  <c r="J15" i="10"/>
  <c r="AQ17" i="3"/>
  <c r="F23" i="10"/>
  <c r="M29" i="20"/>
  <c r="M28" i="20"/>
  <c r="AQ7" i="3"/>
  <c r="F13" i="10"/>
  <c r="M18" i="3"/>
  <c r="M24" i="20"/>
  <c r="J40" i="10"/>
  <c r="AQ34" i="20"/>
  <c r="AQ26" i="3"/>
  <c r="F32" i="10"/>
  <c r="M16" i="20"/>
  <c r="AQ11" i="20"/>
  <c r="J17" i="10"/>
  <c r="J27" i="10"/>
  <c r="AQ21" i="20"/>
  <c r="AQ19" i="3"/>
  <c r="F25" i="10"/>
  <c r="M19" i="20"/>
  <c r="J22" i="10"/>
  <c r="AQ16" i="20"/>
  <c r="M15" i="20"/>
  <c r="AQ33" i="3"/>
  <c r="F39" i="10"/>
  <c r="F15" i="10"/>
  <c r="AQ9" i="3"/>
  <c r="M9" i="20"/>
  <c r="AQ11" i="3"/>
  <c r="F17" i="10"/>
  <c r="M22" i="3"/>
  <c r="AQ29" i="3"/>
  <c r="F35" i="10"/>
  <c r="M17" i="20"/>
  <c r="AQ19" i="20"/>
  <c r="J25" i="10"/>
  <c r="M12" i="20"/>
  <c r="H91" i="12"/>
  <c r="AL41" i="20" l="1"/>
  <c r="I46" i="10"/>
  <c r="AL42" i="20"/>
  <c r="AL37" i="20"/>
  <c r="AL42" i="3"/>
  <c r="AL41" i="3"/>
  <c r="AL39" i="3"/>
  <c r="E53" i="10"/>
  <c r="E46" i="10"/>
  <c r="E44" i="10"/>
  <c r="E51" i="10"/>
  <c r="AL39" i="20"/>
  <c r="AL35" i="3"/>
  <c r="I44" i="10"/>
  <c r="I42" i="10"/>
  <c r="I50" i="10"/>
  <c r="AL44" i="20"/>
  <c r="AL37" i="3"/>
  <c r="E56" i="10"/>
  <c r="E42" i="10"/>
  <c r="AL36" i="3"/>
  <c r="E14" i="10"/>
  <c r="E17" i="10"/>
  <c r="E38" i="10"/>
  <c r="AL23" i="20"/>
  <c r="I29" i="10"/>
  <c r="AL24" i="3"/>
  <c r="E30" i="10"/>
  <c r="AL16" i="3"/>
  <c r="E22" i="10"/>
  <c r="AL19" i="20"/>
  <c r="I25" i="10"/>
  <c r="AL13" i="3"/>
  <c r="E19" i="10"/>
  <c r="I27" i="10"/>
  <c r="AL21" i="20"/>
  <c r="AL30" i="3"/>
  <c r="E36" i="10"/>
  <c r="AL26" i="3"/>
  <c r="E32" i="10"/>
  <c r="E12" i="10"/>
  <c r="AL20" i="20"/>
  <c r="I26" i="10"/>
  <c r="AL25" i="20"/>
  <c r="I31" i="10"/>
  <c r="AL17" i="3"/>
  <c r="E23" i="10"/>
  <c r="AL33" i="20"/>
  <c r="I39" i="10"/>
  <c r="AL18" i="3"/>
  <c r="E24" i="10"/>
  <c r="AL28" i="20"/>
  <c r="I34" i="10"/>
  <c r="I37" i="10"/>
  <c r="AL31" i="20"/>
  <c r="AL32" i="20"/>
  <c r="I38" i="10"/>
  <c r="AL9" i="3"/>
  <c r="E15" i="10"/>
  <c r="AL27" i="3"/>
  <c r="E33" i="10"/>
  <c r="AL21" i="3"/>
  <c r="E27" i="10"/>
  <c r="AL25" i="3"/>
  <c r="E31" i="10"/>
  <c r="I19" i="10"/>
  <c r="AL13" i="20"/>
  <c r="AL12" i="20"/>
  <c r="I18" i="10"/>
  <c r="AL10" i="20"/>
  <c r="I16" i="10"/>
  <c r="AL10" i="3"/>
  <c r="E16" i="10"/>
  <c r="AL14" i="3"/>
  <c r="E20" i="10"/>
  <c r="AL8" i="20"/>
  <c r="I14" i="10"/>
  <c r="AL22" i="20"/>
  <c r="I28" i="10"/>
  <c r="I15" i="10"/>
  <c r="AL9" i="20"/>
  <c r="I21" i="10"/>
  <c r="AL15" i="20"/>
  <c r="AL33" i="3"/>
  <c r="E39" i="10"/>
  <c r="I40" i="10"/>
  <c r="AL34" i="20"/>
  <c r="AL29" i="20"/>
  <c r="I35" i="10"/>
  <c r="I33" i="10"/>
  <c r="AL27" i="20"/>
  <c r="AL29" i="3"/>
  <c r="E35" i="10"/>
  <c r="AL19" i="3"/>
  <c r="E25" i="10"/>
  <c r="I20" i="10"/>
  <c r="AL14" i="20"/>
  <c r="AL34" i="3"/>
  <c r="E40" i="10"/>
  <c r="I24" i="10"/>
  <c r="AL18" i="20"/>
  <c r="AL17" i="20"/>
  <c r="I23" i="10"/>
  <c r="I12" i="10"/>
  <c r="AL6" i="20"/>
  <c r="AL12" i="3"/>
  <c r="E18" i="10"/>
  <c r="AL7" i="3"/>
  <c r="E13" i="10"/>
  <c r="AL22" i="3"/>
  <c r="E28" i="10"/>
  <c r="AL16" i="20"/>
  <c r="I22" i="10"/>
  <c r="AL31" i="3"/>
  <c r="E37" i="10"/>
  <c r="AL26" i="20"/>
  <c r="I32" i="10"/>
  <c r="AL15" i="3"/>
  <c r="E21" i="10"/>
  <c r="AL7" i="20"/>
  <c r="I13" i="10"/>
  <c r="I30" i="10"/>
  <c r="AL24" i="20"/>
  <c r="AL20" i="3"/>
  <c r="E26" i="10"/>
  <c r="AL28" i="3"/>
  <c r="E34" i="10"/>
  <c r="AL23" i="3"/>
  <c r="E29" i="10"/>
  <c r="AL11" i="20"/>
  <c r="I17" i="10"/>
  <c r="I36" i="10"/>
  <c r="AL30" i="20"/>
  <c r="C13" i="10"/>
  <c r="N13" i="10" s="1"/>
  <c r="C14" i="10"/>
  <c r="N14" i="10" s="1"/>
  <c r="C15" i="10"/>
  <c r="N15" i="10" s="1"/>
  <c r="C16" i="10"/>
  <c r="N16" i="10" s="1"/>
  <c r="C17" i="10"/>
  <c r="N17" i="10" s="1"/>
  <c r="C18" i="10"/>
  <c r="N18" i="10" s="1"/>
  <c r="C19" i="10"/>
  <c r="N19" i="10" s="1"/>
  <c r="C20" i="10"/>
  <c r="N20" i="10" s="1"/>
  <c r="C21" i="10"/>
  <c r="N21" i="10" s="1"/>
  <c r="C22" i="10"/>
  <c r="N22" i="10" s="1"/>
  <c r="C23" i="10"/>
  <c r="N23" i="10" s="1"/>
  <c r="C24" i="10"/>
  <c r="N24" i="10" s="1"/>
  <c r="C25" i="10"/>
  <c r="N25" i="10" s="1"/>
  <c r="C26" i="10"/>
  <c r="N26" i="10" s="1"/>
  <c r="C27" i="10"/>
  <c r="N27" i="10" s="1"/>
  <c r="C28" i="10"/>
  <c r="N28" i="10" s="1"/>
  <c r="C29" i="10"/>
  <c r="N29" i="10" s="1"/>
  <c r="C30" i="10"/>
  <c r="N30" i="10" s="1"/>
  <c r="C31" i="10"/>
  <c r="N31" i="10" s="1"/>
  <c r="C32" i="10"/>
  <c r="N32" i="10" s="1"/>
  <c r="C33" i="10"/>
  <c r="N33" i="10" s="1"/>
  <c r="C34" i="10"/>
  <c r="N34" i="10" s="1"/>
  <c r="C35" i="10"/>
  <c r="N35" i="10" s="1"/>
  <c r="C36" i="10"/>
  <c r="N36" i="10" s="1"/>
  <c r="C37" i="10"/>
  <c r="N37" i="10" s="1"/>
  <c r="C38" i="10"/>
  <c r="N38" i="10" s="1"/>
  <c r="C39" i="10"/>
  <c r="N39" i="10" s="1"/>
  <c r="C40" i="10"/>
  <c r="N40" i="10" s="1"/>
  <c r="C41" i="10"/>
  <c r="N41" i="10" s="1"/>
  <c r="C42" i="10"/>
  <c r="N42" i="10" s="1"/>
  <c r="C43" i="10"/>
  <c r="N43" i="10" s="1"/>
  <c r="C44" i="10"/>
  <c r="N44" i="10" s="1"/>
  <c r="C45" i="10"/>
  <c r="N45" i="10" s="1"/>
  <c r="C46" i="10"/>
  <c r="N46" i="10" s="1"/>
  <c r="C47" i="10"/>
  <c r="N47" i="10" s="1"/>
  <c r="C48" i="10"/>
  <c r="N48" i="10" s="1"/>
  <c r="C49" i="10"/>
  <c r="N49" i="10" s="1"/>
  <c r="C50" i="10"/>
  <c r="N50" i="10" s="1"/>
  <c r="C51" i="10"/>
  <c r="N51" i="10" s="1"/>
  <c r="C52" i="10"/>
  <c r="N52" i="10" s="1"/>
  <c r="C53" i="10"/>
  <c r="N53" i="10" s="1"/>
  <c r="C54" i="10"/>
  <c r="N54" i="10" s="1"/>
  <c r="C55" i="10"/>
  <c r="N55" i="10" s="1"/>
  <c r="C56" i="10"/>
  <c r="N56" i="10" s="1"/>
  <c r="C57" i="10"/>
  <c r="N57" i="10" s="1"/>
  <c r="C58" i="10"/>
  <c r="N58" i="10" s="1"/>
  <c r="C59" i="10"/>
  <c r="N59" i="10" s="1"/>
  <c r="C60" i="10"/>
  <c r="N60" i="10" s="1"/>
  <c r="C61" i="10"/>
  <c r="N61" i="10" s="1"/>
  <c r="C62" i="10"/>
  <c r="N62" i="10" s="1"/>
  <c r="C63" i="10"/>
  <c r="N63" i="10" s="1"/>
  <c r="C64" i="10"/>
  <c r="N64" i="10" s="1"/>
  <c r="C65" i="10"/>
  <c r="N65" i="10" s="1"/>
  <c r="C66" i="10"/>
  <c r="N66" i="10" s="1"/>
  <c r="C67" i="10"/>
  <c r="N67" i="10" s="1"/>
  <c r="C68" i="10"/>
  <c r="N68" i="10" s="1"/>
  <c r="C69" i="10"/>
  <c r="N69" i="10" s="1"/>
  <c r="C70" i="10"/>
  <c r="N70" i="10" s="1"/>
  <c r="C71" i="10"/>
  <c r="N71" i="10" s="1"/>
  <c r="C72" i="10"/>
  <c r="N72" i="10" s="1"/>
  <c r="C73" i="10"/>
  <c r="N73" i="10" s="1"/>
  <c r="C74" i="10"/>
  <c r="N74" i="10" s="1"/>
  <c r="C75" i="10"/>
  <c r="N75" i="10" s="1"/>
  <c r="C76" i="10"/>
  <c r="N76" i="10" s="1"/>
  <c r="C12" i="10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F51" i="3" s="1"/>
  <c r="B52" i="3"/>
  <c r="F52" i="3" s="1"/>
  <c r="B53" i="3"/>
  <c r="F53" i="3" s="1"/>
  <c r="B54" i="3"/>
  <c r="F54" i="3" s="1"/>
  <c r="B55" i="3"/>
  <c r="F55" i="3" s="1"/>
  <c r="B56" i="3"/>
  <c r="F56" i="3" s="1"/>
  <c r="B57" i="3"/>
  <c r="F57" i="3" s="1"/>
  <c r="B58" i="3"/>
  <c r="F58" i="3" s="1"/>
  <c r="B59" i="3"/>
  <c r="F59" i="3" s="1"/>
  <c r="B60" i="3"/>
  <c r="F60" i="3" s="1"/>
  <c r="B61" i="3"/>
  <c r="F61" i="3" s="1"/>
  <c r="B62" i="3"/>
  <c r="F62" i="3" s="1"/>
  <c r="B63" i="3"/>
  <c r="F63" i="3" s="1"/>
  <c r="B64" i="3"/>
  <c r="F64" i="3" s="1"/>
  <c r="B65" i="3"/>
  <c r="F65" i="3" s="1"/>
  <c r="B66" i="3"/>
  <c r="F66" i="3" s="1"/>
  <c r="B67" i="3"/>
  <c r="F67" i="3" s="1"/>
  <c r="B68" i="3"/>
  <c r="F68" i="3" s="1"/>
  <c r="B69" i="3"/>
  <c r="F69" i="3" s="1"/>
  <c r="B70" i="3"/>
  <c r="F70" i="3" s="1"/>
  <c r="B6" i="3"/>
  <c r="C4" i="2"/>
  <c r="C6" i="2"/>
  <c r="C5" i="2"/>
  <c r="C3" i="2"/>
  <c r="P53" i="10" l="1"/>
  <c r="P67" i="10"/>
  <c r="O67" i="10"/>
  <c r="P54" i="10"/>
  <c r="P55" i="10"/>
  <c r="P70" i="10"/>
  <c r="O70" i="10"/>
  <c r="P50" i="10"/>
  <c r="P64" i="10"/>
  <c r="O64" i="10"/>
  <c r="P62" i="10"/>
  <c r="O62" i="10"/>
  <c r="P52" i="10"/>
  <c r="P49" i="10"/>
  <c r="P63" i="10"/>
  <c r="O63" i="10"/>
  <c r="P60" i="10"/>
  <c r="O60" i="10"/>
  <c r="P71" i="10"/>
  <c r="O71" i="10"/>
  <c r="P76" i="10"/>
  <c r="O76" i="10"/>
  <c r="P75" i="10"/>
  <c r="O75" i="10"/>
  <c r="P59" i="10"/>
  <c r="O59" i="10"/>
  <c r="P51" i="10"/>
  <c r="P65" i="10"/>
  <c r="O65" i="10"/>
  <c r="P74" i="10"/>
  <c r="O74" i="10"/>
  <c r="P58" i="10"/>
  <c r="O58" i="10"/>
  <c r="P69" i="10"/>
  <c r="O69" i="10"/>
  <c r="P68" i="10"/>
  <c r="O68" i="10"/>
  <c r="P66" i="10"/>
  <c r="O66" i="10"/>
  <c r="P73" i="10"/>
  <c r="O73" i="10"/>
  <c r="P57" i="10"/>
  <c r="O57" i="10"/>
  <c r="P61" i="10"/>
  <c r="O61" i="10"/>
  <c r="P72" i="10"/>
  <c r="O72" i="10"/>
  <c r="P56" i="10"/>
  <c r="B33" i="13"/>
  <c r="B33" i="15"/>
  <c r="B48" i="15"/>
  <c r="B48" i="13"/>
  <c r="B35" i="13"/>
  <c r="B35" i="15"/>
  <c r="B34" i="13"/>
  <c r="B34" i="15"/>
  <c r="B44" i="15"/>
  <c r="B44" i="13"/>
  <c r="B43" i="15"/>
  <c r="B43" i="13"/>
  <c r="B42" i="15"/>
  <c r="B42" i="13"/>
  <c r="B41" i="15"/>
  <c r="B41" i="13"/>
  <c r="B40" i="15"/>
  <c r="B40" i="13"/>
  <c r="B46" i="15"/>
  <c r="B46" i="13"/>
  <c r="B38" i="13"/>
  <c r="B38" i="15"/>
  <c r="B47" i="13"/>
  <c r="B47" i="15"/>
  <c r="B39" i="13"/>
  <c r="B39" i="15"/>
  <c r="B37" i="13"/>
  <c r="B37" i="15"/>
  <c r="B45" i="15"/>
  <c r="B45" i="13"/>
  <c r="B36" i="13"/>
  <c r="B36" i="15"/>
  <c r="B32" i="13"/>
  <c r="B32" i="15"/>
  <c r="B16" i="13"/>
  <c r="B16" i="15"/>
  <c r="B31" i="15"/>
  <c r="B31" i="13"/>
  <c r="B15" i="15"/>
  <c r="B15" i="13"/>
  <c r="B30" i="15"/>
  <c r="B30" i="13"/>
  <c r="B14" i="15"/>
  <c r="B14" i="13"/>
  <c r="B29" i="15"/>
  <c r="B29" i="13"/>
  <c r="B13" i="15"/>
  <c r="B13" i="13"/>
  <c r="B28" i="15"/>
  <c r="B28" i="13"/>
  <c r="B12" i="15"/>
  <c r="B12" i="13"/>
  <c r="B11" i="13"/>
  <c r="B11" i="15"/>
  <c r="B27" i="13"/>
  <c r="B27" i="15"/>
  <c r="B26" i="15"/>
  <c r="B26" i="13"/>
  <c r="B10" i="15"/>
  <c r="B10" i="13"/>
  <c r="B25" i="15"/>
  <c r="B25" i="13"/>
  <c r="B9" i="15"/>
  <c r="B9" i="13"/>
  <c r="B4" i="13"/>
  <c r="B4" i="15"/>
  <c r="B24" i="13"/>
  <c r="B24" i="15"/>
  <c r="B8" i="13"/>
  <c r="B8" i="15"/>
  <c r="B23" i="13"/>
  <c r="B23" i="15"/>
  <c r="B7" i="13"/>
  <c r="B7" i="15"/>
  <c r="B22" i="13"/>
  <c r="B22" i="15"/>
  <c r="B6" i="13"/>
  <c r="B6" i="15"/>
  <c r="B5" i="13"/>
  <c r="B5" i="15"/>
  <c r="B20" i="15"/>
  <c r="B20" i="13"/>
  <c r="B21" i="13"/>
  <c r="B21" i="15"/>
  <c r="B19" i="13"/>
  <c r="B19" i="15"/>
  <c r="B18" i="15"/>
  <c r="B18" i="13"/>
  <c r="B17" i="13"/>
  <c r="B17" i="15"/>
  <c r="AV41" i="15" l="1"/>
  <c r="AW41" i="15"/>
  <c r="AX41" i="15"/>
  <c r="AY41" i="15"/>
  <c r="AW39" i="15"/>
  <c r="AV39" i="15"/>
  <c r="AY39" i="15"/>
  <c r="AX39" i="15"/>
  <c r="AW46" i="15"/>
  <c r="AX46" i="15"/>
  <c r="AV46" i="15"/>
  <c r="F48" i="20" s="1"/>
  <c r="F48" i="21" s="1"/>
  <c r="G48" i="21" s="1"/>
  <c r="AY46" i="15"/>
  <c r="AY47" i="15"/>
  <c r="AX47" i="15"/>
  <c r="AV47" i="15"/>
  <c r="AW47" i="15"/>
  <c r="AX34" i="13"/>
  <c r="AW34" i="13"/>
  <c r="AV34" i="13"/>
  <c r="AY34" i="13"/>
  <c r="AV46" i="13"/>
  <c r="AW46" i="13"/>
  <c r="AY46" i="13"/>
  <c r="AX46" i="13"/>
  <c r="AY36" i="15"/>
  <c r="AV36" i="15"/>
  <c r="AX36" i="15"/>
  <c r="AW36" i="15"/>
  <c r="AX47" i="13"/>
  <c r="AY47" i="13"/>
  <c r="AV47" i="13"/>
  <c r="AW47" i="13"/>
  <c r="AY42" i="13"/>
  <c r="AW42" i="13"/>
  <c r="AV42" i="13"/>
  <c r="AX42" i="13"/>
  <c r="AY41" i="13"/>
  <c r="AV41" i="13"/>
  <c r="AX41" i="13"/>
  <c r="AW41" i="13"/>
  <c r="AY40" i="13"/>
  <c r="AW40" i="13"/>
  <c r="AV40" i="13"/>
  <c r="AX40" i="13"/>
  <c r="AW42" i="15"/>
  <c r="AX42" i="15"/>
  <c r="AY42" i="15"/>
  <c r="AV42" i="15"/>
  <c r="AY35" i="15"/>
  <c r="AW35" i="15"/>
  <c r="AX35" i="15"/>
  <c r="AV35" i="15"/>
  <c r="F37" i="20" s="1"/>
  <c r="F37" i="21" s="1"/>
  <c r="G37" i="21" s="1"/>
  <c r="AV40" i="15"/>
  <c r="AW40" i="15"/>
  <c r="AY40" i="15"/>
  <c r="AX40" i="15"/>
  <c r="AY35" i="13"/>
  <c r="AV35" i="13"/>
  <c r="AW35" i="13"/>
  <c r="AX35" i="13"/>
  <c r="AW37" i="13"/>
  <c r="AX37" i="13"/>
  <c r="AY37" i="13"/>
  <c r="AV37" i="13"/>
  <c r="AY39" i="13"/>
  <c r="AV39" i="13"/>
  <c r="AW39" i="13"/>
  <c r="AX39" i="13"/>
  <c r="AV45" i="13"/>
  <c r="AY45" i="13"/>
  <c r="AW45" i="13"/>
  <c r="AX45" i="13"/>
  <c r="AY34" i="15"/>
  <c r="AW34" i="15"/>
  <c r="AV34" i="15"/>
  <c r="AX34" i="15"/>
  <c r="AV45" i="15"/>
  <c r="AW45" i="15"/>
  <c r="AX45" i="15"/>
  <c r="AY45" i="15"/>
  <c r="AV48" i="13"/>
  <c r="F50" i="3" s="1"/>
  <c r="F50" i="19" s="1"/>
  <c r="G50" i="19" s="1"/>
  <c r="AW48" i="13"/>
  <c r="AY48" i="13"/>
  <c r="AX48" i="13"/>
  <c r="AY38" i="15"/>
  <c r="AV38" i="15"/>
  <c r="AX38" i="15"/>
  <c r="AW38" i="15"/>
  <c r="AX48" i="15"/>
  <c r="AV48" i="15"/>
  <c r="AY48" i="15"/>
  <c r="AW48" i="15"/>
  <c r="AY36" i="13"/>
  <c r="AW36" i="13"/>
  <c r="AV36" i="13"/>
  <c r="AX36" i="13"/>
  <c r="AY38" i="13"/>
  <c r="AW38" i="13"/>
  <c r="AV38" i="13"/>
  <c r="AX38" i="13"/>
  <c r="AY43" i="13"/>
  <c r="AX43" i="13"/>
  <c r="AV43" i="13"/>
  <c r="AW43" i="13"/>
  <c r="AV43" i="15"/>
  <c r="AX43" i="15"/>
  <c r="AY43" i="15"/>
  <c r="AW43" i="15"/>
  <c r="AX33" i="15"/>
  <c r="AW33" i="15"/>
  <c r="AY33" i="15"/>
  <c r="AV33" i="15"/>
  <c r="AW33" i="13"/>
  <c r="AX33" i="13"/>
  <c r="AV33" i="13"/>
  <c r="AY33" i="13"/>
  <c r="AY44" i="15"/>
  <c r="AW44" i="15"/>
  <c r="AX44" i="15"/>
  <c r="AV44" i="15"/>
  <c r="F46" i="20" s="1"/>
  <c r="F46" i="21" s="1"/>
  <c r="G46" i="21" s="1"/>
  <c r="AY37" i="15"/>
  <c r="AW37" i="15"/>
  <c r="AX37" i="15"/>
  <c r="AV37" i="15"/>
  <c r="AY44" i="13"/>
  <c r="AW44" i="13"/>
  <c r="AX44" i="13"/>
  <c r="AV44" i="13"/>
  <c r="F46" i="3" s="1"/>
  <c r="F46" i="19" s="1"/>
  <c r="G46" i="19" s="1"/>
  <c r="AW7" i="15"/>
  <c r="AV7" i="15"/>
  <c r="AY7" i="15"/>
  <c r="AX7" i="15"/>
  <c r="AY9" i="15"/>
  <c r="AX9" i="15"/>
  <c r="AW9" i="15"/>
  <c r="AV9" i="15"/>
  <c r="AW21" i="15"/>
  <c r="AX21" i="15"/>
  <c r="AV21" i="15"/>
  <c r="AY21" i="15"/>
  <c r="AY7" i="13"/>
  <c r="AX7" i="13"/>
  <c r="AW7" i="13"/>
  <c r="AV7" i="13"/>
  <c r="AV28" i="13"/>
  <c r="AX28" i="13"/>
  <c r="AW28" i="13"/>
  <c r="AY28" i="13"/>
  <c r="AV13" i="13"/>
  <c r="AW13" i="13"/>
  <c r="AY13" i="13"/>
  <c r="AX13" i="13"/>
  <c r="AW21" i="13"/>
  <c r="AV21" i="13"/>
  <c r="AX21" i="13"/>
  <c r="AY21" i="13"/>
  <c r="AY25" i="13"/>
  <c r="AX25" i="13"/>
  <c r="AV25" i="13"/>
  <c r="AW25" i="13"/>
  <c r="AY28" i="15"/>
  <c r="AW28" i="15"/>
  <c r="AV28" i="15"/>
  <c r="AX28" i="15"/>
  <c r="AY13" i="15"/>
  <c r="AW13" i="15"/>
  <c r="AX13" i="15"/>
  <c r="AV13" i="15"/>
  <c r="AW23" i="15"/>
  <c r="AX23" i="15"/>
  <c r="AY23" i="15"/>
  <c r="AV23" i="15"/>
  <c r="AY25" i="15"/>
  <c r="AX25" i="15"/>
  <c r="AV25" i="15"/>
  <c r="AW25" i="15"/>
  <c r="AY20" i="13"/>
  <c r="AV20" i="13"/>
  <c r="AW20" i="13"/>
  <c r="AX20" i="13"/>
  <c r="AY23" i="13"/>
  <c r="AX23" i="13"/>
  <c r="AW23" i="13"/>
  <c r="AV23" i="13"/>
  <c r="AW29" i="13"/>
  <c r="AY29" i="13"/>
  <c r="AV29" i="13"/>
  <c r="AX29" i="13"/>
  <c r="AV14" i="13"/>
  <c r="AY14" i="13"/>
  <c r="AW14" i="13"/>
  <c r="AX14" i="13"/>
  <c r="AY20" i="15"/>
  <c r="AV20" i="15"/>
  <c r="AX20" i="15"/>
  <c r="AW20" i="15"/>
  <c r="AY10" i="13"/>
  <c r="AV10" i="13"/>
  <c r="AW10" i="13"/>
  <c r="AX10" i="13"/>
  <c r="AX29" i="15"/>
  <c r="AW29" i="15"/>
  <c r="AV29" i="15"/>
  <c r="AY29" i="15"/>
  <c r="AW14" i="15"/>
  <c r="AV14" i="15"/>
  <c r="AX14" i="15"/>
  <c r="AY14" i="15"/>
  <c r="AY8" i="15"/>
  <c r="AV8" i="15"/>
  <c r="AW8" i="15"/>
  <c r="AX8" i="15"/>
  <c r="AX10" i="15"/>
  <c r="AW10" i="15"/>
  <c r="AV10" i="15"/>
  <c r="AY10" i="15"/>
  <c r="AX5" i="15"/>
  <c r="AY5" i="15"/>
  <c r="AV5" i="15"/>
  <c r="AW5" i="15"/>
  <c r="AY8" i="13"/>
  <c r="AV8" i="13"/>
  <c r="AX8" i="13"/>
  <c r="AW8" i="13"/>
  <c r="AV30" i="13"/>
  <c r="AY30" i="13"/>
  <c r="AW30" i="13"/>
  <c r="AX30" i="13"/>
  <c r="AV15" i="13"/>
  <c r="AY15" i="13"/>
  <c r="AW15" i="13"/>
  <c r="AX15" i="13"/>
  <c r="AX17" i="15"/>
  <c r="AW17" i="15"/>
  <c r="AV17" i="15"/>
  <c r="AY17" i="15"/>
  <c r="AW5" i="13"/>
  <c r="AV5" i="13"/>
  <c r="AX5" i="13"/>
  <c r="AY5" i="13"/>
  <c r="AY26" i="13"/>
  <c r="AW26" i="13"/>
  <c r="AV26" i="13"/>
  <c r="AX26" i="13"/>
  <c r="AW30" i="15"/>
  <c r="AY30" i="15"/>
  <c r="AV30" i="15"/>
  <c r="AX30" i="15"/>
  <c r="AY15" i="15"/>
  <c r="AW15" i="15"/>
  <c r="AV15" i="15"/>
  <c r="AX15" i="15"/>
  <c r="AW17" i="13"/>
  <c r="AV17" i="13"/>
  <c r="AY17" i="13"/>
  <c r="AX17" i="13"/>
  <c r="AW24" i="15"/>
  <c r="AX24" i="15"/>
  <c r="AV24" i="15"/>
  <c r="AY24" i="15"/>
  <c r="AX26" i="15"/>
  <c r="AY26" i="15"/>
  <c r="AV26" i="15"/>
  <c r="AW26" i="15"/>
  <c r="AY6" i="15"/>
  <c r="AX6" i="15"/>
  <c r="AW6" i="15"/>
  <c r="AV6" i="15"/>
  <c r="AY24" i="13"/>
  <c r="AW24" i="13"/>
  <c r="AV24" i="13"/>
  <c r="AX24" i="13"/>
  <c r="AV31" i="13"/>
  <c r="AY31" i="13"/>
  <c r="AW31" i="13"/>
  <c r="AX31" i="13"/>
  <c r="AX16" i="15"/>
  <c r="AV16" i="15"/>
  <c r="AY16" i="15"/>
  <c r="AW16" i="15"/>
  <c r="AX18" i="13"/>
  <c r="AV18" i="13"/>
  <c r="AY18" i="13"/>
  <c r="AW18" i="13"/>
  <c r="AY6" i="13"/>
  <c r="AV6" i="13"/>
  <c r="AX6" i="13"/>
  <c r="AW6" i="13"/>
  <c r="AV27" i="15"/>
  <c r="AX27" i="15"/>
  <c r="AY27" i="15"/>
  <c r="AW27" i="15"/>
  <c r="AY31" i="15"/>
  <c r="AX31" i="15"/>
  <c r="AW31" i="15"/>
  <c r="AV31" i="15"/>
  <c r="AV16" i="13"/>
  <c r="AY16" i="13"/>
  <c r="AW16" i="13"/>
  <c r="AX16" i="13"/>
  <c r="AW18" i="15"/>
  <c r="AX18" i="15"/>
  <c r="AY18" i="15"/>
  <c r="AV18" i="15"/>
  <c r="AY27" i="13"/>
  <c r="AV27" i="13"/>
  <c r="AW27" i="13"/>
  <c r="AX27" i="13"/>
  <c r="AY22" i="15"/>
  <c r="AX22" i="15"/>
  <c r="AV22" i="15"/>
  <c r="AW22" i="15"/>
  <c r="AY4" i="15"/>
  <c r="AX4" i="15"/>
  <c r="AW4" i="15"/>
  <c r="AV4" i="15"/>
  <c r="AX32" i="15"/>
  <c r="AW32" i="15"/>
  <c r="AV32" i="15"/>
  <c r="AY32" i="15"/>
  <c r="AW19" i="15"/>
  <c r="AX19" i="15"/>
  <c r="AY19" i="15"/>
  <c r="AV19" i="15"/>
  <c r="AY22" i="13"/>
  <c r="AV22" i="13"/>
  <c r="AX22" i="13"/>
  <c r="AW22" i="13"/>
  <c r="AW4" i="13"/>
  <c r="AY4" i="13"/>
  <c r="AX4" i="13"/>
  <c r="AV4" i="13"/>
  <c r="AV11" i="15"/>
  <c r="AY11" i="15"/>
  <c r="AW11" i="15"/>
  <c r="AX11" i="15"/>
  <c r="AV12" i="13"/>
  <c r="AX12" i="13"/>
  <c r="AW12" i="13"/>
  <c r="AY12" i="13"/>
  <c r="AV32" i="13"/>
  <c r="AY32" i="13"/>
  <c r="AW32" i="13"/>
  <c r="AX32" i="13"/>
  <c r="AY19" i="13"/>
  <c r="AV19" i="13"/>
  <c r="AX19" i="13"/>
  <c r="AW19" i="13"/>
  <c r="AY9" i="13"/>
  <c r="AX9" i="13"/>
  <c r="AV9" i="13"/>
  <c r="AW9" i="13"/>
  <c r="AY11" i="13"/>
  <c r="AV11" i="13"/>
  <c r="AW11" i="13"/>
  <c r="AX11" i="13"/>
  <c r="AV12" i="15"/>
  <c r="AY12" i="15"/>
  <c r="AX12" i="15"/>
  <c r="AW12" i="15"/>
  <c r="E35" i="21" l="1"/>
  <c r="E11" i="21"/>
  <c r="F39" i="3"/>
  <c r="F39" i="19" s="1"/>
  <c r="G39" i="19" s="1"/>
  <c r="G39" i="3" s="1"/>
  <c r="F35" i="20"/>
  <c r="F35" i="21" s="1"/>
  <c r="G35" i="21" s="1"/>
  <c r="G35" i="20" s="1"/>
  <c r="F44" i="20"/>
  <c r="F44" i="21" s="1"/>
  <c r="G44" i="21" s="1"/>
  <c r="E49" i="21"/>
  <c r="F47" i="20"/>
  <c r="F47" i="21" s="1"/>
  <c r="G47" i="21" s="1"/>
  <c r="H53" i="10" s="1"/>
  <c r="F36" i="20"/>
  <c r="F36" i="21" s="1"/>
  <c r="G36" i="21" s="1"/>
  <c r="G36" i="20" s="1"/>
  <c r="F45" i="20"/>
  <c r="F45" i="21" s="1"/>
  <c r="G45" i="21" s="1"/>
  <c r="F42" i="20"/>
  <c r="F42" i="21" s="1"/>
  <c r="G42" i="21" s="1"/>
  <c r="G42" i="20" s="1"/>
  <c r="F47" i="3"/>
  <c r="F47" i="19" s="1"/>
  <c r="G47" i="19" s="1"/>
  <c r="G47" i="3" s="1"/>
  <c r="F42" i="3"/>
  <c r="F42" i="19" s="1"/>
  <c r="G42" i="19" s="1"/>
  <c r="AS42" i="19" s="1"/>
  <c r="F38" i="3"/>
  <c r="F38" i="19" s="1"/>
  <c r="G38" i="19" s="1"/>
  <c r="F49" i="3"/>
  <c r="F49" i="19" s="1"/>
  <c r="G49" i="19" s="1"/>
  <c r="F49" i="20"/>
  <c r="F49" i="21" s="1"/>
  <c r="G49" i="21" s="1"/>
  <c r="AS49" i="21" s="1"/>
  <c r="E46" i="21"/>
  <c r="AS46" i="21" s="1"/>
  <c r="E38" i="21"/>
  <c r="E39" i="21"/>
  <c r="AS39" i="21" s="1"/>
  <c r="F39" i="20"/>
  <c r="F39" i="21" s="1"/>
  <c r="G39" i="21" s="1"/>
  <c r="E37" i="21"/>
  <c r="AS37" i="21" s="1"/>
  <c r="G48" i="20"/>
  <c r="H54" i="10"/>
  <c r="F50" i="20"/>
  <c r="F50" i="21" s="1"/>
  <c r="G50" i="21" s="1"/>
  <c r="F37" i="3"/>
  <c r="F37" i="19" s="1"/>
  <c r="G37" i="19" s="1"/>
  <c r="E42" i="21"/>
  <c r="F38" i="20"/>
  <c r="F38" i="21" s="1"/>
  <c r="G38" i="21" s="1"/>
  <c r="G45" i="20"/>
  <c r="H51" i="10"/>
  <c r="H52" i="10"/>
  <c r="G46" i="20"/>
  <c r="E45" i="21"/>
  <c r="AS45" i="21" s="1"/>
  <c r="E43" i="21"/>
  <c r="F45" i="3"/>
  <c r="F45" i="19" s="1"/>
  <c r="G45" i="19" s="1"/>
  <c r="E47" i="21"/>
  <c r="AS47" i="21" s="1"/>
  <c r="F40" i="20"/>
  <c r="F40" i="21" s="1"/>
  <c r="G40" i="21" s="1"/>
  <c r="F43" i="3"/>
  <c r="F43" i="19" s="1"/>
  <c r="G43" i="19" s="1"/>
  <c r="E48" i="21"/>
  <c r="AS48" i="21" s="1"/>
  <c r="F41" i="20"/>
  <c r="F41" i="21" s="1"/>
  <c r="G41" i="21" s="1"/>
  <c r="AS47" i="19"/>
  <c r="F48" i="3"/>
  <c r="F48" i="19" s="1"/>
  <c r="G48" i="19" s="1"/>
  <c r="G46" i="3"/>
  <c r="D52" i="10"/>
  <c r="AS46" i="19"/>
  <c r="H43" i="10"/>
  <c r="G37" i="20"/>
  <c r="H50" i="10"/>
  <c r="G44" i="20"/>
  <c r="F35" i="3"/>
  <c r="F35" i="19" s="1"/>
  <c r="G35" i="19" s="1"/>
  <c r="F40" i="3"/>
  <c r="F40" i="19" s="1"/>
  <c r="G40" i="19" s="1"/>
  <c r="E41" i="21"/>
  <c r="F44" i="3"/>
  <c r="F44" i="19" s="1"/>
  <c r="G44" i="19" s="1"/>
  <c r="F36" i="3"/>
  <c r="F36" i="19" s="1"/>
  <c r="G36" i="19" s="1"/>
  <c r="E40" i="21"/>
  <c r="AS40" i="21" s="1"/>
  <c r="E50" i="21"/>
  <c r="AS50" i="21" s="1"/>
  <c r="F41" i="3"/>
  <c r="F41" i="19" s="1"/>
  <c r="G41" i="19" s="1"/>
  <c r="E44" i="21"/>
  <c r="AS44" i="21" s="1"/>
  <c r="E36" i="21"/>
  <c r="AS35" i="21"/>
  <c r="G50" i="3"/>
  <c r="D56" i="10"/>
  <c r="AS50" i="19"/>
  <c r="F43" i="20"/>
  <c r="F43" i="21" s="1"/>
  <c r="G43" i="21" s="1"/>
  <c r="E8" i="21"/>
  <c r="E10" i="21"/>
  <c r="E21" i="21"/>
  <c r="E9" i="21"/>
  <c r="E34" i="21"/>
  <c r="E17" i="21"/>
  <c r="E12" i="21"/>
  <c r="E25" i="21"/>
  <c r="E13" i="21"/>
  <c r="E29" i="21"/>
  <c r="E22" i="21"/>
  <c r="E28" i="21"/>
  <c r="E27" i="21"/>
  <c r="E20" i="21"/>
  <c r="E26" i="21"/>
  <c r="E19" i="21"/>
  <c r="E7" i="21"/>
  <c r="E18" i="21"/>
  <c r="E31" i="21"/>
  <c r="E23" i="21"/>
  <c r="E24" i="21"/>
  <c r="E15" i="21"/>
  <c r="E14" i="21"/>
  <c r="E33" i="21"/>
  <c r="E32" i="21"/>
  <c r="E30" i="21"/>
  <c r="E16" i="21"/>
  <c r="BF4" i="13"/>
  <c r="BG4" i="13" s="1"/>
  <c r="E6" i="21"/>
  <c r="BD4" i="13"/>
  <c r="BA4" i="13"/>
  <c r="E9" i="3"/>
  <c r="E9" i="20" s="1"/>
  <c r="E17" i="3"/>
  <c r="E17" i="20" s="1"/>
  <c r="F16" i="3"/>
  <c r="F16" i="19" s="1"/>
  <c r="F34" i="3"/>
  <c r="F34" i="19" s="1"/>
  <c r="F17" i="3"/>
  <c r="F17" i="19" s="1"/>
  <c r="F15" i="3"/>
  <c r="F15" i="19" s="1"/>
  <c r="F10" i="3"/>
  <c r="F10" i="19" s="1"/>
  <c r="F19" i="3"/>
  <c r="F19" i="19" s="1"/>
  <c r="F31" i="3"/>
  <c r="F31" i="19" s="1"/>
  <c r="F20" i="3"/>
  <c r="F20" i="19" s="1"/>
  <c r="F23" i="3"/>
  <c r="F23" i="19" s="1"/>
  <c r="F8" i="3"/>
  <c r="F8" i="19" s="1"/>
  <c r="F24" i="3"/>
  <c r="F24" i="19" s="1"/>
  <c r="F12" i="3"/>
  <c r="F12" i="19" s="1"/>
  <c r="F14" i="3"/>
  <c r="F14" i="19" s="1"/>
  <c r="F33" i="3"/>
  <c r="F33" i="19" s="1"/>
  <c r="F32" i="3"/>
  <c r="F32" i="19" s="1"/>
  <c r="F30" i="3"/>
  <c r="F30" i="19" s="1"/>
  <c r="F6" i="3"/>
  <c r="F6" i="19" s="1"/>
  <c r="F18" i="3"/>
  <c r="F18" i="19" s="1"/>
  <c r="F21" i="3"/>
  <c r="F21" i="19" s="1"/>
  <c r="F25" i="3"/>
  <c r="F25" i="19" s="1"/>
  <c r="F11" i="3"/>
  <c r="F11" i="19" s="1"/>
  <c r="F28" i="3"/>
  <c r="F28" i="19" s="1"/>
  <c r="F7" i="3"/>
  <c r="F7" i="19" s="1"/>
  <c r="F13" i="3"/>
  <c r="F13" i="19" s="1"/>
  <c r="F29" i="3"/>
  <c r="F29" i="19" s="1"/>
  <c r="F22" i="3"/>
  <c r="F22" i="19" s="1"/>
  <c r="F9" i="3"/>
  <c r="F9" i="19" s="1"/>
  <c r="F26" i="3"/>
  <c r="F26" i="19" s="1"/>
  <c r="F27" i="3"/>
  <c r="F27" i="19" s="1"/>
  <c r="F19" i="20"/>
  <c r="F19" i="21" s="1"/>
  <c r="F31" i="20"/>
  <c r="F31" i="21" s="1"/>
  <c r="F23" i="20"/>
  <c r="F23" i="21" s="1"/>
  <c r="F11" i="20"/>
  <c r="F11" i="21" s="1"/>
  <c r="F30" i="20"/>
  <c r="F30" i="21" s="1"/>
  <c r="F17" i="20"/>
  <c r="F17" i="21" s="1"/>
  <c r="F7" i="20"/>
  <c r="F7" i="21" s="1"/>
  <c r="F24" i="20"/>
  <c r="F24" i="21" s="1"/>
  <c r="F28" i="20"/>
  <c r="F28" i="21" s="1"/>
  <c r="F32" i="20"/>
  <c r="F32" i="21" s="1"/>
  <c r="F12" i="20"/>
  <c r="F12" i="21" s="1"/>
  <c r="F21" i="20"/>
  <c r="F21" i="21" s="1"/>
  <c r="F20" i="20"/>
  <c r="F20" i="21" s="1"/>
  <c r="F34" i="20"/>
  <c r="F34" i="21" s="1"/>
  <c r="F27" i="20"/>
  <c r="F27" i="21" s="1"/>
  <c r="F26" i="20"/>
  <c r="F26" i="21" s="1"/>
  <c r="F10" i="20"/>
  <c r="F10" i="21" s="1"/>
  <c r="F22" i="20"/>
  <c r="F22" i="21" s="1"/>
  <c r="F9" i="20"/>
  <c r="F9" i="21" s="1"/>
  <c r="F29" i="20"/>
  <c r="F29" i="21" s="1"/>
  <c r="F14" i="20"/>
  <c r="F14" i="21" s="1"/>
  <c r="F16" i="20"/>
  <c r="F16" i="21" s="1"/>
  <c r="F13" i="20"/>
  <c r="F13" i="21" s="1"/>
  <c r="F6" i="20"/>
  <c r="F6" i="21" s="1"/>
  <c r="F8" i="20"/>
  <c r="F8" i="21" s="1"/>
  <c r="F25" i="20"/>
  <c r="F25" i="21" s="1"/>
  <c r="F33" i="20"/>
  <c r="F33" i="21" s="1"/>
  <c r="F15" i="20"/>
  <c r="F15" i="21" s="1"/>
  <c r="F18" i="20"/>
  <c r="F18" i="21" s="1"/>
  <c r="D53" i="10" l="1"/>
  <c r="H41" i="10"/>
  <c r="AS36" i="21"/>
  <c r="AS41" i="21"/>
  <c r="AS41" i="20" s="1"/>
  <c r="AS42" i="21"/>
  <c r="AS39" i="19"/>
  <c r="D45" i="10"/>
  <c r="G47" i="20"/>
  <c r="D48" i="10"/>
  <c r="G42" i="3"/>
  <c r="AS43" i="21"/>
  <c r="AS43" i="20" s="1"/>
  <c r="H42" i="10"/>
  <c r="H48" i="10"/>
  <c r="AT49" i="21"/>
  <c r="AS49" i="20"/>
  <c r="AS45" i="19"/>
  <c r="G45" i="3"/>
  <c r="D51" i="10"/>
  <c r="AT35" i="21"/>
  <c r="AS35" i="20"/>
  <c r="AT43" i="21"/>
  <c r="AT36" i="21"/>
  <c r="AS36" i="20"/>
  <c r="AT45" i="21"/>
  <c r="AS45" i="20"/>
  <c r="AT44" i="21"/>
  <c r="AS44" i="20"/>
  <c r="AT37" i="21"/>
  <c r="AS37" i="20"/>
  <c r="AS41" i="19"/>
  <c r="G41" i="3"/>
  <c r="D47" i="10"/>
  <c r="AT50" i="21"/>
  <c r="AS50" i="20"/>
  <c r="AT40" i="21"/>
  <c r="AS40" i="20"/>
  <c r="H45" i="10"/>
  <c r="G39" i="20"/>
  <c r="AS36" i="19"/>
  <c r="G36" i="3"/>
  <c r="D42" i="10"/>
  <c r="AT39" i="19"/>
  <c r="AT39" i="21"/>
  <c r="AS39" i="20"/>
  <c r="AS48" i="19"/>
  <c r="G48" i="3"/>
  <c r="D54" i="10"/>
  <c r="G44" i="3"/>
  <c r="D50" i="10"/>
  <c r="AS44" i="19"/>
  <c r="AT47" i="19"/>
  <c r="G41" i="20"/>
  <c r="H47" i="10"/>
  <c r="AT46" i="19"/>
  <c r="AT42" i="19"/>
  <c r="AS40" i="19"/>
  <c r="G40" i="3"/>
  <c r="D46" i="10"/>
  <c r="AT48" i="21"/>
  <c r="AS48" i="20"/>
  <c r="G38" i="20"/>
  <c r="H44" i="10"/>
  <c r="AS38" i="21"/>
  <c r="G35" i="3"/>
  <c r="D41" i="10"/>
  <c r="AS35" i="19"/>
  <c r="AS43" i="19"/>
  <c r="D49" i="10"/>
  <c r="G43" i="3"/>
  <c r="AT42" i="21"/>
  <c r="AS42" i="20"/>
  <c r="AT46" i="21"/>
  <c r="AS46" i="20"/>
  <c r="G40" i="20"/>
  <c r="H46" i="10"/>
  <c r="AS37" i="19"/>
  <c r="G37" i="3"/>
  <c r="D43" i="10"/>
  <c r="G43" i="20"/>
  <c r="H49" i="10"/>
  <c r="G50" i="20"/>
  <c r="H56" i="10"/>
  <c r="G49" i="20"/>
  <c r="H55" i="10"/>
  <c r="AT50" i="19"/>
  <c r="AS49" i="19"/>
  <c r="D55" i="10"/>
  <c r="G49" i="3"/>
  <c r="AT47" i="21"/>
  <c r="AS47" i="20"/>
  <c r="AS38" i="19"/>
  <c r="G38" i="3"/>
  <c r="D44" i="10"/>
  <c r="E8" i="3"/>
  <c r="E8" i="20" s="1"/>
  <c r="E13" i="3"/>
  <c r="E13" i="20" s="1"/>
  <c r="E19" i="3"/>
  <c r="E19" i="20" s="1"/>
  <c r="G26" i="19"/>
  <c r="AS26" i="19" s="1"/>
  <c r="AT26" i="19" s="1"/>
  <c r="AU26" i="19" s="1"/>
  <c r="G30" i="19"/>
  <c r="AS30" i="19" s="1"/>
  <c r="AT30" i="19" s="1"/>
  <c r="AU30" i="19" s="1"/>
  <c r="G27" i="19"/>
  <c r="AS27" i="19" s="1"/>
  <c r="AT27" i="19" s="1"/>
  <c r="AU27" i="19" s="1"/>
  <c r="G22" i="19"/>
  <c r="AS22" i="19" s="1"/>
  <c r="AT22" i="19" s="1"/>
  <c r="AU22" i="19" s="1"/>
  <c r="G33" i="19"/>
  <c r="AS33" i="19" s="1"/>
  <c r="AT33" i="19" s="1"/>
  <c r="AU33" i="19" s="1"/>
  <c r="G32" i="19"/>
  <c r="AS32" i="19" s="1"/>
  <c r="AT32" i="19" s="1"/>
  <c r="AU32" i="19" s="1"/>
  <c r="G29" i="19"/>
  <c r="AS29" i="19" s="1"/>
  <c r="AT29" i="19" s="1"/>
  <c r="AU29" i="19" s="1"/>
  <c r="G14" i="19"/>
  <c r="AS14" i="19" s="1"/>
  <c r="AT14" i="19" s="1"/>
  <c r="AU14" i="19" s="1"/>
  <c r="G13" i="19"/>
  <c r="AS13" i="19" s="1"/>
  <c r="AT13" i="19" s="1"/>
  <c r="AU13" i="19" s="1"/>
  <c r="G12" i="19"/>
  <c r="AS12" i="19" s="1"/>
  <c r="AT12" i="19" s="1"/>
  <c r="AU12" i="19" s="1"/>
  <c r="G7" i="19"/>
  <c r="AS7" i="19" s="1"/>
  <c r="AT7" i="19" s="1"/>
  <c r="AU7" i="19" s="1"/>
  <c r="G24" i="19"/>
  <c r="AS24" i="19" s="1"/>
  <c r="AT24" i="19" s="1"/>
  <c r="AU24" i="19" s="1"/>
  <c r="G28" i="19"/>
  <c r="AS28" i="19" s="1"/>
  <c r="AT28" i="19" s="1"/>
  <c r="AU28" i="19" s="1"/>
  <c r="G23" i="19"/>
  <c r="AS23" i="19" s="1"/>
  <c r="G20" i="19"/>
  <c r="AS20" i="19" s="1"/>
  <c r="AT20" i="19" s="1"/>
  <c r="AU20" i="19" s="1"/>
  <c r="G11" i="19"/>
  <c r="AS11" i="19" s="1"/>
  <c r="AT11" i="19" s="1"/>
  <c r="AU11" i="19" s="1"/>
  <c r="G31" i="19"/>
  <c r="AS31" i="19" s="1"/>
  <c r="AT31" i="19" s="1"/>
  <c r="AU31" i="19" s="1"/>
  <c r="G9" i="19"/>
  <c r="AS9" i="19" s="1"/>
  <c r="G25" i="19"/>
  <c r="AS25" i="19" s="1"/>
  <c r="AT25" i="19" s="1"/>
  <c r="AU25" i="19" s="1"/>
  <c r="G19" i="19"/>
  <c r="AS19" i="19" s="1"/>
  <c r="AT19" i="19" s="1"/>
  <c r="AU19" i="19" s="1"/>
  <c r="G21" i="19"/>
  <c r="AS21" i="19" s="1"/>
  <c r="AT21" i="19" s="1"/>
  <c r="AU21" i="19" s="1"/>
  <c r="G10" i="19"/>
  <c r="AS10" i="19" s="1"/>
  <c r="AT10" i="19" s="1"/>
  <c r="AU10" i="19" s="1"/>
  <c r="G18" i="19"/>
  <c r="AS18" i="19" s="1"/>
  <c r="AT18" i="19" s="1"/>
  <c r="AU18" i="19" s="1"/>
  <c r="G15" i="19"/>
  <c r="AS15" i="19" s="1"/>
  <c r="AT15" i="19" s="1"/>
  <c r="AU15" i="19" s="1"/>
  <c r="E6" i="3"/>
  <c r="E6" i="20" s="1"/>
  <c r="G17" i="19"/>
  <c r="AS17" i="19" s="1"/>
  <c r="AT17" i="19" s="1"/>
  <c r="AU17" i="19" s="1"/>
  <c r="G34" i="19"/>
  <c r="AS34" i="19" s="1"/>
  <c r="AT34" i="19" s="1"/>
  <c r="G16" i="19"/>
  <c r="G8" i="19"/>
  <c r="AS8" i="19" s="1"/>
  <c r="G6" i="19"/>
  <c r="AS6" i="19" s="1"/>
  <c r="E31" i="3"/>
  <c r="E31" i="20" s="1"/>
  <c r="E33" i="3"/>
  <c r="E33" i="20" s="1"/>
  <c r="E23" i="3"/>
  <c r="E23" i="20" s="1"/>
  <c r="E27" i="3"/>
  <c r="E27" i="20" s="1"/>
  <c r="E29" i="3"/>
  <c r="E29" i="20" s="1"/>
  <c r="E32" i="3"/>
  <c r="E32" i="20" s="1"/>
  <c r="E12" i="3"/>
  <c r="E12" i="20" s="1"/>
  <c r="E21" i="3"/>
  <c r="E21" i="20" s="1"/>
  <c r="E34" i="3"/>
  <c r="E34" i="20" s="1"/>
  <c r="E28" i="3"/>
  <c r="E28" i="20" s="1"/>
  <c r="E18" i="3"/>
  <c r="E18" i="20" s="1"/>
  <c r="E26" i="3"/>
  <c r="E26" i="20" s="1"/>
  <c r="E30" i="3"/>
  <c r="E30" i="20" s="1"/>
  <c r="E11" i="3"/>
  <c r="E11" i="20" s="1"/>
  <c r="E24" i="3"/>
  <c r="E24" i="20" s="1"/>
  <c r="E14" i="3"/>
  <c r="E14" i="20" s="1"/>
  <c r="E7" i="3"/>
  <c r="E7" i="20" s="1"/>
  <c r="E25" i="3"/>
  <c r="E25" i="20" s="1"/>
  <c r="E15" i="3"/>
  <c r="E15" i="20" s="1"/>
  <c r="E16" i="3"/>
  <c r="E16" i="20" s="1"/>
  <c r="E10" i="3"/>
  <c r="E10" i="20" s="1"/>
  <c r="E20" i="3"/>
  <c r="E20" i="20" s="1"/>
  <c r="E22" i="3"/>
  <c r="E22" i="20" s="1"/>
  <c r="AT41" i="21" l="1"/>
  <c r="AU50" i="19"/>
  <c r="AU50" i="3" s="1"/>
  <c r="AT50" i="3"/>
  <c r="G56" i="10"/>
  <c r="AU46" i="19"/>
  <c r="AU46" i="3" s="1"/>
  <c r="AT46" i="3"/>
  <c r="G52" i="10"/>
  <c r="AU39" i="19"/>
  <c r="AU39" i="3" s="1"/>
  <c r="AT39" i="3"/>
  <c r="G45" i="10"/>
  <c r="AU44" i="21"/>
  <c r="AU44" i="20" s="1"/>
  <c r="K50" i="10"/>
  <c r="AT44" i="20"/>
  <c r="AT43" i="19"/>
  <c r="AT35" i="19"/>
  <c r="K51" i="10"/>
  <c r="AU45" i="21"/>
  <c r="AU45" i="20" s="1"/>
  <c r="AT45" i="20"/>
  <c r="AT36" i="19"/>
  <c r="AU41" i="21"/>
  <c r="AU41" i="20" s="1"/>
  <c r="AT41" i="20"/>
  <c r="K47" i="10"/>
  <c r="AU36" i="21"/>
  <c r="AU36" i="20" s="1"/>
  <c r="AT36" i="20"/>
  <c r="K42" i="10"/>
  <c r="AU39" i="21"/>
  <c r="AU39" i="20" s="1"/>
  <c r="AT39" i="20"/>
  <c r="K45" i="10"/>
  <c r="AT38" i="21"/>
  <c r="AS38" i="20"/>
  <c r="AU47" i="19"/>
  <c r="AU47" i="3" s="1"/>
  <c r="AT47" i="3"/>
  <c r="G53" i="10"/>
  <c r="AU43" i="21"/>
  <c r="AU43" i="20" s="1"/>
  <c r="K49" i="10"/>
  <c r="AT43" i="20"/>
  <c r="AU42" i="19"/>
  <c r="AU42" i="3" s="1"/>
  <c r="G48" i="10"/>
  <c r="AT42" i="3"/>
  <c r="AT44" i="19"/>
  <c r="AU40" i="21"/>
  <c r="AU40" i="20" s="1"/>
  <c r="K46" i="10"/>
  <c r="AT40" i="20"/>
  <c r="AT38" i="19"/>
  <c r="AT37" i="19"/>
  <c r="K41" i="10"/>
  <c r="AU35" i="21"/>
  <c r="AU35" i="20" s="1"/>
  <c r="AT35" i="20"/>
  <c r="AU42" i="21"/>
  <c r="AU42" i="20" s="1"/>
  <c r="K48" i="10"/>
  <c r="AT42" i="20"/>
  <c r="K54" i="10"/>
  <c r="AU48" i="21"/>
  <c r="AU48" i="20" s="1"/>
  <c r="AT48" i="20"/>
  <c r="AU50" i="21"/>
  <c r="AU50" i="20" s="1"/>
  <c r="K56" i="10"/>
  <c r="AT50" i="20"/>
  <c r="K43" i="10"/>
  <c r="AU37" i="21"/>
  <c r="AU37" i="20" s="1"/>
  <c r="AT37" i="20"/>
  <c r="AU47" i="21"/>
  <c r="AU47" i="20" s="1"/>
  <c r="AT47" i="20"/>
  <c r="K53" i="10"/>
  <c r="AT45" i="19"/>
  <c r="K52" i="10"/>
  <c r="AU46" i="21"/>
  <c r="AU46" i="20" s="1"/>
  <c r="AT46" i="20"/>
  <c r="AT40" i="19"/>
  <c r="AT48" i="19"/>
  <c r="AT41" i="19"/>
  <c r="AT49" i="19"/>
  <c r="K55" i="10"/>
  <c r="AU49" i="21"/>
  <c r="AU49" i="20" s="1"/>
  <c r="AT49" i="20"/>
  <c r="G40" i="10"/>
  <c r="AU34" i="19"/>
  <c r="G18" i="10"/>
  <c r="G35" i="10"/>
  <c r="G19" i="10"/>
  <c r="G16" i="10"/>
  <c r="G38" i="10"/>
  <c r="G34" i="10"/>
  <c r="G27" i="10"/>
  <c r="AU33" i="3"/>
  <c r="G39" i="10"/>
  <c r="G23" i="10"/>
  <c r="G20" i="10"/>
  <c r="G25" i="10"/>
  <c r="G28" i="10"/>
  <c r="G24" i="10"/>
  <c r="G31" i="10"/>
  <c r="G33" i="10"/>
  <c r="G36" i="10"/>
  <c r="G37" i="10"/>
  <c r="G32" i="10"/>
  <c r="G21" i="10"/>
  <c r="G17" i="10"/>
  <c r="G26" i="10"/>
  <c r="G30" i="10"/>
  <c r="G13" i="10"/>
  <c r="AT8" i="19"/>
  <c r="AT9" i="19"/>
  <c r="AT23" i="19"/>
  <c r="AU23" i="19" s="1"/>
  <c r="AT6" i="19"/>
  <c r="AU6" i="19" s="1"/>
  <c r="D22" i="10"/>
  <c r="AS16" i="19"/>
  <c r="AT16" i="19" s="1"/>
  <c r="AU16" i="19" s="1"/>
  <c r="D40" i="10"/>
  <c r="AU17" i="3"/>
  <c r="AU19" i="3"/>
  <c r="AU31" i="3"/>
  <c r="G17" i="3"/>
  <c r="D23" i="10"/>
  <c r="D30" i="10"/>
  <c r="G24" i="3"/>
  <c r="G11" i="3"/>
  <c r="D17" i="10"/>
  <c r="D29" i="10"/>
  <c r="G23" i="3"/>
  <c r="G14" i="3"/>
  <c r="D20" i="10"/>
  <c r="D33" i="10"/>
  <c r="G27" i="3"/>
  <c r="G28" i="3"/>
  <c r="D34" i="10"/>
  <c r="G7" i="3"/>
  <c r="D13" i="10"/>
  <c r="G13" i="3"/>
  <c r="D19" i="10"/>
  <c r="G18" i="3"/>
  <c r="D24" i="10"/>
  <c r="D16" i="10"/>
  <c r="G10" i="3"/>
  <c r="D27" i="10"/>
  <c r="G21" i="3"/>
  <c r="G9" i="3"/>
  <c r="D15" i="10"/>
  <c r="D36" i="10"/>
  <c r="G30" i="3"/>
  <c r="G20" i="3"/>
  <c r="D26" i="10"/>
  <c r="D18" i="10"/>
  <c r="G12" i="3"/>
  <c r="G15" i="3"/>
  <c r="D21" i="10"/>
  <c r="D35" i="10"/>
  <c r="G29" i="3"/>
  <c r="G32" i="3"/>
  <c r="D38" i="10"/>
  <c r="D39" i="10"/>
  <c r="G33" i="3"/>
  <c r="G19" i="3"/>
  <c r="D25" i="10"/>
  <c r="G22" i="3"/>
  <c r="D28" i="10"/>
  <c r="G25" i="3"/>
  <c r="D31" i="10"/>
  <c r="D37" i="10"/>
  <c r="G31" i="3"/>
  <c r="G26" i="3"/>
  <c r="D32" i="10"/>
  <c r="G16" i="3"/>
  <c r="G34" i="3"/>
  <c r="G6" i="3"/>
  <c r="D12" i="10"/>
  <c r="D14" i="10"/>
  <c r="G8" i="3"/>
  <c r="AT12" i="3"/>
  <c r="AT32" i="3"/>
  <c r="AT33" i="3"/>
  <c r="AT19" i="3"/>
  <c r="AT31" i="3"/>
  <c r="AT17" i="3"/>
  <c r="G10" i="21"/>
  <c r="AS10" i="21" s="1"/>
  <c r="AT10" i="21" s="1"/>
  <c r="G27" i="21"/>
  <c r="AS27" i="21" s="1"/>
  <c r="G25" i="21"/>
  <c r="AS25" i="21" s="1"/>
  <c r="G13" i="21"/>
  <c r="AS13" i="21" s="1"/>
  <c r="AT13" i="21" s="1"/>
  <c r="G23" i="21"/>
  <c r="AS23" i="21" s="1"/>
  <c r="AT23" i="21" s="1"/>
  <c r="G24" i="21"/>
  <c r="AS24" i="21" s="1"/>
  <c r="AT24" i="21" s="1"/>
  <c r="G11" i="21"/>
  <c r="AS11" i="21" s="1"/>
  <c r="G34" i="21"/>
  <c r="AS34" i="21" s="1"/>
  <c r="AT34" i="21" s="1"/>
  <c r="G33" i="21"/>
  <c r="AS33" i="21" s="1"/>
  <c r="G28" i="21"/>
  <c r="AS28" i="21" s="1"/>
  <c r="G20" i="21"/>
  <c r="AS20" i="21" s="1"/>
  <c r="G16" i="21"/>
  <c r="AS16" i="21" s="1"/>
  <c r="AT16" i="21" s="1"/>
  <c r="G26" i="21"/>
  <c r="AS26" i="21" s="1"/>
  <c r="AT26" i="21" s="1"/>
  <c r="G19" i="21"/>
  <c r="AS19" i="21" s="1"/>
  <c r="G29" i="21"/>
  <c r="AS29" i="21" s="1"/>
  <c r="AT29" i="21" s="1"/>
  <c r="G6" i="21"/>
  <c r="AS6" i="21" s="1"/>
  <c r="G22" i="21"/>
  <c r="AS22" i="21" s="1"/>
  <c r="AT22" i="21" s="1"/>
  <c r="G21" i="21"/>
  <c r="AS21" i="21" s="1"/>
  <c r="AT21" i="21" s="1"/>
  <c r="G17" i="21"/>
  <c r="AS17" i="21" s="1"/>
  <c r="G32" i="21"/>
  <c r="AS32" i="21" s="1"/>
  <c r="AT32" i="21" s="1"/>
  <c r="G31" i="21"/>
  <c r="AS31" i="21" s="1"/>
  <c r="AT31" i="21" s="1"/>
  <c r="G30" i="21"/>
  <c r="AS30" i="21" s="1"/>
  <c r="AT30" i="21" s="1"/>
  <c r="G15" i="21"/>
  <c r="AS15" i="21" s="1"/>
  <c r="AT15" i="21" s="1"/>
  <c r="F5" i="20"/>
  <c r="AU38" i="19" l="1"/>
  <c r="AU38" i="3" s="1"/>
  <c r="AT38" i="3"/>
  <c r="G44" i="10"/>
  <c r="AU38" i="21"/>
  <c r="AU38" i="20" s="1"/>
  <c r="K44" i="10"/>
  <c r="AT38" i="20"/>
  <c r="AU35" i="19"/>
  <c r="AU35" i="3" s="1"/>
  <c r="AT35" i="3"/>
  <c r="G41" i="10"/>
  <c r="AU41" i="19"/>
  <c r="AU41" i="3" s="1"/>
  <c r="AT41" i="3"/>
  <c r="G47" i="10"/>
  <c r="AU43" i="19"/>
  <c r="AU43" i="3" s="1"/>
  <c r="G49" i="10"/>
  <c r="AT43" i="3"/>
  <c r="AU48" i="19"/>
  <c r="AU48" i="3" s="1"/>
  <c r="AT48" i="3"/>
  <c r="G54" i="10"/>
  <c r="AU40" i="19"/>
  <c r="AU40" i="3" s="1"/>
  <c r="AT40" i="3"/>
  <c r="G46" i="10"/>
  <c r="AU44" i="19"/>
  <c r="AU44" i="3" s="1"/>
  <c r="AT44" i="3"/>
  <c r="G50" i="10"/>
  <c r="AU49" i="19"/>
  <c r="AU49" i="3" s="1"/>
  <c r="AT49" i="3"/>
  <c r="G55" i="10"/>
  <c r="O48" i="10"/>
  <c r="P48" i="10" s="1"/>
  <c r="O52" i="10"/>
  <c r="AU45" i="19"/>
  <c r="AU45" i="3" s="1"/>
  <c r="AT45" i="3"/>
  <c r="G51" i="10"/>
  <c r="AU36" i="19"/>
  <c r="AU36" i="3" s="1"/>
  <c r="G42" i="10"/>
  <c r="AT36" i="3"/>
  <c r="O56" i="10"/>
  <c r="AU37" i="19"/>
  <c r="AU37" i="3" s="1"/>
  <c r="AT37" i="3"/>
  <c r="G43" i="10"/>
  <c r="G15" i="10"/>
  <c r="AU9" i="19"/>
  <c r="AU9" i="3" s="1"/>
  <c r="AU26" i="21"/>
  <c r="AU26" i="20" s="1"/>
  <c r="K32" i="10"/>
  <c r="G14" i="10"/>
  <c r="AU8" i="19"/>
  <c r="AU8" i="3" s="1"/>
  <c r="AU16" i="21"/>
  <c r="K22" i="10"/>
  <c r="AU15" i="21"/>
  <c r="AU15" i="20" s="1"/>
  <c r="K21" i="10"/>
  <c r="AU24" i="21"/>
  <c r="AU24" i="20" s="1"/>
  <c r="K30" i="10"/>
  <c r="AU23" i="21"/>
  <c r="K29" i="10"/>
  <c r="AU13" i="21"/>
  <c r="AU13" i="20" s="1"/>
  <c r="K19" i="10"/>
  <c r="AU30" i="21"/>
  <c r="AU30" i="20" s="1"/>
  <c r="K36" i="10"/>
  <c r="AU21" i="21"/>
  <c r="AU21" i="20" s="1"/>
  <c r="K27" i="10"/>
  <c r="AU31" i="21"/>
  <c r="K37" i="10"/>
  <c r="AU10" i="21"/>
  <c r="AU10" i="20" s="1"/>
  <c r="K16" i="10"/>
  <c r="AU34" i="21"/>
  <c r="AU34" i="20" s="1"/>
  <c r="K40" i="10"/>
  <c r="AU22" i="21"/>
  <c r="AU22" i="20" s="1"/>
  <c r="K28" i="10"/>
  <c r="AU32" i="21"/>
  <c r="K38" i="10"/>
  <c r="AU29" i="21"/>
  <c r="K35" i="10"/>
  <c r="G22" i="10"/>
  <c r="AU23" i="3"/>
  <c r="G29" i="10"/>
  <c r="AU6" i="3"/>
  <c r="G12" i="10"/>
  <c r="AT23" i="3"/>
  <c r="AT9" i="3"/>
  <c r="AT8" i="3"/>
  <c r="AT27" i="21"/>
  <c r="AT6" i="21"/>
  <c r="AU6" i="21" s="1"/>
  <c r="AT20" i="21"/>
  <c r="K26" i="10" s="1"/>
  <c r="AT28" i="21"/>
  <c r="AT19" i="21"/>
  <c r="AS10" i="20"/>
  <c r="AT33" i="21"/>
  <c r="AT11" i="21"/>
  <c r="AT17" i="21"/>
  <c r="AT25" i="21"/>
  <c r="AT25" i="20" s="1"/>
  <c r="AU28" i="3"/>
  <c r="AU21" i="3"/>
  <c r="AU26" i="3"/>
  <c r="AU18" i="3"/>
  <c r="AT25" i="3"/>
  <c r="AT11" i="3"/>
  <c r="AU22" i="3"/>
  <c r="AU7" i="3"/>
  <c r="AU13" i="3"/>
  <c r="AT13" i="3"/>
  <c r="AT31" i="20"/>
  <c r="AS30" i="20"/>
  <c r="AS21" i="20"/>
  <c r="AS34" i="20"/>
  <c r="AS19" i="20"/>
  <c r="AS28" i="20"/>
  <c r="AS24" i="20"/>
  <c r="AS33" i="20"/>
  <c r="AS26" i="20"/>
  <c r="AS15" i="20"/>
  <c r="AS20" i="20"/>
  <c r="AS11" i="20"/>
  <c r="AS25" i="20"/>
  <c r="AS22" i="20"/>
  <c r="AS23" i="20"/>
  <c r="AS16" i="20"/>
  <c r="AS32" i="20"/>
  <c r="AS29" i="20"/>
  <c r="AS27" i="20"/>
  <c r="AS13" i="20"/>
  <c r="AS31" i="20"/>
  <c r="AS17" i="20"/>
  <c r="AS6" i="3"/>
  <c r="AT6" i="3"/>
  <c r="AU12" i="3"/>
  <c r="AU32" i="3"/>
  <c r="AT10" i="20"/>
  <c r="G6" i="20"/>
  <c r="H12" i="10"/>
  <c r="H35" i="10"/>
  <c r="G29" i="20"/>
  <c r="G16" i="20"/>
  <c r="H22" i="10"/>
  <c r="H16" i="10"/>
  <c r="G10" i="20"/>
  <c r="AT7" i="3"/>
  <c r="G20" i="20"/>
  <c r="H26" i="10"/>
  <c r="AT30" i="3"/>
  <c r="AU30" i="3"/>
  <c r="AT26" i="3"/>
  <c r="AU16" i="3"/>
  <c r="AT16" i="3"/>
  <c r="H34" i="10"/>
  <c r="G28" i="20"/>
  <c r="AU14" i="3"/>
  <c r="AT14" i="3"/>
  <c r="AU24" i="3"/>
  <c r="AT24" i="3"/>
  <c r="G33" i="20"/>
  <c r="H39" i="10"/>
  <c r="AT20" i="3"/>
  <c r="AU20" i="3"/>
  <c r="AT21" i="3"/>
  <c r="H21" i="10"/>
  <c r="G15" i="20"/>
  <c r="AT22" i="3"/>
  <c r="AU10" i="3"/>
  <c r="AT10" i="3"/>
  <c r="G22" i="20"/>
  <c r="H28" i="10"/>
  <c r="H32" i="10"/>
  <c r="G26" i="20"/>
  <c r="H17" i="10"/>
  <c r="G11" i="20"/>
  <c r="H36" i="10"/>
  <c r="G30" i="20"/>
  <c r="G24" i="20"/>
  <c r="H30" i="10"/>
  <c r="G31" i="20"/>
  <c r="H37" i="10"/>
  <c r="G23" i="20"/>
  <c r="H29" i="10"/>
  <c r="AU15" i="3"/>
  <c r="AT15" i="3"/>
  <c r="AT28" i="3"/>
  <c r="H19" i="10"/>
  <c r="G13" i="20"/>
  <c r="G17" i="20"/>
  <c r="H23" i="10"/>
  <c r="G25" i="20"/>
  <c r="H31" i="10"/>
  <c r="AU34" i="3"/>
  <c r="AT34" i="3"/>
  <c r="G19" i="20"/>
  <c r="H25" i="10"/>
  <c r="G34" i="20"/>
  <c r="H40" i="10"/>
  <c r="G32" i="20"/>
  <c r="H38" i="10"/>
  <c r="G21" i="20"/>
  <c r="H27" i="10"/>
  <c r="H33" i="10"/>
  <c r="G27" i="20"/>
  <c r="AT18" i="3"/>
  <c r="G12" i="21"/>
  <c r="AS12" i="21" s="1"/>
  <c r="G18" i="21"/>
  <c r="AS18" i="21" s="1"/>
  <c r="G9" i="21"/>
  <c r="AS9" i="21" s="1"/>
  <c r="AT9" i="21" s="1"/>
  <c r="G8" i="21"/>
  <c r="AS8" i="21" s="1"/>
  <c r="AT8" i="21" s="1"/>
  <c r="G14" i="21"/>
  <c r="AS14" i="21" s="1"/>
  <c r="AT14" i="21" s="1"/>
  <c r="G7" i="21"/>
  <c r="AS7" i="21" s="1"/>
  <c r="AT7" i="21" s="1"/>
  <c r="K13" i="10" s="1"/>
  <c r="O32" i="10" l="1"/>
  <c r="P32" i="10" s="1"/>
  <c r="O45" i="10"/>
  <c r="P45" i="10" s="1"/>
  <c r="O53" i="10"/>
  <c r="O35" i="10"/>
  <c r="P35" i="10" s="1"/>
  <c r="O47" i="10"/>
  <c r="P47" i="10" s="1"/>
  <c r="O41" i="10"/>
  <c r="P41" i="10" s="1"/>
  <c r="O40" i="10"/>
  <c r="P40" i="10" s="1"/>
  <c r="O27" i="10"/>
  <c r="P27" i="10" s="1"/>
  <c r="O21" i="10"/>
  <c r="P21" i="10" s="1"/>
  <c r="O26" i="10"/>
  <c r="P26" i="10" s="1"/>
  <c r="O36" i="10"/>
  <c r="P36" i="10" s="1"/>
  <c r="AU25" i="21"/>
  <c r="AU25" i="20" s="1"/>
  <c r="K31" i="10"/>
  <c r="AU17" i="21"/>
  <c r="AU17" i="20" s="1"/>
  <c r="K23" i="10"/>
  <c r="AU14" i="21"/>
  <c r="K20" i="10"/>
  <c r="AU33" i="21"/>
  <c r="AU33" i="20" s="1"/>
  <c r="K39" i="10"/>
  <c r="O29" i="10"/>
  <c r="P29" i="10" s="1"/>
  <c r="O37" i="10"/>
  <c r="P37" i="10" s="1"/>
  <c r="O38" i="10"/>
  <c r="P38" i="10" s="1"/>
  <c r="AU8" i="21"/>
  <c r="K14" i="10"/>
  <c r="AU9" i="21"/>
  <c r="K15" i="10"/>
  <c r="AU19" i="21"/>
  <c r="AU19" i="20" s="1"/>
  <c r="K25" i="10"/>
  <c r="AU11" i="21"/>
  <c r="AU11" i="20" s="1"/>
  <c r="K17" i="10"/>
  <c r="O19" i="10"/>
  <c r="P19" i="10" s="1"/>
  <c r="O28" i="10"/>
  <c r="P28" i="10" s="1"/>
  <c r="AU27" i="21"/>
  <c r="AU27" i="20" s="1"/>
  <c r="K33" i="10"/>
  <c r="AU28" i="21"/>
  <c r="AU28" i="20" s="1"/>
  <c r="K34" i="10"/>
  <c r="AU7" i="21"/>
  <c r="AT20" i="20"/>
  <c r="AU20" i="21"/>
  <c r="AU20" i="20" s="1"/>
  <c r="AT33" i="20"/>
  <c r="AT28" i="20"/>
  <c r="AU6" i="20"/>
  <c r="K12" i="10"/>
  <c r="N12" i="10" s="1"/>
  <c r="AS6" i="20"/>
  <c r="AT17" i="20"/>
  <c r="AT12" i="21"/>
  <c r="AT18" i="21"/>
  <c r="AU11" i="3"/>
  <c r="AU25" i="3"/>
  <c r="AU29" i="3"/>
  <c r="AT27" i="3"/>
  <c r="AU27" i="3"/>
  <c r="AT29" i="3"/>
  <c r="AT30" i="20"/>
  <c r="AU31" i="20"/>
  <c r="AT34" i="20"/>
  <c r="AT21" i="20"/>
  <c r="AT16" i="20"/>
  <c r="AU16" i="20"/>
  <c r="AT26" i="20"/>
  <c r="AT22" i="20"/>
  <c r="AT13" i="20"/>
  <c r="AT15" i="20"/>
  <c r="AT19" i="20"/>
  <c r="AT11" i="20"/>
  <c r="AT32" i="20"/>
  <c r="AU32" i="20"/>
  <c r="AS14" i="20"/>
  <c r="AS8" i="20"/>
  <c r="AS9" i="20"/>
  <c r="AT23" i="20"/>
  <c r="AU23" i="20"/>
  <c r="AT24" i="20"/>
  <c r="AT27" i="20"/>
  <c r="AS7" i="20"/>
  <c r="AS12" i="20"/>
  <c r="AT29" i="20"/>
  <c r="AU29" i="20"/>
  <c r="AS18" i="20"/>
  <c r="AT6" i="20"/>
  <c r="H20" i="10"/>
  <c r="G14" i="20"/>
  <c r="G8" i="20"/>
  <c r="H14" i="10"/>
  <c r="G9" i="20"/>
  <c r="H15" i="10"/>
  <c r="G18" i="20"/>
  <c r="H24" i="10"/>
  <c r="G7" i="20"/>
  <c r="H13" i="10"/>
  <c r="H18" i="10"/>
  <c r="G12" i="20"/>
  <c r="O44" i="10" l="1"/>
  <c r="P44" i="10" s="1"/>
  <c r="O55" i="10"/>
  <c r="O49" i="10"/>
  <c r="O54" i="10"/>
  <c r="O51" i="10"/>
  <c r="O43" i="10"/>
  <c r="P43" i="10" s="1"/>
  <c r="O46" i="10"/>
  <c r="P46" i="10" s="1"/>
  <c r="O30" i="10"/>
  <c r="P30" i="10" s="1"/>
  <c r="O42" i="10"/>
  <c r="P42" i="10" s="1"/>
  <c r="O13" i="10"/>
  <c r="P13" i="10" s="1"/>
  <c r="O16" i="10"/>
  <c r="P16" i="10" s="1"/>
  <c r="O50" i="10"/>
  <c r="O22" i="10"/>
  <c r="P22" i="10" s="1"/>
  <c r="O15" i="10"/>
  <c r="P15" i="10" s="1"/>
  <c r="O34" i="10"/>
  <c r="P34" i="10" s="1"/>
  <c r="O20" i="10"/>
  <c r="P20" i="10" s="1"/>
  <c r="O12" i="10"/>
  <c r="P12" i="10" s="1"/>
  <c r="AU18" i="21"/>
  <c r="AU18" i="20" s="1"/>
  <c r="K24" i="10"/>
  <c r="O14" i="10"/>
  <c r="P14" i="10" s="1"/>
  <c r="AU12" i="21"/>
  <c r="AU12" i="20" s="1"/>
  <c r="K18" i="10"/>
  <c r="H26" i="17"/>
  <c r="H27" i="17" s="1"/>
  <c r="AT18" i="20"/>
  <c r="AT12" i="20"/>
  <c r="AU8" i="20"/>
  <c r="AT8" i="20"/>
  <c r="AU9" i="20"/>
  <c r="AT9" i="20"/>
  <c r="AU7" i="20"/>
  <c r="AT7" i="20"/>
  <c r="AU14" i="20"/>
  <c r="AT14" i="20"/>
  <c r="O17" i="10" l="1"/>
  <c r="P17" i="10" s="1"/>
  <c r="O31" i="10"/>
  <c r="P31" i="10" s="1"/>
  <c r="O25" i="10"/>
  <c r="P25" i="10" s="1"/>
  <c r="O39" i="10"/>
  <c r="P39" i="10" s="1"/>
  <c r="O23" i="10"/>
  <c r="P23" i="10" s="1"/>
  <c r="O33" i="10"/>
  <c r="P33" i="10" s="1"/>
  <c r="O18" i="10"/>
  <c r="P18" i="10" s="1"/>
  <c r="O24" i="10" l="1"/>
  <c r="P24" i="10" s="1"/>
</calcChain>
</file>

<file path=xl/sharedStrings.xml><?xml version="1.0" encoding="utf-8"?>
<sst xmlns="http://schemas.openxmlformats.org/spreadsheetml/2006/main" count="644" uniqueCount="390">
  <si>
    <t>Course Information</t>
  </si>
  <si>
    <t>Class</t>
  </si>
  <si>
    <t>Program Type</t>
  </si>
  <si>
    <t>Non-board program</t>
  </si>
  <si>
    <t>Course Code</t>
  </si>
  <si>
    <t>Total Units</t>
  </si>
  <si>
    <t>Course Type</t>
  </si>
  <si>
    <t>Laboratory</t>
  </si>
  <si>
    <t>Course Description</t>
  </si>
  <si>
    <t>Modeling and Simulation</t>
  </si>
  <si>
    <t>Acad. Year</t>
  </si>
  <si>
    <t>Term</t>
  </si>
  <si>
    <t>Second Semester</t>
  </si>
  <si>
    <t>Session</t>
  </si>
  <si>
    <t>Faculty</t>
  </si>
  <si>
    <t>Faculty Rank</t>
  </si>
  <si>
    <t>Associate Professor V</t>
  </si>
  <si>
    <t>Chairperson</t>
  </si>
  <si>
    <t>Chairperson Position</t>
  </si>
  <si>
    <t>Campus Director</t>
  </si>
  <si>
    <t>COURSE</t>
  </si>
  <si>
    <t>TYPE</t>
  </si>
  <si>
    <t>CLASS</t>
  </si>
  <si>
    <t>SCHEDULE</t>
  </si>
  <si>
    <t>STUDENT MASTER LIST</t>
  </si>
  <si>
    <t>No.</t>
  </si>
  <si>
    <t>Student Number</t>
  </si>
  <si>
    <t>Student Full Name (Portal List)</t>
  </si>
  <si>
    <t>Sex</t>
  </si>
  <si>
    <t>Last Name</t>
  </si>
  <si>
    <t>First Name</t>
  </si>
  <si>
    <t>Date</t>
  </si>
  <si>
    <t>Details</t>
  </si>
  <si>
    <t>Attendance</t>
  </si>
  <si>
    <t>Items</t>
  </si>
  <si>
    <t>Weight</t>
  </si>
  <si>
    <t>MAJOR EXAM</t>
  </si>
  <si>
    <t>Adjustments</t>
  </si>
  <si>
    <t>+</t>
  </si>
  <si>
    <t>MIDTERM GRADE</t>
  </si>
  <si>
    <t>EQUIVALENT</t>
  </si>
  <si>
    <t>Raw Score</t>
  </si>
  <si>
    <t>Board program</t>
  </si>
  <si>
    <t>Equivalent</t>
  </si>
  <si>
    <t>Actual Grade</t>
  </si>
  <si>
    <t>FA</t>
  </si>
  <si>
    <t>INC</t>
  </si>
  <si>
    <t>DRP</t>
  </si>
  <si>
    <t>Description</t>
  </si>
  <si>
    <t>Excellent</t>
  </si>
  <si>
    <t>Very Good</t>
  </si>
  <si>
    <t>Good</t>
  </si>
  <si>
    <t>Fair</t>
  </si>
  <si>
    <t>Failed</t>
  </si>
  <si>
    <t>Failure due to absences</t>
  </si>
  <si>
    <t>Incomplete</t>
  </si>
  <si>
    <t>Dropped</t>
  </si>
  <si>
    <t>DESCRIPTIVE</t>
  </si>
  <si>
    <t>MIDTERM</t>
  </si>
  <si>
    <t>FINALS</t>
  </si>
  <si>
    <t>Student Name</t>
  </si>
  <si>
    <t>Prepared by:</t>
  </si>
  <si>
    <t>Noted by:</t>
  </si>
  <si>
    <t>Approved by:</t>
  </si>
  <si>
    <t>Passed</t>
  </si>
  <si>
    <t>Failed due to Absences</t>
  </si>
  <si>
    <t>Remarks</t>
  </si>
  <si>
    <t>Type</t>
  </si>
  <si>
    <t>Semester</t>
  </si>
  <si>
    <t>First Semester</t>
  </si>
  <si>
    <t>Third Semester</t>
  </si>
  <si>
    <t>Summer</t>
  </si>
  <si>
    <t>Rank</t>
  </si>
  <si>
    <t>Instructor I</t>
  </si>
  <si>
    <t>Instructor II</t>
  </si>
  <si>
    <t>Instructor III</t>
  </si>
  <si>
    <t>Assistant Professor I</t>
  </si>
  <si>
    <t>Assistant Professor II</t>
  </si>
  <si>
    <t>Assistant Professor III</t>
  </si>
  <si>
    <t>Assistant Professor IV</t>
  </si>
  <si>
    <t>Associate Professor I</t>
  </si>
  <si>
    <t>Associate Professor II</t>
  </si>
  <si>
    <t>Associate Professor III</t>
  </si>
  <si>
    <t>Associate Professor IV</t>
  </si>
  <si>
    <t>Professor I</t>
  </si>
  <si>
    <t>Professor II</t>
  </si>
  <si>
    <t>Professor III</t>
  </si>
  <si>
    <t>Professor IV</t>
  </si>
  <si>
    <t>Professor V</t>
  </si>
  <si>
    <t>Professor VI</t>
  </si>
  <si>
    <t>University Professor</t>
  </si>
  <si>
    <t>Immediate</t>
  </si>
  <si>
    <t>Dean</t>
  </si>
  <si>
    <t>Lecture</t>
  </si>
  <si>
    <t>Shop</t>
  </si>
  <si>
    <t>Physical Education</t>
  </si>
  <si>
    <t>Add'l Remarks</t>
  </si>
  <si>
    <t>Midterm</t>
  </si>
  <si>
    <t>Finals</t>
  </si>
  <si>
    <t>Percentages</t>
  </si>
  <si>
    <t>Campus</t>
  </si>
  <si>
    <t>DHVSU Mexico</t>
  </si>
  <si>
    <t>DHVSU Porac</t>
  </si>
  <si>
    <t>DHVSU Sto. Tomas</t>
  </si>
  <si>
    <t>DHVSU Lubao</t>
  </si>
  <si>
    <t>DHVSU Candaba</t>
  </si>
  <si>
    <t>DHVSU Apalit</t>
  </si>
  <si>
    <t>DHVSU San Fernando</t>
  </si>
  <si>
    <t>TRANSMUTATION OF SCORES</t>
  </si>
  <si>
    <t>Non-board</t>
  </si>
  <si>
    <t>Board</t>
  </si>
  <si>
    <t>QUIZZES</t>
  </si>
  <si>
    <t>RECITATION</t>
  </si>
  <si>
    <t>CHARACTER</t>
  </si>
  <si>
    <t>ACTIVITIES</t>
  </si>
  <si>
    <t>Research/ Thesis/ Capstone/ Feasibility</t>
  </si>
  <si>
    <t>On-the-Job Training/ Practicum</t>
  </si>
  <si>
    <t>Field Study</t>
  </si>
  <si>
    <t>Teaching Internship</t>
  </si>
  <si>
    <t>ADVISER</t>
  </si>
  <si>
    <t>PANEL OF EXPERTS</t>
  </si>
  <si>
    <t>SUBJECT TEACHER</t>
  </si>
  <si>
    <t>HOST TRAINING ESTABLISHMENT</t>
  </si>
  <si>
    <t>DHVSU SUPERVISOR</t>
  </si>
  <si>
    <t>ATTENDANCE</t>
  </si>
  <si>
    <t>TEACHING DEMONSTRATION</t>
  </si>
  <si>
    <t>PORTFOLIO</t>
  </si>
  <si>
    <t>COOPERATING TEACHER RATING</t>
  </si>
  <si>
    <t>FINAL DEMONSTRATION</t>
  </si>
  <si>
    <t>ACTION RESEARCH</t>
  </si>
  <si>
    <t>MT</t>
  </si>
  <si>
    <t>FT</t>
  </si>
  <si>
    <t>Passing rate</t>
  </si>
  <si>
    <t>Failure rate</t>
  </si>
  <si>
    <t>Dropped rate</t>
  </si>
  <si>
    <t>Incomplete rate</t>
  </si>
  <si>
    <t>Frequency of Activities</t>
  </si>
  <si>
    <t>Summary Statistics</t>
  </si>
  <si>
    <t>Overall Report:</t>
  </si>
  <si>
    <t>Rates</t>
  </si>
  <si>
    <t>Frequency</t>
  </si>
  <si>
    <t>CAMPUS</t>
  </si>
  <si>
    <t>OFFICIALLY DROPPED?</t>
  </si>
  <si>
    <t>Dropped?</t>
  </si>
  <si>
    <t>Yes</t>
  </si>
  <si>
    <t>GAD</t>
  </si>
  <si>
    <t>Working student</t>
  </si>
  <si>
    <t>Single parent</t>
  </si>
  <si>
    <t>Pregnant</t>
  </si>
  <si>
    <t>Gender and Development Statistics</t>
  </si>
  <si>
    <t>Male</t>
  </si>
  <si>
    <t>Female</t>
  </si>
  <si>
    <t>PRESENT</t>
  </si>
  <si>
    <t>EXCUSE</t>
  </si>
  <si>
    <t>LATE</t>
  </si>
  <si>
    <t>ABSENT</t>
  </si>
  <si>
    <t>DATE OF CLASSES/ ACTIVITIES</t>
  </si>
  <si>
    <t>FT Meetings</t>
  </si>
  <si>
    <t>MT Meetings</t>
  </si>
  <si>
    <t>Indigenous People</t>
  </si>
  <si>
    <t>Indigenous people</t>
  </si>
  <si>
    <t>No. of Classess Conducted</t>
  </si>
  <si>
    <t>3/1</t>
  </si>
  <si>
    <t>Perfect attendance</t>
  </si>
  <si>
    <t>Highest no. of absent</t>
  </si>
  <si>
    <t>STUDENT NUMBER</t>
  </si>
  <si>
    <t>STUDENT NAME</t>
  </si>
  <si>
    <t>SN</t>
  </si>
  <si>
    <t>Final Rating</t>
  </si>
  <si>
    <t>Midterm Grade</t>
  </si>
  <si>
    <t>SHOW</t>
  </si>
  <si>
    <t>INDIVIDUAL GRADE VIEWER</t>
  </si>
  <si>
    <t>Area Chairperson</t>
  </si>
  <si>
    <t>Time</t>
  </si>
  <si>
    <t>Status</t>
  </si>
  <si>
    <t>Criteria</t>
  </si>
  <si>
    <t>Percentage</t>
  </si>
  <si>
    <t>Major Exam</t>
  </si>
  <si>
    <t>Class Standing</t>
  </si>
  <si>
    <t>TOTAL</t>
  </si>
  <si>
    <t>Class Standing Percentages</t>
  </si>
  <si>
    <t>College</t>
  </si>
  <si>
    <t>Department</t>
  </si>
  <si>
    <t>Program</t>
  </si>
  <si>
    <t>Director/ Dean Position</t>
  </si>
  <si>
    <t>Director/ Dean</t>
  </si>
  <si>
    <t>Faculty and Immediate Superior</t>
  </si>
  <si>
    <t>FINAL TERM GRADE</t>
  </si>
  <si>
    <t>Colleges</t>
  </si>
  <si>
    <t>College of Business Studies</t>
  </si>
  <si>
    <t>College of Arts and Sciences</t>
  </si>
  <si>
    <t>College of Computing Studies</t>
  </si>
  <si>
    <t>College of Engineering and Architecture</t>
  </si>
  <si>
    <t>College of Hospitality and Tourism Management</t>
  </si>
  <si>
    <t>College of Industrial Technology</t>
  </si>
  <si>
    <t>College of Education</t>
  </si>
  <si>
    <t>College of Social Sciences and Philosophy</t>
  </si>
  <si>
    <t>DHVSU Bacolor</t>
  </si>
  <si>
    <t>Bachelor of Science in Biology</t>
  </si>
  <si>
    <t>Bachelor of Science in Environmental Science</t>
  </si>
  <si>
    <t>Bachelor of Science in Mathematics</t>
  </si>
  <si>
    <t>Bachelor of Science in Statistics</t>
  </si>
  <si>
    <t>Bachelor of Science in Business Administration</t>
  </si>
  <si>
    <t>Major</t>
  </si>
  <si>
    <t>Major/ Specialization</t>
  </si>
  <si>
    <t>Bachelor of Science in Entrepreneurship</t>
  </si>
  <si>
    <t>Bachelor of Science in Accountancy</t>
  </si>
  <si>
    <t>Bachelor of Science in Accounting Information Systems</t>
  </si>
  <si>
    <t>Bachelor in Public Administration</t>
  </si>
  <si>
    <t>Bachelor of Science in Legal Management</t>
  </si>
  <si>
    <t>Bachelor of Science in Real Estate Management</t>
  </si>
  <si>
    <t>Bachelor of Science in Logistics and Supply Chain Management</t>
  </si>
  <si>
    <t>Bachelor of Science in Information Technology</t>
  </si>
  <si>
    <t>Bachelor of Science in Computer Science</t>
  </si>
  <si>
    <t>Bachelor of Science in Information Systems</t>
  </si>
  <si>
    <t>Associate in Computer Technology</t>
  </si>
  <si>
    <t>Bachelor of Science in Architecture</t>
  </si>
  <si>
    <t>Bachelor of Science in Civil Engineering</t>
  </si>
  <si>
    <t>Bachelor of Science in Computer Engineering</t>
  </si>
  <si>
    <t>Bachelor of Science in Electrical Engineering</t>
  </si>
  <si>
    <t>Bachelor of Science in Industrial Engineering</t>
  </si>
  <si>
    <t>Bachelor of Science in Mechanical Engineering</t>
  </si>
  <si>
    <t>Bachelor of Science in Electronics Engineering</t>
  </si>
  <si>
    <t>Bachelor of Science in Hospitality Management</t>
  </si>
  <si>
    <t>Bachelor of Science in Tourism Management</t>
  </si>
  <si>
    <t>Bachelor of Science in Industrial Technology</t>
  </si>
  <si>
    <t>Bachelor of Elementary Education</t>
  </si>
  <si>
    <t>Bachelor of Secondary Education</t>
  </si>
  <si>
    <t>Bachelor in Physical Education</t>
  </si>
  <si>
    <t>Bachelor of Technical-Vocational Teacher Education</t>
  </si>
  <si>
    <t>Bachelor in Technical and Livelihood Education</t>
  </si>
  <si>
    <t>Bachelor of Science in Exercise and Sports Sciences</t>
  </si>
  <si>
    <t>Bachelor of Culture and Arts Education</t>
  </si>
  <si>
    <t>Bachelor of Science in Nursing</t>
  </si>
  <si>
    <t>Bachelor of Science in Psychology</t>
  </si>
  <si>
    <t>Bachelor of Science in Human Services</t>
  </si>
  <si>
    <t>Bachelor of Science in Sociology</t>
  </si>
  <si>
    <t>Bachelor of Science in Social Work</t>
  </si>
  <si>
    <t>cas</t>
  </si>
  <si>
    <t>cbs</t>
  </si>
  <si>
    <t>ccs</t>
  </si>
  <si>
    <t>cea</t>
  </si>
  <si>
    <t>chtm</t>
  </si>
  <si>
    <t>cit</t>
  </si>
  <si>
    <t>cssp</t>
  </si>
  <si>
    <t>coe</t>
  </si>
  <si>
    <t>Major in Food and Service Management</t>
  </si>
  <si>
    <t>bsed</t>
  </si>
  <si>
    <t>Major in General Education</t>
  </si>
  <si>
    <t>beed</t>
  </si>
  <si>
    <t>btle</t>
  </si>
  <si>
    <t>btvte</t>
  </si>
  <si>
    <t>Automotive Technology</t>
  </si>
  <si>
    <t>Consumer Electronics Technology</t>
  </si>
  <si>
    <t>Electrical Technology</t>
  </si>
  <si>
    <t>Graphics Technology</t>
  </si>
  <si>
    <t>Mechanical Technology</t>
  </si>
  <si>
    <t>Beauty Care and Wellness</t>
  </si>
  <si>
    <t>Food &amp; Service Management</t>
  </si>
  <si>
    <t>Garments and Fashion Design</t>
  </si>
  <si>
    <t>Welding Technology</t>
  </si>
  <si>
    <t>bsit</t>
  </si>
  <si>
    <t>bsba</t>
  </si>
  <si>
    <t>Marketing Management</t>
  </si>
  <si>
    <t>Business Economics</t>
  </si>
  <si>
    <t>Mathematics</t>
  </si>
  <si>
    <t>Filipino</t>
  </si>
  <si>
    <t>General Science</t>
  </si>
  <si>
    <t>Social Studies</t>
  </si>
  <si>
    <t>English</t>
  </si>
  <si>
    <t>Home Economics</t>
  </si>
  <si>
    <t>Industrial Arts</t>
  </si>
  <si>
    <t>Updates</t>
  </si>
  <si>
    <t>Version</t>
  </si>
  <si>
    <t>WF</t>
  </si>
  <si>
    <t>2024-2025</t>
  </si>
  <si>
    <t>No</t>
  </si>
  <si>
    <t>null</t>
  </si>
  <si>
    <t>INCOMPLETE?</t>
  </si>
  <si>
    <t>CS</t>
  </si>
  <si>
    <t>ATT</t>
  </si>
  <si>
    <t>MAJ</t>
  </si>
  <si>
    <t>MJ</t>
  </si>
  <si>
    <t>Withdrew without Permission</t>
  </si>
  <si>
    <t>First generation student</t>
  </si>
  <si>
    <t>Failure due to Absences</t>
  </si>
  <si>
    <t>Withdrew with Permission</t>
  </si>
  <si>
    <t>Final Term Grade</t>
  </si>
  <si>
    <t>12:47PM</t>
  </si>
  <si>
    <t>OVER is added to indicate that the score is above the total score.</t>
  </si>
  <si>
    <t>Fixed</t>
  </si>
  <si>
    <t>BETA</t>
  </si>
  <si>
    <t>NEG is added to indicate that the score is negative value.</t>
  </si>
  <si>
    <t>NAN is added to indicate that the score is not a number.</t>
  </si>
  <si>
    <t>Nursing</t>
  </si>
  <si>
    <t>Year Level</t>
  </si>
  <si>
    <t>First Year</t>
  </si>
  <si>
    <t>Second Year</t>
  </si>
  <si>
    <t>Third Year</t>
  </si>
  <si>
    <t>Fourth Year</t>
  </si>
  <si>
    <t>Fifth Year</t>
  </si>
  <si>
    <t>Superior</t>
  </si>
  <si>
    <t>FINAL GRADE TRANSMUTATION (OLD)</t>
  </si>
  <si>
    <t>FINAL GRADE TRANSMUTATION (NEW)</t>
  </si>
  <si>
    <t>Board program (Medicine)</t>
  </si>
  <si>
    <t>1:09PM</t>
  </si>
  <si>
    <t>Transmutation, Grade Equivalent for second year to fifth year is incorporated</t>
  </si>
  <si>
    <t>Developed by JP Miranda
Version 0.2 (BETA)</t>
  </si>
  <si>
    <t>Recitation</t>
  </si>
  <si>
    <t>Type 1</t>
  </si>
  <si>
    <t>Type 2</t>
  </si>
  <si>
    <t>Type 3</t>
  </si>
  <si>
    <t>Type of Assessments</t>
  </si>
  <si>
    <t>Assignments</t>
  </si>
  <si>
    <t>Seatwork</t>
  </si>
  <si>
    <t>Plates</t>
  </si>
  <si>
    <t>Reflection Papers</t>
  </si>
  <si>
    <t>Term Papers</t>
  </si>
  <si>
    <t>Case Studies</t>
  </si>
  <si>
    <t>Feasibility Studies</t>
  </si>
  <si>
    <t>Research Papers</t>
  </si>
  <si>
    <t>Exhibits</t>
  </si>
  <si>
    <t>Laboratory Reports</t>
  </si>
  <si>
    <t>Machine Activity</t>
  </si>
  <si>
    <t>Studio Work (e.g., architectural design)</t>
  </si>
  <si>
    <t>Individual Laboratory Assessments</t>
  </si>
  <si>
    <t>Project Proposals (e.g., Business Plan Proposals)</t>
  </si>
  <si>
    <t>Board Work</t>
  </si>
  <si>
    <t>Class Participation</t>
  </si>
  <si>
    <t>Quizzes</t>
  </si>
  <si>
    <t>Summative Exams</t>
  </si>
  <si>
    <t>Comprehensive Exams</t>
  </si>
  <si>
    <t>Oral Exams</t>
  </si>
  <si>
    <t>Practical Exams</t>
  </si>
  <si>
    <t>Projects</t>
  </si>
  <si>
    <t>Research</t>
  </si>
  <si>
    <t>Capstone Projects</t>
  </si>
  <si>
    <t>Product Prototypes</t>
  </si>
  <si>
    <t>Product Design</t>
  </si>
  <si>
    <t>Business Plan Implementation</t>
  </si>
  <si>
    <t>Software/Program Output Presentation</t>
  </si>
  <si>
    <t>Teaching Demonstrations</t>
  </si>
  <si>
    <t>Simulations</t>
  </si>
  <si>
    <t>Practicum</t>
  </si>
  <si>
    <t>On-the-Job Training (OJT)</t>
  </si>
  <si>
    <t>Integrated Learning Experiences</t>
  </si>
  <si>
    <t>Community-Based Projects</t>
  </si>
  <si>
    <t>Return Demonstrations</t>
  </si>
  <si>
    <t>Portfolios</t>
  </si>
  <si>
    <t>Culminating Activities</t>
  </si>
  <si>
    <t>Project and Portfolio Submission</t>
  </si>
  <si>
    <t>Program Output Presentations</t>
  </si>
  <si>
    <t>Laboratory Outputs</t>
  </si>
  <si>
    <t>Activities</t>
  </si>
  <si>
    <t>Hands-On Activities</t>
  </si>
  <si>
    <t>Shop Activities</t>
  </si>
  <si>
    <t>Laboratory Experiments</t>
  </si>
  <si>
    <t>Reports</t>
  </si>
  <si>
    <t>Other</t>
  </si>
  <si>
    <t>5:57PM</t>
  </si>
  <si>
    <t>Fixed computing attendance for Midterm</t>
  </si>
  <si>
    <t>Fixed showing #N/A error in Descriptive column when grade is lower than 65.</t>
  </si>
  <si>
    <t>Program Coordinator</t>
  </si>
  <si>
    <t>Coordinator Position</t>
  </si>
  <si>
    <t>NEW Grading System</t>
  </si>
  <si>
    <t>11:39PM</t>
  </si>
  <si>
    <t>Fixed Correct Percentage of Grade Column in Summary Sheet</t>
  </si>
  <si>
    <t>High Pass</t>
  </si>
  <si>
    <t>Low Pass</t>
  </si>
  <si>
    <t>Pass</t>
  </si>
  <si>
    <t>MIDTERM ATTENDANCE
P - Present
L - Late
E - Excuse
A or Blank - Absent</t>
  </si>
  <si>
    <t>FINAL TERM ATTENDANCE
P - Present
L - Late
E - Excuse
A or Blank - Absent</t>
  </si>
  <si>
    <t>Performance Tasks (e.g., Speech Choir, Role Playing)</t>
  </si>
  <si>
    <t>Female first generation student</t>
  </si>
  <si>
    <t>Handicapped</t>
  </si>
  <si>
    <t>Type 4</t>
  </si>
  <si>
    <t>Type 5</t>
  </si>
  <si>
    <t>Type 6</t>
  </si>
  <si>
    <t>Female handicapped</t>
  </si>
  <si>
    <t>Absent late</t>
  </si>
  <si>
    <t>attendance</t>
  </si>
  <si>
    <t>allowable</t>
  </si>
  <si>
    <t>Course Title</t>
  </si>
  <si>
    <t>Tuesday 3:30 - 5:00 pm, Friday 2:00 - 3:30 pm</t>
  </si>
  <si>
    <t>xx,xx</t>
  </si>
  <si>
    <t>11</t>
  </si>
  <si>
    <t>DTC+</t>
  </si>
  <si>
    <t>DHVSU OFFICIAL CLASS RECORD v.1.5 (FOR FIRST AND SECOND YEAR ONLY)</t>
  </si>
  <si>
    <r>
      <t xml:space="preserve">VERSION v.1.5 (FOR FIRST YEAR ONLY)
Developed on August 28, 2024 </t>
    </r>
    <r>
      <rPr>
        <b/>
        <sz val="11"/>
        <color rgb="FFFF0000"/>
        <rFont val="Calibri"/>
        <family val="2"/>
        <scheme val="minor"/>
      </rPr>
      <t>rev. September 11, 2025</t>
    </r>
    <r>
      <rPr>
        <b/>
        <sz val="11"/>
        <color theme="1"/>
        <rFont val="Calibri"/>
        <family val="2"/>
        <scheme val="minor"/>
      </rPr>
      <t xml:space="preserve">
DO NOT DELETE!</t>
    </r>
  </si>
  <si>
    <t>PAMPANGA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</si>
</sst>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0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8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9E4"/>
        <bgColor indexed="64"/>
      </patternFill>
    </fill>
    <fill>
      <patternFill patternType="solid">
        <fgColor rgb="FFA2EAE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1" fillId="6" borderId="5" xfId="0" applyFont="1" applyFill="1" applyBorder="1"/>
    <xf numFmtId="0" fontId="1" fillId="6" borderId="8" xfId="0" applyFont="1" applyFill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7" borderId="1" xfId="0" applyFont="1" applyFill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1" xfId="0" applyBorder="1" applyAlignment="1" applyProtection="1">
      <alignment horizontal="center" vertical="center" textRotation="90"/>
      <protection locked="0"/>
    </xf>
    <xf numFmtId="14" fontId="0" fillId="0" borderId="1" xfId="0" applyNumberFormat="1" applyBorder="1" applyAlignment="1" applyProtection="1">
      <alignment horizontal="center" vertical="center" textRotation="90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9" fontId="0" fillId="0" borderId="0" xfId="0" applyNumberFormat="1"/>
    <xf numFmtId="9" fontId="0" fillId="0" borderId="1" xfId="0" applyNumberFormat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" fillId="12" borderId="1" xfId="0" applyFont="1" applyFill="1" applyBorder="1"/>
    <xf numFmtId="0" fontId="1" fillId="0" borderId="0" xfId="0" applyFont="1"/>
    <xf numFmtId="9" fontId="0" fillId="0" borderId="0" xfId="1" applyFont="1"/>
    <xf numFmtId="2" fontId="1" fillId="4" borderId="1" xfId="0" applyNumberFormat="1" applyFont="1" applyFill="1" applyBorder="1"/>
    <xf numFmtId="0" fontId="1" fillId="0" borderId="1" xfId="0" applyFont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/>
    </xf>
    <xf numFmtId="9" fontId="5" fillId="0" borderId="13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textRotation="90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2" fontId="1" fillId="7" borderId="1" xfId="0" applyNumberFormat="1" applyFont="1" applyFill="1" applyBorder="1" applyAlignment="1">
      <alignment horizontal="right"/>
    </xf>
    <xf numFmtId="2" fontId="1" fillId="19" borderId="1" xfId="0" applyNumberFormat="1" applyFont="1" applyFill="1" applyBorder="1" applyAlignment="1">
      <alignment horizontal="right"/>
    </xf>
    <xf numFmtId="2" fontId="1" fillId="5" borderId="1" xfId="0" applyNumberFormat="1" applyFont="1" applyFill="1" applyBorder="1" applyAlignment="1">
      <alignment horizontal="right"/>
    </xf>
    <xf numFmtId="2" fontId="1" fillId="20" borderId="1" xfId="0" applyNumberFormat="1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/>
    <xf numFmtId="0" fontId="1" fillId="22" borderId="2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 vertical="center" textRotation="90"/>
    </xf>
    <xf numFmtId="0" fontId="1" fillId="6" borderId="1" xfId="0" applyFont="1" applyFill="1" applyBorder="1" applyAlignment="1" applyProtection="1">
      <alignment horizontal="center" vertical="center"/>
    </xf>
    <xf numFmtId="49" fontId="1" fillId="6" borderId="1" xfId="0" applyNumberFormat="1" applyFont="1" applyFill="1" applyBorder="1" applyAlignment="1" applyProtection="1">
      <alignment horizontal="center" vertical="center"/>
    </xf>
    <xf numFmtId="2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textRotation="90"/>
      <protection locked="0"/>
    </xf>
    <xf numFmtId="49" fontId="0" fillId="0" borderId="2" xfId="0" applyNumberFormat="1" applyBorder="1" applyAlignment="1" applyProtection="1">
      <alignment horizontal="center" textRotation="90"/>
      <protection locked="0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6" borderId="13" xfId="0" applyFont="1" applyFill="1" applyBorder="1" applyAlignment="1">
      <alignment horizontal="left" vertical="center"/>
    </xf>
    <xf numFmtId="49" fontId="0" fillId="0" borderId="1" xfId="0" applyNumberFormat="1" applyBorder="1" applyProtection="1">
      <protection locked="0"/>
    </xf>
    <xf numFmtId="0" fontId="1" fillId="23" borderId="5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9" fontId="0" fillId="0" borderId="1" xfId="0" applyNumberFormat="1" applyBorder="1" applyAlignment="1" applyProtection="1">
      <alignment horizontal="center"/>
    </xf>
    <xf numFmtId="9" fontId="0" fillId="0" borderId="1" xfId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9" fontId="0" fillId="26" borderId="1" xfId="1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" fillId="0" borderId="0" xfId="0" applyFont="1" applyFill="1" applyBorder="1"/>
    <xf numFmtId="0" fontId="1" fillId="0" borderId="1" xfId="0" applyFont="1" applyFill="1" applyBorder="1" applyAlignment="1">
      <alignment horizontal="center" vertical="center" textRotation="90" wrapText="1"/>
    </xf>
    <xf numFmtId="2" fontId="1" fillId="28" borderId="1" xfId="0" applyNumberFormat="1" applyFont="1" applyFill="1" applyBorder="1" applyAlignment="1">
      <alignment horizontal="right"/>
    </xf>
    <xf numFmtId="2" fontId="1" fillId="29" borderId="1" xfId="0" applyNumberFormat="1" applyFont="1" applyFill="1" applyBorder="1" applyAlignment="1">
      <alignment horizontal="right"/>
    </xf>
    <xf numFmtId="0" fontId="1" fillId="28" borderId="1" xfId="0" applyFont="1" applyFill="1" applyBorder="1"/>
    <xf numFmtId="0" fontId="1" fillId="27" borderId="1" xfId="0" applyFont="1" applyFill="1" applyBorder="1"/>
    <xf numFmtId="2" fontId="1" fillId="27" borderId="1" xfId="0" applyNumberFormat="1" applyFont="1" applyFill="1" applyBorder="1" applyAlignment="1">
      <alignment horizontal="right"/>
    </xf>
    <xf numFmtId="0" fontId="1" fillId="29" borderId="1" xfId="0" applyFont="1" applyFill="1" applyBorder="1"/>
    <xf numFmtId="0" fontId="1" fillId="0" borderId="1" xfId="0" applyFont="1" applyBorder="1" applyAlignment="1" applyProtection="1">
      <alignment vertical="center" textRotation="90" wrapText="1"/>
      <protection locked="0"/>
    </xf>
    <xf numFmtId="0" fontId="1" fillId="30" borderId="1" xfId="0" applyFont="1" applyFill="1" applyBorder="1" applyAlignment="1">
      <alignment horizontal="center"/>
    </xf>
    <xf numFmtId="0" fontId="1" fillId="30" borderId="1" xfId="0" applyFont="1" applyFill="1" applyBorder="1" applyAlignment="1" applyProtection="1">
      <alignment horizontal="center" vertical="center"/>
      <protection locked="0"/>
    </xf>
    <xf numFmtId="1" fontId="1" fillId="6" borderId="1" xfId="0" applyNumberFormat="1" applyFont="1" applyFill="1" applyBorder="1" applyAlignment="1" applyProtection="1">
      <alignment horizontal="center"/>
      <protection locked="0"/>
    </xf>
    <xf numFmtId="1" fontId="1" fillId="18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Fill="1" applyBorder="1"/>
    <xf numFmtId="2" fontId="0" fillId="0" borderId="0" xfId="0" applyNumberFormat="1"/>
    <xf numFmtId="9" fontId="0" fillId="0" borderId="1" xfId="1" applyFont="1" applyBorder="1" applyAlignment="1" applyProtection="1">
      <alignment horizontal="center"/>
      <protection locked="0"/>
    </xf>
    <xf numFmtId="1" fontId="0" fillId="0" borderId="1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Fill="1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0" fillId="0" borderId="0" xfId="0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/>
    </xf>
    <xf numFmtId="0" fontId="8" fillId="0" borderId="13" xfId="0" applyFont="1" applyBorder="1" applyAlignment="1" applyProtection="1">
      <alignment horizontal="center"/>
      <protection locked="0"/>
    </xf>
    <xf numFmtId="1" fontId="0" fillId="0" borderId="1" xfId="0" applyNumberFormat="1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18" borderId="1" xfId="1" applyNumberFormat="1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 vertical="center" textRotation="90" wrapText="1"/>
      <protection locked="0"/>
    </xf>
    <xf numFmtId="0" fontId="1" fillId="0" borderId="1" xfId="0" applyFont="1" applyFill="1" applyBorder="1" applyAlignment="1" applyProtection="1">
      <alignment horizontal="center" vertical="center" textRotation="90" wrapText="1"/>
      <protection locked="0"/>
    </xf>
    <xf numFmtId="1" fontId="1" fillId="18" borderId="1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0" fontId="0" fillId="21" borderId="1" xfId="0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0" fontId="1" fillId="30" borderId="1" xfId="0" applyFont="1" applyFill="1" applyBorder="1" applyAlignment="1" applyProtection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49" fontId="0" fillId="31" borderId="1" xfId="0" applyNumberFormat="1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2" borderId="1" xfId="0" applyFill="1" applyBorder="1" applyAlignment="1" applyProtection="1">
      <alignment horizontal="left"/>
      <protection locked="0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9" fontId="1" fillId="20" borderId="9" xfId="0" applyNumberFormat="1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9" fontId="1" fillId="4" borderId="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 textRotation="90"/>
    </xf>
    <xf numFmtId="0" fontId="1" fillId="20" borderId="1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textRotation="90" wrapText="1"/>
    </xf>
    <xf numFmtId="9" fontId="1" fillId="7" borderId="9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9" fontId="1" fillId="28" borderId="9" xfId="0" applyNumberFormat="1" applyFont="1" applyFill="1" applyBorder="1" applyAlignment="1">
      <alignment horizontal="center" vertical="center"/>
    </xf>
    <xf numFmtId="0" fontId="1" fillId="28" borderId="5" xfId="0" applyFont="1" applyFill="1" applyBorder="1" applyAlignment="1">
      <alignment horizontal="center" vertical="center"/>
    </xf>
    <xf numFmtId="9" fontId="1" fillId="27" borderId="9" xfId="0" applyNumberFormat="1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/>
    </xf>
    <xf numFmtId="9" fontId="1" fillId="29" borderId="9" xfId="0" applyNumberFormat="1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textRotation="90"/>
    </xf>
    <xf numFmtId="0" fontId="1" fillId="7" borderId="3" xfId="0" applyFont="1" applyFill="1" applyBorder="1" applyAlignment="1">
      <alignment horizontal="center" vertical="center" textRotation="90"/>
    </xf>
    <xf numFmtId="0" fontId="1" fillId="30" borderId="1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20" borderId="11" xfId="0" applyFont="1" applyFill="1" applyBorder="1" applyAlignment="1">
      <alignment horizontal="center" vertical="center" wrapText="1"/>
    </xf>
    <xf numFmtId="9" fontId="1" fillId="19" borderId="9" xfId="0" applyNumberFormat="1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9" fontId="1" fillId="5" borderId="9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8" borderId="9" xfId="0" applyFont="1" applyFill="1" applyBorder="1" applyAlignment="1">
      <alignment horizontal="center" vertical="center" textRotation="90" wrapText="1"/>
    </xf>
    <xf numFmtId="0" fontId="1" fillId="28" borderId="5" xfId="0" applyFont="1" applyFill="1" applyBorder="1" applyAlignment="1">
      <alignment horizontal="center" vertical="center" textRotation="90" wrapText="1"/>
    </xf>
    <xf numFmtId="0" fontId="1" fillId="27" borderId="9" xfId="0" applyFont="1" applyFill="1" applyBorder="1" applyAlignment="1">
      <alignment horizontal="center" vertical="center" textRotation="90" wrapText="1"/>
    </xf>
    <xf numFmtId="0" fontId="1" fillId="27" borderId="5" xfId="0" applyFont="1" applyFill="1" applyBorder="1" applyAlignment="1">
      <alignment horizontal="center" vertical="center" textRotation="90" wrapText="1"/>
    </xf>
    <xf numFmtId="0" fontId="1" fillId="29" borderId="9" xfId="0" applyFont="1" applyFill="1" applyBorder="1" applyAlignment="1">
      <alignment horizontal="center" vertical="center" textRotation="90" wrapText="1"/>
    </xf>
    <xf numFmtId="0" fontId="1" fillId="29" borderId="5" xfId="0" applyFont="1" applyFill="1" applyBorder="1" applyAlignment="1">
      <alignment horizontal="center" vertical="center" textRotation="90" wrapText="1"/>
    </xf>
    <xf numFmtId="0" fontId="1" fillId="20" borderId="8" xfId="0" applyFont="1" applyFill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9" fontId="1" fillId="29" borderId="5" xfId="0" applyNumberFormat="1" applyFont="1" applyFill="1" applyBorder="1" applyAlignment="1">
      <alignment horizontal="center" vertical="center"/>
    </xf>
    <xf numFmtId="9" fontId="1" fillId="27" borderId="5" xfId="0" applyNumberFormat="1" applyFont="1" applyFill="1" applyBorder="1" applyAlignment="1">
      <alignment horizontal="center" vertical="center"/>
    </xf>
    <xf numFmtId="9" fontId="1" fillId="28" borderId="5" xfId="0" applyNumberFormat="1" applyFont="1" applyFill="1" applyBorder="1" applyAlignment="1">
      <alignment horizontal="center" vertical="center"/>
    </xf>
    <xf numFmtId="9" fontId="1" fillId="5" borderId="5" xfId="0" applyNumberFormat="1" applyFont="1" applyFill="1" applyBorder="1" applyAlignment="1">
      <alignment horizontal="center" vertical="center"/>
    </xf>
    <xf numFmtId="9" fontId="1" fillId="20" borderId="5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textRotation="90" wrapText="1"/>
    </xf>
    <xf numFmtId="9" fontId="1" fillId="19" borderId="5" xfId="0" applyNumberFormat="1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textRotation="90"/>
    </xf>
    <xf numFmtId="0" fontId="1" fillId="7" borderId="13" xfId="0" applyFont="1" applyFill="1" applyBorder="1" applyAlignment="1">
      <alignment horizontal="center" vertical="center" textRotation="90"/>
    </xf>
    <xf numFmtId="0" fontId="1" fillId="24" borderId="13" xfId="0" applyFont="1" applyFill="1" applyBorder="1" applyAlignment="1" applyProtection="1">
      <alignment horizontal="center"/>
      <protection locked="0"/>
    </xf>
    <xf numFmtId="0" fontId="1" fillId="24" borderId="14" xfId="0" applyFont="1" applyFill="1" applyBorder="1" applyAlignment="1" applyProtection="1">
      <alignment horizontal="center"/>
      <protection locked="0"/>
    </xf>
    <xf numFmtId="0" fontId="1" fillId="15" borderId="0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12" fillId="21" borderId="9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0" fillId="24" borderId="13" xfId="0" applyFill="1" applyBorder="1" applyAlignment="1" applyProtection="1">
      <alignment horizontal="center"/>
      <protection locked="0"/>
    </xf>
    <xf numFmtId="0" fontId="0" fillId="24" borderId="14" xfId="0" applyFill="1" applyBorder="1" applyAlignment="1" applyProtection="1">
      <alignment horizontal="center"/>
      <protection locked="0"/>
    </xf>
    <xf numFmtId="0" fontId="1" fillId="23" borderId="0" xfId="0" applyFont="1" applyFill="1" applyBorder="1" applyAlignment="1">
      <alignment horizontal="center" vertical="center" wrapText="1"/>
    </xf>
    <xf numFmtId="0" fontId="1" fillId="23" borderId="0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1" fillId="16" borderId="6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6" borderId="0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1" fillId="2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6"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0.39994506668294322"/>
      </font>
      <fill>
        <patternFill>
          <bgColor theme="3" tint="0.79998168889431442"/>
        </patternFill>
      </fill>
    </dxf>
    <dxf>
      <font>
        <color theme="7"/>
      </font>
    </dxf>
    <dxf>
      <font>
        <color theme="7" tint="-0.24994659260841701"/>
      </font>
    </dxf>
    <dxf>
      <font>
        <color rgb="FF00B0F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font>
        <color rgb="FF9C0006"/>
      </font>
    </dxf>
    <dxf>
      <font>
        <color rgb="FF00B0F0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D8F2"/>
      <color rgb="FFCC99FF"/>
      <color rgb="FFA2EAE8"/>
      <color rgb="FFCCFFCC"/>
      <color rgb="FFFFC9E4"/>
      <color rgb="FFE5FF9B"/>
      <color rgb="FF99CC00"/>
      <color rgb="FF33CCCC"/>
      <color rgb="FFFF99C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116385</xdr:colOff>
      <xdr:row>1</xdr:row>
      <xdr:rowOff>57978</xdr:rowOff>
    </xdr:from>
    <xdr:to>
      <xdr:col>1</xdr:col>
      <xdr:colOff>960354</xdr:colOff>
      <xdr:row>7</xdr:row>
      <xdr:rowOff>41413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C95759-4926-4FDA-ACD6-CC4391503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385" y="248478"/>
          <a:ext cx="1290659" cy="1290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546B-E581-44D3-B7AA-DDB4EC8AC019}">
  <sheetPr codeName="Sheet1"/>
  <dimension ref="A1:I47"/>
  <sheetViews>
    <sheetView showGridLines="0" topLeftCell="A31" zoomScale="175" zoomScaleNormal="175" workbookViewId="0">
      <selection activeCell="B18" sqref="B18"/>
    </sheetView>
  </sheetViews>
  <sheetFormatPr defaultColWidth="0" defaultRowHeight="15" zeroHeight="1" x14ac:dyDescent="0.25"/>
  <cols>
    <col min="1" max="1" width="23" customWidth="1"/>
    <col min="2" max="2" width="63.140625" customWidth="1"/>
    <col min="3" max="3" width="32.7109375" hidden="1" customWidth="1"/>
    <col min="4" max="9" width="0" hidden="1" customWidth="1"/>
    <col min="10" max="16384" width="9.140625" hidden="1"/>
  </cols>
  <sheetData>
    <row r="1" spans="1:9" x14ac:dyDescent="0.25">
      <c r="A1" s="167" t="s">
        <v>387</v>
      </c>
      <c r="B1" s="167"/>
    </row>
    <row r="2" spans="1:9" x14ac:dyDescent="0.25">
      <c r="A2" s="169" t="s">
        <v>0</v>
      </c>
      <c r="B2" s="170"/>
      <c r="C2" s="170"/>
      <c r="D2" s="170"/>
      <c r="E2" s="170"/>
      <c r="F2" s="170"/>
      <c r="G2" s="170"/>
      <c r="H2" s="170"/>
      <c r="I2" s="171"/>
    </row>
    <row r="3" spans="1:9" x14ac:dyDescent="0.25">
      <c r="A3" s="4" t="s">
        <v>1</v>
      </c>
      <c r="B3" s="168"/>
      <c r="C3" s="168"/>
      <c r="D3" s="168"/>
      <c r="E3" s="168"/>
      <c r="F3" s="168"/>
      <c r="G3" s="168"/>
      <c r="H3" s="168"/>
      <c r="I3" s="168"/>
    </row>
    <row r="4" spans="1:9" x14ac:dyDescent="0.25">
      <c r="A4" s="4" t="s">
        <v>2</v>
      </c>
      <c r="B4" s="30" t="s">
        <v>3</v>
      </c>
      <c r="C4" s="30"/>
      <c r="D4" s="30"/>
      <c r="E4" s="30"/>
      <c r="F4" s="30"/>
      <c r="G4" s="30"/>
      <c r="H4" s="30"/>
      <c r="I4" s="30"/>
    </row>
    <row r="5" spans="1:9" x14ac:dyDescent="0.25">
      <c r="A5" s="4" t="s">
        <v>295</v>
      </c>
      <c r="B5" s="30" t="s">
        <v>297</v>
      </c>
      <c r="C5" s="30"/>
      <c r="D5" s="30"/>
      <c r="E5" s="30"/>
      <c r="F5" s="30"/>
      <c r="G5" s="30"/>
      <c r="H5" s="30"/>
      <c r="I5" s="30"/>
    </row>
    <row r="6" spans="1:9" x14ac:dyDescent="0.25">
      <c r="A6" s="4" t="s">
        <v>4</v>
      </c>
      <c r="B6" s="30"/>
      <c r="C6" s="30"/>
      <c r="D6" s="30"/>
      <c r="E6" s="30"/>
      <c r="F6" s="30"/>
      <c r="G6" s="30"/>
      <c r="H6" s="30"/>
      <c r="I6" s="30"/>
    </row>
    <row r="7" spans="1:9" x14ac:dyDescent="0.25">
      <c r="A7" s="4" t="s">
        <v>5</v>
      </c>
      <c r="B7" s="84" t="s">
        <v>162</v>
      </c>
      <c r="C7" s="30"/>
      <c r="D7" s="30"/>
      <c r="E7" s="30"/>
      <c r="F7" s="30"/>
      <c r="G7" s="30"/>
      <c r="H7" s="30"/>
      <c r="I7" s="30"/>
    </row>
    <row r="8" spans="1:9" x14ac:dyDescent="0.25">
      <c r="A8" s="4" t="s">
        <v>6</v>
      </c>
      <c r="B8" s="30" t="s">
        <v>93</v>
      </c>
      <c r="C8" s="30"/>
      <c r="D8" s="30"/>
      <c r="E8" s="30"/>
      <c r="F8" s="30"/>
      <c r="G8" s="30"/>
      <c r="H8" s="30"/>
      <c r="I8" s="30"/>
    </row>
    <row r="9" spans="1:9" x14ac:dyDescent="0.25">
      <c r="A9" s="4" t="s">
        <v>382</v>
      </c>
      <c r="B9" s="30" t="s">
        <v>9</v>
      </c>
      <c r="C9" s="30"/>
      <c r="D9" s="30"/>
      <c r="E9" s="30"/>
      <c r="F9" s="30"/>
      <c r="G9" s="30"/>
      <c r="H9" s="30"/>
      <c r="I9" s="30"/>
    </row>
    <row r="10" spans="1:9" ht="53.25" customHeight="1" x14ac:dyDescent="0.25">
      <c r="A10" s="161" t="s">
        <v>8</v>
      </c>
      <c r="B10" s="160"/>
      <c r="C10" s="30"/>
      <c r="D10" s="30"/>
      <c r="E10" s="30"/>
      <c r="F10" s="30"/>
      <c r="G10" s="30"/>
      <c r="H10" s="30"/>
      <c r="I10" s="30"/>
    </row>
    <row r="11" spans="1:9" x14ac:dyDescent="0.25">
      <c r="A11" s="4" t="s">
        <v>10</v>
      </c>
      <c r="B11" s="84" t="s">
        <v>275</v>
      </c>
      <c r="C11" s="30"/>
      <c r="D11" s="30"/>
      <c r="E11" s="30"/>
      <c r="F11" s="30"/>
      <c r="G11" s="30"/>
      <c r="H11" s="30"/>
      <c r="I11" s="30"/>
    </row>
    <row r="12" spans="1:9" x14ac:dyDescent="0.25">
      <c r="A12" s="4" t="s">
        <v>11</v>
      </c>
      <c r="B12" s="30" t="s">
        <v>69</v>
      </c>
      <c r="C12" s="30"/>
      <c r="D12" s="30"/>
      <c r="E12" s="30"/>
      <c r="F12" s="30"/>
      <c r="G12" s="30"/>
      <c r="H12" s="30"/>
      <c r="I12" s="30"/>
    </row>
    <row r="13" spans="1:9" x14ac:dyDescent="0.25">
      <c r="A13" s="4" t="s">
        <v>13</v>
      </c>
      <c r="B13" s="30" t="s">
        <v>383</v>
      </c>
      <c r="C13" s="30"/>
      <c r="D13" s="30"/>
      <c r="E13" s="30"/>
      <c r="F13" s="30"/>
      <c r="G13" s="30"/>
      <c r="H13" s="30"/>
      <c r="I13" s="30"/>
    </row>
    <row r="14" spans="1:9" x14ac:dyDescent="0.25">
      <c r="A14" s="106"/>
      <c r="B14" s="107"/>
      <c r="C14" s="105"/>
      <c r="D14" s="105"/>
      <c r="E14" s="105"/>
      <c r="F14" s="105"/>
      <c r="G14" s="105"/>
      <c r="H14" s="105"/>
      <c r="I14" s="105"/>
    </row>
    <row r="15" spans="1:9" x14ac:dyDescent="0.25">
      <c r="A15" s="172" t="s">
        <v>100</v>
      </c>
      <c r="B15" s="172"/>
      <c r="C15" s="105"/>
      <c r="D15" s="105"/>
      <c r="E15" s="105"/>
      <c r="F15" s="105"/>
      <c r="G15" s="105"/>
      <c r="H15" s="105"/>
      <c r="I15" s="105"/>
    </row>
    <row r="16" spans="1:9" x14ac:dyDescent="0.25">
      <c r="A16" s="4" t="s">
        <v>100</v>
      </c>
      <c r="B16" s="30" t="s">
        <v>197</v>
      </c>
      <c r="C16" s="105"/>
      <c r="D16" s="105"/>
      <c r="E16" s="105"/>
      <c r="F16" s="105"/>
      <c r="G16" s="105"/>
      <c r="H16" s="105"/>
      <c r="I16" s="105"/>
    </row>
    <row r="17" spans="1:9" x14ac:dyDescent="0.25">
      <c r="A17" s="4" t="s">
        <v>181</v>
      </c>
      <c r="B17" s="108" t="s">
        <v>195</v>
      </c>
      <c r="C17" s="105"/>
      <c r="D17" s="105"/>
      <c r="E17" s="105"/>
      <c r="F17" s="105"/>
      <c r="G17" s="105"/>
      <c r="H17" s="105"/>
      <c r="I17" s="105"/>
    </row>
    <row r="18" spans="1:9" x14ac:dyDescent="0.25">
      <c r="A18" s="4" t="s">
        <v>182</v>
      </c>
      <c r="B18" s="108"/>
      <c r="C18" s="105"/>
      <c r="D18" s="105"/>
      <c r="E18" s="105"/>
      <c r="F18" s="105"/>
      <c r="G18" s="105"/>
      <c r="H18" s="105"/>
      <c r="I18" s="105"/>
    </row>
    <row r="19" spans="1:9" x14ac:dyDescent="0.25">
      <c r="A19" s="4" t="s">
        <v>183</v>
      </c>
      <c r="B19" s="108" t="s">
        <v>227</v>
      </c>
      <c r="C19" s="105"/>
      <c r="D19" s="105"/>
      <c r="E19" s="105"/>
      <c r="F19" s="105"/>
      <c r="G19" s="105"/>
      <c r="H19" s="105"/>
      <c r="I19" s="105"/>
    </row>
    <row r="20" spans="1:9" x14ac:dyDescent="0.25">
      <c r="A20" s="4" t="s">
        <v>204</v>
      </c>
      <c r="B20" s="108"/>
      <c r="C20" s="105"/>
      <c r="D20" s="105"/>
      <c r="E20" s="105"/>
      <c r="F20" s="105"/>
      <c r="G20" s="105"/>
      <c r="H20" s="105"/>
      <c r="I20" s="105"/>
    </row>
    <row r="21" spans="1:9" x14ac:dyDescent="0.25">
      <c r="A21" s="109"/>
      <c r="B21" s="107"/>
      <c r="C21" s="105"/>
      <c r="D21" s="105"/>
      <c r="E21" s="105"/>
      <c r="F21" s="105"/>
      <c r="G21" s="105"/>
      <c r="H21" s="105"/>
      <c r="I21" s="105"/>
    </row>
    <row r="22" spans="1:9" x14ac:dyDescent="0.25">
      <c r="A22" s="172" t="s">
        <v>186</v>
      </c>
      <c r="B22" s="172"/>
      <c r="C22" s="105"/>
      <c r="D22" s="105"/>
      <c r="E22" s="105"/>
      <c r="F22" s="105"/>
      <c r="G22" s="105"/>
      <c r="H22" s="105"/>
      <c r="I22" s="105"/>
    </row>
    <row r="23" spans="1:9" x14ac:dyDescent="0.25">
      <c r="A23" s="4" t="s">
        <v>14</v>
      </c>
      <c r="B23" s="108"/>
      <c r="C23" s="105"/>
      <c r="D23" s="105"/>
      <c r="E23" s="105"/>
      <c r="F23" s="105"/>
      <c r="G23" s="105"/>
      <c r="H23" s="105"/>
      <c r="I23" s="105"/>
    </row>
    <row r="24" spans="1:9" x14ac:dyDescent="0.25">
      <c r="A24" s="4" t="s">
        <v>15</v>
      </c>
      <c r="B24" s="30" t="s">
        <v>73</v>
      </c>
      <c r="C24" s="105"/>
      <c r="D24" s="105"/>
      <c r="E24" s="105"/>
      <c r="F24" s="105"/>
      <c r="G24" s="105"/>
      <c r="H24" s="105"/>
      <c r="I24" s="105"/>
    </row>
    <row r="25" spans="1:9" x14ac:dyDescent="0.25">
      <c r="A25" s="4" t="s">
        <v>362</v>
      </c>
      <c r="B25" s="84"/>
      <c r="C25" s="105"/>
      <c r="D25" s="105"/>
      <c r="E25" s="105"/>
      <c r="F25" s="105"/>
      <c r="G25" s="105"/>
      <c r="H25" s="105"/>
      <c r="I25" s="105"/>
    </row>
    <row r="26" spans="1:9" x14ac:dyDescent="0.25">
      <c r="A26" s="4" t="s">
        <v>363</v>
      </c>
      <c r="B26" s="84"/>
      <c r="C26" s="105"/>
      <c r="D26" s="105"/>
      <c r="E26" s="105"/>
      <c r="F26" s="105"/>
      <c r="G26" s="105"/>
      <c r="H26" s="105"/>
      <c r="I26" s="105"/>
    </row>
    <row r="27" spans="1:9" x14ac:dyDescent="0.25">
      <c r="A27" s="4" t="s">
        <v>17</v>
      </c>
      <c r="B27" s="108"/>
      <c r="C27" s="105"/>
      <c r="D27" s="105"/>
      <c r="E27" s="105"/>
      <c r="F27" s="105"/>
      <c r="G27" s="105"/>
      <c r="H27" s="105"/>
      <c r="I27" s="105"/>
    </row>
    <row r="28" spans="1:9" x14ac:dyDescent="0.25">
      <c r="A28" s="4" t="s">
        <v>18</v>
      </c>
      <c r="B28" s="108" t="s">
        <v>172</v>
      </c>
      <c r="C28" s="105"/>
      <c r="D28" s="105"/>
      <c r="E28" s="105"/>
      <c r="F28" s="105"/>
      <c r="G28" s="105"/>
      <c r="H28" s="105"/>
      <c r="I28" s="105"/>
    </row>
    <row r="29" spans="1:9" x14ac:dyDescent="0.25">
      <c r="A29" s="4" t="s">
        <v>185</v>
      </c>
      <c r="B29" s="108"/>
      <c r="C29" s="105"/>
      <c r="D29" s="105"/>
      <c r="E29" s="105"/>
      <c r="F29" s="105"/>
      <c r="G29" s="105"/>
      <c r="H29" s="105"/>
      <c r="I29" s="105"/>
    </row>
    <row r="30" spans="1:9" x14ac:dyDescent="0.25">
      <c r="A30" s="4" t="s">
        <v>184</v>
      </c>
      <c r="B30" s="108" t="s">
        <v>19</v>
      </c>
      <c r="C30" s="105"/>
      <c r="D30" s="105"/>
      <c r="E30" s="105"/>
      <c r="F30" s="105"/>
      <c r="G30" s="105"/>
      <c r="H30" s="105"/>
      <c r="I30" s="105"/>
    </row>
    <row r="31" spans="1:9" ht="14.25" customHeight="1" x14ac:dyDescent="0.25">
      <c r="A31" s="106"/>
      <c r="B31" s="107"/>
      <c r="C31" s="105"/>
      <c r="D31" s="105"/>
      <c r="E31" s="105"/>
      <c r="F31" s="105"/>
      <c r="G31" s="105"/>
      <c r="H31" s="105"/>
      <c r="I31" s="105"/>
    </row>
    <row r="32" spans="1:9" x14ac:dyDescent="0.25">
      <c r="A32" s="169" t="s">
        <v>364</v>
      </c>
      <c r="B32" s="171"/>
      <c r="C32" s="105"/>
      <c r="D32" s="105"/>
      <c r="E32" s="105"/>
      <c r="F32" s="105"/>
      <c r="G32" s="105"/>
      <c r="H32" s="105"/>
      <c r="I32" s="105"/>
    </row>
    <row r="33" spans="1:2" x14ac:dyDescent="0.25">
      <c r="A33" s="166"/>
      <c r="B33" s="166"/>
    </row>
    <row r="34" spans="1:2" x14ac:dyDescent="0.25">
      <c r="A34" s="97" t="s">
        <v>97</v>
      </c>
      <c r="B34" s="101">
        <f>IF(AND(ISNUMBER(MATCH($B$5, {"Second Year","Third Year","Fourth Year","Fifth Year"}, 0)), $B$17="College of Engineering and Architecture"), 40%, 50%)</f>
        <v>0.5</v>
      </c>
    </row>
    <row r="35" spans="1:2" x14ac:dyDescent="0.25">
      <c r="A35" s="97" t="s">
        <v>98</v>
      </c>
      <c r="B35" s="101">
        <f>IF(AND(ISNUMBER(MATCH($B$5, {"Second Year","Third Year","Fourth Year","Fifth Year"}, 0)), $B$17="College of Engineering and Architecture"), 60%, 50%)</f>
        <v>0.5</v>
      </c>
    </row>
    <row r="36" spans="1:2" x14ac:dyDescent="0.25"/>
    <row r="37" spans="1:2" x14ac:dyDescent="0.25">
      <c r="A37" s="97" t="s">
        <v>175</v>
      </c>
      <c r="B37" s="19" t="s">
        <v>176</v>
      </c>
    </row>
    <row r="38" spans="1:2" x14ac:dyDescent="0.25">
      <c r="A38" s="97" t="s">
        <v>33</v>
      </c>
      <c r="B38" s="104">
        <v>0.1</v>
      </c>
    </row>
    <row r="39" spans="1:2" x14ac:dyDescent="0.25">
      <c r="A39" s="97" t="s">
        <v>177</v>
      </c>
      <c r="B39" s="104">
        <v>0.3</v>
      </c>
    </row>
    <row r="40" spans="1:2" x14ac:dyDescent="0.25">
      <c r="A40" s="97" t="s">
        <v>178</v>
      </c>
      <c r="B40" s="102">
        <f>SUM(B41:B45)</f>
        <v>0.6</v>
      </c>
    </row>
    <row r="41" spans="1:2" x14ac:dyDescent="0.25">
      <c r="A41" s="154" t="s">
        <v>329</v>
      </c>
      <c r="B41" s="125">
        <v>0.3</v>
      </c>
    </row>
    <row r="42" spans="1:2" x14ac:dyDescent="0.25">
      <c r="A42" s="154" t="s">
        <v>308</v>
      </c>
      <c r="B42" s="125">
        <v>0.1</v>
      </c>
    </row>
    <row r="43" spans="1:2" x14ac:dyDescent="0.25">
      <c r="A43" s="154" t="s">
        <v>358</v>
      </c>
      <c r="B43" s="125">
        <v>0.1</v>
      </c>
    </row>
    <row r="44" spans="1:2" x14ac:dyDescent="0.25">
      <c r="A44" s="154" t="s">
        <v>353</v>
      </c>
      <c r="B44" s="125">
        <v>0.1</v>
      </c>
    </row>
    <row r="45" spans="1:2" x14ac:dyDescent="0.25">
      <c r="A45" s="154"/>
      <c r="B45" s="125">
        <v>0</v>
      </c>
    </row>
    <row r="46" spans="1:2" x14ac:dyDescent="0.25">
      <c r="A46" s="97" t="s">
        <v>179</v>
      </c>
      <c r="B46" s="33">
        <f>SUM(B38:B40)</f>
        <v>1</v>
      </c>
    </row>
    <row r="47" spans="1:2" x14ac:dyDescent="0.25"/>
  </sheetData>
  <sheetProtection algorithmName="SHA-512" hashValue="XjXlHoC4URusUe5qWkZ9zAOssIe7qiQ5ruDe8wdovRZE36HnH1DXKrVAejEpBfGXut/q/jJ/23FdphdaKKEaQA==" saltValue="kFWeczgxkPVPnKqzqEOhUQ==" spinCount="100000" sheet="1" objects="1" scenarios="1"/>
  <mergeCells count="7">
    <mergeCell ref="A33:B33"/>
    <mergeCell ref="A1:B1"/>
    <mergeCell ref="B3:I3"/>
    <mergeCell ref="A2:I2"/>
    <mergeCell ref="A15:B15"/>
    <mergeCell ref="A32:B32"/>
    <mergeCell ref="A22:B22"/>
  </mergeCells>
  <conditionalFormatting sqref="B40">
    <cfRule type="cellIs" dxfId="95" priority="1" operator="equal">
      <formula>0.6</formula>
    </cfRule>
    <cfRule type="cellIs" dxfId="94" priority="7" operator="greaterThan">
      <formula>0.6</formula>
    </cfRule>
    <cfRule type="cellIs" dxfId="93" priority="8" operator="lessThan">
      <formula>0.6</formula>
    </cfRule>
  </conditionalFormatting>
  <conditionalFormatting sqref="B46">
    <cfRule type="cellIs" dxfId="92" priority="2" operator="equal">
      <formula>1</formula>
    </cfRule>
    <cfRule type="cellIs" dxfId="91" priority="3" operator="lessThan">
      <formula>1</formula>
    </cfRule>
    <cfRule type="cellIs" dxfId="90" priority="4" operator="greaterThan">
      <formula>1</formula>
    </cfRule>
  </conditionalFormatting>
  <dataValidations count="3">
    <dataValidation showDropDown="1" showInputMessage="1" showErrorMessage="1" sqref="B23 B27:B30 B18" xr:uid="{F6D99126-7BAA-41B4-A3F3-66603EE4F89E}"/>
    <dataValidation type="list" showInputMessage="1" showErrorMessage="1" sqref="B19" xr:uid="{3F03C22B-23DF-46C2-823C-BC3B4F925D85}">
      <formula1>INDIRECT(GetProgram)</formula1>
    </dataValidation>
    <dataValidation type="list" showInputMessage="1" showErrorMessage="1" sqref="B20" xr:uid="{BB52B8A0-89F9-4A20-AC13-68197262658A}">
      <formula1>INDIRECT(GetMajor)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showInputMessage="1" showErrorMessage="1" xr:uid="{0A74AD51-BA51-4999-A7E4-03F265A7A581}">
          <x14:formula1>
            <xm:f>Version!$B$268:$B$270</xm:f>
          </x14:formula1>
          <xm:sqref>B5</xm:sqref>
        </x14:dataValidation>
        <x14:dataValidation type="list" showInputMessage="1" showErrorMessage="1" xr:uid="{34C808FD-A7E1-477A-8E9A-322101FBD3D4}">
          <x14:formula1>
            <xm:f>Version!$B$7:$B$9</xm:f>
          </x14:formula1>
          <xm:sqref>B4</xm:sqref>
        </x14:dataValidation>
        <x14:dataValidation type="list" showInputMessage="1" showErrorMessage="1" xr:uid="{2B837E85-F503-4958-BE32-B240FADF85E0}">
          <x14:formula1>
            <xm:f>Version!$B$11:$B$14</xm:f>
          </x14:formula1>
          <xm:sqref>B12</xm:sqref>
        </x14:dataValidation>
        <x14:dataValidation type="list" showInputMessage="1" showErrorMessage="1" xr:uid="{2A861FF3-FA01-40F1-921A-B1E444D9E91F}">
          <x14:formula1>
            <xm:f>Version!$B$16:$B$34</xm:f>
          </x14:formula1>
          <xm:sqref>B24</xm:sqref>
        </x14:dataValidation>
        <x14:dataValidation type="list" showInputMessage="1" showErrorMessage="1" xr:uid="{F5C11F77-0161-45CA-A803-B077A1931C1A}">
          <x14:formula1>
            <xm:f>Version!$B$36:$B$37</xm:f>
          </x14:formula1>
          <xm:sqref>B32</xm:sqref>
        </x14:dataValidation>
        <x14:dataValidation type="list" showInputMessage="1" showErrorMessage="1" xr:uid="{910992F6-41C3-43CB-B01C-D46DE3F5E1B8}">
          <x14:formula1>
            <xm:f>Version!$B$39:$B$41</xm:f>
          </x14:formula1>
          <xm:sqref>B8</xm:sqref>
        </x14:dataValidation>
        <x14:dataValidation type="list" showDropDown="1" showInputMessage="1" showErrorMessage="1" xr:uid="{DD1786E4-D79C-4C17-97C3-730E09857904}">
          <x14:formula1>
            <xm:f>Version!$B$53:$B$73</xm:f>
          </x14:formula1>
          <xm:sqref>B34:B35</xm:sqref>
        </x14:dataValidation>
        <x14:dataValidation type="list" showInputMessage="1" showErrorMessage="1" errorTitle="Must be interval of 5" xr:uid="{9A4F816C-CA83-433E-A06E-31C592ECB2F2}">
          <x14:formula1>
            <xm:f>Version!$B$156:$B$168</xm:f>
          </x14:formula1>
          <xm:sqref>B41:B45</xm:sqref>
        </x14:dataValidation>
        <x14:dataValidation type="list" showDropDown="1" showInputMessage="1" showErrorMessage="1" xr:uid="{D7CF64E8-3AC1-4B0E-8659-7E82F316DD51}">
          <x14:formula1>
            <xm:f>Version!$B$36:$B$37</xm:f>
          </x14:formula1>
          <xm:sqref>B14 B21 B31</xm:sqref>
        </x14:dataValidation>
        <x14:dataValidation type="list" showInputMessage="1" showErrorMessage="1" xr:uid="{3A07432C-F15C-4DC0-A932-2C53B98DD050}">
          <x14:formula1>
            <xm:f>Version!$B$171:$B$178</xm:f>
          </x14:formula1>
          <xm:sqref>B17</xm:sqref>
        </x14:dataValidation>
        <x14:dataValidation type="list" showInputMessage="1" showErrorMessage="1" xr:uid="{229393F6-78DA-4D1E-B918-E5B2961A77CF}">
          <x14:formula1>
            <xm:f>Version!$B$75:$B$82</xm:f>
          </x14:formula1>
          <xm:sqref>B16</xm:sqref>
        </x14:dataValidation>
        <x14:dataValidation type="list" showInputMessage="1" showErrorMessage="1" xr:uid="{9E01C44E-BE2B-4B43-8BF9-AE53143B0126}">
          <x14:formula1>
            <xm:f>Version!$B$275:$B$323</xm:f>
          </x14:formula1>
          <xm:sqref>A41:A45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1035-E4AC-4328-B926-A5729477E46F}">
  <sheetPr codeName="Sheet2"/>
  <dimension ref="A1:XFC94"/>
  <sheetViews>
    <sheetView showGridLines="0" zoomScale="130" zoomScaleNormal="130" workbookViewId="0">
      <selection activeCell="C84" sqref="C84"/>
    </sheetView>
  </sheetViews>
  <sheetFormatPr defaultColWidth="0" defaultRowHeight="15" zeroHeight="1" x14ac:dyDescent="0.25"/>
  <cols>
    <col min="1" max="1" width="5" style="1" customWidth="1"/>
    <col min="2" max="2" width="18.28515625" style="2" customWidth="1"/>
    <col min="3" max="3" width="45.42578125" style="2" customWidth="1"/>
    <col min="4" max="4" width="5.85546875" style="8" customWidth="1"/>
    <col min="5" max="5" width="25.5703125" style="55" customWidth="1"/>
    <col min="6" max="6" width="24.5703125" style="55" customWidth="1"/>
    <col min="7" max="7" width="26.5703125" style="55" customWidth="1"/>
    <col min="8" max="8" width="26.28515625" style="55" customWidth="1"/>
    <col min="9" max="9" width="25.7109375" style="55" customWidth="1"/>
    <col min="10" max="10" width="26.7109375" style="55" customWidth="1"/>
    <col min="11" max="16383" width="9.140625" hidden="1"/>
    <col min="16384" max="16384" width="7.140625" hidden="1" customWidth="1"/>
  </cols>
  <sheetData>
    <row r="1" spans="1:10" x14ac:dyDescent="0.25">
      <c r="B1"/>
      <c r="C1"/>
      <c r="D1"/>
      <c r="E1" s="1"/>
      <c r="F1"/>
      <c r="G1"/>
      <c r="H1"/>
      <c r="I1"/>
      <c r="J1"/>
    </row>
    <row r="2" spans="1:10" x14ac:dyDescent="0.25">
      <c r="B2" s="37" t="s">
        <v>141</v>
      </c>
      <c r="C2" s="174" t="str">
        <f>Info!B16</f>
        <v>DHVSU Bacolor</v>
      </c>
      <c r="D2" s="175"/>
      <c r="E2" s="1"/>
      <c r="F2"/>
      <c r="G2"/>
      <c r="H2"/>
      <c r="I2"/>
      <c r="J2"/>
    </row>
    <row r="3" spans="1:10" x14ac:dyDescent="0.25">
      <c r="B3" s="3" t="s">
        <v>20</v>
      </c>
      <c r="C3" s="176">
        <f>Info!B6</f>
        <v>0</v>
      </c>
      <c r="D3" s="177"/>
      <c r="E3" s="1"/>
      <c r="F3"/>
      <c r="G3"/>
      <c r="H3"/>
      <c r="I3"/>
      <c r="J3"/>
    </row>
    <row r="4" spans="1:10" x14ac:dyDescent="0.25">
      <c r="B4" s="3" t="s">
        <v>21</v>
      </c>
      <c r="C4" s="176" t="str">
        <f>Info!B8</f>
        <v>Lecture</v>
      </c>
      <c r="D4" s="177"/>
      <c r="E4" s="1"/>
      <c r="F4"/>
      <c r="G4"/>
      <c r="H4"/>
      <c r="I4"/>
      <c r="J4"/>
    </row>
    <row r="5" spans="1:10" x14ac:dyDescent="0.25">
      <c r="B5" s="4" t="s">
        <v>22</v>
      </c>
      <c r="C5" s="178">
        <f>Info!B3</f>
        <v>0</v>
      </c>
      <c r="D5" s="179"/>
      <c r="E5" s="1"/>
      <c r="F5"/>
      <c r="G5"/>
      <c r="H5"/>
      <c r="I5"/>
      <c r="J5"/>
    </row>
    <row r="6" spans="1:10" x14ac:dyDescent="0.25">
      <c r="B6" s="5" t="s">
        <v>23</v>
      </c>
      <c r="C6" s="180" t="str">
        <f>Info!B13</f>
        <v>Tuesday 3:30 - 5:00 pm, Friday 2:00 - 3:30 pm</v>
      </c>
      <c r="D6" s="181"/>
      <c r="E6" s="1"/>
      <c r="F6"/>
      <c r="G6"/>
      <c r="H6"/>
      <c r="I6"/>
      <c r="J6"/>
    </row>
    <row r="7" spans="1:10" x14ac:dyDescent="0.25">
      <c r="B7"/>
      <c r="C7"/>
      <c r="D7"/>
      <c r="E7" s="1"/>
      <c r="F7"/>
      <c r="G7"/>
      <c r="H7"/>
      <c r="I7"/>
      <c r="J7"/>
    </row>
    <row r="8" spans="1:10" x14ac:dyDescent="0.25">
      <c r="A8" s="173" t="s">
        <v>24</v>
      </c>
      <c r="B8" s="173"/>
      <c r="C8" s="173"/>
      <c r="D8" s="173"/>
      <c r="E8" s="173"/>
      <c r="F8" s="173"/>
      <c r="G8" s="173"/>
      <c r="H8" s="173"/>
      <c r="I8" s="173"/>
      <c r="J8" s="173"/>
    </row>
    <row r="9" spans="1:10" x14ac:dyDescent="0.25">
      <c r="A9" s="6" t="s">
        <v>25</v>
      </c>
      <c r="B9" s="7" t="s">
        <v>26</v>
      </c>
      <c r="C9" s="7" t="s">
        <v>27</v>
      </c>
      <c r="D9" s="62" t="s">
        <v>28</v>
      </c>
      <c r="E9" s="153" t="s">
        <v>309</v>
      </c>
      <c r="F9" s="62" t="s">
        <v>310</v>
      </c>
      <c r="G9" s="62" t="s">
        <v>311</v>
      </c>
      <c r="H9" s="62" t="s">
        <v>375</v>
      </c>
      <c r="I9" s="62" t="s">
        <v>376</v>
      </c>
      <c r="J9" s="62" t="s">
        <v>377</v>
      </c>
    </row>
    <row r="10" spans="1:10" x14ac:dyDescent="0.25">
      <c r="A10" s="8">
        <v>1</v>
      </c>
      <c r="B10" s="9">
        <v>2010</v>
      </c>
      <c r="C10" s="9" t="s">
        <v>384</v>
      </c>
      <c r="D10" s="29"/>
    </row>
    <row r="11" spans="1:10" x14ac:dyDescent="0.25">
      <c r="A11" s="8">
        <v>2</v>
      </c>
      <c r="B11" s="9"/>
      <c r="C11" s="9"/>
      <c r="D11" s="29"/>
    </row>
    <row r="12" spans="1:10" x14ac:dyDescent="0.25">
      <c r="A12" s="8">
        <v>3</v>
      </c>
      <c r="B12" s="9"/>
      <c r="C12" s="9"/>
      <c r="D12" s="29"/>
    </row>
    <row r="13" spans="1:10" x14ac:dyDescent="0.25">
      <c r="A13" s="8">
        <v>4</v>
      </c>
      <c r="B13" s="9"/>
      <c r="C13" s="9"/>
      <c r="D13" s="29"/>
    </row>
    <row r="14" spans="1:10" x14ac:dyDescent="0.25">
      <c r="A14" s="8">
        <v>5</v>
      </c>
      <c r="B14" s="9"/>
      <c r="C14" s="9"/>
      <c r="D14" s="29"/>
    </row>
    <row r="15" spans="1:10" x14ac:dyDescent="0.25">
      <c r="A15" s="8">
        <v>6</v>
      </c>
      <c r="B15" s="9"/>
      <c r="C15" s="9"/>
      <c r="D15" s="29"/>
    </row>
    <row r="16" spans="1:10" x14ac:dyDescent="0.25">
      <c r="A16" s="8">
        <v>7</v>
      </c>
      <c r="B16" s="9"/>
      <c r="C16" s="9"/>
      <c r="D16" s="29"/>
    </row>
    <row r="17" spans="1:4" x14ac:dyDescent="0.25">
      <c r="A17" s="8">
        <v>8</v>
      </c>
      <c r="B17" s="9"/>
      <c r="C17" s="9"/>
      <c r="D17" s="29"/>
    </row>
    <row r="18" spans="1:4" x14ac:dyDescent="0.25">
      <c r="A18" s="8">
        <v>9</v>
      </c>
      <c r="B18" s="9"/>
      <c r="C18" s="9"/>
      <c r="D18" s="29"/>
    </row>
    <row r="19" spans="1:4" x14ac:dyDescent="0.25">
      <c r="A19" s="8">
        <v>10</v>
      </c>
      <c r="B19" s="9"/>
      <c r="C19" s="9"/>
      <c r="D19" s="29"/>
    </row>
    <row r="20" spans="1:4" x14ac:dyDescent="0.25">
      <c r="A20" s="8">
        <v>11</v>
      </c>
      <c r="B20" s="9"/>
      <c r="C20" s="9"/>
      <c r="D20" s="29"/>
    </row>
    <row r="21" spans="1:4" x14ac:dyDescent="0.25">
      <c r="A21" s="8">
        <v>12</v>
      </c>
      <c r="B21" s="9"/>
      <c r="C21" s="9"/>
      <c r="D21" s="29"/>
    </row>
    <row r="22" spans="1:4" x14ac:dyDescent="0.25">
      <c r="A22" s="8">
        <v>13</v>
      </c>
      <c r="B22" s="9"/>
      <c r="C22" s="9"/>
      <c r="D22" s="29"/>
    </row>
    <row r="23" spans="1:4" x14ac:dyDescent="0.25">
      <c r="A23" s="8">
        <v>14</v>
      </c>
      <c r="B23" s="9"/>
      <c r="C23" s="9"/>
      <c r="D23" s="29"/>
    </row>
    <row r="24" spans="1:4" x14ac:dyDescent="0.25">
      <c r="A24" s="8">
        <v>15</v>
      </c>
      <c r="B24" s="9"/>
      <c r="C24" s="9"/>
      <c r="D24" s="29"/>
    </row>
    <row r="25" spans="1:4" x14ac:dyDescent="0.25">
      <c r="A25" s="8">
        <v>16</v>
      </c>
      <c r="B25" s="9"/>
      <c r="C25" s="9"/>
      <c r="D25" s="29"/>
    </row>
    <row r="26" spans="1:4" x14ac:dyDescent="0.25">
      <c r="A26" s="8">
        <v>17</v>
      </c>
      <c r="B26" s="9"/>
      <c r="C26" s="9"/>
      <c r="D26" s="29"/>
    </row>
    <row r="27" spans="1:4" x14ac:dyDescent="0.25">
      <c r="A27" s="8">
        <v>18</v>
      </c>
      <c r="B27" s="9"/>
      <c r="C27" s="9"/>
      <c r="D27" s="29"/>
    </row>
    <row r="28" spans="1:4" x14ac:dyDescent="0.25">
      <c r="A28" s="8">
        <v>19</v>
      </c>
      <c r="B28" s="9"/>
      <c r="C28" s="9"/>
      <c r="D28" s="29"/>
    </row>
    <row r="29" spans="1:4" x14ac:dyDescent="0.25">
      <c r="A29" s="8">
        <v>20</v>
      </c>
      <c r="B29" s="9"/>
      <c r="C29" s="9"/>
      <c r="D29" s="29"/>
    </row>
    <row r="30" spans="1:4" x14ac:dyDescent="0.25">
      <c r="A30" s="8">
        <v>21</v>
      </c>
      <c r="B30" s="9"/>
      <c r="C30" s="9"/>
      <c r="D30" s="29"/>
    </row>
    <row r="31" spans="1:4" x14ac:dyDescent="0.25">
      <c r="A31" s="8">
        <v>22</v>
      </c>
      <c r="B31" s="9"/>
      <c r="C31" s="9"/>
      <c r="D31" s="29"/>
    </row>
    <row r="32" spans="1:4" x14ac:dyDescent="0.25">
      <c r="A32" s="8">
        <v>23</v>
      </c>
      <c r="B32" s="9"/>
      <c r="C32" s="9"/>
      <c r="D32" s="29"/>
    </row>
    <row r="33" spans="1:4" x14ac:dyDescent="0.25">
      <c r="A33" s="8">
        <v>24</v>
      </c>
      <c r="B33" s="9"/>
      <c r="C33" s="9"/>
      <c r="D33" s="29"/>
    </row>
    <row r="34" spans="1:4" x14ac:dyDescent="0.25">
      <c r="A34" s="8">
        <v>25</v>
      </c>
      <c r="B34" s="9"/>
      <c r="C34" s="9"/>
      <c r="D34" s="29"/>
    </row>
    <row r="35" spans="1:4" x14ac:dyDescent="0.25">
      <c r="A35" s="8">
        <v>26</v>
      </c>
      <c r="B35" s="9"/>
      <c r="C35" s="9"/>
      <c r="D35" s="29"/>
    </row>
    <row r="36" spans="1:4" x14ac:dyDescent="0.25">
      <c r="A36" s="8">
        <v>27</v>
      </c>
      <c r="B36" s="9"/>
      <c r="C36" s="9"/>
      <c r="D36" s="29"/>
    </row>
    <row r="37" spans="1:4" x14ac:dyDescent="0.25">
      <c r="A37" s="8">
        <v>28</v>
      </c>
      <c r="B37" s="9"/>
      <c r="C37" s="9"/>
      <c r="D37" s="29"/>
    </row>
    <row r="38" spans="1:4" x14ac:dyDescent="0.25">
      <c r="A38" s="8">
        <v>29</v>
      </c>
      <c r="B38" s="9"/>
      <c r="C38" s="9"/>
      <c r="D38" s="29"/>
    </row>
    <row r="39" spans="1:4" x14ac:dyDescent="0.25">
      <c r="A39" s="8">
        <v>30</v>
      </c>
      <c r="B39" s="9"/>
      <c r="C39" s="9"/>
      <c r="D39" s="29"/>
    </row>
    <row r="40" spans="1:4" x14ac:dyDescent="0.25">
      <c r="A40" s="8">
        <v>31</v>
      </c>
      <c r="B40" s="9"/>
      <c r="C40" s="9"/>
      <c r="D40" s="29"/>
    </row>
    <row r="41" spans="1:4" x14ac:dyDescent="0.25">
      <c r="A41" s="8">
        <v>32</v>
      </c>
      <c r="B41" s="9"/>
      <c r="C41" s="9"/>
      <c r="D41" s="29"/>
    </row>
    <row r="42" spans="1:4" x14ac:dyDescent="0.25">
      <c r="A42" s="8">
        <v>33</v>
      </c>
      <c r="B42" s="9"/>
      <c r="C42" s="9"/>
      <c r="D42" s="29"/>
    </row>
    <row r="43" spans="1:4" x14ac:dyDescent="0.25">
      <c r="A43" s="8">
        <v>34</v>
      </c>
      <c r="B43" s="9"/>
      <c r="C43" s="9"/>
      <c r="D43" s="29"/>
    </row>
    <row r="44" spans="1:4" x14ac:dyDescent="0.25">
      <c r="A44" s="8">
        <v>35</v>
      </c>
      <c r="B44" s="9"/>
      <c r="C44" s="9"/>
      <c r="D44" s="29"/>
    </row>
    <row r="45" spans="1:4" x14ac:dyDescent="0.25">
      <c r="A45" s="8">
        <v>36</v>
      </c>
      <c r="B45" s="9"/>
      <c r="C45" s="9"/>
      <c r="D45" s="29"/>
    </row>
    <row r="46" spans="1:4" x14ac:dyDescent="0.25">
      <c r="A46" s="8">
        <v>37</v>
      </c>
      <c r="B46" s="9"/>
      <c r="C46" s="9"/>
      <c r="D46" s="29"/>
    </row>
    <row r="47" spans="1:4" x14ac:dyDescent="0.25">
      <c r="A47" s="8">
        <v>38</v>
      </c>
      <c r="B47" s="9"/>
      <c r="C47" s="9"/>
      <c r="D47" s="29"/>
    </row>
    <row r="48" spans="1:4" x14ac:dyDescent="0.25">
      <c r="A48" s="8">
        <v>39</v>
      </c>
      <c r="B48" s="9"/>
      <c r="C48" s="9"/>
      <c r="D48" s="29"/>
    </row>
    <row r="49" spans="1:4" x14ac:dyDescent="0.25">
      <c r="A49" s="8">
        <v>40</v>
      </c>
      <c r="B49" s="9"/>
      <c r="C49" s="9"/>
      <c r="D49" s="29"/>
    </row>
    <row r="50" spans="1:4" x14ac:dyDescent="0.25">
      <c r="A50" s="8">
        <v>41</v>
      </c>
      <c r="B50" s="9"/>
      <c r="C50" s="9"/>
      <c r="D50" s="29"/>
    </row>
    <row r="51" spans="1:4" x14ac:dyDescent="0.25">
      <c r="A51" s="8">
        <v>42</v>
      </c>
      <c r="B51" s="9"/>
      <c r="C51" s="9"/>
      <c r="D51" s="29"/>
    </row>
    <row r="52" spans="1:4" x14ac:dyDescent="0.25">
      <c r="A52" s="8">
        <v>43</v>
      </c>
      <c r="B52" s="9"/>
      <c r="C52" s="9"/>
      <c r="D52" s="29"/>
    </row>
    <row r="53" spans="1:4" x14ac:dyDescent="0.25">
      <c r="A53" s="8">
        <v>44</v>
      </c>
      <c r="B53" s="9"/>
      <c r="C53" s="9"/>
      <c r="D53" s="29"/>
    </row>
    <row r="54" spans="1:4" x14ac:dyDescent="0.25">
      <c r="A54" s="8">
        <v>45</v>
      </c>
      <c r="B54" s="9"/>
      <c r="C54" s="9"/>
      <c r="D54" s="29"/>
    </row>
    <row r="55" spans="1:4" x14ac:dyDescent="0.25">
      <c r="A55" s="8">
        <v>46</v>
      </c>
      <c r="B55" s="9"/>
      <c r="C55" s="9"/>
      <c r="D55" s="29"/>
    </row>
    <row r="56" spans="1:4" x14ac:dyDescent="0.25">
      <c r="A56" s="8">
        <v>47</v>
      </c>
      <c r="B56" s="9"/>
      <c r="C56" s="9"/>
      <c r="D56" s="29"/>
    </row>
    <row r="57" spans="1:4" x14ac:dyDescent="0.25">
      <c r="A57" s="8">
        <v>48</v>
      </c>
      <c r="B57" s="9"/>
      <c r="C57" s="9"/>
      <c r="D57" s="29"/>
    </row>
    <row r="58" spans="1:4" x14ac:dyDescent="0.25">
      <c r="A58" s="8">
        <v>49</v>
      </c>
      <c r="B58" s="9"/>
      <c r="C58" s="9"/>
      <c r="D58" s="29"/>
    </row>
    <row r="59" spans="1:4" x14ac:dyDescent="0.25">
      <c r="A59" s="8">
        <v>50</v>
      </c>
      <c r="B59" s="9"/>
      <c r="C59" s="9"/>
      <c r="D59" s="29"/>
    </row>
    <row r="60" spans="1:4" x14ac:dyDescent="0.25">
      <c r="A60" s="8">
        <v>51</v>
      </c>
      <c r="B60" s="9"/>
      <c r="C60" s="9"/>
      <c r="D60" s="29"/>
    </row>
    <row r="61" spans="1:4" x14ac:dyDescent="0.25">
      <c r="A61" s="8">
        <v>52</v>
      </c>
      <c r="B61" s="9"/>
      <c r="C61" s="9"/>
      <c r="D61" s="29"/>
    </row>
    <row r="62" spans="1:4" x14ac:dyDescent="0.25">
      <c r="A62" s="8">
        <v>53</v>
      </c>
      <c r="B62" s="9"/>
      <c r="C62" s="9"/>
      <c r="D62" s="29"/>
    </row>
    <row r="63" spans="1:4" x14ac:dyDescent="0.25">
      <c r="A63" s="8">
        <v>54</v>
      </c>
      <c r="B63" s="9"/>
      <c r="C63" s="9"/>
      <c r="D63" s="29"/>
    </row>
    <row r="64" spans="1:4" x14ac:dyDescent="0.25">
      <c r="A64" s="8">
        <v>55</v>
      </c>
      <c r="B64" s="9"/>
      <c r="C64" s="9"/>
      <c r="D64" s="29"/>
    </row>
    <row r="65" spans="1:4" x14ac:dyDescent="0.25">
      <c r="A65" s="8">
        <v>56</v>
      </c>
      <c r="B65" s="9"/>
      <c r="C65" s="9"/>
      <c r="D65" s="29"/>
    </row>
    <row r="66" spans="1:4" x14ac:dyDescent="0.25">
      <c r="A66" s="8">
        <v>57</v>
      </c>
      <c r="B66" s="9"/>
      <c r="C66" s="9"/>
      <c r="D66" s="29"/>
    </row>
    <row r="67" spans="1:4" x14ac:dyDescent="0.25">
      <c r="A67" s="8">
        <v>58</v>
      </c>
      <c r="B67" s="9"/>
      <c r="C67" s="9"/>
      <c r="D67" s="29"/>
    </row>
    <row r="68" spans="1:4" x14ac:dyDescent="0.25">
      <c r="A68" s="8">
        <v>59</v>
      </c>
      <c r="B68" s="9"/>
      <c r="C68" s="9"/>
      <c r="D68" s="29"/>
    </row>
    <row r="69" spans="1:4" x14ac:dyDescent="0.25">
      <c r="A69" s="8">
        <v>60</v>
      </c>
      <c r="B69" s="9"/>
      <c r="C69" s="9"/>
      <c r="D69" s="29"/>
    </row>
    <row r="70" spans="1:4" x14ac:dyDescent="0.25">
      <c r="A70" s="8">
        <v>61</v>
      </c>
      <c r="B70" s="9"/>
      <c r="C70" s="9"/>
      <c r="D70" s="29"/>
    </row>
    <row r="71" spans="1:4" x14ac:dyDescent="0.25">
      <c r="A71" s="8">
        <v>62</v>
      </c>
      <c r="B71" s="9"/>
      <c r="C71" s="9"/>
      <c r="D71" s="29"/>
    </row>
    <row r="72" spans="1:4" x14ac:dyDescent="0.25">
      <c r="A72" s="8">
        <v>63</v>
      </c>
      <c r="B72" s="9"/>
      <c r="C72" s="9"/>
      <c r="D72" s="29"/>
    </row>
    <row r="73" spans="1:4" x14ac:dyDescent="0.25">
      <c r="A73" s="8">
        <v>64</v>
      </c>
      <c r="B73" s="9"/>
      <c r="C73" s="9"/>
      <c r="D73" s="29"/>
    </row>
    <row r="74" spans="1:4" x14ac:dyDescent="0.25">
      <c r="A74" s="8">
        <v>65</v>
      </c>
      <c r="B74" s="9"/>
      <c r="C74" s="9"/>
      <c r="D74" s="29"/>
    </row>
    <row r="75" spans="1:4" x14ac:dyDescent="0.25">
      <c r="A75" s="8">
        <v>66</v>
      </c>
      <c r="B75" s="30"/>
      <c r="C75" s="30"/>
      <c r="D75" s="29"/>
    </row>
    <row r="76" spans="1:4" x14ac:dyDescent="0.25">
      <c r="A76" s="8">
        <v>67</v>
      </c>
      <c r="B76" s="30"/>
      <c r="C76" s="30"/>
      <c r="D76" s="29"/>
    </row>
    <row r="77" spans="1:4" x14ac:dyDescent="0.25">
      <c r="A77" s="8">
        <v>68</v>
      </c>
      <c r="B77" s="30"/>
      <c r="C77" s="30"/>
      <c r="D77" s="29"/>
    </row>
    <row r="78" spans="1:4" x14ac:dyDescent="0.25">
      <c r="A78" s="8">
        <v>69</v>
      </c>
      <c r="B78" s="30"/>
      <c r="C78" s="30"/>
      <c r="D78" s="29"/>
    </row>
    <row r="79" spans="1:4" x14ac:dyDescent="0.25">
      <c r="A79" s="8">
        <v>70</v>
      </c>
      <c r="B79" s="30"/>
      <c r="C79" s="30"/>
      <c r="D79" s="29"/>
    </row>
    <row r="80" spans="1:4" x14ac:dyDescent="0.25">
      <c r="A80" s="163">
        <v>71</v>
      </c>
      <c r="B80" s="30"/>
      <c r="C80" s="30"/>
      <c r="D80" s="29"/>
    </row>
    <row r="81" spans="1:4" x14ac:dyDescent="0.25">
      <c r="A81" s="163">
        <v>72</v>
      </c>
      <c r="B81" s="30"/>
      <c r="C81" s="30"/>
      <c r="D81" s="29"/>
    </row>
    <row r="82" spans="1:4" x14ac:dyDescent="0.25">
      <c r="A82" s="163">
        <v>73</v>
      </c>
      <c r="B82" s="30"/>
      <c r="C82" s="30"/>
      <c r="D82" s="29"/>
    </row>
    <row r="83" spans="1:4" x14ac:dyDescent="0.25">
      <c r="A83" s="163">
        <v>74</v>
      </c>
      <c r="B83" s="30"/>
      <c r="C83" s="30"/>
      <c r="D83" s="29"/>
    </row>
    <row r="84" spans="1:4" x14ac:dyDescent="0.25">
      <c r="A84" s="163">
        <v>75</v>
      </c>
      <c r="B84" s="30"/>
      <c r="C84" s="30"/>
      <c r="D84" s="29"/>
    </row>
    <row r="85" spans="1:4" x14ac:dyDescent="0.25">
      <c r="A85" s="163">
        <v>76</v>
      </c>
      <c r="B85" s="30"/>
      <c r="C85" s="30"/>
      <c r="D85" s="29"/>
    </row>
    <row r="86" spans="1:4" x14ac:dyDescent="0.25">
      <c r="A86" s="163">
        <v>77</v>
      </c>
      <c r="B86" s="30"/>
      <c r="C86" s="30"/>
      <c r="D86" s="29"/>
    </row>
    <row r="87" spans="1:4" x14ac:dyDescent="0.25">
      <c r="A87" s="163">
        <v>78</v>
      </c>
      <c r="B87" s="30"/>
      <c r="C87" s="30"/>
      <c r="D87" s="29"/>
    </row>
    <row r="88" spans="1:4" x14ac:dyDescent="0.25">
      <c r="A88" s="163">
        <v>79</v>
      </c>
      <c r="B88" s="30"/>
      <c r="C88" s="30"/>
      <c r="D88" s="29"/>
    </row>
    <row r="89" spans="1:4" x14ac:dyDescent="0.25">
      <c r="A89" s="163">
        <v>80</v>
      </c>
      <c r="B89" s="30"/>
      <c r="C89" s="30"/>
      <c r="D89" s="29"/>
    </row>
    <row r="90" spans="1:4" x14ac:dyDescent="0.25">
      <c r="A90" s="163">
        <v>81</v>
      </c>
      <c r="B90" s="30"/>
      <c r="C90" s="30"/>
      <c r="D90" s="29"/>
    </row>
    <row r="91" spans="1:4" x14ac:dyDescent="0.25">
      <c r="A91" s="163">
        <v>82</v>
      </c>
      <c r="B91" s="30"/>
      <c r="C91" s="30"/>
      <c r="D91" s="29"/>
    </row>
    <row r="92" spans="1:4" x14ac:dyDescent="0.25">
      <c r="A92" s="163">
        <v>83</v>
      </c>
      <c r="B92" s="30"/>
      <c r="C92" s="30"/>
      <c r="D92" s="29"/>
    </row>
    <row r="93" spans="1:4" x14ac:dyDescent="0.25">
      <c r="A93" s="163">
        <v>84</v>
      </c>
      <c r="B93" s="30"/>
      <c r="C93" s="30"/>
      <c r="D93" s="29"/>
    </row>
    <row r="94" spans="1:4" x14ac:dyDescent="0.25">
      <c r="A94" s="163">
        <v>85</v>
      </c>
      <c r="B94" s="30"/>
      <c r="C94" s="30"/>
      <c r="D94" s="29"/>
    </row>
  </sheetData>
  <sheetProtection algorithmName="SHA-512" hashValue="bmxDzsQ4peJbDPOtp+evXNha5Pu4i6UHtzk2QIXsRZ9NjoItXiOh4Ptp0TJoK/IQuzPVVyy2pQd9no6IfLsOdg==" saltValue="g4NgK9osZuGKgcic0qr7qQ==" spinCount="100000" sheet="1" formatRows="0"/>
  <mergeCells count="6">
    <mergeCell ref="A8:J8"/>
    <mergeCell ref="C2:D2"/>
    <mergeCell ref="C3:D3"/>
    <mergeCell ref="C4:D4"/>
    <mergeCell ref="C5:D5"/>
    <mergeCell ref="C6:D6"/>
  </mergeCells>
  <phoneticPr fontId="3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A4B786-FB60-40B7-97CA-1393560D2507}">
          <x14:formula1>
            <xm:f>Version!$A$148:$A$154</xm:f>
          </x14:formula1>
          <xm:sqref>E10:J1048576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A2AB-B834-4061-B648-7DF02F575008}">
  <sheetPr codeName="Sheet3"/>
  <dimension ref="A1:BL95"/>
  <sheetViews>
    <sheetView zoomScale="130" zoomScaleNormal="130" workbookViewId="0">
      <pane xSplit="3" ySplit="5" topLeftCell="AA6" activePane="bottomRight" state="frozen"/>
      <selection pane="topRight" activeCell="D1" sqref="D1"/>
      <selection pane="bottomLeft" activeCell="A6" sqref="A6"/>
      <selection pane="bottomRight" activeCell="AB9" sqref="AB9"/>
    </sheetView>
  </sheetViews>
  <sheetFormatPr defaultColWidth="0" defaultRowHeight="15" zeroHeight="1" outlineLevelCol="2" x14ac:dyDescent="0.25"/>
  <cols>
    <col min="1" max="1" width="5" customWidth="1"/>
    <col min="2" max="2" width="24.85546875" style="2" customWidth="1"/>
    <col min="3" max="3" width="25.140625" style="2" customWidth="1"/>
    <col min="4" max="4" width="12" style="56" customWidth="1"/>
    <col min="5" max="5" width="9.140625" style="8" customWidth="1"/>
    <col min="6" max="6" width="9.140625" style="74" customWidth="1" outlineLevel="1"/>
    <col min="7" max="7" width="9.140625" style="15" customWidth="1"/>
    <col min="8" max="12" width="9.140625" style="143" customWidth="1" outlineLevel="2"/>
    <col min="13" max="13" width="9.140625" style="113" customWidth="1" outlineLevel="1"/>
    <col min="14" max="18" width="9.140625" style="143" customWidth="1" outlineLevel="2"/>
    <col min="19" max="19" width="9.140625" style="114" customWidth="1" outlineLevel="1"/>
    <col min="20" max="24" width="9.140625" style="103" customWidth="1" outlineLevel="2"/>
    <col min="25" max="25" width="9.140625" style="116" customWidth="1" outlineLevel="1"/>
    <col min="26" max="30" width="9.140625" style="8" customWidth="1" outlineLevel="2"/>
    <col min="31" max="31" width="9.140625" style="42" customWidth="1" outlineLevel="1"/>
    <col min="32" max="36" width="9.140625" style="29" customWidth="1" outlineLevel="2"/>
    <col min="37" max="37" width="9.140625" style="5" customWidth="1" outlineLevel="1"/>
    <col min="38" max="38" width="9.140625" style="43" customWidth="1"/>
    <col min="39" max="42" width="9.140625" style="29" customWidth="1" outlineLevel="1"/>
    <col min="43" max="43" width="9.140625" style="40" customWidth="1"/>
    <col min="44" max="44" width="9.140625" style="17" customWidth="1"/>
    <col min="45" max="45" width="11.85546875" style="16" customWidth="1"/>
    <col min="46" max="46" width="9.140625" style="2" customWidth="1"/>
    <col min="47" max="47" width="31.7109375" style="21" customWidth="1"/>
    <col min="48" max="64" width="0" hidden="1" customWidth="1"/>
    <col min="65" max="16384" width="9.140625" hidden="1"/>
  </cols>
  <sheetData>
    <row r="1" spans="1:47" ht="33" customHeight="1" x14ac:dyDescent="0.25">
      <c r="A1" s="199" t="str">
        <f>MidCom!A1</f>
        <v>DHVSU Bacolor Campus
Modeling and Simulation
Tuesday 3:30 - 5:00 pm, Friday 2:00 - 3:30 pm
First Semester, A.Y. 2024-2025
LECTURE COURSE
NON-BOARD PROGRAM
MIDTERM</v>
      </c>
      <c r="B1" s="200"/>
      <c r="C1" s="200"/>
      <c r="D1" s="200"/>
      <c r="E1" s="216" t="s">
        <v>25</v>
      </c>
      <c r="F1" s="217"/>
      <c r="G1" s="220" t="str">
        <f>UPPER(Info!A38)</f>
        <v>ATTENDANCE</v>
      </c>
      <c r="H1" s="223" t="str">
        <f>UPPER(Info!A40)</f>
        <v>CLASS STANDING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192" t="str">
        <f>UPPER(Info!A40)</f>
        <v>CLASS STANDING</v>
      </c>
      <c r="AM1" s="190" t="s">
        <v>36</v>
      </c>
      <c r="AN1" s="191"/>
      <c r="AO1" s="191"/>
      <c r="AP1" s="191"/>
      <c r="AQ1" s="194" t="str">
        <f>UPPER(Info!A39)</f>
        <v>MAJOR EXAM</v>
      </c>
      <c r="AR1" s="189" t="s">
        <v>37</v>
      </c>
      <c r="AS1" s="186" t="s">
        <v>39</v>
      </c>
      <c r="AT1" s="189" t="s">
        <v>40</v>
      </c>
      <c r="AU1" s="186" t="s">
        <v>57</v>
      </c>
    </row>
    <row r="2" spans="1:47" ht="90.75" customHeight="1" x14ac:dyDescent="0.25">
      <c r="A2" s="201"/>
      <c r="B2" s="202"/>
      <c r="C2" s="202"/>
      <c r="D2" s="203"/>
      <c r="E2" s="98" t="s">
        <v>31</v>
      </c>
      <c r="F2" s="70"/>
      <c r="G2" s="221"/>
      <c r="H2" s="145"/>
      <c r="I2" s="146"/>
      <c r="J2" s="146"/>
      <c r="K2" s="146"/>
      <c r="L2" s="146"/>
      <c r="M2" s="228" t="str">
        <f>UPPER(Info!A41)</f>
        <v>QUIZZES</v>
      </c>
      <c r="N2" s="146"/>
      <c r="O2" s="146"/>
      <c r="P2" s="146"/>
      <c r="Q2" s="146"/>
      <c r="R2" s="146"/>
      <c r="S2" s="230" t="str">
        <f>UPPER(Info!A42)</f>
        <v>RECITATION</v>
      </c>
      <c r="T2" s="146"/>
      <c r="U2" s="146"/>
      <c r="V2" s="146"/>
      <c r="W2" s="146"/>
      <c r="X2" s="146"/>
      <c r="Y2" s="232" t="str">
        <f>UPPER(Info!A43)</f>
        <v>OTHER</v>
      </c>
      <c r="Z2" s="54"/>
      <c r="AA2" s="54"/>
      <c r="AB2" s="54"/>
      <c r="AC2" s="54"/>
      <c r="AD2" s="54"/>
      <c r="AE2" s="207" t="str">
        <f>UPPER(Info!A44)</f>
        <v>ACTIVITIES</v>
      </c>
      <c r="AF2" s="54"/>
      <c r="AG2" s="54"/>
      <c r="AH2" s="54"/>
      <c r="AI2" s="54"/>
      <c r="AJ2" s="117"/>
      <c r="AK2" s="222" t="str">
        <f>UPPER(Info!A45)</f>
        <v/>
      </c>
      <c r="AL2" s="193"/>
      <c r="AM2" s="28"/>
      <c r="AN2" s="28"/>
      <c r="AO2" s="28"/>
      <c r="AP2" s="28"/>
      <c r="AQ2" s="195"/>
      <c r="AR2" s="189"/>
      <c r="AS2" s="187"/>
      <c r="AT2" s="189"/>
      <c r="AU2" s="187"/>
    </row>
    <row r="3" spans="1:47" ht="61.5" customHeight="1" x14ac:dyDescent="0.25">
      <c r="A3" s="204"/>
      <c r="B3" s="205"/>
      <c r="C3" s="205"/>
      <c r="D3" s="206"/>
      <c r="E3" s="98" t="s">
        <v>32</v>
      </c>
      <c r="F3" s="70" t="s">
        <v>33</v>
      </c>
      <c r="G3" s="221"/>
      <c r="H3" s="145"/>
      <c r="I3" s="146"/>
      <c r="J3" s="146"/>
      <c r="K3" s="146"/>
      <c r="L3" s="146"/>
      <c r="M3" s="229"/>
      <c r="N3" s="146"/>
      <c r="O3" s="146"/>
      <c r="P3" s="146"/>
      <c r="Q3" s="146"/>
      <c r="R3" s="146"/>
      <c r="S3" s="231"/>
      <c r="T3" s="54"/>
      <c r="U3" s="146"/>
      <c r="V3" s="146"/>
      <c r="W3" s="146"/>
      <c r="X3" s="146"/>
      <c r="Y3" s="233"/>
      <c r="Z3" s="54"/>
      <c r="AA3" s="54"/>
      <c r="AB3" s="54"/>
      <c r="AC3" s="54"/>
      <c r="AD3" s="54"/>
      <c r="AE3" s="207"/>
      <c r="AF3" s="54"/>
      <c r="AG3" s="54"/>
      <c r="AH3" s="54"/>
      <c r="AI3" s="54"/>
      <c r="AJ3" s="117"/>
      <c r="AK3" s="222"/>
      <c r="AL3" s="193"/>
      <c r="AM3" s="27"/>
      <c r="AN3" s="27"/>
      <c r="AO3" s="27"/>
      <c r="AP3" s="27"/>
      <c r="AQ3" s="195"/>
      <c r="AR3" s="189"/>
      <c r="AS3" s="187"/>
      <c r="AT3" s="189"/>
      <c r="AU3" s="187"/>
    </row>
    <row r="4" spans="1:47" ht="12.75" customHeight="1" x14ac:dyDescent="0.25">
      <c r="A4" s="218" t="s">
        <v>24</v>
      </c>
      <c r="B4" s="218"/>
      <c r="C4" s="219"/>
      <c r="D4" s="197" t="s">
        <v>142</v>
      </c>
      <c r="E4" s="99" t="s">
        <v>35</v>
      </c>
      <c r="F4" s="71">
        <v>1</v>
      </c>
      <c r="G4" s="208">
        <f>MidCom!G4</f>
        <v>0.1</v>
      </c>
      <c r="H4" s="118">
        <v>1</v>
      </c>
      <c r="I4" s="118">
        <v>2</v>
      </c>
      <c r="J4" s="118">
        <v>3</v>
      </c>
      <c r="K4" s="118">
        <v>4</v>
      </c>
      <c r="L4" s="118">
        <v>5</v>
      </c>
      <c r="M4" s="210">
        <f>MidCom!M4</f>
        <v>0.3</v>
      </c>
      <c r="N4" s="118">
        <v>1</v>
      </c>
      <c r="O4" s="118">
        <v>2</v>
      </c>
      <c r="P4" s="118">
        <v>3</v>
      </c>
      <c r="Q4" s="118">
        <v>4</v>
      </c>
      <c r="R4" s="118">
        <v>5</v>
      </c>
      <c r="S4" s="212">
        <f>MidCom!S4</f>
        <v>0.1</v>
      </c>
      <c r="T4" s="118">
        <v>1</v>
      </c>
      <c r="U4" s="118">
        <v>2</v>
      </c>
      <c r="V4" s="118">
        <v>3</v>
      </c>
      <c r="W4" s="118">
        <v>4</v>
      </c>
      <c r="X4" s="118">
        <v>5</v>
      </c>
      <c r="Y4" s="214">
        <f>MidCom!Y4</f>
        <v>0.1</v>
      </c>
      <c r="Z4" s="118">
        <v>1</v>
      </c>
      <c r="AA4" s="118">
        <v>2</v>
      </c>
      <c r="AB4" s="118">
        <v>3</v>
      </c>
      <c r="AC4" s="118">
        <v>4</v>
      </c>
      <c r="AD4" s="118">
        <v>5</v>
      </c>
      <c r="AE4" s="224">
        <f>MidCom!AE4</f>
        <v>0.1</v>
      </c>
      <c r="AF4" s="118">
        <v>1</v>
      </c>
      <c r="AG4" s="118">
        <v>2</v>
      </c>
      <c r="AH4" s="118">
        <v>3</v>
      </c>
      <c r="AI4" s="118">
        <v>4</v>
      </c>
      <c r="AJ4" s="118">
        <v>5</v>
      </c>
      <c r="AK4" s="226">
        <f>MidCom!AK4</f>
        <v>0</v>
      </c>
      <c r="AL4" s="182">
        <f>MidCom!AL4</f>
        <v>0.6</v>
      </c>
      <c r="AM4" s="119">
        <v>1</v>
      </c>
      <c r="AN4" s="119">
        <v>2</v>
      </c>
      <c r="AO4" s="119">
        <v>3</v>
      </c>
      <c r="AP4" s="119">
        <v>4</v>
      </c>
      <c r="AQ4" s="184">
        <f>MidCom!AQ4</f>
        <v>0.3</v>
      </c>
      <c r="AR4" s="196" t="s">
        <v>38</v>
      </c>
      <c r="AS4" s="187"/>
      <c r="AT4" s="189"/>
      <c r="AU4" s="187"/>
    </row>
    <row r="5" spans="1:47" x14ac:dyDescent="0.25">
      <c r="A5" s="10" t="s">
        <v>25</v>
      </c>
      <c r="B5" s="10" t="s">
        <v>29</v>
      </c>
      <c r="C5" s="11" t="s">
        <v>30</v>
      </c>
      <c r="D5" s="198"/>
      <c r="E5" s="99" t="s">
        <v>34</v>
      </c>
      <c r="F5" s="72">
        <f>MidCom!F5</f>
        <v>5</v>
      </c>
      <c r="G5" s="209"/>
      <c r="H5" s="144">
        <v>30</v>
      </c>
      <c r="I5" s="144"/>
      <c r="J5" s="144"/>
      <c r="K5" s="144"/>
      <c r="L5" s="144"/>
      <c r="M5" s="211"/>
      <c r="N5" s="144"/>
      <c r="O5" s="144">
        <v>10</v>
      </c>
      <c r="P5" s="144"/>
      <c r="Q5" s="144"/>
      <c r="R5" s="144"/>
      <c r="S5" s="213"/>
      <c r="T5" s="144">
        <v>10</v>
      </c>
      <c r="U5" s="144"/>
      <c r="V5" s="144"/>
      <c r="W5" s="144"/>
      <c r="X5" s="144"/>
      <c r="Y5" s="215"/>
      <c r="Z5" s="144">
        <v>10</v>
      </c>
      <c r="AA5" s="144"/>
      <c r="AB5" s="144"/>
      <c r="AC5" s="144"/>
      <c r="AD5" s="144"/>
      <c r="AE5" s="225"/>
      <c r="AF5" s="144"/>
      <c r="AG5" s="144"/>
      <c r="AH5" s="144"/>
      <c r="AI5" s="144"/>
      <c r="AJ5" s="144"/>
      <c r="AK5" s="227"/>
      <c r="AL5" s="183"/>
      <c r="AM5" s="120"/>
      <c r="AN5" s="120"/>
      <c r="AO5" s="120"/>
      <c r="AP5" s="120">
        <v>100</v>
      </c>
      <c r="AQ5" s="185"/>
      <c r="AR5" s="196"/>
      <c r="AS5" s="188"/>
      <c r="AT5" s="189"/>
      <c r="AU5" s="188"/>
    </row>
    <row r="6" spans="1:47" x14ac:dyDescent="0.25">
      <c r="A6" s="8">
        <v>1</v>
      </c>
      <c r="B6" s="2" t="str">
        <f>IF('Student List'!C10="","",UPPER(LEFT('Student List'!C10,FIND(",",'Student List'!C10)-1)))</f>
        <v>XX</v>
      </c>
      <c r="C6" s="12" t="str">
        <f>IF('Student List'!C10="","",PROPER(MID('Student List'!C10, FIND(",", 'Student List'!C10) + 2, LEN('Student List'!C10) - FIND(",", 'Student List'!C10) - 1)))</f>
        <v>X</v>
      </c>
      <c r="D6" s="55"/>
      <c r="E6" s="8" t="b">
        <f>IF(MidCom!E6="","",MidCom!E6)</f>
        <v>0</v>
      </c>
      <c r="F6" s="73">
        <f>IF(B6="","",SUM(('MT Attendance'!AV4*5),('MT Attendance'!AW4*3),('MT Attendance'!AX4*2)))</f>
        <v>0</v>
      </c>
      <c r="G6" s="57">
        <f>MidCom!G6</f>
        <v>60</v>
      </c>
      <c r="H6" s="142">
        <v>30</v>
      </c>
      <c r="I6" s="142"/>
      <c r="J6" s="142"/>
      <c r="K6" s="142"/>
      <c r="L6" s="142"/>
      <c r="M6" s="111">
        <f>MidCom!M6</f>
        <v>100</v>
      </c>
      <c r="N6" s="142"/>
      <c r="O6" s="142">
        <v>10</v>
      </c>
      <c r="P6" s="142"/>
      <c r="Q6" s="142"/>
      <c r="R6" s="142"/>
      <c r="S6" s="115">
        <f>MidCom!S6</f>
        <v>100</v>
      </c>
      <c r="T6" s="142">
        <v>10</v>
      </c>
      <c r="U6" s="142"/>
      <c r="V6" s="142"/>
      <c r="W6" s="142"/>
      <c r="X6" s="142"/>
      <c r="Y6" s="112">
        <f>MidCom!Y6</f>
        <v>100</v>
      </c>
      <c r="Z6" s="142">
        <v>9</v>
      </c>
      <c r="AA6" s="142"/>
      <c r="AB6" s="142"/>
      <c r="AC6" s="142"/>
      <c r="AD6" s="142"/>
      <c r="AE6" s="58">
        <f>MidCom!AE6</f>
        <v>90</v>
      </c>
      <c r="AF6" s="142"/>
      <c r="AG6" s="142"/>
      <c r="AH6" s="142"/>
      <c r="AI6" s="142"/>
      <c r="AJ6" s="142"/>
      <c r="AK6" s="59">
        <f>MidCom!AK6</f>
        <v>0</v>
      </c>
      <c r="AL6" s="60">
        <f>MidCom!AL6</f>
        <v>96.9</v>
      </c>
      <c r="AP6" s="29">
        <v>50</v>
      </c>
      <c r="AQ6" s="61">
        <f>MidCom!AQ6</f>
        <v>75</v>
      </c>
      <c r="AR6" s="31">
        <v>2</v>
      </c>
      <c r="AS6" s="165">
        <f>MidCom!AS6</f>
        <v>89.5</v>
      </c>
      <c r="AT6" s="17">
        <f>MidCom!AT6</f>
        <v>2</v>
      </c>
      <c r="AU6" s="17" t="str">
        <f>MidCom!AU6</f>
        <v>Pass</v>
      </c>
    </row>
    <row r="7" spans="1:47" x14ac:dyDescent="0.25">
      <c r="A7" s="8">
        <v>2</v>
      </c>
      <c r="B7" s="2" t="str">
        <f>IF('Student List'!C11="","",UPPER(LEFT('Student List'!C11,FIND(",",'Student List'!C11)-1)))</f>
        <v/>
      </c>
      <c r="C7" s="12" t="str">
        <f>IF('Student List'!C11="","",PROPER(MID('Student List'!C11, FIND(",", 'Student List'!C11) + 2, LEN('Student List'!C11) - FIND(",", 'Student List'!C11) - 1)))</f>
        <v/>
      </c>
      <c r="D7" s="55"/>
      <c r="E7" s="8" t="str">
        <f>IF(MidCom!E7="","",MidCom!E7)</f>
        <v/>
      </c>
      <c r="F7" s="73" t="str">
        <f>IF(B7="","",SUM(('MT Attendance'!AV5*5),('MT Attendance'!AW5*3),('MT Attendance'!AX5*2)))</f>
        <v/>
      </c>
      <c r="G7" s="57" t="str">
        <f>MidCom!G7</f>
        <v/>
      </c>
      <c r="H7" s="142"/>
      <c r="I7" s="142"/>
      <c r="J7" s="142"/>
      <c r="K7" s="142"/>
      <c r="L7" s="142"/>
      <c r="M7" s="111" t="str">
        <f>MidCom!M7</f>
        <v/>
      </c>
      <c r="N7" s="142"/>
      <c r="O7" s="142"/>
      <c r="P7" s="142"/>
      <c r="Q7" s="142"/>
      <c r="R7" s="142"/>
      <c r="S7" s="115" t="str">
        <f>MidCom!S7</f>
        <v/>
      </c>
      <c r="T7" s="142"/>
      <c r="U7" s="142"/>
      <c r="V7" s="142"/>
      <c r="W7" s="142"/>
      <c r="X7" s="142"/>
      <c r="Y7" s="112" t="str">
        <f>MidCom!Y7</f>
        <v/>
      </c>
      <c r="Z7" s="126"/>
      <c r="AA7" s="126"/>
      <c r="AB7" s="126"/>
      <c r="AC7" s="126"/>
      <c r="AD7" s="126"/>
      <c r="AE7" s="58" t="str">
        <f>MidCom!AE7</f>
        <v/>
      </c>
      <c r="AF7" s="126"/>
      <c r="AG7" s="126"/>
      <c r="AH7" s="126"/>
      <c r="AI7" s="126"/>
      <c r="AJ7" s="126"/>
      <c r="AK7" s="59" t="str">
        <f>MidCom!AK7</f>
        <v/>
      </c>
      <c r="AL7" s="60" t="str">
        <f>MidCom!AL7</f>
        <v/>
      </c>
      <c r="AQ7" s="61" t="str">
        <f>MidCom!AQ7</f>
        <v/>
      </c>
      <c r="AR7" s="31"/>
      <c r="AS7" s="165" t="str">
        <f>MidCom!AS7</f>
        <v/>
      </c>
      <c r="AT7" s="17" t="str">
        <f>MidCom!AT7</f>
        <v/>
      </c>
      <c r="AU7" s="17" t="str">
        <f>MidCom!AU7</f>
        <v/>
      </c>
    </row>
    <row r="8" spans="1:47" x14ac:dyDescent="0.25">
      <c r="A8" s="8">
        <v>3</v>
      </c>
      <c r="B8" s="2" t="str">
        <f>IF('Student List'!C12="","",UPPER(LEFT('Student List'!C12,FIND(",",'Student List'!C12)-1)))</f>
        <v/>
      </c>
      <c r="C8" s="12" t="str">
        <f>IF('Student List'!C12="","",PROPER(MID('Student List'!C12, FIND(",", 'Student List'!C12) + 2, LEN('Student List'!C12) - FIND(",", 'Student List'!C12) - 1)))</f>
        <v/>
      </c>
      <c r="D8" s="55"/>
      <c r="E8" s="8" t="str">
        <f>IF(MidCom!E8="","",MidCom!E8)</f>
        <v/>
      </c>
      <c r="F8" s="73" t="str">
        <f>IF(B8="","",SUM(('MT Attendance'!AV6*5),('MT Attendance'!AW6*3),('MT Attendance'!AX6*2)))</f>
        <v/>
      </c>
      <c r="G8" s="57" t="str">
        <f>MidCom!G8</f>
        <v/>
      </c>
      <c r="H8" s="142"/>
      <c r="I8" s="142"/>
      <c r="J8" s="142"/>
      <c r="K8" s="142"/>
      <c r="L8" s="142"/>
      <c r="M8" s="111" t="str">
        <f>MidCom!M8</f>
        <v/>
      </c>
      <c r="N8" s="142"/>
      <c r="O8" s="142"/>
      <c r="P8" s="142"/>
      <c r="Q8" s="142"/>
      <c r="R8" s="142"/>
      <c r="S8" s="115" t="str">
        <f>MidCom!S8</f>
        <v/>
      </c>
      <c r="T8" s="142"/>
      <c r="U8" s="142"/>
      <c r="V8" s="142"/>
      <c r="W8" s="142"/>
      <c r="X8" s="142"/>
      <c r="Y8" s="112" t="str">
        <f>MidCom!Y8</f>
        <v/>
      </c>
      <c r="Z8" s="126"/>
      <c r="AA8" s="126"/>
      <c r="AB8" s="126"/>
      <c r="AC8" s="126"/>
      <c r="AD8" s="126"/>
      <c r="AE8" s="58" t="str">
        <f>MidCom!AE8</f>
        <v/>
      </c>
      <c r="AF8" s="126"/>
      <c r="AG8" s="126"/>
      <c r="AH8" s="126"/>
      <c r="AI8" s="126"/>
      <c r="AJ8" s="126"/>
      <c r="AK8" s="59" t="str">
        <f>MidCom!AK8</f>
        <v/>
      </c>
      <c r="AL8" s="60" t="str">
        <f>MidCom!AL8</f>
        <v/>
      </c>
      <c r="AQ8" s="61" t="str">
        <f>MidCom!AQ8</f>
        <v/>
      </c>
      <c r="AR8" s="31"/>
      <c r="AS8" s="165" t="str">
        <f>MidCom!AS8</f>
        <v/>
      </c>
      <c r="AT8" s="17" t="str">
        <f>MidCom!AT8</f>
        <v/>
      </c>
      <c r="AU8" s="17" t="str">
        <f>MidCom!AU8</f>
        <v/>
      </c>
    </row>
    <row r="9" spans="1:47" x14ac:dyDescent="0.25">
      <c r="A9" s="8">
        <v>4</v>
      </c>
      <c r="B9" s="2" t="str">
        <f>IF('Student List'!C13="","",UPPER(LEFT('Student List'!C13,FIND(",",'Student List'!C13)-1)))</f>
        <v/>
      </c>
      <c r="C9" s="12" t="str">
        <f>IF('Student List'!C13="","",PROPER(MID('Student List'!C13, FIND(",", 'Student List'!C13) + 2, LEN('Student List'!C13) - FIND(",", 'Student List'!C13) - 1)))</f>
        <v/>
      </c>
      <c r="D9" s="55"/>
      <c r="E9" s="8" t="str">
        <f>IF(MidCom!E9="","",MidCom!E9)</f>
        <v/>
      </c>
      <c r="F9" s="73" t="str">
        <f>IF(B9="","",SUM(('MT Attendance'!AV7*5),('MT Attendance'!AW7*3),('MT Attendance'!AX7*2)))</f>
        <v/>
      </c>
      <c r="G9" s="57" t="str">
        <f>MidCom!G9</f>
        <v/>
      </c>
      <c r="H9" s="142"/>
      <c r="I9" s="142"/>
      <c r="J9" s="142"/>
      <c r="K9" s="142"/>
      <c r="L9" s="142"/>
      <c r="M9" s="111" t="str">
        <f>MidCom!M9</f>
        <v/>
      </c>
      <c r="N9" s="142"/>
      <c r="O9" s="142"/>
      <c r="P9" s="142"/>
      <c r="Q9" s="142"/>
      <c r="R9" s="142"/>
      <c r="S9" s="115" t="str">
        <f>MidCom!S9</f>
        <v/>
      </c>
      <c r="T9" s="142"/>
      <c r="U9" s="142"/>
      <c r="V9" s="142"/>
      <c r="W9" s="142"/>
      <c r="X9" s="142"/>
      <c r="Y9" s="112" t="str">
        <f>MidCom!Y9</f>
        <v/>
      </c>
      <c r="Z9" s="126"/>
      <c r="AA9" s="126"/>
      <c r="AB9" s="126"/>
      <c r="AC9" s="126"/>
      <c r="AD9" s="126"/>
      <c r="AE9" s="58" t="str">
        <f>MidCom!AE9</f>
        <v/>
      </c>
      <c r="AF9" s="126"/>
      <c r="AG9" s="126"/>
      <c r="AH9" s="126"/>
      <c r="AI9" s="126"/>
      <c r="AJ9" s="126"/>
      <c r="AK9" s="59" t="str">
        <f>MidCom!AK9</f>
        <v/>
      </c>
      <c r="AL9" s="60" t="str">
        <f>MidCom!AL9</f>
        <v/>
      </c>
      <c r="AQ9" s="61" t="str">
        <f>MidCom!AQ9</f>
        <v/>
      </c>
      <c r="AR9" s="31"/>
      <c r="AS9" s="165" t="str">
        <f>MidCom!AS9</f>
        <v/>
      </c>
      <c r="AT9" s="17" t="str">
        <f>MidCom!AT9</f>
        <v/>
      </c>
      <c r="AU9" s="17" t="str">
        <f>MidCom!AU9</f>
        <v/>
      </c>
    </row>
    <row r="10" spans="1:47" x14ac:dyDescent="0.25">
      <c r="A10" s="8">
        <v>5</v>
      </c>
      <c r="B10" s="2" t="str">
        <f>IF('Student List'!C14="","",UPPER(LEFT('Student List'!C14,FIND(",",'Student List'!C14)-1)))</f>
        <v/>
      </c>
      <c r="C10" s="12" t="str">
        <f>IF('Student List'!C14="","",PROPER(MID('Student List'!C14, FIND(",", 'Student List'!C14) + 2, LEN('Student List'!C14) - FIND(",", 'Student List'!C14) - 1)))</f>
        <v/>
      </c>
      <c r="D10" s="55"/>
      <c r="E10" s="8" t="str">
        <f>IF(MidCom!E10="","",MidCom!E10)</f>
        <v/>
      </c>
      <c r="F10" s="73" t="str">
        <f>IF(B10="","",SUM(('MT Attendance'!AV8*5),('MT Attendance'!AW8*3),('MT Attendance'!AX8*2)))</f>
        <v/>
      </c>
      <c r="G10" s="57" t="str">
        <f>MidCom!G10</f>
        <v/>
      </c>
      <c r="H10" s="142"/>
      <c r="I10" s="142"/>
      <c r="J10" s="142"/>
      <c r="K10" s="142"/>
      <c r="L10" s="142"/>
      <c r="M10" s="111" t="str">
        <f>MidCom!M10</f>
        <v/>
      </c>
      <c r="N10" s="142"/>
      <c r="O10" s="142"/>
      <c r="P10" s="142"/>
      <c r="Q10" s="142"/>
      <c r="R10" s="142"/>
      <c r="S10" s="115" t="str">
        <f>MidCom!S10</f>
        <v/>
      </c>
      <c r="T10" s="142"/>
      <c r="U10" s="142"/>
      <c r="V10" s="142"/>
      <c r="W10" s="142"/>
      <c r="X10" s="142"/>
      <c r="Y10" s="112" t="str">
        <f>MidCom!Y10</f>
        <v/>
      </c>
      <c r="Z10" s="126"/>
      <c r="AA10" s="126"/>
      <c r="AB10" s="126"/>
      <c r="AC10" s="126"/>
      <c r="AD10" s="126"/>
      <c r="AE10" s="58" t="str">
        <f>MidCom!AE10</f>
        <v/>
      </c>
      <c r="AF10" s="126"/>
      <c r="AG10" s="126"/>
      <c r="AH10" s="126"/>
      <c r="AI10" s="126"/>
      <c r="AJ10" s="126"/>
      <c r="AK10" s="59" t="str">
        <f>MidCom!AK10</f>
        <v/>
      </c>
      <c r="AL10" s="60" t="str">
        <f>MidCom!AL10</f>
        <v/>
      </c>
      <c r="AQ10" s="61" t="str">
        <f>MidCom!AQ10</f>
        <v/>
      </c>
      <c r="AR10" s="31"/>
      <c r="AS10" s="165" t="str">
        <f>MidCom!AS10</f>
        <v/>
      </c>
      <c r="AT10" s="17" t="str">
        <f>MidCom!AT10</f>
        <v/>
      </c>
      <c r="AU10" s="17" t="str">
        <f>MidCom!AU10</f>
        <v/>
      </c>
    </row>
    <row r="11" spans="1:47" x14ac:dyDescent="0.25">
      <c r="A11" s="8">
        <v>6</v>
      </c>
      <c r="B11" s="2" t="str">
        <f>IF('Student List'!C15="","",UPPER(LEFT('Student List'!C15,FIND(",",'Student List'!C15)-1)))</f>
        <v/>
      </c>
      <c r="C11" s="12" t="str">
        <f>IF('Student List'!C15="","",PROPER(MID('Student List'!C15, FIND(",", 'Student List'!C15) + 2, LEN('Student List'!C15) - FIND(",", 'Student List'!C15) - 1)))</f>
        <v/>
      </c>
      <c r="D11" s="55"/>
      <c r="E11" s="8" t="str">
        <f>IF(MidCom!E11="","",MidCom!E11)</f>
        <v/>
      </c>
      <c r="F11" s="73" t="str">
        <f>IF(B11="","",SUM(('MT Attendance'!AV9*5),('MT Attendance'!AW9*3),('MT Attendance'!AX9*2)))</f>
        <v/>
      </c>
      <c r="G11" s="57" t="str">
        <f>MidCom!G11</f>
        <v/>
      </c>
      <c r="H11" s="142"/>
      <c r="I11" s="142"/>
      <c r="J11" s="142"/>
      <c r="K11" s="142"/>
      <c r="L11" s="142"/>
      <c r="M11" s="111" t="str">
        <f>MidCom!M11</f>
        <v/>
      </c>
      <c r="N11" s="142"/>
      <c r="O11" s="142"/>
      <c r="P11" s="142"/>
      <c r="Q11" s="142"/>
      <c r="R11" s="142"/>
      <c r="S11" s="115" t="str">
        <f>MidCom!S11</f>
        <v/>
      </c>
      <c r="T11" s="142"/>
      <c r="U11" s="142"/>
      <c r="V11" s="142"/>
      <c r="W11" s="142"/>
      <c r="X11" s="142"/>
      <c r="Y11" s="112" t="str">
        <f>MidCom!Y11</f>
        <v/>
      </c>
      <c r="Z11" s="126"/>
      <c r="AA11" s="126"/>
      <c r="AB11" s="126"/>
      <c r="AC11" s="126"/>
      <c r="AD11" s="126"/>
      <c r="AE11" s="58" t="str">
        <f>MidCom!AE11</f>
        <v/>
      </c>
      <c r="AF11" s="126"/>
      <c r="AG11" s="126"/>
      <c r="AH11" s="126"/>
      <c r="AI11" s="126"/>
      <c r="AJ11" s="126"/>
      <c r="AK11" s="59" t="str">
        <f>MidCom!AK11</f>
        <v/>
      </c>
      <c r="AL11" s="60" t="str">
        <f>MidCom!AL11</f>
        <v/>
      </c>
      <c r="AQ11" s="61" t="str">
        <f>MidCom!AQ11</f>
        <v/>
      </c>
      <c r="AR11" s="31"/>
      <c r="AS11" s="165" t="str">
        <f>MidCom!AS11</f>
        <v/>
      </c>
      <c r="AT11" s="17" t="str">
        <f>MidCom!AT11</f>
        <v/>
      </c>
      <c r="AU11" s="17" t="str">
        <f>MidCom!AU11</f>
        <v/>
      </c>
    </row>
    <row r="12" spans="1:47" x14ac:dyDescent="0.25">
      <c r="A12" s="8">
        <v>7</v>
      </c>
      <c r="B12" s="2" t="str">
        <f>IF('Student List'!C16="","",UPPER(LEFT('Student List'!C16,FIND(",",'Student List'!C16)-1)))</f>
        <v/>
      </c>
      <c r="C12" s="12" t="str">
        <f>IF('Student List'!C16="","",PROPER(MID('Student List'!C16, FIND(",", 'Student List'!C16) + 2, LEN('Student List'!C16) - FIND(",", 'Student List'!C16) - 1)))</f>
        <v/>
      </c>
      <c r="D12" s="55"/>
      <c r="E12" s="8" t="str">
        <f>IF(MidCom!E12="","",MidCom!E12)</f>
        <v/>
      </c>
      <c r="F12" s="73" t="str">
        <f>IF(B12="","",SUM(('MT Attendance'!AV10*5),('MT Attendance'!AW10*3),('MT Attendance'!AX10*2)))</f>
        <v/>
      </c>
      <c r="G12" s="57" t="str">
        <f>MidCom!G12</f>
        <v/>
      </c>
      <c r="H12" s="142"/>
      <c r="I12" s="142"/>
      <c r="J12" s="142"/>
      <c r="K12" s="142"/>
      <c r="L12" s="142"/>
      <c r="M12" s="111" t="str">
        <f>MidCom!M12</f>
        <v/>
      </c>
      <c r="N12" s="142"/>
      <c r="O12" s="142"/>
      <c r="P12" s="142"/>
      <c r="Q12" s="142"/>
      <c r="R12" s="142"/>
      <c r="S12" s="115" t="str">
        <f>MidCom!S12</f>
        <v/>
      </c>
      <c r="T12" s="142"/>
      <c r="U12" s="142"/>
      <c r="V12" s="142"/>
      <c r="W12" s="142"/>
      <c r="X12" s="142"/>
      <c r="Y12" s="112" t="str">
        <f>MidCom!Y12</f>
        <v/>
      </c>
      <c r="Z12" s="126"/>
      <c r="AA12" s="126"/>
      <c r="AB12" s="126"/>
      <c r="AC12" s="126"/>
      <c r="AD12" s="126"/>
      <c r="AE12" s="58" t="str">
        <f>MidCom!AE12</f>
        <v/>
      </c>
      <c r="AF12" s="126"/>
      <c r="AG12" s="126"/>
      <c r="AH12" s="126"/>
      <c r="AI12" s="126"/>
      <c r="AJ12" s="126"/>
      <c r="AK12" s="59" t="str">
        <f>MidCom!AK12</f>
        <v/>
      </c>
      <c r="AL12" s="60" t="str">
        <f>MidCom!AL12</f>
        <v/>
      </c>
      <c r="AQ12" s="61" t="str">
        <f>MidCom!AQ12</f>
        <v/>
      </c>
      <c r="AR12" s="31"/>
      <c r="AS12" s="165" t="str">
        <f>MidCom!AS12</f>
        <v/>
      </c>
      <c r="AT12" s="17" t="str">
        <f>MidCom!AT12</f>
        <v/>
      </c>
      <c r="AU12" s="17" t="str">
        <f>MidCom!AU12</f>
        <v/>
      </c>
    </row>
    <row r="13" spans="1:47" x14ac:dyDescent="0.25">
      <c r="A13" s="8">
        <v>8</v>
      </c>
      <c r="B13" s="2" t="str">
        <f>IF('Student List'!C17="","",UPPER(LEFT('Student List'!C17,FIND(",",'Student List'!C17)-1)))</f>
        <v/>
      </c>
      <c r="C13" s="12" t="str">
        <f>IF('Student List'!C17="","",PROPER(MID('Student List'!C17, FIND(",", 'Student List'!C17) + 2, LEN('Student List'!C17) - FIND(",", 'Student List'!C17) - 1)))</f>
        <v/>
      </c>
      <c r="D13" s="55"/>
      <c r="E13" s="8" t="str">
        <f>IF(MidCom!E13="","",MidCom!E13)</f>
        <v/>
      </c>
      <c r="F13" s="73" t="str">
        <f>IF(B13="","",SUM(('MT Attendance'!AV11*5),('MT Attendance'!AW11*3),('MT Attendance'!AX11*2)))</f>
        <v/>
      </c>
      <c r="G13" s="57" t="str">
        <f>MidCom!G13</f>
        <v/>
      </c>
      <c r="H13" s="142"/>
      <c r="I13" s="142"/>
      <c r="J13" s="142"/>
      <c r="K13" s="142"/>
      <c r="L13" s="142"/>
      <c r="M13" s="111" t="str">
        <f>MidCom!M13</f>
        <v/>
      </c>
      <c r="N13" s="142"/>
      <c r="O13" s="142"/>
      <c r="P13" s="142"/>
      <c r="Q13" s="142"/>
      <c r="R13" s="142"/>
      <c r="S13" s="115" t="str">
        <f>MidCom!S13</f>
        <v/>
      </c>
      <c r="T13" s="142"/>
      <c r="U13" s="142"/>
      <c r="V13" s="142"/>
      <c r="W13" s="142"/>
      <c r="X13" s="142"/>
      <c r="Y13" s="112" t="str">
        <f>MidCom!Y13</f>
        <v/>
      </c>
      <c r="Z13" s="126"/>
      <c r="AA13" s="126"/>
      <c r="AB13" s="126"/>
      <c r="AC13" s="126"/>
      <c r="AD13" s="126"/>
      <c r="AE13" s="58" t="str">
        <f>MidCom!AE13</f>
        <v/>
      </c>
      <c r="AF13" s="126"/>
      <c r="AG13" s="126"/>
      <c r="AH13" s="126"/>
      <c r="AI13" s="126"/>
      <c r="AJ13" s="126"/>
      <c r="AK13" s="59" t="str">
        <f>MidCom!AK13</f>
        <v/>
      </c>
      <c r="AL13" s="60" t="str">
        <f>MidCom!AL13</f>
        <v/>
      </c>
      <c r="AQ13" s="61" t="str">
        <f>MidCom!AQ13</f>
        <v/>
      </c>
      <c r="AR13" s="31"/>
      <c r="AS13" s="165" t="str">
        <f>MidCom!AS13</f>
        <v/>
      </c>
      <c r="AT13" s="17" t="str">
        <f>MidCom!AT13</f>
        <v/>
      </c>
      <c r="AU13" s="17" t="str">
        <f>MidCom!AU13</f>
        <v/>
      </c>
    </row>
    <row r="14" spans="1:47" x14ac:dyDescent="0.25">
      <c r="A14" s="8">
        <v>9</v>
      </c>
      <c r="B14" s="2" t="str">
        <f>IF('Student List'!C18="","",UPPER(LEFT('Student List'!C18,FIND(",",'Student List'!C18)-1)))</f>
        <v/>
      </c>
      <c r="C14" s="12" t="str">
        <f>IF('Student List'!C18="","",PROPER(MID('Student List'!C18, FIND(",", 'Student List'!C18) + 2, LEN('Student List'!C18) - FIND(",", 'Student List'!C18) - 1)))</f>
        <v/>
      </c>
      <c r="D14" s="55"/>
      <c r="E14" s="8" t="str">
        <f>IF(MidCom!E14="","",MidCom!E14)</f>
        <v/>
      </c>
      <c r="F14" s="73" t="str">
        <f>IF(B14="","",SUM(('MT Attendance'!AV12*5),('MT Attendance'!AW12*3),('MT Attendance'!AX12*2)))</f>
        <v/>
      </c>
      <c r="G14" s="57" t="str">
        <f>MidCom!G14</f>
        <v/>
      </c>
      <c r="H14" s="142"/>
      <c r="I14" s="142"/>
      <c r="J14" s="142"/>
      <c r="K14" s="142"/>
      <c r="L14" s="142"/>
      <c r="M14" s="111" t="str">
        <f>MidCom!M14</f>
        <v/>
      </c>
      <c r="N14" s="142"/>
      <c r="O14" s="142"/>
      <c r="P14" s="142"/>
      <c r="Q14" s="142"/>
      <c r="R14" s="142"/>
      <c r="S14" s="115" t="str">
        <f>MidCom!S14</f>
        <v/>
      </c>
      <c r="T14" s="142"/>
      <c r="U14" s="142"/>
      <c r="V14" s="142"/>
      <c r="W14" s="142"/>
      <c r="X14" s="142"/>
      <c r="Y14" s="112" t="str">
        <f>MidCom!Y14</f>
        <v/>
      </c>
      <c r="Z14" s="126"/>
      <c r="AA14" s="126"/>
      <c r="AB14" s="126"/>
      <c r="AC14" s="126"/>
      <c r="AD14" s="126"/>
      <c r="AE14" s="58" t="str">
        <f>MidCom!AE14</f>
        <v/>
      </c>
      <c r="AF14" s="126"/>
      <c r="AG14" s="126"/>
      <c r="AH14" s="126"/>
      <c r="AI14" s="126"/>
      <c r="AJ14" s="126"/>
      <c r="AK14" s="59" t="str">
        <f>MidCom!AK14</f>
        <v/>
      </c>
      <c r="AL14" s="60" t="str">
        <f>MidCom!AL14</f>
        <v/>
      </c>
      <c r="AQ14" s="61" t="str">
        <f>MidCom!AQ14</f>
        <v/>
      </c>
      <c r="AR14" s="31"/>
      <c r="AS14" s="165" t="str">
        <f>MidCom!AS14</f>
        <v/>
      </c>
      <c r="AT14" s="17" t="str">
        <f>MidCom!AT14</f>
        <v/>
      </c>
      <c r="AU14" s="17" t="str">
        <f>MidCom!AU14</f>
        <v/>
      </c>
    </row>
    <row r="15" spans="1:47" x14ac:dyDescent="0.25">
      <c r="A15" s="8">
        <v>10</v>
      </c>
      <c r="B15" s="2" t="str">
        <f>IF('Student List'!C19="","",UPPER(LEFT('Student List'!C19,FIND(",",'Student List'!C19)-1)))</f>
        <v/>
      </c>
      <c r="C15" s="12" t="str">
        <f>IF('Student List'!C19="","",PROPER(MID('Student List'!C19, FIND(",", 'Student List'!C19) + 2, LEN('Student List'!C19) - FIND(",", 'Student List'!C19) - 1)))</f>
        <v/>
      </c>
      <c r="D15" s="55"/>
      <c r="E15" s="8" t="str">
        <f>IF(MidCom!E15="","",MidCom!E15)</f>
        <v/>
      </c>
      <c r="F15" s="73" t="str">
        <f>IF(B15="","",SUM(('MT Attendance'!AV13*5),('MT Attendance'!AW13*3),('MT Attendance'!AX13*2)))</f>
        <v/>
      </c>
      <c r="G15" s="57" t="str">
        <f>MidCom!G15</f>
        <v/>
      </c>
      <c r="H15" s="142"/>
      <c r="I15" s="142"/>
      <c r="J15" s="142"/>
      <c r="K15" s="142"/>
      <c r="L15" s="142"/>
      <c r="M15" s="111" t="str">
        <f>MidCom!M15</f>
        <v/>
      </c>
      <c r="N15" s="142"/>
      <c r="O15" s="142"/>
      <c r="P15" s="142"/>
      <c r="Q15" s="142"/>
      <c r="R15" s="142"/>
      <c r="S15" s="115" t="str">
        <f>MidCom!S15</f>
        <v/>
      </c>
      <c r="T15" s="142"/>
      <c r="U15" s="142"/>
      <c r="V15" s="142"/>
      <c r="W15" s="142"/>
      <c r="X15" s="142"/>
      <c r="Y15" s="112" t="str">
        <f>MidCom!Y15</f>
        <v/>
      </c>
      <c r="Z15" s="126"/>
      <c r="AA15" s="126"/>
      <c r="AB15" s="126"/>
      <c r="AC15" s="126"/>
      <c r="AD15" s="126"/>
      <c r="AE15" s="58" t="str">
        <f>MidCom!AE15</f>
        <v/>
      </c>
      <c r="AF15" s="126"/>
      <c r="AG15" s="126"/>
      <c r="AH15" s="126"/>
      <c r="AI15" s="126"/>
      <c r="AJ15" s="126"/>
      <c r="AK15" s="59" t="str">
        <f>MidCom!AK15</f>
        <v/>
      </c>
      <c r="AL15" s="60" t="str">
        <f>MidCom!AL15</f>
        <v/>
      </c>
      <c r="AQ15" s="61" t="str">
        <f>MidCom!AQ15</f>
        <v/>
      </c>
      <c r="AR15" s="31"/>
      <c r="AS15" s="165" t="str">
        <f>MidCom!AS15</f>
        <v/>
      </c>
      <c r="AT15" s="17" t="str">
        <f>MidCom!AT15</f>
        <v/>
      </c>
      <c r="AU15" s="17" t="str">
        <f>MidCom!AU15</f>
        <v/>
      </c>
    </row>
    <row r="16" spans="1:47" x14ac:dyDescent="0.25">
      <c r="A16" s="8">
        <v>11</v>
      </c>
      <c r="B16" s="2" t="str">
        <f>IF('Student List'!C20="","",UPPER(LEFT('Student List'!C20,FIND(",",'Student List'!C20)-1)))</f>
        <v/>
      </c>
      <c r="C16" s="12" t="str">
        <f>IF('Student List'!C20="","",PROPER(MID('Student List'!C20, FIND(",", 'Student List'!C20) + 2, LEN('Student List'!C20) - FIND(",", 'Student List'!C20) - 1)))</f>
        <v/>
      </c>
      <c r="D16" s="55"/>
      <c r="E16" s="8" t="str">
        <f>IF(MidCom!E16="","",MidCom!E16)</f>
        <v/>
      </c>
      <c r="F16" s="73" t="str">
        <f>IF(B16="","",SUM(('MT Attendance'!AV14*5),('MT Attendance'!AW14*3),('MT Attendance'!AX14*2)))</f>
        <v/>
      </c>
      <c r="G16" s="57" t="str">
        <f>MidCom!G16</f>
        <v/>
      </c>
      <c r="H16" s="142"/>
      <c r="I16" s="142"/>
      <c r="J16" s="142"/>
      <c r="K16" s="142"/>
      <c r="L16" s="142"/>
      <c r="M16" s="111" t="str">
        <f>MidCom!M16</f>
        <v/>
      </c>
      <c r="N16" s="142"/>
      <c r="O16" s="142"/>
      <c r="P16" s="142"/>
      <c r="Q16" s="142"/>
      <c r="R16" s="142"/>
      <c r="S16" s="115" t="str">
        <f>MidCom!S16</f>
        <v/>
      </c>
      <c r="T16" s="142"/>
      <c r="U16" s="142"/>
      <c r="V16" s="142"/>
      <c r="W16" s="142"/>
      <c r="X16" s="142"/>
      <c r="Y16" s="112" t="str">
        <f>MidCom!Y16</f>
        <v/>
      </c>
      <c r="Z16" s="126"/>
      <c r="AA16" s="126"/>
      <c r="AB16" s="126"/>
      <c r="AC16" s="126"/>
      <c r="AD16" s="126"/>
      <c r="AE16" s="58" t="str">
        <f>MidCom!AE16</f>
        <v/>
      </c>
      <c r="AF16" s="126"/>
      <c r="AG16" s="126"/>
      <c r="AH16" s="126"/>
      <c r="AI16" s="126"/>
      <c r="AJ16" s="126"/>
      <c r="AK16" s="59" t="str">
        <f>MidCom!AK16</f>
        <v/>
      </c>
      <c r="AL16" s="60" t="str">
        <f>MidCom!AL16</f>
        <v/>
      </c>
      <c r="AQ16" s="61" t="str">
        <f>MidCom!AQ16</f>
        <v/>
      </c>
      <c r="AR16" s="31"/>
      <c r="AS16" s="165" t="str">
        <f>MidCom!AS16</f>
        <v/>
      </c>
      <c r="AT16" s="17" t="str">
        <f>MidCom!AT16</f>
        <v/>
      </c>
      <c r="AU16" s="17" t="str">
        <f>MidCom!AU16</f>
        <v/>
      </c>
    </row>
    <row r="17" spans="1:47" x14ac:dyDescent="0.25">
      <c r="A17" s="8">
        <v>12</v>
      </c>
      <c r="B17" s="2" t="str">
        <f>IF('Student List'!C21="","",UPPER(LEFT('Student List'!C21,FIND(",",'Student List'!C21)-1)))</f>
        <v/>
      </c>
      <c r="C17" s="12" t="str">
        <f>IF('Student List'!C21="","",PROPER(MID('Student List'!C21, FIND(",", 'Student List'!C21) + 2, LEN('Student List'!C21) - FIND(",", 'Student List'!C21) - 1)))</f>
        <v/>
      </c>
      <c r="D17" s="55"/>
      <c r="E17" s="8" t="str">
        <f>IF(MidCom!E17="","",MidCom!E17)</f>
        <v/>
      </c>
      <c r="F17" s="73" t="str">
        <f>IF(B17="","",SUM(('MT Attendance'!AV15*5),('MT Attendance'!AW15*3),('MT Attendance'!AX15*2)))</f>
        <v/>
      </c>
      <c r="G17" s="57" t="str">
        <f>MidCom!G17</f>
        <v/>
      </c>
      <c r="H17" s="142"/>
      <c r="I17" s="142"/>
      <c r="J17" s="142"/>
      <c r="K17" s="142"/>
      <c r="L17" s="142"/>
      <c r="M17" s="111" t="str">
        <f>MidCom!M17</f>
        <v/>
      </c>
      <c r="N17" s="142"/>
      <c r="O17" s="142"/>
      <c r="P17" s="142"/>
      <c r="Q17" s="142"/>
      <c r="R17" s="142"/>
      <c r="S17" s="115" t="str">
        <f>MidCom!S17</f>
        <v/>
      </c>
      <c r="T17" s="142"/>
      <c r="U17" s="142"/>
      <c r="V17" s="142"/>
      <c r="W17" s="142"/>
      <c r="X17" s="142"/>
      <c r="Y17" s="112" t="str">
        <f>MidCom!Y17</f>
        <v/>
      </c>
      <c r="Z17" s="126"/>
      <c r="AA17" s="126"/>
      <c r="AB17" s="126"/>
      <c r="AC17" s="126"/>
      <c r="AD17" s="126"/>
      <c r="AE17" s="58" t="str">
        <f>MidCom!AE17</f>
        <v/>
      </c>
      <c r="AF17" s="126"/>
      <c r="AG17" s="126"/>
      <c r="AH17" s="126"/>
      <c r="AI17" s="126"/>
      <c r="AJ17" s="126"/>
      <c r="AK17" s="59" t="str">
        <f>MidCom!AK17</f>
        <v/>
      </c>
      <c r="AL17" s="60" t="str">
        <f>MidCom!AL17</f>
        <v/>
      </c>
      <c r="AQ17" s="61" t="str">
        <f>MidCom!AQ17</f>
        <v/>
      </c>
      <c r="AR17" s="31"/>
      <c r="AS17" s="165" t="str">
        <f>MidCom!AS17</f>
        <v/>
      </c>
      <c r="AT17" s="17" t="str">
        <f>MidCom!AT17</f>
        <v/>
      </c>
      <c r="AU17" s="17" t="str">
        <f>MidCom!AU17</f>
        <v/>
      </c>
    </row>
    <row r="18" spans="1:47" x14ac:dyDescent="0.25">
      <c r="A18" s="8">
        <v>13</v>
      </c>
      <c r="B18" s="2" t="str">
        <f>IF('Student List'!C22="","",UPPER(LEFT('Student List'!C22,FIND(",",'Student List'!C22)-1)))</f>
        <v/>
      </c>
      <c r="C18" s="12" t="str">
        <f>IF('Student List'!C22="","",PROPER(MID('Student List'!C22, FIND(",", 'Student List'!C22) + 2, LEN('Student List'!C22) - FIND(",", 'Student List'!C22) - 1)))</f>
        <v/>
      </c>
      <c r="D18" s="55"/>
      <c r="E18" s="8" t="str">
        <f>IF(MidCom!E18="","",MidCom!E18)</f>
        <v/>
      </c>
      <c r="F18" s="73" t="str">
        <f>IF(B18="","",SUM(('MT Attendance'!AV16*5),('MT Attendance'!AW16*3),('MT Attendance'!AX16*2)))</f>
        <v/>
      </c>
      <c r="G18" s="57" t="str">
        <f>MidCom!G18</f>
        <v/>
      </c>
      <c r="H18" s="142"/>
      <c r="I18" s="142"/>
      <c r="J18" s="142"/>
      <c r="K18" s="142"/>
      <c r="L18" s="142"/>
      <c r="M18" s="111" t="str">
        <f>MidCom!M18</f>
        <v/>
      </c>
      <c r="N18" s="142"/>
      <c r="O18" s="142"/>
      <c r="P18" s="142"/>
      <c r="Q18" s="142"/>
      <c r="R18" s="142"/>
      <c r="S18" s="115" t="str">
        <f>MidCom!S18</f>
        <v/>
      </c>
      <c r="T18" s="142"/>
      <c r="U18" s="142"/>
      <c r="V18" s="142"/>
      <c r="W18" s="142"/>
      <c r="X18" s="142"/>
      <c r="Y18" s="112" t="str">
        <f>MidCom!Y18</f>
        <v/>
      </c>
      <c r="Z18" s="126"/>
      <c r="AA18" s="126"/>
      <c r="AB18" s="126"/>
      <c r="AC18" s="126"/>
      <c r="AD18" s="126"/>
      <c r="AE18" s="58" t="str">
        <f>MidCom!AE18</f>
        <v/>
      </c>
      <c r="AF18" s="126"/>
      <c r="AG18" s="126"/>
      <c r="AH18" s="126"/>
      <c r="AI18" s="126"/>
      <c r="AJ18" s="126"/>
      <c r="AK18" s="59" t="str">
        <f>MidCom!AK18</f>
        <v/>
      </c>
      <c r="AL18" s="60" t="str">
        <f>MidCom!AL18</f>
        <v/>
      </c>
      <c r="AQ18" s="61" t="str">
        <f>MidCom!AQ18</f>
        <v/>
      </c>
      <c r="AR18" s="31"/>
      <c r="AS18" s="165" t="str">
        <f>MidCom!AS18</f>
        <v/>
      </c>
      <c r="AT18" s="17" t="str">
        <f>MidCom!AT18</f>
        <v/>
      </c>
      <c r="AU18" s="17" t="str">
        <f>MidCom!AU18</f>
        <v/>
      </c>
    </row>
    <row r="19" spans="1:47" x14ac:dyDescent="0.25">
      <c r="A19" s="8">
        <v>14</v>
      </c>
      <c r="B19" s="2" t="str">
        <f>IF('Student List'!C23="","",UPPER(LEFT('Student List'!C23,FIND(",",'Student List'!C23)-1)))</f>
        <v/>
      </c>
      <c r="C19" s="12" t="str">
        <f>IF('Student List'!C23="","",PROPER(MID('Student List'!C23, FIND(",", 'Student List'!C23) + 2, LEN('Student List'!C23) - FIND(",", 'Student List'!C23) - 1)))</f>
        <v/>
      </c>
      <c r="D19" s="55"/>
      <c r="E19" s="8" t="str">
        <f>IF(MidCom!E19="","",MidCom!E19)</f>
        <v/>
      </c>
      <c r="F19" s="73" t="str">
        <f>IF(B19="","",SUM(('MT Attendance'!AV17*5),('MT Attendance'!AW17*3),('MT Attendance'!AX17*2)))</f>
        <v/>
      </c>
      <c r="G19" s="57" t="str">
        <f>MidCom!G19</f>
        <v/>
      </c>
      <c r="H19" s="142"/>
      <c r="I19" s="142"/>
      <c r="J19" s="142"/>
      <c r="K19" s="142"/>
      <c r="L19" s="142"/>
      <c r="M19" s="111" t="str">
        <f>MidCom!M19</f>
        <v/>
      </c>
      <c r="N19" s="142"/>
      <c r="O19" s="142"/>
      <c r="P19" s="142"/>
      <c r="Q19" s="142"/>
      <c r="R19" s="142"/>
      <c r="S19" s="115" t="str">
        <f>MidCom!S19</f>
        <v/>
      </c>
      <c r="T19" s="142"/>
      <c r="U19" s="142"/>
      <c r="V19" s="142"/>
      <c r="W19" s="142"/>
      <c r="X19" s="142"/>
      <c r="Y19" s="112" t="str">
        <f>MidCom!Y19</f>
        <v/>
      </c>
      <c r="Z19" s="126"/>
      <c r="AA19" s="126"/>
      <c r="AB19" s="126"/>
      <c r="AC19" s="126"/>
      <c r="AD19" s="126"/>
      <c r="AE19" s="58" t="str">
        <f>MidCom!AE19</f>
        <v/>
      </c>
      <c r="AF19" s="126"/>
      <c r="AG19" s="126"/>
      <c r="AH19" s="126"/>
      <c r="AI19" s="126"/>
      <c r="AJ19" s="126"/>
      <c r="AK19" s="59" t="str">
        <f>MidCom!AK19</f>
        <v/>
      </c>
      <c r="AL19" s="60" t="str">
        <f>MidCom!AL19</f>
        <v/>
      </c>
      <c r="AQ19" s="61" t="str">
        <f>MidCom!AQ19</f>
        <v/>
      </c>
      <c r="AR19" s="31"/>
      <c r="AS19" s="165" t="str">
        <f>MidCom!AS19</f>
        <v/>
      </c>
      <c r="AT19" s="17" t="str">
        <f>MidCom!AT19</f>
        <v/>
      </c>
      <c r="AU19" s="17" t="str">
        <f>MidCom!AU19</f>
        <v/>
      </c>
    </row>
    <row r="20" spans="1:47" x14ac:dyDescent="0.25">
      <c r="A20" s="8">
        <v>15</v>
      </c>
      <c r="B20" s="2" t="str">
        <f>IF('Student List'!C24="","",UPPER(LEFT('Student List'!C24,FIND(",",'Student List'!C24)-1)))</f>
        <v/>
      </c>
      <c r="C20" s="12" t="str">
        <f>IF('Student List'!C24="","",PROPER(MID('Student List'!C24, FIND(",", 'Student List'!C24) + 2, LEN('Student List'!C24) - FIND(",", 'Student List'!C24) - 1)))</f>
        <v/>
      </c>
      <c r="D20" s="55"/>
      <c r="E20" s="8" t="str">
        <f>IF(MidCom!E20="","",MidCom!E20)</f>
        <v/>
      </c>
      <c r="F20" s="73" t="str">
        <f>IF(B20="","",SUM(('MT Attendance'!AV18*5),('MT Attendance'!AW18*3),('MT Attendance'!AX18*2)))</f>
        <v/>
      </c>
      <c r="G20" s="57" t="str">
        <f>MidCom!G20</f>
        <v/>
      </c>
      <c r="H20" s="142"/>
      <c r="I20" s="142"/>
      <c r="J20" s="142"/>
      <c r="K20" s="142"/>
      <c r="L20" s="142"/>
      <c r="M20" s="111" t="str">
        <f>MidCom!M20</f>
        <v/>
      </c>
      <c r="N20" s="142"/>
      <c r="O20" s="142"/>
      <c r="P20" s="142"/>
      <c r="Q20" s="142"/>
      <c r="R20" s="142"/>
      <c r="S20" s="115" t="str">
        <f>MidCom!S20</f>
        <v/>
      </c>
      <c r="T20" s="142"/>
      <c r="U20" s="142"/>
      <c r="V20" s="142"/>
      <c r="W20" s="142"/>
      <c r="X20" s="142"/>
      <c r="Y20" s="112" t="str">
        <f>MidCom!Y20</f>
        <v/>
      </c>
      <c r="Z20" s="126"/>
      <c r="AA20" s="126"/>
      <c r="AB20" s="126"/>
      <c r="AC20" s="126"/>
      <c r="AD20" s="126"/>
      <c r="AE20" s="58" t="str">
        <f>MidCom!AE20</f>
        <v/>
      </c>
      <c r="AF20" s="126"/>
      <c r="AG20" s="126"/>
      <c r="AH20" s="126"/>
      <c r="AI20" s="126"/>
      <c r="AJ20" s="126"/>
      <c r="AK20" s="59" t="str">
        <f>MidCom!AK20</f>
        <v/>
      </c>
      <c r="AL20" s="60" t="str">
        <f>MidCom!AL20</f>
        <v/>
      </c>
      <c r="AQ20" s="61" t="str">
        <f>MidCom!AQ20</f>
        <v/>
      </c>
      <c r="AR20" s="31"/>
      <c r="AS20" s="165" t="str">
        <f>MidCom!AS20</f>
        <v/>
      </c>
      <c r="AT20" s="17" t="str">
        <f>MidCom!AT20</f>
        <v/>
      </c>
      <c r="AU20" s="17" t="str">
        <f>MidCom!AU20</f>
        <v/>
      </c>
    </row>
    <row r="21" spans="1:47" x14ac:dyDescent="0.25">
      <c r="A21" s="8">
        <v>16</v>
      </c>
      <c r="B21" s="2" t="str">
        <f>IF('Student List'!C25="","",UPPER(LEFT('Student List'!C25,FIND(",",'Student List'!C25)-1)))</f>
        <v/>
      </c>
      <c r="C21" s="12" t="str">
        <f>IF('Student List'!C25="","",PROPER(MID('Student List'!C25, FIND(",", 'Student List'!C25) + 2, LEN('Student List'!C25) - FIND(",", 'Student List'!C25) - 1)))</f>
        <v/>
      </c>
      <c r="D21" s="55"/>
      <c r="E21" s="8" t="str">
        <f>IF(MidCom!E21="","",MidCom!E21)</f>
        <v/>
      </c>
      <c r="F21" s="73" t="str">
        <f>IF(B21="","",SUM(('MT Attendance'!AV19*5),('MT Attendance'!AW19*3),('MT Attendance'!AX19*2)))</f>
        <v/>
      </c>
      <c r="G21" s="57" t="str">
        <f>MidCom!G21</f>
        <v/>
      </c>
      <c r="H21" s="142"/>
      <c r="I21" s="142"/>
      <c r="J21" s="142"/>
      <c r="K21" s="142"/>
      <c r="L21" s="142"/>
      <c r="M21" s="111" t="str">
        <f>MidCom!M21</f>
        <v/>
      </c>
      <c r="N21" s="142"/>
      <c r="O21" s="142"/>
      <c r="P21" s="142"/>
      <c r="Q21" s="142"/>
      <c r="R21" s="142"/>
      <c r="S21" s="115" t="str">
        <f>MidCom!S21</f>
        <v/>
      </c>
      <c r="T21" s="142"/>
      <c r="U21" s="142"/>
      <c r="V21" s="142"/>
      <c r="W21" s="142"/>
      <c r="X21" s="142"/>
      <c r="Y21" s="112" t="str">
        <f>MidCom!Y21</f>
        <v/>
      </c>
      <c r="Z21" s="126"/>
      <c r="AA21" s="126"/>
      <c r="AB21" s="126"/>
      <c r="AC21" s="126"/>
      <c r="AD21" s="126"/>
      <c r="AE21" s="58" t="str">
        <f>MidCom!AE21</f>
        <v/>
      </c>
      <c r="AF21" s="126"/>
      <c r="AG21" s="126"/>
      <c r="AH21" s="126"/>
      <c r="AI21" s="126"/>
      <c r="AJ21" s="126"/>
      <c r="AK21" s="59" t="str">
        <f>MidCom!AK21</f>
        <v/>
      </c>
      <c r="AL21" s="60" t="str">
        <f>MidCom!AL21</f>
        <v/>
      </c>
      <c r="AQ21" s="61" t="str">
        <f>MidCom!AQ21</f>
        <v/>
      </c>
      <c r="AR21" s="31"/>
      <c r="AS21" s="165" t="str">
        <f>MidCom!AS21</f>
        <v/>
      </c>
      <c r="AT21" s="17" t="str">
        <f>MidCom!AT21</f>
        <v/>
      </c>
      <c r="AU21" s="17" t="str">
        <f>MidCom!AU21</f>
        <v/>
      </c>
    </row>
    <row r="22" spans="1:47" x14ac:dyDescent="0.25">
      <c r="A22" s="8">
        <v>17</v>
      </c>
      <c r="B22" s="2" t="str">
        <f>IF('Student List'!C26="","",UPPER(LEFT('Student List'!C26,FIND(",",'Student List'!C26)-1)))</f>
        <v/>
      </c>
      <c r="C22" s="12" t="str">
        <f>IF('Student List'!C26="","",PROPER(MID('Student List'!C26, FIND(",", 'Student List'!C26) + 2, LEN('Student List'!C26) - FIND(",", 'Student List'!C26) - 1)))</f>
        <v/>
      </c>
      <c r="D22" s="55"/>
      <c r="E22" s="8" t="str">
        <f>IF(MidCom!E22="","",MidCom!E22)</f>
        <v/>
      </c>
      <c r="F22" s="73" t="str">
        <f>IF(B22="","",SUM(('MT Attendance'!AV20*5),('MT Attendance'!AW20*3),('MT Attendance'!AX20*2)))</f>
        <v/>
      </c>
      <c r="G22" s="57" t="str">
        <f>MidCom!G22</f>
        <v/>
      </c>
      <c r="H22" s="142"/>
      <c r="I22" s="142"/>
      <c r="J22" s="142"/>
      <c r="K22" s="142"/>
      <c r="L22" s="142"/>
      <c r="M22" s="111" t="str">
        <f>MidCom!M22</f>
        <v/>
      </c>
      <c r="N22" s="142"/>
      <c r="O22" s="142"/>
      <c r="P22" s="142"/>
      <c r="Q22" s="142"/>
      <c r="R22" s="142"/>
      <c r="S22" s="115" t="str">
        <f>MidCom!S22</f>
        <v/>
      </c>
      <c r="T22" s="142"/>
      <c r="U22" s="142"/>
      <c r="V22" s="142"/>
      <c r="W22" s="142"/>
      <c r="X22" s="142"/>
      <c r="Y22" s="112" t="str">
        <f>MidCom!Y22</f>
        <v/>
      </c>
      <c r="Z22" s="126"/>
      <c r="AA22" s="126"/>
      <c r="AB22" s="126"/>
      <c r="AC22" s="126"/>
      <c r="AD22" s="126"/>
      <c r="AE22" s="58" t="str">
        <f>MidCom!AE22</f>
        <v/>
      </c>
      <c r="AF22" s="126"/>
      <c r="AG22" s="126"/>
      <c r="AH22" s="126"/>
      <c r="AI22" s="126"/>
      <c r="AJ22" s="126"/>
      <c r="AK22" s="59" t="str">
        <f>MidCom!AK22</f>
        <v/>
      </c>
      <c r="AL22" s="60" t="str">
        <f>MidCom!AL22</f>
        <v/>
      </c>
      <c r="AQ22" s="61" t="str">
        <f>MidCom!AQ22</f>
        <v/>
      </c>
      <c r="AR22" s="31"/>
      <c r="AS22" s="165" t="str">
        <f>MidCom!AS22</f>
        <v/>
      </c>
      <c r="AT22" s="17" t="str">
        <f>MidCom!AT22</f>
        <v/>
      </c>
      <c r="AU22" s="17" t="str">
        <f>MidCom!AU22</f>
        <v/>
      </c>
    </row>
    <row r="23" spans="1:47" x14ac:dyDescent="0.25">
      <c r="A23" s="8">
        <v>18</v>
      </c>
      <c r="B23" s="2" t="str">
        <f>IF('Student List'!C27="","",UPPER(LEFT('Student List'!C27,FIND(",",'Student List'!C27)-1)))</f>
        <v/>
      </c>
      <c r="C23" s="12" t="str">
        <f>IF('Student List'!C27="","",PROPER(MID('Student List'!C27, FIND(",", 'Student List'!C27) + 2, LEN('Student List'!C27) - FIND(",", 'Student List'!C27) - 1)))</f>
        <v/>
      </c>
      <c r="D23" s="55"/>
      <c r="E23" s="8" t="str">
        <f>IF(MidCom!E23="","",MidCom!E23)</f>
        <v/>
      </c>
      <c r="F23" s="73" t="str">
        <f>IF(B23="","",SUM(('MT Attendance'!AV21*5),('MT Attendance'!AW21*3),('MT Attendance'!AX21*2)))</f>
        <v/>
      </c>
      <c r="G23" s="57" t="str">
        <f>MidCom!G23</f>
        <v/>
      </c>
      <c r="H23" s="142"/>
      <c r="I23" s="142"/>
      <c r="J23" s="142"/>
      <c r="K23" s="142"/>
      <c r="L23" s="142"/>
      <c r="M23" s="111" t="str">
        <f>MidCom!M23</f>
        <v/>
      </c>
      <c r="N23" s="142"/>
      <c r="O23" s="142"/>
      <c r="P23" s="142"/>
      <c r="Q23" s="142"/>
      <c r="R23" s="142"/>
      <c r="S23" s="115" t="str">
        <f>MidCom!S23</f>
        <v/>
      </c>
      <c r="T23" s="142"/>
      <c r="U23" s="142"/>
      <c r="V23" s="142"/>
      <c r="W23" s="142"/>
      <c r="X23" s="142"/>
      <c r="Y23" s="112" t="str">
        <f>MidCom!Y23</f>
        <v/>
      </c>
      <c r="Z23" s="126"/>
      <c r="AA23" s="126"/>
      <c r="AB23" s="126"/>
      <c r="AC23" s="126"/>
      <c r="AD23" s="126"/>
      <c r="AE23" s="58" t="str">
        <f>MidCom!AE23</f>
        <v/>
      </c>
      <c r="AF23" s="126"/>
      <c r="AG23" s="126"/>
      <c r="AH23" s="126"/>
      <c r="AI23" s="126"/>
      <c r="AJ23" s="126"/>
      <c r="AK23" s="59" t="str">
        <f>MidCom!AK23</f>
        <v/>
      </c>
      <c r="AL23" s="60" t="str">
        <f>MidCom!AL23</f>
        <v/>
      </c>
      <c r="AQ23" s="61" t="str">
        <f>MidCom!AQ23</f>
        <v/>
      </c>
      <c r="AR23" s="31"/>
      <c r="AS23" s="165" t="str">
        <f>MidCom!AS23</f>
        <v/>
      </c>
      <c r="AT23" s="17" t="str">
        <f>MidCom!AT23</f>
        <v/>
      </c>
      <c r="AU23" s="17" t="str">
        <f>MidCom!AU23</f>
        <v/>
      </c>
    </row>
    <row r="24" spans="1:47" x14ac:dyDescent="0.25">
      <c r="A24" s="8">
        <v>19</v>
      </c>
      <c r="B24" s="2" t="str">
        <f>IF('Student List'!C28="","",UPPER(LEFT('Student List'!C28,FIND(",",'Student List'!C28)-1)))</f>
        <v/>
      </c>
      <c r="C24" s="12" t="str">
        <f>IF('Student List'!C28="","",PROPER(MID('Student List'!C28, FIND(",", 'Student List'!C28) + 2, LEN('Student List'!C28) - FIND(",", 'Student List'!C28) - 1)))</f>
        <v/>
      </c>
      <c r="D24" s="55"/>
      <c r="E24" s="8" t="str">
        <f>IF(MidCom!E24="","",MidCom!E24)</f>
        <v/>
      </c>
      <c r="F24" s="73" t="str">
        <f>IF(B24="","",SUM(('MT Attendance'!AV22*5),('MT Attendance'!AW22*3),('MT Attendance'!AX22*2)))</f>
        <v/>
      </c>
      <c r="G24" s="57" t="str">
        <f>MidCom!G24</f>
        <v/>
      </c>
      <c r="H24" s="142"/>
      <c r="I24" s="142"/>
      <c r="J24" s="142"/>
      <c r="K24" s="142"/>
      <c r="L24" s="142"/>
      <c r="M24" s="111" t="str">
        <f>MidCom!M24</f>
        <v/>
      </c>
      <c r="N24" s="142"/>
      <c r="O24" s="142"/>
      <c r="P24" s="142"/>
      <c r="Q24" s="142"/>
      <c r="R24" s="142"/>
      <c r="S24" s="115" t="str">
        <f>MidCom!S24</f>
        <v/>
      </c>
      <c r="T24" s="142"/>
      <c r="U24" s="142"/>
      <c r="V24" s="142"/>
      <c r="W24" s="142"/>
      <c r="X24" s="142"/>
      <c r="Y24" s="112" t="str">
        <f>MidCom!Y24</f>
        <v/>
      </c>
      <c r="Z24" s="126"/>
      <c r="AA24" s="126"/>
      <c r="AB24" s="126"/>
      <c r="AC24" s="126"/>
      <c r="AD24" s="126"/>
      <c r="AE24" s="58" t="str">
        <f>MidCom!AE24</f>
        <v/>
      </c>
      <c r="AF24" s="126"/>
      <c r="AG24" s="126"/>
      <c r="AH24" s="126"/>
      <c r="AI24" s="126"/>
      <c r="AJ24" s="126"/>
      <c r="AK24" s="59" t="str">
        <f>MidCom!AK24</f>
        <v/>
      </c>
      <c r="AL24" s="60" t="str">
        <f>MidCom!AL24</f>
        <v/>
      </c>
      <c r="AQ24" s="61" t="str">
        <f>MidCom!AQ24</f>
        <v/>
      </c>
      <c r="AR24" s="31"/>
      <c r="AS24" s="165" t="str">
        <f>MidCom!AS24</f>
        <v/>
      </c>
      <c r="AT24" s="17" t="str">
        <f>MidCom!AT24</f>
        <v/>
      </c>
      <c r="AU24" s="17" t="str">
        <f>MidCom!AU24</f>
        <v/>
      </c>
    </row>
    <row r="25" spans="1:47" x14ac:dyDescent="0.25">
      <c r="A25" s="8">
        <v>20</v>
      </c>
      <c r="B25" s="2" t="str">
        <f>IF('Student List'!C29="","",UPPER(LEFT('Student List'!C29,FIND(",",'Student List'!C29)-1)))</f>
        <v/>
      </c>
      <c r="C25" s="12" t="str">
        <f>IF('Student List'!C29="","",PROPER(MID('Student List'!C29, FIND(",", 'Student List'!C29) + 2, LEN('Student List'!C29) - FIND(",", 'Student List'!C29) - 1)))</f>
        <v/>
      </c>
      <c r="D25" s="55"/>
      <c r="E25" s="8" t="str">
        <f>IF(MidCom!E25="","",MidCom!E25)</f>
        <v/>
      </c>
      <c r="F25" s="73" t="str">
        <f>IF(B25="","",SUM(('MT Attendance'!AV23*5),('MT Attendance'!AW23*3),('MT Attendance'!AX23*2)))</f>
        <v/>
      </c>
      <c r="G25" s="57" t="str">
        <f>MidCom!G25</f>
        <v/>
      </c>
      <c r="H25" s="142"/>
      <c r="I25" s="142"/>
      <c r="J25" s="142"/>
      <c r="K25" s="142"/>
      <c r="L25" s="142"/>
      <c r="M25" s="111" t="str">
        <f>MidCom!M25</f>
        <v/>
      </c>
      <c r="N25" s="142"/>
      <c r="O25" s="142"/>
      <c r="P25" s="142"/>
      <c r="Q25" s="142"/>
      <c r="R25" s="142"/>
      <c r="S25" s="115" t="str">
        <f>MidCom!S25</f>
        <v/>
      </c>
      <c r="T25" s="142"/>
      <c r="U25" s="142"/>
      <c r="V25" s="142"/>
      <c r="W25" s="142"/>
      <c r="X25" s="142"/>
      <c r="Y25" s="112" t="str">
        <f>MidCom!Y25</f>
        <v/>
      </c>
      <c r="Z25" s="126"/>
      <c r="AA25" s="126"/>
      <c r="AB25" s="126"/>
      <c r="AC25" s="126"/>
      <c r="AD25" s="126"/>
      <c r="AE25" s="58" t="str">
        <f>MidCom!AE25</f>
        <v/>
      </c>
      <c r="AF25" s="126"/>
      <c r="AG25" s="126"/>
      <c r="AH25" s="126"/>
      <c r="AI25" s="126"/>
      <c r="AJ25" s="126"/>
      <c r="AK25" s="59" t="str">
        <f>MidCom!AK25</f>
        <v/>
      </c>
      <c r="AL25" s="60" t="str">
        <f>MidCom!AL25</f>
        <v/>
      </c>
      <c r="AQ25" s="61" t="str">
        <f>MidCom!AQ25</f>
        <v/>
      </c>
      <c r="AR25" s="31"/>
      <c r="AS25" s="165" t="str">
        <f>MidCom!AS25</f>
        <v/>
      </c>
      <c r="AT25" s="17" t="str">
        <f>MidCom!AT25</f>
        <v/>
      </c>
      <c r="AU25" s="17" t="str">
        <f>MidCom!AU25</f>
        <v/>
      </c>
    </row>
    <row r="26" spans="1:47" x14ac:dyDescent="0.25">
      <c r="A26" s="8">
        <v>21</v>
      </c>
      <c r="B26" s="2" t="str">
        <f>IF('Student List'!C30="","",UPPER(LEFT('Student List'!C30,FIND(",",'Student List'!C30)-1)))</f>
        <v/>
      </c>
      <c r="C26" s="12" t="str">
        <f>IF('Student List'!C30="","",PROPER(MID('Student List'!C30, FIND(",", 'Student List'!C30) + 2, LEN('Student List'!C30) - FIND(",", 'Student List'!C30) - 1)))</f>
        <v/>
      </c>
      <c r="D26" s="55"/>
      <c r="E26" s="8" t="str">
        <f>IF(MidCom!E26="","",MidCom!E26)</f>
        <v/>
      </c>
      <c r="F26" s="73" t="str">
        <f>IF(B26="","",SUM(('MT Attendance'!AV24*5),('MT Attendance'!AW24*3),('MT Attendance'!AX24*2)))</f>
        <v/>
      </c>
      <c r="G26" s="57" t="str">
        <f>MidCom!G26</f>
        <v/>
      </c>
      <c r="H26" s="142"/>
      <c r="I26" s="142"/>
      <c r="J26" s="142"/>
      <c r="K26" s="142"/>
      <c r="L26" s="142"/>
      <c r="M26" s="111" t="str">
        <f>MidCom!M26</f>
        <v/>
      </c>
      <c r="N26" s="142"/>
      <c r="O26" s="142"/>
      <c r="P26" s="142"/>
      <c r="Q26" s="142"/>
      <c r="R26" s="142"/>
      <c r="S26" s="115" t="str">
        <f>MidCom!S26</f>
        <v/>
      </c>
      <c r="T26" s="142"/>
      <c r="U26" s="142"/>
      <c r="V26" s="142"/>
      <c r="W26" s="142"/>
      <c r="X26" s="142"/>
      <c r="Y26" s="112" t="str">
        <f>MidCom!Y26</f>
        <v/>
      </c>
      <c r="Z26" s="126"/>
      <c r="AA26" s="126"/>
      <c r="AB26" s="126"/>
      <c r="AC26" s="126"/>
      <c r="AD26" s="126"/>
      <c r="AE26" s="58" t="str">
        <f>MidCom!AE26</f>
        <v/>
      </c>
      <c r="AF26" s="126"/>
      <c r="AG26" s="126"/>
      <c r="AH26" s="126"/>
      <c r="AI26" s="126"/>
      <c r="AJ26" s="126"/>
      <c r="AK26" s="59" t="str">
        <f>MidCom!AK26</f>
        <v/>
      </c>
      <c r="AL26" s="60" t="str">
        <f>MidCom!AL26</f>
        <v/>
      </c>
      <c r="AQ26" s="61" t="str">
        <f>MidCom!AQ26</f>
        <v/>
      </c>
      <c r="AR26" s="31"/>
      <c r="AS26" s="165" t="str">
        <f>MidCom!AS26</f>
        <v/>
      </c>
      <c r="AT26" s="17" t="str">
        <f>MidCom!AT26</f>
        <v/>
      </c>
      <c r="AU26" s="17" t="str">
        <f>MidCom!AU26</f>
        <v/>
      </c>
    </row>
    <row r="27" spans="1:47" x14ac:dyDescent="0.25">
      <c r="A27" s="8">
        <v>22</v>
      </c>
      <c r="B27" s="2" t="str">
        <f>IF('Student List'!C31="","",UPPER(LEFT('Student List'!C31,FIND(",",'Student List'!C31)-1)))</f>
        <v/>
      </c>
      <c r="C27" s="12" t="str">
        <f>IF('Student List'!C31="","",PROPER(MID('Student List'!C31, FIND(",", 'Student List'!C31) + 2, LEN('Student List'!C31) - FIND(",", 'Student List'!C31) - 1)))</f>
        <v/>
      </c>
      <c r="D27" s="55"/>
      <c r="E27" s="8" t="str">
        <f>IF(MidCom!E27="","",MidCom!E27)</f>
        <v/>
      </c>
      <c r="F27" s="73" t="str">
        <f>IF(B27="","",SUM(('MT Attendance'!AV25*5),('MT Attendance'!AW25*3),('MT Attendance'!AX25*2)))</f>
        <v/>
      </c>
      <c r="G27" s="57" t="str">
        <f>MidCom!G27</f>
        <v/>
      </c>
      <c r="H27" s="142"/>
      <c r="I27" s="142"/>
      <c r="J27" s="142"/>
      <c r="K27" s="142"/>
      <c r="L27" s="142"/>
      <c r="M27" s="111" t="str">
        <f>MidCom!M27</f>
        <v/>
      </c>
      <c r="N27" s="142"/>
      <c r="O27" s="142"/>
      <c r="P27" s="142"/>
      <c r="Q27" s="142"/>
      <c r="R27" s="142"/>
      <c r="S27" s="115" t="str">
        <f>MidCom!S27</f>
        <v/>
      </c>
      <c r="T27" s="142"/>
      <c r="U27" s="142"/>
      <c r="V27" s="142"/>
      <c r="W27" s="142"/>
      <c r="X27" s="142"/>
      <c r="Y27" s="112" t="str">
        <f>MidCom!Y27</f>
        <v/>
      </c>
      <c r="Z27" s="126"/>
      <c r="AA27" s="126"/>
      <c r="AB27" s="126"/>
      <c r="AC27" s="126"/>
      <c r="AD27" s="126"/>
      <c r="AE27" s="58" t="str">
        <f>MidCom!AE27</f>
        <v/>
      </c>
      <c r="AF27" s="126"/>
      <c r="AG27" s="126"/>
      <c r="AH27" s="126"/>
      <c r="AI27" s="126"/>
      <c r="AJ27" s="126"/>
      <c r="AK27" s="59" t="str">
        <f>MidCom!AK27</f>
        <v/>
      </c>
      <c r="AL27" s="60" t="str">
        <f>MidCom!AL27</f>
        <v/>
      </c>
      <c r="AQ27" s="61" t="str">
        <f>MidCom!AQ27</f>
        <v/>
      </c>
      <c r="AR27" s="31"/>
      <c r="AS27" s="165" t="str">
        <f>MidCom!AS27</f>
        <v/>
      </c>
      <c r="AT27" s="17" t="str">
        <f>MidCom!AT27</f>
        <v/>
      </c>
      <c r="AU27" s="17" t="str">
        <f>MidCom!AU27</f>
        <v/>
      </c>
    </row>
    <row r="28" spans="1:47" x14ac:dyDescent="0.25">
      <c r="A28" s="8">
        <v>23</v>
      </c>
      <c r="B28" s="2" t="str">
        <f>IF('Student List'!C32="","",UPPER(LEFT('Student List'!C32,FIND(",",'Student List'!C32)-1)))</f>
        <v/>
      </c>
      <c r="C28" s="12" t="str">
        <f>IF('Student List'!C32="","",PROPER(MID('Student List'!C32, FIND(",", 'Student List'!C32) + 2, LEN('Student List'!C32) - FIND(",", 'Student List'!C32) - 1)))</f>
        <v/>
      </c>
      <c r="D28" s="55"/>
      <c r="E28" s="8" t="str">
        <f>IF(MidCom!E28="","",MidCom!E28)</f>
        <v/>
      </c>
      <c r="F28" s="73" t="str">
        <f>IF(B28="","",SUM(('MT Attendance'!AV26*5),('MT Attendance'!AW26*3),('MT Attendance'!AX26*2)))</f>
        <v/>
      </c>
      <c r="G28" s="57" t="str">
        <f>MidCom!G28</f>
        <v/>
      </c>
      <c r="H28" s="142"/>
      <c r="I28" s="142"/>
      <c r="J28" s="142"/>
      <c r="K28" s="142"/>
      <c r="L28" s="142"/>
      <c r="M28" s="111" t="str">
        <f>MidCom!M28</f>
        <v/>
      </c>
      <c r="N28" s="142"/>
      <c r="O28" s="142"/>
      <c r="P28" s="142"/>
      <c r="Q28" s="142"/>
      <c r="R28" s="142"/>
      <c r="S28" s="115" t="str">
        <f>MidCom!S28</f>
        <v/>
      </c>
      <c r="T28" s="142"/>
      <c r="U28" s="142"/>
      <c r="V28" s="142"/>
      <c r="W28" s="142"/>
      <c r="X28" s="142"/>
      <c r="Y28" s="112" t="str">
        <f>MidCom!Y28</f>
        <v/>
      </c>
      <c r="Z28" s="126"/>
      <c r="AA28" s="126"/>
      <c r="AB28" s="126"/>
      <c r="AC28" s="126"/>
      <c r="AD28" s="126"/>
      <c r="AE28" s="58" t="str">
        <f>MidCom!AE28</f>
        <v/>
      </c>
      <c r="AF28" s="126"/>
      <c r="AG28" s="126"/>
      <c r="AH28" s="126"/>
      <c r="AI28" s="126"/>
      <c r="AJ28" s="126"/>
      <c r="AK28" s="59" t="str">
        <f>MidCom!AK28</f>
        <v/>
      </c>
      <c r="AL28" s="60" t="str">
        <f>MidCom!AL28</f>
        <v/>
      </c>
      <c r="AQ28" s="61" t="str">
        <f>MidCom!AQ28</f>
        <v/>
      </c>
      <c r="AR28" s="31"/>
      <c r="AS28" s="165" t="str">
        <f>MidCom!AS28</f>
        <v/>
      </c>
      <c r="AT28" s="17" t="str">
        <f>MidCom!AT28</f>
        <v/>
      </c>
      <c r="AU28" s="17" t="str">
        <f>MidCom!AU28</f>
        <v/>
      </c>
    </row>
    <row r="29" spans="1:47" x14ac:dyDescent="0.25">
      <c r="A29" s="8">
        <v>24</v>
      </c>
      <c r="B29" s="2" t="str">
        <f>IF('Student List'!C33="","",UPPER(LEFT('Student List'!C33,FIND(",",'Student List'!C33)-1)))</f>
        <v/>
      </c>
      <c r="C29" s="12" t="str">
        <f>IF('Student List'!C33="","",PROPER(MID('Student List'!C33, FIND(",", 'Student List'!C33) + 2, LEN('Student List'!C33) - FIND(",", 'Student List'!C33) - 1)))</f>
        <v/>
      </c>
      <c r="D29" s="55"/>
      <c r="E29" s="8" t="str">
        <f>IF(MidCom!E29="","",MidCom!E29)</f>
        <v/>
      </c>
      <c r="F29" s="73" t="str">
        <f>IF(B29="","",SUM(('MT Attendance'!AV27*5),('MT Attendance'!AW27*3),('MT Attendance'!AX27*2)))</f>
        <v/>
      </c>
      <c r="G29" s="57" t="str">
        <f>MidCom!G29</f>
        <v/>
      </c>
      <c r="H29" s="142"/>
      <c r="I29" s="142"/>
      <c r="J29" s="142"/>
      <c r="K29" s="142"/>
      <c r="L29" s="142"/>
      <c r="M29" s="111" t="str">
        <f>MidCom!M29</f>
        <v/>
      </c>
      <c r="N29" s="142"/>
      <c r="O29" s="142"/>
      <c r="P29" s="142"/>
      <c r="Q29" s="142"/>
      <c r="R29" s="142"/>
      <c r="S29" s="115" t="str">
        <f>MidCom!S29</f>
        <v/>
      </c>
      <c r="T29" s="142"/>
      <c r="U29" s="142"/>
      <c r="V29" s="142"/>
      <c r="W29" s="142"/>
      <c r="X29" s="142"/>
      <c r="Y29" s="112" t="str">
        <f>MidCom!Y29</f>
        <v/>
      </c>
      <c r="Z29" s="126"/>
      <c r="AA29" s="126"/>
      <c r="AB29" s="126"/>
      <c r="AC29" s="126"/>
      <c r="AD29" s="126"/>
      <c r="AE29" s="58" t="str">
        <f>MidCom!AE29</f>
        <v/>
      </c>
      <c r="AF29" s="126"/>
      <c r="AG29" s="126"/>
      <c r="AH29" s="126"/>
      <c r="AI29" s="126"/>
      <c r="AJ29" s="126"/>
      <c r="AK29" s="59" t="str">
        <f>MidCom!AK29</f>
        <v/>
      </c>
      <c r="AL29" s="60" t="str">
        <f>MidCom!AL29</f>
        <v/>
      </c>
      <c r="AQ29" s="61" t="str">
        <f>MidCom!AQ29</f>
        <v/>
      </c>
      <c r="AR29" s="31"/>
      <c r="AS29" s="165" t="str">
        <f>MidCom!AS29</f>
        <v/>
      </c>
      <c r="AT29" s="17" t="str">
        <f>MidCom!AT29</f>
        <v/>
      </c>
      <c r="AU29" s="17" t="str">
        <f>MidCom!AU29</f>
        <v/>
      </c>
    </row>
    <row r="30" spans="1:47" x14ac:dyDescent="0.25">
      <c r="A30" s="8">
        <v>25</v>
      </c>
      <c r="B30" s="2" t="str">
        <f>IF('Student List'!C34="","",UPPER(LEFT('Student List'!C34,FIND(",",'Student List'!C34)-1)))</f>
        <v/>
      </c>
      <c r="C30" s="12" t="str">
        <f>IF('Student List'!C34="","",PROPER(MID('Student List'!C34, FIND(",", 'Student List'!C34) + 2, LEN('Student List'!C34) - FIND(",", 'Student List'!C34) - 1)))</f>
        <v/>
      </c>
      <c r="D30" s="55"/>
      <c r="E30" s="8" t="str">
        <f>IF(MidCom!E30="","",MidCom!E30)</f>
        <v/>
      </c>
      <c r="F30" s="73" t="str">
        <f>IF(B30="","",SUM(('MT Attendance'!AV28*5),('MT Attendance'!AW28*3),('MT Attendance'!AX28*2)))</f>
        <v/>
      </c>
      <c r="G30" s="57" t="str">
        <f>MidCom!G30</f>
        <v/>
      </c>
      <c r="H30" s="142"/>
      <c r="I30" s="142"/>
      <c r="J30" s="142"/>
      <c r="K30" s="142"/>
      <c r="L30" s="142"/>
      <c r="M30" s="111" t="str">
        <f>MidCom!M30</f>
        <v/>
      </c>
      <c r="N30" s="142"/>
      <c r="O30" s="142"/>
      <c r="P30" s="142"/>
      <c r="Q30" s="142"/>
      <c r="R30" s="142"/>
      <c r="S30" s="115" t="str">
        <f>MidCom!S30</f>
        <v/>
      </c>
      <c r="T30" s="142"/>
      <c r="U30" s="142"/>
      <c r="V30" s="142"/>
      <c r="W30" s="142"/>
      <c r="X30" s="142"/>
      <c r="Y30" s="112" t="str">
        <f>MidCom!Y30</f>
        <v/>
      </c>
      <c r="Z30" s="126"/>
      <c r="AA30" s="126"/>
      <c r="AB30" s="126"/>
      <c r="AC30" s="126"/>
      <c r="AD30" s="126"/>
      <c r="AE30" s="58" t="str">
        <f>MidCom!AE30</f>
        <v/>
      </c>
      <c r="AF30" s="126"/>
      <c r="AG30" s="126"/>
      <c r="AH30" s="126"/>
      <c r="AI30" s="126"/>
      <c r="AJ30" s="126"/>
      <c r="AK30" s="59" t="str">
        <f>MidCom!AK30</f>
        <v/>
      </c>
      <c r="AL30" s="60" t="str">
        <f>MidCom!AL30</f>
        <v/>
      </c>
      <c r="AQ30" s="61" t="str">
        <f>MidCom!AQ30</f>
        <v/>
      </c>
      <c r="AR30" s="31"/>
      <c r="AS30" s="165" t="str">
        <f>MidCom!AS30</f>
        <v/>
      </c>
      <c r="AT30" s="17" t="str">
        <f>MidCom!AT30</f>
        <v/>
      </c>
      <c r="AU30" s="17" t="str">
        <f>MidCom!AU30</f>
        <v/>
      </c>
    </row>
    <row r="31" spans="1:47" x14ac:dyDescent="0.25">
      <c r="A31" s="8">
        <v>26</v>
      </c>
      <c r="B31" s="2" t="str">
        <f>IF('Student List'!C35="","",UPPER(LEFT('Student List'!C35,FIND(",",'Student List'!C35)-1)))</f>
        <v/>
      </c>
      <c r="C31" s="12" t="str">
        <f>IF('Student List'!C35="","",PROPER(MID('Student List'!C35, FIND(",", 'Student List'!C35) + 2, LEN('Student List'!C35) - FIND(",", 'Student List'!C35) - 1)))</f>
        <v/>
      </c>
      <c r="D31" s="55"/>
      <c r="E31" s="8" t="str">
        <f>IF(MidCom!E31="","",MidCom!E31)</f>
        <v/>
      </c>
      <c r="F31" s="73" t="str">
        <f>IF(B31="","",SUM(('MT Attendance'!AV29*5),('MT Attendance'!AW29*3),('MT Attendance'!AX29*2)))</f>
        <v/>
      </c>
      <c r="G31" s="57" t="str">
        <f>MidCom!G31</f>
        <v/>
      </c>
      <c r="H31" s="142"/>
      <c r="I31" s="142"/>
      <c r="J31" s="142"/>
      <c r="K31" s="142"/>
      <c r="L31" s="142"/>
      <c r="M31" s="111" t="str">
        <f>MidCom!M31</f>
        <v/>
      </c>
      <c r="N31" s="142"/>
      <c r="O31" s="142"/>
      <c r="P31" s="142"/>
      <c r="Q31" s="142"/>
      <c r="R31" s="142"/>
      <c r="S31" s="115" t="str">
        <f>MidCom!S31</f>
        <v/>
      </c>
      <c r="T31" s="142"/>
      <c r="U31" s="142"/>
      <c r="V31" s="142"/>
      <c r="W31" s="142"/>
      <c r="X31" s="142"/>
      <c r="Y31" s="112" t="str">
        <f>MidCom!Y31</f>
        <v/>
      </c>
      <c r="Z31" s="126"/>
      <c r="AA31" s="126"/>
      <c r="AB31" s="126"/>
      <c r="AC31" s="126"/>
      <c r="AD31" s="126"/>
      <c r="AE31" s="58" t="str">
        <f>MidCom!AE31</f>
        <v/>
      </c>
      <c r="AF31" s="126"/>
      <c r="AG31" s="126"/>
      <c r="AH31" s="126"/>
      <c r="AI31" s="126"/>
      <c r="AJ31" s="126"/>
      <c r="AK31" s="59" t="str">
        <f>MidCom!AK31</f>
        <v/>
      </c>
      <c r="AL31" s="60" t="str">
        <f>MidCom!AL31</f>
        <v/>
      </c>
      <c r="AQ31" s="61" t="str">
        <f>MidCom!AQ31</f>
        <v/>
      </c>
      <c r="AR31" s="31"/>
      <c r="AS31" s="165" t="str">
        <f>MidCom!AS31</f>
        <v/>
      </c>
      <c r="AT31" s="17" t="str">
        <f>MidCom!AT31</f>
        <v/>
      </c>
      <c r="AU31" s="17" t="str">
        <f>MidCom!AU31</f>
        <v/>
      </c>
    </row>
    <row r="32" spans="1:47" x14ac:dyDescent="0.25">
      <c r="A32" s="8">
        <v>27</v>
      </c>
      <c r="B32" s="2" t="str">
        <f>IF('Student List'!C36="","",UPPER(LEFT('Student List'!C36,FIND(",",'Student List'!C36)-1)))</f>
        <v/>
      </c>
      <c r="C32" s="12" t="str">
        <f>IF('Student List'!C36="","",PROPER(MID('Student List'!C36, FIND(",", 'Student List'!C36) + 2, LEN('Student List'!C36) - FIND(",", 'Student List'!C36) - 1)))</f>
        <v/>
      </c>
      <c r="D32" s="55"/>
      <c r="E32" s="8" t="str">
        <f>IF(MidCom!E32="","",MidCom!E32)</f>
        <v/>
      </c>
      <c r="F32" s="73" t="str">
        <f>IF(B32="","",SUM(('MT Attendance'!AV30*5),('MT Attendance'!AW30*3),('MT Attendance'!AX30*2)))</f>
        <v/>
      </c>
      <c r="G32" s="57" t="str">
        <f>MidCom!G32</f>
        <v/>
      </c>
      <c r="H32" s="142"/>
      <c r="I32" s="142"/>
      <c r="J32" s="142"/>
      <c r="K32" s="142"/>
      <c r="L32" s="142"/>
      <c r="M32" s="111" t="str">
        <f>MidCom!M32</f>
        <v/>
      </c>
      <c r="N32" s="142"/>
      <c r="O32" s="142"/>
      <c r="P32" s="142"/>
      <c r="Q32" s="142"/>
      <c r="R32" s="142"/>
      <c r="S32" s="115" t="str">
        <f>MidCom!S32</f>
        <v/>
      </c>
      <c r="T32" s="142"/>
      <c r="U32" s="142"/>
      <c r="V32" s="142"/>
      <c r="W32" s="142"/>
      <c r="X32" s="142"/>
      <c r="Y32" s="112" t="str">
        <f>MidCom!Y32</f>
        <v/>
      </c>
      <c r="Z32" s="126"/>
      <c r="AA32" s="126"/>
      <c r="AB32" s="126"/>
      <c r="AC32" s="126"/>
      <c r="AD32" s="126"/>
      <c r="AE32" s="58" t="str">
        <f>MidCom!AE32</f>
        <v/>
      </c>
      <c r="AF32" s="126"/>
      <c r="AG32" s="126"/>
      <c r="AH32" s="126"/>
      <c r="AI32" s="126"/>
      <c r="AJ32" s="126"/>
      <c r="AK32" s="59" t="str">
        <f>MidCom!AK32</f>
        <v/>
      </c>
      <c r="AL32" s="60" t="str">
        <f>MidCom!AL32</f>
        <v/>
      </c>
      <c r="AQ32" s="61" t="str">
        <f>MidCom!AQ32</f>
        <v/>
      </c>
      <c r="AR32" s="31"/>
      <c r="AS32" s="165" t="str">
        <f>MidCom!AS32</f>
        <v/>
      </c>
      <c r="AT32" s="17" t="str">
        <f>MidCom!AT32</f>
        <v/>
      </c>
      <c r="AU32" s="17" t="str">
        <f>MidCom!AU32</f>
        <v/>
      </c>
    </row>
    <row r="33" spans="1:47" x14ac:dyDescent="0.25">
      <c r="A33" s="8">
        <v>28</v>
      </c>
      <c r="B33" s="2" t="str">
        <f>IF('Student List'!C37="","",UPPER(LEFT('Student List'!C37,FIND(",",'Student List'!C37)-1)))</f>
        <v/>
      </c>
      <c r="C33" s="12" t="str">
        <f>IF('Student List'!C37="","",PROPER(MID('Student List'!C37, FIND(",", 'Student List'!C37) + 2, LEN('Student List'!C37) - FIND(",", 'Student List'!C37) - 1)))</f>
        <v/>
      </c>
      <c r="D33" s="55"/>
      <c r="E33" s="8" t="str">
        <f>IF(MidCom!E33="","",MidCom!E33)</f>
        <v/>
      </c>
      <c r="F33" s="73" t="str">
        <f>IF(B33="","",SUM(('MT Attendance'!AV31*5),('MT Attendance'!AW31*3),('MT Attendance'!AX31*2)))</f>
        <v/>
      </c>
      <c r="G33" s="57" t="str">
        <f>MidCom!G33</f>
        <v/>
      </c>
      <c r="H33" s="142"/>
      <c r="I33" s="142"/>
      <c r="J33" s="142"/>
      <c r="K33" s="142"/>
      <c r="L33" s="142"/>
      <c r="M33" s="111" t="str">
        <f>MidCom!M33</f>
        <v/>
      </c>
      <c r="N33" s="142"/>
      <c r="O33" s="142"/>
      <c r="P33" s="142"/>
      <c r="Q33" s="142"/>
      <c r="R33" s="142"/>
      <c r="S33" s="115" t="str">
        <f>MidCom!S33</f>
        <v/>
      </c>
      <c r="T33" s="142"/>
      <c r="U33" s="142"/>
      <c r="V33" s="142"/>
      <c r="W33" s="142"/>
      <c r="X33" s="142"/>
      <c r="Y33" s="112" t="str">
        <f>MidCom!Y33</f>
        <v/>
      </c>
      <c r="Z33" s="126"/>
      <c r="AA33" s="126"/>
      <c r="AB33" s="126"/>
      <c r="AC33" s="126"/>
      <c r="AD33" s="126"/>
      <c r="AE33" s="58" t="str">
        <f>MidCom!AE33</f>
        <v/>
      </c>
      <c r="AF33" s="126"/>
      <c r="AG33" s="126"/>
      <c r="AH33" s="126"/>
      <c r="AI33" s="126"/>
      <c r="AJ33" s="126"/>
      <c r="AK33" s="59" t="str">
        <f>MidCom!AK33</f>
        <v/>
      </c>
      <c r="AL33" s="60" t="str">
        <f>MidCom!AL33</f>
        <v/>
      </c>
      <c r="AQ33" s="61" t="str">
        <f>MidCom!AQ33</f>
        <v/>
      </c>
      <c r="AR33" s="31"/>
      <c r="AS33" s="165" t="str">
        <f>MidCom!AS33</f>
        <v/>
      </c>
      <c r="AT33" s="17" t="str">
        <f>MidCom!AT33</f>
        <v/>
      </c>
      <c r="AU33" s="17" t="str">
        <f>MidCom!AU33</f>
        <v/>
      </c>
    </row>
    <row r="34" spans="1:47" x14ac:dyDescent="0.25">
      <c r="A34" s="8">
        <v>29</v>
      </c>
      <c r="B34" s="2" t="str">
        <f>IF('Student List'!C38="","",UPPER(LEFT('Student List'!C38,FIND(",",'Student List'!C38)-1)))</f>
        <v/>
      </c>
      <c r="C34" s="12" t="str">
        <f>IF('Student List'!C38="","",PROPER(MID('Student List'!C38, FIND(",", 'Student List'!C38) + 2, LEN('Student List'!C38) - FIND(",", 'Student List'!C38) - 1)))</f>
        <v/>
      </c>
      <c r="D34" s="55"/>
      <c r="E34" s="8" t="str">
        <f>IF(MidCom!E34="","",MidCom!E34)</f>
        <v/>
      </c>
      <c r="F34" s="73" t="str">
        <f>IF(B34="","",SUM(('MT Attendance'!AV32*5),('MT Attendance'!AW32*3),('MT Attendance'!AX32*2)))</f>
        <v/>
      </c>
      <c r="G34" s="57" t="str">
        <f>MidCom!G34</f>
        <v/>
      </c>
      <c r="H34" s="142"/>
      <c r="I34" s="142"/>
      <c r="J34" s="142"/>
      <c r="K34" s="142"/>
      <c r="L34" s="142"/>
      <c r="M34" s="111" t="str">
        <f>MidCom!M34</f>
        <v/>
      </c>
      <c r="N34" s="142"/>
      <c r="O34" s="142"/>
      <c r="P34" s="142"/>
      <c r="Q34" s="142"/>
      <c r="R34" s="142"/>
      <c r="S34" s="115" t="str">
        <f>MidCom!S34</f>
        <v/>
      </c>
      <c r="T34" s="142"/>
      <c r="U34" s="142"/>
      <c r="V34" s="142"/>
      <c r="W34" s="142"/>
      <c r="X34" s="142"/>
      <c r="Y34" s="112" t="str">
        <f>MidCom!Y34</f>
        <v/>
      </c>
      <c r="Z34" s="126"/>
      <c r="AA34" s="126"/>
      <c r="AB34" s="126"/>
      <c r="AC34" s="126"/>
      <c r="AD34" s="126"/>
      <c r="AE34" s="58" t="str">
        <f>MidCom!AE34</f>
        <v/>
      </c>
      <c r="AF34" s="126"/>
      <c r="AG34" s="126"/>
      <c r="AH34" s="126"/>
      <c r="AI34" s="126"/>
      <c r="AJ34" s="126"/>
      <c r="AK34" s="59" t="str">
        <f>MidCom!AK34</f>
        <v/>
      </c>
      <c r="AL34" s="60" t="str">
        <f>MidCom!AL34</f>
        <v/>
      </c>
      <c r="AQ34" s="61" t="str">
        <f>MidCom!AQ34</f>
        <v/>
      </c>
      <c r="AR34" s="31"/>
      <c r="AS34" s="165" t="str">
        <f>MidCom!AS34</f>
        <v/>
      </c>
      <c r="AT34" s="17" t="str">
        <f>MidCom!AT34</f>
        <v/>
      </c>
      <c r="AU34" s="17" t="str">
        <f>MidCom!AU34</f>
        <v/>
      </c>
    </row>
    <row r="35" spans="1:47" x14ac:dyDescent="0.25">
      <c r="A35" s="8">
        <v>30</v>
      </c>
      <c r="B35" s="2" t="str">
        <f>IF('Student List'!C39="","",UPPER(LEFT('Student List'!C39,FIND(",",'Student List'!C39)-1)))</f>
        <v/>
      </c>
      <c r="C35" s="12" t="str">
        <f>IF('Student List'!C39="","",PROPER(MID('Student List'!C39, FIND(",", 'Student List'!C39) + 2, LEN('Student List'!C39) - FIND(",", 'Student List'!C39) - 1)))</f>
        <v/>
      </c>
      <c r="D35" s="55"/>
      <c r="E35" s="8" t="str">
        <f>IF(MidCom!E35="","",MidCom!E35)</f>
        <v/>
      </c>
      <c r="F35" s="73" t="str">
        <f>IF(B35="","",SUM(('MT Attendance'!AV33*5),('MT Attendance'!AW33*3),('MT Attendance'!AX33*2)))</f>
        <v/>
      </c>
      <c r="G35" s="57" t="str">
        <f>MidCom!G35</f>
        <v/>
      </c>
      <c r="H35" s="142"/>
      <c r="I35" s="142"/>
      <c r="J35" s="142"/>
      <c r="K35" s="142"/>
      <c r="L35" s="142"/>
      <c r="M35" s="111" t="str">
        <f>MidCom!M35</f>
        <v/>
      </c>
      <c r="N35" s="142"/>
      <c r="O35" s="142"/>
      <c r="P35" s="142"/>
      <c r="Q35" s="142"/>
      <c r="R35" s="142"/>
      <c r="S35" s="115" t="str">
        <f>MidCom!S35</f>
        <v/>
      </c>
      <c r="T35" s="142"/>
      <c r="U35" s="142"/>
      <c r="V35" s="142"/>
      <c r="W35" s="142"/>
      <c r="X35" s="142"/>
      <c r="Y35" s="112" t="str">
        <f>MidCom!Y35</f>
        <v/>
      </c>
      <c r="Z35" s="126"/>
      <c r="AA35" s="126"/>
      <c r="AB35" s="126"/>
      <c r="AC35" s="126"/>
      <c r="AD35" s="126"/>
      <c r="AE35" s="58" t="str">
        <f>MidCom!AE35</f>
        <v/>
      </c>
      <c r="AF35" s="126"/>
      <c r="AG35" s="126"/>
      <c r="AH35" s="126"/>
      <c r="AI35" s="126"/>
      <c r="AJ35" s="126"/>
      <c r="AK35" s="59" t="str">
        <f>MidCom!AK35</f>
        <v/>
      </c>
      <c r="AL35" s="60" t="str">
        <f>MidCom!AL35</f>
        <v/>
      </c>
      <c r="AQ35" s="61" t="str">
        <f>MidCom!AQ35</f>
        <v/>
      </c>
      <c r="AR35" s="31"/>
      <c r="AS35" s="165" t="str">
        <f>MidCom!AS35</f>
        <v/>
      </c>
      <c r="AT35" s="17" t="str">
        <f>MidCom!AT35</f>
        <v/>
      </c>
      <c r="AU35" s="17" t="str">
        <f>MidCom!AU35</f>
        <v/>
      </c>
    </row>
    <row r="36" spans="1:47" x14ac:dyDescent="0.25">
      <c r="A36" s="8">
        <v>31</v>
      </c>
      <c r="B36" s="2" t="str">
        <f>IF('Student List'!C40="","",UPPER(LEFT('Student List'!C40,FIND(",",'Student List'!C40)-1)))</f>
        <v/>
      </c>
      <c r="C36" s="12" t="str">
        <f>IF('Student List'!C40="","",PROPER(MID('Student List'!C40, FIND(",", 'Student List'!C40) + 2, LEN('Student List'!C40) - FIND(",", 'Student List'!C40) - 1)))</f>
        <v/>
      </c>
      <c r="D36" s="55"/>
      <c r="E36" s="8" t="str">
        <f>IF(MidCom!E36="","",MidCom!E36)</f>
        <v/>
      </c>
      <c r="F36" s="73" t="str">
        <f>IF(B36="","",SUM(('MT Attendance'!AV34*5),('MT Attendance'!AW34*3),('MT Attendance'!AX34*2)))</f>
        <v/>
      </c>
      <c r="G36" s="57" t="str">
        <f>MidCom!G36</f>
        <v/>
      </c>
      <c r="H36" s="142"/>
      <c r="I36" s="142"/>
      <c r="J36" s="142"/>
      <c r="K36" s="142"/>
      <c r="L36" s="142"/>
      <c r="M36" s="111" t="str">
        <f>MidCom!M36</f>
        <v/>
      </c>
      <c r="N36" s="142"/>
      <c r="O36" s="142"/>
      <c r="P36" s="142"/>
      <c r="Q36" s="142"/>
      <c r="R36" s="142"/>
      <c r="S36" s="115" t="str">
        <f>MidCom!S36</f>
        <v/>
      </c>
      <c r="T36" s="142"/>
      <c r="U36" s="142"/>
      <c r="V36" s="142"/>
      <c r="W36" s="142"/>
      <c r="X36" s="142"/>
      <c r="Y36" s="112" t="str">
        <f>MidCom!Y36</f>
        <v/>
      </c>
      <c r="Z36" s="126"/>
      <c r="AA36" s="126"/>
      <c r="AB36" s="126"/>
      <c r="AC36" s="126"/>
      <c r="AD36" s="126"/>
      <c r="AE36" s="58" t="str">
        <f>MidCom!AE36</f>
        <v/>
      </c>
      <c r="AF36" s="126"/>
      <c r="AG36" s="126"/>
      <c r="AH36" s="126"/>
      <c r="AI36" s="126"/>
      <c r="AJ36" s="126"/>
      <c r="AK36" s="59" t="str">
        <f>MidCom!AK36</f>
        <v/>
      </c>
      <c r="AL36" s="60" t="str">
        <f>MidCom!AL36</f>
        <v/>
      </c>
      <c r="AQ36" s="61" t="str">
        <f>MidCom!AQ36</f>
        <v/>
      </c>
      <c r="AR36" s="31"/>
      <c r="AS36" s="165" t="str">
        <f>MidCom!AS36</f>
        <v/>
      </c>
      <c r="AT36" s="17" t="str">
        <f>MidCom!AT36</f>
        <v/>
      </c>
      <c r="AU36" s="17" t="str">
        <f>MidCom!AU36</f>
        <v/>
      </c>
    </row>
    <row r="37" spans="1:47" x14ac:dyDescent="0.25">
      <c r="A37" s="8">
        <v>32</v>
      </c>
      <c r="B37" s="2" t="str">
        <f>IF('Student List'!C41="","",UPPER(LEFT('Student List'!C41,FIND(",",'Student List'!C41)-1)))</f>
        <v/>
      </c>
      <c r="C37" s="12" t="str">
        <f>IF('Student List'!C41="","",PROPER(MID('Student List'!C41, FIND(",", 'Student List'!C41) + 2, LEN('Student List'!C41) - FIND(",", 'Student List'!C41) - 1)))</f>
        <v/>
      </c>
      <c r="D37" s="55"/>
      <c r="E37" s="8" t="str">
        <f>IF(MidCom!E37="","",MidCom!E37)</f>
        <v/>
      </c>
      <c r="F37" s="73" t="str">
        <f>IF(B37="","",SUM(('MT Attendance'!AV35*5),('MT Attendance'!AW35*3),('MT Attendance'!AX35*2)))</f>
        <v/>
      </c>
      <c r="G37" s="57" t="str">
        <f>MidCom!G37</f>
        <v/>
      </c>
      <c r="H37" s="142"/>
      <c r="I37" s="142"/>
      <c r="J37" s="142"/>
      <c r="K37" s="142"/>
      <c r="L37" s="142"/>
      <c r="M37" s="111" t="str">
        <f>MidCom!M37</f>
        <v/>
      </c>
      <c r="N37" s="142"/>
      <c r="O37" s="142"/>
      <c r="P37" s="142"/>
      <c r="Q37" s="142"/>
      <c r="R37" s="142"/>
      <c r="S37" s="115" t="str">
        <f>MidCom!S37</f>
        <v/>
      </c>
      <c r="T37" s="142"/>
      <c r="U37" s="142"/>
      <c r="V37" s="142"/>
      <c r="W37" s="142"/>
      <c r="X37" s="142"/>
      <c r="Y37" s="112" t="str">
        <f>MidCom!Y37</f>
        <v/>
      </c>
      <c r="Z37" s="126"/>
      <c r="AA37" s="126"/>
      <c r="AB37" s="126"/>
      <c r="AC37" s="126"/>
      <c r="AD37" s="126"/>
      <c r="AE37" s="58" t="str">
        <f>MidCom!AE37</f>
        <v/>
      </c>
      <c r="AF37" s="126"/>
      <c r="AG37" s="126"/>
      <c r="AH37" s="126"/>
      <c r="AI37" s="126"/>
      <c r="AJ37" s="126"/>
      <c r="AK37" s="59" t="str">
        <f>MidCom!AK37</f>
        <v/>
      </c>
      <c r="AL37" s="60" t="str">
        <f>MidCom!AL37</f>
        <v/>
      </c>
      <c r="AQ37" s="61" t="str">
        <f>MidCom!AQ37</f>
        <v/>
      </c>
      <c r="AR37" s="31"/>
      <c r="AS37" s="165" t="str">
        <f>MidCom!AS37</f>
        <v/>
      </c>
      <c r="AT37" s="17" t="str">
        <f>MidCom!AT37</f>
        <v/>
      </c>
      <c r="AU37" s="17" t="str">
        <f>MidCom!AU37</f>
        <v/>
      </c>
    </row>
    <row r="38" spans="1:47" x14ac:dyDescent="0.25">
      <c r="A38" s="8">
        <v>33</v>
      </c>
      <c r="B38" s="2" t="str">
        <f>IF('Student List'!C42="","",UPPER(LEFT('Student List'!C42,FIND(",",'Student List'!C42)-1)))</f>
        <v/>
      </c>
      <c r="C38" s="12" t="str">
        <f>IF('Student List'!C42="","",PROPER(MID('Student List'!C42, FIND(",", 'Student List'!C42) + 2, LEN('Student List'!C42) - FIND(",", 'Student List'!C42) - 1)))</f>
        <v/>
      </c>
      <c r="D38" s="55"/>
      <c r="E38" s="8" t="str">
        <f>IF(MidCom!E38="","",MidCom!E38)</f>
        <v/>
      </c>
      <c r="F38" s="73" t="str">
        <f>IF(B38="","",SUM(('MT Attendance'!AV36*5),('MT Attendance'!AW36*3),('MT Attendance'!AX36*2)))</f>
        <v/>
      </c>
      <c r="G38" s="57" t="str">
        <f>MidCom!G38</f>
        <v/>
      </c>
      <c r="H38" s="142"/>
      <c r="I38" s="142"/>
      <c r="J38" s="142"/>
      <c r="K38" s="142"/>
      <c r="L38" s="142"/>
      <c r="M38" s="111" t="str">
        <f>MidCom!M38</f>
        <v/>
      </c>
      <c r="N38" s="142"/>
      <c r="O38" s="142"/>
      <c r="P38" s="142"/>
      <c r="Q38" s="142"/>
      <c r="R38" s="142"/>
      <c r="S38" s="115" t="str">
        <f>MidCom!S38</f>
        <v/>
      </c>
      <c r="T38" s="142"/>
      <c r="U38" s="142"/>
      <c r="V38" s="142"/>
      <c r="W38" s="142"/>
      <c r="X38" s="142"/>
      <c r="Y38" s="112" t="str">
        <f>MidCom!Y38</f>
        <v/>
      </c>
      <c r="Z38" s="126"/>
      <c r="AA38" s="126"/>
      <c r="AB38" s="126"/>
      <c r="AC38" s="126"/>
      <c r="AD38" s="126"/>
      <c r="AE38" s="58" t="str">
        <f>MidCom!AE38</f>
        <v/>
      </c>
      <c r="AF38" s="126"/>
      <c r="AG38" s="126"/>
      <c r="AH38" s="126"/>
      <c r="AI38" s="126"/>
      <c r="AJ38" s="126"/>
      <c r="AK38" s="59" t="str">
        <f>MidCom!AK38</f>
        <v/>
      </c>
      <c r="AL38" s="60" t="str">
        <f>MidCom!AL38</f>
        <v/>
      </c>
      <c r="AQ38" s="61" t="str">
        <f>MidCom!AQ38</f>
        <v/>
      </c>
      <c r="AR38" s="31"/>
      <c r="AS38" s="165" t="str">
        <f>MidCom!AS38</f>
        <v/>
      </c>
      <c r="AT38" s="17" t="str">
        <f>MidCom!AT38</f>
        <v/>
      </c>
      <c r="AU38" s="17" t="str">
        <f>MidCom!AU38</f>
        <v/>
      </c>
    </row>
    <row r="39" spans="1:47" x14ac:dyDescent="0.25">
      <c r="A39" s="8">
        <v>34</v>
      </c>
      <c r="B39" s="2" t="str">
        <f>IF('Student List'!C43="","",UPPER(LEFT('Student List'!C43,FIND(",",'Student List'!C43)-1)))</f>
        <v/>
      </c>
      <c r="C39" s="12" t="str">
        <f>IF('Student List'!C43="","",PROPER(MID('Student List'!C43, FIND(",", 'Student List'!C43) + 2, LEN('Student List'!C43) - FIND(",", 'Student List'!C43) - 1)))</f>
        <v/>
      </c>
      <c r="D39" s="55"/>
      <c r="E39" s="8" t="str">
        <f>IF(MidCom!E39="","",MidCom!E39)</f>
        <v/>
      </c>
      <c r="F39" s="73" t="str">
        <f>IF(B39="","",SUM(('MT Attendance'!AV37*5),('MT Attendance'!AW37*3),('MT Attendance'!AX37*2)))</f>
        <v/>
      </c>
      <c r="G39" s="57" t="str">
        <f>MidCom!G39</f>
        <v/>
      </c>
      <c r="H39" s="142"/>
      <c r="I39" s="142"/>
      <c r="J39" s="142"/>
      <c r="K39" s="142"/>
      <c r="L39" s="142"/>
      <c r="M39" s="111" t="str">
        <f>MidCom!M39</f>
        <v/>
      </c>
      <c r="N39" s="142"/>
      <c r="O39" s="142"/>
      <c r="P39" s="142"/>
      <c r="Q39" s="142"/>
      <c r="R39" s="142"/>
      <c r="S39" s="115" t="str">
        <f>MidCom!S39</f>
        <v/>
      </c>
      <c r="T39" s="142"/>
      <c r="U39" s="142"/>
      <c r="V39" s="142"/>
      <c r="W39" s="142"/>
      <c r="X39" s="142"/>
      <c r="Y39" s="112" t="str">
        <f>MidCom!Y39</f>
        <v/>
      </c>
      <c r="Z39" s="126"/>
      <c r="AA39" s="126"/>
      <c r="AB39" s="126"/>
      <c r="AC39" s="126"/>
      <c r="AD39" s="126"/>
      <c r="AE39" s="58" t="str">
        <f>MidCom!AE39</f>
        <v/>
      </c>
      <c r="AF39" s="126"/>
      <c r="AG39" s="126"/>
      <c r="AH39" s="126"/>
      <c r="AI39" s="126"/>
      <c r="AJ39" s="126"/>
      <c r="AK39" s="59" t="str">
        <f>MidCom!AK39</f>
        <v/>
      </c>
      <c r="AL39" s="60" t="str">
        <f>MidCom!AL39</f>
        <v/>
      </c>
      <c r="AQ39" s="61" t="str">
        <f>MidCom!AQ39</f>
        <v/>
      </c>
      <c r="AR39" s="31"/>
      <c r="AS39" s="165" t="str">
        <f>MidCom!AS39</f>
        <v/>
      </c>
      <c r="AT39" s="17" t="str">
        <f>MidCom!AT39</f>
        <v/>
      </c>
      <c r="AU39" s="17" t="str">
        <f>MidCom!AU39</f>
        <v/>
      </c>
    </row>
    <row r="40" spans="1:47" x14ac:dyDescent="0.25">
      <c r="A40" s="8">
        <v>35</v>
      </c>
      <c r="B40" s="2" t="str">
        <f>IF('Student List'!C44="","",UPPER(LEFT('Student List'!C44,FIND(",",'Student List'!C44)-1)))</f>
        <v/>
      </c>
      <c r="C40" s="12" t="str">
        <f>IF('Student List'!C44="","",PROPER(MID('Student List'!C44, FIND(",", 'Student List'!C44) + 2, LEN('Student List'!C44) - FIND(",", 'Student List'!C44) - 1)))</f>
        <v/>
      </c>
      <c r="D40" s="55"/>
      <c r="E40" s="8" t="str">
        <f>IF(MidCom!E40="","",MidCom!E40)</f>
        <v/>
      </c>
      <c r="F40" s="73" t="str">
        <f>IF(B40="","",SUM(('MT Attendance'!AV38*5),('MT Attendance'!AW38*3),('MT Attendance'!AX38*2)))</f>
        <v/>
      </c>
      <c r="G40" s="57" t="str">
        <f>MidCom!G40</f>
        <v/>
      </c>
      <c r="H40" s="142"/>
      <c r="I40" s="142"/>
      <c r="J40" s="142"/>
      <c r="K40" s="142"/>
      <c r="L40" s="142"/>
      <c r="M40" s="111" t="str">
        <f>MidCom!M40</f>
        <v/>
      </c>
      <c r="N40" s="142"/>
      <c r="O40" s="142"/>
      <c r="P40" s="142"/>
      <c r="Q40" s="142"/>
      <c r="R40" s="142"/>
      <c r="S40" s="115" t="str">
        <f>MidCom!S40</f>
        <v/>
      </c>
      <c r="T40" s="142"/>
      <c r="U40" s="142"/>
      <c r="V40" s="142"/>
      <c r="W40" s="142"/>
      <c r="X40" s="142"/>
      <c r="Y40" s="112" t="str">
        <f>MidCom!Y40</f>
        <v/>
      </c>
      <c r="Z40" s="126"/>
      <c r="AA40" s="126"/>
      <c r="AB40" s="126"/>
      <c r="AC40" s="126"/>
      <c r="AD40" s="126"/>
      <c r="AE40" s="58" t="str">
        <f>MidCom!AE40</f>
        <v/>
      </c>
      <c r="AF40" s="126"/>
      <c r="AG40" s="126"/>
      <c r="AH40" s="126"/>
      <c r="AI40" s="126"/>
      <c r="AJ40" s="126"/>
      <c r="AK40" s="59" t="str">
        <f>MidCom!AK40</f>
        <v/>
      </c>
      <c r="AL40" s="60" t="str">
        <f>MidCom!AL40</f>
        <v/>
      </c>
      <c r="AQ40" s="61" t="str">
        <f>MidCom!AQ40</f>
        <v/>
      </c>
      <c r="AR40" s="31">
        <v>1</v>
      </c>
      <c r="AS40" s="165" t="str">
        <f>MidCom!AS40</f>
        <v/>
      </c>
      <c r="AT40" s="17" t="str">
        <f>MidCom!AT40</f>
        <v/>
      </c>
      <c r="AU40" s="17" t="str">
        <f>MidCom!AU40</f>
        <v/>
      </c>
    </row>
    <row r="41" spans="1:47" x14ac:dyDescent="0.25">
      <c r="A41" s="8">
        <v>36</v>
      </c>
      <c r="B41" s="2" t="str">
        <f>IF('Student List'!C45="","",UPPER(LEFT('Student List'!C45,FIND(",",'Student List'!C45)-1)))</f>
        <v/>
      </c>
      <c r="C41" s="12" t="str">
        <f>IF('Student List'!C45="","",PROPER(MID('Student List'!C45, FIND(",", 'Student List'!C45) + 2, LEN('Student List'!C45) - FIND(",", 'Student List'!C45) - 1)))</f>
        <v/>
      </c>
      <c r="D41" s="55"/>
      <c r="E41" s="8" t="str">
        <f>IF(MidCom!E41="","",MidCom!E41)</f>
        <v/>
      </c>
      <c r="F41" s="73" t="str">
        <f>IF(B41="","",SUM(('MT Attendance'!AV39*5),('MT Attendance'!AW39*3),('MT Attendance'!AX39*2)))</f>
        <v/>
      </c>
      <c r="G41" s="57" t="str">
        <f>MidCom!G41</f>
        <v/>
      </c>
      <c r="H41" s="142"/>
      <c r="I41" s="142"/>
      <c r="J41" s="142"/>
      <c r="K41" s="142"/>
      <c r="L41" s="142"/>
      <c r="M41" s="111" t="str">
        <f>MidCom!M41</f>
        <v/>
      </c>
      <c r="N41" s="142"/>
      <c r="O41" s="142"/>
      <c r="P41" s="142"/>
      <c r="Q41" s="142"/>
      <c r="R41" s="142"/>
      <c r="S41" s="115" t="str">
        <f>MidCom!S41</f>
        <v/>
      </c>
      <c r="T41" s="142"/>
      <c r="U41" s="142"/>
      <c r="V41" s="142"/>
      <c r="W41" s="142"/>
      <c r="X41" s="142"/>
      <c r="Y41" s="112" t="str">
        <f>MidCom!Y41</f>
        <v/>
      </c>
      <c r="Z41" s="126"/>
      <c r="AA41" s="126"/>
      <c r="AB41" s="126"/>
      <c r="AC41" s="126"/>
      <c r="AD41" s="126"/>
      <c r="AE41" s="58" t="str">
        <f>MidCom!AE41</f>
        <v/>
      </c>
      <c r="AF41" s="126"/>
      <c r="AG41" s="126"/>
      <c r="AH41" s="126"/>
      <c r="AI41" s="126"/>
      <c r="AJ41" s="126"/>
      <c r="AK41" s="59" t="str">
        <f>MidCom!AK41</f>
        <v/>
      </c>
      <c r="AL41" s="60" t="str">
        <f>MidCom!AL41</f>
        <v/>
      </c>
      <c r="AQ41" s="61" t="str">
        <f>MidCom!AQ41</f>
        <v/>
      </c>
      <c r="AR41" s="31"/>
      <c r="AS41" s="165" t="str">
        <f>MidCom!AS41</f>
        <v/>
      </c>
      <c r="AT41" s="17" t="str">
        <f>MidCom!AT41</f>
        <v/>
      </c>
      <c r="AU41" s="17" t="str">
        <f>MidCom!AU41</f>
        <v/>
      </c>
    </row>
    <row r="42" spans="1:47" x14ac:dyDescent="0.25">
      <c r="A42" s="8">
        <v>37</v>
      </c>
      <c r="B42" s="2" t="str">
        <f>IF('Student List'!C46="","",UPPER(LEFT('Student List'!C46,FIND(",",'Student List'!C46)-1)))</f>
        <v/>
      </c>
      <c r="C42" s="12" t="str">
        <f>IF('Student List'!C46="","",PROPER(MID('Student List'!C46, FIND(",", 'Student List'!C46) + 2, LEN('Student List'!C46) - FIND(",", 'Student List'!C46) - 1)))</f>
        <v/>
      </c>
      <c r="D42" s="55"/>
      <c r="E42" s="8" t="str">
        <f>IF(MidCom!E42="","",MidCom!E42)</f>
        <v/>
      </c>
      <c r="F42" s="73" t="str">
        <f>IF(B42="","",SUM(('MT Attendance'!AV40*5),('MT Attendance'!AW40*3),('MT Attendance'!AX40*2)))</f>
        <v/>
      </c>
      <c r="G42" s="57" t="str">
        <f>MidCom!G42</f>
        <v/>
      </c>
      <c r="H42" s="142"/>
      <c r="I42" s="142"/>
      <c r="J42" s="142"/>
      <c r="K42" s="142"/>
      <c r="L42" s="142"/>
      <c r="M42" s="111" t="str">
        <f>MidCom!M42</f>
        <v/>
      </c>
      <c r="N42" s="142"/>
      <c r="O42" s="142"/>
      <c r="P42" s="142"/>
      <c r="Q42" s="142"/>
      <c r="R42" s="142"/>
      <c r="S42" s="115" t="str">
        <f>MidCom!S42</f>
        <v/>
      </c>
      <c r="T42" s="142"/>
      <c r="U42" s="142"/>
      <c r="V42" s="142"/>
      <c r="W42" s="142"/>
      <c r="X42" s="142"/>
      <c r="Y42" s="112" t="str">
        <f>MidCom!Y42</f>
        <v/>
      </c>
      <c r="Z42" s="126"/>
      <c r="AA42" s="126"/>
      <c r="AB42" s="126"/>
      <c r="AC42" s="126"/>
      <c r="AD42" s="126"/>
      <c r="AE42" s="58" t="str">
        <f>MidCom!AE42</f>
        <v/>
      </c>
      <c r="AF42" s="126"/>
      <c r="AG42" s="126"/>
      <c r="AH42" s="126"/>
      <c r="AI42" s="126"/>
      <c r="AJ42" s="126"/>
      <c r="AK42" s="59" t="str">
        <f>MidCom!AK42</f>
        <v/>
      </c>
      <c r="AL42" s="60" t="str">
        <f>MidCom!AL42</f>
        <v/>
      </c>
      <c r="AQ42" s="61" t="str">
        <f>MidCom!AQ42</f>
        <v/>
      </c>
      <c r="AR42" s="31"/>
      <c r="AS42" s="165" t="str">
        <f>MidCom!AS42</f>
        <v/>
      </c>
      <c r="AT42" s="17" t="str">
        <f>MidCom!AT42</f>
        <v/>
      </c>
      <c r="AU42" s="17" t="str">
        <f>MidCom!AU42</f>
        <v/>
      </c>
    </row>
    <row r="43" spans="1:47" x14ac:dyDescent="0.25">
      <c r="A43" s="8">
        <v>38</v>
      </c>
      <c r="B43" s="2" t="str">
        <f>IF('Student List'!C47="","",UPPER(LEFT('Student List'!C47,FIND(",",'Student List'!C47)-1)))</f>
        <v/>
      </c>
      <c r="C43" s="12" t="str">
        <f>IF('Student List'!C47="","",PROPER(MID('Student List'!C47, FIND(",", 'Student List'!C47) + 2, LEN('Student List'!C47) - FIND(",", 'Student List'!C47) - 1)))</f>
        <v/>
      </c>
      <c r="D43" s="55"/>
      <c r="E43" s="8" t="str">
        <f>IF(MidCom!E43="","",MidCom!E43)</f>
        <v/>
      </c>
      <c r="F43" s="73" t="str">
        <f>IF(B43="","",SUM(('MT Attendance'!AV41*5),('MT Attendance'!AW41*3),('MT Attendance'!AX41*2)))</f>
        <v/>
      </c>
      <c r="G43" s="57" t="str">
        <f>MidCom!G43</f>
        <v/>
      </c>
      <c r="H43" s="142"/>
      <c r="I43" s="142"/>
      <c r="J43" s="142"/>
      <c r="K43" s="142"/>
      <c r="L43" s="142"/>
      <c r="M43" s="111" t="str">
        <f>MidCom!M43</f>
        <v/>
      </c>
      <c r="N43" s="142"/>
      <c r="O43" s="142"/>
      <c r="P43" s="142"/>
      <c r="Q43" s="142"/>
      <c r="R43" s="142"/>
      <c r="S43" s="115" t="str">
        <f>MidCom!S43</f>
        <v/>
      </c>
      <c r="T43" s="142"/>
      <c r="U43" s="142"/>
      <c r="V43" s="142"/>
      <c r="W43" s="142"/>
      <c r="X43" s="142"/>
      <c r="Y43" s="112" t="str">
        <f>MidCom!Y43</f>
        <v/>
      </c>
      <c r="Z43" s="126"/>
      <c r="AA43" s="126"/>
      <c r="AB43" s="126"/>
      <c r="AC43" s="126"/>
      <c r="AD43" s="126"/>
      <c r="AE43" s="58" t="str">
        <f>MidCom!AE43</f>
        <v/>
      </c>
      <c r="AF43" s="126"/>
      <c r="AG43" s="126"/>
      <c r="AH43" s="126"/>
      <c r="AI43" s="126"/>
      <c r="AJ43" s="126"/>
      <c r="AK43" s="59" t="str">
        <f>MidCom!AK43</f>
        <v/>
      </c>
      <c r="AL43" s="60" t="str">
        <f>MidCom!AL43</f>
        <v/>
      </c>
      <c r="AQ43" s="61" t="str">
        <f>MidCom!AQ43</f>
        <v/>
      </c>
      <c r="AR43" s="31"/>
      <c r="AS43" s="165" t="str">
        <f>MidCom!AS43</f>
        <v/>
      </c>
      <c r="AT43" s="17" t="str">
        <f>MidCom!AT43</f>
        <v/>
      </c>
      <c r="AU43" s="17" t="str">
        <f>MidCom!AU43</f>
        <v/>
      </c>
    </row>
    <row r="44" spans="1:47" x14ac:dyDescent="0.25">
      <c r="A44" s="8">
        <v>39</v>
      </c>
      <c r="B44" s="2" t="str">
        <f>IF('Student List'!C48="","",UPPER(LEFT('Student List'!C48,FIND(",",'Student List'!C48)-1)))</f>
        <v/>
      </c>
      <c r="C44" s="12" t="str">
        <f>IF('Student List'!C48="","",PROPER(MID('Student List'!C48, FIND(",", 'Student List'!C48) + 2, LEN('Student List'!C48) - FIND(",", 'Student List'!C48) - 1)))</f>
        <v/>
      </c>
      <c r="D44" s="55"/>
      <c r="E44" s="8" t="str">
        <f>IF(MidCom!E44="","",MidCom!E44)</f>
        <v/>
      </c>
      <c r="F44" s="73" t="str">
        <f>IF(B44="","",SUM(('MT Attendance'!AV42*5),('MT Attendance'!AW42*3),('MT Attendance'!AX42*2)))</f>
        <v/>
      </c>
      <c r="G44" s="57" t="str">
        <f>MidCom!G44</f>
        <v/>
      </c>
      <c r="H44" s="142"/>
      <c r="I44" s="142"/>
      <c r="J44" s="142"/>
      <c r="K44" s="142"/>
      <c r="L44" s="142"/>
      <c r="M44" s="111" t="str">
        <f>MidCom!M44</f>
        <v/>
      </c>
      <c r="N44" s="142"/>
      <c r="O44" s="142"/>
      <c r="P44" s="142"/>
      <c r="Q44" s="142"/>
      <c r="R44" s="142"/>
      <c r="S44" s="115" t="str">
        <f>MidCom!S44</f>
        <v/>
      </c>
      <c r="T44" s="142"/>
      <c r="U44" s="142"/>
      <c r="V44" s="142"/>
      <c r="W44" s="142"/>
      <c r="X44" s="142"/>
      <c r="Y44" s="112" t="str">
        <f>MidCom!Y44</f>
        <v/>
      </c>
      <c r="Z44" s="126"/>
      <c r="AA44" s="126"/>
      <c r="AB44" s="126"/>
      <c r="AC44" s="126"/>
      <c r="AD44" s="126"/>
      <c r="AE44" s="58" t="str">
        <f>MidCom!AE44</f>
        <v/>
      </c>
      <c r="AF44" s="126"/>
      <c r="AG44" s="126"/>
      <c r="AH44" s="126"/>
      <c r="AI44" s="126"/>
      <c r="AJ44" s="126"/>
      <c r="AK44" s="59" t="str">
        <f>MidCom!AK44</f>
        <v/>
      </c>
      <c r="AL44" s="60" t="str">
        <f>MidCom!AL44</f>
        <v/>
      </c>
      <c r="AQ44" s="61" t="str">
        <f>MidCom!AQ44</f>
        <v/>
      </c>
      <c r="AR44" s="31"/>
      <c r="AS44" s="165" t="str">
        <f>MidCom!AS44</f>
        <v/>
      </c>
      <c r="AT44" s="17" t="str">
        <f>MidCom!AT44</f>
        <v/>
      </c>
      <c r="AU44" s="17" t="str">
        <f>MidCom!AU44</f>
        <v/>
      </c>
    </row>
    <row r="45" spans="1:47" x14ac:dyDescent="0.25">
      <c r="A45" s="8">
        <v>40</v>
      </c>
      <c r="B45" s="2" t="str">
        <f>IF('Student List'!C49="","",UPPER(LEFT('Student List'!C49,FIND(",",'Student List'!C49)-1)))</f>
        <v/>
      </c>
      <c r="C45" s="12" t="str">
        <f>IF('Student List'!C49="","",PROPER(MID('Student List'!C49, FIND(",", 'Student List'!C49) + 2, LEN('Student List'!C49) - FIND(",", 'Student List'!C49) - 1)))</f>
        <v/>
      </c>
      <c r="D45" s="55"/>
      <c r="E45" s="8" t="str">
        <f>IF(MidCom!E45="","",MidCom!E45)</f>
        <v/>
      </c>
      <c r="F45" s="73" t="str">
        <f>IF(B45="","",SUM(('MT Attendance'!AV43*5),('MT Attendance'!AW43*3),('MT Attendance'!AX43*2)))</f>
        <v/>
      </c>
      <c r="G45" s="57" t="str">
        <f>MidCom!G45</f>
        <v/>
      </c>
      <c r="H45" s="142"/>
      <c r="I45" s="142"/>
      <c r="J45" s="142"/>
      <c r="K45" s="142"/>
      <c r="L45" s="142"/>
      <c r="M45" s="111" t="str">
        <f>MidCom!M45</f>
        <v/>
      </c>
      <c r="N45" s="142"/>
      <c r="O45" s="142"/>
      <c r="P45" s="142"/>
      <c r="Q45" s="142"/>
      <c r="R45" s="142"/>
      <c r="S45" s="115" t="str">
        <f>MidCom!S45</f>
        <v/>
      </c>
      <c r="T45" s="142"/>
      <c r="U45" s="142"/>
      <c r="V45" s="142"/>
      <c r="W45" s="142"/>
      <c r="X45" s="142"/>
      <c r="Y45" s="112" t="str">
        <f>MidCom!Y45</f>
        <v/>
      </c>
      <c r="Z45" s="126"/>
      <c r="AA45" s="126"/>
      <c r="AB45" s="126"/>
      <c r="AC45" s="126"/>
      <c r="AD45" s="126"/>
      <c r="AE45" s="58" t="str">
        <f>MidCom!AE45</f>
        <v/>
      </c>
      <c r="AF45" s="126"/>
      <c r="AG45" s="126"/>
      <c r="AH45" s="126"/>
      <c r="AI45" s="126"/>
      <c r="AJ45" s="126"/>
      <c r="AK45" s="59" t="str">
        <f>MidCom!AK45</f>
        <v/>
      </c>
      <c r="AL45" s="60" t="str">
        <f>MidCom!AL45</f>
        <v/>
      </c>
      <c r="AQ45" s="61" t="str">
        <f>MidCom!AQ45</f>
        <v/>
      </c>
      <c r="AR45" s="31"/>
      <c r="AS45" s="165" t="str">
        <f>MidCom!AS45</f>
        <v/>
      </c>
      <c r="AT45" s="17" t="str">
        <f>MidCom!AT45</f>
        <v/>
      </c>
      <c r="AU45" s="17" t="str">
        <f>MidCom!AU45</f>
        <v/>
      </c>
    </row>
    <row r="46" spans="1:47" x14ac:dyDescent="0.25">
      <c r="A46" s="8">
        <v>41</v>
      </c>
      <c r="B46" s="2" t="str">
        <f>IF('Student List'!C50="","",UPPER(LEFT('Student List'!C50,FIND(",",'Student List'!C50)-1)))</f>
        <v/>
      </c>
      <c r="C46" s="12" t="str">
        <f>IF('Student List'!C50="","",PROPER(MID('Student List'!C50, FIND(",", 'Student List'!C50) + 2, LEN('Student List'!C50) - FIND(",", 'Student List'!C50) - 1)))</f>
        <v/>
      </c>
      <c r="D46" s="55"/>
      <c r="E46" s="8" t="str">
        <f>IF(MidCom!E46="","",MidCom!E46)</f>
        <v/>
      </c>
      <c r="F46" s="73" t="str">
        <f>IF(B46="","",SUM(('MT Attendance'!AV44*5),('MT Attendance'!AW44*3),('MT Attendance'!AX44*2)))</f>
        <v/>
      </c>
      <c r="G46" s="57" t="str">
        <f>MidCom!G46</f>
        <v/>
      </c>
      <c r="H46" s="142"/>
      <c r="I46" s="142"/>
      <c r="J46" s="142"/>
      <c r="K46" s="142"/>
      <c r="L46" s="142"/>
      <c r="M46" s="111" t="str">
        <f>MidCom!M46</f>
        <v/>
      </c>
      <c r="N46" s="142"/>
      <c r="O46" s="142"/>
      <c r="P46" s="142"/>
      <c r="Q46" s="142"/>
      <c r="R46" s="142"/>
      <c r="S46" s="115" t="str">
        <f>MidCom!S46</f>
        <v/>
      </c>
      <c r="T46" s="142"/>
      <c r="U46" s="142"/>
      <c r="V46" s="142"/>
      <c r="W46" s="142"/>
      <c r="X46" s="142"/>
      <c r="Y46" s="112" t="str">
        <f>MidCom!Y46</f>
        <v/>
      </c>
      <c r="Z46" s="126"/>
      <c r="AA46" s="126"/>
      <c r="AB46" s="126"/>
      <c r="AC46" s="126"/>
      <c r="AD46" s="126"/>
      <c r="AE46" s="58" t="str">
        <f>MidCom!AE46</f>
        <v/>
      </c>
      <c r="AF46" s="126"/>
      <c r="AG46" s="126"/>
      <c r="AH46" s="126"/>
      <c r="AI46" s="126"/>
      <c r="AJ46" s="126"/>
      <c r="AK46" s="59" t="str">
        <f>MidCom!AK46</f>
        <v/>
      </c>
      <c r="AL46" s="60" t="str">
        <f>MidCom!AL46</f>
        <v/>
      </c>
      <c r="AQ46" s="61" t="str">
        <f>MidCom!AQ46</f>
        <v/>
      </c>
      <c r="AR46" s="31"/>
      <c r="AS46" s="165" t="str">
        <f>MidCom!AS46</f>
        <v/>
      </c>
      <c r="AT46" s="17" t="str">
        <f>MidCom!AT46</f>
        <v/>
      </c>
      <c r="AU46" s="17" t="str">
        <f>MidCom!AU46</f>
        <v/>
      </c>
    </row>
    <row r="47" spans="1:47" x14ac:dyDescent="0.25">
      <c r="A47" s="8">
        <v>42</v>
      </c>
      <c r="B47" s="2" t="str">
        <f>IF('Student List'!C51="","",UPPER(LEFT('Student List'!C51,FIND(",",'Student List'!C51)-1)))</f>
        <v/>
      </c>
      <c r="C47" s="12" t="str">
        <f>IF('Student List'!C51="","",PROPER(MID('Student List'!C51, FIND(",", 'Student List'!C51) + 2, LEN('Student List'!C51) - FIND(",", 'Student List'!C51) - 1)))</f>
        <v/>
      </c>
      <c r="D47" s="55"/>
      <c r="E47" s="8" t="str">
        <f>IF(MidCom!E47="","",MidCom!E47)</f>
        <v/>
      </c>
      <c r="F47" s="73" t="str">
        <f>IF(B47="","",SUM(('MT Attendance'!AV45*5),('MT Attendance'!AW45*3),('MT Attendance'!AX45*2)))</f>
        <v/>
      </c>
      <c r="G47" s="57" t="str">
        <f>MidCom!G47</f>
        <v/>
      </c>
      <c r="H47" s="142"/>
      <c r="I47" s="142"/>
      <c r="J47" s="142"/>
      <c r="K47" s="142"/>
      <c r="L47" s="142"/>
      <c r="M47" s="111" t="str">
        <f>MidCom!M47</f>
        <v/>
      </c>
      <c r="N47" s="142"/>
      <c r="O47" s="142"/>
      <c r="P47" s="142"/>
      <c r="Q47" s="142"/>
      <c r="R47" s="142"/>
      <c r="S47" s="115" t="str">
        <f>MidCom!S47</f>
        <v/>
      </c>
      <c r="T47" s="142"/>
      <c r="U47" s="142"/>
      <c r="V47" s="142"/>
      <c r="W47" s="142"/>
      <c r="X47" s="142"/>
      <c r="Y47" s="112" t="str">
        <f>MidCom!Y47</f>
        <v/>
      </c>
      <c r="Z47" s="126"/>
      <c r="AA47" s="126"/>
      <c r="AB47" s="126"/>
      <c r="AC47" s="126"/>
      <c r="AD47" s="126"/>
      <c r="AE47" s="58" t="str">
        <f>MidCom!AE47</f>
        <v/>
      </c>
      <c r="AF47" s="126"/>
      <c r="AG47" s="126"/>
      <c r="AH47" s="126"/>
      <c r="AI47" s="126"/>
      <c r="AJ47" s="126"/>
      <c r="AK47" s="59" t="str">
        <f>MidCom!AK47</f>
        <v/>
      </c>
      <c r="AL47" s="60" t="str">
        <f>MidCom!AL47</f>
        <v/>
      </c>
      <c r="AQ47" s="61" t="str">
        <f>MidCom!AQ47</f>
        <v/>
      </c>
      <c r="AR47" s="31"/>
      <c r="AS47" s="165" t="str">
        <f>MidCom!AS47</f>
        <v/>
      </c>
      <c r="AT47" s="17" t="str">
        <f>MidCom!AT47</f>
        <v/>
      </c>
      <c r="AU47" s="17" t="str">
        <f>MidCom!AU47</f>
        <v/>
      </c>
    </row>
    <row r="48" spans="1:47" x14ac:dyDescent="0.25">
      <c r="A48" s="8">
        <v>43</v>
      </c>
      <c r="B48" s="2" t="str">
        <f>IF('Student List'!C52="","",UPPER(LEFT('Student List'!C52,FIND(",",'Student List'!C52)-1)))</f>
        <v/>
      </c>
      <c r="C48" s="12" t="str">
        <f>IF('Student List'!C52="","",PROPER(MID('Student List'!C52, FIND(",", 'Student List'!C52) + 2, LEN('Student List'!C52) - FIND(",", 'Student List'!C52) - 1)))</f>
        <v/>
      </c>
      <c r="D48" s="55"/>
      <c r="E48" s="8" t="str">
        <f>IF(MidCom!E48="","",MidCom!E48)</f>
        <v/>
      </c>
      <c r="F48" s="73" t="str">
        <f>IF(B48="","",SUM(('MT Attendance'!AV46*5),('MT Attendance'!AW46*3),('MT Attendance'!AX46*2)))</f>
        <v/>
      </c>
      <c r="G48" s="57" t="str">
        <f>MidCom!G48</f>
        <v/>
      </c>
      <c r="H48" s="142"/>
      <c r="I48" s="142"/>
      <c r="J48" s="142"/>
      <c r="K48" s="142"/>
      <c r="L48" s="142"/>
      <c r="M48" s="111" t="str">
        <f>MidCom!M48</f>
        <v/>
      </c>
      <c r="N48" s="142"/>
      <c r="O48" s="142"/>
      <c r="P48" s="142"/>
      <c r="Q48" s="142"/>
      <c r="R48" s="142"/>
      <c r="S48" s="115" t="str">
        <f>MidCom!S48</f>
        <v/>
      </c>
      <c r="T48" s="142"/>
      <c r="U48" s="142"/>
      <c r="V48" s="142"/>
      <c r="W48" s="142"/>
      <c r="X48" s="142"/>
      <c r="Y48" s="112" t="str">
        <f>MidCom!Y48</f>
        <v/>
      </c>
      <c r="Z48" s="126"/>
      <c r="AA48" s="126"/>
      <c r="AB48" s="126"/>
      <c r="AC48" s="126"/>
      <c r="AD48" s="126"/>
      <c r="AE48" s="58" t="str">
        <f>MidCom!AE48</f>
        <v/>
      </c>
      <c r="AF48" s="126"/>
      <c r="AG48" s="126"/>
      <c r="AH48" s="126"/>
      <c r="AI48" s="126"/>
      <c r="AJ48" s="126"/>
      <c r="AK48" s="59" t="str">
        <f>MidCom!AK48</f>
        <v/>
      </c>
      <c r="AL48" s="60" t="str">
        <f>MidCom!AL48</f>
        <v/>
      </c>
      <c r="AQ48" s="61" t="str">
        <f>MidCom!AQ48</f>
        <v/>
      </c>
      <c r="AR48" s="31"/>
      <c r="AS48" s="165" t="str">
        <f>MidCom!AS48</f>
        <v/>
      </c>
      <c r="AT48" s="17" t="str">
        <f>MidCom!AT48</f>
        <v/>
      </c>
      <c r="AU48" s="17" t="str">
        <f>MidCom!AU48</f>
        <v/>
      </c>
    </row>
    <row r="49" spans="1:47" x14ac:dyDescent="0.25">
      <c r="A49" s="8">
        <v>44</v>
      </c>
      <c r="B49" s="2" t="str">
        <f>IF('Student List'!C53="","",UPPER(LEFT('Student List'!C53,FIND(",",'Student List'!C53)-1)))</f>
        <v/>
      </c>
      <c r="C49" s="12" t="str">
        <f>IF('Student List'!C53="","",PROPER(MID('Student List'!C53, FIND(",", 'Student List'!C53) + 2, LEN('Student List'!C53) - FIND(",", 'Student List'!C53) - 1)))</f>
        <v/>
      </c>
      <c r="D49" s="55"/>
      <c r="E49" s="8" t="str">
        <f>IF(MidCom!E49="","",MidCom!E49)</f>
        <v/>
      </c>
      <c r="F49" s="73" t="str">
        <f>IF(B49="","",SUM(('MT Attendance'!AV47*5),('MT Attendance'!AW47*3),('MT Attendance'!AX47*2)))</f>
        <v/>
      </c>
      <c r="G49" s="57" t="str">
        <f>MidCom!G49</f>
        <v/>
      </c>
      <c r="H49" s="142"/>
      <c r="I49" s="142"/>
      <c r="J49" s="142"/>
      <c r="K49" s="142"/>
      <c r="L49" s="142"/>
      <c r="M49" s="111" t="str">
        <f>MidCom!M49</f>
        <v/>
      </c>
      <c r="N49" s="142"/>
      <c r="O49" s="142"/>
      <c r="P49" s="142"/>
      <c r="Q49" s="142"/>
      <c r="R49" s="142"/>
      <c r="S49" s="115" t="str">
        <f>MidCom!S49</f>
        <v/>
      </c>
      <c r="T49" s="142"/>
      <c r="U49" s="142"/>
      <c r="V49" s="142"/>
      <c r="W49" s="142"/>
      <c r="X49" s="142"/>
      <c r="Y49" s="112" t="str">
        <f>MidCom!Y49</f>
        <v/>
      </c>
      <c r="Z49" s="126"/>
      <c r="AA49" s="126"/>
      <c r="AB49" s="126"/>
      <c r="AC49" s="126"/>
      <c r="AD49" s="126"/>
      <c r="AE49" s="58" t="str">
        <f>MidCom!AE49</f>
        <v/>
      </c>
      <c r="AF49" s="126"/>
      <c r="AG49" s="126"/>
      <c r="AH49" s="126"/>
      <c r="AI49" s="126"/>
      <c r="AJ49" s="126"/>
      <c r="AK49" s="59" t="str">
        <f>MidCom!AK49</f>
        <v/>
      </c>
      <c r="AL49" s="60" t="str">
        <f>MidCom!AL49</f>
        <v/>
      </c>
      <c r="AQ49" s="61" t="str">
        <f>MidCom!AQ49</f>
        <v/>
      </c>
      <c r="AR49" s="31"/>
      <c r="AS49" s="165" t="str">
        <f>MidCom!AS49</f>
        <v/>
      </c>
      <c r="AT49" s="17" t="str">
        <f>MidCom!AT49</f>
        <v/>
      </c>
      <c r="AU49" s="17" t="str">
        <f>MidCom!AU49</f>
        <v/>
      </c>
    </row>
    <row r="50" spans="1:47" x14ac:dyDescent="0.25">
      <c r="A50" s="8">
        <v>45</v>
      </c>
      <c r="B50" s="2" t="str">
        <f>IF('Student List'!C54="","",UPPER(LEFT('Student List'!C54,FIND(",",'Student List'!C54)-1)))</f>
        <v/>
      </c>
      <c r="C50" s="12" t="str">
        <f>IF('Student List'!C54="","",PROPER(MID('Student List'!C54, FIND(",", 'Student List'!C54) + 2, LEN('Student List'!C54) - FIND(",", 'Student List'!C54) - 1)))</f>
        <v/>
      </c>
      <c r="D50" s="55"/>
      <c r="E50" s="8" t="str">
        <f>IF(MidCom!E50="","",MidCom!E50)</f>
        <v/>
      </c>
      <c r="F50" s="73" t="str">
        <f>IF(B50="","",SUM(('MT Attendance'!AV48*5),('MT Attendance'!AW48*3),('MT Attendance'!AX48*2)))</f>
        <v/>
      </c>
      <c r="G50" s="57" t="str">
        <f>MidCom!G50</f>
        <v/>
      </c>
      <c r="H50" s="142"/>
      <c r="I50" s="142"/>
      <c r="J50" s="142"/>
      <c r="K50" s="142"/>
      <c r="L50" s="142"/>
      <c r="M50" s="111" t="str">
        <f>MidCom!M50</f>
        <v/>
      </c>
      <c r="N50" s="142"/>
      <c r="O50" s="142"/>
      <c r="P50" s="142"/>
      <c r="Q50" s="142"/>
      <c r="R50" s="142"/>
      <c r="S50" s="115" t="str">
        <f>MidCom!S50</f>
        <v/>
      </c>
      <c r="T50" s="142"/>
      <c r="U50" s="142"/>
      <c r="V50" s="142"/>
      <c r="W50" s="142"/>
      <c r="X50" s="142"/>
      <c r="Y50" s="112" t="str">
        <f>MidCom!Y50</f>
        <v/>
      </c>
      <c r="Z50" s="126"/>
      <c r="AA50" s="126"/>
      <c r="AB50" s="126"/>
      <c r="AC50" s="126"/>
      <c r="AD50" s="126"/>
      <c r="AE50" s="58" t="str">
        <f>MidCom!AE50</f>
        <v/>
      </c>
      <c r="AF50" s="126"/>
      <c r="AG50" s="126"/>
      <c r="AH50" s="126"/>
      <c r="AI50" s="126"/>
      <c r="AJ50" s="126"/>
      <c r="AK50" s="59" t="str">
        <f>MidCom!AK50</f>
        <v/>
      </c>
      <c r="AL50" s="60" t="str">
        <f>MidCom!AL50</f>
        <v/>
      </c>
      <c r="AQ50" s="61" t="str">
        <f>MidCom!AQ50</f>
        <v/>
      </c>
      <c r="AR50" s="31"/>
      <c r="AS50" s="165" t="str">
        <f>MidCom!AS50</f>
        <v/>
      </c>
      <c r="AT50" s="17" t="str">
        <f>MidCom!AT50</f>
        <v/>
      </c>
      <c r="AU50" s="17" t="str">
        <f>MidCom!AU50</f>
        <v/>
      </c>
    </row>
    <row r="51" spans="1:47" x14ac:dyDescent="0.25">
      <c r="A51" s="8">
        <v>46</v>
      </c>
      <c r="B51" s="2" t="str">
        <f>IF('Student List'!C55="","",UPPER(LEFT('Student List'!C55,FIND(",",'Student List'!C55)-1)))</f>
        <v/>
      </c>
      <c r="C51" s="12" t="str">
        <f>IF('Student List'!C55="","",PROPER(MID('Student List'!C55, FIND(",", 'Student List'!C55) + 2, LEN('Student List'!C55) - FIND(",", 'Student List'!C55) - 1)))</f>
        <v/>
      </c>
      <c r="D51" s="55"/>
      <c r="E51" s="8" t="str">
        <f>IF(MidCom!E51="","",MidCom!E51)</f>
        <v/>
      </c>
      <c r="F51" s="73" t="str">
        <f>IF(B51="","",SUM(('MT Attendance'!AV49*5),('MT Attendance'!AW49*3),('MT Attendance'!AX49*2)))</f>
        <v/>
      </c>
      <c r="G51" s="57" t="str">
        <f>MidCom!G51</f>
        <v/>
      </c>
      <c r="H51" s="142"/>
      <c r="I51" s="142"/>
      <c r="J51" s="142"/>
      <c r="K51" s="142"/>
      <c r="L51" s="142"/>
      <c r="M51" s="111" t="str">
        <f>MidCom!M51</f>
        <v/>
      </c>
      <c r="N51" s="142"/>
      <c r="O51" s="142"/>
      <c r="P51" s="142"/>
      <c r="Q51" s="142"/>
      <c r="R51" s="142"/>
      <c r="S51" s="115" t="str">
        <f>MidCom!S51</f>
        <v/>
      </c>
      <c r="T51" s="142"/>
      <c r="U51" s="142"/>
      <c r="V51" s="142"/>
      <c r="W51" s="142"/>
      <c r="X51" s="142"/>
      <c r="Y51" s="112" t="str">
        <f>MidCom!Y51</f>
        <v/>
      </c>
      <c r="Z51" s="126"/>
      <c r="AA51" s="126"/>
      <c r="AB51" s="126"/>
      <c r="AC51" s="126"/>
      <c r="AD51" s="126"/>
      <c r="AE51" s="58" t="str">
        <f>MidCom!AE51</f>
        <v/>
      </c>
      <c r="AF51" s="126"/>
      <c r="AG51" s="126"/>
      <c r="AH51" s="126"/>
      <c r="AI51" s="126"/>
      <c r="AJ51" s="126"/>
      <c r="AK51" s="59" t="str">
        <f>MidCom!AK51</f>
        <v/>
      </c>
      <c r="AL51" s="60" t="str">
        <f>MidCom!AL51</f>
        <v/>
      </c>
      <c r="AQ51" s="61" t="str">
        <f>MidCom!AQ51</f>
        <v/>
      </c>
      <c r="AR51" s="31"/>
      <c r="AS51" s="165" t="str">
        <f>MidCom!AS51</f>
        <v/>
      </c>
      <c r="AT51" s="17" t="str">
        <f>MidCom!AT51</f>
        <v/>
      </c>
      <c r="AU51" s="17" t="str">
        <f>MidCom!AU51</f>
        <v/>
      </c>
    </row>
    <row r="52" spans="1:47" x14ac:dyDescent="0.25">
      <c r="A52" s="8">
        <v>47</v>
      </c>
      <c r="B52" s="2" t="str">
        <f>IF('Student List'!C56="","",UPPER(LEFT('Student List'!C56,FIND(",",'Student List'!C56)-1)))</f>
        <v/>
      </c>
      <c r="C52" s="12" t="str">
        <f>IF('Student List'!C56="","",PROPER(MID('Student List'!C56, FIND(",", 'Student List'!C56) + 2, LEN('Student List'!C56) - FIND(",", 'Student List'!C56) - 1)))</f>
        <v/>
      </c>
      <c r="D52" s="55"/>
      <c r="E52" s="8" t="str">
        <f>IF(MidCom!E52="","",MidCom!E52)</f>
        <v/>
      </c>
      <c r="F52" s="73" t="str">
        <f>IF(B52="","",SUM(('MT Attendance'!AV50*5),('MT Attendance'!AW50*3),('MT Attendance'!AX50*2)))</f>
        <v/>
      </c>
      <c r="G52" s="57" t="str">
        <f>MidCom!G52</f>
        <v/>
      </c>
      <c r="H52" s="142"/>
      <c r="I52" s="142"/>
      <c r="J52" s="142"/>
      <c r="K52" s="142"/>
      <c r="L52" s="142"/>
      <c r="M52" s="111" t="str">
        <f>MidCom!M52</f>
        <v/>
      </c>
      <c r="N52" s="142"/>
      <c r="O52" s="142"/>
      <c r="P52" s="142"/>
      <c r="Q52" s="142"/>
      <c r="R52" s="142"/>
      <c r="S52" s="115" t="str">
        <f>MidCom!S52</f>
        <v/>
      </c>
      <c r="T52" s="142"/>
      <c r="U52" s="142"/>
      <c r="V52" s="142"/>
      <c r="W52" s="142"/>
      <c r="X52" s="142"/>
      <c r="Y52" s="112" t="str">
        <f>MidCom!Y52</f>
        <v/>
      </c>
      <c r="Z52" s="126"/>
      <c r="AA52" s="126"/>
      <c r="AB52" s="126"/>
      <c r="AC52" s="126"/>
      <c r="AD52" s="126"/>
      <c r="AE52" s="58" t="str">
        <f>MidCom!AE52</f>
        <v/>
      </c>
      <c r="AF52" s="126"/>
      <c r="AG52" s="126"/>
      <c r="AH52" s="126"/>
      <c r="AI52" s="126"/>
      <c r="AJ52" s="126"/>
      <c r="AK52" s="59" t="str">
        <f>MidCom!AK52</f>
        <v/>
      </c>
      <c r="AL52" s="60" t="str">
        <f>MidCom!AL52</f>
        <v/>
      </c>
      <c r="AQ52" s="61" t="str">
        <f>MidCom!AQ52</f>
        <v/>
      </c>
      <c r="AR52" s="31"/>
      <c r="AS52" s="165" t="str">
        <f>MidCom!AS52</f>
        <v/>
      </c>
      <c r="AT52" s="17" t="str">
        <f>MidCom!AT52</f>
        <v/>
      </c>
      <c r="AU52" s="17" t="str">
        <f>MidCom!AU52</f>
        <v/>
      </c>
    </row>
    <row r="53" spans="1:47" x14ac:dyDescent="0.25">
      <c r="A53" s="8">
        <v>48</v>
      </c>
      <c r="B53" s="2" t="str">
        <f>IF('Student List'!C57="","",UPPER(LEFT('Student List'!C57,FIND(",",'Student List'!C57)-1)))</f>
        <v/>
      </c>
      <c r="C53" s="12" t="str">
        <f>IF('Student List'!C57="","",PROPER(MID('Student List'!C57, FIND(",", 'Student List'!C57) + 2, LEN('Student List'!C57) - FIND(",", 'Student List'!C57) - 1)))</f>
        <v/>
      </c>
      <c r="D53" s="55"/>
      <c r="E53" s="8" t="str">
        <f>IF(MidCom!E53="","",MidCom!E53)</f>
        <v/>
      </c>
      <c r="F53" s="73" t="str">
        <f>IF(B53="","",SUM(('MT Attendance'!AV51*5),('MT Attendance'!AW51*3),('MT Attendance'!AX51*2)))</f>
        <v/>
      </c>
      <c r="G53" s="57" t="str">
        <f>MidCom!G53</f>
        <v/>
      </c>
      <c r="H53" s="142"/>
      <c r="I53" s="142"/>
      <c r="J53" s="142"/>
      <c r="K53" s="142"/>
      <c r="L53" s="142"/>
      <c r="M53" s="111" t="str">
        <f>MidCom!M53</f>
        <v/>
      </c>
      <c r="N53" s="142"/>
      <c r="O53" s="142"/>
      <c r="P53" s="142"/>
      <c r="Q53" s="142"/>
      <c r="R53" s="142"/>
      <c r="S53" s="115" t="str">
        <f>MidCom!S53</f>
        <v/>
      </c>
      <c r="T53" s="142"/>
      <c r="U53" s="142"/>
      <c r="V53" s="142"/>
      <c r="W53" s="142"/>
      <c r="X53" s="142"/>
      <c r="Y53" s="112" t="str">
        <f>MidCom!Y53</f>
        <v/>
      </c>
      <c r="Z53" s="126"/>
      <c r="AA53" s="126"/>
      <c r="AB53" s="126"/>
      <c r="AC53" s="126"/>
      <c r="AD53" s="126"/>
      <c r="AE53" s="58" t="str">
        <f>MidCom!AE53</f>
        <v/>
      </c>
      <c r="AF53" s="126"/>
      <c r="AG53" s="126"/>
      <c r="AH53" s="126"/>
      <c r="AI53" s="126"/>
      <c r="AJ53" s="126"/>
      <c r="AK53" s="59" t="str">
        <f>MidCom!AK53</f>
        <v/>
      </c>
      <c r="AL53" s="60" t="str">
        <f>MidCom!AL53</f>
        <v/>
      </c>
      <c r="AQ53" s="61" t="str">
        <f>MidCom!AQ53</f>
        <v/>
      </c>
      <c r="AR53" s="31"/>
      <c r="AS53" s="165" t="str">
        <f>MidCom!AS53</f>
        <v/>
      </c>
      <c r="AT53" s="17" t="str">
        <f>MidCom!AT53</f>
        <v/>
      </c>
      <c r="AU53" s="17" t="str">
        <f>MidCom!AU53</f>
        <v/>
      </c>
    </row>
    <row r="54" spans="1:47" x14ac:dyDescent="0.25">
      <c r="A54" s="8">
        <v>49</v>
      </c>
      <c r="B54" s="2" t="str">
        <f>IF('Student List'!C58="","",UPPER(LEFT('Student List'!C58,FIND(",",'Student List'!C58)-1)))</f>
        <v/>
      </c>
      <c r="C54" s="12" t="str">
        <f>IF('Student List'!C58="","",PROPER(MID('Student List'!C58, FIND(",", 'Student List'!C58) + 2, LEN('Student List'!C58) - FIND(",", 'Student List'!C58) - 1)))</f>
        <v/>
      </c>
      <c r="D54" s="55"/>
      <c r="E54" s="8" t="str">
        <f>IF(MidCom!E54="","",MidCom!E54)</f>
        <v/>
      </c>
      <c r="F54" s="73" t="str">
        <f>IF(B54="","",SUM(('MT Attendance'!AV52*5),('MT Attendance'!AW52*3),('MT Attendance'!AX52*2)))</f>
        <v/>
      </c>
      <c r="G54" s="57" t="str">
        <f>MidCom!G54</f>
        <v/>
      </c>
      <c r="H54" s="142"/>
      <c r="I54" s="142"/>
      <c r="J54" s="142"/>
      <c r="K54" s="142"/>
      <c r="L54" s="142"/>
      <c r="M54" s="111" t="str">
        <f>MidCom!M54</f>
        <v/>
      </c>
      <c r="N54" s="142"/>
      <c r="O54" s="142"/>
      <c r="P54" s="142"/>
      <c r="Q54" s="142"/>
      <c r="R54" s="142"/>
      <c r="S54" s="115" t="str">
        <f>MidCom!S54</f>
        <v/>
      </c>
      <c r="T54" s="142"/>
      <c r="U54" s="142"/>
      <c r="V54" s="142"/>
      <c r="W54" s="142"/>
      <c r="X54" s="142"/>
      <c r="Y54" s="112" t="str">
        <f>MidCom!Y54</f>
        <v/>
      </c>
      <c r="Z54" s="126"/>
      <c r="AA54" s="126"/>
      <c r="AB54" s="126"/>
      <c r="AC54" s="126"/>
      <c r="AD54" s="126"/>
      <c r="AE54" s="58" t="str">
        <f>MidCom!AE54</f>
        <v/>
      </c>
      <c r="AF54" s="126"/>
      <c r="AG54" s="126"/>
      <c r="AH54" s="126"/>
      <c r="AI54" s="126"/>
      <c r="AJ54" s="126"/>
      <c r="AK54" s="59" t="str">
        <f>MidCom!AK54</f>
        <v/>
      </c>
      <c r="AL54" s="60" t="str">
        <f>MidCom!AL54</f>
        <v/>
      </c>
      <c r="AQ54" s="61" t="str">
        <f>MidCom!AQ54</f>
        <v/>
      </c>
      <c r="AR54" s="31"/>
      <c r="AS54" s="165" t="str">
        <f>MidCom!AS54</f>
        <v/>
      </c>
      <c r="AT54" s="17" t="str">
        <f>MidCom!AT54</f>
        <v/>
      </c>
      <c r="AU54" s="17" t="str">
        <f>MidCom!AU54</f>
        <v/>
      </c>
    </row>
    <row r="55" spans="1:47" x14ac:dyDescent="0.25">
      <c r="A55" s="8">
        <v>50</v>
      </c>
      <c r="B55" s="2" t="str">
        <f>IF('Student List'!C59="","",UPPER(LEFT('Student List'!C59,FIND(",",'Student List'!C59)-1)))</f>
        <v/>
      </c>
      <c r="C55" s="12" t="str">
        <f>IF('Student List'!C59="","",PROPER(MID('Student List'!C59, FIND(",", 'Student List'!C59) + 2, LEN('Student List'!C59) - FIND(",", 'Student List'!C59) - 1)))</f>
        <v/>
      </c>
      <c r="D55" s="55"/>
      <c r="E55" s="8" t="str">
        <f>IF(MidCom!E55="","",MidCom!E55)</f>
        <v/>
      </c>
      <c r="F55" s="73" t="str">
        <f>IF(B55="","",SUM(('MT Attendance'!AV53*5),('MT Attendance'!AW53*3),('MT Attendance'!AX53*2)))</f>
        <v/>
      </c>
      <c r="G55" s="57" t="str">
        <f>MidCom!G55</f>
        <v/>
      </c>
      <c r="H55" s="142"/>
      <c r="I55" s="142"/>
      <c r="J55" s="142"/>
      <c r="K55" s="142"/>
      <c r="L55" s="142"/>
      <c r="M55" s="111" t="str">
        <f>MidCom!M55</f>
        <v/>
      </c>
      <c r="N55" s="142"/>
      <c r="O55" s="142"/>
      <c r="P55" s="142"/>
      <c r="Q55" s="142"/>
      <c r="R55" s="142"/>
      <c r="S55" s="115" t="str">
        <f>MidCom!S55</f>
        <v/>
      </c>
      <c r="T55" s="142"/>
      <c r="U55" s="142"/>
      <c r="V55" s="142"/>
      <c r="W55" s="142"/>
      <c r="X55" s="142"/>
      <c r="Y55" s="112" t="str">
        <f>MidCom!Y55</f>
        <v/>
      </c>
      <c r="Z55" s="126"/>
      <c r="AA55" s="126"/>
      <c r="AB55" s="126"/>
      <c r="AC55" s="126"/>
      <c r="AD55" s="126"/>
      <c r="AE55" s="58" t="str">
        <f>MidCom!AE55</f>
        <v/>
      </c>
      <c r="AF55" s="126"/>
      <c r="AG55" s="126"/>
      <c r="AH55" s="126"/>
      <c r="AI55" s="126"/>
      <c r="AJ55" s="126"/>
      <c r="AK55" s="59" t="str">
        <f>MidCom!AK55</f>
        <v/>
      </c>
      <c r="AL55" s="60" t="str">
        <f>MidCom!AL55</f>
        <v/>
      </c>
      <c r="AQ55" s="61" t="str">
        <f>MidCom!AQ55</f>
        <v/>
      </c>
      <c r="AR55" s="31"/>
      <c r="AS55" s="165" t="str">
        <f>MidCom!AS55</f>
        <v/>
      </c>
      <c r="AT55" s="17" t="str">
        <f>MidCom!AT55</f>
        <v/>
      </c>
      <c r="AU55" s="17" t="str">
        <f>MidCom!AU55</f>
        <v/>
      </c>
    </row>
    <row r="56" spans="1:47" x14ac:dyDescent="0.25">
      <c r="A56" s="8">
        <v>51</v>
      </c>
      <c r="B56" s="2" t="str">
        <f>IF('Student List'!C60="","",UPPER(LEFT('Student List'!C60,FIND(",",'Student List'!C60)-1)))</f>
        <v/>
      </c>
      <c r="C56" s="12" t="str">
        <f>IF('Student List'!C60="","",PROPER(MID('Student List'!C60, FIND(",", 'Student List'!C60) + 2, LEN('Student List'!C60) - FIND(",", 'Student List'!C60) - 1)))</f>
        <v/>
      </c>
      <c r="D56" s="55"/>
      <c r="E56" s="8" t="str">
        <f>IF(MidCom!E56="","",MidCom!E56)</f>
        <v/>
      </c>
      <c r="F56" s="73" t="str">
        <f>IF(B56="","",SUM(('MT Attendance'!AV54*5),('MT Attendance'!AW54*3),('MT Attendance'!AX54*2)))</f>
        <v/>
      </c>
      <c r="G56" s="57" t="str">
        <f>MidCom!G56</f>
        <v/>
      </c>
      <c r="H56" s="142"/>
      <c r="I56" s="142"/>
      <c r="J56" s="142"/>
      <c r="K56" s="142"/>
      <c r="L56" s="142"/>
      <c r="M56" s="111" t="str">
        <f>MidCom!M56</f>
        <v/>
      </c>
      <c r="N56" s="142"/>
      <c r="O56" s="142"/>
      <c r="P56" s="142"/>
      <c r="Q56" s="142"/>
      <c r="R56" s="142"/>
      <c r="S56" s="115" t="str">
        <f>MidCom!S56</f>
        <v/>
      </c>
      <c r="T56" s="142"/>
      <c r="U56" s="142"/>
      <c r="V56" s="142"/>
      <c r="W56" s="142"/>
      <c r="X56" s="142"/>
      <c r="Y56" s="112" t="str">
        <f>MidCom!Y56</f>
        <v/>
      </c>
      <c r="Z56" s="126"/>
      <c r="AA56" s="126"/>
      <c r="AB56" s="126"/>
      <c r="AC56" s="126"/>
      <c r="AD56" s="126"/>
      <c r="AE56" s="58" t="str">
        <f>MidCom!AE56</f>
        <v/>
      </c>
      <c r="AF56" s="126"/>
      <c r="AG56" s="126"/>
      <c r="AH56" s="126"/>
      <c r="AI56" s="126"/>
      <c r="AJ56" s="126"/>
      <c r="AK56" s="59" t="str">
        <f>MidCom!AK56</f>
        <v/>
      </c>
      <c r="AL56" s="60" t="str">
        <f>MidCom!AL56</f>
        <v/>
      </c>
      <c r="AQ56" s="61" t="str">
        <f>MidCom!AQ56</f>
        <v/>
      </c>
      <c r="AR56" s="31"/>
      <c r="AS56" s="165" t="str">
        <f>MidCom!AS56</f>
        <v/>
      </c>
      <c r="AT56" s="17" t="str">
        <f>MidCom!AT56</f>
        <v/>
      </c>
      <c r="AU56" s="17" t="str">
        <f>MidCom!AU56</f>
        <v/>
      </c>
    </row>
    <row r="57" spans="1:47" x14ac:dyDescent="0.25">
      <c r="A57" s="8">
        <v>52</v>
      </c>
      <c r="B57" s="2" t="str">
        <f>IF('Student List'!C61="","",UPPER(LEFT('Student List'!C61,FIND(",",'Student List'!C61)-1)))</f>
        <v/>
      </c>
      <c r="C57" s="12" t="str">
        <f>IF('Student List'!C61="","",PROPER(MID('Student List'!C61, FIND(",", 'Student List'!C61) + 2, LEN('Student List'!C61) - FIND(",", 'Student List'!C61) - 1)))</f>
        <v/>
      </c>
      <c r="D57" s="55"/>
      <c r="E57" s="8" t="str">
        <f>IF(MidCom!E57="","",MidCom!E57)</f>
        <v/>
      </c>
      <c r="F57" s="73" t="str">
        <f>IF(B57="","",SUM(('MT Attendance'!AV55*5),('MT Attendance'!AW55*3),('MT Attendance'!AX55*2)))</f>
        <v/>
      </c>
      <c r="G57" s="57" t="str">
        <f>MidCom!G57</f>
        <v/>
      </c>
      <c r="H57" s="142"/>
      <c r="I57" s="142"/>
      <c r="J57" s="142"/>
      <c r="K57" s="142"/>
      <c r="L57" s="142"/>
      <c r="M57" s="111" t="str">
        <f>MidCom!M57</f>
        <v/>
      </c>
      <c r="N57" s="142"/>
      <c r="O57" s="142"/>
      <c r="P57" s="142"/>
      <c r="Q57" s="142"/>
      <c r="R57" s="142"/>
      <c r="S57" s="115" t="str">
        <f>MidCom!S57</f>
        <v/>
      </c>
      <c r="T57" s="142"/>
      <c r="U57" s="142"/>
      <c r="V57" s="142"/>
      <c r="W57" s="142"/>
      <c r="X57" s="142"/>
      <c r="Y57" s="112" t="str">
        <f>MidCom!Y57</f>
        <v/>
      </c>
      <c r="Z57" s="126"/>
      <c r="AA57" s="126"/>
      <c r="AB57" s="126"/>
      <c r="AC57" s="126"/>
      <c r="AD57" s="126"/>
      <c r="AE57" s="58" t="str">
        <f>MidCom!AE57</f>
        <v/>
      </c>
      <c r="AF57" s="126"/>
      <c r="AG57" s="126"/>
      <c r="AH57" s="126"/>
      <c r="AI57" s="126"/>
      <c r="AJ57" s="126"/>
      <c r="AK57" s="59" t="str">
        <f>MidCom!AK57</f>
        <v/>
      </c>
      <c r="AL57" s="60" t="str">
        <f>MidCom!AL57</f>
        <v/>
      </c>
      <c r="AQ57" s="61" t="str">
        <f>MidCom!AQ57</f>
        <v/>
      </c>
      <c r="AR57" s="31"/>
      <c r="AS57" s="165" t="str">
        <f>MidCom!AS57</f>
        <v/>
      </c>
      <c r="AT57" s="17" t="str">
        <f>MidCom!AT57</f>
        <v/>
      </c>
      <c r="AU57" s="17" t="str">
        <f>MidCom!AU57</f>
        <v/>
      </c>
    </row>
    <row r="58" spans="1:47" x14ac:dyDescent="0.25">
      <c r="A58" s="8">
        <v>53</v>
      </c>
      <c r="B58" s="2" t="str">
        <f>IF('Student List'!C62="","",UPPER(LEFT('Student List'!C62,FIND(",",'Student List'!C62)-1)))</f>
        <v/>
      </c>
      <c r="C58" s="12" t="str">
        <f>IF('Student List'!C62="","",PROPER(MID('Student List'!C62, FIND(",", 'Student List'!C62) + 2, LEN('Student List'!C62) - FIND(",", 'Student List'!C62) - 1)))</f>
        <v/>
      </c>
      <c r="D58" s="55"/>
      <c r="E58" s="8" t="str">
        <f>IF(MidCom!E58="","",MidCom!E58)</f>
        <v/>
      </c>
      <c r="F58" s="73" t="str">
        <f>IF(B58="","",SUM(('MT Attendance'!AV56*5),('MT Attendance'!AW56*3),('MT Attendance'!AX56*2)))</f>
        <v/>
      </c>
      <c r="G58" s="57" t="str">
        <f>MidCom!G58</f>
        <v/>
      </c>
      <c r="H58" s="142"/>
      <c r="I58" s="142"/>
      <c r="J58" s="142"/>
      <c r="K58" s="142"/>
      <c r="L58" s="142"/>
      <c r="M58" s="111" t="str">
        <f>MidCom!M58</f>
        <v/>
      </c>
      <c r="N58" s="142"/>
      <c r="O58" s="142"/>
      <c r="P58" s="142"/>
      <c r="Q58" s="142"/>
      <c r="R58" s="142"/>
      <c r="S58" s="115" t="str">
        <f>MidCom!S58</f>
        <v/>
      </c>
      <c r="T58" s="142"/>
      <c r="U58" s="142"/>
      <c r="V58" s="142"/>
      <c r="W58" s="142"/>
      <c r="X58" s="142"/>
      <c r="Y58" s="112" t="str">
        <f>MidCom!Y58</f>
        <v/>
      </c>
      <c r="Z58" s="126"/>
      <c r="AA58" s="126"/>
      <c r="AB58" s="126"/>
      <c r="AC58" s="126"/>
      <c r="AD58" s="126"/>
      <c r="AE58" s="58" t="str">
        <f>MidCom!AE58</f>
        <v/>
      </c>
      <c r="AF58" s="126"/>
      <c r="AG58" s="126"/>
      <c r="AH58" s="126"/>
      <c r="AI58" s="126"/>
      <c r="AJ58" s="126"/>
      <c r="AK58" s="59" t="str">
        <f>MidCom!AK58</f>
        <v/>
      </c>
      <c r="AL58" s="60" t="str">
        <f>MidCom!AL58</f>
        <v/>
      </c>
      <c r="AQ58" s="61" t="str">
        <f>MidCom!AQ58</f>
        <v/>
      </c>
      <c r="AR58" s="31"/>
      <c r="AS58" s="165" t="str">
        <f>MidCom!AS58</f>
        <v/>
      </c>
      <c r="AT58" s="17" t="str">
        <f>MidCom!AT58</f>
        <v/>
      </c>
      <c r="AU58" s="17" t="str">
        <f>MidCom!AU58</f>
        <v/>
      </c>
    </row>
    <row r="59" spans="1:47" x14ac:dyDescent="0.25">
      <c r="A59" s="8">
        <v>54</v>
      </c>
      <c r="B59" s="2" t="str">
        <f>IF('Student List'!C63="","",UPPER(LEFT('Student List'!C63,FIND(",",'Student List'!C63)-1)))</f>
        <v/>
      </c>
      <c r="C59" s="12" t="str">
        <f>IF('Student List'!C63="","",PROPER(MID('Student List'!C63, FIND(",", 'Student List'!C63) + 2, LEN('Student List'!C63) - FIND(",", 'Student List'!C63) - 1)))</f>
        <v/>
      </c>
      <c r="D59" s="55"/>
      <c r="E59" s="8" t="str">
        <f>IF(MidCom!E59="","",MidCom!E59)</f>
        <v/>
      </c>
      <c r="F59" s="73" t="str">
        <f>IF(B59="","",SUM(('MT Attendance'!AV57*5),('MT Attendance'!AW57*3),('MT Attendance'!AX57*2)))</f>
        <v/>
      </c>
      <c r="G59" s="57" t="str">
        <f>MidCom!G59</f>
        <v/>
      </c>
      <c r="H59" s="142"/>
      <c r="I59" s="142"/>
      <c r="J59" s="142"/>
      <c r="K59" s="142"/>
      <c r="L59" s="142"/>
      <c r="M59" s="111" t="str">
        <f>MidCom!M59</f>
        <v/>
      </c>
      <c r="N59" s="142"/>
      <c r="O59" s="142"/>
      <c r="P59" s="142"/>
      <c r="Q59" s="142"/>
      <c r="R59" s="142"/>
      <c r="S59" s="115" t="str">
        <f>MidCom!S59</f>
        <v/>
      </c>
      <c r="T59" s="142"/>
      <c r="U59" s="142"/>
      <c r="V59" s="142"/>
      <c r="W59" s="142"/>
      <c r="X59" s="142"/>
      <c r="Y59" s="112" t="str">
        <f>MidCom!Y59</f>
        <v/>
      </c>
      <c r="Z59" s="126"/>
      <c r="AA59" s="126"/>
      <c r="AB59" s="126"/>
      <c r="AC59" s="126"/>
      <c r="AD59" s="126"/>
      <c r="AE59" s="58" t="str">
        <f>MidCom!AE59</f>
        <v/>
      </c>
      <c r="AF59" s="126"/>
      <c r="AG59" s="126"/>
      <c r="AH59" s="126"/>
      <c r="AI59" s="126"/>
      <c r="AJ59" s="126"/>
      <c r="AK59" s="59" t="str">
        <f>MidCom!AK59</f>
        <v/>
      </c>
      <c r="AL59" s="60" t="str">
        <f>MidCom!AL59</f>
        <v/>
      </c>
      <c r="AQ59" s="61" t="str">
        <f>MidCom!AQ59</f>
        <v/>
      </c>
      <c r="AR59" s="31"/>
      <c r="AS59" s="165" t="str">
        <f>MidCom!AS59</f>
        <v/>
      </c>
      <c r="AT59" s="17" t="str">
        <f>MidCom!AT59</f>
        <v/>
      </c>
      <c r="AU59" s="17" t="str">
        <f>MidCom!AU59</f>
        <v/>
      </c>
    </row>
    <row r="60" spans="1:47" x14ac:dyDescent="0.25">
      <c r="A60" s="8">
        <v>55</v>
      </c>
      <c r="B60" s="2" t="str">
        <f>IF('Student List'!C64="","",UPPER(LEFT('Student List'!C64,FIND(",",'Student List'!C64)-1)))</f>
        <v/>
      </c>
      <c r="C60" s="12" t="str">
        <f>IF('Student List'!C64="","",PROPER(MID('Student List'!C64, FIND(",", 'Student List'!C64) + 2, LEN('Student List'!C64) - FIND(",", 'Student List'!C64) - 1)))</f>
        <v/>
      </c>
      <c r="D60" s="55"/>
      <c r="E60" s="8" t="str">
        <f>IF(MidCom!E60="","",MidCom!E60)</f>
        <v/>
      </c>
      <c r="F60" s="73" t="str">
        <f>IF(B60="","",SUM(('MT Attendance'!AV58*5),('MT Attendance'!AW58*3),('MT Attendance'!AX58*2)))</f>
        <v/>
      </c>
      <c r="G60" s="57" t="str">
        <f>MidCom!G60</f>
        <v/>
      </c>
      <c r="H60" s="142"/>
      <c r="I60" s="142"/>
      <c r="J60" s="142"/>
      <c r="K60" s="142"/>
      <c r="L60" s="142"/>
      <c r="M60" s="111" t="str">
        <f>MidCom!M60</f>
        <v/>
      </c>
      <c r="N60" s="142"/>
      <c r="O60" s="142"/>
      <c r="P60" s="142"/>
      <c r="Q60" s="142"/>
      <c r="R60" s="142"/>
      <c r="S60" s="115" t="str">
        <f>MidCom!S60</f>
        <v/>
      </c>
      <c r="T60" s="142"/>
      <c r="U60" s="142"/>
      <c r="V60" s="142"/>
      <c r="W60" s="142"/>
      <c r="X60" s="142"/>
      <c r="Y60" s="112" t="str">
        <f>MidCom!Y60</f>
        <v/>
      </c>
      <c r="Z60" s="126"/>
      <c r="AA60" s="126"/>
      <c r="AB60" s="126"/>
      <c r="AC60" s="126"/>
      <c r="AD60" s="126"/>
      <c r="AE60" s="58" t="str">
        <f>MidCom!AE60</f>
        <v/>
      </c>
      <c r="AF60" s="126"/>
      <c r="AG60" s="126"/>
      <c r="AH60" s="126"/>
      <c r="AI60" s="126"/>
      <c r="AJ60" s="126"/>
      <c r="AK60" s="59" t="str">
        <f>MidCom!AK60</f>
        <v/>
      </c>
      <c r="AL60" s="60" t="str">
        <f>MidCom!AL60</f>
        <v/>
      </c>
      <c r="AQ60" s="61" t="str">
        <f>MidCom!AQ60</f>
        <v/>
      </c>
      <c r="AR60" s="31"/>
      <c r="AS60" s="165" t="str">
        <f>MidCom!AS60</f>
        <v/>
      </c>
      <c r="AT60" s="17" t="str">
        <f>MidCom!AT60</f>
        <v/>
      </c>
      <c r="AU60" s="17" t="str">
        <f>MidCom!AU60</f>
        <v/>
      </c>
    </row>
    <row r="61" spans="1:47" x14ac:dyDescent="0.25">
      <c r="A61" s="8">
        <v>56</v>
      </c>
      <c r="B61" s="2" t="str">
        <f>IF('Student List'!C65="","",UPPER(LEFT('Student List'!C65,FIND(",",'Student List'!C65)-1)))</f>
        <v/>
      </c>
      <c r="C61" s="12" t="str">
        <f>IF('Student List'!C65="","",PROPER(MID('Student List'!C65, FIND(",", 'Student List'!C65) + 2, LEN('Student List'!C65) - FIND(",", 'Student List'!C65) - 1)))</f>
        <v/>
      </c>
      <c r="D61" s="55"/>
      <c r="E61" s="8" t="str">
        <f>IF(MidCom!E61="","",MidCom!E61)</f>
        <v/>
      </c>
      <c r="F61" s="73" t="str">
        <f>IF(B61="","",SUM(('MT Attendance'!AV59*5),('MT Attendance'!AW59*3),('MT Attendance'!AX59*2)))</f>
        <v/>
      </c>
      <c r="G61" s="57" t="str">
        <f>MidCom!G61</f>
        <v/>
      </c>
      <c r="H61" s="142"/>
      <c r="I61" s="142"/>
      <c r="J61" s="142"/>
      <c r="K61" s="142"/>
      <c r="L61" s="142"/>
      <c r="M61" s="111" t="str">
        <f>MidCom!M61</f>
        <v/>
      </c>
      <c r="N61" s="142"/>
      <c r="O61" s="142"/>
      <c r="P61" s="142"/>
      <c r="Q61" s="142"/>
      <c r="R61" s="142"/>
      <c r="S61" s="115" t="str">
        <f>MidCom!S61</f>
        <v/>
      </c>
      <c r="T61" s="142"/>
      <c r="U61" s="142"/>
      <c r="V61" s="142"/>
      <c r="W61" s="142"/>
      <c r="X61" s="142"/>
      <c r="Y61" s="112" t="str">
        <f>MidCom!Y61</f>
        <v/>
      </c>
      <c r="Z61" s="126"/>
      <c r="AA61" s="126"/>
      <c r="AB61" s="126"/>
      <c r="AC61" s="126"/>
      <c r="AD61" s="126"/>
      <c r="AE61" s="58" t="str">
        <f>MidCom!AE61</f>
        <v/>
      </c>
      <c r="AF61" s="126"/>
      <c r="AG61" s="126"/>
      <c r="AH61" s="126"/>
      <c r="AI61" s="126"/>
      <c r="AJ61" s="126"/>
      <c r="AK61" s="59" t="str">
        <f>MidCom!AK61</f>
        <v/>
      </c>
      <c r="AL61" s="60" t="str">
        <f>MidCom!AL61</f>
        <v/>
      </c>
      <c r="AQ61" s="61" t="str">
        <f>MidCom!AQ61</f>
        <v/>
      </c>
      <c r="AR61" s="31"/>
      <c r="AS61" s="165" t="str">
        <f>MidCom!AS61</f>
        <v/>
      </c>
      <c r="AT61" s="17" t="str">
        <f>MidCom!AT61</f>
        <v/>
      </c>
      <c r="AU61" s="17" t="str">
        <f>MidCom!AU61</f>
        <v/>
      </c>
    </row>
    <row r="62" spans="1:47" x14ac:dyDescent="0.25">
      <c r="A62" s="8">
        <v>57</v>
      </c>
      <c r="B62" s="2" t="str">
        <f>IF('Student List'!C66="","",UPPER(LEFT('Student List'!C66,FIND(",",'Student List'!C66)-1)))</f>
        <v/>
      </c>
      <c r="C62" s="12" t="str">
        <f>IF('Student List'!C66="","",PROPER(MID('Student List'!C66, FIND(",", 'Student List'!C66) + 2, LEN('Student List'!C66) - FIND(",", 'Student List'!C66) - 1)))</f>
        <v/>
      </c>
      <c r="D62" s="55"/>
      <c r="E62" s="8" t="str">
        <f>IF(MidCom!E62="","",MidCom!E62)</f>
        <v/>
      </c>
      <c r="F62" s="73" t="str">
        <f>IF(B62="","",SUM(('MT Attendance'!AV60*5),('MT Attendance'!AW60*3),('MT Attendance'!AX60*2)))</f>
        <v/>
      </c>
      <c r="G62" s="57" t="str">
        <f>MidCom!G62</f>
        <v/>
      </c>
      <c r="H62" s="142"/>
      <c r="I62" s="142"/>
      <c r="J62" s="142"/>
      <c r="K62" s="142"/>
      <c r="L62" s="142"/>
      <c r="M62" s="111" t="str">
        <f>MidCom!M62</f>
        <v/>
      </c>
      <c r="N62" s="142"/>
      <c r="O62" s="142"/>
      <c r="P62" s="142"/>
      <c r="Q62" s="142"/>
      <c r="R62" s="142"/>
      <c r="S62" s="115" t="str">
        <f>MidCom!S62</f>
        <v/>
      </c>
      <c r="T62" s="142"/>
      <c r="U62" s="142"/>
      <c r="V62" s="142"/>
      <c r="W62" s="142"/>
      <c r="X62" s="142"/>
      <c r="Y62" s="112" t="str">
        <f>MidCom!Y62</f>
        <v/>
      </c>
      <c r="Z62" s="126"/>
      <c r="AA62" s="126"/>
      <c r="AB62" s="126"/>
      <c r="AC62" s="126"/>
      <c r="AD62" s="126"/>
      <c r="AE62" s="58" t="str">
        <f>MidCom!AE62</f>
        <v/>
      </c>
      <c r="AF62" s="126"/>
      <c r="AG62" s="126"/>
      <c r="AH62" s="126"/>
      <c r="AI62" s="126"/>
      <c r="AJ62" s="126"/>
      <c r="AK62" s="59" t="str">
        <f>MidCom!AK62</f>
        <v/>
      </c>
      <c r="AL62" s="60" t="str">
        <f>MidCom!AL62</f>
        <v/>
      </c>
      <c r="AQ62" s="61" t="str">
        <f>MidCom!AQ62</f>
        <v/>
      </c>
      <c r="AR62" s="31"/>
      <c r="AS62" s="165" t="str">
        <f>MidCom!AS62</f>
        <v/>
      </c>
      <c r="AT62" s="17" t="str">
        <f>MidCom!AT62</f>
        <v/>
      </c>
      <c r="AU62" s="17" t="str">
        <f>MidCom!AU62</f>
        <v/>
      </c>
    </row>
    <row r="63" spans="1:47" x14ac:dyDescent="0.25">
      <c r="A63" s="8">
        <v>58</v>
      </c>
      <c r="B63" s="2" t="str">
        <f>IF('Student List'!C67="","",UPPER(LEFT('Student List'!C67,FIND(",",'Student List'!C67)-1)))</f>
        <v/>
      </c>
      <c r="C63" s="12" t="str">
        <f>IF('Student List'!C67="","",PROPER(MID('Student List'!C67, FIND(",", 'Student List'!C67) + 2, LEN('Student List'!C67) - FIND(",", 'Student List'!C67) - 1)))</f>
        <v/>
      </c>
      <c r="D63" s="55"/>
      <c r="E63" s="8" t="str">
        <f>IF(MidCom!E63="","",MidCom!E63)</f>
        <v/>
      </c>
      <c r="F63" s="73" t="str">
        <f>IF(B63="","",SUM(('MT Attendance'!AV61*5),('MT Attendance'!AW61*3),('MT Attendance'!AX61*2)))</f>
        <v/>
      </c>
      <c r="G63" s="57" t="str">
        <f>MidCom!G63</f>
        <v/>
      </c>
      <c r="H63" s="142"/>
      <c r="I63" s="142"/>
      <c r="J63" s="142"/>
      <c r="K63" s="142"/>
      <c r="L63" s="142"/>
      <c r="M63" s="111" t="str">
        <f>MidCom!M63</f>
        <v/>
      </c>
      <c r="N63" s="142"/>
      <c r="O63" s="142"/>
      <c r="P63" s="142"/>
      <c r="Q63" s="142"/>
      <c r="R63" s="142"/>
      <c r="S63" s="115" t="str">
        <f>MidCom!S63</f>
        <v/>
      </c>
      <c r="T63" s="142"/>
      <c r="U63" s="142"/>
      <c r="V63" s="142"/>
      <c r="W63" s="142"/>
      <c r="X63" s="142"/>
      <c r="Y63" s="112" t="str">
        <f>MidCom!Y63</f>
        <v/>
      </c>
      <c r="Z63" s="126"/>
      <c r="AA63" s="126"/>
      <c r="AB63" s="126"/>
      <c r="AC63" s="126"/>
      <c r="AD63" s="126"/>
      <c r="AE63" s="58" t="str">
        <f>MidCom!AE63</f>
        <v/>
      </c>
      <c r="AF63" s="126"/>
      <c r="AG63" s="126"/>
      <c r="AH63" s="126"/>
      <c r="AI63" s="126"/>
      <c r="AJ63" s="126"/>
      <c r="AK63" s="59" t="str">
        <f>MidCom!AK63</f>
        <v/>
      </c>
      <c r="AL63" s="60" t="str">
        <f>MidCom!AL63</f>
        <v/>
      </c>
      <c r="AQ63" s="61" t="str">
        <f>MidCom!AQ63</f>
        <v/>
      </c>
      <c r="AR63" s="31"/>
      <c r="AS63" s="165" t="str">
        <f>MidCom!AS63</f>
        <v/>
      </c>
      <c r="AT63" s="17" t="str">
        <f>MidCom!AT63</f>
        <v/>
      </c>
      <c r="AU63" s="17" t="str">
        <f>MidCom!AU63</f>
        <v/>
      </c>
    </row>
    <row r="64" spans="1:47" x14ac:dyDescent="0.25">
      <c r="A64" s="8">
        <v>59</v>
      </c>
      <c r="B64" s="2" t="str">
        <f>IF('Student List'!C68="","",UPPER(LEFT('Student List'!C68,FIND(",",'Student List'!C68)-1)))</f>
        <v/>
      </c>
      <c r="C64" s="12" t="str">
        <f>IF('Student List'!C68="","",PROPER(MID('Student List'!C68, FIND(",", 'Student List'!C68) + 2, LEN('Student List'!C68) - FIND(",", 'Student List'!C68) - 1)))</f>
        <v/>
      </c>
      <c r="D64" s="55"/>
      <c r="E64" s="8" t="str">
        <f>IF(MidCom!E64="","",MidCom!E64)</f>
        <v/>
      </c>
      <c r="F64" s="73" t="str">
        <f>IF(B64="","",SUM(('MT Attendance'!AV62*5),('MT Attendance'!AW62*3),('MT Attendance'!AX62*2)))</f>
        <v/>
      </c>
      <c r="G64" s="57" t="str">
        <f>MidCom!G64</f>
        <v/>
      </c>
      <c r="H64" s="142"/>
      <c r="I64" s="142"/>
      <c r="J64" s="142"/>
      <c r="K64" s="142"/>
      <c r="L64" s="142"/>
      <c r="M64" s="111" t="str">
        <f>MidCom!M64</f>
        <v/>
      </c>
      <c r="N64" s="142"/>
      <c r="O64" s="142"/>
      <c r="P64" s="142"/>
      <c r="Q64" s="142"/>
      <c r="R64" s="142"/>
      <c r="S64" s="115" t="str">
        <f>MidCom!S64</f>
        <v/>
      </c>
      <c r="T64" s="142"/>
      <c r="U64" s="142"/>
      <c r="V64" s="142"/>
      <c r="W64" s="142"/>
      <c r="X64" s="142"/>
      <c r="Y64" s="112" t="str">
        <f>MidCom!Y64</f>
        <v/>
      </c>
      <c r="Z64" s="126"/>
      <c r="AA64" s="126"/>
      <c r="AB64" s="126"/>
      <c r="AC64" s="126"/>
      <c r="AD64" s="126"/>
      <c r="AE64" s="58" t="str">
        <f>MidCom!AE64</f>
        <v/>
      </c>
      <c r="AF64" s="126"/>
      <c r="AG64" s="126"/>
      <c r="AH64" s="126"/>
      <c r="AI64" s="126"/>
      <c r="AJ64" s="126"/>
      <c r="AK64" s="59" t="str">
        <f>MidCom!AK64</f>
        <v/>
      </c>
      <c r="AL64" s="60" t="str">
        <f>MidCom!AL64</f>
        <v/>
      </c>
      <c r="AQ64" s="61" t="str">
        <f>MidCom!AQ64</f>
        <v/>
      </c>
      <c r="AR64" s="31"/>
      <c r="AS64" s="165" t="str">
        <f>MidCom!AS64</f>
        <v/>
      </c>
      <c r="AT64" s="17" t="str">
        <f>MidCom!AT64</f>
        <v/>
      </c>
      <c r="AU64" s="17" t="str">
        <f>MidCom!AU64</f>
        <v/>
      </c>
    </row>
    <row r="65" spans="1:47" x14ac:dyDescent="0.25">
      <c r="A65" s="8">
        <v>60</v>
      </c>
      <c r="B65" s="2" t="str">
        <f>IF('Student List'!C69="","",UPPER(LEFT('Student List'!C69,FIND(",",'Student List'!C69)-1)))</f>
        <v/>
      </c>
      <c r="C65" s="12" t="str">
        <f>IF('Student List'!C69="","",PROPER(MID('Student List'!C69, FIND(",", 'Student List'!C69) + 2, LEN('Student List'!C69) - FIND(",", 'Student List'!C69) - 1)))</f>
        <v/>
      </c>
      <c r="D65" s="55"/>
      <c r="E65" s="8" t="str">
        <f>IF(MidCom!E65="","",MidCom!E65)</f>
        <v/>
      </c>
      <c r="F65" s="73" t="str">
        <f>IF(B65="","",SUM(('MT Attendance'!AV63*5),('MT Attendance'!AW63*3),('MT Attendance'!AX63*2)))</f>
        <v/>
      </c>
      <c r="G65" s="57" t="str">
        <f>MidCom!G65</f>
        <v/>
      </c>
      <c r="H65" s="142"/>
      <c r="I65" s="142"/>
      <c r="J65" s="142"/>
      <c r="K65" s="142"/>
      <c r="L65" s="142"/>
      <c r="M65" s="111" t="str">
        <f>MidCom!M65</f>
        <v/>
      </c>
      <c r="N65" s="142"/>
      <c r="O65" s="142"/>
      <c r="P65" s="142"/>
      <c r="Q65" s="142"/>
      <c r="R65" s="142"/>
      <c r="S65" s="115" t="str">
        <f>MidCom!S65</f>
        <v/>
      </c>
      <c r="T65" s="142"/>
      <c r="U65" s="142"/>
      <c r="V65" s="142"/>
      <c r="W65" s="142"/>
      <c r="X65" s="142"/>
      <c r="Y65" s="112" t="str">
        <f>MidCom!Y65</f>
        <v/>
      </c>
      <c r="Z65" s="126"/>
      <c r="AA65" s="126"/>
      <c r="AB65" s="126"/>
      <c r="AC65" s="126"/>
      <c r="AD65" s="126"/>
      <c r="AE65" s="58" t="str">
        <f>MidCom!AE65</f>
        <v/>
      </c>
      <c r="AF65" s="126"/>
      <c r="AG65" s="126"/>
      <c r="AH65" s="126"/>
      <c r="AI65" s="126"/>
      <c r="AJ65" s="126"/>
      <c r="AK65" s="59" t="str">
        <f>MidCom!AK65</f>
        <v/>
      </c>
      <c r="AL65" s="60" t="str">
        <f>MidCom!AL65</f>
        <v/>
      </c>
      <c r="AQ65" s="61" t="str">
        <f>MidCom!AQ65</f>
        <v/>
      </c>
      <c r="AR65" s="31"/>
      <c r="AS65" s="165" t="str">
        <f>MidCom!AS65</f>
        <v/>
      </c>
      <c r="AT65" s="17" t="str">
        <f>MidCom!AT65</f>
        <v/>
      </c>
      <c r="AU65" s="17" t="str">
        <f>MidCom!AU65</f>
        <v/>
      </c>
    </row>
    <row r="66" spans="1:47" x14ac:dyDescent="0.25">
      <c r="A66" s="8">
        <v>61</v>
      </c>
      <c r="B66" s="2" t="str">
        <f>IF('Student List'!C70="","",UPPER(LEFT('Student List'!C70,FIND(",",'Student List'!C70)-1)))</f>
        <v/>
      </c>
      <c r="C66" s="12" t="str">
        <f>IF('Student List'!C70="","",PROPER(MID('Student List'!C70, FIND(",", 'Student List'!C70) + 2, LEN('Student List'!C70) - FIND(",", 'Student List'!C70) - 1)))</f>
        <v/>
      </c>
      <c r="D66" s="55"/>
      <c r="E66" s="8" t="str">
        <f>IF(MidCom!E66="","",MidCom!E66)</f>
        <v/>
      </c>
      <c r="F66" s="73" t="str">
        <f>IF(B66="","",SUM(('MT Attendance'!AV64*5),('MT Attendance'!AW64*3),('MT Attendance'!AX64*2)))</f>
        <v/>
      </c>
      <c r="G66" s="57" t="str">
        <f>MidCom!G66</f>
        <v/>
      </c>
      <c r="H66" s="142"/>
      <c r="I66" s="142"/>
      <c r="J66" s="142"/>
      <c r="K66" s="142"/>
      <c r="L66" s="142"/>
      <c r="M66" s="111" t="str">
        <f>MidCom!M66</f>
        <v/>
      </c>
      <c r="N66" s="142"/>
      <c r="O66" s="142"/>
      <c r="P66" s="142"/>
      <c r="Q66" s="142"/>
      <c r="R66" s="142"/>
      <c r="S66" s="115" t="str">
        <f>MidCom!S66</f>
        <v/>
      </c>
      <c r="T66" s="142"/>
      <c r="U66" s="142"/>
      <c r="V66" s="142"/>
      <c r="W66" s="142"/>
      <c r="X66" s="142"/>
      <c r="Y66" s="112" t="str">
        <f>MidCom!Y66</f>
        <v/>
      </c>
      <c r="Z66" s="126"/>
      <c r="AA66" s="126"/>
      <c r="AB66" s="126"/>
      <c r="AC66" s="126"/>
      <c r="AD66" s="126"/>
      <c r="AE66" s="58" t="str">
        <f>MidCom!AE66</f>
        <v/>
      </c>
      <c r="AF66" s="126"/>
      <c r="AG66" s="126"/>
      <c r="AH66" s="126"/>
      <c r="AI66" s="126"/>
      <c r="AJ66" s="126"/>
      <c r="AK66" s="59" t="str">
        <f>MidCom!AK66</f>
        <v/>
      </c>
      <c r="AL66" s="60" t="str">
        <f>MidCom!AL66</f>
        <v/>
      </c>
      <c r="AQ66" s="61" t="str">
        <f>MidCom!AQ66</f>
        <v/>
      </c>
      <c r="AR66" s="31"/>
      <c r="AS66" s="165" t="str">
        <f>MidCom!AS66</f>
        <v/>
      </c>
      <c r="AT66" s="17" t="str">
        <f>MidCom!AT66</f>
        <v/>
      </c>
      <c r="AU66" s="17" t="str">
        <f>MidCom!AU66</f>
        <v/>
      </c>
    </row>
    <row r="67" spans="1:47" x14ac:dyDescent="0.25">
      <c r="A67" s="8">
        <v>62</v>
      </c>
      <c r="B67" s="2" t="str">
        <f>IF('Student List'!C71="","",UPPER(LEFT('Student List'!C71,FIND(",",'Student List'!C71)-1)))</f>
        <v/>
      </c>
      <c r="C67" s="12" t="str">
        <f>IF('Student List'!C71="","",PROPER(MID('Student List'!C71, FIND(",", 'Student List'!C71) + 2, LEN('Student List'!C71) - FIND(",", 'Student List'!C71) - 1)))</f>
        <v/>
      </c>
      <c r="D67" s="55"/>
      <c r="E67" s="8" t="str">
        <f>IF(MidCom!E67="","",MidCom!E67)</f>
        <v/>
      </c>
      <c r="F67" s="73" t="str">
        <f>IF(B67="","",SUM(('MT Attendance'!AV65*5),('MT Attendance'!AW65*3),('MT Attendance'!AX65*2)))</f>
        <v/>
      </c>
      <c r="G67" s="57" t="str">
        <f>MidCom!G67</f>
        <v/>
      </c>
      <c r="H67" s="142"/>
      <c r="I67" s="142"/>
      <c r="J67" s="142"/>
      <c r="K67" s="142"/>
      <c r="L67" s="142"/>
      <c r="M67" s="111" t="str">
        <f>MidCom!M67</f>
        <v/>
      </c>
      <c r="N67" s="142"/>
      <c r="O67" s="142"/>
      <c r="P67" s="142"/>
      <c r="Q67" s="142"/>
      <c r="R67" s="142"/>
      <c r="S67" s="115" t="str">
        <f>MidCom!S67</f>
        <v/>
      </c>
      <c r="T67" s="142"/>
      <c r="U67" s="142"/>
      <c r="V67" s="142"/>
      <c r="W67" s="142"/>
      <c r="X67" s="142"/>
      <c r="Y67" s="112" t="str">
        <f>MidCom!Y67</f>
        <v/>
      </c>
      <c r="Z67" s="126"/>
      <c r="AA67" s="126"/>
      <c r="AB67" s="126"/>
      <c r="AC67" s="126"/>
      <c r="AD67" s="126"/>
      <c r="AE67" s="58" t="str">
        <f>MidCom!AE67</f>
        <v/>
      </c>
      <c r="AF67" s="126"/>
      <c r="AG67" s="126"/>
      <c r="AH67" s="126"/>
      <c r="AI67" s="126"/>
      <c r="AJ67" s="126"/>
      <c r="AK67" s="59" t="str">
        <f>MidCom!AK67</f>
        <v/>
      </c>
      <c r="AL67" s="60" t="str">
        <f>MidCom!AL67</f>
        <v/>
      </c>
      <c r="AQ67" s="61" t="str">
        <f>MidCom!AQ67</f>
        <v/>
      </c>
      <c r="AR67" s="31"/>
      <c r="AS67" s="165" t="str">
        <f>MidCom!AS67</f>
        <v/>
      </c>
      <c r="AT67" s="17" t="str">
        <f>MidCom!AT67</f>
        <v/>
      </c>
      <c r="AU67" s="17" t="str">
        <f>MidCom!AU67</f>
        <v/>
      </c>
    </row>
    <row r="68" spans="1:47" x14ac:dyDescent="0.25">
      <c r="A68" s="8">
        <v>63</v>
      </c>
      <c r="B68" s="2" t="str">
        <f>IF('Student List'!C72="","",UPPER(LEFT('Student List'!C72,FIND(",",'Student List'!C72)-1)))</f>
        <v/>
      </c>
      <c r="C68" s="12" t="str">
        <f>IF('Student List'!C72="","",PROPER(MID('Student List'!C72, FIND(",", 'Student List'!C72) + 2, LEN('Student List'!C72) - FIND(",", 'Student List'!C72) - 1)))</f>
        <v/>
      </c>
      <c r="D68" s="55"/>
      <c r="E68" s="8" t="str">
        <f>IF(MidCom!E68="","",MidCom!E68)</f>
        <v/>
      </c>
      <c r="F68" s="73" t="str">
        <f>IF(B68="","",SUM(('MT Attendance'!AV66*5),('MT Attendance'!AW66*3),('MT Attendance'!AX66*2)))</f>
        <v/>
      </c>
      <c r="G68" s="57" t="str">
        <f>MidCom!G68</f>
        <v/>
      </c>
      <c r="H68" s="142"/>
      <c r="I68" s="142"/>
      <c r="J68" s="142"/>
      <c r="K68" s="142"/>
      <c r="L68" s="142"/>
      <c r="M68" s="111" t="str">
        <f>MidCom!M68</f>
        <v/>
      </c>
      <c r="N68" s="142"/>
      <c r="O68" s="142"/>
      <c r="P68" s="142"/>
      <c r="Q68" s="142"/>
      <c r="R68" s="142"/>
      <c r="S68" s="115" t="str">
        <f>MidCom!S68</f>
        <v/>
      </c>
      <c r="T68" s="142"/>
      <c r="U68" s="142"/>
      <c r="V68" s="142"/>
      <c r="W68" s="142"/>
      <c r="X68" s="142"/>
      <c r="Y68" s="112" t="str">
        <f>MidCom!Y68</f>
        <v/>
      </c>
      <c r="Z68" s="126"/>
      <c r="AA68" s="126"/>
      <c r="AB68" s="126"/>
      <c r="AC68" s="126"/>
      <c r="AD68" s="126"/>
      <c r="AE68" s="58" t="str">
        <f>MidCom!AE68</f>
        <v/>
      </c>
      <c r="AF68" s="126"/>
      <c r="AG68" s="126"/>
      <c r="AH68" s="126"/>
      <c r="AI68" s="126"/>
      <c r="AJ68" s="126"/>
      <c r="AK68" s="59" t="str">
        <f>MidCom!AK68</f>
        <v/>
      </c>
      <c r="AL68" s="60" t="str">
        <f>MidCom!AL68</f>
        <v/>
      </c>
      <c r="AQ68" s="61" t="str">
        <f>MidCom!AQ68</f>
        <v/>
      </c>
      <c r="AR68" s="31"/>
      <c r="AS68" s="165" t="str">
        <f>MidCom!AS68</f>
        <v/>
      </c>
      <c r="AT68" s="17" t="str">
        <f>MidCom!AT68</f>
        <v/>
      </c>
      <c r="AU68" s="17" t="str">
        <f>MidCom!AU68</f>
        <v/>
      </c>
    </row>
    <row r="69" spans="1:47" x14ac:dyDescent="0.25">
      <c r="A69" s="8">
        <v>64</v>
      </c>
      <c r="B69" s="2" t="str">
        <f>IF('Student List'!C73="","",UPPER(LEFT('Student List'!C73,FIND(",",'Student List'!C73)-1)))</f>
        <v/>
      </c>
      <c r="C69" s="12" t="str">
        <f>IF('Student List'!C73="","",PROPER(MID('Student List'!C73, FIND(",", 'Student List'!C73) + 2, LEN('Student List'!C73) - FIND(",", 'Student List'!C73) - 1)))</f>
        <v/>
      </c>
      <c r="D69" s="55"/>
      <c r="E69" s="8" t="str">
        <f>IF(MidCom!E69="","",MidCom!E69)</f>
        <v/>
      </c>
      <c r="F69" s="73" t="str">
        <f>IF(B69="","",SUM(('MT Attendance'!AV67*5),('MT Attendance'!AW67*3),('MT Attendance'!AX67*2)))</f>
        <v/>
      </c>
      <c r="G69" s="57" t="str">
        <f>MidCom!G69</f>
        <v/>
      </c>
      <c r="H69" s="142"/>
      <c r="I69" s="142"/>
      <c r="J69" s="142"/>
      <c r="K69" s="142"/>
      <c r="L69" s="142"/>
      <c r="M69" s="111" t="str">
        <f>MidCom!M69</f>
        <v/>
      </c>
      <c r="N69" s="142"/>
      <c r="O69" s="142"/>
      <c r="P69" s="142"/>
      <c r="Q69" s="142"/>
      <c r="R69" s="142"/>
      <c r="S69" s="115" t="str">
        <f>MidCom!S69</f>
        <v/>
      </c>
      <c r="T69" s="142"/>
      <c r="U69" s="142"/>
      <c r="V69" s="142"/>
      <c r="W69" s="142"/>
      <c r="X69" s="142"/>
      <c r="Y69" s="112" t="str">
        <f>MidCom!Y69</f>
        <v/>
      </c>
      <c r="Z69" s="126"/>
      <c r="AA69" s="126"/>
      <c r="AB69" s="126"/>
      <c r="AC69" s="126"/>
      <c r="AD69" s="126"/>
      <c r="AE69" s="58" t="str">
        <f>MidCom!AE69</f>
        <v/>
      </c>
      <c r="AF69" s="126"/>
      <c r="AG69" s="126"/>
      <c r="AH69" s="126"/>
      <c r="AI69" s="126"/>
      <c r="AJ69" s="126"/>
      <c r="AK69" s="59" t="str">
        <f>MidCom!AK69</f>
        <v/>
      </c>
      <c r="AL69" s="60" t="str">
        <f>MidCom!AL69</f>
        <v/>
      </c>
      <c r="AQ69" s="61" t="str">
        <f>MidCom!AQ69</f>
        <v/>
      </c>
      <c r="AR69" s="31"/>
      <c r="AS69" s="165" t="str">
        <f>MidCom!AS69</f>
        <v/>
      </c>
      <c r="AT69" s="17" t="str">
        <f>MidCom!AT69</f>
        <v/>
      </c>
      <c r="AU69" s="17" t="str">
        <f>MidCom!AU69</f>
        <v/>
      </c>
    </row>
    <row r="70" spans="1:47" x14ac:dyDescent="0.25">
      <c r="A70" s="8">
        <v>65</v>
      </c>
      <c r="B70" s="2" t="str">
        <f>IF('Student List'!C74="","",UPPER(LEFT('Student List'!C74,FIND(",",'Student List'!C74)-1)))</f>
        <v/>
      </c>
      <c r="C70" s="12" t="str">
        <f>IF('Student List'!C74="","",PROPER(MID('Student List'!C74, FIND(",", 'Student List'!C74) + 2, LEN('Student List'!C74) - FIND(",", 'Student List'!C74) - 1)))</f>
        <v/>
      </c>
      <c r="D70" s="55"/>
      <c r="E70" s="8" t="str">
        <f>IF(MidCom!E70="","",MidCom!E70)</f>
        <v/>
      </c>
      <c r="F70" s="73" t="str">
        <f>IF(B70="","",SUM(('MT Attendance'!AV68*5),('MT Attendance'!AW68*3),('MT Attendance'!AX68*2)))</f>
        <v/>
      </c>
      <c r="G70" s="57" t="str">
        <f>MidCom!G70</f>
        <v/>
      </c>
      <c r="H70" s="142"/>
      <c r="I70" s="142"/>
      <c r="J70" s="142"/>
      <c r="K70" s="142"/>
      <c r="L70" s="142"/>
      <c r="M70" s="111" t="str">
        <f>MidCom!M70</f>
        <v/>
      </c>
      <c r="N70" s="142"/>
      <c r="O70" s="142"/>
      <c r="P70" s="142"/>
      <c r="Q70" s="142"/>
      <c r="R70" s="142"/>
      <c r="S70" s="115" t="str">
        <f>MidCom!S70</f>
        <v/>
      </c>
      <c r="T70" s="142"/>
      <c r="U70" s="142"/>
      <c r="V70" s="142"/>
      <c r="W70" s="142"/>
      <c r="X70" s="142"/>
      <c r="Y70" s="112" t="str">
        <f>MidCom!Y70</f>
        <v/>
      </c>
      <c r="Z70" s="126"/>
      <c r="AA70" s="126"/>
      <c r="AB70" s="126"/>
      <c r="AC70" s="126"/>
      <c r="AD70" s="126"/>
      <c r="AE70" s="58" t="str">
        <f>MidCom!AE70</f>
        <v/>
      </c>
      <c r="AF70" s="126"/>
      <c r="AG70" s="126"/>
      <c r="AH70" s="126"/>
      <c r="AI70" s="126"/>
      <c r="AJ70" s="126"/>
      <c r="AK70" s="59" t="str">
        <f>MidCom!AK70</f>
        <v/>
      </c>
      <c r="AL70" s="60" t="str">
        <f>MidCom!AL70</f>
        <v/>
      </c>
      <c r="AQ70" s="61" t="str">
        <f>MidCom!AQ70</f>
        <v/>
      </c>
      <c r="AR70" s="31"/>
      <c r="AS70" s="165" t="str">
        <f>MidCom!AS70</f>
        <v/>
      </c>
      <c r="AT70" s="17" t="str">
        <f>MidCom!AT70</f>
        <v/>
      </c>
      <c r="AU70" s="17" t="str">
        <f>MidCom!AU70</f>
        <v/>
      </c>
    </row>
    <row r="71" spans="1:47" x14ac:dyDescent="0.25">
      <c r="A71" s="163">
        <v>66</v>
      </c>
      <c r="B71" s="2" t="str">
        <f>IF('Student List'!C75="","",UPPER(LEFT('Student List'!C75,FIND(",",'Student List'!C75)-1)))</f>
        <v/>
      </c>
      <c r="C71" s="12" t="str">
        <f>IF('Student List'!C75="","",PROPER(MID('Student List'!C75, FIND(",", 'Student List'!C75) + 2, LEN('Student List'!C75) - FIND(",", 'Student List'!C75) - 1)))</f>
        <v/>
      </c>
      <c r="D71" s="55"/>
      <c r="E71" s="8" t="str">
        <f>IF(MidCom!E71="","",MidCom!E71)</f>
        <v/>
      </c>
      <c r="F71" s="73" t="str">
        <f>IF(B71="","",SUM(('MT Attendance'!AV69*5),('MT Attendance'!AW69*3),('MT Attendance'!AX69*2)))</f>
        <v/>
      </c>
      <c r="G71" s="57" t="str">
        <f>MidCom!G71</f>
        <v/>
      </c>
      <c r="H71" s="142"/>
      <c r="I71" s="142"/>
      <c r="J71" s="142"/>
      <c r="K71" s="142"/>
      <c r="L71" s="142"/>
      <c r="M71" s="111" t="str">
        <f>MidCom!M71</f>
        <v/>
      </c>
      <c r="N71" s="142"/>
      <c r="O71" s="142"/>
      <c r="P71" s="142"/>
      <c r="Q71" s="142"/>
      <c r="R71" s="142"/>
      <c r="S71" s="115" t="str">
        <f>MidCom!S71</f>
        <v/>
      </c>
      <c r="T71" s="142"/>
      <c r="U71" s="142"/>
      <c r="V71" s="142"/>
      <c r="W71" s="142"/>
      <c r="X71" s="142"/>
      <c r="Y71" s="112" t="str">
        <f>MidCom!Y71</f>
        <v/>
      </c>
      <c r="Z71" s="126"/>
      <c r="AA71" s="126"/>
      <c r="AB71" s="126"/>
      <c r="AC71" s="126"/>
      <c r="AD71" s="126"/>
      <c r="AE71" s="58" t="str">
        <f>MidCom!AE71</f>
        <v/>
      </c>
      <c r="AF71" s="126"/>
      <c r="AG71" s="126"/>
      <c r="AH71" s="126"/>
      <c r="AI71" s="126"/>
      <c r="AJ71" s="126"/>
      <c r="AK71" s="59" t="str">
        <f>MidCom!AK71</f>
        <v/>
      </c>
      <c r="AL71" s="60" t="str">
        <f>MidCom!AL71</f>
        <v/>
      </c>
      <c r="AQ71" s="61" t="str">
        <f>MidCom!AQ71</f>
        <v/>
      </c>
      <c r="AR71" s="31"/>
      <c r="AS71" s="165" t="str">
        <f>MidCom!AS71</f>
        <v/>
      </c>
      <c r="AT71" s="17" t="str">
        <f>MidCom!AT71</f>
        <v/>
      </c>
      <c r="AU71" s="17" t="str">
        <f>MidCom!AU71</f>
        <v/>
      </c>
    </row>
    <row r="72" spans="1:47" x14ac:dyDescent="0.25">
      <c r="A72" s="163">
        <v>67</v>
      </c>
      <c r="B72" s="2" t="str">
        <f>IF('Student List'!C76="","",UPPER(LEFT('Student List'!C76,FIND(",",'Student List'!C76)-1)))</f>
        <v/>
      </c>
      <c r="C72" s="12" t="str">
        <f>IF('Student List'!C76="","",PROPER(MID('Student List'!C76, FIND(",", 'Student List'!C76) + 2, LEN('Student List'!C76) - FIND(",", 'Student List'!C76) - 1)))</f>
        <v/>
      </c>
      <c r="D72" s="55"/>
      <c r="E72" s="8" t="str">
        <f>IF(MidCom!E72="","",MidCom!E72)</f>
        <v/>
      </c>
      <c r="F72" s="73" t="str">
        <f>IF(B72="","",SUM(('MT Attendance'!AV70*5),('MT Attendance'!AW70*3),('MT Attendance'!AX70*2)))</f>
        <v/>
      </c>
      <c r="G72" s="57" t="str">
        <f>MidCom!G72</f>
        <v/>
      </c>
      <c r="H72" s="142"/>
      <c r="I72" s="142"/>
      <c r="J72" s="142"/>
      <c r="K72" s="142"/>
      <c r="L72" s="142"/>
      <c r="M72" s="111" t="str">
        <f>MidCom!M72</f>
        <v/>
      </c>
      <c r="N72" s="142"/>
      <c r="O72" s="142"/>
      <c r="P72" s="142"/>
      <c r="Q72" s="142"/>
      <c r="R72" s="142"/>
      <c r="S72" s="115" t="str">
        <f>MidCom!S72</f>
        <v/>
      </c>
      <c r="T72" s="142"/>
      <c r="U72" s="142"/>
      <c r="V72" s="142"/>
      <c r="W72" s="142"/>
      <c r="X72" s="142"/>
      <c r="Y72" s="112" t="str">
        <f>MidCom!Y72</f>
        <v/>
      </c>
      <c r="Z72" s="126"/>
      <c r="AA72" s="126"/>
      <c r="AB72" s="126"/>
      <c r="AC72" s="126"/>
      <c r="AD72" s="126"/>
      <c r="AE72" s="58" t="str">
        <f>MidCom!AE72</f>
        <v/>
      </c>
      <c r="AF72" s="126"/>
      <c r="AG72" s="126"/>
      <c r="AH72" s="126"/>
      <c r="AI72" s="126"/>
      <c r="AJ72" s="126"/>
      <c r="AK72" s="59" t="str">
        <f>MidCom!AK72</f>
        <v/>
      </c>
      <c r="AL72" s="60" t="str">
        <f>MidCom!AL72</f>
        <v/>
      </c>
      <c r="AQ72" s="61" t="str">
        <f>MidCom!AQ72</f>
        <v/>
      </c>
      <c r="AR72" s="31"/>
      <c r="AS72" s="165" t="str">
        <f>MidCom!AS72</f>
        <v/>
      </c>
      <c r="AT72" s="17" t="str">
        <f>MidCom!AT72</f>
        <v/>
      </c>
      <c r="AU72" s="17" t="str">
        <f>MidCom!AU72</f>
        <v/>
      </c>
    </row>
    <row r="73" spans="1:47" x14ac:dyDescent="0.25">
      <c r="A73" s="163">
        <v>68</v>
      </c>
      <c r="B73" s="2" t="str">
        <f>IF('Student List'!C77="","",UPPER(LEFT('Student List'!C77,FIND(",",'Student List'!C77)-1)))</f>
        <v/>
      </c>
      <c r="C73" s="12" t="str">
        <f>IF('Student List'!C77="","",PROPER(MID('Student List'!C77, FIND(",", 'Student List'!C77) + 2, LEN('Student List'!C77) - FIND(",", 'Student List'!C77) - 1)))</f>
        <v/>
      </c>
      <c r="D73" s="55"/>
      <c r="E73" s="8" t="str">
        <f>IF(MidCom!E73="","",MidCom!E73)</f>
        <v/>
      </c>
      <c r="F73" s="73" t="str">
        <f>IF(B73="","",SUM(('MT Attendance'!AV71*5),('MT Attendance'!AW71*3),('MT Attendance'!AX71*2)))</f>
        <v/>
      </c>
      <c r="G73" s="57" t="str">
        <f>MidCom!G73</f>
        <v/>
      </c>
      <c r="H73" s="142"/>
      <c r="I73" s="142"/>
      <c r="J73" s="142"/>
      <c r="K73" s="142"/>
      <c r="L73" s="142"/>
      <c r="M73" s="111" t="str">
        <f>MidCom!M73</f>
        <v/>
      </c>
      <c r="N73" s="142"/>
      <c r="O73" s="142"/>
      <c r="P73" s="142"/>
      <c r="Q73" s="142"/>
      <c r="R73" s="142"/>
      <c r="S73" s="115" t="str">
        <f>MidCom!S73</f>
        <v/>
      </c>
      <c r="T73" s="142"/>
      <c r="U73" s="142"/>
      <c r="V73" s="142"/>
      <c r="W73" s="142"/>
      <c r="X73" s="142"/>
      <c r="Y73" s="112" t="str">
        <f>MidCom!Y73</f>
        <v/>
      </c>
      <c r="Z73" s="126"/>
      <c r="AA73" s="126"/>
      <c r="AB73" s="126"/>
      <c r="AC73" s="126"/>
      <c r="AD73" s="126"/>
      <c r="AE73" s="58" t="str">
        <f>MidCom!AE73</f>
        <v/>
      </c>
      <c r="AF73" s="126"/>
      <c r="AG73" s="126"/>
      <c r="AH73" s="126"/>
      <c r="AI73" s="126"/>
      <c r="AJ73" s="126"/>
      <c r="AK73" s="59" t="str">
        <f>MidCom!AK73</f>
        <v/>
      </c>
      <c r="AL73" s="60" t="str">
        <f>MidCom!AL73</f>
        <v/>
      </c>
      <c r="AQ73" s="61" t="str">
        <f>MidCom!AQ73</f>
        <v/>
      </c>
      <c r="AR73" s="31"/>
      <c r="AS73" s="165" t="str">
        <f>MidCom!AS73</f>
        <v/>
      </c>
      <c r="AT73" s="17" t="str">
        <f>MidCom!AT73</f>
        <v/>
      </c>
      <c r="AU73" s="17" t="str">
        <f>MidCom!AU73</f>
        <v/>
      </c>
    </row>
    <row r="74" spans="1:47" x14ac:dyDescent="0.25">
      <c r="A74" s="163">
        <v>69</v>
      </c>
      <c r="B74" s="2" t="str">
        <f>IF('Student List'!C78="","",UPPER(LEFT('Student List'!C78,FIND(",",'Student List'!C78)-1)))</f>
        <v/>
      </c>
      <c r="C74" s="12" t="str">
        <f>IF('Student List'!C78="","",PROPER(MID('Student List'!C78, FIND(",", 'Student List'!C78) + 2, LEN('Student List'!C78) - FIND(",", 'Student List'!C78) - 1)))</f>
        <v/>
      </c>
      <c r="D74" s="55"/>
      <c r="E74" s="8" t="str">
        <f>IF(MidCom!E74="","",MidCom!E74)</f>
        <v/>
      </c>
      <c r="F74" s="73" t="str">
        <f>IF(B74="","",SUM(('MT Attendance'!AV72*5),('MT Attendance'!AW72*3),('MT Attendance'!AX72*2)))</f>
        <v/>
      </c>
      <c r="G74" s="57" t="str">
        <f>MidCom!G74</f>
        <v/>
      </c>
      <c r="H74" s="142"/>
      <c r="I74" s="142"/>
      <c r="J74" s="142"/>
      <c r="K74" s="142"/>
      <c r="L74" s="142"/>
      <c r="M74" s="111" t="str">
        <f>MidCom!M74</f>
        <v/>
      </c>
      <c r="N74" s="142"/>
      <c r="O74" s="142"/>
      <c r="P74" s="142"/>
      <c r="Q74" s="142"/>
      <c r="R74" s="142"/>
      <c r="S74" s="115" t="str">
        <f>MidCom!S74</f>
        <v/>
      </c>
      <c r="T74" s="142"/>
      <c r="U74" s="142"/>
      <c r="V74" s="142"/>
      <c r="W74" s="142"/>
      <c r="X74" s="142"/>
      <c r="Y74" s="112" t="str">
        <f>MidCom!Y74</f>
        <v/>
      </c>
      <c r="Z74" s="126"/>
      <c r="AA74" s="126"/>
      <c r="AB74" s="126"/>
      <c r="AC74" s="126"/>
      <c r="AD74" s="126"/>
      <c r="AE74" s="58" t="str">
        <f>MidCom!AE74</f>
        <v/>
      </c>
      <c r="AF74" s="126"/>
      <c r="AG74" s="126"/>
      <c r="AH74" s="126"/>
      <c r="AI74" s="126"/>
      <c r="AJ74" s="126"/>
      <c r="AK74" s="59" t="str">
        <f>MidCom!AK74</f>
        <v/>
      </c>
      <c r="AL74" s="60" t="str">
        <f>MidCom!AL74</f>
        <v/>
      </c>
      <c r="AQ74" s="61" t="str">
        <f>MidCom!AQ74</f>
        <v/>
      </c>
      <c r="AR74" s="31"/>
      <c r="AS74" s="165" t="str">
        <f>MidCom!AS74</f>
        <v/>
      </c>
      <c r="AT74" s="17" t="str">
        <f>MidCom!AT74</f>
        <v/>
      </c>
      <c r="AU74" s="17" t="str">
        <f>MidCom!AU74</f>
        <v/>
      </c>
    </row>
    <row r="75" spans="1:47" x14ac:dyDescent="0.25">
      <c r="A75" s="163">
        <v>70</v>
      </c>
      <c r="B75" s="2" t="str">
        <f>IF('Student List'!C79="","",UPPER(LEFT('Student List'!C79,FIND(",",'Student List'!C79)-1)))</f>
        <v/>
      </c>
      <c r="C75" s="12" t="str">
        <f>IF('Student List'!C79="","",PROPER(MID('Student List'!C79, FIND(",", 'Student List'!C79) + 2, LEN('Student List'!C79) - FIND(",", 'Student List'!C79) - 1)))</f>
        <v/>
      </c>
      <c r="D75" s="55"/>
      <c r="E75" s="8" t="str">
        <f>IF(MidCom!E75="","",MidCom!E75)</f>
        <v/>
      </c>
      <c r="F75" s="73" t="str">
        <f>IF(B75="","",SUM(('MT Attendance'!AV73*5),('MT Attendance'!AW73*3),('MT Attendance'!AX73*2)))</f>
        <v/>
      </c>
      <c r="G75" s="57" t="str">
        <f>MidCom!G75</f>
        <v/>
      </c>
      <c r="H75" s="142"/>
      <c r="I75" s="142"/>
      <c r="J75" s="142"/>
      <c r="K75" s="142"/>
      <c r="L75" s="142"/>
      <c r="M75" s="111" t="str">
        <f>MidCom!M75</f>
        <v/>
      </c>
      <c r="N75" s="142"/>
      <c r="O75" s="142"/>
      <c r="P75" s="142"/>
      <c r="Q75" s="142"/>
      <c r="R75" s="142"/>
      <c r="S75" s="115" t="str">
        <f>MidCom!S75</f>
        <v/>
      </c>
      <c r="T75" s="142"/>
      <c r="U75" s="142"/>
      <c r="V75" s="142"/>
      <c r="W75" s="142"/>
      <c r="X75" s="142"/>
      <c r="Y75" s="112" t="str">
        <f>MidCom!Y75</f>
        <v/>
      </c>
      <c r="Z75" s="126"/>
      <c r="AA75" s="126"/>
      <c r="AB75" s="126"/>
      <c r="AC75" s="126"/>
      <c r="AD75" s="126"/>
      <c r="AE75" s="58" t="str">
        <f>MidCom!AE75</f>
        <v/>
      </c>
      <c r="AF75" s="126"/>
      <c r="AG75" s="126"/>
      <c r="AH75" s="126"/>
      <c r="AI75" s="126"/>
      <c r="AJ75" s="126"/>
      <c r="AK75" s="59" t="str">
        <f>MidCom!AK75</f>
        <v/>
      </c>
      <c r="AL75" s="60" t="str">
        <f>MidCom!AL75</f>
        <v/>
      </c>
      <c r="AQ75" s="61" t="str">
        <f>MidCom!AQ75</f>
        <v/>
      </c>
      <c r="AR75" s="31"/>
      <c r="AS75" s="165" t="str">
        <f>MidCom!AS75</f>
        <v/>
      </c>
      <c r="AT75" s="17" t="str">
        <f>MidCom!AT75</f>
        <v/>
      </c>
      <c r="AU75" s="17" t="str">
        <f>MidCom!AU75</f>
        <v/>
      </c>
    </row>
    <row r="76" spans="1:47" x14ac:dyDescent="0.25">
      <c r="A76" s="163">
        <v>71</v>
      </c>
      <c r="B76" s="2" t="str">
        <f>IF('Student List'!C80="","",UPPER(LEFT('Student List'!C80,FIND(",",'Student List'!C80)-1)))</f>
        <v/>
      </c>
      <c r="C76" s="12" t="str">
        <f>IF('Student List'!C80="","",PROPER(MID('Student List'!C80, FIND(",", 'Student List'!C80) + 2, LEN('Student List'!C80) - FIND(",", 'Student List'!C80) - 1)))</f>
        <v/>
      </c>
      <c r="D76" s="55"/>
      <c r="E76" s="8" t="str">
        <f>IF(MidCom!E76="","",MidCom!E76)</f>
        <v/>
      </c>
      <c r="F76" s="73" t="str">
        <f>IF(B76="","",SUM(('MT Attendance'!AV74*5),('MT Attendance'!AW74*3),('MT Attendance'!AX74*2)))</f>
        <v/>
      </c>
      <c r="G76" s="57" t="str">
        <f>MidCom!G76</f>
        <v/>
      </c>
      <c r="H76" s="142"/>
      <c r="I76" s="142"/>
      <c r="J76" s="142"/>
      <c r="K76" s="142"/>
      <c r="L76" s="142"/>
      <c r="M76" s="111" t="str">
        <f>MidCom!M76</f>
        <v/>
      </c>
      <c r="N76" s="142"/>
      <c r="O76" s="142"/>
      <c r="P76" s="142"/>
      <c r="Q76" s="142"/>
      <c r="R76" s="142"/>
      <c r="S76" s="115" t="str">
        <f>MidCom!S76</f>
        <v/>
      </c>
      <c r="T76" s="142"/>
      <c r="U76" s="142"/>
      <c r="V76" s="142"/>
      <c r="W76" s="142"/>
      <c r="X76" s="142"/>
      <c r="Y76" s="112" t="str">
        <f>MidCom!Y76</f>
        <v/>
      </c>
      <c r="Z76" s="126"/>
      <c r="AA76" s="126"/>
      <c r="AB76" s="126"/>
      <c r="AC76" s="126"/>
      <c r="AD76" s="126"/>
      <c r="AE76" s="58" t="str">
        <f>MidCom!AE76</f>
        <v/>
      </c>
      <c r="AF76" s="126"/>
      <c r="AG76" s="126"/>
      <c r="AH76" s="126"/>
      <c r="AI76" s="126"/>
      <c r="AJ76" s="126"/>
      <c r="AK76" s="59" t="str">
        <f>MidCom!AK76</f>
        <v/>
      </c>
      <c r="AL76" s="60" t="str">
        <f>MidCom!AL76</f>
        <v/>
      </c>
      <c r="AQ76" s="61" t="str">
        <f>MidCom!AQ76</f>
        <v/>
      </c>
      <c r="AR76" s="31"/>
      <c r="AS76" s="165" t="str">
        <f>MidCom!AS76</f>
        <v/>
      </c>
      <c r="AT76" s="17" t="str">
        <f>MidCom!AT76</f>
        <v/>
      </c>
      <c r="AU76" s="17" t="str">
        <f>MidCom!AU76</f>
        <v/>
      </c>
    </row>
    <row r="77" spans="1:47" x14ac:dyDescent="0.25">
      <c r="A77" s="163">
        <v>72</v>
      </c>
      <c r="B77" s="2" t="str">
        <f>IF('Student List'!C81="","",UPPER(LEFT('Student List'!C81,FIND(",",'Student List'!C81)-1)))</f>
        <v/>
      </c>
      <c r="C77" s="12" t="str">
        <f>IF('Student List'!C81="","",PROPER(MID('Student List'!C81, FIND(",", 'Student List'!C81) + 2, LEN('Student List'!C81) - FIND(",", 'Student List'!C81) - 1)))</f>
        <v/>
      </c>
      <c r="D77" s="55"/>
      <c r="E77" s="8" t="str">
        <f>IF(MidCom!E77="","",MidCom!E77)</f>
        <v/>
      </c>
      <c r="F77" s="73" t="str">
        <f>IF(B77="","",SUM(('MT Attendance'!AV75*5),('MT Attendance'!AW75*3),('MT Attendance'!AX75*2)))</f>
        <v/>
      </c>
      <c r="G77" s="57" t="str">
        <f>MidCom!G77</f>
        <v/>
      </c>
      <c r="H77" s="142"/>
      <c r="I77" s="142"/>
      <c r="J77" s="142"/>
      <c r="K77" s="142"/>
      <c r="L77" s="142"/>
      <c r="M77" s="111" t="str">
        <f>MidCom!M77</f>
        <v/>
      </c>
      <c r="N77" s="142"/>
      <c r="O77" s="142"/>
      <c r="P77" s="142"/>
      <c r="Q77" s="142"/>
      <c r="R77" s="142"/>
      <c r="S77" s="115" t="str">
        <f>MidCom!S77</f>
        <v/>
      </c>
      <c r="T77" s="142"/>
      <c r="U77" s="142"/>
      <c r="V77" s="142"/>
      <c r="W77" s="142"/>
      <c r="X77" s="142"/>
      <c r="Y77" s="112" t="str">
        <f>MidCom!Y77</f>
        <v/>
      </c>
      <c r="Z77" s="126"/>
      <c r="AA77" s="126"/>
      <c r="AB77" s="126"/>
      <c r="AC77" s="126"/>
      <c r="AD77" s="126"/>
      <c r="AE77" s="58" t="str">
        <f>MidCom!AE77</f>
        <v/>
      </c>
      <c r="AF77" s="126"/>
      <c r="AG77" s="126"/>
      <c r="AH77" s="126"/>
      <c r="AI77" s="126"/>
      <c r="AJ77" s="126"/>
      <c r="AK77" s="59" t="str">
        <f>MidCom!AK77</f>
        <v/>
      </c>
      <c r="AL77" s="60" t="str">
        <f>MidCom!AL77</f>
        <v/>
      </c>
      <c r="AQ77" s="61" t="str">
        <f>MidCom!AQ77</f>
        <v/>
      </c>
      <c r="AR77" s="31"/>
      <c r="AS77" s="165" t="str">
        <f>MidCom!AS77</f>
        <v/>
      </c>
      <c r="AT77" s="17" t="str">
        <f>MidCom!AT77</f>
        <v/>
      </c>
      <c r="AU77" s="17" t="str">
        <f>MidCom!AU77</f>
        <v/>
      </c>
    </row>
    <row r="78" spans="1:47" x14ac:dyDescent="0.25">
      <c r="A78" s="163">
        <v>73</v>
      </c>
      <c r="B78" s="2" t="str">
        <f>IF('Student List'!C82="","",UPPER(LEFT('Student List'!C82,FIND(",",'Student List'!C82)-1)))</f>
        <v/>
      </c>
      <c r="C78" s="12" t="str">
        <f>IF('Student List'!C82="","",PROPER(MID('Student List'!C82, FIND(",", 'Student List'!C82) + 2, LEN('Student List'!C82) - FIND(",", 'Student List'!C82) - 1)))</f>
        <v/>
      </c>
      <c r="D78" s="55"/>
      <c r="E78" s="8" t="str">
        <f>IF(MidCom!E78="","",MidCom!E78)</f>
        <v/>
      </c>
      <c r="F78" s="73" t="str">
        <f>IF(B78="","",SUM(('MT Attendance'!AV76*5),('MT Attendance'!AW76*3),('MT Attendance'!AX76*2)))</f>
        <v/>
      </c>
      <c r="G78" s="57" t="str">
        <f>MidCom!G78</f>
        <v/>
      </c>
      <c r="H78" s="142"/>
      <c r="I78" s="142"/>
      <c r="J78" s="142"/>
      <c r="K78" s="142"/>
      <c r="L78" s="142"/>
      <c r="M78" s="111" t="str">
        <f>MidCom!M78</f>
        <v/>
      </c>
      <c r="N78" s="142"/>
      <c r="O78" s="142"/>
      <c r="P78" s="142"/>
      <c r="Q78" s="142"/>
      <c r="R78" s="142"/>
      <c r="S78" s="115" t="str">
        <f>MidCom!S78</f>
        <v/>
      </c>
      <c r="T78" s="142"/>
      <c r="U78" s="142"/>
      <c r="V78" s="142"/>
      <c r="W78" s="142"/>
      <c r="X78" s="142"/>
      <c r="Y78" s="112" t="str">
        <f>MidCom!Y78</f>
        <v/>
      </c>
      <c r="Z78" s="126"/>
      <c r="AA78" s="126"/>
      <c r="AB78" s="126"/>
      <c r="AC78" s="126"/>
      <c r="AD78" s="126"/>
      <c r="AE78" s="58" t="str">
        <f>MidCom!AE78</f>
        <v/>
      </c>
      <c r="AF78" s="126"/>
      <c r="AG78" s="126"/>
      <c r="AH78" s="126"/>
      <c r="AI78" s="126"/>
      <c r="AJ78" s="126"/>
      <c r="AK78" s="59" t="str">
        <f>MidCom!AK78</f>
        <v/>
      </c>
      <c r="AL78" s="60" t="str">
        <f>MidCom!AL78</f>
        <v/>
      </c>
      <c r="AQ78" s="61" t="str">
        <f>MidCom!AQ78</f>
        <v/>
      </c>
      <c r="AR78" s="31"/>
      <c r="AS78" s="165" t="str">
        <f>MidCom!AS78</f>
        <v/>
      </c>
      <c r="AT78" s="17" t="str">
        <f>MidCom!AT78</f>
        <v/>
      </c>
      <c r="AU78" s="17" t="str">
        <f>MidCom!AU78</f>
        <v/>
      </c>
    </row>
    <row r="79" spans="1:47" x14ac:dyDescent="0.25">
      <c r="A79" s="163">
        <v>74</v>
      </c>
      <c r="B79" s="2" t="str">
        <f>IF('Student List'!C83="","",UPPER(LEFT('Student List'!C83,FIND(",",'Student List'!C83)-1)))</f>
        <v/>
      </c>
      <c r="C79" s="12" t="str">
        <f>IF('Student List'!C83="","",PROPER(MID('Student List'!C83, FIND(",", 'Student List'!C83) + 2, LEN('Student List'!C83) - FIND(",", 'Student List'!C83) - 1)))</f>
        <v/>
      </c>
      <c r="D79" s="55"/>
      <c r="E79" s="8" t="str">
        <f>IF(MidCom!E79="","",MidCom!E79)</f>
        <v/>
      </c>
      <c r="F79" s="73" t="str">
        <f>IF(B79="","",SUM(('MT Attendance'!AV77*5),('MT Attendance'!AW77*3),('MT Attendance'!AX77*2)))</f>
        <v/>
      </c>
      <c r="G79" s="57" t="str">
        <f>MidCom!G79</f>
        <v/>
      </c>
      <c r="H79" s="142"/>
      <c r="I79" s="142"/>
      <c r="J79" s="142"/>
      <c r="K79" s="142"/>
      <c r="L79" s="142"/>
      <c r="M79" s="111" t="str">
        <f>MidCom!M79</f>
        <v/>
      </c>
      <c r="N79" s="142"/>
      <c r="O79" s="142"/>
      <c r="P79" s="142"/>
      <c r="Q79" s="142"/>
      <c r="R79" s="142"/>
      <c r="S79" s="115" t="str">
        <f>MidCom!S79</f>
        <v/>
      </c>
      <c r="T79" s="142"/>
      <c r="U79" s="142"/>
      <c r="V79" s="142"/>
      <c r="W79" s="142"/>
      <c r="X79" s="142"/>
      <c r="Y79" s="112" t="str">
        <f>MidCom!Y79</f>
        <v/>
      </c>
      <c r="Z79" s="126"/>
      <c r="AA79" s="126"/>
      <c r="AB79" s="126"/>
      <c r="AC79" s="126"/>
      <c r="AD79" s="126"/>
      <c r="AE79" s="58" t="str">
        <f>MidCom!AE79</f>
        <v/>
      </c>
      <c r="AF79" s="126"/>
      <c r="AG79" s="126"/>
      <c r="AH79" s="126"/>
      <c r="AI79" s="126"/>
      <c r="AJ79" s="126"/>
      <c r="AK79" s="59" t="str">
        <f>MidCom!AK79</f>
        <v/>
      </c>
      <c r="AL79" s="60" t="str">
        <f>MidCom!AL79</f>
        <v/>
      </c>
      <c r="AQ79" s="61" t="str">
        <f>MidCom!AQ79</f>
        <v/>
      </c>
      <c r="AR79" s="31"/>
      <c r="AS79" s="165" t="str">
        <f>MidCom!AS79</f>
        <v/>
      </c>
      <c r="AT79" s="17" t="str">
        <f>MidCom!AT79</f>
        <v/>
      </c>
      <c r="AU79" s="17" t="str">
        <f>MidCom!AU79</f>
        <v/>
      </c>
    </row>
    <row r="80" spans="1:47" x14ac:dyDescent="0.25">
      <c r="A80" s="163">
        <v>75</v>
      </c>
      <c r="B80" s="2" t="str">
        <f>IF('Student List'!C84="","",UPPER(LEFT('Student List'!C84,FIND(",",'Student List'!C84)-1)))</f>
        <v/>
      </c>
      <c r="C80" s="12" t="str">
        <f>IF('Student List'!C84="","",PROPER(MID('Student List'!C84, FIND(",", 'Student List'!C84) + 2, LEN('Student List'!C84) - FIND(",", 'Student List'!C84) - 1)))</f>
        <v/>
      </c>
      <c r="D80" s="55"/>
      <c r="E80" s="8" t="str">
        <f>IF(MidCom!E80="","",MidCom!E80)</f>
        <v/>
      </c>
      <c r="F80" s="73" t="str">
        <f>IF(B80="","",SUM(('MT Attendance'!AV78*5),('MT Attendance'!AW78*3),('MT Attendance'!AX78*2)))</f>
        <v/>
      </c>
      <c r="G80" s="57" t="str">
        <f>MidCom!G80</f>
        <v/>
      </c>
      <c r="H80" s="142"/>
      <c r="I80" s="142"/>
      <c r="J80" s="142"/>
      <c r="K80" s="142"/>
      <c r="L80" s="142"/>
      <c r="M80" s="111" t="str">
        <f>MidCom!M80</f>
        <v/>
      </c>
      <c r="N80" s="142"/>
      <c r="O80" s="142"/>
      <c r="P80" s="142"/>
      <c r="Q80" s="142"/>
      <c r="R80" s="142"/>
      <c r="S80" s="115" t="str">
        <f>MidCom!S80</f>
        <v/>
      </c>
      <c r="T80" s="142"/>
      <c r="U80" s="142"/>
      <c r="V80" s="142"/>
      <c r="W80" s="142"/>
      <c r="X80" s="142"/>
      <c r="Y80" s="112" t="str">
        <f>MidCom!Y80</f>
        <v/>
      </c>
      <c r="Z80" s="126"/>
      <c r="AA80" s="126"/>
      <c r="AB80" s="126"/>
      <c r="AC80" s="126"/>
      <c r="AD80" s="126"/>
      <c r="AE80" s="58" t="str">
        <f>MidCom!AE80</f>
        <v/>
      </c>
      <c r="AF80" s="126"/>
      <c r="AG80" s="126"/>
      <c r="AH80" s="126"/>
      <c r="AI80" s="126"/>
      <c r="AJ80" s="126"/>
      <c r="AK80" s="59" t="str">
        <f>MidCom!AK80</f>
        <v/>
      </c>
      <c r="AL80" s="60" t="str">
        <f>MidCom!AL80</f>
        <v/>
      </c>
      <c r="AQ80" s="61" t="str">
        <f>MidCom!AQ80</f>
        <v/>
      </c>
      <c r="AR80" s="31"/>
      <c r="AS80" s="165" t="str">
        <f>MidCom!AS80</f>
        <v/>
      </c>
      <c r="AT80" s="17" t="str">
        <f>MidCom!AT80</f>
        <v/>
      </c>
      <c r="AU80" s="17" t="str">
        <f>MidCom!AU80</f>
        <v/>
      </c>
    </row>
    <row r="81" spans="1:47" x14ac:dyDescent="0.25">
      <c r="A81" s="163">
        <v>76</v>
      </c>
      <c r="B81" s="2" t="str">
        <f>IF('Student List'!C85="","",UPPER(LEFT('Student List'!C85,FIND(",",'Student List'!C85)-1)))</f>
        <v/>
      </c>
      <c r="C81" s="12" t="str">
        <f>IF('Student List'!C85="","",PROPER(MID('Student List'!C85, FIND(",", 'Student List'!C85) + 2, LEN('Student List'!C85) - FIND(",", 'Student List'!C85) - 1)))</f>
        <v/>
      </c>
      <c r="D81" s="55"/>
      <c r="E81" s="8" t="str">
        <f>IF(MidCom!E81="","",MidCom!E81)</f>
        <v/>
      </c>
      <c r="F81" s="73" t="str">
        <f>IF(B81="","",SUM(('MT Attendance'!AV79*5),('MT Attendance'!AW79*3),('MT Attendance'!AX79*2)))</f>
        <v/>
      </c>
      <c r="G81" s="57" t="str">
        <f>MidCom!G81</f>
        <v/>
      </c>
      <c r="H81" s="142"/>
      <c r="I81" s="142"/>
      <c r="J81" s="142"/>
      <c r="K81" s="142"/>
      <c r="L81" s="142"/>
      <c r="M81" s="111" t="str">
        <f>MidCom!M81</f>
        <v/>
      </c>
      <c r="N81" s="142"/>
      <c r="O81" s="142"/>
      <c r="P81" s="142"/>
      <c r="Q81" s="142"/>
      <c r="R81" s="142"/>
      <c r="S81" s="115" t="str">
        <f>MidCom!S81</f>
        <v/>
      </c>
      <c r="T81" s="142"/>
      <c r="U81" s="142"/>
      <c r="V81" s="142"/>
      <c r="W81" s="142"/>
      <c r="X81" s="142"/>
      <c r="Y81" s="112" t="str">
        <f>MidCom!Y81</f>
        <v/>
      </c>
      <c r="Z81" s="126"/>
      <c r="AA81" s="126"/>
      <c r="AB81" s="126"/>
      <c r="AC81" s="126"/>
      <c r="AD81" s="126"/>
      <c r="AE81" s="58" t="str">
        <f>MidCom!AE81</f>
        <v/>
      </c>
      <c r="AF81" s="126"/>
      <c r="AG81" s="126"/>
      <c r="AH81" s="126"/>
      <c r="AI81" s="126"/>
      <c r="AJ81" s="126"/>
      <c r="AK81" s="59" t="str">
        <f>MidCom!AK81</f>
        <v/>
      </c>
      <c r="AL81" s="60" t="str">
        <f>MidCom!AL81</f>
        <v/>
      </c>
      <c r="AQ81" s="61" t="str">
        <f>MidCom!AQ81</f>
        <v/>
      </c>
      <c r="AR81" s="31"/>
      <c r="AS81" s="165" t="str">
        <f>MidCom!AS81</f>
        <v/>
      </c>
      <c r="AT81" s="17" t="str">
        <f>MidCom!AT81</f>
        <v/>
      </c>
      <c r="AU81" s="17" t="str">
        <f>MidCom!AU81</f>
        <v/>
      </c>
    </row>
    <row r="82" spans="1:47" x14ac:dyDescent="0.25">
      <c r="A82" s="163">
        <v>77</v>
      </c>
      <c r="B82" s="2" t="str">
        <f>IF('Student List'!C86="","",UPPER(LEFT('Student List'!C86,FIND(",",'Student List'!C86)-1)))</f>
        <v/>
      </c>
      <c r="C82" s="12" t="str">
        <f>IF('Student List'!C86="","",PROPER(MID('Student List'!C86, FIND(",", 'Student List'!C86) + 2, LEN('Student List'!C86) - FIND(",", 'Student List'!C86) - 1)))</f>
        <v/>
      </c>
      <c r="D82" s="55"/>
      <c r="E82" s="8" t="str">
        <f>IF(MidCom!E82="","",MidCom!E82)</f>
        <v/>
      </c>
      <c r="F82" s="73" t="str">
        <f>IF(B82="","",SUM(('MT Attendance'!AV80*5),('MT Attendance'!AW80*3),('MT Attendance'!AX80*2)))</f>
        <v/>
      </c>
      <c r="G82" s="57" t="str">
        <f>MidCom!G82</f>
        <v/>
      </c>
      <c r="H82" s="142"/>
      <c r="I82" s="142"/>
      <c r="J82" s="142"/>
      <c r="K82" s="142"/>
      <c r="L82" s="142"/>
      <c r="M82" s="111" t="str">
        <f>MidCom!M82</f>
        <v/>
      </c>
      <c r="N82" s="142"/>
      <c r="O82" s="142"/>
      <c r="P82" s="142"/>
      <c r="Q82" s="142"/>
      <c r="R82" s="142"/>
      <c r="S82" s="115" t="str">
        <f>MidCom!S82</f>
        <v/>
      </c>
      <c r="T82" s="142"/>
      <c r="U82" s="142"/>
      <c r="V82" s="142"/>
      <c r="W82" s="142"/>
      <c r="X82" s="142"/>
      <c r="Y82" s="112" t="str">
        <f>MidCom!Y82</f>
        <v/>
      </c>
      <c r="Z82" s="126"/>
      <c r="AA82" s="126"/>
      <c r="AB82" s="126"/>
      <c r="AC82" s="126"/>
      <c r="AD82" s="126"/>
      <c r="AE82" s="58" t="str">
        <f>MidCom!AE82</f>
        <v/>
      </c>
      <c r="AF82" s="126"/>
      <c r="AG82" s="126"/>
      <c r="AH82" s="126"/>
      <c r="AI82" s="126"/>
      <c r="AJ82" s="126"/>
      <c r="AK82" s="59" t="str">
        <f>MidCom!AK82</f>
        <v/>
      </c>
      <c r="AL82" s="60" t="str">
        <f>MidCom!AL82</f>
        <v/>
      </c>
      <c r="AQ82" s="61" t="str">
        <f>MidCom!AQ82</f>
        <v/>
      </c>
      <c r="AR82" s="31"/>
      <c r="AS82" s="165" t="str">
        <f>MidCom!AS82</f>
        <v/>
      </c>
      <c r="AT82" s="17" t="str">
        <f>MidCom!AT82</f>
        <v/>
      </c>
      <c r="AU82" s="17" t="str">
        <f>MidCom!AU82</f>
        <v/>
      </c>
    </row>
    <row r="83" spans="1:47" x14ac:dyDescent="0.25">
      <c r="A83" s="163">
        <v>78</v>
      </c>
      <c r="B83" s="2" t="str">
        <f>IF('Student List'!C87="","",UPPER(LEFT('Student List'!C87,FIND(",",'Student List'!C87)-1)))</f>
        <v/>
      </c>
      <c r="C83" s="12" t="str">
        <f>IF('Student List'!C87="","",PROPER(MID('Student List'!C87, FIND(",", 'Student List'!C87) + 2, LEN('Student List'!C87) - FIND(",", 'Student List'!C87) - 1)))</f>
        <v/>
      </c>
      <c r="D83" s="55"/>
      <c r="E83" s="8" t="str">
        <f>IF(MidCom!E83="","",MidCom!E83)</f>
        <v/>
      </c>
      <c r="F83" s="73" t="str">
        <f>IF(B83="","",SUM(('MT Attendance'!AV81*5),('MT Attendance'!AW81*3),('MT Attendance'!AX81*2)))</f>
        <v/>
      </c>
      <c r="G83" s="57" t="str">
        <f>MidCom!G83</f>
        <v/>
      </c>
      <c r="H83" s="142"/>
      <c r="I83" s="142"/>
      <c r="J83" s="142"/>
      <c r="K83" s="142"/>
      <c r="L83" s="142"/>
      <c r="M83" s="111" t="str">
        <f>MidCom!M83</f>
        <v/>
      </c>
      <c r="N83" s="142"/>
      <c r="O83" s="142"/>
      <c r="P83" s="142"/>
      <c r="Q83" s="142"/>
      <c r="R83" s="142"/>
      <c r="S83" s="115" t="str">
        <f>MidCom!S83</f>
        <v/>
      </c>
      <c r="T83" s="142"/>
      <c r="U83" s="142"/>
      <c r="V83" s="142"/>
      <c r="W83" s="142"/>
      <c r="X83" s="142"/>
      <c r="Y83" s="112" t="str">
        <f>MidCom!Y83</f>
        <v/>
      </c>
      <c r="Z83" s="126"/>
      <c r="AA83" s="126"/>
      <c r="AB83" s="126"/>
      <c r="AC83" s="126"/>
      <c r="AD83" s="126"/>
      <c r="AE83" s="58" t="str">
        <f>MidCom!AE83</f>
        <v/>
      </c>
      <c r="AF83" s="126"/>
      <c r="AG83" s="126"/>
      <c r="AH83" s="126"/>
      <c r="AI83" s="126"/>
      <c r="AJ83" s="126"/>
      <c r="AK83" s="59" t="str">
        <f>MidCom!AK83</f>
        <v/>
      </c>
      <c r="AL83" s="60" t="str">
        <f>MidCom!AL83</f>
        <v/>
      </c>
      <c r="AQ83" s="61" t="str">
        <f>MidCom!AQ83</f>
        <v/>
      </c>
      <c r="AR83" s="31"/>
      <c r="AS83" s="165" t="str">
        <f>MidCom!AS83</f>
        <v/>
      </c>
      <c r="AT83" s="17" t="str">
        <f>MidCom!AT83</f>
        <v/>
      </c>
      <c r="AU83" s="17" t="str">
        <f>MidCom!AU83</f>
        <v/>
      </c>
    </row>
    <row r="84" spans="1:47" x14ac:dyDescent="0.25">
      <c r="A84" s="163">
        <v>79</v>
      </c>
      <c r="B84" s="2" t="str">
        <f>IF('Student List'!C88="","",UPPER(LEFT('Student List'!C88,FIND(",",'Student List'!C88)-1)))</f>
        <v/>
      </c>
      <c r="C84" s="12" t="str">
        <f>IF('Student List'!C88="","",PROPER(MID('Student List'!C88, FIND(",", 'Student List'!C88) + 2, LEN('Student List'!C88) - FIND(",", 'Student List'!C88) - 1)))</f>
        <v/>
      </c>
      <c r="D84" s="55"/>
      <c r="E84" s="8" t="str">
        <f>IF(MidCom!E84="","",MidCom!E84)</f>
        <v/>
      </c>
      <c r="F84" s="73" t="str">
        <f>IF(B84="","",SUM(('MT Attendance'!AV82*5),('MT Attendance'!AW82*3),('MT Attendance'!AX82*2)))</f>
        <v/>
      </c>
      <c r="G84" s="57" t="str">
        <f>MidCom!G84</f>
        <v/>
      </c>
      <c r="H84" s="142"/>
      <c r="I84" s="142"/>
      <c r="J84" s="142"/>
      <c r="K84" s="142"/>
      <c r="L84" s="142"/>
      <c r="M84" s="111" t="str">
        <f>MidCom!M84</f>
        <v/>
      </c>
      <c r="N84" s="142"/>
      <c r="O84" s="142"/>
      <c r="P84" s="142"/>
      <c r="Q84" s="142"/>
      <c r="R84" s="142"/>
      <c r="S84" s="115" t="str">
        <f>MidCom!S84</f>
        <v/>
      </c>
      <c r="T84" s="142"/>
      <c r="U84" s="142"/>
      <c r="V84" s="142"/>
      <c r="W84" s="142"/>
      <c r="X84" s="142"/>
      <c r="Y84" s="112" t="str">
        <f>MidCom!Y84</f>
        <v/>
      </c>
      <c r="Z84" s="126"/>
      <c r="AA84" s="126"/>
      <c r="AB84" s="126"/>
      <c r="AC84" s="126"/>
      <c r="AD84" s="126"/>
      <c r="AE84" s="58" t="str">
        <f>MidCom!AE84</f>
        <v/>
      </c>
      <c r="AF84" s="126"/>
      <c r="AG84" s="126"/>
      <c r="AH84" s="126"/>
      <c r="AI84" s="126"/>
      <c r="AJ84" s="126"/>
      <c r="AK84" s="59" t="str">
        <f>MidCom!AK84</f>
        <v/>
      </c>
      <c r="AL84" s="60" t="str">
        <f>MidCom!AL84</f>
        <v/>
      </c>
      <c r="AQ84" s="61" t="str">
        <f>MidCom!AQ84</f>
        <v/>
      </c>
      <c r="AR84" s="31"/>
      <c r="AS84" s="165" t="str">
        <f>MidCom!AS84</f>
        <v/>
      </c>
      <c r="AT84" s="17" t="str">
        <f>MidCom!AT84</f>
        <v/>
      </c>
      <c r="AU84" s="17" t="str">
        <f>MidCom!AU84</f>
        <v/>
      </c>
    </row>
    <row r="85" spans="1:47" x14ac:dyDescent="0.25">
      <c r="A85" s="163">
        <v>80</v>
      </c>
      <c r="B85" s="2" t="str">
        <f>IF('Student List'!C89="","",UPPER(LEFT('Student List'!C89,FIND(",",'Student List'!C89)-1)))</f>
        <v/>
      </c>
      <c r="C85" s="12" t="str">
        <f>IF('Student List'!C89="","",PROPER(MID('Student List'!C89, FIND(",", 'Student List'!C89) + 2, LEN('Student List'!C89) - FIND(",", 'Student List'!C89) - 1)))</f>
        <v/>
      </c>
      <c r="D85" s="55"/>
      <c r="E85" s="8" t="str">
        <f>IF(MidCom!E85="","",MidCom!E85)</f>
        <v/>
      </c>
      <c r="F85" s="73" t="str">
        <f>IF(B85="","",SUM(('MT Attendance'!AV83*5),('MT Attendance'!AW83*3),('MT Attendance'!AX83*2)))</f>
        <v/>
      </c>
      <c r="G85" s="57" t="str">
        <f>MidCom!G85</f>
        <v/>
      </c>
      <c r="H85" s="142"/>
      <c r="I85" s="142"/>
      <c r="J85" s="142"/>
      <c r="K85" s="142"/>
      <c r="L85" s="142"/>
      <c r="M85" s="111" t="str">
        <f>MidCom!M85</f>
        <v/>
      </c>
      <c r="N85" s="142"/>
      <c r="O85" s="142"/>
      <c r="P85" s="142"/>
      <c r="Q85" s="142"/>
      <c r="R85" s="142"/>
      <c r="S85" s="115" t="str">
        <f>MidCom!S85</f>
        <v/>
      </c>
      <c r="T85" s="142"/>
      <c r="U85" s="142"/>
      <c r="V85" s="142"/>
      <c r="W85" s="142"/>
      <c r="X85" s="142"/>
      <c r="Y85" s="112" t="str">
        <f>MidCom!Y85</f>
        <v/>
      </c>
      <c r="Z85" s="126"/>
      <c r="AA85" s="126"/>
      <c r="AB85" s="126"/>
      <c r="AC85" s="126"/>
      <c r="AD85" s="126"/>
      <c r="AE85" s="58" t="str">
        <f>MidCom!AE85</f>
        <v/>
      </c>
      <c r="AF85" s="126"/>
      <c r="AG85" s="126"/>
      <c r="AH85" s="126"/>
      <c r="AI85" s="126"/>
      <c r="AJ85" s="126"/>
      <c r="AK85" s="59" t="str">
        <f>MidCom!AK85</f>
        <v/>
      </c>
      <c r="AL85" s="60" t="str">
        <f>MidCom!AL85</f>
        <v/>
      </c>
      <c r="AQ85" s="61" t="str">
        <f>MidCom!AQ85</f>
        <v/>
      </c>
      <c r="AR85" s="31"/>
      <c r="AS85" s="165" t="str">
        <f>MidCom!AS85</f>
        <v/>
      </c>
      <c r="AT85" s="17" t="str">
        <f>MidCom!AT85</f>
        <v/>
      </c>
      <c r="AU85" s="17" t="str">
        <f>MidCom!AU85</f>
        <v/>
      </c>
    </row>
    <row r="86" spans="1:47" x14ac:dyDescent="0.25">
      <c r="A86" s="163">
        <v>81</v>
      </c>
      <c r="B86" s="2" t="str">
        <f>IF('Student List'!C90="","",UPPER(LEFT('Student List'!C90,FIND(",",'Student List'!C90)-1)))</f>
        <v/>
      </c>
      <c r="C86" s="12" t="str">
        <f>IF('Student List'!C90="","",PROPER(MID('Student List'!C90, FIND(",", 'Student List'!C90) + 2, LEN('Student List'!C90) - FIND(",", 'Student List'!C90) - 1)))</f>
        <v/>
      </c>
      <c r="D86" s="55"/>
      <c r="E86" s="8" t="str">
        <f>IF(MidCom!E86="","",MidCom!E86)</f>
        <v/>
      </c>
      <c r="F86" s="73" t="str">
        <f>IF(B86="","",SUM(('MT Attendance'!AV84*5),('MT Attendance'!AW84*3),('MT Attendance'!AX84*2)))</f>
        <v/>
      </c>
      <c r="G86" s="57" t="str">
        <f>MidCom!G86</f>
        <v/>
      </c>
      <c r="H86" s="142"/>
      <c r="I86" s="142"/>
      <c r="J86" s="142"/>
      <c r="K86" s="142"/>
      <c r="L86" s="142"/>
      <c r="M86" s="111" t="str">
        <f>MidCom!M86</f>
        <v/>
      </c>
      <c r="N86" s="142"/>
      <c r="O86" s="142"/>
      <c r="P86" s="142"/>
      <c r="Q86" s="142"/>
      <c r="R86" s="142"/>
      <c r="S86" s="115" t="str">
        <f>MidCom!S86</f>
        <v/>
      </c>
      <c r="T86" s="142"/>
      <c r="U86" s="142"/>
      <c r="V86" s="142"/>
      <c r="W86" s="142"/>
      <c r="X86" s="142"/>
      <c r="Y86" s="112" t="str">
        <f>MidCom!Y86</f>
        <v/>
      </c>
      <c r="Z86" s="126"/>
      <c r="AA86" s="126"/>
      <c r="AB86" s="126"/>
      <c r="AC86" s="126"/>
      <c r="AD86" s="126"/>
      <c r="AE86" s="58" t="str">
        <f>MidCom!AE86</f>
        <v/>
      </c>
      <c r="AF86" s="126"/>
      <c r="AG86" s="126"/>
      <c r="AH86" s="126"/>
      <c r="AI86" s="126"/>
      <c r="AJ86" s="126"/>
      <c r="AK86" s="59" t="str">
        <f>MidCom!AK86</f>
        <v/>
      </c>
      <c r="AL86" s="60" t="str">
        <f>MidCom!AL86</f>
        <v/>
      </c>
      <c r="AQ86" s="61" t="str">
        <f>MidCom!AQ86</f>
        <v/>
      </c>
      <c r="AR86" s="31"/>
      <c r="AS86" s="165" t="str">
        <f>MidCom!AS86</f>
        <v/>
      </c>
      <c r="AT86" s="17" t="str">
        <f>MidCom!AT86</f>
        <v/>
      </c>
      <c r="AU86" s="17" t="str">
        <f>MidCom!AU86</f>
        <v/>
      </c>
    </row>
    <row r="87" spans="1:47" x14ac:dyDescent="0.25">
      <c r="A87" s="163">
        <v>82</v>
      </c>
      <c r="B87" s="2" t="str">
        <f>IF('Student List'!C91="","",UPPER(LEFT('Student List'!C91,FIND(",",'Student List'!C91)-1)))</f>
        <v/>
      </c>
      <c r="C87" s="12" t="str">
        <f>IF('Student List'!C91="","",PROPER(MID('Student List'!C91, FIND(",", 'Student List'!C91) + 2, LEN('Student List'!C91) - FIND(",", 'Student List'!C91) - 1)))</f>
        <v/>
      </c>
      <c r="D87" s="55"/>
      <c r="E87" s="8" t="str">
        <f>IF(MidCom!E87="","",MidCom!E87)</f>
        <v/>
      </c>
      <c r="F87" s="73" t="str">
        <f>IF(B87="","",SUM(('MT Attendance'!AV85*5),('MT Attendance'!AW85*3),('MT Attendance'!AX85*2)))</f>
        <v/>
      </c>
      <c r="G87" s="57" t="str">
        <f>MidCom!G87</f>
        <v/>
      </c>
      <c r="H87" s="142"/>
      <c r="I87" s="142"/>
      <c r="J87" s="142"/>
      <c r="K87" s="142"/>
      <c r="L87" s="142"/>
      <c r="M87" s="111" t="str">
        <f>MidCom!M87</f>
        <v/>
      </c>
      <c r="N87" s="142"/>
      <c r="O87" s="142"/>
      <c r="P87" s="142"/>
      <c r="Q87" s="142"/>
      <c r="R87" s="142"/>
      <c r="S87" s="115" t="str">
        <f>MidCom!S87</f>
        <v/>
      </c>
      <c r="T87" s="142"/>
      <c r="U87" s="142"/>
      <c r="V87" s="142"/>
      <c r="W87" s="142"/>
      <c r="X87" s="142"/>
      <c r="Y87" s="112" t="str">
        <f>MidCom!Y87</f>
        <v/>
      </c>
      <c r="Z87" s="126"/>
      <c r="AA87" s="126"/>
      <c r="AB87" s="126"/>
      <c r="AC87" s="126"/>
      <c r="AD87" s="126"/>
      <c r="AE87" s="58" t="str">
        <f>MidCom!AE87</f>
        <v/>
      </c>
      <c r="AF87" s="126"/>
      <c r="AG87" s="126"/>
      <c r="AH87" s="126"/>
      <c r="AI87" s="126"/>
      <c r="AJ87" s="126"/>
      <c r="AK87" s="59" t="str">
        <f>MidCom!AK87</f>
        <v/>
      </c>
      <c r="AL87" s="60" t="str">
        <f>MidCom!AL87</f>
        <v/>
      </c>
      <c r="AQ87" s="61" t="str">
        <f>MidCom!AQ87</f>
        <v/>
      </c>
      <c r="AR87" s="31"/>
      <c r="AS87" s="165" t="str">
        <f>MidCom!AS87</f>
        <v/>
      </c>
      <c r="AT87" s="17" t="str">
        <f>MidCom!AT87</f>
        <v/>
      </c>
      <c r="AU87" s="17" t="str">
        <f>MidCom!AU87</f>
        <v/>
      </c>
    </row>
    <row r="88" spans="1:47" x14ac:dyDescent="0.25">
      <c r="A88" s="163">
        <v>83</v>
      </c>
      <c r="B88" s="2" t="str">
        <f>IF('Student List'!C92="","",UPPER(LEFT('Student List'!C92,FIND(",",'Student List'!C92)-1)))</f>
        <v/>
      </c>
      <c r="C88" s="12" t="str">
        <f>IF('Student List'!C92="","",PROPER(MID('Student List'!C92, FIND(",", 'Student List'!C92) + 2, LEN('Student List'!C92) - FIND(",", 'Student List'!C92) - 1)))</f>
        <v/>
      </c>
      <c r="D88" s="55"/>
      <c r="E88" s="8" t="str">
        <f>IF(MidCom!E88="","",MidCom!E88)</f>
        <v/>
      </c>
      <c r="F88" s="73" t="str">
        <f>IF(B88="","",SUM(('MT Attendance'!AV86*5),('MT Attendance'!AW86*3),('MT Attendance'!AX86*2)))</f>
        <v/>
      </c>
      <c r="G88" s="57" t="str">
        <f>MidCom!G88</f>
        <v/>
      </c>
      <c r="H88" s="142"/>
      <c r="I88" s="142"/>
      <c r="J88" s="142"/>
      <c r="K88" s="142"/>
      <c r="L88" s="142"/>
      <c r="M88" s="111" t="str">
        <f>MidCom!M88</f>
        <v/>
      </c>
      <c r="N88" s="142"/>
      <c r="O88" s="142"/>
      <c r="P88" s="142"/>
      <c r="Q88" s="142"/>
      <c r="R88" s="142"/>
      <c r="S88" s="115" t="str">
        <f>MidCom!S88</f>
        <v/>
      </c>
      <c r="T88" s="142"/>
      <c r="U88" s="142"/>
      <c r="V88" s="142"/>
      <c r="W88" s="142"/>
      <c r="X88" s="142"/>
      <c r="Y88" s="112" t="str">
        <f>MidCom!Y88</f>
        <v/>
      </c>
      <c r="Z88" s="126"/>
      <c r="AA88" s="126"/>
      <c r="AB88" s="126"/>
      <c r="AC88" s="126"/>
      <c r="AD88" s="126"/>
      <c r="AE88" s="58" t="str">
        <f>MidCom!AE88</f>
        <v/>
      </c>
      <c r="AF88" s="126"/>
      <c r="AG88" s="126"/>
      <c r="AH88" s="126"/>
      <c r="AI88" s="126"/>
      <c r="AJ88" s="126"/>
      <c r="AK88" s="59" t="str">
        <f>MidCom!AK88</f>
        <v/>
      </c>
      <c r="AL88" s="60" t="str">
        <f>MidCom!AL88</f>
        <v/>
      </c>
      <c r="AQ88" s="61" t="str">
        <f>MidCom!AQ88</f>
        <v/>
      </c>
      <c r="AR88" s="31"/>
      <c r="AS88" s="165" t="str">
        <f>MidCom!AS88</f>
        <v/>
      </c>
      <c r="AT88" s="17" t="str">
        <f>MidCom!AT88</f>
        <v/>
      </c>
      <c r="AU88" s="17" t="str">
        <f>MidCom!AU88</f>
        <v/>
      </c>
    </row>
    <row r="89" spans="1:47" x14ac:dyDescent="0.25">
      <c r="A89" s="163">
        <v>84</v>
      </c>
      <c r="B89" s="2" t="str">
        <f>IF('Student List'!C93="","",UPPER(LEFT('Student List'!C93,FIND(",",'Student List'!C93)-1)))</f>
        <v/>
      </c>
      <c r="C89" s="12" t="str">
        <f>IF('Student List'!C93="","",PROPER(MID('Student List'!C93, FIND(",", 'Student List'!C93) + 2, LEN('Student List'!C93) - FIND(",", 'Student List'!C93) - 1)))</f>
        <v/>
      </c>
      <c r="D89" s="55"/>
      <c r="E89" s="8" t="str">
        <f>IF(MidCom!E89="","",MidCom!E89)</f>
        <v/>
      </c>
      <c r="F89" s="73" t="str">
        <f>IF(B89="","",SUM(('MT Attendance'!AV87*5),('MT Attendance'!AW87*3),('MT Attendance'!AX87*2)))</f>
        <v/>
      </c>
      <c r="G89" s="57" t="str">
        <f>MidCom!G89</f>
        <v/>
      </c>
      <c r="H89" s="142"/>
      <c r="I89" s="142"/>
      <c r="J89" s="142"/>
      <c r="K89" s="142"/>
      <c r="L89" s="142"/>
      <c r="M89" s="111" t="str">
        <f>MidCom!M89</f>
        <v/>
      </c>
      <c r="N89" s="142"/>
      <c r="O89" s="142"/>
      <c r="P89" s="142"/>
      <c r="Q89" s="142"/>
      <c r="R89" s="142"/>
      <c r="S89" s="115" t="str">
        <f>MidCom!S89</f>
        <v/>
      </c>
      <c r="T89" s="142"/>
      <c r="U89" s="142"/>
      <c r="V89" s="142"/>
      <c r="W89" s="142"/>
      <c r="X89" s="142"/>
      <c r="Y89" s="112" t="str">
        <f>MidCom!Y89</f>
        <v/>
      </c>
      <c r="Z89" s="126"/>
      <c r="AA89" s="126"/>
      <c r="AB89" s="126"/>
      <c r="AC89" s="126"/>
      <c r="AD89" s="126"/>
      <c r="AE89" s="58" t="str">
        <f>MidCom!AE89</f>
        <v/>
      </c>
      <c r="AF89" s="126"/>
      <c r="AG89" s="126"/>
      <c r="AH89" s="126"/>
      <c r="AI89" s="126"/>
      <c r="AJ89" s="126"/>
      <c r="AK89" s="59" t="str">
        <f>MidCom!AK89</f>
        <v/>
      </c>
      <c r="AL89" s="60" t="str">
        <f>MidCom!AL89</f>
        <v/>
      </c>
      <c r="AQ89" s="61" t="str">
        <f>MidCom!AQ89</f>
        <v/>
      </c>
      <c r="AR89" s="31"/>
      <c r="AS89" s="165" t="str">
        <f>MidCom!AS89</f>
        <v/>
      </c>
      <c r="AT89" s="17" t="str">
        <f>MidCom!AT89</f>
        <v/>
      </c>
      <c r="AU89" s="17" t="str">
        <f>MidCom!AU89</f>
        <v/>
      </c>
    </row>
    <row r="90" spans="1:47" x14ac:dyDescent="0.25">
      <c r="A90" s="163">
        <v>85</v>
      </c>
      <c r="B90" s="2" t="str">
        <f>IF('Student List'!C94="","",UPPER(LEFT('Student List'!C94,FIND(",",'Student List'!C94)-1)))</f>
        <v/>
      </c>
      <c r="C90" s="12" t="str">
        <f>IF('Student List'!C94="","",PROPER(MID('Student List'!C94, FIND(",", 'Student List'!C94) + 2, LEN('Student List'!C94) - FIND(",", 'Student List'!C94) - 1)))</f>
        <v/>
      </c>
      <c r="D90" s="55"/>
      <c r="E90" s="8" t="str">
        <f>IF(MidCom!E90="","",MidCom!E90)</f>
        <v/>
      </c>
      <c r="F90" s="73" t="str">
        <f>IF(B90="","",SUM(('MT Attendance'!AV88*5),('MT Attendance'!AW88*3),('MT Attendance'!AX88*2)))</f>
        <v/>
      </c>
      <c r="G90" s="57" t="str">
        <f>MidCom!G90</f>
        <v/>
      </c>
      <c r="H90" s="142"/>
      <c r="I90" s="142"/>
      <c r="J90" s="142"/>
      <c r="K90" s="142"/>
      <c r="L90" s="142"/>
      <c r="M90" s="111" t="str">
        <f>MidCom!M90</f>
        <v/>
      </c>
      <c r="N90" s="142"/>
      <c r="O90" s="142"/>
      <c r="P90" s="142"/>
      <c r="Q90" s="142"/>
      <c r="R90" s="142"/>
      <c r="S90" s="115" t="str">
        <f>MidCom!S90</f>
        <v/>
      </c>
      <c r="T90" s="142"/>
      <c r="U90" s="142"/>
      <c r="V90" s="142"/>
      <c r="W90" s="142"/>
      <c r="X90" s="142"/>
      <c r="Y90" s="112" t="str">
        <f>MidCom!Y90</f>
        <v/>
      </c>
      <c r="Z90" s="126"/>
      <c r="AA90" s="126"/>
      <c r="AB90" s="126"/>
      <c r="AC90" s="126"/>
      <c r="AD90" s="126"/>
      <c r="AE90" s="58" t="str">
        <f>MidCom!AE90</f>
        <v/>
      </c>
      <c r="AF90" s="126"/>
      <c r="AG90" s="126"/>
      <c r="AH90" s="126"/>
      <c r="AI90" s="126"/>
      <c r="AJ90" s="126"/>
      <c r="AK90" s="59" t="str">
        <f>MidCom!AK90</f>
        <v/>
      </c>
      <c r="AL90" s="60" t="str">
        <f>MidCom!AL90</f>
        <v/>
      </c>
      <c r="AQ90" s="61" t="str">
        <f>MidCom!AQ90</f>
        <v/>
      </c>
      <c r="AR90" s="31"/>
      <c r="AS90" s="165" t="str">
        <f>MidCom!AS90</f>
        <v/>
      </c>
      <c r="AT90" s="17" t="str">
        <f>MidCom!AT90</f>
        <v/>
      </c>
      <c r="AU90" s="17" t="str">
        <f>MidCom!AU90</f>
        <v/>
      </c>
    </row>
    <row r="91" spans="1:47" hidden="1" x14ac:dyDescent="0.25">
      <c r="A91" s="163"/>
    </row>
    <row r="92" spans="1:47" hidden="1" x14ac:dyDescent="0.25">
      <c r="A92" s="163"/>
    </row>
    <row r="93" spans="1:47" hidden="1" x14ac:dyDescent="0.25">
      <c r="A93" s="163"/>
    </row>
    <row r="94" spans="1:47" hidden="1" x14ac:dyDescent="0.25">
      <c r="A94" s="163"/>
    </row>
    <row r="95" spans="1:47" hidden="1" x14ac:dyDescent="0.25">
      <c r="A95" s="163"/>
    </row>
  </sheetData>
  <sheetProtection algorithmName="SHA-512" hashValue="QmTd3SvXvLh0x5kX+hlwDpSQXxJMin+ga27CjX/h7YzTMt6k3MJc2r1PISTs7OEexaiGQl+A+95uzrTamTFk5w==" saltValue="7pjqO2lGy2f3zPMrjhLA4w==" spinCount="100000" sheet="1" formatColumns="0" formatRows="0"/>
  <mergeCells count="27">
    <mergeCell ref="AK2:AK3"/>
    <mergeCell ref="H1:AK1"/>
    <mergeCell ref="AE4:AE5"/>
    <mergeCell ref="AK4:AK5"/>
    <mergeCell ref="M2:M3"/>
    <mergeCell ref="S2:S3"/>
    <mergeCell ref="Y2:Y3"/>
    <mergeCell ref="D4:D5"/>
    <mergeCell ref="A1:D3"/>
    <mergeCell ref="AE2:AE3"/>
    <mergeCell ref="G4:G5"/>
    <mergeCell ref="M4:M5"/>
    <mergeCell ref="S4:S5"/>
    <mergeCell ref="Y4:Y5"/>
    <mergeCell ref="E1:F1"/>
    <mergeCell ref="A4:C4"/>
    <mergeCell ref="G1:G3"/>
    <mergeCell ref="AL4:AL5"/>
    <mergeCell ref="AQ4:AQ5"/>
    <mergeCell ref="AU1:AU5"/>
    <mergeCell ref="AS1:AS5"/>
    <mergeCell ref="AT1:AT5"/>
    <mergeCell ref="AM1:AP1"/>
    <mergeCell ref="AL1:AL3"/>
    <mergeCell ref="AQ1:AQ3"/>
    <mergeCell ref="AR1:AR3"/>
    <mergeCell ref="AR4:AR5"/>
  </mergeCells>
  <phoneticPr fontId="3" type="noConversion"/>
  <conditionalFormatting sqref="E6:E90">
    <cfRule type="cellIs" dxfId="89" priority="17" operator="equal">
      <formula>"WF"</formula>
    </cfRule>
    <cfRule type="cellIs" dxfId="88" priority="18" operator="equal">
      <formula>"DRP"</formula>
    </cfRule>
    <cfRule type="cellIs" dxfId="87" priority="19" operator="equal">
      <formula>"FA"</formula>
    </cfRule>
  </conditionalFormatting>
  <conditionalFormatting sqref="AS6:AT1048576">
    <cfRule type="cellIs" dxfId="86" priority="14" operator="equal">
      <formula>"DRP"</formula>
    </cfRule>
    <cfRule type="cellIs" dxfId="85" priority="15" operator="equal">
      <formula>"WF"</formula>
    </cfRule>
    <cfRule type="cellIs" dxfId="84" priority="16" operator="equal">
      <formula>"FA"</formula>
    </cfRule>
  </conditionalFormatting>
  <conditionalFormatting sqref="AT6:AT1048576">
    <cfRule type="cellIs" dxfId="83" priority="2" operator="equal">
      <formula>1.75</formula>
    </cfRule>
    <cfRule type="cellIs" dxfId="82" priority="3" operator="equal">
      <formula>1.5</formula>
    </cfRule>
    <cfRule type="cellIs" dxfId="81" priority="4" operator="equal">
      <formula>1.25</formula>
    </cfRule>
    <cfRule type="cellIs" dxfId="80" priority="5" operator="equal">
      <formula>2.75</formula>
    </cfRule>
    <cfRule type="cellIs" dxfId="79" priority="6" operator="equal">
      <formula>2.5</formula>
    </cfRule>
    <cfRule type="cellIs" dxfId="78" priority="7" operator="equal">
      <formula>2.25</formula>
    </cfRule>
    <cfRule type="cellIs" dxfId="77" priority="8" operator="equal">
      <formula>2</formula>
    </cfRule>
    <cfRule type="cellIs" dxfId="76" priority="12" operator="equal">
      <formula>1</formula>
    </cfRule>
    <cfRule type="cellIs" dxfId="75" priority="13" operator="equal">
      <formula>5</formula>
    </cfRule>
  </conditionalFormatting>
  <conditionalFormatting sqref="AT6:AT90">
    <cfRule type="cellIs" dxfId="74" priority="1" operator="equal">
      <formula>3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E13B9B-8678-4EF2-B580-2AD1359A5E55}">
          <x14:formula1>
            <xm:f>Version!$A$143:$A$145</xm:f>
          </x14:formula1>
          <xm:sqref>D6:D90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4CCD-7550-41E8-BAE0-4ABD79F0119A}">
  <sheetPr codeName="Sheet4"/>
  <dimension ref="A1:XFC90"/>
  <sheetViews>
    <sheetView zoomScale="130" zoomScaleNormal="130" workbookViewId="0">
      <pane xSplit="3" ySplit="5" topLeftCell="Z6" activePane="bottomRight" state="frozen"/>
      <selection pane="topRight" activeCell="D1" sqref="D1"/>
      <selection pane="bottomLeft" activeCell="A6" sqref="A6"/>
      <selection pane="bottomRight" activeCell="AS9" sqref="AS9"/>
    </sheetView>
  </sheetViews>
  <sheetFormatPr defaultColWidth="0" defaultRowHeight="15" zeroHeight="1" outlineLevelCol="1" x14ac:dyDescent="0.25"/>
  <cols>
    <col min="1" max="1" width="5" customWidth="1"/>
    <col min="2" max="2" width="24.85546875" customWidth="1"/>
    <col min="3" max="3" width="25.140625" customWidth="1"/>
    <col min="4" max="4" width="12" style="55" customWidth="1"/>
    <col min="5" max="5" width="9.140625" style="8" customWidth="1"/>
    <col min="6" max="6" width="9.140625" style="74" customWidth="1" outlineLevel="1"/>
    <col min="7" max="7" width="9.140625" style="15" customWidth="1"/>
    <col min="8" max="12" width="9.140625" style="103" customWidth="1" outlineLevel="1"/>
    <col min="13" max="13" width="9.140625" style="113" customWidth="1"/>
    <col min="14" max="18" width="9.140625" style="103" customWidth="1" outlineLevel="1"/>
    <col min="19" max="19" width="9.140625" style="114" customWidth="1"/>
    <col min="20" max="24" width="9.140625" style="103" customWidth="1" outlineLevel="1"/>
    <col min="25" max="25" width="9.140625" style="116" customWidth="1"/>
    <col min="26" max="30" width="9.140625" style="8" customWidth="1" outlineLevel="1"/>
    <col min="31" max="31" width="9.140625" style="42" customWidth="1"/>
    <col min="32" max="36" width="9.140625" style="8" customWidth="1" outlineLevel="1"/>
    <col min="37" max="37" width="9.140625" style="5" customWidth="1"/>
    <col min="38" max="38" width="9.140625" style="43" customWidth="1"/>
    <col min="39" max="42" width="9.140625" style="29" customWidth="1" outlineLevel="1"/>
    <col min="43" max="43" width="9.140625" style="40" customWidth="1"/>
    <col min="44" max="44" width="9.140625" style="17" customWidth="1"/>
    <col min="45" max="45" width="11.140625" style="16" customWidth="1"/>
    <col min="46" max="46" width="9.140625" style="2" customWidth="1"/>
    <col min="47" max="47" width="28.28515625" style="21" customWidth="1"/>
    <col min="48" max="64" width="0" hidden="1" customWidth="1"/>
    <col min="65" max="16383" width="9.140625" hidden="1"/>
    <col min="16384" max="16384" width="4" hidden="1" customWidth="1"/>
  </cols>
  <sheetData>
    <row r="1" spans="1:47" ht="33" customHeight="1" x14ac:dyDescent="0.25">
      <c r="A1" s="199" t="str">
        <f>Info!B16&amp;" Campus"&amp;CHAR(10)
&amp;CHAR(10)&amp;Info!B6&amp;CHAR(10)&amp;Info!B9
&amp;CHAR(10)
&amp;CHAR(10)
&amp;Info!B13
&amp;CHAR(10)
&amp;CHAR(10)
&amp;Info!B12&amp;", A.Y. "&amp;Info!B11
&amp;CHAR(10)
&amp;CHAR(10)
&amp;UPPER(Info!B8)
&amp;" COURSE"
&amp;CHAR(10)
&amp;CHAR(10)
&amp;UPPER(Info!B4)
&amp;CHAR(10)
&amp;CHAR(10)
&amp;"MIDTERM"</f>
        <v>DHVSU Bacolor Campus
Modeling and Simulation
Tuesday 3:30 - 5:00 pm, Friday 2:00 - 3:30 pm
First Semester, A.Y. 2024-2025
LECTURE COURSE
NON-BOARD PROGRAM
MIDTERM</v>
      </c>
      <c r="B1" s="200"/>
      <c r="C1" s="200"/>
      <c r="D1" s="200"/>
      <c r="E1" s="246"/>
      <c r="F1" s="247"/>
      <c r="G1" s="243" t="str">
        <f>UPPER(Info!A38)</f>
        <v>ATTENDANCE</v>
      </c>
      <c r="H1" s="234" t="str">
        <f>UPPER(Info!A40)</f>
        <v>CLASS STANDING</v>
      </c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192" t="str">
        <f>UPPER(Info!A40)</f>
        <v>CLASS STANDING</v>
      </c>
      <c r="AM1" s="236" t="str">
        <f>UPPER(Info!A40)</f>
        <v>CLASS STANDING</v>
      </c>
      <c r="AN1" s="237"/>
      <c r="AO1" s="237"/>
      <c r="AP1" s="237"/>
      <c r="AQ1" s="194" t="str">
        <f>UPPER(Info!A39)</f>
        <v>MAJOR EXAM</v>
      </c>
      <c r="AR1" s="189" t="s">
        <v>37</v>
      </c>
      <c r="AS1" s="186" t="s">
        <v>39</v>
      </c>
      <c r="AT1" s="189" t="s">
        <v>40</v>
      </c>
      <c r="AU1" s="186" t="s">
        <v>57</v>
      </c>
    </row>
    <row r="2" spans="1:47" ht="90.75" customHeight="1" x14ac:dyDescent="0.25">
      <c r="A2" s="201"/>
      <c r="B2" s="202"/>
      <c r="C2" s="202"/>
      <c r="D2" s="203"/>
      <c r="E2" s="100" t="s">
        <v>31</v>
      </c>
      <c r="F2" s="70"/>
      <c r="G2" s="221"/>
      <c r="H2" s="110" t="str">
        <f>IF(Midterm!H2="","",Midterm!H2)</f>
        <v/>
      </c>
      <c r="I2" s="110" t="str">
        <f>IF(Midterm!I2="","",Midterm!I2)</f>
        <v/>
      </c>
      <c r="J2" s="110" t="str">
        <f>IF(Midterm!J2="","",Midterm!J2)</f>
        <v/>
      </c>
      <c r="K2" s="110" t="str">
        <f>IF(Midterm!K2="","",Midterm!K2)</f>
        <v/>
      </c>
      <c r="L2" s="110" t="str">
        <f>IF(Midterm!L2="","",Midterm!L2)</f>
        <v/>
      </c>
      <c r="M2" s="228" t="str">
        <f>UPPER(Info!A41)</f>
        <v>QUIZZES</v>
      </c>
      <c r="N2" s="110" t="str">
        <f>IF(Midterm!N2="","",Midterm!N2)</f>
        <v/>
      </c>
      <c r="O2" s="110" t="str">
        <f>IF(Midterm!O2="","",Midterm!O2)</f>
        <v/>
      </c>
      <c r="P2" s="110" t="str">
        <f>IF(Midterm!P2="","",Midterm!P2)</f>
        <v/>
      </c>
      <c r="Q2" s="110" t="str">
        <f>IF(Midterm!Q2="","",Midterm!Q2)</f>
        <v/>
      </c>
      <c r="R2" s="110" t="str">
        <f>IF(Midterm!R2="","",Midterm!R2)</f>
        <v/>
      </c>
      <c r="S2" s="230" t="str">
        <f>UPPER(Info!A42)</f>
        <v>RECITATION</v>
      </c>
      <c r="T2" s="110" t="str">
        <f>IF(Midterm!T2="","",Midterm!T2)</f>
        <v/>
      </c>
      <c r="U2" s="110" t="str">
        <f>IF(Midterm!U2="","",Midterm!U2)</f>
        <v/>
      </c>
      <c r="V2" s="110" t="str">
        <f>IF(Midterm!V2="","",Midterm!V2)</f>
        <v/>
      </c>
      <c r="W2" s="110" t="str">
        <f>IF(Midterm!W2="","",Midterm!W2)</f>
        <v/>
      </c>
      <c r="X2" s="110" t="str">
        <f>IF(Midterm!X2="","",Midterm!X2)</f>
        <v/>
      </c>
      <c r="Y2" s="232" t="str">
        <f>UPPER(Info!A43)</f>
        <v>OTHER</v>
      </c>
      <c r="Z2" s="110" t="str">
        <f>IF(Midterm!Z2="","",Midterm!Z2)</f>
        <v/>
      </c>
      <c r="AA2" s="110" t="str">
        <f>IF(Midterm!AA2="","",Midterm!AA2)</f>
        <v/>
      </c>
      <c r="AB2" s="110" t="str">
        <f>IF(Midterm!AB2="","",Midterm!AB2)</f>
        <v/>
      </c>
      <c r="AC2" s="110" t="str">
        <f>IF(Midterm!AC2="","",Midterm!AC2)</f>
        <v/>
      </c>
      <c r="AD2" s="110" t="str">
        <f>IF(Midterm!AD2="","",Midterm!AD2)</f>
        <v/>
      </c>
      <c r="AE2" s="207" t="str">
        <f>UPPER(Info!A44)</f>
        <v>ACTIVITIES</v>
      </c>
      <c r="AF2" s="110" t="str">
        <f>IF(Midterm!AF2="","",Midterm!AF2)</f>
        <v/>
      </c>
      <c r="AG2" s="110" t="str">
        <f>IF(Midterm!AG2="","",Midterm!AG2)</f>
        <v/>
      </c>
      <c r="AH2" s="110" t="str">
        <f>IF(Midterm!AH2="","",Midterm!AH2)</f>
        <v/>
      </c>
      <c r="AI2" s="110" t="str">
        <f>IF(Midterm!AI2="","",Midterm!AI2)</f>
        <v/>
      </c>
      <c r="AJ2" s="110" t="str">
        <f>IF(Midterm!AJ2="","",Midterm!AJ2)</f>
        <v/>
      </c>
      <c r="AK2" s="222" t="str">
        <f>UPPER(Info!A45)</f>
        <v/>
      </c>
      <c r="AL2" s="193"/>
      <c r="AM2" s="110" t="str">
        <f>IF(Midterm!AM2="","",Midterm!AM2)</f>
        <v/>
      </c>
      <c r="AN2" s="110" t="str">
        <f>IF(Midterm!AN2="","",Midterm!AN2)</f>
        <v/>
      </c>
      <c r="AO2" s="110" t="str">
        <f>IF(Midterm!AO2="","",Midterm!AO2)</f>
        <v/>
      </c>
      <c r="AP2" s="110" t="str">
        <f>IF(Midterm!AP2="","",Midterm!AP2)</f>
        <v/>
      </c>
      <c r="AQ2" s="195"/>
      <c r="AR2" s="189"/>
      <c r="AS2" s="187"/>
      <c r="AT2" s="189"/>
      <c r="AU2" s="187"/>
    </row>
    <row r="3" spans="1:47" ht="119.25" customHeight="1" x14ac:dyDescent="0.25">
      <c r="A3" s="204"/>
      <c r="B3" s="205"/>
      <c r="C3" s="205"/>
      <c r="D3" s="206"/>
      <c r="E3" s="98" t="s">
        <v>32</v>
      </c>
      <c r="F3" s="70" t="s">
        <v>33</v>
      </c>
      <c r="G3" s="221"/>
      <c r="H3" s="110" t="str">
        <f>IF(Midterm!H3="","",Midterm!H3)</f>
        <v/>
      </c>
      <c r="I3" s="110" t="str">
        <f>IF(Midterm!I3="","",Midterm!I3)</f>
        <v/>
      </c>
      <c r="J3" s="110" t="str">
        <f>IF(Midterm!J3="","",Midterm!J3)</f>
        <v/>
      </c>
      <c r="K3" s="110" t="str">
        <f>IF(Midterm!K3="","",Midterm!K3)</f>
        <v/>
      </c>
      <c r="L3" s="110" t="str">
        <f>IF(Midterm!L3="","",Midterm!L3)</f>
        <v/>
      </c>
      <c r="M3" s="229"/>
      <c r="N3" s="110" t="str">
        <f>IF(Midterm!N3="","",Midterm!N3)</f>
        <v/>
      </c>
      <c r="O3" s="110" t="str">
        <f>IF(Midterm!O3="","",Midterm!O3)</f>
        <v/>
      </c>
      <c r="P3" s="110" t="str">
        <f>IF(Midterm!P3="","",Midterm!P3)</f>
        <v/>
      </c>
      <c r="Q3" s="110" t="str">
        <f>IF(Midterm!Q3="","",Midterm!Q3)</f>
        <v/>
      </c>
      <c r="R3" s="110" t="str">
        <f>IF(Midterm!R3="","",Midterm!R3)</f>
        <v/>
      </c>
      <c r="S3" s="231"/>
      <c r="T3" s="110" t="str">
        <f>IF(Midterm!T3="","",Midterm!T3)</f>
        <v/>
      </c>
      <c r="U3" s="110" t="str">
        <f>IF(Midterm!U3="","",Midterm!U3)</f>
        <v/>
      </c>
      <c r="V3" s="110" t="str">
        <f>IF(Midterm!V3="","",Midterm!V3)</f>
        <v/>
      </c>
      <c r="W3" s="110" t="str">
        <f>IF(Midterm!W3="","",Midterm!W3)</f>
        <v/>
      </c>
      <c r="X3" s="110" t="str">
        <f>IF(Midterm!X3="","",Midterm!X3)</f>
        <v/>
      </c>
      <c r="Y3" s="233"/>
      <c r="Z3" s="110" t="str">
        <f>IF(Midterm!Z3="","",Midterm!Z3)</f>
        <v/>
      </c>
      <c r="AA3" s="110" t="str">
        <f>IF(Midterm!AA3="","",Midterm!AA3)</f>
        <v/>
      </c>
      <c r="AB3" s="110" t="str">
        <f>IF(Midterm!AB3="","",Midterm!AB3)</f>
        <v/>
      </c>
      <c r="AC3" s="110" t="str">
        <f>IF(Midterm!AC3="","",Midterm!AC3)</f>
        <v/>
      </c>
      <c r="AD3" s="110" t="str">
        <f>IF(Midterm!AD3="","",Midterm!AD3)</f>
        <v/>
      </c>
      <c r="AE3" s="207"/>
      <c r="AF3" s="110" t="str">
        <f>IF(Midterm!AF3="","",Midterm!AF3)</f>
        <v/>
      </c>
      <c r="AG3" s="110" t="str">
        <f>IF(Midterm!AG3="","",Midterm!AG3)</f>
        <v/>
      </c>
      <c r="AH3" s="110" t="str">
        <f>IF(Midterm!AH3="","",Midterm!AH3)</f>
        <v/>
      </c>
      <c r="AI3" s="110" t="str">
        <f>IF(Midterm!AI3="","",Midterm!AI3)</f>
        <v/>
      </c>
      <c r="AJ3" s="110" t="str">
        <f>IF(Midterm!AJ3="","",Midterm!AJ3)</f>
        <v/>
      </c>
      <c r="AK3" s="222"/>
      <c r="AL3" s="193"/>
      <c r="AM3" s="110" t="str">
        <f>IF(Midterm!AM3="","",Midterm!AM3)</f>
        <v/>
      </c>
      <c r="AN3" s="110" t="str">
        <f>IF(Midterm!AN3="","",Midterm!AN3)</f>
        <v/>
      </c>
      <c r="AO3" s="110" t="str">
        <f>IF(Midterm!AO3="","",Midterm!AO3)</f>
        <v/>
      </c>
      <c r="AP3" s="110" t="str">
        <f>IF(Midterm!AP3="","",Midterm!AP3)</f>
        <v/>
      </c>
      <c r="AQ3" s="195"/>
      <c r="AR3" s="189"/>
      <c r="AS3" s="187"/>
      <c r="AT3" s="189"/>
      <c r="AU3" s="187"/>
    </row>
    <row r="4" spans="1:47" ht="12.75" customHeight="1" x14ac:dyDescent="0.25">
      <c r="A4" s="218" t="s">
        <v>24</v>
      </c>
      <c r="B4" s="218"/>
      <c r="C4" s="219"/>
      <c r="D4" s="197" t="s">
        <v>142</v>
      </c>
      <c r="E4" s="152" t="s">
        <v>25</v>
      </c>
      <c r="F4" s="151">
        <v>1</v>
      </c>
      <c r="G4" s="208">
        <f>Info!B38</f>
        <v>0.1</v>
      </c>
      <c r="H4" s="118">
        <v>1</v>
      </c>
      <c r="I4" s="118">
        <v>2</v>
      </c>
      <c r="J4" s="118">
        <v>3</v>
      </c>
      <c r="K4" s="118">
        <v>4</v>
      </c>
      <c r="L4" s="118">
        <v>5</v>
      </c>
      <c r="M4" s="210">
        <f>Info!B41</f>
        <v>0.3</v>
      </c>
      <c r="N4" s="118">
        <v>1</v>
      </c>
      <c r="O4" s="118">
        <v>2</v>
      </c>
      <c r="P4" s="118">
        <v>3</v>
      </c>
      <c r="Q4" s="118">
        <v>4</v>
      </c>
      <c r="R4" s="118">
        <v>5</v>
      </c>
      <c r="S4" s="212">
        <f>Info!B42</f>
        <v>0.1</v>
      </c>
      <c r="T4" s="118">
        <v>1</v>
      </c>
      <c r="U4" s="118">
        <v>2</v>
      </c>
      <c r="V4" s="118">
        <v>3</v>
      </c>
      <c r="W4" s="118">
        <v>4</v>
      </c>
      <c r="X4" s="118">
        <v>5</v>
      </c>
      <c r="Y4" s="214">
        <f>Info!B43</f>
        <v>0.1</v>
      </c>
      <c r="Z4" s="118">
        <v>1</v>
      </c>
      <c r="AA4" s="118">
        <v>2</v>
      </c>
      <c r="AB4" s="118">
        <v>3</v>
      </c>
      <c r="AC4" s="118">
        <v>4</v>
      </c>
      <c r="AD4" s="118">
        <v>5</v>
      </c>
      <c r="AE4" s="224">
        <f>Info!B44</f>
        <v>0.1</v>
      </c>
      <c r="AF4" s="118">
        <v>1</v>
      </c>
      <c r="AG4" s="118">
        <v>2</v>
      </c>
      <c r="AH4" s="118">
        <v>3</v>
      </c>
      <c r="AI4" s="118">
        <v>4</v>
      </c>
      <c r="AJ4" s="118">
        <v>5</v>
      </c>
      <c r="AK4" s="226">
        <f>Info!B45</f>
        <v>0</v>
      </c>
      <c r="AL4" s="182">
        <f>Info!B40</f>
        <v>0.6</v>
      </c>
      <c r="AM4" s="119">
        <v>1</v>
      </c>
      <c r="AN4" s="119">
        <v>2</v>
      </c>
      <c r="AO4" s="119">
        <v>3</v>
      </c>
      <c r="AP4" s="119">
        <v>4</v>
      </c>
      <c r="AQ4" s="184">
        <f>Info!B39</f>
        <v>0.3</v>
      </c>
      <c r="AR4" s="196" t="s">
        <v>38</v>
      </c>
      <c r="AS4" s="187"/>
      <c r="AT4" s="189"/>
      <c r="AU4" s="187"/>
    </row>
    <row r="5" spans="1:47" x14ac:dyDescent="0.25">
      <c r="A5" s="10" t="s">
        <v>25</v>
      </c>
      <c r="B5" s="10" t="s">
        <v>29</v>
      </c>
      <c r="C5" s="11" t="s">
        <v>30</v>
      </c>
      <c r="D5" s="198"/>
      <c r="E5" s="99" t="s">
        <v>34</v>
      </c>
      <c r="F5" s="72">
        <f>COUNTA('MT Attendance'!C2:AU2)*5</f>
        <v>5</v>
      </c>
      <c r="G5" s="245"/>
      <c r="H5" s="121">
        <f>IF(Midterm!H5="","",Midterm!H5)</f>
        <v>30</v>
      </c>
      <c r="I5" s="121" t="str">
        <f>IF(Midterm!I5="","",Midterm!I5)</f>
        <v/>
      </c>
      <c r="J5" s="121" t="str">
        <f>IF(Midterm!J5="","",Midterm!J5)</f>
        <v/>
      </c>
      <c r="K5" s="121" t="str">
        <f>IF(Midterm!K5="","",Midterm!K5)</f>
        <v/>
      </c>
      <c r="L5" s="121" t="str">
        <f>IF(Midterm!L5="","",Midterm!L5)</f>
        <v/>
      </c>
      <c r="M5" s="240"/>
      <c r="N5" s="121" t="str">
        <f>IF(Midterm!N5="","",Midterm!N5)</f>
        <v/>
      </c>
      <c r="O5" s="121">
        <f>IF(Midterm!O5="","",Midterm!O5)</f>
        <v>10</v>
      </c>
      <c r="P5" s="121" t="str">
        <f>IF(Midterm!P5="","",Midterm!P5)</f>
        <v/>
      </c>
      <c r="Q5" s="121" t="str">
        <f>IF(Midterm!Q5="","",Midterm!Q5)</f>
        <v/>
      </c>
      <c r="R5" s="121" t="str">
        <f>IF(Midterm!R5="","",Midterm!R5)</f>
        <v/>
      </c>
      <c r="S5" s="239"/>
      <c r="T5" s="121">
        <f>IF(Midterm!T5="","",Midterm!T5)</f>
        <v>10</v>
      </c>
      <c r="U5" s="121" t="str">
        <f>IF(Midterm!U5="","",Midterm!U5)</f>
        <v/>
      </c>
      <c r="V5" s="121" t="str">
        <f>IF(Midterm!V5="","",Midterm!V5)</f>
        <v/>
      </c>
      <c r="W5" s="121" t="str">
        <f>IF(Midterm!W5="","",Midterm!W5)</f>
        <v/>
      </c>
      <c r="X5" s="121" t="str">
        <f>IF(Midterm!X5="","",Midterm!X5)</f>
        <v/>
      </c>
      <c r="Y5" s="238"/>
      <c r="Z5" s="121">
        <f>IF(Midterm!Z5="","",Midterm!Z5)</f>
        <v>10</v>
      </c>
      <c r="AA5" s="121" t="str">
        <f>IF(Midterm!AA5="","",Midterm!AA5)</f>
        <v/>
      </c>
      <c r="AB5" s="121" t="str">
        <f>IF(Midterm!AB5="","",Midterm!AB5)</f>
        <v/>
      </c>
      <c r="AC5" s="121" t="str">
        <f>IF(Midterm!AC5="","",Midterm!AC5)</f>
        <v/>
      </c>
      <c r="AD5" s="121" t="str">
        <f>IF(Midterm!AD5="","",Midterm!AD5)</f>
        <v/>
      </c>
      <c r="AE5" s="244"/>
      <c r="AF5" s="121" t="str">
        <f>IF(Midterm!AF5="","",Midterm!AF5)</f>
        <v/>
      </c>
      <c r="AG5" s="121" t="str">
        <f>IF(Midterm!AG5="","",Midterm!AG5)</f>
        <v/>
      </c>
      <c r="AH5" s="121" t="str">
        <f>IF(Midterm!AH5="","",Midterm!AH5)</f>
        <v/>
      </c>
      <c r="AI5" s="121" t="str">
        <f>IF(Midterm!AI5="","",Midterm!AI5)</f>
        <v/>
      </c>
      <c r="AJ5" s="121" t="str">
        <f>IF(Midterm!AJ5="","",Midterm!AJ5)</f>
        <v/>
      </c>
      <c r="AK5" s="241"/>
      <c r="AL5" s="242"/>
      <c r="AM5" s="121" t="str">
        <f>IF(Midterm!AM5="","",Midterm!AM5)</f>
        <v/>
      </c>
      <c r="AN5" s="121" t="str">
        <f>IF(Midterm!AN5="","",Midterm!AN5)</f>
        <v/>
      </c>
      <c r="AO5" s="121" t="str">
        <f>IF(Midterm!AO5="","",Midterm!AO5)</f>
        <v/>
      </c>
      <c r="AP5" s="121">
        <f>IF(Midterm!AP5="","",Midterm!AP5)</f>
        <v>100</v>
      </c>
      <c r="AQ5" s="185"/>
      <c r="AR5" s="196"/>
      <c r="AS5" s="188"/>
      <c r="AT5" s="189"/>
      <c r="AU5" s="188"/>
    </row>
    <row r="6" spans="1:47" x14ac:dyDescent="0.25">
      <c r="A6" s="8">
        <v>1</v>
      </c>
      <c r="B6" s="2" t="str">
        <f>IF('Student List'!C10="","",UPPER(LEFT('Student List'!C10,FIND(",",'Student List'!C10)-1)))</f>
        <v>XX</v>
      </c>
      <c r="C6" s="12" t="str">
        <f>IF('Student List'!C10="","",PROPER(MID('Student List'!C10, FIND(",", 'Student List'!C10) + 2, LEN('Student List'!C10) - FIND(",", 'Student List'!C10) - 1)))</f>
        <v>X</v>
      </c>
      <c r="D6" s="127" t="str">
        <f>IF(B6="","",IF(Midterm!D6="", "NA", Midterm!D6))</f>
        <v>NA</v>
      </c>
      <c r="E6" s="8" t="b">
        <f>IF(B6="","",
  IF(Info!$B$5="First Year",
    IF(D6="Yes", "DRP",
      IF(D6="No", "WF", "")
    )
  )
)</f>
        <v>0</v>
      </c>
      <c r="F6" s="14">
        <f>IF($B6="","",
IF(F$5="","",
IF(Midterm!F6="",0,
IF(NOT(ISNUMBER(Midterm!F6)),"NAN",
IF(Midterm!F6&lt;0,"NEG",
IF(Midterm!F6&gt;F$5,"OVER",
IF(AND(F$5&lt;=100,Midterm!F6&gt;100),"ERR",
IF(Info!$B$4="Non-board program",
IF(OR(AND(F$5&gt;0,F$5&gt;100),AND(F$5&gt;0,F$5&lt;100)),
VLOOKUP(FLOOR((Midterm!F6/F$5)*100,1),new_transmute,2,FALSE),
VLOOKUP(Midterm!F6,new_transmute,2,FALSE)
),
IF(Info!$B$4="Board program",
IF(OR(AND(F$5&gt;0,F$5&gt;100),AND(F$5&gt;0,F$5&lt;100)),
VLOOKUP(FLOOR((Midterm!F6/F$5)*100,1),new_transmute,3,FALSE),
VLOOKUP(Midterm!F6,new_transmute,3,FALSE)
),
IF(Info!$B$4="Board program (Medicine)",
IF(OR(AND(F$5&gt;0,F$5&gt;100),AND(F$5&gt;0,F$5&lt;100)),
VLOOKUP(FLOOR((Midterm!F6/F$5)*100,1),new_transmute,4,FALSE),
VLOOKUP(Midterm!F6,new_transmute,4,FALSE)
),
""
)
)
)
)
)
)
)
)
))</f>
        <v>60</v>
      </c>
      <c r="G6" s="57">
        <f>IF(B6="","",F6)</f>
        <v>60</v>
      </c>
      <c r="H6" s="14">
        <f>IF($B6="","",
IF(H$5="","",
IF(Midterm!H6="",0,
IF(NOT(ISNUMBER(Midterm!H6)),"NAN",
IF(Midterm!H6&lt;0,"NEG",
IF(Midterm!H6&gt;H$5,"OVER",
IF(AND(H$5&lt;=100,Midterm!H6&gt;100),"ERR",
IF(Info!$B$4="Non-board program",
IF(OR(AND(H$5&gt;0,H$5&gt;100),AND(H$5&gt;0,H$5&lt;100)),
VLOOKUP(FLOOR((Midterm!H6/H$5)*100,1),new_transmute,2,FALSE),
VLOOKUP(Midterm!H6,new_transmute,2,FALSE)
),
IF(Info!$B$4="Board program",
IF(OR(AND(H$5&gt;0,H$5&gt;100),AND(H$5&gt;0,H$5&lt;100)),
VLOOKUP(FLOOR((Midterm!H6/H$5)*100,1),new_transmute,3,FALSE),
VLOOKUP(Midterm!H6,new_transmute,3,FALSE)
),
IF(Info!$B$4="Board program (Medicine)",
IF(OR(AND(H$5&gt;0,H$5&gt;100),AND(H$5&gt;0,H$5&lt;100)),
VLOOKUP(FLOOR((Midterm!H6/H$5)*100,1),new_transmute,4,FALSE),
VLOOKUP(Midterm!H6,new_transmute,4,FALSE)
),
""
)
)
)
)
)
)
)
)
))</f>
        <v>100</v>
      </c>
      <c r="I6" s="14" t="str">
        <f>IF($B6="","",
IF(I$5="","",
IF(Midterm!I6="",0,
IF(NOT(ISNUMBER(Midterm!I6)),"NAN",
IF(Midterm!I6&lt;0,"NEG",
IF(Midterm!I6&gt;I$5,"OVER",
IF(AND(I$5&lt;=100,Midterm!I6&gt;100),"ERR",
IF(Info!$B$4="Non-board program",
IF(OR(AND(I$5&gt;0,I$5&gt;100),AND(I$5&gt;0,I$5&lt;100)),
VLOOKUP(FLOOR((Midterm!I6/I$5)*100,1),new_transmute,2,FALSE),
VLOOKUP(Midterm!I6,new_transmute,2,FALSE)
),
IF(Info!$B$4="Board program",
IF(OR(AND(I$5&gt;0,I$5&gt;100),AND(I$5&gt;0,I$5&lt;100)),
VLOOKUP(FLOOR((Midterm!I6/I$5)*100,1),new_transmute,3,FALSE),
VLOOKUP(Midterm!I6,new_transmute,3,FALSE)
),
IF(Info!$B$4="Board program (Medicine)",
IF(OR(AND(I$5&gt;0,I$5&gt;100),AND(I$5&gt;0,I$5&lt;100)),
VLOOKUP(FLOOR((Midterm!I6/I$5)*100,1),new_transmute,4,FALSE),
VLOOKUP(Midterm!I6,new_transmute,4,FALSE)
),
""
)
)
)
)
)
)
)
)
))</f>
        <v/>
      </c>
      <c r="J6" s="14" t="str">
        <f>IF($B6="","",
IF(J$5="","",
IF(Midterm!J6="",0,
IF(NOT(ISNUMBER(Midterm!J6)),"NAN",
IF(Midterm!J6&lt;0,"NEG",
IF(Midterm!J6&gt;J$5,"OVER",
IF(AND(J$5&lt;=100,Midterm!J6&gt;100),"ERR",
IF(Info!$B$4="Non-board program",
IF(OR(AND(J$5&gt;0,J$5&gt;100),AND(J$5&gt;0,J$5&lt;100)),
VLOOKUP(FLOOR((Midterm!J6/J$5)*100,1),new_transmute,2,FALSE),
VLOOKUP(Midterm!J6,new_transmute,2,FALSE)
),
IF(Info!$B$4="Board program",
IF(OR(AND(J$5&gt;0,J$5&gt;100),AND(J$5&gt;0,J$5&lt;100)),
VLOOKUP(FLOOR((Midterm!J6/J$5)*100,1),new_transmute,3,FALSE),
VLOOKUP(Midterm!J6,new_transmute,3,FALSE)
),
IF(Info!$B$4="Board program (Medicine)",
IF(OR(AND(J$5&gt;0,J$5&gt;100),AND(J$5&gt;0,J$5&lt;100)),
VLOOKUP(FLOOR((Midterm!J6/J$5)*100,1),new_transmute,4,FALSE),
VLOOKUP(Midterm!J6,new_transmute,4,FALSE)
),
""
)
)
)
)
)
)
)
)
))</f>
        <v/>
      </c>
      <c r="K6" s="14" t="str">
        <f>IF($B6="","",
IF(K$5="","",
IF(Midterm!K6="",0,
IF(NOT(ISNUMBER(Midterm!K6)),"NAN",
IF(Midterm!K6&lt;0,"NEG",
IF(Midterm!K6&gt;K$5,"OVER",
IF(AND(K$5&lt;=100,Midterm!K6&gt;100),"ERR",
IF(Info!$B$4="Non-board program",
IF(OR(AND(K$5&gt;0,K$5&gt;100),AND(K$5&gt;0,K$5&lt;100)),
VLOOKUP(FLOOR((Midterm!K6/K$5)*100,1),new_transmute,2,FALSE),
VLOOKUP(Midterm!K6,new_transmute,2,FALSE)
),
IF(Info!$B$4="Board program",
IF(OR(AND(K$5&gt;0,K$5&gt;100),AND(K$5&gt;0,K$5&lt;100)),
VLOOKUP(FLOOR((Midterm!K6/K$5)*100,1),new_transmute,3,FALSE),
VLOOKUP(Midterm!K6,new_transmute,3,FALSE)
),
IF(Info!$B$4="Board program (Medicine)",
IF(OR(AND(K$5&gt;0,K$5&gt;100),AND(K$5&gt;0,K$5&lt;100)),
VLOOKUP(FLOOR((Midterm!K6/K$5)*100,1),new_transmute,4,FALSE),
VLOOKUP(Midterm!K6,new_transmute,4,FALSE)
),
""
)
)
)
)
)
)
)
)
))</f>
        <v/>
      </c>
      <c r="L6" s="14" t="str">
        <f>IF($B6="","",
IF(L$5="","",
IF(Midterm!L6="",0,
IF(NOT(ISNUMBER(Midterm!L6)),"NAN",
IF(Midterm!L6&lt;0,"NEG",
IF(Midterm!L6&gt;L$5,"OVER",
IF(AND(L$5&lt;=100,Midterm!L6&gt;100),"ERR",
IF(Info!$B$4="Non-board program",
IF(OR(AND(L$5&gt;0,L$5&gt;100),AND(L$5&gt;0,L$5&lt;100)),
VLOOKUP(FLOOR((Midterm!L6/L$5)*100,1),new_transmute,2,FALSE),
VLOOKUP(Midterm!L6,new_transmute,2,FALSE)
),
IF(Info!$B$4="Board program",
IF(OR(AND(L$5&gt;0,L$5&gt;100),AND(L$5&gt;0,L$5&lt;100)),
VLOOKUP(FLOOR((Midterm!L6/L$5)*100,1),new_transmute,3,FALSE),
VLOOKUP(Midterm!L6,new_transmute,3,FALSE)
),
IF(Info!$B$4="Board program (Medicine)",
IF(OR(AND(L$5&gt;0,L$5&gt;100),AND(L$5&gt;0,L$5&lt;100)),
VLOOKUP(FLOOR((Midterm!L6/L$5)*100,1),new_transmute,4,FALSE),
VLOOKUP(Midterm!L6,new_transmute,4,FALSE)
),
""
)
)
)
)
)
)
)
)
))</f>
        <v/>
      </c>
      <c r="M6" s="111">
        <f>IF(B6="", "", IF(COUNTIF(H6:L6, "OVER") &gt; 0, "OVER", IFERROR(AVERAGEIF(H6:L6, "&lt;&gt;OVER"), 0)))</f>
        <v>100</v>
      </c>
      <c r="N6" s="14" t="str">
        <f>IF($B6="","",
IF(N$5="","",
IF(Midterm!N6="",0,
IF(NOT(ISNUMBER(Midterm!N6)),"NAN",
IF(Midterm!N6&lt;0,"NEG",
IF(Midterm!N6&gt;N$5,"OVER",
IF(AND(N$5&lt;=100,Midterm!N6&gt;100),"ERR",
IF(Info!$B$4="Non-board program",
IF(OR(AND(N$5&gt;0,N$5&gt;100),AND(N$5&gt;0,N$5&lt;100)),
VLOOKUP(FLOOR((Midterm!N6/N$5)*100,1),new_transmute,2,FALSE),
VLOOKUP(Midterm!N6,new_transmute,2,FALSE)
),
IF(Info!$B$4="Board program",
IF(OR(AND(N$5&gt;0,N$5&gt;100),AND(N$5&gt;0,N$5&lt;100)),
VLOOKUP(FLOOR((Midterm!N6/N$5)*100,1),new_transmute,3,FALSE),
VLOOKUP(Midterm!N6,new_transmute,3,FALSE)
),
IF(Info!$B$4="Board program (Medicine)",
IF(OR(AND(N$5&gt;0,N$5&gt;100),AND(N$5&gt;0,N$5&lt;100)),
VLOOKUP(FLOOR((Midterm!N6/N$5)*100,1),new_transmute,4,FALSE),
VLOOKUP(Midterm!N6,new_transmute,4,FALSE)
),
""
)
)
)
)
)
)
)
)
))</f>
        <v/>
      </c>
      <c r="O6" s="14">
        <f>IF($B6="","",
IF(O$5="","",
IF(Midterm!O6="",0,
IF(NOT(ISNUMBER(Midterm!O6)),"NAN",
IF(Midterm!O6&lt;0,"NEG",
IF(Midterm!O6&gt;O$5,"OVER",
IF(AND(O$5&lt;=100,Midterm!O6&gt;100),"ERR",
IF(Info!$B$4="Non-board program",
IF(OR(AND(O$5&gt;0,O$5&gt;100),AND(O$5&gt;0,O$5&lt;100)),
VLOOKUP(FLOOR((Midterm!O6/O$5)*100,1),new_transmute,2,FALSE),
VLOOKUP(Midterm!O6,new_transmute,2,FALSE)
),
IF(Info!$B$4="Board program",
IF(OR(AND(O$5&gt;0,O$5&gt;100),AND(O$5&gt;0,O$5&lt;100)),
VLOOKUP(FLOOR((Midterm!O6/O$5)*100,1),new_transmute,3,FALSE),
VLOOKUP(Midterm!O6,new_transmute,3,FALSE)
),
IF(Info!$B$4="Board program (Medicine)",
IF(OR(AND(O$5&gt;0,O$5&gt;100),AND(O$5&gt;0,O$5&lt;100)),
VLOOKUP(FLOOR((Midterm!O6/O$5)*100,1),new_transmute,4,FALSE),
VLOOKUP(Midterm!O6,new_transmute,4,FALSE)
),
""
)
)
)
)
)
)
)
)
))</f>
        <v>100</v>
      </c>
      <c r="P6" s="14" t="str">
        <f>IF($B6="","",
IF(P$5="","",
IF(Midterm!P6="",0,
IF(NOT(ISNUMBER(Midterm!P6)),"NAN",
IF(Midterm!P6&lt;0,"NEG",
IF(Midterm!P6&gt;P$5,"OVER",
IF(AND(P$5&lt;=100,Midterm!P6&gt;100),"ERR",
IF(Info!$B$4="Non-board program",
IF(OR(AND(P$5&gt;0,P$5&gt;100),AND(P$5&gt;0,P$5&lt;100)),
VLOOKUP(FLOOR((Midterm!P6/P$5)*100,1),new_transmute,2,FALSE),
VLOOKUP(Midterm!P6,new_transmute,2,FALSE)
),
IF(Info!$B$4="Board program",
IF(OR(AND(P$5&gt;0,P$5&gt;100),AND(P$5&gt;0,P$5&lt;100)),
VLOOKUP(FLOOR((Midterm!P6/P$5)*100,1),new_transmute,3,FALSE),
VLOOKUP(Midterm!P6,new_transmute,3,FALSE)
),
IF(Info!$B$4="Board program (Medicine)",
IF(OR(AND(P$5&gt;0,P$5&gt;100),AND(P$5&gt;0,P$5&lt;100)),
VLOOKUP(FLOOR((Midterm!P6/P$5)*100,1),new_transmute,4,FALSE),
VLOOKUP(Midterm!P6,new_transmute,4,FALSE)
),
""
)
)
)
)
)
)
)
)
))</f>
        <v/>
      </c>
      <c r="Q6" s="14" t="str">
        <f>IF($B6="","",
IF(Q$5="","",
IF(Midterm!Q6="",0,
IF(NOT(ISNUMBER(Midterm!Q6)),"NAN",
IF(Midterm!Q6&lt;0,"NEG",
IF(Midterm!Q6&gt;Q$5,"OVER",
IF(AND(Q$5&lt;=100,Midterm!Q6&gt;100),"ERR",
IF(Info!$B$4="Non-board program",
IF(OR(AND(Q$5&gt;0,Q$5&gt;100),AND(Q$5&gt;0,Q$5&lt;100)),
VLOOKUP(FLOOR((Midterm!Q6/Q$5)*100,1),new_transmute,2,FALSE),
VLOOKUP(Midterm!Q6,new_transmute,2,FALSE)
),
IF(Info!$B$4="Board program",
IF(OR(AND(Q$5&gt;0,Q$5&gt;100),AND(Q$5&gt;0,Q$5&lt;100)),
VLOOKUP(FLOOR((Midterm!Q6/Q$5)*100,1),new_transmute,3,FALSE),
VLOOKUP(Midterm!Q6,new_transmute,3,FALSE)
),
IF(Info!$B$4="Board program (Medicine)",
IF(OR(AND(Q$5&gt;0,Q$5&gt;100),AND(Q$5&gt;0,Q$5&lt;100)),
VLOOKUP(FLOOR((Midterm!Q6/Q$5)*100,1),new_transmute,4,FALSE),
VLOOKUP(Midterm!Q6,new_transmute,4,FALSE)
),
""
)
)
)
)
)
)
)
)
))</f>
        <v/>
      </c>
      <c r="R6" s="14" t="str">
        <f>IF($B6="","",
IF(R$5="","",
IF(Midterm!R6="",0,
IF(NOT(ISNUMBER(Midterm!R6)),"NAN",
IF(Midterm!R6&lt;0,"NEG",
IF(Midterm!R6&gt;R$5,"OVER",
IF(AND(R$5&lt;=100,Midterm!R6&gt;100),"ERR",
IF(Info!$B$4="Non-board program",
IF(OR(AND(R$5&gt;0,R$5&gt;100),AND(R$5&gt;0,R$5&lt;100)),
VLOOKUP(FLOOR((Midterm!R6/R$5)*100,1),new_transmute,2,FALSE),
VLOOKUP(Midterm!R6,new_transmute,2,FALSE)
),
IF(Info!$B$4="Board program",
IF(OR(AND(R$5&gt;0,R$5&gt;100),AND(R$5&gt;0,R$5&lt;100)),
VLOOKUP(FLOOR((Midterm!R6/R$5)*100,1),new_transmute,3,FALSE),
VLOOKUP(Midterm!R6,new_transmute,3,FALSE)
),
IF(Info!$B$4="Board program (Medicine)",
IF(OR(AND(R$5&gt;0,R$5&gt;100),AND(R$5&gt;0,R$5&lt;100)),
VLOOKUP(FLOOR((Midterm!R6/R$5)*100,1),new_transmute,4,FALSE),
VLOOKUP(Midterm!R6,new_transmute,4,FALSE)
),
""
)
)
)
)
)
)
)
)
))</f>
        <v/>
      </c>
      <c r="S6" s="115">
        <f>IF(B6="", "", IF(COUNTIF(N6:R6, "OVER") &gt; 0, "OVER", IFERROR(AVERAGEIF(N6:R6, "&lt;&gt;OVER"), 0)))</f>
        <v>100</v>
      </c>
      <c r="T6" s="14">
        <f>IF($B6="","",
IF(T$5="","",
IF(Midterm!T6="",0,
IF(NOT(ISNUMBER(Midterm!T6)),"NAN",
IF(Midterm!T6&lt;0,"NEG",
IF(Midterm!T6&gt;T$5,"OVER",
IF(AND(T$5&lt;=100,Midterm!T6&gt;100),"ERR",
IF(Info!$B$4="Non-board program",
IF(OR(AND(T$5&gt;0,T$5&gt;100),AND(T$5&gt;0,T$5&lt;100)),
VLOOKUP(FLOOR((Midterm!T6/T$5)*100,1),new_transmute,2,FALSE),
VLOOKUP(Midterm!T6,new_transmute,2,FALSE)
),
IF(Info!$B$4="Board program",
IF(OR(AND(T$5&gt;0,T$5&gt;100),AND(T$5&gt;0,T$5&lt;100)),
VLOOKUP(FLOOR((Midterm!T6/T$5)*100,1),new_transmute,3,FALSE),
VLOOKUP(Midterm!T6,new_transmute,3,FALSE)
),
IF(Info!$B$4="Board program (Medicine)",
IF(OR(AND(T$5&gt;0,T$5&gt;100),AND(T$5&gt;0,T$5&lt;100)),
VLOOKUP(FLOOR((Midterm!T6/T$5)*100,1),new_transmute,4,FALSE),
VLOOKUP(Midterm!T6,new_transmute,4,FALSE)
),
""
)
)
)
)
)
)
)
)
))</f>
        <v>100</v>
      </c>
      <c r="U6" s="14" t="str">
        <f>IF($B6="","",
IF(U$5="","",
IF(Midterm!U6="",0,
IF(NOT(ISNUMBER(Midterm!U6)),"NAN",
IF(Midterm!U6&lt;0,"NEG",
IF(Midterm!U6&gt;U$5,"OVER",
IF(AND(U$5&lt;=100,Midterm!U6&gt;100),"ERR",
IF(Info!$B$4="Non-board program",
IF(OR(AND(U$5&gt;0,U$5&gt;100),AND(U$5&gt;0,U$5&lt;100)),
VLOOKUP(FLOOR((Midterm!U6/U$5)*100,1),new_transmute,2,FALSE),
VLOOKUP(Midterm!U6,new_transmute,2,FALSE)
),
IF(Info!$B$4="Board program",
IF(OR(AND(U$5&gt;0,U$5&gt;100),AND(U$5&gt;0,U$5&lt;100)),
VLOOKUP(FLOOR((Midterm!U6/U$5)*100,1),new_transmute,3,FALSE),
VLOOKUP(Midterm!U6,new_transmute,3,FALSE)
),
IF(Info!$B$4="Board program (Medicine)",
IF(OR(AND(U$5&gt;0,U$5&gt;100),AND(U$5&gt;0,U$5&lt;100)),
VLOOKUP(FLOOR((Midterm!U6/U$5)*100,1),new_transmute,4,FALSE),
VLOOKUP(Midterm!U6,new_transmute,4,FALSE)
),
""
)
)
)
)
)
)
)
)
))</f>
        <v/>
      </c>
      <c r="V6" s="14" t="str">
        <f>IF($B6="","",
IF(V$5="","",
IF(Midterm!V6="",0,
IF(NOT(ISNUMBER(Midterm!V6)),"NAN",
IF(Midterm!V6&lt;0,"NEG",
IF(Midterm!V6&gt;V$5,"OVER",
IF(AND(V$5&lt;=100,Midterm!V6&gt;100),"ERR",
IF(Info!$B$4="Non-board program",
IF(OR(AND(V$5&gt;0,V$5&gt;100),AND(V$5&gt;0,V$5&lt;100)),
VLOOKUP(FLOOR((Midterm!V6/V$5)*100,1),new_transmute,2,FALSE),
VLOOKUP(Midterm!V6,new_transmute,2,FALSE)
),
IF(Info!$B$4="Board program",
IF(OR(AND(V$5&gt;0,V$5&gt;100),AND(V$5&gt;0,V$5&lt;100)),
VLOOKUP(FLOOR((Midterm!V6/V$5)*100,1),new_transmute,3,FALSE),
VLOOKUP(Midterm!V6,new_transmute,3,FALSE)
),
IF(Info!$B$4="Board program (Medicine)",
IF(OR(AND(V$5&gt;0,V$5&gt;100),AND(V$5&gt;0,V$5&lt;100)),
VLOOKUP(FLOOR((Midterm!V6/V$5)*100,1),new_transmute,4,FALSE),
VLOOKUP(Midterm!V6,new_transmute,4,FALSE)
),
""
)
)
)
)
)
)
)
)
))</f>
        <v/>
      </c>
      <c r="W6" s="14" t="str">
        <f>IF($B6="","",
IF(W$5="","",
IF(Midterm!W6="",0,
IF(NOT(ISNUMBER(Midterm!W6)),"NAN",
IF(Midterm!W6&lt;0,"NEG",
IF(Midterm!W6&gt;W$5,"OVER",
IF(AND(W$5&lt;=100,Midterm!W6&gt;100),"ERR",
IF(Info!$B$4="Non-board program",
IF(OR(AND(W$5&gt;0,W$5&gt;100),AND(W$5&gt;0,W$5&lt;100)),
VLOOKUP(FLOOR((Midterm!W6/W$5)*100,1),new_transmute,2,FALSE),
VLOOKUP(Midterm!W6,new_transmute,2,FALSE)
),
IF(Info!$B$4="Board program",
IF(OR(AND(W$5&gt;0,W$5&gt;100),AND(W$5&gt;0,W$5&lt;100)),
VLOOKUP(FLOOR((Midterm!W6/W$5)*100,1),new_transmute,3,FALSE),
VLOOKUP(Midterm!W6,new_transmute,3,FALSE)
),
IF(Info!$B$4="Board program (Medicine)",
IF(OR(AND(W$5&gt;0,W$5&gt;100),AND(W$5&gt;0,W$5&lt;100)),
VLOOKUP(FLOOR((Midterm!W6/W$5)*100,1),new_transmute,4,FALSE),
VLOOKUP(Midterm!W6,new_transmute,4,FALSE)
),
""
)
)
)
)
)
)
)
)
))</f>
        <v/>
      </c>
      <c r="X6" s="14" t="str">
        <f>IF($B6="","",
IF(X$5="","",
IF(Midterm!X6="",0,
IF(NOT(ISNUMBER(Midterm!X6)),"NAN",
IF(Midterm!X6&lt;0,"NEG",
IF(Midterm!X6&gt;X$5,"OVER",
IF(AND(X$5&lt;=100,Midterm!X6&gt;100),"ERR",
IF(Info!$B$4="Non-board program",
IF(OR(AND(X$5&gt;0,X$5&gt;100),AND(X$5&gt;0,X$5&lt;100)),
VLOOKUP(FLOOR((Midterm!X6/X$5)*100,1),new_transmute,2,FALSE),
VLOOKUP(Midterm!X6,new_transmute,2,FALSE)
),
IF(Info!$B$4="Board program",
IF(OR(AND(X$5&gt;0,X$5&gt;100),AND(X$5&gt;0,X$5&lt;100)),
VLOOKUP(FLOOR((Midterm!X6/X$5)*100,1),new_transmute,3,FALSE),
VLOOKUP(Midterm!X6,new_transmute,3,FALSE)
),
IF(Info!$B$4="Board program (Medicine)",
IF(OR(AND(X$5&gt;0,X$5&gt;100),AND(X$5&gt;0,X$5&lt;100)),
VLOOKUP(FLOOR((Midterm!X6/X$5)*100,1),new_transmute,4,FALSE),
VLOOKUP(Midterm!X6,new_transmute,4,FALSE)
),
""
)
)
)
)
)
)
)
)
))</f>
        <v/>
      </c>
      <c r="Y6" s="112">
        <f>IF(B6="", "", IF(COUNTIF(T6:X6, "OVER") &gt; 0, "OVER", IFERROR(AVERAGEIF(T6:X6, "&lt;&gt;OVER"), 0)))</f>
        <v>100</v>
      </c>
      <c r="Z6" s="14">
        <f>IF($B6="","",
IF(Z$5="","",
IF(Midterm!Z6="",0,
IF(NOT(ISNUMBER(Midterm!Z6)),"NAN",
IF(Midterm!Z6&lt;0,"NEG",
IF(Midterm!Z6&gt;Z$5,"OVER",
IF(AND(Z$5&lt;=100,Midterm!Z6&gt;100),"ERR",
IF(Info!$B$4="Non-board program",
IF(OR(AND(Z$5&gt;0,Z$5&gt;100),AND(Z$5&gt;0,Z$5&lt;100)),
VLOOKUP(FLOOR((Midterm!Z6/Z$5)*100,1),new_transmute,2,FALSE),
VLOOKUP(Midterm!Z6,new_transmute,2,FALSE)
),
IF(Info!$B$4="Board program",
IF(OR(AND(Z$5&gt;0,Z$5&gt;100),AND(Z$5&gt;0,Z$5&lt;100)),
VLOOKUP(FLOOR((Midterm!Z6/Z$5)*100,1),new_transmute,3,FALSE),
VLOOKUP(Midterm!Z6,new_transmute,3,FALSE)
),
IF(Info!$B$4="Board program (Medicine)",
IF(OR(AND(Z$5&gt;0,Z$5&gt;100),AND(Z$5&gt;0,Z$5&lt;100)),
VLOOKUP(FLOOR((Midterm!Z6/Z$5)*100,1),new_transmute,4,FALSE),
VLOOKUP(Midterm!Z6,new_transmute,4,FALSE)
),
""
)
)
)
)
)
)
)
)
))</f>
        <v>90</v>
      </c>
      <c r="AA6" s="14" t="str">
        <f>IF($B6="","",
IF(AA$5="","",
IF(Midterm!AA6="",0,
IF(NOT(ISNUMBER(Midterm!AA6)),"NAN",
IF(Midterm!AA6&lt;0,"NEG",
IF(Midterm!AA6&gt;AA$5,"OVER",
IF(AND(AA$5&lt;=100,Midterm!AA6&gt;100),"ERR",
IF(Info!$B$4="Non-board program",
IF(OR(AND(AA$5&gt;0,AA$5&gt;100),AND(AA$5&gt;0,AA$5&lt;100)),
VLOOKUP(FLOOR((Midterm!AA6/AA$5)*100,1),new_transmute,2,FALSE),
VLOOKUP(Midterm!AA6,new_transmute,2,FALSE)
),
IF(Info!$B$4="Board program",
IF(OR(AND(AA$5&gt;0,AA$5&gt;100),AND(AA$5&gt;0,AA$5&lt;100)),
VLOOKUP(FLOOR((Midterm!AA6/AA$5)*100,1),new_transmute,3,FALSE),
VLOOKUP(Midterm!AA6,new_transmute,3,FALSE)
),
IF(Info!$B$4="Board program (Medicine)",
IF(OR(AND(AA$5&gt;0,AA$5&gt;100),AND(AA$5&gt;0,AA$5&lt;100)),
VLOOKUP(FLOOR((Midterm!AA6/AA$5)*100,1),new_transmute,4,FALSE),
VLOOKUP(Midterm!AA6,new_transmute,4,FALSE)
),
""
)
)
)
)
)
)
)
)
))</f>
        <v/>
      </c>
      <c r="AB6" s="14" t="str">
        <f>IF($B6="","",
IF(AB$5="","",
IF(Midterm!AB6="",0,
IF(NOT(ISNUMBER(Midterm!AB6)),"NAN",
IF(Midterm!AB6&lt;0,"NEG",
IF(Midterm!AB6&gt;AB$5,"OVER",
IF(AND(AB$5&lt;=100,Midterm!AB6&gt;100),"ERR",
IF(Info!$B$4="Non-board program",
IF(OR(AND(AB$5&gt;0,AB$5&gt;100),AND(AB$5&gt;0,AB$5&lt;100)),
VLOOKUP(FLOOR((Midterm!AB6/AB$5)*100,1),new_transmute,2,FALSE),
VLOOKUP(Midterm!AB6,new_transmute,2,FALSE)
),
IF(Info!$B$4="Board program",
IF(OR(AND(AB$5&gt;0,AB$5&gt;100),AND(AB$5&gt;0,AB$5&lt;100)),
VLOOKUP(FLOOR((Midterm!AB6/AB$5)*100,1),new_transmute,3,FALSE),
VLOOKUP(Midterm!AB6,new_transmute,3,FALSE)
),
IF(Info!$B$4="Board program (Medicine)",
IF(OR(AND(AB$5&gt;0,AB$5&gt;100),AND(AB$5&gt;0,AB$5&lt;100)),
VLOOKUP(FLOOR((Midterm!AB6/AB$5)*100,1),new_transmute,4,FALSE),
VLOOKUP(Midterm!AB6,new_transmute,4,FALSE)
),
""
)
)
)
)
)
)
)
)
))</f>
        <v/>
      </c>
      <c r="AC6" s="14" t="str">
        <f>IF($B6="","",
IF(AC$5="","",
IF(Midterm!AC6="",0,
IF(NOT(ISNUMBER(Midterm!AC6)),"NAN",
IF(Midterm!AC6&lt;0,"NEG",
IF(Midterm!AC6&gt;AC$5,"OVER",
IF(AND(AC$5&lt;=100,Midterm!AC6&gt;100),"ERR",
IF(Info!$B$4="Non-board program",
IF(OR(AND(AC$5&gt;0,AC$5&gt;100),AND(AC$5&gt;0,AC$5&lt;100)),
VLOOKUP(FLOOR((Midterm!AC6/AC$5)*100,1),new_transmute,2,FALSE),
VLOOKUP(Midterm!AC6,new_transmute,2,FALSE)
),
IF(Info!$B$4="Board program",
IF(OR(AND(AC$5&gt;0,AC$5&gt;100),AND(AC$5&gt;0,AC$5&lt;100)),
VLOOKUP(FLOOR((Midterm!AC6/AC$5)*100,1),new_transmute,3,FALSE),
VLOOKUP(Midterm!AC6,new_transmute,3,FALSE)
),
IF(Info!$B$4="Board program (Medicine)",
IF(OR(AND(AC$5&gt;0,AC$5&gt;100),AND(AC$5&gt;0,AC$5&lt;100)),
VLOOKUP(FLOOR((Midterm!AC6/AC$5)*100,1),new_transmute,4,FALSE),
VLOOKUP(Midterm!AC6,new_transmute,4,FALSE)
),
""
)
)
)
)
)
)
)
)
))</f>
        <v/>
      </c>
      <c r="AD6" s="14" t="str">
        <f>IF($B6="","",
IF(AD$5="","",
IF(Midterm!AD6="",0,
IF(NOT(ISNUMBER(Midterm!AD6)),"NAN",
IF(Midterm!AD6&lt;0,"NEG",
IF(Midterm!AD6&gt;AD$5,"OVER",
IF(AND(AD$5&lt;=100,Midterm!AD6&gt;100),"ERR",
IF(Info!$B$4="Non-board program",
IF(OR(AND(AD$5&gt;0,AD$5&gt;100),AND(AD$5&gt;0,AD$5&lt;100)),
VLOOKUP(FLOOR((Midterm!AD6/AD$5)*100,1),new_transmute,2,FALSE),
VLOOKUP(Midterm!AD6,new_transmute,2,FALSE)
),
IF(Info!$B$4="Board program",
IF(OR(AND(AD$5&gt;0,AD$5&gt;100),AND(AD$5&gt;0,AD$5&lt;100)),
VLOOKUP(FLOOR((Midterm!AD6/AD$5)*100,1),new_transmute,3,FALSE),
VLOOKUP(Midterm!AD6,new_transmute,3,FALSE)
),
IF(Info!$B$4="Board program (Medicine)",
IF(OR(AND(AD$5&gt;0,AD$5&gt;100),AND(AD$5&gt;0,AD$5&lt;100)),
VLOOKUP(FLOOR((Midterm!AD6/AD$5)*100,1),new_transmute,4,FALSE),
VLOOKUP(Midterm!AD6,new_transmute,4,FALSE)
),
""
)
)
)
)
)
)
)
)
))</f>
        <v/>
      </c>
      <c r="AE6" s="58">
        <f>IF(B6="", "", IF(COUNTIF(Z6:AD6, "OVER") &gt; 0, "OVER", IFERROR(AVERAGEIF(Z6:AD6, "&lt;&gt;OVER"), 0)))</f>
        <v>90</v>
      </c>
      <c r="AF6" s="14" t="str">
        <f>IF($B6="","",
IF(AF$5="","",
IF(Midterm!AF6="",0,
IF(NOT(ISNUMBER(Midterm!AF6)),"NAN",
IF(Midterm!AF6&lt;0,"NEG",
IF(Midterm!AF6&gt;AF$5,"OVER",
IF(AND(AF$5&lt;=100,Midterm!AF6&gt;100),"ERR",
IF(Info!$B$4="Non-board program",
IF(OR(AND(AF$5&gt;0,AF$5&gt;100),AND(AF$5&gt;0,AF$5&lt;100)),
VLOOKUP(FLOOR((Midterm!AF6/AF$5)*100,1),new_transmute,2,FALSE),
VLOOKUP(Midterm!AF6,new_transmute,2,FALSE)
),
IF(Info!$B$4="Board program",
IF(OR(AND(AF$5&gt;0,AF$5&gt;100),AND(AF$5&gt;0,AF$5&lt;100)),
VLOOKUP(FLOOR((Midterm!AF6/AF$5)*100,1),new_transmute,3,FALSE),
VLOOKUP(Midterm!AF6,new_transmute,3,FALSE)
),
IF(Info!$B$4="Board program (Medicine)",
IF(OR(AND(AF$5&gt;0,AF$5&gt;100),AND(AF$5&gt;0,AF$5&lt;100)),
VLOOKUP(FLOOR((Midterm!AF6/AF$5)*100,1),new_transmute,4,FALSE),
VLOOKUP(Midterm!AF6,new_transmute,4,FALSE)
),
""
)
)
)
)
)
)
)
)
))</f>
        <v/>
      </c>
      <c r="AG6" s="14" t="str">
        <f>IF($B6="","",
IF(AG$5="","",
IF(Midterm!AG6="",0,
IF(NOT(ISNUMBER(Midterm!AG6)),"NAN",
IF(Midterm!AG6&lt;0,"NEG",
IF(Midterm!AG6&gt;AG$5,"OVER",
IF(AND(AG$5&lt;=100,Midterm!AG6&gt;100),"ERR",
IF(Info!$B$4="Non-board program",
IF(OR(AND(AG$5&gt;0,AG$5&gt;100),AND(AG$5&gt;0,AG$5&lt;100)),
VLOOKUP(FLOOR((Midterm!AG6/AG$5)*100,1),new_transmute,2,FALSE),
VLOOKUP(Midterm!AG6,new_transmute,2,FALSE)
),
IF(Info!$B$4="Board program",
IF(OR(AND(AG$5&gt;0,AG$5&gt;100),AND(AG$5&gt;0,AG$5&lt;100)),
VLOOKUP(FLOOR((Midterm!AG6/AG$5)*100,1),new_transmute,3,FALSE),
VLOOKUP(Midterm!AG6,new_transmute,3,FALSE)
),
IF(Info!$B$4="Board program (Medicine)",
IF(OR(AND(AG$5&gt;0,AG$5&gt;100),AND(AG$5&gt;0,AG$5&lt;100)),
VLOOKUP(FLOOR((Midterm!AG6/AG$5)*100,1),new_transmute,4,FALSE),
VLOOKUP(Midterm!AG6,new_transmute,4,FALSE)
),
""
)
)
)
)
)
)
)
)
))</f>
        <v/>
      </c>
      <c r="AH6" s="14" t="str">
        <f>IF($B6="","",
IF(AH$5="","",
IF(Midterm!AH6="",0,
IF(NOT(ISNUMBER(Midterm!AH6)),"NAN",
IF(Midterm!AH6&lt;0,"NEG",
IF(Midterm!AH6&gt;AH$5,"OVER",
IF(AND(AH$5&lt;=100,Midterm!AH6&gt;100),"ERR",
IF(Info!$B$4="Non-board program",
IF(OR(AND(AH$5&gt;0,AH$5&gt;100),AND(AH$5&gt;0,AH$5&lt;100)),
VLOOKUP(FLOOR((Midterm!AH6/AH$5)*100,1),new_transmute,2,FALSE),
VLOOKUP(Midterm!AH6,new_transmute,2,FALSE)
),
IF(Info!$B$4="Board program",
IF(OR(AND(AH$5&gt;0,AH$5&gt;100),AND(AH$5&gt;0,AH$5&lt;100)),
VLOOKUP(FLOOR((Midterm!AH6/AH$5)*100,1),new_transmute,3,FALSE),
VLOOKUP(Midterm!AH6,new_transmute,3,FALSE)
),
IF(Info!$B$4="Board program (Medicine)",
IF(OR(AND(AH$5&gt;0,AH$5&gt;100),AND(AH$5&gt;0,AH$5&lt;100)),
VLOOKUP(FLOOR((Midterm!AH6/AH$5)*100,1),new_transmute,4,FALSE),
VLOOKUP(Midterm!AH6,new_transmute,4,FALSE)
),
""
)
)
)
)
)
)
)
)
))</f>
        <v/>
      </c>
      <c r="AI6" s="14" t="str">
        <f>IF($B6="","",
IF(AI$5="","",
IF(Midterm!AI6="",0,
IF(NOT(ISNUMBER(Midterm!AI6)),"NAN",
IF(Midterm!AI6&lt;0,"NEG",
IF(Midterm!AI6&gt;AI$5,"OVER",
IF(AND(AI$5&lt;=100,Midterm!AI6&gt;100),"ERR",
IF(Info!$B$4="Non-board program",
IF(OR(AND(AI$5&gt;0,AI$5&gt;100),AND(AI$5&gt;0,AI$5&lt;100)),
VLOOKUP(FLOOR((Midterm!AI6/AI$5)*100,1),new_transmute,2,FALSE),
VLOOKUP(Midterm!AI6,new_transmute,2,FALSE)
),
IF(Info!$B$4="Board program",
IF(OR(AND(AI$5&gt;0,AI$5&gt;100),AND(AI$5&gt;0,AI$5&lt;100)),
VLOOKUP(FLOOR((Midterm!AI6/AI$5)*100,1),new_transmute,3,FALSE),
VLOOKUP(Midterm!AI6,new_transmute,3,FALSE)
),
IF(Info!$B$4="Board program (Medicine)",
IF(OR(AND(AI$5&gt;0,AI$5&gt;100),AND(AI$5&gt;0,AI$5&lt;100)),
VLOOKUP(FLOOR((Midterm!AI6/AI$5)*100,1),new_transmute,4,FALSE),
VLOOKUP(Midterm!AI6,new_transmute,4,FALSE)
),
""
)
)
)
)
)
)
)
)
))</f>
        <v/>
      </c>
      <c r="AJ6" s="14" t="str">
        <f>IF($B6="","",
IF(AJ$5="","",
IF(Midterm!AJ6="",0,
IF(NOT(ISNUMBER(Midterm!AJ6)),"NAN",
IF(Midterm!AJ6&lt;0,"NEG",
IF(Midterm!AJ6&gt;AJ$5,"OVER",
IF(AND(AJ$5&lt;=100,Midterm!AJ6&gt;100),"ERR",
IF(Info!$B$4="Non-board program",
IF(OR(AND(AJ$5&gt;0,AJ$5&gt;100),AND(AJ$5&gt;0,AJ$5&lt;100)),
VLOOKUP(FLOOR((Midterm!AJ6/AJ$5)*100,1),new_transmute,2,FALSE),
VLOOKUP(Midterm!AJ6,new_transmute,2,FALSE)
),
IF(Info!$B$4="Board program",
IF(OR(AND(AJ$5&gt;0,AJ$5&gt;100),AND(AJ$5&gt;0,AJ$5&lt;100)),
VLOOKUP(FLOOR((Midterm!AJ6/AJ$5)*100,1),new_transmute,3,FALSE),
VLOOKUP(Midterm!AJ6,new_transmute,3,FALSE)
),
IF(Info!$B$4="Board program (Medicine)",
IF(OR(AND(AJ$5&gt;0,AJ$5&gt;100),AND(AJ$5&gt;0,AJ$5&lt;100)),
VLOOKUP(FLOOR((Midterm!AJ6/AJ$5)*100,1),new_transmute,4,FALSE),
VLOOKUP(Midterm!AJ6,new_transmute,4,FALSE)
),
""
)
)
)
)
)
)
)
)
))</f>
        <v/>
      </c>
      <c r="AK6" s="59">
        <f>IF(B6="", "", IF(COUNTIF(AF6:AJ6, "OVER") &gt; 0, "OVER", IFERROR(AVERAGEIF(AF6:AJ6, "&lt;&gt;OVER"), 0)))</f>
        <v>0</v>
      </c>
      <c r="AL6" s="60">
        <f>IF(B6="", "",
    IF(OR(M6="OVER", S6="OVER", Y6="OVER", AE6="OVER", AK6="OVER"),
        "OVER",
        IF(Info!$B$4="Non-board program",
            VLOOKUP(IFERROR(FLOOR(SUM((M6*$M$4), (S6*$S$4), (Y6*$Y$4), (AE6*$AE$4), (AK6*$AK$4)) * (100 / 60), 1), 0), new_transmute, 2, FALSE),
            IF(Info!$B$4="Board program",
                VLOOKUP(IFERROR(FLOOR(SUM((M6*$M$4), (S6*$S$4), (Y6*$Y$4), (AE6*$AE$4), (AK6*$AK$4)) * (100 / 60), 1), 0), new_transmute, 3, FALSE),
                IF(Info!$B$4="Board program (Medicine)",
                    VLOOKUP(IFERROR(FLOOR(SUM((M6*$M$4), (S6*$S$4), (Y6*$Y$4), (AE6*$AE$4), (AK6*$AK$4)) * (100 / 60), 1), 0), new_transmute, 4, FALSE),
                    ""
                )
            )
        )
    )
)</f>
        <v>96.9</v>
      </c>
      <c r="AM6" s="14" t="str">
        <f>IF($B6="","",
IF(AM$5="","",
IF(Midterm!AM6="",0,
IF(NOT(ISNUMBER(Midterm!AM6)),"NAN",
IF(Midterm!AM6&lt;0,"NEG",
IF(Midterm!AM6&gt;AM$5,"OVER",
IF(AND(AM$5&lt;=100,Midterm!AM6&gt;100),"ERR",
IF(Info!$B$4="Non-board program",
IF(OR(AND(AM$5&gt;0,AM$5&gt;100),AND(AM$5&gt;0,AM$5&lt;100)),
VLOOKUP(FLOOR((Midterm!AM6/AM$5)*100,1),new_transmute,2,FALSE),
VLOOKUP(Midterm!AM6,new_transmute,2,FALSE)
),
IF(Info!$B$4="Board program",
IF(OR(AND(AM$5&gt;0,AM$5&gt;100),AND(AM$5&gt;0,AM$5&lt;100)),
VLOOKUP(FLOOR((Midterm!AM6/AM$5)*100,1),new_transmute,3,FALSE),
VLOOKUP(Midterm!AM6,new_transmute,3,FALSE)
),
IF(Info!$B$4="Board program (Medicine)",
IF(OR(AND(AM$5&gt;0,AM$5&gt;100),AND(AM$5&gt;0,AM$5&lt;100)),
VLOOKUP(FLOOR((Midterm!AM6/AM$5)*100,1),new_transmute,4,FALSE),
VLOOKUP(Midterm!AM6,new_transmute,4,FALSE)
),
""
)
)
)
)
)
)
)
)
))</f>
        <v/>
      </c>
      <c r="AN6" s="14" t="str">
        <f>IF($B6="","",
IF(AN$5="","",
IF(Midterm!AN6="",0,
IF(NOT(ISNUMBER(Midterm!AN6)),"NAN",
IF(Midterm!AN6&lt;0,"NEG",
IF(Midterm!AN6&gt;AN$5,"OVER",
IF(AND(AN$5&lt;=100,Midterm!AN6&gt;100),"ERR",
IF(Info!$B$4="Non-board program",
IF(OR(AND(AN$5&gt;0,AN$5&gt;100),AND(AN$5&gt;0,AN$5&lt;100)),
VLOOKUP(FLOOR((Midterm!AN6/AN$5)*100,1),new_transmute,2,FALSE),
VLOOKUP(Midterm!AN6,new_transmute,2,FALSE)
),
IF(Info!$B$4="Board program",
IF(OR(AND(AN$5&gt;0,AN$5&gt;100),AND(AN$5&gt;0,AN$5&lt;100)),
VLOOKUP(FLOOR((Midterm!AN6/AN$5)*100,1),new_transmute,3,FALSE),
VLOOKUP(Midterm!AN6,new_transmute,3,FALSE)
),
IF(Info!$B$4="Board program (Medicine)",
IF(OR(AND(AN$5&gt;0,AN$5&gt;100),AND(AN$5&gt;0,AN$5&lt;100)),
VLOOKUP(FLOOR((Midterm!AN6/AN$5)*100,1),new_transmute,4,FALSE),
VLOOKUP(Midterm!AN6,new_transmute,4,FALSE)
),
""
)
)
)
)
)
)
)
)
))</f>
        <v/>
      </c>
      <c r="AO6" s="14" t="str">
        <f>IF($B6="","",
IF(AO$5="","",
IF(Midterm!AO6="",0,
IF(NOT(ISNUMBER(Midterm!AO6)),"NAN",
IF(Midterm!AO6&lt;0,"NEG",
IF(Midterm!AO6&gt;AO$5,"OVER",
IF(AND(AO$5&lt;=100,Midterm!AO6&gt;100),"ERR",
IF(Info!$B$4="Non-board program",
IF(OR(AND(AO$5&gt;0,AO$5&gt;100),AND(AO$5&gt;0,AO$5&lt;100)),
VLOOKUP(FLOOR((Midterm!AO6/AO$5)*100,1),new_transmute,2,FALSE),
VLOOKUP(Midterm!AO6,new_transmute,2,FALSE)
),
IF(Info!$B$4="Board program",
IF(OR(AND(AO$5&gt;0,AO$5&gt;100),AND(AO$5&gt;0,AO$5&lt;100)),
VLOOKUP(FLOOR((Midterm!AO6/AO$5)*100,1),new_transmute,3,FALSE),
VLOOKUP(Midterm!AO6,new_transmute,3,FALSE)
),
IF(Info!$B$4="Board program (Medicine)",
IF(OR(AND(AO$5&gt;0,AO$5&gt;100),AND(AO$5&gt;0,AO$5&lt;100)),
VLOOKUP(FLOOR((Midterm!AO6/AO$5)*100,1),new_transmute,4,FALSE),
VLOOKUP(Midterm!AO6,new_transmute,4,FALSE)
),
""
)
)
)
)
)
)
)
)
))</f>
        <v/>
      </c>
      <c r="AP6" s="14">
        <f>IF($B6="","",
IF(AP$5="","",
IF(Midterm!AP6="",0,
IF(NOT(ISNUMBER(Midterm!AP6)),"NAN",
IF(Midterm!AP6&lt;0,"NEG",
IF(Midterm!AP6&gt;AP$5,"OVER",
IF(AND(AP$5&lt;=100,Midterm!AP6&gt;100),"ERR",
IF(Info!$B$4="Non-board program",
IF(OR(AND(AP$5&gt;0,AP$5&gt;100),AND(AP$5&gt;0,AP$5&lt;100)),
VLOOKUP(FLOOR((Midterm!AP6/AP$5)*100,1),new_transmute,2,FALSE),
VLOOKUP(Midterm!AP6,new_transmute,2,FALSE)
),
IF(Info!$B$4="Board program",
IF(OR(AND(AP$5&gt;0,AP$5&gt;100),AND(AP$5&gt;0,AP$5&lt;100)),
VLOOKUP(FLOOR((Midterm!AP6/AP$5)*100,1),new_transmute,3,FALSE),
VLOOKUP(Midterm!AP6,new_transmute,3,FALSE)
),
IF(Info!$B$4="Board program (Medicine)",
IF(OR(AND(AP$5&gt;0,AP$5&gt;100),AND(AP$5&gt;0,AP$5&lt;100)),
VLOOKUP(FLOOR((Midterm!AP6/AP$5)*100,1),new_transmute,4,FALSE),
VLOOKUP(Midterm!AP6,new_transmute,4,FALSE)
),
""
)
)
)
)
)
)
)
)
))</f>
        <v>75</v>
      </c>
      <c r="AQ6" s="61">
        <f>IF(B6="", "", IF(COUNTIF(AM6:AP6, "OVER") &gt; 0, "OVER", IFERROR(AVERAGEIF(AM6:AP6, "&lt;&gt;OVER"), 0)))</f>
        <v>75</v>
      </c>
      <c r="AR6" s="48">
        <f>IF(Midterm!AR6="","",Midterm!AR6)</f>
        <v>2</v>
      </c>
      <c r="AS6" s="165">
        <f>IF(B6="", "",
    IF(D6="Yes",
        "DRP",
        IF(D6="No",
            "WF",
            IFERROR(SUM(G6*$G$4, M6*$M$4, S6*$S$4, Y6*$Y$4, AE6*$AE$4, AK6*$AK$4, AQ6*$AQ$4, AR6), "ERR")
        )
    )
)</f>
        <v>89.5</v>
      </c>
      <c r="AT6" s="14">
        <f t="shared" ref="AT6:AT37" si="0">IF(B6="", "",
    IF(AS6="ERR", "ERR",
        IF(AS6="DRP",
            VLOOKUP(AS6, Equivalent, 1, FALSE),
            IF(AS6="WF",
                VLOOKUP(AS6, Equivalent, 1, FALSE),
                IF(E6="FA",
                    VLOOKUP(E6, Equivalent, 1, FALSE),
                    IF(AS6&lt;60,
                        5,
                        VLOOKUP(FLOOR(AS6, 1), Equivalent, 2, FALSE)
                    )
                )
            )
        )
    )
)</f>
        <v>2</v>
      </c>
      <c r="AU6" s="14" t="str">
        <f>IF(B6="","",VLOOKUP(AT6,'New Grade Equivalent'!$B$3:$C$47,2,FALSE))</f>
        <v>Pass</v>
      </c>
    </row>
    <row r="7" spans="1:47" x14ac:dyDescent="0.25">
      <c r="A7" s="8">
        <v>2</v>
      </c>
      <c r="B7" s="2" t="str">
        <f>IF('Student List'!C11="","",UPPER(LEFT('Student List'!C11,FIND(",",'Student List'!C11)-1)))</f>
        <v/>
      </c>
      <c r="C7" s="12" t="str">
        <f>IF('Student List'!C11="","",PROPER(MID('Student List'!C11, FIND(",", 'Student List'!C11) + 2, LEN('Student List'!C11) - FIND(",", 'Student List'!C11) - 1)))</f>
        <v/>
      </c>
      <c r="D7" s="127" t="str">
        <f>IF(B7="","",IF(Midterm!D7="", "NA", Midterm!D7))</f>
        <v/>
      </c>
      <c r="E7" s="8" t="str">
        <f>IF(B7="","",
  IF(Info!$B$5="First Year",
    IF(D7="Yes", "DRP",
      IF(D7="No", "WF", "")
    )
  )
)</f>
        <v/>
      </c>
      <c r="F7" s="14" t="str">
        <f>IF($B7="","",
IF(F$5="","",
IF(Midterm!F7="",0,
IF(NOT(ISNUMBER(Midterm!F7)),"NAN",
IF(Midterm!F7&lt;0,"NEG",
IF(Midterm!F7&gt;F$5,"OVER",
IF(AND(F$5&lt;=100,Midterm!F7&gt;100),"ERR",
IF(Info!$B$4="Non-board program",
IF(OR(AND(F$5&gt;0,F$5&gt;100),AND(F$5&gt;0,F$5&lt;100)),
VLOOKUP(FLOOR((Midterm!F7/F$5)*100,1),new_transmute,2,FALSE),
VLOOKUP(Midterm!F7,new_transmute,2,FALSE)
),
IF(Info!$B$4="Board program",
IF(OR(AND(F$5&gt;0,F$5&gt;100),AND(F$5&gt;0,F$5&lt;100)),
VLOOKUP(FLOOR((Midterm!F7/F$5)*100,1),new_transmute,3,FALSE),
VLOOKUP(Midterm!F7,new_transmute,3,FALSE)
),
IF(Info!$B$4="Board program (Medicine)",
IF(OR(AND(F$5&gt;0,F$5&gt;100),AND(F$5&gt;0,F$5&lt;100)),
VLOOKUP(FLOOR((Midterm!F7/F$5)*100,1),new_transmute,4,FALSE),
VLOOKUP(Midterm!F7,new_transmute,4,FALSE)
),
""
)
)
)
)
)
)
)
)
))</f>
        <v/>
      </c>
      <c r="G7" s="57" t="str">
        <f t="shared" ref="G7:G70" si="1">IF(B7="","",F7)</f>
        <v/>
      </c>
      <c r="H7" s="14" t="str">
        <f>IF($B7="","",
IF(H$5="","",
IF(Midterm!H7="",0,
IF(NOT(ISNUMBER(Midterm!H7)),"NAN",
IF(Midterm!H7&lt;0,"NEG",
IF(Midterm!H7&gt;H$5,"OVER",
IF(AND(H$5&lt;=100,Midterm!H7&gt;100),"ERR",
IF(Info!$B$4="Non-board program",
IF(OR(AND(H$5&gt;0,H$5&gt;100),AND(H$5&gt;0,H$5&lt;100)),
VLOOKUP(FLOOR((Midterm!H7/H$5)*100,1),new_transmute,2,FALSE),
VLOOKUP(Midterm!H7,new_transmute,2,FALSE)
),
IF(Info!$B$4="Board program",
IF(OR(AND(H$5&gt;0,H$5&gt;100),AND(H$5&gt;0,H$5&lt;100)),
VLOOKUP(FLOOR((Midterm!H7/H$5)*100,1),new_transmute,3,FALSE),
VLOOKUP(Midterm!H7,new_transmute,3,FALSE)
),
IF(Info!$B$4="Board program (Medicine)",
IF(OR(AND(H$5&gt;0,H$5&gt;100),AND(H$5&gt;0,H$5&lt;100)),
VLOOKUP(FLOOR((Midterm!H7/H$5)*100,1),new_transmute,4,FALSE),
VLOOKUP(Midterm!H7,new_transmute,4,FALSE)
),
""
)
)
)
)
)
)
)
)
))</f>
        <v/>
      </c>
      <c r="I7" s="14" t="str">
        <f>IF($B7="","",
IF(I$5="","",
IF(Midterm!I7="",0,
IF(NOT(ISNUMBER(Midterm!I7)),"NAN",
IF(Midterm!I7&lt;0,"NEG",
IF(Midterm!I7&gt;I$5,"OVER",
IF(AND(I$5&lt;=100,Midterm!I7&gt;100),"ERR",
IF(Info!$B$4="Non-board program",
IF(OR(AND(I$5&gt;0,I$5&gt;100),AND(I$5&gt;0,I$5&lt;100)),
VLOOKUP(FLOOR((Midterm!I7/I$5)*100,1),new_transmute,2,FALSE),
VLOOKUP(Midterm!I7,new_transmute,2,FALSE)
),
IF(Info!$B$4="Board program",
IF(OR(AND(I$5&gt;0,I$5&gt;100),AND(I$5&gt;0,I$5&lt;100)),
VLOOKUP(FLOOR((Midterm!I7/I$5)*100,1),new_transmute,3,FALSE),
VLOOKUP(Midterm!I7,new_transmute,3,FALSE)
),
IF(Info!$B$4="Board program (Medicine)",
IF(OR(AND(I$5&gt;0,I$5&gt;100),AND(I$5&gt;0,I$5&lt;100)),
VLOOKUP(FLOOR((Midterm!I7/I$5)*100,1),new_transmute,4,FALSE),
VLOOKUP(Midterm!I7,new_transmute,4,FALSE)
),
""
)
)
)
)
)
)
)
)
))</f>
        <v/>
      </c>
      <c r="J7" s="14" t="str">
        <f>IF($B7="","",
IF(J$5="","",
IF(Midterm!J7="",0,
IF(NOT(ISNUMBER(Midterm!J7)),"NAN",
IF(Midterm!J7&lt;0,"NEG",
IF(Midterm!J7&gt;J$5,"OVER",
IF(AND(J$5&lt;=100,Midterm!J7&gt;100),"ERR",
IF(Info!$B$4="Non-board program",
IF(OR(AND(J$5&gt;0,J$5&gt;100),AND(J$5&gt;0,J$5&lt;100)),
VLOOKUP(FLOOR((Midterm!J7/J$5)*100,1),new_transmute,2,FALSE),
VLOOKUP(Midterm!J7,new_transmute,2,FALSE)
),
IF(Info!$B$4="Board program",
IF(OR(AND(J$5&gt;0,J$5&gt;100),AND(J$5&gt;0,J$5&lt;100)),
VLOOKUP(FLOOR((Midterm!J7/J$5)*100,1),new_transmute,3,FALSE),
VLOOKUP(Midterm!J7,new_transmute,3,FALSE)
),
IF(Info!$B$4="Board program (Medicine)",
IF(OR(AND(J$5&gt;0,J$5&gt;100),AND(J$5&gt;0,J$5&lt;100)),
VLOOKUP(FLOOR((Midterm!J7/J$5)*100,1),new_transmute,4,FALSE),
VLOOKUP(Midterm!J7,new_transmute,4,FALSE)
),
""
)
)
)
)
)
)
)
)
))</f>
        <v/>
      </c>
      <c r="K7" s="14" t="str">
        <f>IF($B7="","",
IF(K$5="","",
IF(Midterm!K7="",0,
IF(NOT(ISNUMBER(Midterm!K7)),"NAN",
IF(Midterm!K7&lt;0,"NEG",
IF(Midterm!K7&gt;K$5,"OVER",
IF(AND(K$5&lt;=100,Midterm!K7&gt;100),"ERR",
IF(Info!$B$4="Non-board program",
IF(OR(AND(K$5&gt;0,K$5&gt;100),AND(K$5&gt;0,K$5&lt;100)),
VLOOKUP(FLOOR((Midterm!K7/K$5)*100,1),new_transmute,2,FALSE),
VLOOKUP(Midterm!K7,new_transmute,2,FALSE)
),
IF(Info!$B$4="Board program",
IF(OR(AND(K$5&gt;0,K$5&gt;100),AND(K$5&gt;0,K$5&lt;100)),
VLOOKUP(FLOOR((Midterm!K7/K$5)*100,1),new_transmute,3,FALSE),
VLOOKUP(Midterm!K7,new_transmute,3,FALSE)
),
IF(Info!$B$4="Board program (Medicine)",
IF(OR(AND(K$5&gt;0,K$5&gt;100),AND(K$5&gt;0,K$5&lt;100)),
VLOOKUP(FLOOR((Midterm!K7/K$5)*100,1),new_transmute,4,FALSE),
VLOOKUP(Midterm!K7,new_transmute,4,FALSE)
),
""
)
)
)
)
)
)
)
)
))</f>
        <v/>
      </c>
      <c r="L7" s="14" t="str">
        <f>IF($B7="","",
IF(L$5="","",
IF(Midterm!L7="",0,
IF(NOT(ISNUMBER(Midterm!L7)),"NAN",
IF(Midterm!L7&lt;0,"NEG",
IF(Midterm!L7&gt;L$5,"OVER",
IF(AND(L$5&lt;=100,Midterm!L7&gt;100),"ERR",
IF(Info!$B$4="Non-board program",
IF(OR(AND(L$5&gt;0,L$5&gt;100),AND(L$5&gt;0,L$5&lt;100)),
VLOOKUP(FLOOR((Midterm!L7/L$5)*100,1),new_transmute,2,FALSE),
VLOOKUP(Midterm!L7,new_transmute,2,FALSE)
),
IF(Info!$B$4="Board program",
IF(OR(AND(L$5&gt;0,L$5&gt;100),AND(L$5&gt;0,L$5&lt;100)),
VLOOKUP(FLOOR((Midterm!L7/L$5)*100,1),new_transmute,3,FALSE),
VLOOKUP(Midterm!L7,new_transmute,3,FALSE)
),
IF(Info!$B$4="Board program (Medicine)",
IF(OR(AND(L$5&gt;0,L$5&gt;100),AND(L$5&gt;0,L$5&lt;100)),
VLOOKUP(FLOOR((Midterm!L7/L$5)*100,1),new_transmute,4,FALSE),
VLOOKUP(Midterm!L7,new_transmute,4,FALSE)
),
""
)
)
)
)
)
)
)
)
))</f>
        <v/>
      </c>
      <c r="M7" s="111" t="str">
        <f t="shared" ref="M7:M70" si="2">IF(B7="", "", IF(COUNTIF(H7:L7, "OVER") &gt; 0, "OVER", IFERROR(AVERAGEIF(H7:L7, "&lt;&gt;OVER"), 0)))</f>
        <v/>
      </c>
      <c r="N7" s="14" t="str">
        <f>IF($B7="","",
IF(N$5="","",
IF(Midterm!N7="",0,
IF(NOT(ISNUMBER(Midterm!N7)),"NAN",
IF(Midterm!N7&lt;0,"NEG",
IF(Midterm!N7&gt;N$5,"OVER",
IF(AND(N$5&lt;=100,Midterm!N7&gt;100),"ERR",
IF(Info!$B$4="Non-board program",
IF(OR(AND(N$5&gt;0,N$5&gt;100),AND(N$5&gt;0,N$5&lt;100)),
VLOOKUP(FLOOR((Midterm!N7/N$5)*100,1),new_transmute,2,FALSE),
VLOOKUP(Midterm!N7,new_transmute,2,FALSE)
),
IF(Info!$B$4="Board program",
IF(OR(AND(N$5&gt;0,N$5&gt;100),AND(N$5&gt;0,N$5&lt;100)),
VLOOKUP(FLOOR((Midterm!N7/N$5)*100,1),new_transmute,3,FALSE),
VLOOKUP(Midterm!N7,new_transmute,3,FALSE)
),
IF(Info!$B$4="Board program (Medicine)",
IF(OR(AND(N$5&gt;0,N$5&gt;100),AND(N$5&gt;0,N$5&lt;100)),
VLOOKUP(FLOOR((Midterm!N7/N$5)*100,1),new_transmute,4,FALSE),
VLOOKUP(Midterm!N7,new_transmute,4,FALSE)
),
""
)
)
)
)
)
)
)
)
))</f>
        <v/>
      </c>
      <c r="O7" s="14" t="str">
        <f>IF($B7="","",
IF(O$5="","",
IF(Midterm!O7="",0,
IF(NOT(ISNUMBER(Midterm!O7)),"NAN",
IF(Midterm!O7&lt;0,"NEG",
IF(Midterm!O7&gt;O$5,"OVER",
IF(AND(O$5&lt;=100,Midterm!O7&gt;100),"ERR",
IF(Info!$B$4="Non-board program",
IF(OR(AND(O$5&gt;0,O$5&gt;100),AND(O$5&gt;0,O$5&lt;100)),
VLOOKUP(FLOOR((Midterm!O7/O$5)*100,1),new_transmute,2,FALSE),
VLOOKUP(Midterm!O7,new_transmute,2,FALSE)
),
IF(Info!$B$4="Board program",
IF(OR(AND(O$5&gt;0,O$5&gt;100),AND(O$5&gt;0,O$5&lt;100)),
VLOOKUP(FLOOR((Midterm!O7/O$5)*100,1),new_transmute,3,FALSE),
VLOOKUP(Midterm!O7,new_transmute,3,FALSE)
),
IF(Info!$B$4="Board program (Medicine)",
IF(OR(AND(O$5&gt;0,O$5&gt;100),AND(O$5&gt;0,O$5&lt;100)),
VLOOKUP(FLOOR((Midterm!O7/O$5)*100,1),new_transmute,4,FALSE),
VLOOKUP(Midterm!O7,new_transmute,4,FALSE)
),
""
)
)
)
)
)
)
)
)
))</f>
        <v/>
      </c>
      <c r="P7" s="14" t="str">
        <f>IF($B7="","",
IF(P$5="","",
IF(Midterm!P7="",0,
IF(NOT(ISNUMBER(Midterm!P7)),"NAN",
IF(Midterm!P7&lt;0,"NEG",
IF(Midterm!P7&gt;P$5,"OVER",
IF(AND(P$5&lt;=100,Midterm!P7&gt;100),"ERR",
IF(Info!$B$4="Non-board program",
IF(OR(AND(P$5&gt;0,P$5&gt;100),AND(P$5&gt;0,P$5&lt;100)),
VLOOKUP(FLOOR((Midterm!P7/P$5)*100,1),new_transmute,2,FALSE),
VLOOKUP(Midterm!P7,new_transmute,2,FALSE)
),
IF(Info!$B$4="Board program",
IF(OR(AND(P$5&gt;0,P$5&gt;100),AND(P$5&gt;0,P$5&lt;100)),
VLOOKUP(FLOOR((Midterm!P7/P$5)*100,1),new_transmute,3,FALSE),
VLOOKUP(Midterm!P7,new_transmute,3,FALSE)
),
IF(Info!$B$4="Board program (Medicine)",
IF(OR(AND(P$5&gt;0,P$5&gt;100),AND(P$5&gt;0,P$5&lt;100)),
VLOOKUP(FLOOR((Midterm!P7/P$5)*100,1),new_transmute,4,FALSE),
VLOOKUP(Midterm!P7,new_transmute,4,FALSE)
),
""
)
)
)
)
)
)
)
)
))</f>
        <v/>
      </c>
      <c r="Q7" s="14" t="str">
        <f>IF($B7="","",
IF(Q$5="","",
IF(Midterm!Q7="",0,
IF(NOT(ISNUMBER(Midterm!Q7)),"NAN",
IF(Midterm!Q7&lt;0,"NEG",
IF(Midterm!Q7&gt;Q$5,"OVER",
IF(AND(Q$5&lt;=100,Midterm!Q7&gt;100),"ERR",
IF(Info!$B$4="Non-board program",
IF(OR(AND(Q$5&gt;0,Q$5&gt;100),AND(Q$5&gt;0,Q$5&lt;100)),
VLOOKUP(FLOOR((Midterm!Q7/Q$5)*100,1),new_transmute,2,FALSE),
VLOOKUP(Midterm!Q7,new_transmute,2,FALSE)
),
IF(Info!$B$4="Board program",
IF(OR(AND(Q$5&gt;0,Q$5&gt;100),AND(Q$5&gt;0,Q$5&lt;100)),
VLOOKUP(FLOOR((Midterm!Q7/Q$5)*100,1),new_transmute,3,FALSE),
VLOOKUP(Midterm!Q7,new_transmute,3,FALSE)
),
IF(Info!$B$4="Board program (Medicine)",
IF(OR(AND(Q$5&gt;0,Q$5&gt;100),AND(Q$5&gt;0,Q$5&lt;100)),
VLOOKUP(FLOOR((Midterm!Q7/Q$5)*100,1),new_transmute,4,FALSE),
VLOOKUP(Midterm!Q7,new_transmute,4,FALSE)
),
""
)
)
)
)
)
)
)
)
))</f>
        <v/>
      </c>
      <c r="R7" s="14" t="str">
        <f>IF($B7="","",
IF(R$5="","",
IF(Midterm!R7="",0,
IF(NOT(ISNUMBER(Midterm!R7)),"NAN",
IF(Midterm!R7&lt;0,"NEG",
IF(Midterm!R7&gt;R$5,"OVER",
IF(AND(R$5&lt;=100,Midterm!R7&gt;100),"ERR",
IF(Info!$B$4="Non-board program",
IF(OR(AND(R$5&gt;0,R$5&gt;100),AND(R$5&gt;0,R$5&lt;100)),
VLOOKUP(FLOOR((Midterm!R7/R$5)*100,1),new_transmute,2,FALSE),
VLOOKUP(Midterm!R7,new_transmute,2,FALSE)
),
IF(Info!$B$4="Board program",
IF(OR(AND(R$5&gt;0,R$5&gt;100),AND(R$5&gt;0,R$5&lt;100)),
VLOOKUP(FLOOR((Midterm!R7/R$5)*100,1),new_transmute,3,FALSE),
VLOOKUP(Midterm!R7,new_transmute,3,FALSE)
),
IF(Info!$B$4="Board program (Medicine)",
IF(OR(AND(R$5&gt;0,R$5&gt;100),AND(R$5&gt;0,R$5&lt;100)),
VLOOKUP(FLOOR((Midterm!R7/R$5)*100,1),new_transmute,4,FALSE),
VLOOKUP(Midterm!R7,new_transmute,4,FALSE)
),
""
)
)
)
)
)
)
)
)
))</f>
        <v/>
      </c>
      <c r="S7" s="115" t="str">
        <f t="shared" ref="S7:S70" si="3">IF(B7="", "", IF(COUNTIF(N7:R7, "OVER") &gt; 0, "OVER", IFERROR(AVERAGEIF(N7:R7, "&lt;&gt;OVER"), 0)))</f>
        <v/>
      </c>
      <c r="T7" s="14" t="str">
        <f>IF($B7="","",
IF(T$5="","",
IF(Midterm!T7="",0,
IF(NOT(ISNUMBER(Midterm!T7)),"NAN",
IF(Midterm!T7&lt;0,"NEG",
IF(Midterm!T7&gt;T$5,"OVER",
IF(AND(T$5&lt;=100,Midterm!T7&gt;100),"ERR",
IF(Info!$B$4="Non-board program",
IF(OR(AND(T$5&gt;0,T$5&gt;100),AND(T$5&gt;0,T$5&lt;100)),
VLOOKUP(FLOOR((Midterm!T7/T$5)*100,1),new_transmute,2,FALSE),
VLOOKUP(Midterm!T7,new_transmute,2,FALSE)
),
IF(Info!$B$4="Board program",
IF(OR(AND(T$5&gt;0,T$5&gt;100),AND(T$5&gt;0,T$5&lt;100)),
VLOOKUP(FLOOR((Midterm!T7/T$5)*100,1),new_transmute,3,FALSE),
VLOOKUP(Midterm!T7,new_transmute,3,FALSE)
),
IF(Info!$B$4="Board program (Medicine)",
IF(OR(AND(T$5&gt;0,T$5&gt;100),AND(T$5&gt;0,T$5&lt;100)),
VLOOKUP(FLOOR((Midterm!T7/T$5)*100,1),new_transmute,4,FALSE),
VLOOKUP(Midterm!T7,new_transmute,4,FALSE)
),
""
)
)
)
)
)
)
)
)
))</f>
        <v/>
      </c>
      <c r="U7" s="14" t="str">
        <f>IF($B7="","",
IF(U$5="","",
IF(Midterm!U7="",0,
IF(NOT(ISNUMBER(Midterm!U7)),"NAN",
IF(Midterm!U7&lt;0,"NEG",
IF(Midterm!U7&gt;U$5,"OVER",
IF(AND(U$5&lt;=100,Midterm!U7&gt;100),"ERR",
IF(Info!$B$4="Non-board program",
IF(OR(AND(U$5&gt;0,U$5&gt;100),AND(U$5&gt;0,U$5&lt;100)),
VLOOKUP(FLOOR((Midterm!U7/U$5)*100,1),new_transmute,2,FALSE),
VLOOKUP(Midterm!U7,new_transmute,2,FALSE)
),
IF(Info!$B$4="Board program",
IF(OR(AND(U$5&gt;0,U$5&gt;100),AND(U$5&gt;0,U$5&lt;100)),
VLOOKUP(FLOOR((Midterm!U7/U$5)*100,1),new_transmute,3,FALSE),
VLOOKUP(Midterm!U7,new_transmute,3,FALSE)
),
IF(Info!$B$4="Board program (Medicine)",
IF(OR(AND(U$5&gt;0,U$5&gt;100),AND(U$5&gt;0,U$5&lt;100)),
VLOOKUP(FLOOR((Midterm!U7/U$5)*100,1),new_transmute,4,FALSE),
VLOOKUP(Midterm!U7,new_transmute,4,FALSE)
),
""
)
)
)
)
)
)
)
)
))</f>
        <v/>
      </c>
      <c r="V7" s="14" t="str">
        <f>IF($B7="","",
IF(V$5="","",
IF(Midterm!V7="",0,
IF(NOT(ISNUMBER(Midterm!V7)),"NAN",
IF(Midterm!V7&lt;0,"NEG",
IF(Midterm!V7&gt;V$5,"OVER",
IF(AND(V$5&lt;=100,Midterm!V7&gt;100),"ERR",
IF(Info!$B$4="Non-board program",
IF(OR(AND(V$5&gt;0,V$5&gt;100),AND(V$5&gt;0,V$5&lt;100)),
VLOOKUP(FLOOR((Midterm!V7/V$5)*100,1),new_transmute,2,FALSE),
VLOOKUP(Midterm!V7,new_transmute,2,FALSE)
),
IF(Info!$B$4="Board program",
IF(OR(AND(V$5&gt;0,V$5&gt;100),AND(V$5&gt;0,V$5&lt;100)),
VLOOKUP(FLOOR((Midterm!V7/V$5)*100,1),new_transmute,3,FALSE),
VLOOKUP(Midterm!V7,new_transmute,3,FALSE)
),
IF(Info!$B$4="Board program (Medicine)",
IF(OR(AND(V$5&gt;0,V$5&gt;100),AND(V$5&gt;0,V$5&lt;100)),
VLOOKUP(FLOOR((Midterm!V7/V$5)*100,1),new_transmute,4,FALSE),
VLOOKUP(Midterm!V7,new_transmute,4,FALSE)
),
""
)
)
)
)
)
)
)
)
))</f>
        <v/>
      </c>
      <c r="W7" s="14" t="str">
        <f>IF($B7="","",
IF(W$5="","",
IF(Midterm!W7="",0,
IF(NOT(ISNUMBER(Midterm!W7)),"NAN",
IF(Midterm!W7&lt;0,"NEG",
IF(Midterm!W7&gt;W$5,"OVER",
IF(AND(W$5&lt;=100,Midterm!W7&gt;100),"ERR",
IF(Info!$B$4="Non-board program",
IF(OR(AND(W$5&gt;0,W$5&gt;100),AND(W$5&gt;0,W$5&lt;100)),
VLOOKUP(FLOOR((Midterm!W7/W$5)*100,1),new_transmute,2,FALSE),
VLOOKUP(Midterm!W7,new_transmute,2,FALSE)
),
IF(Info!$B$4="Board program",
IF(OR(AND(W$5&gt;0,W$5&gt;100),AND(W$5&gt;0,W$5&lt;100)),
VLOOKUP(FLOOR((Midterm!W7/W$5)*100,1),new_transmute,3,FALSE),
VLOOKUP(Midterm!W7,new_transmute,3,FALSE)
),
IF(Info!$B$4="Board program (Medicine)",
IF(OR(AND(W$5&gt;0,W$5&gt;100),AND(W$5&gt;0,W$5&lt;100)),
VLOOKUP(FLOOR((Midterm!W7/W$5)*100,1),new_transmute,4,FALSE),
VLOOKUP(Midterm!W7,new_transmute,4,FALSE)
),
""
)
)
)
)
)
)
)
)
))</f>
        <v/>
      </c>
      <c r="X7" s="14" t="str">
        <f>IF($B7="","",
IF(X$5="","",
IF(Midterm!X7="",0,
IF(NOT(ISNUMBER(Midterm!X7)),"NAN",
IF(Midterm!X7&lt;0,"NEG",
IF(Midterm!X7&gt;X$5,"OVER",
IF(AND(X$5&lt;=100,Midterm!X7&gt;100),"ERR",
IF(Info!$B$4="Non-board program",
IF(OR(AND(X$5&gt;0,X$5&gt;100),AND(X$5&gt;0,X$5&lt;100)),
VLOOKUP(FLOOR((Midterm!X7/X$5)*100,1),new_transmute,2,FALSE),
VLOOKUP(Midterm!X7,new_transmute,2,FALSE)
),
IF(Info!$B$4="Board program",
IF(OR(AND(X$5&gt;0,X$5&gt;100),AND(X$5&gt;0,X$5&lt;100)),
VLOOKUP(FLOOR((Midterm!X7/X$5)*100,1),new_transmute,3,FALSE),
VLOOKUP(Midterm!X7,new_transmute,3,FALSE)
),
IF(Info!$B$4="Board program (Medicine)",
IF(OR(AND(X$5&gt;0,X$5&gt;100),AND(X$5&gt;0,X$5&lt;100)),
VLOOKUP(FLOOR((Midterm!X7/X$5)*100,1),new_transmute,4,FALSE),
VLOOKUP(Midterm!X7,new_transmute,4,FALSE)
),
""
)
)
)
)
)
)
)
)
))</f>
        <v/>
      </c>
      <c r="Y7" s="112" t="str">
        <f t="shared" ref="Y7:Y70" si="4">IF(B7="", "", IF(COUNTIF(T7:X7, "OVER") &gt; 0, "OVER", IFERROR(AVERAGEIF(T7:X7, "&lt;&gt;OVER"), 0)))</f>
        <v/>
      </c>
      <c r="Z7" s="14" t="str">
        <f>IF($B7="","",
IF(Z$5="","",
IF(Midterm!Z7="",0,
IF(NOT(ISNUMBER(Midterm!Z7)),"NAN",
IF(Midterm!Z7&lt;0,"NEG",
IF(Midterm!Z7&gt;Z$5,"OVER",
IF(AND(Z$5&lt;=100,Midterm!Z7&gt;100),"ERR",
IF(Info!$B$4="Non-board program",
IF(OR(AND(Z$5&gt;0,Z$5&gt;100),AND(Z$5&gt;0,Z$5&lt;100)),
VLOOKUP(FLOOR((Midterm!Z7/Z$5)*100,1),new_transmute,2,FALSE),
VLOOKUP(Midterm!Z7,new_transmute,2,FALSE)
),
IF(Info!$B$4="Board program",
IF(OR(AND(Z$5&gt;0,Z$5&gt;100),AND(Z$5&gt;0,Z$5&lt;100)),
VLOOKUP(FLOOR((Midterm!Z7/Z$5)*100,1),new_transmute,3,FALSE),
VLOOKUP(Midterm!Z7,new_transmute,3,FALSE)
),
IF(Info!$B$4="Board program (Medicine)",
IF(OR(AND(Z$5&gt;0,Z$5&gt;100),AND(Z$5&gt;0,Z$5&lt;100)),
VLOOKUP(FLOOR((Midterm!Z7/Z$5)*100,1),new_transmute,4,FALSE),
VLOOKUP(Midterm!Z7,new_transmute,4,FALSE)
),
""
)
)
)
)
)
)
)
)
))</f>
        <v/>
      </c>
      <c r="AA7" s="14" t="str">
        <f>IF($B7="","",
IF(AA$5="","",
IF(Midterm!AA7="",0,
IF(NOT(ISNUMBER(Midterm!AA7)),"NAN",
IF(Midterm!AA7&lt;0,"NEG",
IF(Midterm!AA7&gt;AA$5,"OVER",
IF(AND(AA$5&lt;=100,Midterm!AA7&gt;100),"ERR",
IF(Info!$B$4="Non-board program",
IF(OR(AND(AA$5&gt;0,AA$5&gt;100),AND(AA$5&gt;0,AA$5&lt;100)),
VLOOKUP(FLOOR((Midterm!AA7/AA$5)*100,1),new_transmute,2,FALSE),
VLOOKUP(Midterm!AA7,new_transmute,2,FALSE)
),
IF(Info!$B$4="Board program",
IF(OR(AND(AA$5&gt;0,AA$5&gt;100),AND(AA$5&gt;0,AA$5&lt;100)),
VLOOKUP(FLOOR((Midterm!AA7/AA$5)*100,1),new_transmute,3,FALSE),
VLOOKUP(Midterm!AA7,new_transmute,3,FALSE)
),
IF(Info!$B$4="Board program (Medicine)",
IF(OR(AND(AA$5&gt;0,AA$5&gt;100),AND(AA$5&gt;0,AA$5&lt;100)),
VLOOKUP(FLOOR((Midterm!AA7/AA$5)*100,1),new_transmute,4,FALSE),
VLOOKUP(Midterm!AA7,new_transmute,4,FALSE)
),
""
)
)
)
)
)
)
)
)
))</f>
        <v/>
      </c>
      <c r="AB7" s="14" t="str">
        <f>IF($B7="","",
IF(AB$5="","",
IF(Midterm!AB7="",0,
IF(NOT(ISNUMBER(Midterm!AB7)),"NAN",
IF(Midterm!AB7&lt;0,"NEG",
IF(Midterm!AB7&gt;AB$5,"OVER",
IF(AND(AB$5&lt;=100,Midterm!AB7&gt;100),"ERR",
IF(Info!$B$4="Non-board program",
IF(OR(AND(AB$5&gt;0,AB$5&gt;100),AND(AB$5&gt;0,AB$5&lt;100)),
VLOOKUP(FLOOR((Midterm!AB7/AB$5)*100,1),new_transmute,2,FALSE),
VLOOKUP(Midterm!AB7,new_transmute,2,FALSE)
),
IF(Info!$B$4="Board program",
IF(OR(AND(AB$5&gt;0,AB$5&gt;100),AND(AB$5&gt;0,AB$5&lt;100)),
VLOOKUP(FLOOR((Midterm!AB7/AB$5)*100,1),new_transmute,3,FALSE),
VLOOKUP(Midterm!AB7,new_transmute,3,FALSE)
),
IF(Info!$B$4="Board program (Medicine)",
IF(OR(AND(AB$5&gt;0,AB$5&gt;100),AND(AB$5&gt;0,AB$5&lt;100)),
VLOOKUP(FLOOR((Midterm!AB7/AB$5)*100,1),new_transmute,4,FALSE),
VLOOKUP(Midterm!AB7,new_transmute,4,FALSE)
),
""
)
)
)
)
)
)
)
)
))</f>
        <v/>
      </c>
      <c r="AC7" s="14" t="str">
        <f>IF($B7="","",
IF(AC$5="","",
IF(Midterm!AC7="",0,
IF(NOT(ISNUMBER(Midterm!AC7)),"NAN",
IF(Midterm!AC7&lt;0,"NEG",
IF(Midterm!AC7&gt;AC$5,"OVER",
IF(AND(AC$5&lt;=100,Midterm!AC7&gt;100),"ERR",
IF(Info!$B$4="Non-board program",
IF(OR(AND(AC$5&gt;0,AC$5&gt;100),AND(AC$5&gt;0,AC$5&lt;100)),
VLOOKUP(FLOOR((Midterm!AC7/AC$5)*100,1),new_transmute,2,FALSE),
VLOOKUP(Midterm!AC7,new_transmute,2,FALSE)
),
IF(Info!$B$4="Board program",
IF(OR(AND(AC$5&gt;0,AC$5&gt;100),AND(AC$5&gt;0,AC$5&lt;100)),
VLOOKUP(FLOOR((Midterm!AC7/AC$5)*100,1),new_transmute,3,FALSE),
VLOOKUP(Midterm!AC7,new_transmute,3,FALSE)
),
IF(Info!$B$4="Board program (Medicine)",
IF(OR(AND(AC$5&gt;0,AC$5&gt;100),AND(AC$5&gt;0,AC$5&lt;100)),
VLOOKUP(FLOOR((Midterm!AC7/AC$5)*100,1),new_transmute,4,FALSE),
VLOOKUP(Midterm!AC7,new_transmute,4,FALSE)
),
""
)
)
)
)
)
)
)
)
))</f>
        <v/>
      </c>
      <c r="AD7" s="14" t="str">
        <f>IF($B7="","",
IF(AD$5="","",
IF(Midterm!AD7="",0,
IF(NOT(ISNUMBER(Midterm!AD7)),"NAN",
IF(Midterm!AD7&lt;0,"NEG",
IF(Midterm!AD7&gt;AD$5,"OVER",
IF(AND(AD$5&lt;=100,Midterm!AD7&gt;100),"ERR",
IF(Info!$B$4="Non-board program",
IF(OR(AND(AD$5&gt;0,AD$5&gt;100),AND(AD$5&gt;0,AD$5&lt;100)),
VLOOKUP(FLOOR((Midterm!AD7/AD$5)*100,1),new_transmute,2,FALSE),
VLOOKUP(Midterm!AD7,new_transmute,2,FALSE)
),
IF(Info!$B$4="Board program",
IF(OR(AND(AD$5&gt;0,AD$5&gt;100),AND(AD$5&gt;0,AD$5&lt;100)),
VLOOKUP(FLOOR((Midterm!AD7/AD$5)*100,1),new_transmute,3,FALSE),
VLOOKUP(Midterm!AD7,new_transmute,3,FALSE)
),
IF(Info!$B$4="Board program (Medicine)",
IF(OR(AND(AD$5&gt;0,AD$5&gt;100),AND(AD$5&gt;0,AD$5&lt;100)),
VLOOKUP(FLOOR((Midterm!AD7/AD$5)*100,1),new_transmute,4,FALSE),
VLOOKUP(Midterm!AD7,new_transmute,4,FALSE)
),
""
)
)
)
)
)
)
)
)
))</f>
        <v/>
      </c>
      <c r="AE7" s="58" t="str">
        <f t="shared" ref="AE7:AE70" si="5">IF(B7="", "", IF(COUNTIF(Z7:AD7, "OVER") &gt; 0, "OVER", IFERROR(AVERAGEIF(Z7:AD7, "&lt;&gt;OVER"), 0)))</f>
        <v/>
      </c>
      <c r="AF7" s="14" t="str">
        <f>IF($B7="","",
IF(AF$5="","",
IF(Midterm!AF7="",0,
IF(NOT(ISNUMBER(Midterm!AF7)),"NAN",
IF(Midterm!AF7&lt;0,"NEG",
IF(Midterm!AF7&gt;AF$5,"OVER",
IF(AND(AF$5&lt;=100,Midterm!AF7&gt;100),"ERR",
IF(Info!$B$4="Non-board program",
IF(OR(AND(AF$5&gt;0,AF$5&gt;100),AND(AF$5&gt;0,AF$5&lt;100)),
VLOOKUP(FLOOR((Midterm!AF7/AF$5)*100,1),new_transmute,2,FALSE),
VLOOKUP(Midterm!AF7,new_transmute,2,FALSE)
),
IF(Info!$B$4="Board program",
IF(OR(AND(AF$5&gt;0,AF$5&gt;100),AND(AF$5&gt;0,AF$5&lt;100)),
VLOOKUP(FLOOR((Midterm!AF7/AF$5)*100,1),new_transmute,3,FALSE),
VLOOKUP(Midterm!AF7,new_transmute,3,FALSE)
),
IF(Info!$B$4="Board program (Medicine)",
IF(OR(AND(AF$5&gt;0,AF$5&gt;100),AND(AF$5&gt;0,AF$5&lt;100)),
VLOOKUP(FLOOR((Midterm!AF7/AF$5)*100,1),new_transmute,4,FALSE),
VLOOKUP(Midterm!AF7,new_transmute,4,FALSE)
),
""
)
)
)
)
)
)
)
)
))</f>
        <v/>
      </c>
      <c r="AG7" s="14" t="str">
        <f>IF($B7="","",
IF(AG$5="","",
IF(Midterm!AG7="",0,
IF(NOT(ISNUMBER(Midterm!AG7)),"NAN",
IF(Midterm!AG7&lt;0,"NEG",
IF(Midterm!AG7&gt;AG$5,"OVER",
IF(AND(AG$5&lt;=100,Midterm!AG7&gt;100),"ERR",
IF(Info!$B$4="Non-board program",
IF(OR(AND(AG$5&gt;0,AG$5&gt;100),AND(AG$5&gt;0,AG$5&lt;100)),
VLOOKUP(FLOOR((Midterm!AG7/AG$5)*100,1),new_transmute,2,FALSE),
VLOOKUP(Midterm!AG7,new_transmute,2,FALSE)
),
IF(Info!$B$4="Board program",
IF(OR(AND(AG$5&gt;0,AG$5&gt;100),AND(AG$5&gt;0,AG$5&lt;100)),
VLOOKUP(FLOOR((Midterm!AG7/AG$5)*100,1),new_transmute,3,FALSE),
VLOOKUP(Midterm!AG7,new_transmute,3,FALSE)
),
IF(Info!$B$4="Board program (Medicine)",
IF(OR(AND(AG$5&gt;0,AG$5&gt;100),AND(AG$5&gt;0,AG$5&lt;100)),
VLOOKUP(FLOOR((Midterm!AG7/AG$5)*100,1),new_transmute,4,FALSE),
VLOOKUP(Midterm!AG7,new_transmute,4,FALSE)
),
""
)
)
)
)
)
)
)
)
))</f>
        <v/>
      </c>
      <c r="AH7" s="14" t="str">
        <f>IF($B7="","",
IF(AH$5="","",
IF(Midterm!AH7="",0,
IF(NOT(ISNUMBER(Midterm!AH7)),"NAN",
IF(Midterm!AH7&lt;0,"NEG",
IF(Midterm!AH7&gt;AH$5,"OVER",
IF(AND(AH$5&lt;=100,Midterm!AH7&gt;100),"ERR",
IF(Info!$B$4="Non-board program",
IF(OR(AND(AH$5&gt;0,AH$5&gt;100),AND(AH$5&gt;0,AH$5&lt;100)),
VLOOKUP(FLOOR((Midterm!AH7/AH$5)*100,1),new_transmute,2,FALSE),
VLOOKUP(Midterm!AH7,new_transmute,2,FALSE)
),
IF(Info!$B$4="Board program",
IF(OR(AND(AH$5&gt;0,AH$5&gt;100),AND(AH$5&gt;0,AH$5&lt;100)),
VLOOKUP(FLOOR((Midterm!AH7/AH$5)*100,1),new_transmute,3,FALSE),
VLOOKUP(Midterm!AH7,new_transmute,3,FALSE)
),
IF(Info!$B$4="Board program (Medicine)",
IF(OR(AND(AH$5&gt;0,AH$5&gt;100),AND(AH$5&gt;0,AH$5&lt;100)),
VLOOKUP(FLOOR((Midterm!AH7/AH$5)*100,1),new_transmute,4,FALSE),
VLOOKUP(Midterm!AH7,new_transmute,4,FALSE)
),
""
)
)
)
)
)
)
)
)
))</f>
        <v/>
      </c>
      <c r="AI7" s="14" t="str">
        <f>IF($B7="","",
IF(AI$5="","",
IF(Midterm!AI7="",0,
IF(NOT(ISNUMBER(Midterm!AI7)),"NAN",
IF(Midterm!AI7&lt;0,"NEG",
IF(Midterm!AI7&gt;AI$5,"OVER",
IF(AND(AI$5&lt;=100,Midterm!AI7&gt;100),"ERR",
IF(Info!$B$4="Non-board program",
IF(OR(AND(AI$5&gt;0,AI$5&gt;100),AND(AI$5&gt;0,AI$5&lt;100)),
VLOOKUP(FLOOR((Midterm!AI7/AI$5)*100,1),new_transmute,2,FALSE),
VLOOKUP(Midterm!AI7,new_transmute,2,FALSE)
),
IF(Info!$B$4="Board program",
IF(OR(AND(AI$5&gt;0,AI$5&gt;100),AND(AI$5&gt;0,AI$5&lt;100)),
VLOOKUP(FLOOR((Midterm!AI7/AI$5)*100,1),new_transmute,3,FALSE),
VLOOKUP(Midterm!AI7,new_transmute,3,FALSE)
),
IF(Info!$B$4="Board program (Medicine)",
IF(OR(AND(AI$5&gt;0,AI$5&gt;100),AND(AI$5&gt;0,AI$5&lt;100)),
VLOOKUP(FLOOR((Midterm!AI7/AI$5)*100,1),new_transmute,4,FALSE),
VLOOKUP(Midterm!AI7,new_transmute,4,FALSE)
),
""
)
)
)
)
)
)
)
)
))</f>
        <v/>
      </c>
      <c r="AJ7" s="14" t="str">
        <f>IF($B7="","",
IF(AJ$5="","",
IF(Midterm!AJ7="",0,
IF(NOT(ISNUMBER(Midterm!AJ7)),"NAN",
IF(Midterm!AJ7&lt;0,"NEG",
IF(Midterm!AJ7&gt;AJ$5,"OVER",
IF(AND(AJ$5&lt;=100,Midterm!AJ7&gt;100),"ERR",
IF(Info!$B$4="Non-board program",
IF(OR(AND(AJ$5&gt;0,AJ$5&gt;100),AND(AJ$5&gt;0,AJ$5&lt;100)),
VLOOKUP(FLOOR((Midterm!AJ7/AJ$5)*100,1),new_transmute,2,FALSE),
VLOOKUP(Midterm!AJ7,new_transmute,2,FALSE)
),
IF(Info!$B$4="Board program",
IF(OR(AND(AJ$5&gt;0,AJ$5&gt;100),AND(AJ$5&gt;0,AJ$5&lt;100)),
VLOOKUP(FLOOR((Midterm!AJ7/AJ$5)*100,1),new_transmute,3,FALSE),
VLOOKUP(Midterm!AJ7,new_transmute,3,FALSE)
),
IF(Info!$B$4="Board program (Medicine)",
IF(OR(AND(AJ$5&gt;0,AJ$5&gt;100),AND(AJ$5&gt;0,AJ$5&lt;100)),
VLOOKUP(FLOOR((Midterm!AJ7/AJ$5)*100,1),new_transmute,4,FALSE),
VLOOKUP(Midterm!AJ7,new_transmute,4,FALSE)
),
""
)
)
)
)
)
)
)
)
))</f>
        <v/>
      </c>
      <c r="AK7" s="59" t="str">
        <f t="shared" ref="AK7:AK70" si="6">IF(B7="", "", IF(COUNTIF(AF7:AJ7, "OVER") &gt; 0, "OVER", IFERROR(AVERAGEIF(AF7:AJ7, "&lt;&gt;OVER"), 0)))</f>
        <v/>
      </c>
      <c r="AL7" s="60" t="str">
        <f>IF(B7="", "",
    IF(OR(M7="OVER", S7="OVER", Y7="OVER", AE7="OVER", AK7="OVER"),
        "OVER",
        IF(Info!$B$4="Non-board program",
            VLOOKUP(IFERROR(FLOOR(SUM((M7*$M$4), (S7*$S$4), (Y7*$Y$4), (AE7*$AE$4), (AK7*$AK$4)) * (100 / 60), 1), 0), new_transmute, 2, FALSE),
            IF(Info!$B$4="Board program",
                VLOOKUP(IFERROR(FLOOR(SUM((M7*$M$4), (S7*$S$4), (Y7*$Y$4), (AE7*$AE$4), (AK7*$AK$4)) * (100 / 60), 1), 0), new_transmute, 3, FALSE),
                IF(Info!$B$4="Board program (Medicine)",
                    VLOOKUP(IFERROR(FLOOR(SUM((M7*$M$4), (S7*$S$4), (Y7*$Y$4), (AE7*$AE$4), (AK7*$AK$4)) * (100 / 60), 1), 0), new_transmute, 4, FALSE),
                    ""
                )
            )
        )
    )
)</f>
        <v/>
      </c>
      <c r="AM7" s="14" t="str">
        <f>IF($B7="","",
IF(AM$5="","",
IF(Midterm!AM7="",0,
IF(NOT(ISNUMBER(Midterm!AM7)),"NAN",
IF(Midterm!AM7&lt;0,"NEG",
IF(Midterm!AM7&gt;AM$5,"OVER",
IF(AND(AM$5&lt;=100,Midterm!AM7&gt;100),"ERR",
IF(Info!$B$4="Non-board program",
IF(OR(AND(AM$5&gt;0,AM$5&gt;100),AND(AM$5&gt;0,AM$5&lt;100)),
VLOOKUP(FLOOR((Midterm!AM7/AM$5)*100,1),new_transmute,2,FALSE),
VLOOKUP(Midterm!AM7,new_transmute,2,FALSE)
),
IF(Info!$B$4="Board program",
IF(OR(AND(AM$5&gt;0,AM$5&gt;100),AND(AM$5&gt;0,AM$5&lt;100)),
VLOOKUP(FLOOR((Midterm!AM7/AM$5)*100,1),new_transmute,3,FALSE),
VLOOKUP(Midterm!AM7,new_transmute,3,FALSE)
),
IF(Info!$B$4="Board program (Medicine)",
IF(OR(AND(AM$5&gt;0,AM$5&gt;100),AND(AM$5&gt;0,AM$5&lt;100)),
VLOOKUP(FLOOR((Midterm!AM7/AM$5)*100,1),new_transmute,4,FALSE),
VLOOKUP(Midterm!AM7,new_transmute,4,FALSE)
),
""
)
)
)
)
)
)
)
)
))</f>
        <v/>
      </c>
      <c r="AN7" s="14" t="str">
        <f>IF($B7="","",
IF(AN$5="","",
IF(Midterm!AN7="",0,
IF(NOT(ISNUMBER(Midterm!AN7)),"NAN",
IF(Midterm!AN7&lt;0,"NEG",
IF(Midterm!AN7&gt;AN$5,"OVER",
IF(AND(AN$5&lt;=100,Midterm!AN7&gt;100),"ERR",
IF(Info!$B$4="Non-board program",
IF(OR(AND(AN$5&gt;0,AN$5&gt;100),AND(AN$5&gt;0,AN$5&lt;100)),
VLOOKUP(FLOOR((Midterm!AN7/AN$5)*100,1),new_transmute,2,FALSE),
VLOOKUP(Midterm!AN7,new_transmute,2,FALSE)
),
IF(Info!$B$4="Board program",
IF(OR(AND(AN$5&gt;0,AN$5&gt;100),AND(AN$5&gt;0,AN$5&lt;100)),
VLOOKUP(FLOOR((Midterm!AN7/AN$5)*100,1),new_transmute,3,FALSE),
VLOOKUP(Midterm!AN7,new_transmute,3,FALSE)
),
IF(Info!$B$4="Board program (Medicine)",
IF(OR(AND(AN$5&gt;0,AN$5&gt;100),AND(AN$5&gt;0,AN$5&lt;100)),
VLOOKUP(FLOOR((Midterm!AN7/AN$5)*100,1),new_transmute,4,FALSE),
VLOOKUP(Midterm!AN7,new_transmute,4,FALSE)
),
""
)
)
)
)
)
)
)
)
))</f>
        <v/>
      </c>
      <c r="AO7" s="14" t="str">
        <f>IF($B7="","",
IF(AO$5="","",
IF(Midterm!AO7="",0,
IF(NOT(ISNUMBER(Midterm!AO7)),"NAN",
IF(Midterm!AO7&lt;0,"NEG",
IF(Midterm!AO7&gt;AO$5,"OVER",
IF(AND(AO$5&lt;=100,Midterm!AO7&gt;100),"ERR",
IF(Info!$B$4="Non-board program",
IF(OR(AND(AO$5&gt;0,AO$5&gt;100),AND(AO$5&gt;0,AO$5&lt;100)),
VLOOKUP(FLOOR((Midterm!AO7/AO$5)*100,1),new_transmute,2,FALSE),
VLOOKUP(Midterm!AO7,new_transmute,2,FALSE)
),
IF(Info!$B$4="Board program",
IF(OR(AND(AO$5&gt;0,AO$5&gt;100),AND(AO$5&gt;0,AO$5&lt;100)),
VLOOKUP(FLOOR((Midterm!AO7/AO$5)*100,1),new_transmute,3,FALSE),
VLOOKUP(Midterm!AO7,new_transmute,3,FALSE)
),
IF(Info!$B$4="Board program (Medicine)",
IF(OR(AND(AO$5&gt;0,AO$5&gt;100),AND(AO$5&gt;0,AO$5&lt;100)),
VLOOKUP(FLOOR((Midterm!AO7/AO$5)*100,1),new_transmute,4,FALSE),
VLOOKUP(Midterm!AO7,new_transmute,4,FALSE)
),
""
)
)
)
)
)
)
)
)
))</f>
        <v/>
      </c>
      <c r="AP7" s="14" t="str">
        <f>IF($B7="","",
IF(AP$5="","",
IF(Midterm!AP7="",0,
IF(NOT(ISNUMBER(Midterm!AP7)),"NAN",
IF(Midterm!AP7&lt;0,"NEG",
IF(Midterm!AP7&gt;AP$5,"OVER",
IF(AND(AP$5&lt;=100,Midterm!AP7&gt;100),"ERR",
IF(Info!$B$4="Non-board program",
IF(OR(AND(AP$5&gt;0,AP$5&gt;100),AND(AP$5&gt;0,AP$5&lt;100)),
VLOOKUP(FLOOR((Midterm!AP7/AP$5)*100,1),new_transmute,2,FALSE),
VLOOKUP(Midterm!AP7,new_transmute,2,FALSE)
),
IF(Info!$B$4="Board program",
IF(OR(AND(AP$5&gt;0,AP$5&gt;100),AND(AP$5&gt;0,AP$5&lt;100)),
VLOOKUP(FLOOR((Midterm!AP7/AP$5)*100,1),new_transmute,3,FALSE),
VLOOKUP(Midterm!AP7,new_transmute,3,FALSE)
),
IF(Info!$B$4="Board program (Medicine)",
IF(OR(AND(AP$5&gt;0,AP$5&gt;100),AND(AP$5&gt;0,AP$5&lt;100)),
VLOOKUP(FLOOR((Midterm!AP7/AP$5)*100,1),new_transmute,4,FALSE),
VLOOKUP(Midterm!AP7,new_transmute,4,FALSE)
),
""
)
)
)
)
)
)
)
)
))</f>
        <v/>
      </c>
      <c r="AQ7" s="61" t="str">
        <f t="shared" ref="AQ7:AQ70" si="7">IF(B7="", "", IF(COUNTIF(AM7:AP7, "OVER") &gt; 0, "OVER", IFERROR(AVERAGEIF(AM7:AP7, "&lt;&gt;OVER"), 0)))</f>
        <v/>
      </c>
      <c r="AR7" s="48" t="str">
        <f>IF(Midterm!AR7="","",Midterm!AR7)</f>
        <v/>
      </c>
      <c r="AS7" s="165" t="str">
        <f>IF(B7="", "",
    IF(D7="Yes",
        "DRP",
        IF(D7="No",
            "WF",
            IFERROR(SUM(G7*$G$4, M7*$M$4, S7*$S$4, Y7*$Y$4, AE7*$AE$4, AK7*$AK$4, AQ7*$AQ$4, AR7), "ERR")
        )
    )
)</f>
        <v/>
      </c>
      <c r="AT7" s="14" t="str">
        <f t="shared" si="0"/>
        <v/>
      </c>
      <c r="AU7" s="14" t="str">
        <f>IF(B7="","",VLOOKUP(AT7,'New Grade Equivalent'!$B$3:$C$47,2,FALSE))</f>
        <v/>
      </c>
    </row>
    <row r="8" spans="1:47" x14ac:dyDescent="0.25">
      <c r="A8" s="8">
        <v>3</v>
      </c>
      <c r="B8" s="2" t="str">
        <f>IF('Student List'!C12="","",UPPER(LEFT('Student List'!C12,FIND(",",'Student List'!C12)-1)))</f>
        <v/>
      </c>
      <c r="C8" s="12" t="str">
        <f>IF('Student List'!C12="","",PROPER(MID('Student List'!C12, FIND(",", 'Student List'!C12) + 2, LEN('Student List'!C12) - FIND(",", 'Student List'!C12) - 1)))</f>
        <v/>
      </c>
      <c r="D8" s="127" t="str">
        <f>IF(B8="","",IF(Midterm!D8="", "NA", Midterm!D8))</f>
        <v/>
      </c>
      <c r="E8" s="8" t="str">
        <f>IF(B8="","",
  IF(Info!$B$5="First Year",
    IF(D8="Yes", "DRP",
      IF(D8="No", "WF", "")
    )
  )
)</f>
        <v/>
      </c>
      <c r="F8" s="14" t="str">
        <f>IF($B8="","",
IF(F$5="","",
IF(Midterm!F8="",0,
IF(NOT(ISNUMBER(Midterm!F8)),"NAN",
IF(Midterm!F8&lt;0,"NEG",
IF(Midterm!F8&gt;F$5,"OVER",
IF(AND(F$5&lt;=100,Midterm!F8&gt;100),"ERR",
IF(Info!$B$4="Non-board program",
IF(OR(AND(F$5&gt;0,F$5&gt;100),AND(F$5&gt;0,F$5&lt;100)),
VLOOKUP(FLOOR((Midterm!F8/F$5)*100,1),new_transmute,2,FALSE),
VLOOKUP(Midterm!F8,new_transmute,2,FALSE)
),
IF(Info!$B$4="Board program",
IF(OR(AND(F$5&gt;0,F$5&gt;100),AND(F$5&gt;0,F$5&lt;100)),
VLOOKUP(FLOOR((Midterm!F8/F$5)*100,1),new_transmute,3,FALSE),
VLOOKUP(Midterm!F8,new_transmute,3,FALSE)
),
IF(Info!$B$4="Board program (Medicine)",
IF(OR(AND(F$5&gt;0,F$5&gt;100),AND(F$5&gt;0,F$5&lt;100)),
VLOOKUP(FLOOR((Midterm!F8/F$5)*100,1),new_transmute,4,FALSE),
VLOOKUP(Midterm!F8,new_transmute,4,FALSE)
),
""
)
)
)
)
)
)
)
)
))</f>
        <v/>
      </c>
      <c r="G8" s="57" t="str">
        <f t="shared" si="1"/>
        <v/>
      </c>
      <c r="H8" s="14" t="str">
        <f>IF($B8="","",
IF(H$5="","",
IF(Midterm!H8="",0,
IF(NOT(ISNUMBER(Midterm!H8)),"NAN",
IF(Midterm!H8&lt;0,"NEG",
IF(Midterm!H8&gt;H$5,"OVER",
IF(AND(H$5&lt;=100,Midterm!H8&gt;100),"ERR",
IF(Info!$B$4="Non-board program",
IF(OR(AND(H$5&gt;0,H$5&gt;100),AND(H$5&gt;0,H$5&lt;100)),
VLOOKUP(FLOOR((Midterm!H8/H$5)*100,1),new_transmute,2,FALSE),
VLOOKUP(Midterm!H8,new_transmute,2,FALSE)
),
IF(Info!$B$4="Board program",
IF(OR(AND(H$5&gt;0,H$5&gt;100),AND(H$5&gt;0,H$5&lt;100)),
VLOOKUP(FLOOR((Midterm!H8/H$5)*100,1),new_transmute,3,FALSE),
VLOOKUP(Midterm!H8,new_transmute,3,FALSE)
),
IF(Info!$B$4="Board program (Medicine)",
IF(OR(AND(H$5&gt;0,H$5&gt;100),AND(H$5&gt;0,H$5&lt;100)),
VLOOKUP(FLOOR((Midterm!H8/H$5)*100,1),new_transmute,4,FALSE),
VLOOKUP(Midterm!H8,new_transmute,4,FALSE)
),
""
)
)
)
)
)
)
)
)
))</f>
        <v/>
      </c>
      <c r="I8" s="14" t="str">
        <f>IF($B8="","",
IF(I$5="","",
IF(Midterm!I8="",0,
IF(NOT(ISNUMBER(Midterm!I8)),"NAN",
IF(Midterm!I8&lt;0,"NEG",
IF(Midterm!I8&gt;I$5,"OVER",
IF(AND(I$5&lt;=100,Midterm!I8&gt;100),"ERR",
IF(Info!$B$4="Non-board program",
IF(OR(AND(I$5&gt;0,I$5&gt;100),AND(I$5&gt;0,I$5&lt;100)),
VLOOKUP(FLOOR((Midterm!I8/I$5)*100,1),new_transmute,2,FALSE),
VLOOKUP(Midterm!I8,new_transmute,2,FALSE)
),
IF(Info!$B$4="Board program",
IF(OR(AND(I$5&gt;0,I$5&gt;100),AND(I$5&gt;0,I$5&lt;100)),
VLOOKUP(FLOOR((Midterm!I8/I$5)*100,1),new_transmute,3,FALSE),
VLOOKUP(Midterm!I8,new_transmute,3,FALSE)
),
IF(Info!$B$4="Board program (Medicine)",
IF(OR(AND(I$5&gt;0,I$5&gt;100),AND(I$5&gt;0,I$5&lt;100)),
VLOOKUP(FLOOR((Midterm!I8/I$5)*100,1),new_transmute,4,FALSE),
VLOOKUP(Midterm!I8,new_transmute,4,FALSE)
),
""
)
)
)
)
)
)
)
)
))</f>
        <v/>
      </c>
      <c r="J8" s="14" t="str">
        <f>IF($B8="","",
IF(J$5="","",
IF(Midterm!J8="",0,
IF(NOT(ISNUMBER(Midterm!J8)),"NAN",
IF(Midterm!J8&lt;0,"NEG",
IF(Midterm!J8&gt;J$5,"OVER",
IF(AND(J$5&lt;=100,Midterm!J8&gt;100),"ERR",
IF(Info!$B$4="Non-board program",
IF(OR(AND(J$5&gt;0,J$5&gt;100),AND(J$5&gt;0,J$5&lt;100)),
VLOOKUP(FLOOR((Midterm!J8/J$5)*100,1),new_transmute,2,FALSE),
VLOOKUP(Midterm!J8,new_transmute,2,FALSE)
),
IF(Info!$B$4="Board program",
IF(OR(AND(J$5&gt;0,J$5&gt;100),AND(J$5&gt;0,J$5&lt;100)),
VLOOKUP(FLOOR((Midterm!J8/J$5)*100,1),new_transmute,3,FALSE),
VLOOKUP(Midterm!J8,new_transmute,3,FALSE)
),
IF(Info!$B$4="Board program (Medicine)",
IF(OR(AND(J$5&gt;0,J$5&gt;100),AND(J$5&gt;0,J$5&lt;100)),
VLOOKUP(FLOOR((Midterm!J8/J$5)*100,1),new_transmute,4,FALSE),
VLOOKUP(Midterm!J8,new_transmute,4,FALSE)
),
""
)
)
)
)
)
)
)
)
))</f>
        <v/>
      </c>
      <c r="K8" s="14" t="str">
        <f>IF($B8="","",
IF(K$5="","",
IF(Midterm!K8="",0,
IF(NOT(ISNUMBER(Midterm!K8)),"NAN",
IF(Midterm!K8&lt;0,"NEG",
IF(Midterm!K8&gt;K$5,"OVER",
IF(AND(K$5&lt;=100,Midterm!K8&gt;100),"ERR",
IF(Info!$B$4="Non-board program",
IF(OR(AND(K$5&gt;0,K$5&gt;100),AND(K$5&gt;0,K$5&lt;100)),
VLOOKUP(FLOOR((Midterm!K8/K$5)*100,1),new_transmute,2,FALSE),
VLOOKUP(Midterm!K8,new_transmute,2,FALSE)
),
IF(Info!$B$4="Board program",
IF(OR(AND(K$5&gt;0,K$5&gt;100),AND(K$5&gt;0,K$5&lt;100)),
VLOOKUP(FLOOR((Midterm!K8/K$5)*100,1),new_transmute,3,FALSE),
VLOOKUP(Midterm!K8,new_transmute,3,FALSE)
),
IF(Info!$B$4="Board program (Medicine)",
IF(OR(AND(K$5&gt;0,K$5&gt;100),AND(K$5&gt;0,K$5&lt;100)),
VLOOKUP(FLOOR((Midterm!K8/K$5)*100,1),new_transmute,4,FALSE),
VLOOKUP(Midterm!K8,new_transmute,4,FALSE)
),
""
)
)
)
)
)
)
)
)
))</f>
        <v/>
      </c>
      <c r="L8" s="14" t="str">
        <f>IF($B8="","",
IF(L$5="","",
IF(Midterm!L8="",0,
IF(NOT(ISNUMBER(Midterm!L8)),"NAN",
IF(Midterm!L8&lt;0,"NEG",
IF(Midterm!L8&gt;L$5,"OVER",
IF(AND(L$5&lt;=100,Midterm!L8&gt;100),"ERR",
IF(Info!$B$4="Non-board program",
IF(OR(AND(L$5&gt;0,L$5&gt;100),AND(L$5&gt;0,L$5&lt;100)),
VLOOKUP(FLOOR((Midterm!L8/L$5)*100,1),new_transmute,2,FALSE),
VLOOKUP(Midterm!L8,new_transmute,2,FALSE)
),
IF(Info!$B$4="Board program",
IF(OR(AND(L$5&gt;0,L$5&gt;100),AND(L$5&gt;0,L$5&lt;100)),
VLOOKUP(FLOOR((Midterm!L8/L$5)*100,1),new_transmute,3,FALSE),
VLOOKUP(Midterm!L8,new_transmute,3,FALSE)
),
IF(Info!$B$4="Board program (Medicine)",
IF(OR(AND(L$5&gt;0,L$5&gt;100),AND(L$5&gt;0,L$5&lt;100)),
VLOOKUP(FLOOR((Midterm!L8/L$5)*100,1),new_transmute,4,FALSE),
VLOOKUP(Midterm!L8,new_transmute,4,FALSE)
),
""
)
)
)
)
)
)
)
)
))</f>
        <v/>
      </c>
      <c r="M8" s="111" t="str">
        <f>IF(B8="", "", IF(COUNTIF(H8:L8, "OVER") &gt; 0, "OVER", IFERROR(AVERAGEIF(H8:L8, "&lt;&gt;OVER"), 0)))</f>
        <v/>
      </c>
      <c r="N8" s="14" t="str">
        <f>IF($B8="","",
IF(N$5="","",
IF(Midterm!N8="",0,
IF(NOT(ISNUMBER(Midterm!N8)),"NAN",
IF(Midterm!N8&lt;0,"NEG",
IF(Midterm!N8&gt;N$5,"OVER",
IF(AND(N$5&lt;=100,Midterm!N8&gt;100),"ERR",
IF(Info!$B$4="Non-board program",
IF(OR(AND(N$5&gt;0,N$5&gt;100),AND(N$5&gt;0,N$5&lt;100)),
VLOOKUP(FLOOR((Midterm!N8/N$5)*100,1),new_transmute,2,FALSE),
VLOOKUP(Midterm!N8,new_transmute,2,FALSE)
),
IF(Info!$B$4="Board program",
IF(OR(AND(N$5&gt;0,N$5&gt;100),AND(N$5&gt;0,N$5&lt;100)),
VLOOKUP(FLOOR((Midterm!N8/N$5)*100,1),new_transmute,3,FALSE),
VLOOKUP(Midterm!N8,new_transmute,3,FALSE)
),
IF(Info!$B$4="Board program (Medicine)",
IF(OR(AND(N$5&gt;0,N$5&gt;100),AND(N$5&gt;0,N$5&lt;100)),
VLOOKUP(FLOOR((Midterm!N8/N$5)*100,1),new_transmute,4,FALSE),
VLOOKUP(Midterm!N8,new_transmute,4,FALSE)
),
""
)
)
)
)
)
)
)
)
))</f>
        <v/>
      </c>
      <c r="O8" s="14" t="str">
        <f>IF($B8="","",
IF(O$5="","",
IF(Midterm!O8="",0,
IF(NOT(ISNUMBER(Midterm!O8)),"NAN",
IF(Midterm!O8&lt;0,"NEG",
IF(Midterm!O8&gt;O$5,"OVER",
IF(AND(O$5&lt;=100,Midterm!O8&gt;100),"ERR",
IF(Info!$B$4="Non-board program",
IF(OR(AND(O$5&gt;0,O$5&gt;100),AND(O$5&gt;0,O$5&lt;100)),
VLOOKUP(FLOOR((Midterm!O8/O$5)*100,1),new_transmute,2,FALSE),
VLOOKUP(Midterm!O8,new_transmute,2,FALSE)
),
IF(Info!$B$4="Board program",
IF(OR(AND(O$5&gt;0,O$5&gt;100),AND(O$5&gt;0,O$5&lt;100)),
VLOOKUP(FLOOR((Midterm!O8/O$5)*100,1),new_transmute,3,FALSE),
VLOOKUP(Midterm!O8,new_transmute,3,FALSE)
),
IF(Info!$B$4="Board program (Medicine)",
IF(OR(AND(O$5&gt;0,O$5&gt;100),AND(O$5&gt;0,O$5&lt;100)),
VLOOKUP(FLOOR((Midterm!O8/O$5)*100,1),new_transmute,4,FALSE),
VLOOKUP(Midterm!O8,new_transmute,4,FALSE)
),
""
)
)
)
)
)
)
)
)
))</f>
        <v/>
      </c>
      <c r="P8" s="14" t="str">
        <f>IF($B8="","",
IF(P$5="","",
IF(Midterm!P8="",0,
IF(NOT(ISNUMBER(Midterm!P8)),"NAN",
IF(Midterm!P8&lt;0,"NEG",
IF(Midterm!P8&gt;P$5,"OVER",
IF(AND(P$5&lt;=100,Midterm!P8&gt;100),"ERR",
IF(Info!$B$4="Non-board program",
IF(OR(AND(P$5&gt;0,P$5&gt;100),AND(P$5&gt;0,P$5&lt;100)),
VLOOKUP(FLOOR((Midterm!P8/P$5)*100,1),new_transmute,2,FALSE),
VLOOKUP(Midterm!P8,new_transmute,2,FALSE)
),
IF(Info!$B$4="Board program",
IF(OR(AND(P$5&gt;0,P$5&gt;100),AND(P$5&gt;0,P$5&lt;100)),
VLOOKUP(FLOOR((Midterm!P8/P$5)*100,1),new_transmute,3,FALSE),
VLOOKUP(Midterm!P8,new_transmute,3,FALSE)
),
IF(Info!$B$4="Board program (Medicine)",
IF(OR(AND(P$5&gt;0,P$5&gt;100),AND(P$5&gt;0,P$5&lt;100)),
VLOOKUP(FLOOR((Midterm!P8/P$5)*100,1),new_transmute,4,FALSE),
VLOOKUP(Midterm!P8,new_transmute,4,FALSE)
),
""
)
)
)
)
)
)
)
)
))</f>
        <v/>
      </c>
      <c r="Q8" s="14" t="str">
        <f>IF($B8="","",
IF(Q$5="","",
IF(Midterm!Q8="",0,
IF(NOT(ISNUMBER(Midterm!Q8)),"NAN",
IF(Midterm!Q8&lt;0,"NEG",
IF(Midterm!Q8&gt;Q$5,"OVER",
IF(AND(Q$5&lt;=100,Midterm!Q8&gt;100),"ERR",
IF(Info!$B$4="Non-board program",
IF(OR(AND(Q$5&gt;0,Q$5&gt;100),AND(Q$5&gt;0,Q$5&lt;100)),
VLOOKUP(FLOOR((Midterm!Q8/Q$5)*100,1),new_transmute,2,FALSE),
VLOOKUP(Midterm!Q8,new_transmute,2,FALSE)
),
IF(Info!$B$4="Board program",
IF(OR(AND(Q$5&gt;0,Q$5&gt;100),AND(Q$5&gt;0,Q$5&lt;100)),
VLOOKUP(FLOOR((Midterm!Q8/Q$5)*100,1),new_transmute,3,FALSE),
VLOOKUP(Midterm!Q8,new_transmute,3,FALSE)
),
IF(Info!$B$4="Board program (Medicine)",
IF(OR(AND(Q$5&gt;0,Q$5&gt;100),AND(Q$5&gt;0,Q$5&lt;100)),
VLOOKUP(FLOOR((Midterm!Q8/Q$5)*100,1),new_transmute,4,FALSE),
VLOOKUP(Midterm!Q8,new_transmute,4,FALSE)
),
""
)
)
)
)
)
)
)
)
))</f>
        <v/>
      </c>
      <c r="R8" s="14" t="str">
        <f>IF($B8="","",
IF(R$5="","",
IF(Midterm!R8="",0,
IF(NOT(ISNUMBER(Midterm!R8)),"NAN",
IF(Midterm!R8&lt;0,"NEG",
IF(Midterm!R8&gt;R$5,"OVER",
IF(AND(R$5&lt;=100,Midterm!R8&gt;100),"ERR",
IF(Info!$B$4="Non-board program",
IF(OR(AND(R$5&gt;0,R$5&gt;100),AND(R$5&gt;0,R$5&lt;100)),
VLOOKUP(FLOOR((Midterm!R8/R$5)*100,1),new_transmute,2,FALSE),
VLOOKUP(Midterm!R8,new_transmute,2,FALSE)
),
IF(Info!$B$4="Board program",
IF(OR(AND(R$5&gt;0,R$5&gt;100),AND(R$5&gt;0,R$5&lt;100)),
VLOOKUP(FLOOR((Midterm!R8/R$5)*100,1),new_transmute,3,FALSE),
VLOOKUP(Midterm!R8,new_transmute,3,FALSE)
),
IF(Info!$B$4="Board program (Medicine)",
IF(OR(AND(R$5&gt;0,R$5&gt;100),AND(R$5&gt;0,R$5&lt;100)),
VLOOKUP(FLOOR((Midterm!R8/R$5)*100,1),new_transmute,4,FALSE),
VLOOKUP(Midterm!R8,new_transmute,4,FALSE)
),
""
)
)
)
)
)
)
)
)
))</f>
        <v/>
      </c>
      <c r="S8" s="115" t="str">
        <f t="shared" si="3"/>
        <v/>
      </c>
      <c r="T8" s="14" t="str">
        <f>IF($B8="","",
IF(T$5="","",
IF(Midterm!T8="",0,
IF(NOT(ISNUMBER(Midterm!T8)),"NAN",
IF(Midterm!T8&lt;0,"NEG",
IF(Midterm!T8&gt;T$5,"OVER",
IF(AND(T$5&lt;=100,Midterm!T8&gt;100),"ERR",
IF(Info!$B$4="Non-board program",
IF(OR(AND(T$5&gt;0,T$5&gt;100),AND(T$5&gt;0,T$5&lt;100)),
VLOOKUP(FLOOR((Midterm!T8/T$5)*100,1),new_transmute,2,FALSE),
VLOOKUP(Midterm!T8,new_transmute,2,FALSE)
),
IF(Info!$B$4="Board program",
IF(OR(AND(T$5&gt;0,T$5&gt;100),AND(T$5&gt;0,T$5&lt;100)),
VLOOKUP(FLOOR((Midterm!T8/T$5)*100,1),new_transmute,3,FALSE),
VLOOKUP(Midterm!T8,new_transmute,3,FALSE)
),
IF(Info!$B$4="Board program (Medicine)",
IF(OR(AND(T$5&gt;0,T$5&gt;100),AND(T$5&gt;0,T$5&lt;100)),
VLOOKUP(FLOOR((Midterm!T8/T$5)*100,1),new_transmute,4,FALSE),
VLOOKUP(Midterm!T8,new_transmute,4,FALSE)
),
""
)
)
)
)
)
)
)
)
))</f>
        <v/>
      </c>
      <c r="U8" s="14" t="str">
        <f>IF($B8="","",
IF(U$5="","",
IF(Midterm!U8="",0,
IF(NOT(ISNUMBER(Midterm!U8)),"NAN",
IF(Midterm!U8&lt;0,"NEG",
IF(Midterm!U8&gt;U$5,"OVER",
IF(AND(U$5&lt;=100,Midterm!U8&gt;100),"ERR",
IF(Info!$B$4="Non-board program",
IF(OR(AND(U$5&gt;0,U$5&gt;100),AND(U$5&gt;0,U$5&lt;100)),
VLOOKUP(FLOOR((Midterm!U8/U$5)*100,1),new_transmute,2,FALSE),
VLOOKUP(Midterm!U8,new_transmute,2,FALSE)
),
IF(Info!$B$4="Board program",
IF(OR(AND(U$5&gt;0,U$5&gt;100),AND(U$5&gt;0,U$5&lt;100)),
VLOOKUP(FLOOR((Midterm!U8/U$5)*100,1),new_transmute,3,FALSE),
VLOOKUP(Midterm!U8,new_transmute,3,FALSE)
),
IF(Info!$B$4="Board program (Medicine)",
IF(OR(AND(U$5&gt;0,U$5&gt;100),AND(U$5&gt;0,U$5&lt;100)),
VLOOKUP(FLOOR((Midterm!U8/U$5)*100,1),new_transmute,4,FALSE),
VLOOKUP(Midterm!U8,new_transmute,4,FALSE)
),
""
)
)
)
)
)
)
)
)
))</f>
        <v/>
      </c>
      <c r="V8" s="14" t="str">
        <f>IF($B8="","",
IF(V$5="","",
IF(Midterm!V8="",0,
IF(NOT(ISNUMBER(Midterm!V8)),"NAN",
IF(Midterm!V8&lt;0,"NEG",
IF(Midterm!V8&gt;V$5,"OVER",
IF(AND(V$5&lt;=100,Midterm!V8&gt;100),"ERR",
IF(Info!$B$4="Non-board program",
IF(OR(AND(V$5&gt;0,V$5&gt;100),AND(V$5&gt;0,V$5&lt;100)),
VLOOKUP(FLOOR((Midterm!V8/V$5)*100,1),new_transmute,2,FALSE),
VLOOKUP(Midterm!V8,new_transmute,2,FALSE)
),
IF(Info!$B$4="Board program",
IF(OR(AND(V$5&gt;0,V$5&gt;100),AND(V$5&gt;0,V$5&lt;100)),
VLOOKUP(FLOOR((Midterm!V8/V$5)*100,1),new_transmute,3,FALSE),
VLOOKUP(Midterm!V8,new_transmute,3,FALSE)
),
IF(Info!$B$4="Board program (Medicine)",
IF(OR(AND(V$5&gt;0,V$5&gt;100),AND(V$5&gt;0,V$5&lt;100)),
VLOOKUP(FLOOR((Midterm!V8/V$5)*100,1),new_transmute,4,FALSE),
VLOOKUP(Midterm!V8,new_transmute,4,FALSE)
),
""
)
)
)
)
)
)
)
)
))</f>
        <v/>
      </c>
      <c r="W8" s="14" t="str">
        <f>IF($B8="","",
IF(W$5="","",
IF(Midterm!W8="",0,
IF(NOT(ISNUMBER(Midterm!W8)),"NAN",
IF(Midterm!W8&lt;0,"NEG",
IF(Midterm!W8&gt;W$5,"OVER",
IF(AND(W$5&lt;=100,Midterm!W8&gt;100),"ERR",
IF(Info!$B$4="Non-board program",
IF(OR(AND(W$5&gt;0,W$5&gt;100),AND(W$5&gt;0,W$5&lt;100)),
VLOOKUP(FLOOR((Midterm!W8/W$5)*100,1),new_transmute,2,FALSE),
VLOOKUP(Midterm!W8,new_transmute,2,FALSE)
),
IF(Info!$B$4="Board program",
IF(OR(AND(W$5&gt;0,W$5&gt;100),AND(W$5&gt;0,W$5&lt;100)),
VLOOKUP(FLOOR((Midterm!W8/W$5)*100,1),new_transmute,3,FALSE),
VLOOKUP(Midterm!W8,new_transmute,3,FALSE)
),
IF(Info!$B$4="Board program (Medicine)",
IF(OR(AND(W$5&gt;0,W$5&gt;100),AND(W$5&gt;0,W$5&lt;100)),
VLOOKUP(FLOOR((Midterm!W8/W$5)*100,1),new_transmute,4,FALSE),
VLOOKUP(Midterm!W8,new_transmute,4,FALSE)
),
""
)
)
)
)
)
)
)
)
))</f>
        <v/>
      </c>
      <c r="X8" s="14" t="str">
        <f>IF($B8="","",
IF(X$5="","",
IF(Midterm!X8="",0,
IF(NOT(ISNUMBER(Midterm!X8)),"NAN",
IF(Midterm!X8&lt;0,"NEG",
IF(Midterm!X8&gt;X$5,"OVER",
IF(AND(X$5&lt;=100,Midterm!X8&gt;100),"ERR",
IF(Info!$B$4="Non-board program",
IF(OR(AND(X$5&gt;0,X$5&gt;100),AND(X$5&gt;0,X$5&lt;100)),
VLOOKUP(FLOOR((Midterm!X8/X$5)*100,1),new_transmute,2,FALSE),
VLOOKUP(Midterm!X8,new_transmute,2,FALSE)
),
IF(Info!$B$4="Board program",
IF(OR(AND(X$5&gt;0,X$5&gt;100),AND(X$5&gt;0,X$5&lt;100)),
VLOOKUP(FLOOR((Midterm!X8/X$5)*100,1),new_transmute,3,FALSE),
VLOOKUP(Midterm!X8,new_transmute,3,FALSE)
),
IF(Info!$B$4="Board program (Medicine)",
IF(OR(AND(X$5&gt;0,X$5&gt;100),AND(X$5&gt;0,X$5&lt;100)),
VLOOKUP(FLOOR((Midterm!X8/X$5)*100,1),new_transmute,4,FALSE),
VLOOKUP(Midterm!X8,new_transmute,4,FALSE)
),
""
)
)
)
)
)
)
)
)
))</f>
        <v/>
      </c>
      <c r="Y8" s="112" t="str">
        <f t="shared" si="4"/>
        <v/>
      </c>
      <c r="Z8" s="14" t="str">
        <f>IF($B8="","",
IF(Z$5="","",
IF(Midterm!Z8="",0,
IF(NOT(ISNUMBER(Midterm!Z8)),"NAN",
IF(Midterm!Z8&lt;0,"NEG",
IF(Midterm!Z8&gt;Z$5,"OVER",
IF(AND(Z$5&lt;=100,Midterm!Z8&gt;100),"ERR",
IF(Info!$B$4="Non-board program",
IF(OR(AND(Z$5&gt;0,Z$5&gt;100),AND(Z$5&gt;0,Z$5&lt;100)),
VLOOKUP(FLOOR((Midterm!Z8/Z$5)*100,1),new_transmute,2,FALSE),
VLOOKUP(Midterm!Z8,new_transmute,2,FALSE)
),
IF(Info!$B$4="Board program",
IF(OR(AND(Z$5&gt;0,Z$5&gt;100),AND(Z$5&gt;0,Z$5&lt;100)),
VLOOKUP(FLOOR((Midterm!Z8/Z$5)*100,1),new_transmute,3,FALSE),
VLOOKUP(Midterm!Z8,new_transmute,3,FALSE)
),
IF(Info!$B$4="Board program (Medicine)",
IF(OR(AND(Z$5&gt;0,Z$5&gt;100),AND(Z$5&gt;0,Z$5&lt;100)),
VLOOKUP(FLOOR((Midterm!Z8/Z$5)*100,1),new_transmute,4,FALSE),
VLOOKUP(Midterm!Z8,new_transmute,4,FALSE)
),
""
)
)
)
)
)
)
)
)
))</f>
        <v/>
      </c>
      <c r="AA8" s="14" t="str">
        <f>IF($B8="","",
IF(AA$5="","",
IF(Midterm!AA8="",0,
IF(NOT(ISNUMBER(Midterm!AA8)),"NAN",
IF(Midterm!AA8&lt;0,"NEG",
IF(Midterm!AA8&gt;AA$5,"OVER",
IF(AND(AA$5&lt;=100,Midterm!AA8&gt;100),"ERR",
IF(Info!$B$4="Non-board program",
IF(OR(AND(AA$5&gt;0,AA$5&gt;100),AND(AA$5&gt;0,AA$5&lt;100)),
VLOOKUP(FLOOR((Midterm!AA8/AA$5)*100,1),new_transmute,2,FALSE),
VLOOKUP(Midterm!AA8,new_transmute,2,FALSE)
),
IF(Info!$B$4="Board program",
IF(OR(AND(AA$5&gt;0,AA$5&gt;100),AND(AA$5&gt;0,AA$5&lt;100)),
VLOOKUP(FLOOR((Midterm!AA8/AA$5)*100,1),new_transmute,3,FALSE),
VLOOKUP(Midterm!AA8,new_transmute,3,FALSE)
),
IF(Info!$B$4="Board program (Medicine)",
IF(OR(AND(AA$5&gt;0,AA$5&gt;100),AND(AA$5&gt;0,AA$5&lt;100)),
VLOOKUP(FLOOR((Midterm!AA8/AA$5)*100,1),new_transmute,4,FALSE),
VLOOKUP(Midterm!AA8,new_transmute,4,FALSE)
),
""
)
)
)
)
)
)
)
)
))</f>
        <v/>
      </c>
      <c r="AB8" s="14" t="str">
        <f>IF($B8="","",
IF(AB$5="","",
IF(Midterm!AB8="",0,
IF(NOT(ISNUMBER(Midterm!AB8)),"NAN",
IF(Midterm!AB8&lt;0,"NEG",
IF(Midterm!AB8&gt;AB$5,"OVER",
IF(AND(AB$5&lt;=100,Midterm!AB8&gt;100),"ERR",
IF(Info!$B$4="Non-board program",
IF(OR(AND(AB$5&gt;0,AB$5&gt;100),AND(AB$5&gt;0,AB$5&lt;100)),
VLOOKUP(FLOOR((Midterm!AB8/AB$5)*100,1),new_transmute,2,FALSE),
VLOOKUP(Midterm!AB8,new_transmute,2,FALSE)
),
IF(Info!$B$4="Board program",
IF(OR(AND(AB$5&gt;0,AB$5&gt;100),AND(AB$5&gt;0,AB$5&lt;100)),
VLOOKUP(FLOOR((Midterm!AB8/AB$5)*100,1),new_transmute,3,FALSE),
VLOOKUP(Midterm!AB8,new_transmute,3,FALSE)
),
IF(Info!$B$4="Board program (Medicine)",
IF(OR(AND(AB$5&gt;0,AB$5&gt;100),AND(AB$5&gt;0,AB$5&lt;100)),
VLOOKUP(FLOOR((Midterm!AB8/AB$5)*100,1),new_transmute,4,FALSE),
VLOOKUP(Midterm!AB8,new_transmute,4,FALSE)
),
""
)
)
)
)
)
)
)
)
))</f>
        <v/>
      </c>
      <c r="AC8" s="14" t="str">
        <f>IF($B8="","",
IF(AC$5="","",
IF(Midterm!AC8="",0,
IF(NOT(ISNUMBER(Midterm!AC8)),"NAN",
IF(Midterm!AC8&lt;0,"NEG",
IF(Midterm!AC8&gt;AC$5,"OVER",
IF(AND(AC$5&lt;=100,Midterm!AC8&gt;100),"ERR",
IF(Info!$B$4="Non-board program",
IF(OR(AND(AC$5&gt;0,AC$5&gt;100),AND(AC$5&gt;0,AC$5&lt;100)),
VLOOKUP(FLOOR((Midterm!AC8/AC$5)*100,1),new_transmute,2,FALSE),
VLOOKUP(Midterm!AC8,new_transmute,2,FALSE)
),
IF(Info!$B$4="Board program",
IF(OR(AND(AC$5&gt;0,AC$5&gt;100),AND(AC$5&gt;0,AC$5&lt;100)),
VLOOKUP(FLOOR((Midterm!AC8/AC$5)*100,1),new_transmute,3,FALSE),
VLOOKUP(Midterm!AC8,new_transmute,3,FALSE)
),
IF(Info!$B$4="Board program (Medicine)",
IF(OR(AND(AC$5&gt;0,AC$5&gt;100),AND(AC$5&gt;0,AC$5&lt;100)),
VLOOKUP(FLOOR((Midterm!AC8/AC$5)*100,1),new_transmute,4,FALSE),
VLOOKUP(Midterm!AC8,new_transmute,4,FALSE)
),
""
)
)
)
)
)
)
)
)
))</f>
        <v/>
      </c>
      <c r="AD8" s="14" t="str">
        <f>IF($B8="","",
IF(AD$5="","",
IF(Midterm!AD8="",0,
IF(NOT(ISNUMBER(Midterm!AD8)),"NAN",
IF(Midterm!AD8&lt;0,"NEG",
IF(Midterm!AD8&gt;AD$5,"OVER",
IF(AND(AD$5&lt;=100,Midterm!AD8&gt;100),"ERR",
IF(Info!$B$4="Non-board program",
IF(OR(AND(AD$5&gt;0,AD$5&gt;100),AND(AD$5&gt;0,AD$5&lt;100)),
VLOOKUP(FLOOR((Midterm!AD8/AD$5)*100,1),new_transmute,2,FALSE),
VLOOKUP(Midterm!AD8,new_transmute,2,FALSE)
),
IF(Info!$B$4="Board program",
IF(OR(AND(AD$5&gt;0,AD$5&gt;100),AND(AD$5&gt;0,AD$5&lt;100)),
VLOOKUP(FLOOR((Midterm!AD8/AD$5)*100,1),new_transmute,3,FALSE),
VLOOKUP(Midterm!AD8,new_transmute,3,FALSE)
),
IF(Info!$B$4="Board program (Medicine)",
IF(OR(AND(AD$5&gt;0,AD$5&gt;100),AND(AD$5&gt;0,AD$5&lt;100)),
VLOOKUP(FLOOR((Midterm!AD8/AD$5)*100,1),new_transmute,4,FALSE),
VLOOKUP(Midterm!AD8,new_transmute,4,FALSE)
),
""
)
)
)
)
)
)
)
)
))</f>
        <v/>
      </c>
      <c r="AE8" s="58" t="str">
        <f t="shared" si="5"/>
        <v/>
      </c>
      <c r="AF8" s="14" t="str">
        <f>IF($B8="","",
IF(AF$5="","",
IF(Midterm!AF8="",0,
IF(NOT(ISNUMBER(Midterm!AF8)),"NAN",
IF(Midterm!AF8&lt;0,"NEG",
IF(Midterm!AF8&gt;AF$5,"OVER",
IF(AND(AF$5&lt;=100,Midterm!AF8&gt;100),"ERR",
IF(Info!$B$4="Non-board program",
IF(OR(AND(AF$5&gt;0,AF$5&gt;100),AND(AF$5&gt;0,AF$5&lt;100)),
VLOOKUP(FLOOR((Midterm!AF8/AF$5)*100,1),new_transmute,2,FALSE),
VLOOKUP(Midterm!AF8,new_transmute,2,FALSE)
),
IF(Info!$B$4="Board program",
IF(OR(AND(AF$5&gt;0,AF$5&gt;100),AND(AF$5&gt;0,AF$5&lt;100)),
VLOOKUP(FLOOR((Midterm!AF8/AF$5)*100,1),new_transmute,3,FALSE),
VLOOKUP(Midterm!AF8,new_transmute,3,FALSE)
),
IF(Info!$B$4="Board program (Medicine)",
IF(OR(AND(AF$5&gt;0,AF$5&gt;100),AND(AF$5&gt;0,AF$5&lt;100)),
VLOOKUP(FLOOR((Midterm!AF8/AF$5)*100,1),new_transmute,4,FALSE),
VLOOKUP(Midterm!AF8,new_transmute,4,FALSE)
),
""
)
)
)
)
)
)
)
)
))</f>
        <v/>
      </c>
      <c r="AG8" s="14" t="str">
        <f>IF($B8="","",
IF(AG$5="","",
IF(Midterm!AG8="",0,
IF(NOT(ISNUMBER(Midterm!AG8)),"NAN",
IF(Midterm!AG8&lt;0,"NEG",
IF(Midterm!AG8&gt;AG$5,"OVER",
IF(AND(AG$5&lt;=100,Midterm!AG8&gt;100),"ERR",
IF(Info!$B$4="Non-board program",
IF(OR(AND(AG$5&gt;0,AG$5&gt;100),AND(AG$5&gt;0,AG$5&lt;100)),
VLOOKUP(FLOOR((Midterm!AG8/AG$5)*100,1),new_transmute,2,FALSE),
VLOOKUP(Midterm!AG8,new_transmute,2,FALSE)
),
IF(Info!$B$4="Board program",
IF(OR(AND(AG$5&gt;0,AG$5&gt;100),AND(AG$5&gt;0,AG$5&lt;100)),
VLOOKUP(FLOOR((Midterm!AG8/AG$5)*100,1),new_transmute,3,FALSE),
VLOOKUP(Midterm!AG8,new_transmute,3,FALSE)
),
IF(Info!$B$4="Board program (Medicine)",
IF(OR(AND(AG$5&gt;0,AG$5&gt;100),AND(AG$5&gt;0,AG$5&lt;100)),
VLOOKUP(FLOOR((Midterm!AG8/AG$5)*100,1),new_transmute,4,FALSE),
VLOOKUP(Midterm!AG8,new_transmute,4,FALSE)
),
""
)
)
)
)
)
)
)
)
))</f>
        <v/>
      </c>
      <c r="AH8" s="14" t="str">
        <f>IF($B8="","",
IF(AH$5="","",
IF(Midterm!AH8="",0,
IF(NOT(ISNUMBER(Midterm!AH8)),"NAN",
IF(Midterm!AH8&lt;0,"NEG",
IF(Midterm!AH8&gt;AH$5,"OVER",
IF(AND(AH$5&lt;=100,Midterm!AH8&gt;100),"ERR",
IF(Info!$B$4="Non-board program",
IF(OR(AND(AH$5&gt;0,AH$5&gt;100),AND(AH$5&gt;0,AH$5&lt;100)),
VLOOKUP(FLOOR((Midterm!AH8/AH$5)*100,1),new_transmute,2,FALSE),
VLOOKUP(Midterm!AH8,new_transmute,2,FALSE)
),
IF(Info!$B$4="Board program",
IF(OR(AND(AH$5&gt;0,AH$5&gt;100),AND(AH$5&gt;0,AH$5&lt;100)),
VLOOKUP(FLOOR((Midterm!AH8/AH$5)*100,1),new_transmute,3,FALSE),
VLOOKUP(Midterm!AH8,new_transmute,3,FALSE)
),
IF(Info!$B$4="Board program (Medicine)",
IF(OR(AND(AH$5&gt;0,AH$5&gt;100),AND(AH$5&gt;0,AH$5&lt;100)),
VLOOKUP(FLOOR((Midterm!AH8/AH$5)*100,1),new_transmute,4,FALSE),
VLOOKUP(Midterm!AH8,new_transmute,4,FALSE)
),
""
)
)
)
)
)
)
)
)
))</f>
        <v/>
      </c>
      <c r="AI8" s="14" t="str">
        <f>IF($B8="","",
IF(AI$5="","",
IF(Midterm!AI8="",0,
IF(NOT(ISNUMBER(Midterm!AI8)),"NAN",
IF(Midterm!AI8&lt;0,"NEG",
IF(Midterm!AI8&gt;AI$5,"OVER",
IF(AND(AI$5&lt;=100,Midterm!AI8&gt;100),"ERR",
IF(Info!$B$4="Non-board program",
IF(OR(AND(AI$5&gt;0,AI$5&gt;100),AND(AI$5&gt;0,AI$5&lt;100)),
VLOOKUP(FLOOR((Midterm!AI8/AI$5)*100,1),new_transmute,2,FALSE),
VLOOKUP(Midterm!AI8,new_transmute,2,FALSE)
),
IF(Info!$B$4="Board program",
IF(OR(AND(AI$5&gt;0,AI$5&gt;100),AND(AI$5&gt;0,AI$5&lt;100)),
VLOOKUP(FLOOR((Midterm!AI8/AI$5)*100,1),new_transmute,3,FALSE),
VLOOKUP(Midterm!AI8,new_transmute,3,FALSE)
),
IF(Info!$B$4="Board program (Medicine)",
IF(OR(AND(AI$5&gt;0,AI$5&gt;100),AND(AI$5&gt;0,AI$5&lt;100)),
VLOOKUP(FLOOR((Midterm!AI8/AI$5)*100,1),new_transmute,4,FALSE),
VLOOKUP(Midterm!AI8,new_transmute,4,FALSE)
),
""
)
)
)
)
)
)
)
)
))</f>
        <v/>
      </c>
      <c r="AJ8" s="14" t="str">
        <f>IF($B8="","",
IF(AJ$5="","",
IF(Midterm!AJ8="",0,
IF(NOT(ISNUMBER(Midterm!AJ8)),"NAN",
IF(Midterm!AJ8&lt;0,"NEG",
IF(Midterm!AJ8&gt;AJ$5,"OVER",
IF(AND(AJ$5&lt;=100,Midterm!AJ8&gt;100),"ERR",
IF(Info!$B$4="Non-board program",
IF(OR(AND(AJ$5&gt;0,AJ$5&gt;100),AND(AJ$5&gt;0,AJ$5&lt;100)),
VLOOKUP(FLOOR((Midterm!AJ8/AJ$5)*100,1),new_transmute,2,FALSE),
VLOOKUP(Midterm!AJ8,new_transmute,2,FALSE)
),
IF(Info!$B$4="Board program",
IF(OR(AND(AJ$5&gt;0,AJ$5&gt;100),AND(AJ$5&gt;0,AJ$5&lt;100)),
VLOOKUP(FLOOR((Midterm!AJ8/AJ$5)*100,1),new_transmute,3,FALSE),
VLOOKUP(Midterm!AJ8,new_transmute,3,FALSE)
),
IF(Info!$B$4="Board program (Medicine)",
IF(OR(AND(AJ$5&gt;0,AJ$5&gt;100),AND(AJ$5&gt;0,AJ$5&lt;100)),
VLOOKUP(FLOOR((Midterm!AJ8/AJ$5)*100,1),new_transmute,4,FALSE),
VLOOKUP(Midterm!AJ8,new_transmute,4,FALSE)
),
""
)
)
)
)
)
)
)
)
))</f>
        <v/>
      </c>
      <c r="AK8" s="59" t="str">
        <f t="shared" si="6"/>
        <v/>
      </c>
      <c r="AL8" s="60" t="str">
        <f>IF(B8="", "",
    IF(OR(M8="OVER", S8="OVER", Y8="OVER", AE8="OVER", AK8="OVER"),
        "OVER",
        IF(Info!$B$4="Non-board program",
            VLOOKUP(IFERROR(FLOOR(SUM((M8*$M$4), (S8*$S$4), (Y8*$Y$4), (AE8*$AE$4), (AK8*$AK$4)) * (100 / 60), 1), 0), new_transmute, 2, FALSE),
            IF(Info!$B$4="Board program",
                VLOOKUP(IFERROR(FLOOR(SUM((M8*$M$4), (S8*$S$4), (Y8*$Y$4), (AE8*$AE$4), (AK8*$AK$4)) * (100 / 60), 1), 0), new_transmute, 3, FALSE),
                IF(Info!$B$4="Board program (Medicine)",
                    VLOOKUP(IFERROR(FLOOR(SUM((M8*$M$4), (S8*$S$4), (Y8*$Y$4), (AE8*$AE$4), (AK8*$AK$4)) * (100 / 60), 1), 0), new_transmute, 4, FALSE),
                    ""
                )
            )
        )
    )
)</f>
        <v/>
      </c>
      <c r="AM8" s="14" t="str">
        <f>IF($B8="","",
IF(AM$5="","",
IF(Midterm!AM8="",0,
IF(NOT(ISNUMBER(Midterm!AM8)),"NAN",
IF(Midterm!AM8&lt;0,"NEG",
IF(Midterm!AM8&gt;AM$5,"OVER",
IF(AND(AM$5&lt;=100,Midterm!AM8&gt;100),"ERR",
IF(Info!$B$4="Non-board program",
IF(OR(AND(AM$5&gt;0,AM$5&gt;100),AND(AM$5&gt;0,AM$5&lt;100)),
VLOOKUP(FLOOR((Midterm!AM8/AM$5)*100,1),new_transmute,2,FALSE),
VLOOKUP(Midterm!AM8,new_transmute,2,FALSE)
),
IF(Info!$B$4="Board program",
IF(OR(AND(AM$5&gt;0,AM$5&gt;100),AND(AM$5&gt;0,AM$5&lt;100)),
VLOOKUP(FLOOR((Midterm!AM8/AM$5)*100,1),new_transmute,3,FALSE),
VLOOKUP(Midterm!AM8,new_transmute,3,FALSE)
),
IF(Info!$B$4="Board program (Medicine)",
IF(OR(AND(AM$5&gt;0,AM$5&gt;100),AND(AM$5&gt;0,AM$5&lt;100)),
VLOOKUP(FLOOR((Midterm!AM8/AM$5)*100,1),new_transmute,4,FALSE),
VLOOKUP(Midterm!AM8,new_transmute,4,FALSE)
),
""
)
)
)
)
)
)
)
)
))</f>
        <v/>
      </c>
      <c r="AN8" s="14" t="str">
        <f>IF($B8="","",
IF(AN$5="","",
IF(Midterm!AN8="",0,
IF(NOT(ISNUMBER(Midterm!AN8)),"NAN",
IF(Midterm!AN8&lt;0,"NEG",
IF(Midterm!AN8&gt;AN$5,"OVER",
IF(AND(AN$5&lt;=100,Midterm!AN8&gt;100),"ERR",
IF(Info!$B$4="Non-board program",
IF(OR(AND(AN$5&gt;0,AN$5&gt;100),AND(AN$5&gt;0,AN$5&lt;100)),
VLOOKUP(FLOOR((Midterm!AN8/AN$5)*100,1),new_transmute,2,FALSE),
VLOOKUP(Midterm!AN8,new_transmute,2,FALSE)
),
IF(Info!$B$4="Board program",
IF(OR(AND(AN$5&gt;0,AN$5&gt;100),AND(AN$5&gt;0,AN$5&lt;100)),
VLOOKUP(FLOOR((Midterm!AN8/AN$5)*100,1),new_transmute,3,FALSE),
VLOOKUP(Midterm!AN8,new_transmute,3,FALSE)
),
IF(Info!$B$4="Board program (Medicine)",
IF(OR(AND(AN$5&gt;0,AN$5&gt;100),AND(AN$5&gt;0,AN$5&lt;100)),
VLOOKUP(FLOOR((Midterm!AN8/AN$5)*100,1),new_transmute,4,FALSE),
VLOOKUP(Midterm!AN8,new_transmute,4,FALSE)
),
""
)
)
)
)
)
)
)
)
))</f>
        <v/>
      </c>
      <c r="AO8" s="14" t="str">
        <f>IF($B8="","",
IF(AO$5="","",
IF(Midterm!AO8="",0,
IF(NOT(ISNUMBER(Midterm!AO8)),"NAN",
IF(Midterm!AO8&lt;0,"NEG",
IF(Midterm!AO8&gt;AO$5,"OVER",
IF(AND(AO$5&lt;=100,Midterm!AO8&gt;100),"ERR",
IF(Info!$B$4="Non-board program",
IF(OR(AND(AO$5&gt;0,AO$5&gt;100),AND(AO$5&gt;0,AO$5&lt;100)),
VLOOKUP(FLOOR((Midterm!AO8/AO$5)*100,1),new_transmute,2,FALSE),
VLOOKUP(Midterm!AO8,new_transmute,2,FALSE)
),
IF(Info!$B$4="Board program",
IF(OR(AND(AO$5&gt;0,AO$5&gt;100),AND(AO$5&gt;0,AO$5&lt;100)),
VLOOKUP(FLOOR((Midterm!AO8/AO$5)*100,1),new_transmute,3,FALSE),
VLOOKUP(Midterm!AO8,new_transmute,3,FALSE)
),
IF(Info!$B$4="Board program (Medicine)",
IF(OR(AND(AO$5&gt;0,AO$5&gt;100),AND(AO$5&gt;0,AO$5&lt;100)),
VLOOKUP(FLOOR((Midterm!AO8/AO$5)*100,1),new_transmute,4,FALSE),
VLOOKUP(Midterm!AO8,new_transmute,4,FALSE)
),
""
)
)
)
)
)
)
)
)
))</f>
        <v/>
      </c>
      <c r="AP8" s="14" t="str">
        <f>IF($B8="","",
IF(AP$5="","",
IF(Midterm!AP8="",0,
IF(NOT(ISNUMBER(Midterm!AP8)),"NAN",
IF(Midterm!AP8&lt;0,"NEG",
IF(Midterm!AP8&gt;AP$5,"OVER",
IF(AND(AP$5&lt;=100,Midterm!AP8&gt;100),"ERR",
IF(Info!$B$4="Non-board program",
IF(OR(AND(AP$5&gt;0,AP$5&gt;100),AND(AP$5&gt;0,AP$5&lt;100)),
VLOOKUP(FLOOR((Midterm!AP8/AP$5)*100,1),new_transmute,2,FALSE),
VLOOKUP(Midterm!AP8,new_transmute,2,FALSE)
),
IF(Info!$B$4="Board program",
IF(OR(AND(AP$5&gt;0,AP$5&gt;100),AND(AP$5&gt;0,AP$5&lt;100)),
VLOOKUP(FLOOR((Midterm!AP8/AP$5)*100,1),new_transmute,3,FALSE),
VLOOKUP(Midterm!AP8,new_transmute,3,FALSE)
),
IF(Info!$B$4="Board program (Medicine)",
IF(OR(AND(AP$5&gt;0,AP$5&gt;100),AND(AP$5&gt;0,AP$5&lt;100)),
VLOOKUP(FLOOR((Midterm!AP8/AP$5)*100,1),new_transmute,4,FALSE),
VLOOKUP(Midterm!AP8,new_transmute,4,FALSE)
),
""
)
)
)
)
)
)
)
)
))</f>
        <v/>
      </c>
      <c r="AQ8" s="61" t="str">
        <f t="shared" si="7"/>
        <v/>
      </c>
      <c r="AR8" s="48" t="str">
        <f>IF(Midterm!AR8="","",Midterm!AR8)</f>
        <v/>
      </c>
      <c r="AS8" s="165" t="str">
        <f t="shared" ref="AS8:AS70" si="8">IF(B8="", "",
    IF(D8="Yes",
        "DRP",
        IF(D8="No",
            "WF",
            IFERROR(SUM(G8*$G$4, M8*$M$4, S8*$S$4, Y8*$Y$4, AE8*$AE$4, AK8*$AK$4, AQ8*$AQ$4, AR8), "ERR")
        )
    )
)</f>
        <v/>
      </c>
      <c r="AT8" s="14" t="str">
        <f t="shared" si="0"/>
        <v/>
      </c>
      <c r="AU8" s="14" t="str">
        <f>IF(B8="","",VLOOKUP(AT8,'New Grade Equivalent'!$B$3:$C$47,2,FALSE))</f>
        <v/>
      </c>
    </row>
    <row r="9" spans="1:47" x14ac:dyDescent="0.25">
      <c r="A9" s="8">
        <v>4</v>
      </c>
      <c r="B9" s="2" t="str">
        <f>IF('Student List'!C13="","",UPPER(LEFT('Student List'!C13,FIND(",",'Student List'!C13)-1)))</f>
        <v/>
      </c>
      <c r="C9" s="12" t="str">
        <f>IF('Student List'!C13="","",PROPER(MID('Student List'!C13, FIND(",", 'Student List'!C13) + 2, LEN('Student List'!C13) - FIND(",", 'Student List'!C13) - 1)))</f>
        <v/>
      </c>
      <c r="D9" s="127" t="str">
        <f>IF(B9="","",IF(Midterm!D9="", "NA", Midterm!D9))</f>
        <v/>
      </c>
      <c r="E9" s="8" t="str">
        <f>IF(B9="","",
  IF(Info!$B$5="First Year",
    IF(D9="Yes", "DRP",
      IF(D9="No", "WF", "")
    )
  )
)</f>
        <v/>
      </c>
      <c r="F9" s="14" t="str">
        <f>IF($B9="","",
IF(F$5="","",
IF(Midterm!F9="",0,
IF(NOT(ISNUMBER(Midterm!F9)),"NAN",
IF(Midterm!F9&lt;0,"NEG",
IF(Midterm!F9&gt;F$5,"OVER",
IF(AND(F$5&lt;=100,Midterm!F9&gt;100),"ERR",
IF(Info!$B$4="Non-board program",
IF(OR(AND(F$5&gt;0,F$5&gt;100),AND(F$5&gt;0,F$5&lt;100)),
VLOOKUP(FLOOR((Midterm!F9/F$5)*100,1),new_transmute,2,FALSE),
VLOOKUP(Midterm!F9,new_transmute,2,FALSE)
),
IF(Info!$B$4="Board program",
IF(OR(AND(F$5&gt;0,F$5&gt;100),AND(F$5&gt;0,F$5&lt;100)),
VLOOKUP(FLOOR((Midterm!F9/F$5)*100,1),new_transmute,3,FALSE),
VLOOKUP(Midterm!F9,new_transmute,3,FALSE)
),
IF(Info!$B$4="Board program (Medicine)",
IF(OR(AND(F$5&gt;0,F$5&gt;100),AND(F$5&gt;0,F$5&lt;100)),
VLOOKUP(FLOOR((Midterm!F9/F$5)*100,1),new_transmute,4,FALSE),
VLOOKUP(Midterm!F9,new_transmute,4,FALSE)
),
""
)
)
)
)
)
)
)
)
))</f>
        <v/>
      </c>
      <c r="G9" s="57" t="str">
        <f t="shared" si="1"/>
        <v/>
      </c>
      <c r="H9" s="14" t="str">
        <f>IF($B9="","",
IF(H$5="","",
IF(Midterm!H9="",0,
IF(NOT(ISNUMBER(Midterm!H9)),"NAN",
IF(Midterm!H9&lt;0,"NEG",
IF(Midterm!H9&gt;H$5,"OVER",
IF(AND(H$5&lt;=100,Midterm!H9&gt;100),"ERR",
IF(Info!$B$4="Non-board program",
IF(OR(AND(H$5&gt;0,H$5&gt;100),AND(H$5&gt;0,H$5&lt;100)),
VLOOKUP(FLOOR((Midterm!H9/H$5)*100,1),new_transmute,2,FALSE),
VLOOKUP(Midterm!H9,new_transmute,2,FALSE)
),
IF(Info!$B$4="Board program",
IF(OR(AND(H$5&gt;0,H$5&gt;100),AND(H$5&gt;0,H$5&lt;100)),
VLOOKUP(FLOOR((Midterm!H9/H$5)*100,1),new_transmute,3,FALSE),
VLOOKUP(Midterm!H9,new_transmute,3,FALSE)
),
IF(Info!$B$4="Board program (Medicine)",
IF(OR(AND(H$5&gt;0,H$5&gt;100),AND(H$5&gt;0,H$5&lt;100)),
VLOOKUP(FLOOR((Midterm!H9/H$5)*100,1),new_transmute,4,FALSE),
VLOOKUP(Midterm!H9,new_transmute,4,FALSE)
),
""
)
)
)
)
)
)
)
)
))</f>
        <v/>
      </c>
      <c r="I9" s="14" t="str">
        <f>IF($B9="","",
IF(I$5="","",
IF(Midterm!I9="",0,
IF(NOT(ISNUMBER(Midterm!I9)),"NAN",
IF(Midterm!I9&lt;0,"NEG",
IF(Midterm!I9&gt;I$5,"OVER",
IF(AND(I$5&lt;=100,Midterm!I9&gt;100),"ERR",
IF(Info!$B$4="Non-board program",
IF(OR(AND(I$5&gt;0,I$5&gt;100),AND(I$5&gt;0,I$5&lt;100)),
VLOOKUP(FLOOR((Midterm!I9/I$5)*100,1),new_transmute,2,FALSE),
VLOOKUP(Midterm!I9,new_transmute,2,FALSE)
),
IF(Info!$B$4="Board program",
IF(OR(AND(I$5&gt;0,I$5&gt;100),AND(I$5&gt;0,I$5&lt;100)),
VLOOKUP(FLOOR((Midterm!I9/I$5)*100,1),new_transmute,3,FALSE),
VLOOKUP(Midterm!I9,new_transmute,3,FALSE)
),
IF(Info!$B$4="Board program (Medicine)",
IF(OR(AND(I$5&gt;0,I$5&gt;100),AND(I$5&gt;0,I$5&lt;100)),
VLOOKUP(FLOOR((Midterm!I9/I$5)*100,1),new_transmute,4,FALSE),
VLOOKUP(Midterm!I9,new_transmute,4,FALSE)
),
""
)
)
)
)
)
)
)
)
))</f>
        <v/>
      </c>
      <c r="J9" s="14" t="str">
        <f>IF($B9="","",
IF(J$5="","",
IF(Midterm!J9="",0,
IF(NOT(ISNUMBER(Midterm!J9)),"NAN",
IF(Midterm!J9&lt;0,"NEG",
IF(Midterm!J9&gt;J$5,"OVER",
IF(AND(J$5&lt;=100,Midterm!J9&gt;100),"ERR",
IF(Info!$B$4="Non-board program",
IF(OR(AND(J$5&gt;0,J$5&gt;100),AND(J$5&gt;0,J$5&lt;100)),
VLOOKUP(FLOOR((Midterm!J9/J$5)*100,1),new_transmute,2,FALSE),
VLOOKUP(Midterm!J9,new_transmute,2,FALSE)
),
IF(Info!$B$4="Board program",
IF(OR(AND(J$5&gt;0,J$5&gt;100),AND(J$5&gt;0,J$5&lt;100)),
VLOOKUP(FLOOR((Midterm!J9/J$5)*100,1),new_transmute,3,FALSE),
VLOOKUP(Midterm!J9,new_transmute,3,FALSE)
),
IF(Info!$B$4="Board program (Medicine)",
IF(OR(AND(J$5&gt;0,J$5&gt;100),AND(J$5&gt;0,J$5&lt;100)),
VLOOKUP(FLOOR((Midterm!J9/J$5)*100,1),new_transmute,4,FALSE),
VLOOKUP(Midterm!J9,new_transmute,4,FALSE)
),
""
)
)
)
)
)
)
)
)
))</f>
        <v/>
      </c>
      <c r="K9" s="14" t="str">
        <f>IF($B9="","",
IF(K$5="","",
IF(Midterm!K9="",0,
IF(NOT(ISNUMBER(Midterm!K9)),"NAN",
IF(Midterm!K9&lt;0,"NEG",
IF(Midterm!K9&gt;K$5,"OVER",
IF(AND(K$5&lt;=100,Midterm!K9&gt;100),"ERR",
IF(Info!$B$4="Non-board program",
IF(OR(AND(K$5&gt;0,K$5&gt;100),AND(K$5&gt;0,K$5&lt;100)),
VLOOKUP(FLOOR((Midterm!K9/K$5)*100,1),new_transmute,2,FALSE),
VLOOKUP(Midterm!K9,new_transmute,2,FALSE)
),
IF(Info!$B$4="Board program",
IF(OR(AND(K$5&gt;0,K$5&gt;100),AND(K$5&gt;0,K$5&lt;100)),
VLOOKUP(FLOOR((Midterm!K9/K$5)*100,1),new_transmute,3,FALSE),
VLOOKUP(Midterm!K9,new_transmute,3,FALSE)
),
IF(Info!$B$4="Board program (Medicine)",
IF(OR(AND(K$5&gt;0,K$5&gt;100),AND(K$5&gt;0,K$5&lt;100)),
VLOOKUP(FLOOR((Midterm!K9/K$5)*100,1),new_transmute,4,FALSE),
VLOOKUP(Midterm!K9,new_transmute,4,FALSE)
),
""
)
)
)
)
)
)
)
)
))</f>
        <v/>
      </c>
      <c r="L9" s="14" t="str">
        <f>IF($B9="","",
IF(L$5="","",
IF(Midterm!L9="",0,
IF(NOT(ISNUMBER(Midterm!L9)),"NAN",
IF(Midterm!L9&lt;0,"NEG",
IF(Midterm!L9&gt;L$5,"OVER",
IF(AND(L$5&lt;=100,Midterm!L9&gt;100),"ERR",
IF(Info!$B$4="Non-board program",
IF(OR(AND(L$5&gt;0,L$5&gt;100),AND(L$5&gt;0,L$5&lt;100)),
VLOOKUP(FLOOR((Midterm!L9/L$5)*100,1),new_transmute,2,FALSE),
VLOOKUP(Midterm!L9,new_transmute,2,FALSE)
),
IF(Info!$B$4="Board program",
IF(OR(AND(L$5&gt;0,L$5&gt;100),AND(L$5&gt;0,L$5&lt;100)),
VLOOKUP(FLOOR((Midterm!L9/L$5)*100,1),new_transmute,3,FALSE),
VLOOKUP(Midterm!L9,new_transmute,3,FALSE)
),
IF(Info!$B$4="Board program (Medicine)",
IF(OR(AND(L$5&gt;0,L$5&gt;100),AND(L$5&gt;0,L$5&lt;100)),
VLOOKUP(FLOOR((Midterm!L9/L$5)*100,1),new_transmute,4,FALSE),
VLOOKUP(Midterm!L9,new_transmute,4,FALSE)
),
""
)
)
)
)
)
)
)
)
))</f>
        <v/>
      </c>
      <c r="M9" s="111" t="str">
        <f t="shared" si="2"/>
        <v/>
      </c>
      <c r="N9" s="14" t="str">
        <f>IF($B9="","",
IF(N$5="","",
IF(Midterm!N9="",0,
IF(NOT(ISNUMBER(Midterm!N9)),"NAN",
IF(Midterm!N9&lt;0,"NEG",
IF(Midterm!N9&gt;N$5,"OVER",
IF(AND(N$5&lt;=100,Midterm!N9&gt;100),"ERR",
IF(Info!$B$4="Non-board program",
IF(OR(AND(N$5&gt;0,N$5&gt;100),AND(N$5&gt;0,N$5&lt;100)),
VLOOKUP(FLOOR((Midterm!N9/N$5)*100,1),new_transmute,2,FALSE),
VLOOKUP(Midterm!N9,new_transmute,2,FALSE)
),
IF(Info!$B$4="Board program",
IF(OR(AND(N$5&gt;0,N$5&gt;100),AND(N$5&gt;0,N$5&lt;100)),
VLOOKUP(FLOOR((Midterm!N9/N$5)*100,1),new_transmute,3,FALSE),
VLOOKUP(Midterm!N9,new_transmute,3,FALSE)
),
IF(Info!$B$4="Board program (Medicine)",
IF(OR(AND(N$5&gt;0,N$5&gt;100),AND(N$5&gt;0,N$5&lt;100)),
VLOOKUP(FLOOR((Midterm!N9/N$5)*100,1),new_transmute,4,FALSE),
VLOOKUP(Midterm!N9,new_transmute,4,FALSE)
),
""
)
)
)
)
)
)
)
)
))</f>
        <v/>
      </c>
      <c r="O9" s="14" t="str">
        <f>IF($B9="","",
IF(O$5="","",
IF(Midterm!O9="",0,
IF(NOT(ISNUMBER(Midterm!O9)),"NAN",
IF(Midterm!O9&lt;0,"NEG",
IF(Midterm!O9&gt;O$5,"OVER",
IF(AND(O$5&lt;=100,Midterm!O9&gt;100),"ERR",
IF(Info!$B$4="Non-board program",
IF(OR(AND(O$5&gt;0,O$5&gt;100),AND(O$5&gt;0,O$5&lt;100)),
VLOOKUP(FLOOR((Midterm!O9/O$5)*100,1),new_transmute,2,FALSE),
VLOOKUP(Midterm!O9,new_transmute,2,FALSE)
),
IF(Info!$B$4="Board program",
IF(OR(AND(O$5&gt;0,O$5&gt;100),AND(O$5&gt;0,O$5&lt;100)),
VLOOKUP(FLOOR((Midterm!O9/O$5)*100,1),new_transmute,3,FALSE),
VLOOKUP(Midterm!O9,new_transmute,3,FALSE)
),
IF(Info!$B$4="Board program (Medicine)",
IF(OR(AND(O$5&gt;0,O$5&gt;100),AND(O$5&gt;0,O$5&lt;100)),
VLOOKUP(FLOOR((Midterm!O9/O$5)*100,1),new_transmute,4,FALSE),
VLOOKUP(Midterm!O9,new_transmute,4,FALSE)
),
""
)
)
)
)
)
)
)
)
))</f>
        <v/>
      </c>
      <c r="P9" s="14" t="str">
        <f>IF($B9="","",
IF(P$5="","",
IF(Midterm!P9="",0,
IF(NOT(ISNUMBER(Midterm!P9)),"NAN",
IF(Midterm!P9&lt;0,"NEG",
IF(Midterm!P9&gt;P$5,"OVER",
IF(AND(P$5&lt;=100,Midterm!P9&gt;100),"ERR",
IF(Info!$B$4="Non-board program",
IF(OR(AND(P$5&gt;0,P$5&gt;100),AND(P$5&gt;0,P$5&lt;100)),
VLOOKUP(FLOOR((Midterm!P9/P$5)*100,1),new_transmute,2,FALSE),
VLOOKUP(Midterm!P9,new_transmute,2,FALSE)
),
IF(Info!$B$4="Board program",
IF(OR(AND(P$5&gt;0,P$5&gt;100),AND(P$5&gt;0,P$5&lt;100)),
VLOOKUP(FLOOR((Midterm!P9/P$5)*100,1),new_transmute,3,FALSE),
VLOOKUP(Midterm!P9,new_transmute,3,FALSE)
),
IF(Info!$B$4="Board program (Medicine)",
IF(OR(AND(P$5&gt;0,P$5&gt;100),AND(P$5&gt;0,P$5&lt;100)),
VLOOKUP(FLOOR((Midterm!P9/P$5)*100,1),new_transmute,4,FALSE),
VLOOKUP(Midterm!P9,new_transmute,4,FALSE)
),
""
)
)
)
)
)
)
)
)
))</f>
        <v/>
      </c>
      <c r="Q9" s="14" t="str">
        <f>IF($B9="","",
IF(Q$5="","",
IF(Midterm!Q9="",0,
IF(NOT(ISNUMBER(Midterm!Q9)),"NAN",
IF(Midterm!Q9&lt;0,"NEG",
IF(Midterm!Q9&gt;Q$5,"OVER",
IF(AND(Q$5&lt;=100,Midterm!Q9&gt;100),"ERR",
IF(Info!$B$4="Non-board program",
IF(OR(AND(Q$5&gt;0,Q$5&gt;100),AND(Q$5&gt;0,Q$5&lt;100)),
VLOOKUP(FLOOR((Midterm!Q9/Q$5)*100,1),new_transmute,2,FALSE),
VLOOKUP(Midterm!Q9,new_transmute,2,FALSE)
),
IF(Info!$B$4="Board program",
IF(OR(AND(Q$5&gt;0,Q$5&gt;100),AND(Q$5&gt;0,Q$5&lt;100)),
VLOOKUP(FLOOR((Midterm!Q9/Q$5)*100,1),new_transmute,3,FALSE),
VLOOKUP(Midterm!Q9,new_transmute,3,FALSE)
),
IF(Info!$B$4="Board program (Medicine)",
IF(OR(AND(Q$5&gt;0,Q$5&gt;100),AND(Q$5&gt;0,Q$5&lt;100)),
VLOOKUP(FLOOR((Midterm!Q9/Q$5)*100,1),new_transmute,4,FALSE),
VLOOKUP(Midterm!Q9,new_transmute,4,FALSE)
),
""
)
)
)
)
)
)
)
)
))</f>
        <v/>
      </c>
      <c r="R9" s="14" t="str">
        <f>IF($B9="","",
IF(R$5="","",
IF(Midterm!R9="",0,
IF(NOT(ISNUMBER(Midterm!R9)),"NAN",
IF(Midterm!R9&lt;0,"NEG",
IF(Midterm!R9&gt;R$5,"OVER",
IF(AND(R$5&lt;=100,Midterm!R9&gt;100),"ERR",
IF(Info!$B$4="Non-board program",
IF(OR(AND(R$5&gt;0,R$5&gt;100),AND(R$5&gt;0,R$5&lt;100)),
VLOOKUP(FLOOR((Midterm!R9/R$5)*100,1),new_transmute,2,FALSE),
VLOOKUP(Midterm!R9,new_transmute,2,FALSE)
),
IF(Info!$B$4="Board program",
IF(OR(AND(R$5&gt;0,R$5&gt;100),AND(R$5&gt;0,R$5&lt;100)),
VLOOKUP(FLOOR((Midterm!R9/R$5)*100,1),new_transmute,3,FALSE),
VLOOKUP(Midterm!R9,new_transmute,3,FALSE)
),
IF(Info!$B$4="Board program (Medicine)",
IF(OR(AND(R$5&gt;0,R$5&gt;100),AND(R$5&gt;0,R$5&lt;100)),
VLOOKUP(FLOOR((Midterm!R9/R$5)*100,1),new_transmute,4,FALSE),
VLOOKUP(Midterm!R9,new_transmute,4,FALSE)
),
""
)
)
)
)
)
)
)
)
))</f>
        <v/>
      </c>
      <c r="S9" s="115" t="str">
        <f t="shared" si="3"/>
        <v/>
      </c>
      <c r="T9" s="14" t="str">
        <f>IF($B9="","",
IF(T$5="","",
IF(Midterm!T9="",0,
IF(NOT(ISNUMBER(Midterm!T9)),"NAN",
IF(Midterm!T9&lt;0,"NEG",
IF(Midterm!T9&gt;T$5,"OVER",
IF(AND(T$5&lt;=100,Midterm!T9&gt;100),"ERR",
IF(Info!$B$4="Non-board program",
IF(OR(AND(T$5&gt;0,T$5&gt;100),AND(T$5&gt;0,T$5&lt;100)),
VLOOKUP(FLOOR((Midterm!T9/T$5)*100,1),new_transmute,2,FALSE),
VLOOKUP(Midterm!T9,new_transmute,2,FALSE)
),
IF(Info!$B$4="Board program",
IF(OR(AND(T$5&gt;0,T$5&gt;100),AND(T$5&gt;0,T$5&lt;100)),
VLOOKUP(FLOOR((Midterm!T9/T$5)*100,1),new_transmute,3,FALSE),
VLOOKUP(Midterm!T9,new_transmute,3,FALSE)
),
IF(Info!$B$4="Board program (Medicine)",
IF(OR(AND(T$5&gt;0,T$5&gt;100),AND(T$5&gt;0,T$5&lt;100)),
VLOOKUP(FLOOR((Midterm!T9/T$5)*100,1),new_transmute,4,FALSE),
VLOOKUP(Midterm!T9,new_transmute,4,FALSE)
),
""
)
)
)
)
)
)
)
)
))</f>
        <v/>
      </c>
      <c r="U9" s="14" t="str">
        <f>IF($B9="","",
IF(U$5="","",
IF(Midterm!U9="",0,
IF(NOT(ISNUMBER(Midterm!U9)),"NAN",
IF(Midterm!U9&lt;0,"NEG",
IF(Midterm!U9&gt;U$5,"OVER",
IF(AND(U$5&lt;=100,Midterm!U9&gt;100),"ERR",
IF(Info!$B$4="Non-board program",
IF(OR(AND(U$5&gt;0,U$5&gt;100),AND(U$5&gt;0,U$5&lt;100)),
VLOOKUP(FLOOR((Midterm!U9/U$5)*100,1),new_transmute,2,FALSE),
VLOOKUP(Midterm!U9,new_transmute,2,FALSE)
),
IF(Info!$B$4="Board program",
IF(OR(AND(U$5&gt;0,U$5&gt;100),AND(U$5&gt;0,U$5&lt;100)),
VLOOKUP(FLOOR((Midterm!U9/U$5)*100,1),new_transmute,3,FALSE),
VLOOKUP(Midterm!U9,new_transmute,3,FALSE)
),
IF(Info!$B$4="Board program (Medicine)",
IF(OR(AND(U$5&gt;0,U$5&gt;100),AND(U$5&gt;0,U$5&lt;100)),
VLOOKUP(FLOOR((Midterm!U9/U$5)*100,1),new_transmute,4,FALSE),
VLOOKUP(Midterm!U9,new_transmute,4,FALSE)
),
""
)
)
)
)
)
)
)
)
))</f>
        <v/>
      </c>
      <c r="V9" s="14" t="str">
        <f>IF($B9="","",
IF(V$5="","",
IF(Midterm!V9="",0,
IF(NOT(ISNUMBER(Midterm!V9)),"NAN",
IF(Midterm!V9&lt;0,"NEG",
IF(Midterm!V9&gt;V$5,"OVER",
IF(AND(V$5&lt;=100,Midterm!V9&gt;100),"ERR",
IF(Info!$B$4="Non-board program",
IF(OR(AND(V$5&gt;0,V$5&gt;100),AND(V$5&gt;0,V$5&lt;100)),
VLOOKUP(FLOOR((Midterm!V9/V$5)*100,1),new_transmute,2,FALSE),
VLOOKUP(Midterm!V9,new_transmute,2,FALSE)
),
IF(Info!$B$4="Board program",
IF(OR(AND(V$5&gt;0,V$5&gt;100),AND(V$5&gt;0,V$5&lt;100)),
VLOOKUP(FLOOR((Midterm!V9/V$5)*100,1),new_transmute,3,FALSE),
VLOOKUP(Midterm!V9,new_transmute,3,FALSE)
),
IF(Info!$B$4="Board program (Medicine)",
IF(OR(AND(V$5&gt;0,V$5&gt;100),AND(V$5&gt;0,V$5&lt;100)),
VLOOKUP(FLOOR((Midterm!V9/V$5)*100,1),new_transmute,4,FALSE),
VLOOKUP(Midterm!V9,new_transmute,4,FALSE)
),
""
)
)
)
)
)
)
)
)
))</f>
        <v/>
      </c>
      <c r="W9" s="14" t="str">
        <f>IF($B9="","",
IF(W$5="","",
IF(Midterm!W9="",0,
IF(NOT(ISNUMBER(Midterm!W9)),"NAN",
IF(Midterm!W9&lt;0,"NEG",
IF(Midterm!W9&gt;W$5,"OVER",
IF(AND(W$5&lt;=100,Midterm!W9&gt;100),"ERR",
IF(Info!$B$4="Non-board program",
IF(OR(AND(W$5&gt;0,W$5&gt;100),AND(W$5&gt;0,W$5&lt;100)),
VLOOKUP(FLOOR((Midterm!W9/W$5)*100,1),new_transmute,2,FALSE),
VLOOKUP(Midterm!W9,new_transmute,2,FALSE)
),
IF(Info!$B$4="Board program",
IF(OR(AND(W$5&gt;0,W$5&gt;100),AND(W$5&gt;0,W$5&lt;100)),
VLOOKUP(FLOOR((Midterm!W9/W$5)*100,1),new_transmute,3,FALSE),
VLOOKUP(Midterm!W9,new_transmute,3,FALSE)
),
IF(Info!$B$4="Board program (Medicine)",
IF(OR(AND(W$5&gt;0,W$5&gt;100),AND(W$5&gt;0,W$5&lt;100)),
VLOOKUP(FLOOR((Midterm!W9/W$5)*100,1),new_transmute,4,FALSE),
VLOOKUP(Midterm!W9,new_transmute,4,FALSE)
),
""
)
)
)
)
)
)
)
)
))</f>
        <v/>
      </c>
      <c r="X9" s="14" t="str">
        <f>IF($B9="","",
IF(X$5="","",
IF(Midterm!X9="",0,
IF(NOT(ISNUMBER(Midterm!X9)),"NAN",
IF(Midterm!X9&lt;0,"NEG",
IF(Midterm!X9&gt;X$5,"OVER",
IF(AND(X$5&lt;=100,Midterm!X9&gt;100),"ERR",
IF(Info!$B$4="Non-board program",
IF(OR(AND(X$5&gt;0,X$5&gt;100),AND(X$5&gt;0,X$5&lt;100)),
VLOOKUP(FLOOR((Midterm!X9/X$5)*100,1),new_transmute,2,FALSE),
VLOOKUP(Midterm!X9,new_transmute,2,FALSE)
),
IF(Info!$B$4="Board program",
IF(OR(AND(X$5&gt;0,X$5&gt;100),AND(X$5&gt;0,X$5&lt;100)),
VLOOKUP(FLOOR((Midterm!X9/X$5)*100,1),new_transmute,3,FALSE),
VLOOKUP(Midterm!X9,new_transmute,3,FALSE)
),
IF(Info!$B$4="Board program (Medicine)",
IF(OR(AND(X$5&gt;0,X$5&gt;100),AND(X$5&gt;0,X$5&lt;100)),
VLOOKUP(FLOOR((Midterm!X9/X$5)*100,1),new_transmute,4,FALSE),
VLOOKUP(Midterm!X9,new_transmute,4,FALSE)
),
""
)
)
)
)
)
)
)
)
))</f>
        <v/>
      </c>
      <c r="Y9" s="112" t="str">
        <f t="shared" si="4"/>
        <v/>
      </c>
      <c r="Z9" s="14" t="str">
        <f>IF($B9="","",
IF(Z$5="","",
IF(Midterm!Z9="",0,
IF(NOT(ISNUMBER(Midterm!Z9)),"NAN",
IF(Midterm!Z9&lt;0,"NEG",
IF(Midterm!Z9&gt;Z$5,"OVER",
IF(AND(Z$5&lt;=100,Midterm!Z9&gt;100),"ERR",
IF(Info!$B$4="Non-board program",
IF(OR(AND(Z$5&gt;0,Z$5&gt;100),AND(Z$5&gt;0,Z$5&lt;100)),
VLOOKUP(FLOOR((Midterm!Z9/Z$5)*100,1),new_transmute,2,FALSE),
VLOOKUP(Midterm!Z9,new_transmute,2,FALSE)
),
IF(Info!$B$4="Board program",
IF(OR(AND(Z$5&gt;0,Z$5&gt;100),AND(Z$5&gt;0,Z$5&lt;100)),
VLOOKUP(FLOOR((Midterm!Z9/Z$5)*100,1),new_transmute,3,FALSE),
VLOOKUP(Midterm!Z9,new_transmute,3,FALSE)
),
IF(Info!$B$4="Board program (Medicine)",
IF(OR(AND(Z$5&gt;0,Z$5&gt;100),AND(Z$5&gt;0,Z$5&lt;100)),
VLOOKUP(FLOOR((Midterm!Z9/Z$5)*100,1),new_transmute,4,FALSE),
VLOOKUP(Midterm!Z9,new_transmute,4,FALSE)
),
""
)
)
)
)
)
)
)
)
))</f>
        <v/>
      </c>
      <c r="AA9" s="14" t="str">
        <f>IF($B9="","",
IF(AA$5="","",
IF(Midterm!AA9="",0,
IF(NOT(ISNUMBER(Midterm!AA9)),"NAN",
IF(Midterm!AA9&lt;0,"NEG",
IF(Midterm!AA9&gt;AA$5,"OVER",
IF(AND(AA$5&lt;=100,Midterm!AA9&gt;100),"ERR",
IF(Info!$B$4="Non-board program",
IF(OR(AND(AA$5&gt;0,AA$5&gt;100),AND(AA$5&gt;0,AA$5&lt;100)),
VLOOKUP(FLOOR((Midterm!AA9/AA$5)*100,1),new_transmute,2,FALSE),
VLOOKUP(Midterm!AA9,new_transmute,2,FALSE)
),
IF(Info!$B$4="Board program",
IF(OR(AND(AA$5&gt;0,AA$5&gt;100),AND(AA$5&gt;0,AA$5&lt;100)),
VLOOKUP(FLOOR((Midterm!AA9/AA$5)*100,1),new_transmute,3,FALSE),
VLOOKUP(Midterm!AA9,new_transmute,3,FALSE)
),
IF(Info!$B$4="Board program (Medicine)",
IF(OR(AND(AA$5&gt;0,AA$5&gt;100),AND(AA$5&gt;0,AA$5&lt;100)),
VLOOKUP(FLOOR((Midterm!AA9/AA$5)*100,1),new_transmute,4,FALSE),
VLOOKUP(Midterm!AA9,new_transmute,4,FALSE)
),
""
)
)
)
)
)
)
)
)
))</f>
        <v/>
      </c>
      <c r="AB9" s="14" t="str">
        <f>IF($B9="","",
IF(AB$5="","",
IF(Midterm!AB9="",0,
IF(NOT(ISNUMBER(Midterm!AB9)),"NAN",
IF(Midterm!AB9&lt;0,"NEG",
IF(Midterm!AB9&gt;AB$5,"OVER",
IF(AND(AB$5&lt;=100,Midterm!AB9&gt;100),"ERR",
IF(Info!$B$4="Non-board program",
IF(OR(AND(AB$5&gt;0,AB$5&gt;100),AND(AB$5&gt;0,AB$5&lt;100)),
VLOOKUP(FLOOR((Midterm!AB9/AB$5)*100,1),new_transmute,2,FALSE),
VLOOKUP(Midterm!AB9,new_transmute,2,FALSE)
),
IF(Info!$B$4="Board program",
IF(OR(AND(AB$5&gt;0,AB$5&gt;100),AND(AB$5&gt;0,AB$5&lt;100)),
VLOOKUP(FLOOR((Midterm!AB9/AB$5)*100,1),new_transmute,3,FALSE),
VLOOKUP(Midterm!AB9,new_transmute,3,FALSE)
),
IF(Info!$B$4="Board program (Medicine)",
IF(OR(AND(AB$5&gt;0,AB$5&gt;100),AND(AB$5&gt;0,AB$5&lt;100)),
VLOOKUP(FLOOR((Midterm!AB9/AB$5)*100,1),new_transmute,4,FALSE),
VLOOKUP(Midterm!AB9,new_transmute,4,FALSE)
),
""
)
)
)
)
)
)
)
)
))</f>
        <v/>
      </c>
      <c r="AC9" s="14" t="str">
        <f>IF($B9="","",
IF(AC$5="","",
IF(Midterm!AC9="",0,
IF(NOT(ISNUMBER(Midterm!AC9)),"NAN",
IF(Midterm!AC9&lt;0,"NEG",
IF(Midterm!AC9&gt;AC$5,"OVER",
IF(AND(AC$5&lt;=100,Midterm!AC9&gt;100),"ERR",
IF(Info!$B$4="Non-board program",
IF(OR(AND(AC$5&gt;0,AC$5&gt;100),AND(AC$5&gt;0,AC$5&lt;100)),
VLOOKUP(FLOOR((Midterm!AC9/AC$5)*100,1),new_transmute,2,FALSE),
VLOOKUP(Midterm!AC9,new_transmute,2,FALSE)
),
IF(Info!$B$4="Board program",
IF(OR(AND(AC$5&gt;0,AC$5&gt;100),AND(AC$5&gt;0,AC$5&lt;100)),
VLOOKUP(FLOOR((Midterm!AC9/AC$5)*100,1),new_transmute,3,FALSE),
VLOOKUP(Midterm!AC9,new_transmute,3,FALSE)
),
IF(Info!$B$4="Board program (Medicine)",
IF(OR(AND(AC$5&gt;0,AC$5&gt;100),AND(AC$5&gt;0,AC$5&lt;100)),
VLOOKUP(FLOOR((Midterm!AC9/AC$5)*100,1),new_transmute,4,FALSE),
VLOOKUP(Midterm!AC9,new_transmute,4,FALSE)
),
""
)
)
)
)
)
)
)
)
))</f>
        <v/>
      </c>
      <c r="AD9" s="14" t="str">
        <f>IF($B9="","",
IF(AD$5="","",
IF(Midterm!AD9="",0,
IF(NOT(ISNUMBER(Midterm!AD9)),"NAN",
IF(Midterm!AD9&lt;0,"NEG",
IF(Midterm!AD9&gt;AD$5,"OVER",
IF(AND(AD$5&lt;=100,Midterm!AD9&gt;100),"ERR",
IF(Info!$B$4="Non-board program",
IF(OR(AND(AD$5&gt;0,AD$5&gt;100),AND(AD$5&gt;0,AD$5&lt;100)),
VLOOKUP(FLOOR((Midterm!AD9/AD$5)*100,1),new_transmute,2,FALSE),
VLOOKUP(Midterm!AD9,new_transmute,2,FALSE)
),
IF(Info!$B$4="Board program",
IF(OR(AND(AD$5&gt;0,AD$5&gt;100),AND(AD$5&gt;0,AD$5&lt;100)),
VLOOKUP(FLOOR((Midterm!AD9/AD$5)*100,1),new_transmute,3,FALSE),
VLOOKUP(Midterm!AD9,new_transmute,3,FALSE)
),
IF(Info!$B$4="Board program (Medicine)",
IF(OR(AND(AD$5&gt;0,AD$5&gt;100),AND(AD$5&gt;0,AD$5&lt;100)),
VLOOKUP(FLOOR((Midterm!AD9/AD$5)*100,1),new_transmute,4,FALSE),
VLOOKUP(Midterm!AD9,new_transmute,4,FALSE)
),
""
)
)
)
)
)
)
)
)
))</f>
        <v/>
      </c>
      <c r="AE9" s="58" t="str">
        <f t="shared" si="5"/>
        <v/>
      </c>
      <c r="AF9" s="14" t="str">
        <f>IF($B9="","",
IF(AF$5="","",
IF(Midterm!AF9="",0,
IF(NOT(ISNUMBER(Midterm!AF9)),"NAN",
IF(Midterm!AF9&lt;0,"NEG",
IF(Midterm!AF9&gt;AF$5,"OVER",
IF(AND(AF$5&lt;=100,Midterm!AF9&gt;100),"ERR",
IF(Info!$B$4="Non-board program",
IF(OR(AND(AF$5&gt;0,AF$5&gt;100),AND(AF$5&gt;0,AF$5&lt;100)),
VLOOKUP(FLOOR((Midterm!AF9/AF$5)*100,1),new_transmute,2,FALSE),
VLOOKUP(Midterm!AF9,new_transmute,2,FALSE)
),
IF(Info!$B$4="Board program",
IF(OR(AND(AF$5&gt;0,AF$5&gt;100),AND(AF$5&gt;0,AF$5&lt;100)),
VLOOKUP(FLOOR((Midterm!AF9/AF$5)*100,1),new_transmute,3,FALSE),
VLOOKUP(Midterm!AF9,new_transmute,3,FALSE)
),
IF(Info!$B$4="Board program (Medicine)",
IF(OR(AND(AF$5&gt;0,AF$5&gt;100),AND(AF$5&gt;0,AF$5&lt;100)),
VLOOKUP(FLOOR((Midterm!AF9/AF$5)*100,1),new_transmute,4,FALSE),
VLOOKUP(Midterm!AF9,new_transmute,4,FALSE)
),
""
)
)
)
)
)
)
)
)
))</f>
        <v/>
      </c>
      <c r="AG9" s="14" t="str">
        <f>IF($B9="","",
IF(AG$5="","",
IF(Midterm!AG9="",0,
IF(NOT(ISNUMBER(Midterm!AG9)),"NAN",
IF(Midterm!AG9&lt;0,"NEG",
IF(Midterm!AG9&gt;AG$5,"OVER",
IF(AND(AG$5&lt;=100,Midterm!AG9&gt;100),"ERR",
IF(Info!$B$4="Non-board program",
IF(OR(AND(AG$5&gt;0,AG$5&gt;100),AND(AG$5&gt;0,AG$5&lt;100)),
VLOOKUP(FLOOR((Midterm!AG9/AG$5)*100,1),new_transmute,2,FALSE),
VLOOKUP(Midterm!AG9,new_transmute,2,FALSE)
),
IF(Info!$B$4="Board program",
IF(OR(AND(AG$5&gt;0,AG$5&gt;100),AND(AG$5&gt;0,AG$5&lt;100)),
VLOOKUP(FLOOR((Midterm!AG9/AG$5)*100,1),new_transmute,3,FALSE),
VLOOKUP(Midterm!AG9,new_transmute,3,FALSE)
),
IF(Info!$B$4="Board program (Medicine)",
IF(OR(AND(AG$5&gt;0,AG$5&gt;100),AND(AG$5&gt;0,AG$5&lt;100)),
VLOOKUP(FLOOR((Midterm!AG9/AG$5)*100,1),new_transmute,4,FALSE),
VLOOKUP(Midterm!AG9,new_transmute,4,FALSE)
),
""
)
)
)
)
)
)
)
)
))</f>
        <v/>
      </c>
      <c r="AH9" s="14" t="str">
        <f>IF($B9="","",
IF(AH$5="","",
IF(Midterm!AH9="",0,
IF(NOT(ISNUMBER(Midterm!AH9)),"NAN",
IF(Midterm!AH9&lt;0,"NEG",
IF(Midterm!AH9&gt;AH$5,"OVER",
IF(AND(AH$5&lt;=100,Midterm!AH9&gt;100),"ERR",
IF(Info!$B$4="Non-board program",
IF(OR(AND(AH$5&gt;0,AH$5&gt;100),AND(AH$5&gt;0,AH$5&lt;100)),
VLOOKUP(FLOOR((Midterm!AH9/AH$5)*100,1),new_transmute,2,FALSE),
VLOOKUP(Midterm!AH9,new_transmute,2,FALSE)
),
IF(Info!$B$4="Board program",
IF(OR(AND(AH$5&gt;0,AH$5&gt;100),AND(AH$5&gt;0,AH$5&lt;100)),
VLOOKUP(FLOOR((Midterm!AH9/AH$5)*100,1),new_transmute,3,FALSE),
VLOOKUP(Midterm!AH9,new_transmute,3,FALSE)
),
IF(Info!$B$4="Board program (Medicine)",
IF(OR(AND(AH$5&gt;0,AH$5&gt;100),AND(AH$5&gt;0,AH$5&lt;100)),
VLOOKUP(FLOOR((Midterm!AH9/AH$5)*100,1),new_transmute,4,FALSE),
VLOOKUP(Midterm!AH9,new_transmute,4,FALSE)
),
""
)
)
)
)
)
)
)
)
))</f>
        <v/>
      </c>
      <c r="AI9" s="14" t="str">
        <f>IF($B9="","",
IF(AI$5="","",
IF(Midterm!AI9="",0,
IF(NOT(ISNUMBER(Midterm!AI9)),"NAN",
IF(Midterm!AI9&lt;0,"NEG",
IF(Midterm!AI9&gt;AI$5,"OVER",
IF(AND(AI$5&lt;=100,Midterm!AI9&gt;100),"ERR",
IF(Info!$B$4="Non-board program",
IF(OR(AND(AI$5&gt;0,AI$5&gt;100),AND(AI$5&gt;0,AI$5&lt;100)),
VLOOKUP(FLOOR((Midterm!AI9/AI$5)*100,1),new_transmute,2,FALSE),
VLOOKUP(Midterm!AI9,new_transmute,2,FALSE)
),
IF(Info!$B$4="Board program",
IF(OR(AND(AI$5&gt;0,AI$5&gt;100),AND(AI$5&gt;0,AI$5&lt;100)),
VLOOKUP(FLOOR((Midterm!AI9/AI$5)*100,1),new_transmute,3,FALSE),
VLOOKUP(Midterm!AI9,new_transmute,3,FALSE)
),
IF(Info!$B$4="Board program (Medicine)",
IF(OR(AND(AI$5&gt;0,AI$5&gt;100),AND(AI$5&gt;0,AI$5&lt;100)),
VLOOKUP(FLOOR((Midterm!AI9/AI$5)*100,1),new_transmute,4,FALSE),
VLOOKUP(Midterm!AI9,new_transmute,4,FALSE)
),
""
)
)
)
)
)
)
)
)
))</f>
        <v/>
      </c>
      <c r="AJ9" s="14" t="str">
        <f>IF($B9="","",
IF(AJ$5="","",
IF(Midterm!AJ9="",0,
IF(NOT(ISNUMBER(Midterm!AJ9)),"NAN",
IF(Midterm!AJ9&lt;0,"NEG",
IF(Midterm!AJ9&gt;AJ$5,"OVER",
IF(AND(AJ$5&lt;=100,Midterm!AJ9&gt;100),"ERR",
IF(Info!$B$4="Non-board program",
IF(OR(AND(AJ$5&gt;0,AJ$5&gt;100),AND(AJ$5&gt;0,AJ$5&lt;100)),
VLOOKUP(FLOOR((Midterm!AJ9/AJ$5)*100,1),new_transmute,2,FALSE),
VLOOKUP(Midterm!AJ9,new_transmute,2,FALSE)
),
IF(Info!$B$4="Board program",
IF(OR(AND(AJ$5&gt;0,AJ$5&gt;100),AND(AJ$5&gt;0,AJ$5&lt;100)),
VLOOKUP(FLOOR((Midterm!AJ9/AJ$5)*100,1),new_transmute,3,FALSE),
VLOOKUP(Midterm!AJ9,new_transmute,3,FALSE)
),
IF(Info!$B$4="Board program (Medicine)",
IF(OR(AND(AJ$5&gt;0,AJ$5&gt;100),AND(AJ$5&gt;0,AJ$5&lt;100)),
VLOOKUP(FLOOR((Midterm!AJ9/AJ$5)*100,1),new_transmute,4,FALSE),
VLOOKUP(Midterm!AJ9,new_transmute,4,FALSE)
),
""
)
)
)
)
)
)
)
)
))</f>
        <v/>
      </c>
      <c r="AK9" s="59" t="str">
        <f t="shared" si="6"/>
        <v/>
      </c>
      <c r="AL9" s="60" t="str">
        <f>IF(B9="", "",
    IF(OR(M9="OVER", S9="OVER", Y9="OVER", AE9="OVER", AK9="OVER"),
        "OVER",
        IF(Info!$B$4="Non-board program",
            VLOOKUP(IFERROR(FLOOR(SUM((M9*$M$4), (S9*$S$4), (Y9*$Y$4), (AE9*$AE$4), (AK9*$AK$4)) * (100 / 60), 1), 0), new_transmute, 2, FALSE),
            IF(Info!$B$4="Board program",
                VLOOKUP(IFERROR(FLOOR(SUM((M9*$M$4), (S9*$S$4), (Y9*$Y$4), (AE9*$AE$4), (AK9*$AK$4)) * (100 / 60), 1), 0), new_transmute, 3, FALSE),
                IF(Info!$B$4="Board program (Medicine)",
                    VLOOKUP(IFERROR(FLOOR(SUM((M9*$M$4), (S9*$S$4), (Y9*$Y$4), (AE9*$AE$4), (AK9*$AK$4)) * (100 / 60), 1), 0), new_transmute, 4, FALSE),
                    ""
                )
            )
        )
    )
)</f>
        <v/>
      </c>
      <c r="AM9" s="14" t="str">
        <f>IF($B9="","",
IF(AM$5="","",
IF(Midterm!AM9="",0,
IF(NOT(ISNUMBER(Midterm!AM9)),"NAN",
IF(Midterm!AM9&lt;0,"NEG",
IF(Midterm!AM9&gt;AM$5,"OVER",
IF(AND(AM$5&lt;=100,Midterm!AM9&gt;100),"ERR",
IF(Info!$B$4="Non-board program",
IF(OR(AND(AM$5&gt;0,AM$5&gt;100),AND(AM$5&gt;0,AM$5&lt;100)),
VLOOKUP(FLOOR((Midterm!AM9/AM$5)*100,1),new_transmute,2,FALSE),
VLOOKUP(Midterm!AM9,new_transmute,2,FALSE)
),
IF(Info!$B$4="Board program",
IF(OR(AND(AM$5&gt;0,AM$5&gt;100),AND(AM$5&gt;0,AM$5&lt;100)),
VLOOKUP(FLOOR((Midterm!AM9/AM$5)*100,1),new_transmute,3,FALSE),
VLOOKUP(Midterm!AM9,new_transmute,3,FALSE)
),
IF(Info!$B$4="Board program (Medicine)",
IF(OR(AND(AM$5&gt;0,AM$5&gt;100),AND(AM$5&gt;0,AM$5&lt;100)),
VLOOKUP(FLOOR((Midterm!AM9/AM$5)*100,1),new_transmute,4,FALSE),
VLOOKUP(Midterm!AM9,new_transmute,4,FALSE)
),
""
)
)
)
)
)
)
)
)
))</f>
        <v/>
      </c>
      <c r="AN9" s="14" t="str">
        <f>IF($B9="","",
IF(AN$5="","",
IF(Midterm!AN9="",0,
IF(NOT(ISNUMBER(Midterm!AN9)),"NAN",
IF(Midterm!AN9&lt;0,"NEG",
IF(Midterm!AN9&gt;AN$5,"OVER",
IF(AND(AN$5&lt;=100,Midterm!AN9&gt;100),"ERR",
IF(Info!$B$4="Non-board program",
IF(OR(AND(AN$5&gt;0,AN$5&gt;100),AND(AN$5&gt;0,AN$5&lt;100)),
VLOOKUP(FLOOR((Midterm!AN9/AN$5)*100,1),new_transmute,2,FALSE),
VLOOKUP(Midterm!AN9,new_transmute,2,FALSE)
),
IF(Info!$B$4="Board program",
IF(OR(AND(AN$5&gt;0,AN$5&gt;100),AND(AN$5&gt;0,AN$5&lt;100)),
VLOOKUP(FLOOR((Midterm!AN9/AN$5)*100,1),new_transmute,3,FALSE),
VLOOKUP(Midterm!AN9,new_transmute,3,FALSE)
),
IF(Info!$B$4="Board program (Medicine)",
IF(OR(AND(AN$5&gt;0,AN$5&gt;100),AND(AN$5&gt;0,AN$5&lt;100)),
VLOOKUP(FLOOR((Midterm!AN9/AN$5)*100,1),new_transmute,4,FALSE),
VLOOKUP(Midterm!AN9,new_transmute,4,FALSE)
),
""
)
)
)
)
)
)
)
)
))</f>
        <v/>
      </c>
      <c r="AO9" s="14" t="str">
        <f>IF($B9="","",
IF(AO$5="","",
IF(Midterm!AO9="",0,
IF(NOT(ISNUMBER(Midterm!AO9)),"NAN",
IF(Midterm!AO9&lt;0,"NEG",
IF(Midterm!AO9&gt;AO$5,"OVER",
IF(AND(AO$5&lt;=100,Midterm!AO9&gt;100),"ERR",
IF(Info!$B$4="Non-board program",
IF(OR(AND(AO$5&gt;0,AO$5&gt;100),AND(AO$5&gt;0,AO$5&lt;100)),
VLOOKUP(FLOOR((Midterm!AO9/AO$5)*100,1),new_transmute,2,FALSE),
VLOOKUP(Midterm!AO9,new_transmute,2,FALSE)
),
IF(Info!$B$4="Board program",
IF(OR(AND(AO$5&gt;0,AO$5&gt;100),AND(AO$5&gt;0,AO$5&lt;100)),
VLOOKUP(FLOOR((Midterm!AO9/AO$5)*100,1),new_transmute,3,FALSE),
VLOOKUP(Midterm!AO9,new_transmute,3,FALSE)
),
IF(Info!$B$4="Board program (Medicine)",
IF(OR(AND(AO$5&gt;0,AO$5&gt;100),AND(AO$5&gt;0,AO$5&lt;100)),
VLOOKUP(FLOOR((Midterm!AO9/AO$5)*100,1),new_transmute,4,FALSE),
VLOOKUP(Midterm!AO9,new_transmute,4,FALSE)
),
""
)
)
)
)
)
)
)
)
))</f>
        <v/>
      </c>
      <c r="AP9" s="14" t="str">
        <f>IF($B9="","",
IF(AP$5="","",
IF(Midterm!AP9="",0,
IF(NOT(ISNUMBER(Midterm!AP9)),"NAN",
IF(Midterm!AP9&lt;0,"NEG",
IF(Midterm!AP9&gt;AP$5,"OVER",
IF(AND(AP$5&lt;=100,Midterm!AP9&gt;100),"ERR",
IF(Info!$B$4="Non-board program",
IF(OR(AND(AP$5&gt;0,AP$5&gt;100),AND(AP$5&gt;0,AP$5&lt;100)),
VLOOKUP(FLOOR((Midterm!AP9/AP$5)*100,1),new_transmute,2,FALSE),
VLOOKUP(Midterm!AP9,new_transmute,2,FALSE)
),
IF(Info!$B$4="Board program",
IF(OR(AND(AP$5&gt;0,AP$5&gt;100),AND(AP$5&gt;0,AP$5&lt;100)),
VLOOKUP(FLOOR((Midterm!AP9/AP$5)*100,1),new_transmute,3,FALSE),
VLOOKUP(Midterm!AP9,new_transmute,3,FALSE)
),
IF(Info!$B$4="Board program (Medicine)",
IF(OR(AND(AP$5&gt;0,AP$5&gt;100),AND(AP$5&gt;0,AP$5&lt;100)),
VLOOKUP(FLOOR((Midterm!AP9/AP$5)*100,1),new_transmute,4,FALSE),
VLOOKUP(Midterm!AP9,new_transmute,4,FALSE)
),
""
)
)
)
)
)
)
)
)
))</f>
        <v/>
      </c>
      <c r="AQ9" s="61" t="str">
        <f t="shared" si="7"/>
        <v/>
      </c>
      <c r="AR9" s="48" t="str">
        <f>IF(Midterm!AR9="","",Midterm!AR9)</f>
        <v/>
      </c>
      <c r="AS9" s="165" t="str">
        <f t="shared" si="8"/>
        <v/>
      </c>
      <c r="AT9" s="14" t="str">
        <f t="shared" si="0"/>
        <v/>
      </c>
      <c r="AU9" s="14" t="str">
        <f>IF(B9="","",VLOOKUP(AT9,'New Grade Equivalent'!$B$3:$C$47,2,FALSE))</f>
        <v/>
      </c>
    </row>
    <row r="10" spans="1:47" x14ac:dyDescent="0.25">
      <c r="A10" s="8">
        <v>5</v>
      </c>
      <c r="B10" s="2" t="str">
        <f>IF('Student List'!C14="","",UPPER(LEFT('Student List'!C14,FIND(",",'Student List'!C14)-1)))</f>
        <v/>
      </c>
      <c r="C10" s="12" t="str">
        <f>IF('Student List'!C14="","",PROPER(MID('Student List'!C14, FIND(",", 'Student List'!C14) + 2, LEN('Student List'!C14) - FIND(",", 'Student List'!C14) - 1)))</f>
        <v/>
      </c>
      <c r="D10" s="127" t="str">
        <f>IF(B10="","",IF(Midterm!D10="", "NA", Midterm!D10))</f>
        <v/>
      </c>
      <c r="E10" s="8" t="str">
        <f>IF(B10="","",
  IF(Info!$B$5="First Year",
    IF(D10="Yes", "DRP",
      IF(D10="No", "WF", "")
    )
  )
)</f>
        <v/>
      </c>
      <c r="F10" s="14" t="str">
        <f>IF($B10="","",
IF(F$5="","",
IF(Midterm!F10="",0,
IF(NOT(ISNUMBER(Midterm!F10)),"NAN",
IF(Midterm!F10&lt;0,"NEG",
IF(Midterm!F10&gt;F$5,"OVER",
IF(AND(F$5&lt;=100,Midterm!F10&gt;100),"ERR",
IF(Info!$B$4="Non-board program",
IF(OR(AND(F$5&gt;0,F$5&gt;100),AND(F$5&gt;0,F$5&lt;100)),
VLOOKUP(FLOOR((Midterm!F10/F$5)*100,1),new_transmute,2,FALSE),
VLOOKUP(Midterm!F10,new_transmute,2,FALSE)
),
IF(Info!$B$4="Board program",
IF(OR(AND(F$5&gt;0,F$5&gt;100),AND(F$5&gt;0,F$5&lt;100)),
VLOOKUP(FLOOR((Midterm!F10/F$5)*100,1),new_transmute,3,FALSE),
VLOOKUP(Midterm!F10,new_transmute,3,FALSE)
),
IF(Info!$B$4="Board program (Medicine)",
IF(OR(AND(F$5&gt;0,F$5&gt;100),AND(F$5&gt;0,F$5&lt;100)),
VLOOKUP(FLOOR((Midterm!F10/F$5)*100,1),new_transmute,4,FALSE),
VLOOKUP(Midterm!F10,new_transmute,4,FALSE)
),
""
)
)
)
)
)
)
)
)
))</f>
        <v/>
      </c>
      <c r="G10" s="57" t="str">
        <f t="shared" si="1"/>
        <v/>
      </c>
      <c r="H10" s="14" t="str">
        <f>IF($B10="","",
IF(H$5="","",
IF(Midterm!H10="",0,
IF(NOT(ISNUMBER(Midterm!H10)),"NAN",
IF(Midterm!H10&lt;0,"NEG",
IF(Midterm!H10&gt;H$5,"OVER",
IF(AND(H$5&lt;=100,Midterm!H10&gt;100),"ERR",
IF(Info!$B$4="Non-board program",
IF(OR(AND(H$5&gt;0,H$5&gt;100),AND(H$5&gt;0,H$5&lt;100)),
VLOOKUP(FLOOR((Midterm!H10/H$5)*100,1),new_transmute,2,FALSE),
VLOOKUP(Midterm!H10,new_transmute,2,FALSE)
),
IF(Info!$B$4="Board program",
IF(OR(AND(H$5&gt;0,H$5&gt;100),AND(H$5&gt;0,H$5&lt;100)),
VLOOKUP(FLOOR((Midterm!H10/H$5)*100,1),new_transmute,3,FALSE),
VLOOKUP(Midterm!H10,new_transmute,3,FALSE)
),
IF(Info!$B$4="Board program (Medicine)",
IF(OR(AND(H$5&gt;0,H$5&gt;100),AND(H$5&gt;0,H$5&lt;100)),
VLOOKUP(FLOOR((Midterm!H10/H$5)*100,1),new_transmute,4,FALSE),
VLOOKUP(Midterm!H10,new_transmute,4,FALSE)
),
""
)
)
)
)
)
)
)
)
))</f>
        <v/>
      </c>
      <c r="I10" s="14" t="str">
        <f>IF($B10="","",
IF(I$5="","",
IF(Midterm!I10="",0,
IF(NOT(ISNUMBER(Midterm!I10)),"NAN",
IF(Midterm!I10&lt;0,"NEG",
IF(Midterm!I10&gt;I$5,"OVER",
IF(AND(I$5&lt;=100,Midterm!I10&gt;100),"ERR",
IF(Info!$B$4="Non-board program",
IF(OR(AND(I$5&gt;0,I$5&gt;100),AND(I$5&gt;0,I$5&lt;100)),
VLOOKUP(FLOOR((Midterm!I10/I$5)*100,1),new_transmute,2,FALSE),
VLOOKUP(Midterm!I10,new_transmute,2,FALSE)
),
IF(Info!$B$4="Board program",
IF(OR(AND(I$5&gt;0,I$5&gt;100),AND(I$5&gt;0,I$5&lt;100)),
VLOOKUP(FLOOR((Midterm!I10/I$5)*100,1),new_transmute,3,FALSE),
VLOOKUP(Midterm!I10,new_transmute,3,FALSE)
),
IF(Info!$B$4="Board program (Medicine)",
IF(OR(AND(I$5&gt;0,I$5&gt;100),AND(I$5&gt;0,I$5&lt;100)),
VLOOKUP(FLOOR((Midterm!I10/I$5)*100,1),new_transmute,4,FALSE),
VLOOKUP(Midterm!I10,new_transmute,4,FALSE)
),
""
)
)
)
)
)
)
)
)
))</f>
        <v/>
      </c>
      <c r="J10" s="14" t="str">
        <f>IF($B10="","",
IF(J$5="","",
IF(Midterm!J10="",0,
IF(NOT(ISNUMBER(Midterm!J10)),"NAN",
IF(Midterm!J10&lt;0,"NEG",
IF(Midterm!J10&gt;J$5,"OVER",
IF(AND(J$5&lt;=100,Midterm!J10&gt;100),"ERR",
IF(Info!$B$4="Non-board program",
IF(OR(AND(J$5&gt;0,J$5&gt;100),AND(J$5&gt;0,J$5&lt;100)),
VLOOKUP(FLOOR((Midterm!J10/J$5)*100,1),new_transmute,2,FALSE),
VLOOKUP(Midterm!J10,new_transmute,2,FALSE)
),
IF(Info!$B$4="Board program",
IF(OR(AND(J$5&gt;0,J$5&gt;100),AND(J$5&gt;0,J$5&lt;100)),
VLOOKUP(FLOOR((Midterm!J10/J$5)*100,1),new_transmute,3,FALSE),
VLOOKUP(Midterm!J10,new_transmute,3,FALSE)
),
IF(Info!$B$4="Board program (Medicine)",
IF(OR(AND(J$5&gt;0,J$5&gt;100),AND(J$5&gt;0,J$5&lt;100)),
VLOOKUP(FLOOR((Midterm!J10/J$5)*100,1),new_transmute,4,FALSE),
VLOOKUP(Midterm!J10,new_transmute,4,FALSE)
),
""
)
)
)
)
)
)
)
)
))</f>
        <v/>
      </c>
      <c r="K10" s="14" t="str">
        <f>IF($B10="","",
IF(K$5="","",
IF(Midterm!K10="",0,
IF(NOT(ISNUMBER(Midterm!K10)),"NAN",
IF(Midterm!K10&lt;0,"NEG",
IF(Midterm!K10&gt;K$5,"OVER",
IF(AND(K$5&lt;=100,Midterm!K10&gt;100),"ERR",
IF(Info!$B$4="Non-board program",
IF(OR(AND(K$5&gt;0,K$5&gt;100),AND(K$5&gt;0,K$5&lt;100)),
VLOOKUP(FLOOR((Midterm!K10/K$5)*100,1),new_transmute,2,FALSE),
VLOOKUP(Midterm!K10,new_transmute,2,FALSE)
),
IF(Info!$B$4="Board program",
IF(OR(AND(K$5&gt;0,K$5&gt;100),AND(K$5&gt;0,K$5&lt;100)),
VLOOKUP(FLOOR((Midterm!K10/K$5)*100,1),new_transmute,3,FALSE),
VLOOKUP(Midterm!K10,new_transmute,3,FALSE)
),
IF(Info!$B$4="Board program (Medicine)",
IF(OR(AND(K$5&gt;0,K$5&gt;100),AND(K$5&gt;0,K$5&lt;100)),
VLOOKUP(FLOOR((Midterm!K10/K$5)*100,1),new_transmute,4,FALSE),
VLOOKUP(Midterm!K10,new_transmute,4,FALSE)
),
""
)
)
)
)
)
)
)
)
))</f>
        <v/>
      </c>
      <c r="L10" s="14" t="str">
        <f>IF($B10="","",
IF(L$5="","",
IF(Midterm!L10="",0,
IF(NOT(ISNUMBER(Midterm!L10)),"NAN",
IF(Midterm!L10&lt;0,"NEG",
IF(Midterm!L10&gt;L$5,"OVER",
IF(AND(L$5&lt;=100,Midterm!L10&gt;100),"ERR",
IF(Info!$B$4="Non-board program",
IF(OR(AND(L$5&gt;0,L$5&gt;100),AND(L$5&gt;0,L$5&lt;100)),
VLOOKUP(FLOOR((Midterm!L10/L$5)*100,1),new_transmute,2,FALSE),
VLOOKUP(Midterm!L10,new_transmute,2,FALSE)
),
IF(Info!$B$4="Board program",
IF(OR(AND(L$5&gt;0,L$5&gt;100),AND(L$5&gt;0,L$5&lt;100)),
VLOOKUP(FLOOR((Midterm!L10/L$5)*100,1),new_transmute,3,FALSE),
VLOOKUP(Midterm!L10,new_transmute,3,FALSE)
),
IF(Info!$B$4="Board program (Medicine)",
IF(OR(AND(L$5&gt;0,L$5&gt;100),AND(L$5&gt;0,L$5&lt;100)),
VLOOKUP(FLOOR((Midterm!L10/L$5)*100,1),new_transmute,4,FALSE),
VLOOKUP(Midterm!L10,new_transmute,4,FALSE)
),
""
)
)
)
)
)
)
)
)
))</f>
        <v/>
      </c>
      <c r="M10" s="111" t="str">
        <f t="shared" si="2"/>
        <v/>
      </c>
      <c r="N10" s="14" t="str">
        <f>IF($B10="","",
IF(N$5="","",
IF(Midterm!N10="",0,
IF(NOT(ISNUMBER(Midterm!N10)),"NAN",
IF(Midterm!N10&lt;0,"NEG",
IF(Midterm!N10&gt;N$5,"OVER",
IF(AND(N$5&lt;=100,Midterm!N10&gt;100),"ERR",
IF(Info!$B$4="Non-board program",
IF(OR(AND(N$5&gt;0,N$5&gt;100),AND(N$5&gt;0,N$5&lt;100)),
VLOOKUP(FLOOR((Midterm!N10/N$5)*100,1),new_transmute,2,FALSE),
VLOOKUP(Midterm!N10,new_transmute,2,FALSE)
),
IF(Info!$B$4="Board program",
IF(OR(AND(N$5&gt;0,N$5&gt;100),AND(N$5&gt;0,N$5&lt;100)),
VLOOKUP(FLOOR((Midterm!N10/N$5)*100,1),new_transmute,3,FALSE),
VLOOKUP(Midterm!N10,new_transmute,3,FALSE)
),
IF(Info!$B$4="Board program (Medicine)",
IF(OR(AND(N$5&gt;0,N$5&gt;100),AND(N$5&gt;0,N$5&lt;100)),
VLOOKUP(FLOOR((Midterm!N10/N$5)*100,1),new_transmute,4,FALSE),
VLOOKUP(Midterm!N10,new_transmute,4,FALSE)
),
""
)
)
)
)
)
)
)
)
))</f>
        <v/>
      </c>
      <c r="O10" s="14" t="str">
        <f>IF($B10="","",
IF(O$5="","",
IF(Midterm!O10="",0,
IF(NOT(ISNUMBER(Midterm!O10)),"NAN",
IF(Midterm!O10&lt;0,"NEG",
IF(Midterm!O10&gt;O$5,"OVER",
IF(AND(O$5&lt;=100,Midterm!O10&gt;100),"ERR",
IF(Info!$B$4="Non-board program",
IF(OR(AND(O$5&gt;0,O$5&gt;100),AND(O$5&gt;0,O$5&lt;100)),
VLOOKUP(FLOOR((Midterm!O10/O$5)*100,1),new_transmute,2,FALSE),
VLOOKUP(Midterm!O10,new_transmute,2,FALSE)
),
IF(Info!$B$4="Board program",
IF(OR(AND(O$5&gt;0,O$5&gt;100),AND(O$5&gt;0,O$5&lt;100)),
VLOOKUP(FLOOR((Midterm!O10/O$5)*100,1),new_transmute,3,FALSE),
VLOOKUP(Midterm!O10,new_transmute,3,FALSE)
),
IF(Info!$B$4="Board program (Medicine)",
IF(OR(AND(O$5&gt;0,O$5&gt;100),AND(O$5&gt;0,O$5&lt;100)),
VLOOKUP(FLOOR((Midterm!O10/O$5)*100,1),new_transmute,4,FALSE),
VLOOKUP(Midterm!O10,new_transmute,4,FALSE)
),
""
)
)
)
)
)
)
)
)
))</f>
        <v/>
      </c>
      <c r="P10" s="14" t="str">
        <f>IF($B10="","",
IF(P$5="","",
IF(Midterm!P10="",0,
IF(NOT(ISNUMBER(Midterm!P10)),"NAN",
IF(Midterm!P10&lt;0,"NEG",
IF(Midterm!P10&gt;P$5,"OVER",
IF(AND(P$5&lt;=100,Midterm!P10&gt;100),"ERR",
IF(Info!$B$4="Non-board program",
IF(OR(AND(P$5&gt;0,P$5&gt;100),AND(P$5&gt;0,P$5&lt;100)),
VLOOKUP(FLOOR((Midterm!P10/P$5)*100,1),new_transmute,2,FALSE),
VLOOKUP(Midterm!P10,new_transmute,2,FALSE)
),
IF(Info!$B$4="Board program",
IF(OR(AND(P$5&gt;0,P$5&gt;100),AND(P$5&gt;0,P$5&lt;100)),
VLOOKUP(FLOOR((Midterm!P10/P$5)*100,1),new_transmute,3,FALSE),
VLOOKUP(Midterm!P10,new_transmute,3,FALSE)
),
IF(Info!$B$4="Board program (Medicine)",
IF(OR(AND(P$5&gt;0,P$5&gt;100),AND(P$5&gt;0,P$5&lt;100)),
VLOOKUP(FLOOR((Midterm!P10/P$5)*100,1),new_transmute,4,FALSE),
VLOOKUP(Midterm!P10,new_transmute,4,FALSE)
),
""
)
)
)
)
)
)
)
)
))</f>
        <v/>
      </c>
      <c r="Q10" s="14" t="str">
        <f>IF($B10="","",
IF(Q$5="","",
IF(Midterm!Q10="",0,
IF(NOT(ISNUMBER(Midterm!Q10)),"NAN",
IF(Midterm!Q10&lt;0,"NEG",
IF(Midterm!Q10&gt;Q$5,"OVER",
IF(AND(Q$5&lt;=100,Midterm!Q10&gt;100),"ERR",
IF(Info!$B$4="Non-board program",
IF(OR(AND(Q$5&gt;0,Q$5&gt;100),AND(Q$5&gt;0,Q$5&lt;100)),
VLOOKUP(FLOOR((Midterm!Q10/Q$5)*100,1),new_transmute,2,FALSE),
VLOOKUP(Midterm!Q10,new_transmute,2,FALSE)
),
IF(Info!$B$4="Board program",
IF(OR(AND(Q$5&gt;0,Q$5&gt;100),AND(Q$5&gt;0,Q$5&lt;100)),
VLOOKUP(FLOOR((Midterm!Q10/Q$5)*100,1),new_transmute,3,FALSE),
VLOOKUP(Midterm!Q10,new_transmute,3,FALSE)
),
IF(Info!$B$4="Board program (Medicine)",
IF(OR(AND(Q$5&gt;0,Q$5&gt;100),AND(Q$5&gt;0,Q$5&lt;100)),
VLOOKUP(FLOOR((Midterm!Q10/Q$5)*100,1),new_transmute,4,FALSE),
VLOOKUP(Midterm!Q10,new_transmute,4,FALSE)
),
""
)
)
)
)
)
)
)
)
))</f>
        <v/>
      </c>
      <c r="R10" s="14" t="str">
        <f>IF($B10="","",
IF(R$5="","",
IF(Midterm!R10="",0,
IF(NOT(ISNUMBER(Midterm!R10)),"NAN",
IF(Midterm!R10&lt;0,"NEG",
IF(Midterm!R10&gt;R$5,"OVER",
IF(AND(R$5&lt;=100,Midterm!R10&gt;100),"ERR",
IF(Info!$B$4="Non-board program",
IF(OR(AND(R$5&gt;0,R$5&gt;100),AND(R$5&gt;0,R$5&lt;100)),
VLOOKUP(FLOOR((Midterm!R10/R$5)*100,1),new_transmute,2,FALSE),
VLOOKUP(Midterm!R10,new_transmute,2,FALSE)
),
IF(Info!$B$4="Board program",
IF(OR(AND(R$5&gt;0,R$5&gt;100),AND(R$5&gt;0,R$5&lt;100)),
VLOOKUP(FLOOR((Midterm!R10/R$5)*100,1),new_transmute,3,FALSE),
VLOOKUP(Midterm!R10,new_transmute,3,FALSE)
),
IF(Info!$B$4="Board program (Medicine)",
IF(OR(AND(R$5&gt;0,R$5&gt;100),AND(R$5&gt;0,R$5&lt;100)),
VLOOKUP(FLOOR((Midterm!R10/R$5)*100,1),new_transmute,4,FALSE),
VLOOKUP(Midterm!R10,new_transmute,4,FALSE)
),
""
)
)
)
)
)
)
)
)
))</f>
        <v/>
      </c>
      <c r="S10" s="115" t="str">
        <f t="shared" si="3"/>
        <v/>
      </c>
      <c r="T10" s="14" t="str">
        <f>IF($B10="","",
IF(T$5="","",
IF(Midterm!T10="",0,
IF(NOT(ISNUMBER(Midterm!T10)),"NAN",
IF(Midterm!T10&lt;0,"NEG",
IF(Midterm!T10&gt;T$5,"OVER",
IF(AND(T$5&lt;=100,Midterm!T10&gt;100),"ERR",
IF(Info!$B$4="Non-board program",
IF(OR(AND(T$5&gt;0,T$5&gt;100),AND(T$5&gt;0,T$5&lt;100)),
VLOOKUP(FLOOR((Midterm!T10/T$5)*100,1),new_transmute,2,FALSE),
VLOOKUP(Midterm!T10,new_transmute,2,FALSE)
),
IF(Info!$B$4="Board program",
IF(OR(AND(T$5&gt;0,T$5&gt;100),AND(T$5&gt;0,T$5&lt;100)),
VLOOKUP(FLOOR((Midterm!T10/T$5)*100,1),new_transmute,3,FALSE),
VLOOKUP(Midterm!T10,new_transmute,3,FALSE)
),
IF(Info!$B$4="Board program (Medicine)",
IF(OR(AND(T$5&gt;0,T$5&gt;100),AND(T$5&gt;0,T$5&lt;100)),
VLOOKUP(FLOOR((Midterm!T10/T$5)*100,1),new_transmute,4,FALSE),
VLOOKUP(Midterm!T10,new_transmute,4,FALSE)
),
""
)
)
)
)
)
)
)
)
))</f>
        <v/>
      </c>
      <c r="U10" s="14" t="str">
        <f>IF($B10="","",
IF(U$5="","",
IF(Midterm!U10="",0,
IF(NOT(ISNUMBER(Midterm!U10)),"NAN",
IF(Midterm!U10&lt;0,"NEG",
IF(Midterm!U10&gt;U$5,"OVER",
IF(AND(U$5&lt;=100,Midterm!U10&gt;100),"ERR",
IF(Info!$B$4="Non-board program",
IF(OR(AND(U$5&gt;0,U$5&gt;100),AND(U$5&gt;0,U$5&lt;100)),
VLOOKUP(FLOOR((Midterm!U10/U$5)*100,1),new_transmute,2,FALSE),
VLOOKUP(Midterm!U10,new_transmute,2,FALSE)
),
IF(Info!$B$4="Board program",
IF(OR(AND(U$5&gt;0,U$5&gt;100),AND(U$5&gt;0,U$5&lt;100)),
VLOOKUP(FLOOR((Midterm!U10/U$5)*100,1),new_transmute,3,FALSE),
VLOOKUP(Midterm!U10,new_transmute,3,FALSE)
),
IF(Info!$B$4="Board program (Medicine)",
IF(OR(AND(U$5&gt;0,U$5&gt;100),AND(U$5&gt;0,U$5&lt;100)),
VLOOKUP(FLOOR((Midterm!U10/U$5)*100,1),new_transmute,4,FALSE),
VLOOKUP(Midterm!U10,new_transmute,4,FALSE)
),
""
)
)
)
)
)
)
)
)
))</f>
        <v/>
      </c>
      <c r="V10" s="14" t="str">
        <f>IF($B10="","",
IF(V$5="","",
IF(Midterm!V10="",0,
IF(NOT(ISNUMBER(Midterm!V10)),"NAN",
IF(Midterm!V10&lt;0,"NEG",
IF(Midterm!V10&gt;V$5,"OVER",
IF(AND(V$5&lt;=100,Midterm!V10&gt;100),"ERR",
IF(Info!$B$4="Non-board program",
IF(OR(AND(V$5&gt;0,V$5&gt;100),AND(V$5&gt;0,V$5&lt;100)),
VLOOKUP(FLOOR((Midterm!V10/V$5)*100,1),new_transmute,2,FALSE),
VLOOKUP(Midterm!V10,new_transmute,2,FALSE)
),
IF(Info!$B$4="Board program",
IF(OR(AND(V$5&gt;0,V$5&gt;100),AND(V$5&gt;0,V$5&lt;100)),
VLOOKUP(FLOOR((Midterm!V10/V$5)*100,1),new_transmute,3,FALSE),
VLOOKUP(Midterm!V10,new_transmute,3,FALSE)
),
IF(Info!$B$4="Board program (Medicine)",
IF(OR(AND(V$5&gt;0,V$5&gt;100),AND(V$5&gt;0,V$5&lt;100)),
VLOOKUP(FLOOR((Midterm!V10/V$5)*100,1),new_transmute,4,FALSE),
VLOOKUP(Midterm!V10,new_transmute,4,FALSE)
),
""
)
)
)
)
)
)
)
)
))</f>
        <v/>
      </c>
      <c r="W10" s="14" t="str">
        <f>IF($B10="","",
IF(W$5="","",
IF(Midterm!W10="",0,
IF(NOT(ISNUMBER(Midterm!W10)),"NAN",
IF(Midterm!W10&lt;0,"NEG",
IF(Midterm!W10&gt;W$5,"OVER",
IF(AND(W$5&lt;=100,Midterm!W10&gt;100),"ERR",
IF(Info!$B$4="Non-board program",
IF(OR(AND(W$5&gt;0,W$5&gt;100),AND(W$5&gt;0,W$5&lt;100)),
VLOOKUP(FLOOR((Midterm!W10/W$5)*100,1),new_transmute,2,FALSE),
VLOOKUP(Midterm!W10,new_transmute,2,FALSE)
),
IF(Info!$B$4="Board program",
IF(OR(AND(W$5&gt;0,W$5&gt;100),AND(W$5&gt;0,W$5&lt;100)),
VLOOKUP(FLOOR((Midterm!W10/W$5)*100,1),new_transmute,3,FALSE),
VLOOKUP(Midterm!W10,new_transmute,3,FALSE)
),
IF(Info!$B$4="Board program (Medicine)",
IF(OR(AND(W$5&gt;0,W$5&gt;100),AND(W$5&gt;0,W$5&lt;100)),
VLOOKUP(FLOOR((Midterm!W10/W$5)*100,1),new_transmute,4,FALSE),
VLOOKUP(Midterm!W10,new_transmute,4,FALSE)
),
""
)
)
)
)
)
)
)
)
))</f>
        <v/>
      </c>
      <c r="X10" s="14" t="str">
        <f>IF($B10="","",
IF(X$5="","",
IF(Midterm!X10="",0,
IF(NOT(ISNUMBER(Midterm!X10)),"NAN",
IF(Midterm!X10&lt;0,"NEG",
IF(Midterm!X10&gt;X$5,"OVER",
IF(AND(X$5&lt;=100,Midterm!X10&gt;100),"ERR",
IF(Info!$B$4="Non-board program",
IF(OR(AND(X$5&gt;0,X$5&gt;100),AND(X$5&gt;0,X$5&lt;100)),
VLOOKUP(FLOOR((Midterm!X10/X$5)*100,1),new_transmute,2,FALSE),
VLOOKUP(Midterm!X10,new_transmute,2,FALSE)
),
IF(Info!$B$4="Board program",
IF(OR(AND(X$5&gt;0,X$5&gt;100),AND(X$5&gt;0,X$5&lt;100)),
VLOOKUP(FLOOR((Midterm!X10/X$5)*100,1),new_transmute,3,FALSE),
VLOOKUP(Midterm!X10,new_transmute,3,FALSE)
),
IF(Info!$B$4="Board program (Medicine)",
IF(OR(AND(X$5&gt;0,X$5&gt;100),AND(X$5&gt;0,X$5&lt;100)),
VLOOKUP(FLOOR((Midterm!X10/X$5)*100,1),new_transmute,4,FALSE),
VLOOKUP(Midterm!X10,new_transmute,4,FALSE)
),
""
)
)
)
)
)
)
)
)
))</f>
        <v/>
      </c>
      <c r="Y10" s="112" t="str">
        <f t="shared" si="4"/>
        <v/>
      </c>
      <c r="Z10" s="14" t="str">
        <f>IF($B10="","",
IF(Z$5="","",
IF(Midterm!Z10="",0,
IF(NOT(ISNUMBER(Midterm!Z10)),"NAN",
IF(Midterm!Z10&lt;0,"NEG",
IF(Midterm!Z10&gt;Z$5,"OVER",
IF(AND(Z$5&lt;=100,Midterm!Z10&gt;100),"ERR",
IF(Info!$B$4="Non-board program",
IF(OR(AND(Z$5&gt;0,Z$5&gt;100),AND(Z$5&gt;0,Z$5&lt;100)),
VLOOKUP(FLOOR((Midterm!Z10/Z$5)*100,1),new_transmute,2,FALSE),
VLOOKUP(Midterm!Z10,new_transmute,2,FALSE)
),
IF(Info!$B$4="Board program",
IF(OR(AND(Z$5&gt;0,Z$5&gt;100),AND(Z$5&gt;0,Z$5&lt;100)),
VLOOKUP(FLOOR((Midterm!Z10/Z$5)*100,1),new_transmute,3,FALSE),
VLOOKUP(Midterm!Z10,new_transmute,3,FALSE)
),
IF(Info!$B$4="Board program (Medicine)",
IF(OR(AND(Z$5&gt;0,Z$5&gt;100),AND(Z$5&gt;0,Z$5&lt;100)),
VLOOKUP(FLOOR((Midterm!Z10/Z$5)*100,1),new_transmute,4,FALSE),
VLOOKUP(Midterm!Z10,new_transmute,4,FALSE)
),
""
)
)
)
)
)
)
)
)
))</f>
        <v/>
      </c>
      <c r="AA10" s="14" t="str">
        <f>IF($B10="","",
IF(AA$5="","",
IF(Midterm!AA10="",0,
IF(NOT(ISNUMBER(Midterm!AA10)),"NAN",
IF(Midterm!AA10&lt;0,"NEG",
IF(Midterm!AA10&gt;AA$5,"OVER",
IF(AND(AA$5&lt;=100,Midterm!AA10&gt;100),"ERR",
IF(Info!$B$4="Non-board program",
IF(OR(AND(AA$5&gt;0,AA$5&gt;100),AND(AA$5&gt;0,AA$5&lt;100)),
VLOOKUP(FLOOR((Midterm!AA10/AA$5)*100,1),new_transmute,2,FALSE),
VLOOKUP(Midterm!AA10,new_transmute,2,FALSE)
),
IF(Info!$B$4="Board program",
IF(OR(AND(AA$5&gt;0,AA$5&gt;100),AND(AA$5&gt;0,AA$5&lt;100)),
VLOOKUP(FLOOR((Midterm!AA10/AA$5)*100,1),new_transmute,3,FALSE),
VLOOKUP(Midterm!AA10,new_transmute,3,FALSE)
),
IF(Info!$B$4="Board program (Medicine)",
IF(OR(AND(AA$5&gt;0,AA$5&gt;100),AND(AA$5&gt;0,AA$5&lt;100)),
VLOOKUP(FLOOR((Midterm!AA10/AA$5)*100,1),new_transmute,4,FALSE),
VLOOKUP(Midterm!AA10,new_transmute,4,FALSE)
),
""
)
)
)
)
)
)
)
)
))</f>
        <v/>
      </c>
      <c r="AB10" s="14" t="str">
        <f>IF($B10="","",
IF(AB$5="","",
IF(Midterm!AB10="",0,
IF(NOT(ISNUMBER(Midterm!AB10)),"NAN",
IF(Midterm!AB10&lt;0,"NEG",
IF(Midterm!AB10&gt;AB$5,"OVER",
IF(AND(AB$5&lt;=100,Midterm!AB10&gt;100),"ERR",
IF(Info!$B$4="Non-board program",
IF(OR(AND(AB$5&gt;0,AB$5&gt;100),AND(AB$5&gt;0,AB$5&lt;100)),
VLOOKUP(FLOOR((Midterm!AB10/AB$5)*100,1),new_transmute,2,FALSE),
VLOOKUP(Midterm!AB10,new_transmute,2,FALSE)
),
IF(Info!$B$4="Board program",
IF(OR(AND(AB$5&gt;0,AB$5&gt;100),AND(AB$5&gt;0,AB$5&lt;100)),
VLOOKUP(FLOOR((Midterm!AB10/AB$5)*100,1),new_transmute,3,FALSE),
VLOOKUP(Midterm!AB10,new_transmute,3,FALSE)
),
IF(Info!$B$4="Board program (Medicine)",
IF(OR(AND(AB$5&gt;0,AB$5&gt;100),AND(AB$5&gt;0,AB$5&lt;100)),
VLOOKUP(FLOOR((Midterm!AB10/AB$5)*100,1),new_transmute,4,FALSE),
VLOOKUP(Midterm!AB10,new_transmute,4,FALSE)
),
""
)
)
)
)
)
)
)
)
))</f>
        <v/>
      </c>
      <c r="AC10" s="14" t="str">
        <f>IF($B10="","",
IF(AC$5="","",
IF(Midterm!AC10="",0,
IF(NOT(ISNUMBER(Midterm!AC10)),"NAN",
IF(Midterm!AC10&lt;0,"NEG",
IF(Midterm!AC10&gt;AC$5,"OVER",
IF(AND(AC$5&lt;=100,Midterm!AC10&gt;100),"ERR",
IF(Info!$B$4="Non-board program",
IF(OR(AND(AC$5&gt;0,AC$5&gt;100),AND(AC$5&gt;0,AC$5&lt;100)),
VLOOKUP(FLOOR((Midterm!AC10/AC$5)*100,1),new_transmute,2,FALSE),
VLOOKUP(Midterm!AC10,new_transmute,2,FALSE)
),
IF(Info!$B$4="Board program",
IF(OR(AND(AC$5&gt;0,AC$5&gt;100),AND(AC$5&gt;0,AC$5&lt;100)),
VLOOKUP(FLOOR((Midterm!AC10/AC$5)*100,1),new_transmute,3,FALSE),
VLOOKUP(Midterm!AC10,new_transmute,3,FALSE)
),
IF(Info!$B$4="Board program (Medicine)",
IF(OR(AND(AC$5&gt;0,AC$5&gt;100),AND(AC$5&gt;0,AC$5&lt;100)),
VLOOKUP(FLOOR((Midterm!AC10/AC$5)*100,1),new_transmute,4,FALSE),
VLOOKUP(Midterm!AC10,new_transmute,4,FALSE)
),
""
)
)
)
)
)
)
)
)
))</f>
        <v/>
      </c>
      <c r="AD10" s="14" t="str">
        <f>IF($B10="","",
IF(AD$5="","",
IF(Midterm!AD10="",0,
IF(NOT(ISNUMBER(Midterm!AD10)),"NAN",
IF(Midterm!AD10&lt;0,"NEG",
IF(Midterm!AD10&gt;AD$5,"OVER",
IF(AND(AD$5&lt;=100,Midterm!AD10&gt;100),"ERR",
IF(Info!$B$4="Non-board program",
IF(OR(AND(AD$5&gt;0,AD$5&gt;100),AND(AD$5&gt;0,AD$5&lt;100)),
VLOOKUP(FLOOR((Midterm!AD10/AD$5)*100,1),new_transmute,2,FALSE),
VLOOKUP(Midterm!AD10,new_transmute,2,FALSE)
),
IF(Info!$B$4="Board program",
IF(OR(AND(AD$5&gt;0,AD$5&gt;100),AND(AD$5&gt;0,AD$5&lt;100)),
VLOOKUP(FLOOR((Midterm!AD10/AD$5)*100,1),new_transmute,3,FALSE),
VLOOKUP(Midterm!AD10,new_transmute,3,FALSE)
),
IF(Info!$B$4="Board program (Medicine)",
IF(OR(AND(AD$5&gt;0,AD$5&gt;100),AND(AD$5&gt;0,AD$5&lt;100)),
VLOOKUP(FLOOR((Midterm!AD10/AD$5)*100,1),new_transmute,4,FALSE),
VLOOKUP(Midterm!AD10,new_transmute,4,FALSE)
),
""
)
)
)
)
)
)
)
)
))</f>
        <v/>
      </c>
      <c r="AE10" s="58" t="str">
        <f t="shared" si="5"/>
        <v/>
      </c>
      <c r="AF10" s="14" t="str">
        <f>IF($B10="","",
IF(AF$5="","",
IF(Midterm!AF10="",0,
IF(NOT(ISNUMBER(Midterm!AF10)),"NAN",
IF(Midterm!AF10&lt;0,"NEG",
IF(Midterm!AF10&gt;AF$5,"OVER",
IF(AND(AF$5&lt;=100,Midterm!AF10&gt;100),"ERR",
IF(Info!$B$4="Non-board program",
IF(OR(AND(AF$5&gt;0,AF$5&gt;100),AND(AF$5&gt;0,AF$5&lt;100)),
VLOOKUP(FLOOR((Midterm!AF10/AF$5)*100,1),new_transmute,2,FALSE),
VLOOKUP(Midterm!AF10,new_transmute,2,FALSE)
),
IF(Info!$B$4="Board program",
IF(OR(AND(AF$5&gt;0,AF$5&gt;100),AND(AF$5&gt;0,AF$5&lt;100)),
VLOOKUP(FLOOR((Midterm!AF10/AF$5)*100,1),new_transmute,3,FALSE),
VLOOKUP(Midterm!AF10,new_transmute,3,FALSE)
),
IF(Info!$B$4="Board program (Medicine)",
IF(OR(AND(AF$5&gt;0,AF$5&gt;100),AND(AF$5&gt;0,AF$5&lt;100)),
VLOOKUP(FLOOR((Midterm!AF10/AF$5)*100,1),new_transmute,4,FALSE),
VLOOKUP(Midterm!AF10,new_transmute,4,FALSE)
),
""
)
)
)
)
)
)
)
)
))</f>
        <v/>
      </c>
      <c r="AG10" s="14" t="str">
        <f>IF($B10="","",
IF(AG$5="","",
IF(Midterm!AG10="",0,
IF(NOT(ISNUMBER(Midterm!AG10)),"NAN",
IF(Midterm!AG10&lt;0,"NEG",
IF(Midterm!AG10&gt;AG$5,"OVER",
IF(AND(AG$5&lt;=100,Midterm!AG10&gt;100),"ERR",
IF(Info!$B$4="Non-board program",
IF(OR(AND(AG$5&gt;0,AG$5&gt;100),AND(AG$5&gt;0,AG$5&lt;100)),
VLOOKUP(FLOOR((Midterm!AG10/AG$5)*100,1),new_transmute,2,FALSE),
VLOOKUP(Midterm!AG10,new_transmute,2,FALSE)
),
IF(Info!$B$4="Board program",
IF(OR(AND(AG$5&gt;0,AG$5&gt;100),AND(AG$5&gt;0,AG$5&lt;100)),
VLOOKUP(FLOOR((Midterm!AG10/AG$5)*100,1),new_transmute,3,FALSE),
VLOOKUP(Midterm!AG10,new_transmute,3,FALSE)
),
IF(Info!$B$4="Board program (Medicine)",
IF(OR(AND(AG$5&gt;0,AG$5&gt;100),AND(AG$5&gt;0,AG$5&lt;100)),
VLOOKUP(FLOOR((Midterm!AG10/AG$5)*100,1),new_transmute,4,FALSE),
VLOOKUP(Midterm!AG10,new_transmute,4,FALSE)
),
""
)
)
)
)
)
)
)
)
))</f>
        <v/>
      </c>
      <c r="AH10" s="14" t="str">
        <f>IF($B10="","",
IF(AH$5="","",
IF(Midterm!AH10="",0,
IF(NOT(ISNUMBER(Midterm!AH10)),"NAN",
IF(Midterm!AH10&lt;0,"NEG",
IF(Midterm!AH10&gt;AH$5,"OVER",
IF(AND(AH$5&lt;=100,Midterm!AH10&gt;100),"ERR",
IF(Info!$B$4="Non-board program",
IF(OR(AND(AH$5&gt;0,AH$5&gt;100),AND(AH$5&gt;0,AH$5&lt;100)),
VLOOKUP(FLOOR((Midterm!AH10/AH$5)*100,1),new_transmute,2,FALSE),
VLOOKUP(Midterm!AH10,new_transmute,2,FALSE)
),
IF(Info!$B$4="Board program",
IF(OR(AND(AH$5&gt;0,AH$5&gt;100),AND(AH$5&gt;0,AH$5&lt;100)),
VLOOKUP(FLOOR((Midterm!AH10/AH$5)*100,1),new_transmute,3,FALSE),
VLOOKUP(Midterm!AH10,new_transmute,3,FALSE)
),
IF(Info!$B$4="Board program (Medicine)",
IF(OR(AND(AH$5&gt;0,AH$5&gt;100),AND(AH$5&gt;0,AH$5&lt;100)),
VLOOKUP(FLOOR((Midterm!AH10/AH$5)*100,1),new_transmute,4,FALSE),
VLOOKUP(Midterm!AH10,new_transmute,4,FALSE)
),
""
)
)
)
)
)
)
)
)
))</f>
        <v/>
      </c>
      <c r="AI10" s="14" t="str">
        <f>IF($B10="","",
IF(AI$5="","",
IF(Midterm!AI10="",0,
IF(NOT(ISNUMBER(Midterm!AI10)),"NAN",
IF(Midterm!AI10&lt;0,"NEG",
IF(Midterm!AI10&gt;AI$5,"OVER",
IF(AND(AI$5&lt;=100,Midterm!AI10&gt;100),"ERR",
IF(Info!$B$4="Non-board program",
IF(OR(AND(AI$5&gt;0,AI$5&gt;100),AND(AI$5&gt;0,AI$5&lt;100)),
VLOOKUP(FLOOR((Midterm!AI10/AI$5)*100,1),new_transmute,2,FALSE),
VLOOKUP(Midterm!AI10,new_transmute,2,FALSE)
),
IF(Info!$B$4="Board program",
IF(OR(AND(AI$5&gt;0,AI$5&gt;100),AND(AI$5&gt;0,AI$5&lt;100)),
VLOOKUP(FLOOR((Midterm!AI10/AI$5)*100,1),new_transmute,3,FALSE),
VLOOKUP(Midterm!AI10,new_transmute,3,FALSE)
),
IF(Info!$B$4="Board program (Medicine)",
IF(OR(AND(AI$5&gt;0,AI$5&gt;100),AND(AI$5&gt;0,AI$5&lt;100)),
VLOOKUP(FLOOR((Midterm!AI10/AI$5)*100,1),new_transmute,4,FALSE),
VLOOKUP(Midterm!AI10,new_transmute,4,FALSE)
),
""
)
)
)
)
)
)
)
)
))</f>
        <v/>
      </c>
      <c r="AJ10" s="14" t="str">
        <f>IF($B10="","",
IF(AJ$5="","",
IF(Midterm!AJ10="",0,
IF(NOT(ISNUMBER(Midterm!AJ10)),"NAN",
IF(Midterm!AJ10&lt;0,"NEG",
IF(Midterm!AJ10&gt;AJ$5,"OVER",
IF(AND(AJ$5&lt;=100,Midterm!AJ10&gt;100),"ERR",
IF(Info!$B$4="Non-board program",
IF(OR(AND(AJ$5&gt;0,AJ$5&gt;100),AND(AJ$5&gt;0,AJ$5&lt;100)),
VLOOKUP(FLOOR((Midterm!AJ10/AJ$5)*100,1),new_transmute,2,FALSE),
VLOOKUP(Midterm!AJ10,new_transmute,2,FALSE)
),
IF(Info!$B$4="Board program",
IF(OR(AND(AJ$5&gt;0,AJ$5&gt;100),AND(AJ$5&gt;0,AJ$5&lt;100)),
VLOOKUP(FLOOR((Midterm!AJ10/AJ$5)*100,1),new_transmute,3,FALSE),
VLOOKUP(Midterm!AJ10,new_transmute,3,FALSE)
),
IF(Info!$B$4="Board program (Medicine)",
IF(OR(AND(AJ$5&gt;0,AJ$5&gt;100),AND(AJ$5&gt;0,AJ$5&lt;100)),
VLOOKUP(FLOOR((Midterm!AJ10/AJ$5)*100,1),new_transmute,4,FALSE),
VLOOKUP(Midterm!AJ10,new_transmute,4,FALSE)
),
""
)
)
)
)
)
)
)
)
))</f>
        <v/>
      </c>
      <c r="AK10" s="59" t="str">
        <f t="shared" si="6"/>
        <v/>
      </c>
      <c r="AL10" s="60" t="str">
        <f>IF(B10="", "",
    IF(OR(M10="OVER", S10="OVER", Y10="OVER", AE10="OVER", AK10="OVER"),
        "OVER",
        IF(Info!$B$4="Non-board program",
            VLOOKUP(IFERROR(FLOOR(SUM((M10*$M$4), (S10*$S$4), (Y10*$Y$4), (AE10*$AE$4), (AK10*$AK$4)) * (100 / 60), 1), 0), new_transmute, 2, FALSE),
            IF(Info!$B$4="Board program",
                VLOOKUP(IFERROR(FLOOR(SUM((M10*$M$4), (S10*$S$4), (Y10*$Y$4), (AE10*$AE$4), (AK10*$AK$4)) * (100 / 60), 1), 0), new_transmute, 3, FALSE),
                IF(Info!$B$4="Board program (Medicine)",
                    VLOOKUP(IFERROR(FLOOR(SUM((M10*$M$4), (S10*$S$4), (Y10*$Y$4), (AE10*$AE$4), (AK10*$AK$4)) * (100 / 60), 1), 0), new_transmute, 4, FALSE),
                    ""
                )
            )
        )
    )
)</f>
        <v/>
      </c>
      <c r="AM10" s="14" t="str">
        <f>IF($B10="","",
IF(AM$5="","",
IF(Midterm!AM10="",0,
IF(NOT(ISNUMBER(Midterm!AM10)),"NAN",
IF(Midterm!AM10&lt;0,"NEG",
IF(Midterm!AM10&gt;AM$5,"OVER",
IF(AND(AM$5&lt;=100,Midterm!AM10&gt;100),"ERR",
IF(Info!$B$4="Non-board program",
IF(OR(AND(AM$5&gt;0,AM$5&gt;100),AND(AM$5&gt;0,AM$5&lt;100)),
VLOOKUP(FLOOR((Midterm!AM10/AM$5)*100,1),new_transmute,2,FALSE),
VLOOKUP(Midterm!AM10,new_transmute,2,FALSE)
),
IF(Info!$B$4="Board program",
IF(OR(AND(AM$5&gt;0,AM$5&gt;100),AND(AM$5&gt;0,AM$5&lt;100)),
VLOOKUP(FLOOR((Midterm!AM10/AM$5)*100,1),new_transmute,3,FALSE),
VLOOKUP(Midterm!AM10,new_transmute,3,FALSE)
),
IF(Info!$B$4="Board program (Medicine)",
IF(OR(AND(AM$5&gt;0,AM$5&gt;100),AND(AM$5&gt;0,AM$5&lt;100)),
VLOOKUP(FLOOR((Midterm!AM10/AM$5)*100,1),new_transmute,4,FALSE),
VLOOKUP(Midterm!AM10,new_transmute,4,FALSE)
),
""
)
)
)
)
)
)
)
)
))</f>
        <v/>
      </c>
      <c r="AN10" s="14" t="str">
        <f>IF($B10="","",
IF(AN$5="","",
IF(Midterm!AN10="",0,
IF(NOT(ISNUMBER(Midterm!AN10)),"NAN",
IF(Midterm!AN10&lt;0,"NEG",
IF(Midterm!AN10&gt;AN$5,"OVER",
IF(AND(AN$5&lt;=100,Midterm!AN10&gt;100),"ERR",
IF(Info!$B$4="Non-board program",
IF(OR(AND(AN$5&gt;0,AN$5&gt;100),AND(AN$5&gt;0,AN$5&lt;100)),
VLOOKUP(FLOOR((Midterm!AN10/AN$5)*100,1),new_transmute,2,FALSE),
VLOOKUP(Midterm!AN10,new_transmute,2,FALSE)
),
IF(Info!$B$4="Board program",
IF(OR(AND(AN$5&gt;0,AN$5&gt;100),AND(AN$5&gt;0,AN$5&lt;100)),
VLOOKUP(FLOOR((Midterm!AN10/AN$5)*100,1),new_transmute,3,FALSE),
VLOOKUP(Midterm!AN10,new_transmute,3,FALSE)
),
IF(Info!$B$4="Board program (Medicine)",
IF(OR(AND(AN$5&gt;0,AN$5&gt;100),AND(AN$5&gt;0,AN$5&lt;100)),
VLOOKUP(FLOOR((Midterm!AN10/AN$5)*100,1),new_transmute,4,FALSE),
VLOOKUP(Midterm!AN10,new_transmute,4,FALSE)
),
""
)
)
)
)
)
)
)
)
))</f>
        <v/>
      </c>
      <c r="AO10" s="14" t="str">
        <f>IF($B10="","",
IF(AO$5="","",
IF(Midterm!AO10="",0,
IF(NOT(ISNUMBER(Midterm!AO10)),"NAN",
IF(Midterm!AO10&lt;0,"NEG",
IF(Midterm!AO10&gt;AO$5,"OVER",
IF(AND(AO$5&lt;=100,Midterm!AO10&gt;100),"ERR",
IF(Info!$B$4="Non-board program",
IF(OR(AND(AO$5&gt;0,AO$5&gt;100),AND(AO$5&gt;0,AO$5&lt;100)),
VLOOKUP(FLOOR((Midterm!AO10/AO$5)*100,1),new_transmute,2,FALSE),
VLOOKUP(Midterm!AO10,new_transmute,2,FALSE)
),
IF(Info!$B$4="Board program",
IF(OR(AND(AO$5&gt;0,AO$5&gt;100),AND(AO$5&gt;0,AO$5&lt;100)),
VLOOKUP(FLOOR((Midterm!AO10/AO$5)*100,1),new_transmute,3,FALSE),
VLOOKUP(Midterm!AO10,new_transmute,3,FALSE)
),
IF(Info!$B$4="Board program (Medicine)",
IF(OR(AND(AO$5&gt;0,AO$5&gt;100),AND(AO$5&gt;0,AO$5&lt;100)),
VLOOKUP(FLOOR((Midterm!AO10/AO$5)*100,1),new_transmute,4,FALSE),
VLOOKUP(Midterm!AO10,new_transmute,4,FALSE)
),
""
)
)
)
)
)
)
)
)
))</f>
        <v/>
      </c>
      <c r="AP10" s="14" t="str">
        <f>IF($B10="","",
IF(AP$5="","",
IF(Midterm!AP10="",0,
IF(NOT(ISNUMBER(Midterm!AP10)),"NAN",
IF(Midterm!AP10&lt;0,"NEG",
IF(Midterm!AP10&gt;AP$5,"OVER",
IF(AND(AP$5&lt;=100,Midterm!AP10&gt;100),"ERR",
IF(Info!$B$4="Non-board program",
IF(OR(AND(AP$5&gt;0,AP$5&gt;100),AND(AP$5&gt;0,AP$5&lt;100)),
VLOOKUP(FLOOR((Midterm!AP10/AP$5)*100,1),new_transmute,2,FALSE),
VLOOKUP(Midterm!AP10,new_transmute,2,FALSE)
),
IF(Info!$B$4="Board program",
IF(OR(AND(AP$5&gt;0,AP$5&gt;100),AND(AP$5&gt;0,AP$5&lt;100)),
VLOOKUP(FLOOR((Midterm!AP10/AP$5)*100,1),new_transmute,3,FALSE),
VLOOKUP(Midterm!AP10,new_transmute,3,FALSE)
),
IF(Info!$B$4="Board program (Medicine)",
IF(OR(AND(AP$5&gt;0,AP$5&gt;100),AND(AP$5&gt;0,AP$5&lt;100)),
VLOOKUP(FLOOR((Midterm!AP10/AP$5)*100,1),new_transmute,4,FALSE),
VLOOKUP(Midterm!AP10,new_transmute,4,FALSE)
),
""
)
)
)
)
)
)
)
)
))</f>
        <v/>
      </c>
      <c r="AQ10" s="61" t="str">
        <f t="shared" si="7"/>
        <v/>
      </c>
      <c r="AR10" s="48" t="str">
        <f>IF(Midterm!AR10="","",Midterm!AR10)</f>
        <v/>
      </c>
      <c r="AS10" s="165" t="str">
        <f t="shared" si="8"/>
        <v/>
      </c>
      <c r="AT10" s="14" t="str">
        <f t="shared" si="0"/>
        <v/>
      </c>
      <c r="AU10" s="14" t="str">
        <f>IF(B10="","",VLOOKUP(AT10,'New Grade Equivalent'!$B$3:$C$47,2,FALSE))</f>
        <v/>
      </c>
    </row>
    <row r="11" spans="1:47" x14ac:dyDescent="0.25">
      <c r="A11" s="8">
        <v>6</v>
      </c>
      <c r="B11" s="2" t="str">
        <f>IF('Student List'!C15="","",UPPER(LEFT('Student List'!C15,FIND(",",'Student List'!C15)-1)))</f>
        <v/>
      </c>
      <c r="C11" s="12" t="str">
        <f>IF('Student List'!C15="","",PROPER(MID('Student List'!C15, FIND(",", 'Student List'!C15) + 2, LEN('Student List'!C15) - FIND(",", 'Student List'!C15) - 1)))</f>
        <v/>
      </c>
      <c r="D11" s="127" t="str">
        <f>IF(B11="","",IF(Midterm!D11="", "NA", Midterm!D11))</f>
        <v/>
      </c>
      <c r="E11" s="8" t="str">
        <f>IF(B11="","",
  IF(Info!$B$5="First Year",
    IF(D11="Yes", "DRP",
      IF(D11="No", "WF", "")
    )
  )
)</f>
        <v/>
      </c>
      <c r="F11" s="14" t="str">
        <f>IF($B11="","",
IF(F$5="","",
IF(Midterm!F11="",0,
IF(NOT(ISNUMBER(Midterm!F11)),"NAN",
IF(Midterm!F11&lt;0,"NEG",
IF(Midterm!F11&gt;F$5,"OVER",
IF(AND(F$5&lt;=100,Midterm!F11&gt;100),"ERR",
IF(Info!$B$4="Non-board program",
IF(OR(AND(F$5&gt;0,F$5&gt;100),AND(F$5&gt;0,F$5&lt;100)),
VLOOKUP(FLOOR((Midterm!F11/F$5)*100,1),new_transmute,2,FALSE),
VLOOKUP(Midterm!F11,new_transmute,2,FALSE)
),
IF(Info!$B$4="Board program",
IF(OR(AND(F$5&gt;0,F$5&gt;100),AND(F$5&gt;0,F$5&lt;100)),
VLOOKUP(FLOOR((Midterm!F11/F$5)*100,1),new_transmute,3,FALSE),
VLOOKUP(Midterm!F11,new_transmute,3,FALSE)
),
IF(Info!$B$4="Board program (Medicine)",
IF(OR(AND(F$5&gt;0,F$5&gt;100),AND(F$5&gt;0,F$5&lt;100)),
VLOOKUP(FLOOR((Midterm!F11/F$5)*100,1),new_transmute,4,FALSE),
VLOOKUP(Midterm!F11,new_transmute,4,FALSE)
),
""
)
)
)
)
)
)
)
)
))</f>
        <v/>
      </c>
      <c r="G11" s="57" t="str">
        <f t="shared" si="1"/>
        <v/>
      </c>
      <c r="H11" s="14" t="str">
        <f>IF($B11="","",
IF(H$5="","",
IF(Midterm!H11="",0,
IF(NOT(ISNUMBER(Midterm!H11)),"NAN",
IF(Midterm!H11&lt;0,"NEG",
IF(Midterm!H11&gt;H$5,"OVER",
IF(AND(H$5&lt;=100,Midterm!H11&gt;100),"ERR",
IF(Info!$B$4="Non-board program",
IF(OR(AND(H$5&gt;0,H$5&gt;100),AND(H$5&gt;0,H$5&lt;100)),
VLOOKUP(FLOOR((Midterm!H11/H$5)*100,1),new_transmute,2,FALSE),
VLOOKUP(Midterm!H11,new_transmute,2,FALSE)
),
IF(Info!$B$4="Board program",
IF(OR(AND(H$5&gt;0,H$5&gt;100),AND(H$5&gt;0,H$5&lt;100)),
VLOOKUP(FLOOR((Midterm!H11/H$5)*100,1),new_transmute,3,FALSE),
VLOOKUP(Midterm!H11,new_transmute,3,FALSE)
),
IF(Info!$B$4="Board program (Medicine)",
IF(OR(AND(H$5&gt;0,H$5&gt;100),AND(H$5&gt;0,H$5&lt;100)),
VLOOKUP(FLOOR((Midterm!H11/H$5)*100,1),new_transmute,4,FALSE),
VLOOKUP(Midterm!H11,new_transmute,4,FALSE)
),
""
)
)
)
)
)
)
)
)
))</f>
        <v/>
      </c>
      <c r="I11" s="14" t="str">
        <f>IF($B11="","",
IF(I$5="","",
IF(Midterm!I11="",0,
IF(NOT(ISNUMBER(Midterm!I11)),"NAN",
IF(Midterm!I11&lt;0,"NEG",
IF(Midterm!I11&gt;I$5,"OVER",
IF(AND(I$5&lt;=100,Midterm!I11&gt;100),"ERR",
IF(Info!$B$4="Non-board program",
IF(OR(AND(I$5&gt;0,I$5&gt;100),AND(I$5&gt;0,I$5&lt;100)),
VLOOKUP(FLOOR((Midterm!I11/I$5)*100,1),new_transmute,2,FALSE),
VLOOKUP(Midterm!I11,new_transmute,2,FALSE)
),
IF(Info!$B$4="Board program",
IF(OR(AND(I$5&gt;0,I$5&gt;100),AND(I$5&gt;0,I$5&lt;100)),
VLOOKUP(FLOOR((Midterm!I11/I$5)*100,1),new_transmute,3,FALSE),
VLOOKUP(Midterm!I11,new_transmute,3,FALSE)
),
IF(Info!$B$4="Board program (Medicine)",
IF(OR(AND(I$5&gt;0,I$5&gt;100),AND(I$5&gt;0,I$5&lt;100)),
VLOOKUP(FLOOR((Midterm!I11/I$5)*100,1),new_transmute,4,FALSE),
VLOOKUP(Midterm!I11,new_transmute,4,FALSE)
),
""
)
)
)
)
)
)
)
)
))</f>
        <v/>
      </c>
      <c r="J11" s="14" t="str">
        <f>IF($B11="","",
IF(J$5="","",
IF(Midterm!J11="",0,
IF(NOT(ISNUMBER(Midterm!J11)),"NAN",
IF(Midterm!J11&lt;0,"NEG",
IF(Midterm!J11&gt;J$5,"OVER",
IF(AND(J$5&lt;=100,Midterm!J11&gt;100),"ERR",
IF(Info!$B$4="Non-board program",
IF(OR(AND(J$5&gt;0,J$5&gt;100),AND(J$5&gt;0,J$5&lt;100)),
VLOOKUP(FLOOR((Midterm!J11/J$5)*100,1),new_transmute,2,FALSE),
VLOOKUP(Midterm!J11,new_transmute,2,FALSE)
),
IF(Info!$B$4="Board program",
IF(OR(AND(J$5&gt;0,J$5&gt;100),AND(J$5&gt;0,J$5&lt;100)),
VLOOKUP(FLOOR((Midterm!J11/J$5)*100,1),new_transmute,3,FALSE),
VLOOKUP(Midterm!J11,new_transmute,3,FALSE)
),
IF(Info!$B$4="Board program (Medicine)",
IF(OR(AND(J$5&gt;0,J$5&gt;100),AND(J$5&gt;0,J$5&lt;100)),
VLOOKUP(FLOOR((Midterm!J11/J$5)*100,1),new_transmute,4,FALSE),
VLOOKUP(Midterm!J11,new_transmute,4,FALSE)
),
""
)
)
)
)
)
)
)
)
))</f>
        <v/>
      </c>
      <c r="K11" s="14" t="str">
        <f>IF($B11="","",
IF(K$5="","",
IF(Midterm!K11="",0,
IF(NOT(ISNUMBER(Midterm!K11)),"NAN",
IF(Midterm!K11&lt;0,"NEG",
IF(Midterm!K11&gt;K$5,"OVER",
IF(AND(K$5&lt;=100,Midterm!K11&gt;100),"ERR",
IF(Info!$B$4="Non-board program",
IF(OR(AND(K$5&gt;0,K$5&gt;100),AND(K$5&gt;0,K$5&lt;100)),
VLOOKUP(FLOOR((Midterm!K11/K$5)*100,1),new_transmute,2,FALSE),
VLOOKUP(Midterm!K11,new_transmute,2,FALSE)
),
IF(Info!$B$4="Board program",
IF(OR(AND(K$5&gt;0,K$5&gt;100),AND(K$5&gt;0,K$5&lt;100)),
VLOOKUP(FLOOR((Midterm!K11/K$5)*100,1),new_transmute,3,FALSE),
VLOOKUP(Midterm!K11,new_transmute,3,FALSE)
),
IF(Info!$B$4="Board program (Medicine)",
IF(OR(AND(K$5&gt;0,K$5&gt;100),AND(K$5&gt;0,K$5&lt;100)),
VLOOKUP(FLOOR((Midterm!K11/K$5)*100,1),new_transmute,4,FALSE),
VLOOKUP(Midterm!K11,new_transmute,4,FALSE)
),
""
)
)
)
)
)
)
)
)
))</f>
        <v/>
      </c>
      <c r="L11" s="14" t="str">
        <f>IF($B11="","",
IF(L$5="","",
IF(Midterm!L11="",0,
IF(NOT(ISNUMBER(Midterm!L11)),"NAN",
IF(Midterm!L11&lt;0,"NEG",
IF(Midterm!L11&gt;L$5,"OVER",
IF(AND(L$5&lt;=100,Midterm!L11&gt;100),"ERR",
IF(Info!$B$4="Non-board program",
IF(OR(AND(L$5&gt;0,L$5&gt;100),AND(L$5&gt;0,L$5&lt;100)),
VLOOKUP(FLOOR((Midterm!L11/L$5)*100,1),new_transmute,2,FALSE),
VLOOKUP(Midterm!L11,new_transmute,2,FALSE)
),
IF(Info!$B$4="Board program",
IF(OR(AND(L$5&gt;0,L$5&gt;100),AND(L$5&gt;0,L$5&lt;100)),
VLOOKUP(FLOOR((Midterm!L11/L$5)*100,1),new_transmute,3,FALSE),
VLOOKUP(Midterm!L11,new_transmute,3,FALSE)
),
IF(Info!$B$4="Board program (Medicine)",
IF(OR(AND(L$5&gt;0,L$5&gt;100),AND(L$5&gt;0,L$5&lt;100)),
VLOOKUP(FLOOR((Midterm!L11/L$5)*100,1),new_transmute,4,FALSE),
VLOOKUP(Midterm!L11,new_transmute,4,FALSE)
),
""
)
)
)
)
)
)
)
)
))</f>
        <v/>
      </c>
      <c r="M11" s="111" t="str">
        <f t="shared" si="2"/>
        <v/>
      </c>
      <c r="N11" s="14" t="str">
        <f>IF($B11="","",
IF(N$5="","",
IF(Midterm!N11="",0,
IF(NOT(ISNUMBER(Midterm!N11)),"NAN",
IF(Midterm!N11&lt;0,"NEG",
IF(Midterm!N11&gt;N$5,"OVER",
IF(AND(N$5&lt;=100,Midterm!N11&gt;100),"ERR",
IF(Info!$B$4="Non-board program",
IF(OR(AND(N$5&gt;0,N$5&gt;100),AND(N$5&gt;0,N$5&lt;100)),
VLOOKUP(FLOOR((Midterm!N11/N$5)*100,1),new_transmute,2,FALSE),
VLOOKUP(Midterm!N11,new_transmute,2,FALSE)
),
IF(Info!$B$4="Board program",
IF(OR(AND(N$5&gt;0,N$5&gt;100),AND(N$5&gt;0,N$5&lt;100)),
VLOOKUP(FLOOR((Midterm!N11/N$5)*100,1),new_transmute,3,FALSE),
VLOOKUP(Midterm!N11,new_transmute,3,FALSE)
),
IF(Info!$B$4="Board program (Medicine)",
IF(OR(AND(N$5&gt;0,N$5&gt;100),AND(N$5&gt;0,N$5&lt;100)),
VLOOKUP(FLOOR((Midterm!N11/N$5)*100,1),new_transmute,4,FALSE),
VLOOKUP(Midterm!N11,new_transmute,4,FALSE)
),
""
)
)
)
)
)
)
)
)
))</f>
        <v/>
      </c>
      <c r="O11" s="14" t="str">
        <f>IF($B11="","",
IF(O$5="","",
IF(Midterm!O11="",0,
IF(NOT(ISNUMBER(Midterm!O11)),"NAN",
IF(Midterm!O11&lt;0,"NEG",
IF(Midterm!O11&gt;O$5,"OVER",
IF(AND(O$5&lt;=100,Midterm!O11&gt;100),"ERR",
IF(Info!$B$4="Non-board program",
IF(OR(AND(O$5&gt;0,O$5&gt;100),AND(O$5&gt;0,O$5&lt;100)),
VLOOKUP(FLOOR((Midterm!O11/O$5)*100,1),new_transmute,2,FALSE),
VLOOKUP(Midterm!O11,new_transmute,2,FALSE)
),
IF(Info!$B$4="Board program",
IF(OR(AND(O$5&gt;0,O$5&gt;100),AND(O$5&gt;0,O$5&lt;100)),
VLOOKUP(FLOOR((Midterm!O11/O$5)*100,1),new_transmute,3,FALSE),
VLOOKUP(Midterm!O11,new_transmute,3,FALSE)
),
IF(Info!$B$4="Board program (Medicine)",
IF(OR(AND(O$5&gt;0,O$5&gt;100),AND(O$5&gt;0,O$5&lt;100)),
VLOOKUP(FLOOR((Midterm!O11/O$5)*100,1),new_transmute,4,FALSE),
VLOOKUP(Midterm!O11,new_transmute,4,FALSE)
),
""
)
)
)
)
)
)
)
)
))</f>
        <v/>
      </c>
      <c r="P11" s="14" t="str">
        <f>IF($B11="","",
IF(P$5="","",
IF(Midterm!P11="",0,
IF(NOT(ISNUMBER(Midterm!P11)),"NAN",
IF(Midterm!P11&lt;0,"NEG",
IF(Midterm!P11&gt;P$5,"OVER",
IF(AND(P$5&lt;=100,Midterm!P11&gt;100),"ERR",
IF(Info!$B$4="Non-board program",
IF(OR(AND(P$5&gt;0,P$5&gt;100),AND(P$5&gt;0,P$5&lt;100)),
VLOOKUP(FLOOR((Midterm!P11/P$5)*100,1),new_transmute,2,FALSE),
VLOOKUP(Midterm!P11,new_transmute,2,FALSE)
),
IF(Info!$B$4="Board program",
IF(OR(AND(P$5&gt;0,P$5&gt;100),AND(P$5&gt;0,P$5&lt;100)),
VLOOKUP(FLOOR((Midterm!P11/P$5)*100,1),new_transmute,3,FALSE),
VLOOKUP(Midterm!P11,new_transmute,3,FALSE)
),
IF(Info!$B$4="Board program (Medicine)",
IF(OR(AND(P$5&gt;0,P$5&gt;100),AND(P$5&gt;0,P$5&lt;100)),
VLOOKUP(FLOOR((Midterm!P11/P$5)*100,1),new_transmute,4,FALSE),
VLOOKUP(Midterm!P11,new_transmute,4,FALSE)
),
""
)
)
)
)
)
)
)
)
))</f>
        <v/>
      </c>
      <c r="Q11" s="14" t="str">
        <f>IF($B11="","",
IF(Q$5="","",
IF(Midterm!Q11="",0,
IF(NOT(ISNUMBER(Midterm!Q11)),"NAN",
IF(Midterm!Q11&lt;0,"NEG",
IF(Midterm!Q11&gt;Q$5,"OVER",
IF(AND(Q$5&lt;=100,Midterm!Q11&gt;100),"ERR",
IF(Info!$B$4="Non-board program",
IF(OR(AND(Q$5&gt;0,Q$5&gt;100),AND(Q$5&gt;0,Q$5&lt;100)),
VLOOKUP(FLOOR((Midterm!Q11/Q$5)*100,1),new_transmute,2,FALSE),
VLOOKUP(Midterm!Q11,new_transmute,2,FALSE)
),
IF(Info!$B$4="Board program",
IF(OR(AND(Q$5&gt;0,Q$5&gt;100),AND(Q$5&gt;0,Q$5&lt;100)),
VLOOKUP(FLOOR((Midterm!Q11/Q$5)*100,1),new_transmute,3,FALSE),
VLOOKUP(Midterm!Q11,new_transmute,3,FALSE)
),
IF(Info!$B$4="Board program (Medicine)",
IF(OR(AND(Q$5&gt;0,Q$5&gt;100),AND(Q$5&gt;0,Q$5&lt;100)),
VLOOKUP(FLOOR((Midterm!Q11/Q$5)*100,1),new_transmute,4,FALSE),
VLOOKUP(Midterm!Q11,new_transmute,4,FALSE)
),
""
)
)
)
)
)
)
)
)
))</f>
        <v/>
      </c>
      <c r="R11" s="14" t="str">
        <f>IF($B11="","",
IF(R$5="","",
IF(Midterm!R11="",0,
IF(NOT(ISNUMBER(Midterm!R11)),"NAN",
IF(Midterm!R11&lt;0,"NEG",
IF(Midterm!R11&gt;R$5,"OVER",
IF(AND(R$5&lt;=100,Midterm!R11&gt;100),"ERR",
IF(Info!$B$4="Non-board program",
IF(OR(AND(R$5&gt;0,R$5&gt;100),AND(R$5&gt;0,R$5&lt;100)),
VLOOKUP(FLOOR((Midterm!R11/R$5)*100,1),new_transmute,2,FALSE),
VLOOKUP(Midterm!R11,new_transmute,2,FALSE)
),
IF(Info!$B$4="Board program",
IF(OR(AND(R$5&gt;0,R$5&gt;100),AND(R$5&gt;0,R$5&lt;100)),
VLOOKUP(FLOOR((Midterm!R11/R$5)*100,1),new_transmute,3,FALSE),
VLOOKUP(Midterm!R11,new_transmute,3,FALSE)
),
IF(Info!$B$4="Board program (Medicine)",
IF(OR(AND(R$5&gt;0,R$5&gt;100),AND(R$5&gt;0,R$5&lt;100)),
VLOOKUP(FLOOR((Midterm!R11/R$5)*100,1),new_transmute,4,FALSE),
VLOOKUP(Midterm!R11,new_transmute,4,FALSE)
),
""
)
)
)
)
)
)
)
)
))</f>
        <v/>
      </c>
      <c r="S11" s="115" t="str">
        <f t="shared" si="3"/>
        <v/>
      </c>
      <c r="T11" s="14" t="str">
        <f>IF($B11="","",
IF(T$5="","",
IF(Midterm!T11="",0,
IF(NOT(ISNUMBER(Midterm!T11)),"NAN",
IF(Midterm!T11&lt;0,"NEG",
IF(Midterm!T11&gt;T$5,"OVER",
IF(AND(T$5&lt;=100,Midterm!T11&gt;100),"ERR",
IF(Info!$B$4="Non-board program",
IF(OR(AND(T$5&gt;0,T$5&gt;100),AND(T$5&gt;0,T$5&lt;100)),
VLOOKUP(FLOOR((Midterm!T11/T$5)*100,1),new_transmute,2,FALSE),
VLOOKUP(Midterm!T11,new_transmute,2,FALSE)
),
IF(Info!$B$4="Board program",
IF(OR(AND(T$5&gt;0,T$5&gt;100),AND(T$5&gt;0,T$5&lt;100)),
VLOOKUP(FLOOR((Midterm!T11/T$5)*100,1),new_transmute,3,FALSE),
VLOOKUP(Midterm!T11,new_transmute,3,FALSE)
),
IF(Info!$B$4="Board program (Medicine)",
IF(OR(AND(T$5&gt;0,T$5&gt;100),AND(T$5&gt;0,T$5&lt;100)),
VLOOKUP(FLOOR((Midterm!T11/T$5)*100,1),new_transmute,4,FALSE),
VLOOKUP(Midterm!T11,new_transmute,4,FALSE)
),
""
)
)
)
)
)
)
)
)
))</f>
        <v/>
      </c>
      <c r="U11" s="14" t="str">
        <f>IF($B11="","",
IF(U$5="","",
IF(Midterm!U11="",0,
IF(NOT(ISNUMBER(Midterm!U11)),"NAN",
IF(Midterm!U11&lt;0,"NEG",
IF(Midterm!U11&gt;U$5,"OVER",
IF(AND(U$5&lt;=100,Midterm!U11&gt;100),"ERR",
IF(Info!$B$4="Non-board program",
IF(OR(AND(U$5&gt;0,U$5&gt;100),AND(U$5&gt;0,U$5&lt;100)),
VLOOKUP(FLOOR((Midterm!U11/U$5)*100,1),new_transmute,2,FALSE),
VLOOKUP(Midterm!U11,new_transmute,2,FALSE)
),
IF(Info!$B$4="Board program",
IF(OR(AND(U$5&gt;0,U$5&gt;100),AND(U$5&gt;0,U$5&lt;100)),
VLOOKUP(FLOOR((Midterm!U11/U$5)*100,1),new_transmute,3,FALSE),
VLOOKUP(Midterm!U11,new_transmute,3,FALSE)
),
IF(Info!$B$4="Board program (Medicine)",
IF(OR(AND(U$5&gt;0,U$5&gt;100),AND(U$5&gt;0,U$5&lt;100)),
VLOOKUP(FLOOR((Midterm!U11/U$5)*100,1),new_transmute,4,FALSE),
VLOOKUP(Midterm!U11,new_transmute,4,FALSE)
),
""
)
)
)
)
)
)
)
)
))</f>
        <v/>
      </c>
      <c r="V11" s="14" t="str">
        <f>IF($B11="","",
IF(V$5="","",
IF(Midterm!V11="",0,
IF(NOT(ISNUMBER(Midterm!V11)),"NAN",
IF(Midterm!V11&lt;0,"NEG",
IF(Midterm!V11&gt;V$5,"OVER",
IF(AND(V$5&lt;=100,Midterm!V11&gt;100),"ERR",
IF(Info!$B$4="Non-board program",
IF(OR(AND(V$5&gt;0,V$5&gt;100),AND(V$5&gt;0,V$5&lt;100)),
VLOOKUP(FLOOR((Midterm!V11/V$5)*100,1),new_transmute,2,FALSE),
VLOOKUP(Midterm!V11,new_transmute,2,FALSE)
),
IF(Info!$B$4="Board program",
IF(OR(AND(V$5&gt;0,V$5&gt;100),AND(V$5&gt;0,V$5&lt;100)),
VLOOKUP(FLOOR((Midterm!V11/V$5)*100,1),new_transmute,3,FALSE),
VLOOKUP(Midterm!V11,new_transmute,3,FALSE)
),
IF(Info!$B$4="Board program (Medicine)",
IF(OR(AND(V$5&gt;0,V$5&gt;100),AND(V$5&gt;0,V$5&lt;100)),
VLOOKUP(FLOOR((Midterm!V11/V$5)*100,1),new_transmute,4,FALSE),
VLOOKUP(Midterm!V11,new_transmute,4,FALSE)
),
""
)
)
)
)
)
)
)
)
))</f>
        <v/>
      </c>
      <c r="W11" s="14" t="str">
        <f>IF($B11="","",
IF(W$5="","",
IF(Midterm!W11="",0,
IF(NOT(ISNUMBER(Midterm!W11)),"NAN",
IF(Midterm!W11&lt;0,"NEG",
IF(Midterm!W11&gt;W$5,"OVER",
IF(AND(W$5&lt;=100,Midterm!W11&gt;100),"ERR",
IF(Info!$B$4="Non-board program",
IF(OR(AND(W$5&gt;0,W$5&gt;100),AND(W$5&gt;0,W$5&lt;100)),
VLOOKUP(FLOOR((Midterm!W11/W$5)*100,1),new_transmute,2,FALSE),
VLOOKUP(Midterm!W11,new_transmute,2,FALSE)
),
IF(Info!$B$4="Board program",
IF(OR(AND(W$5&gt;0,W$5&gt;100),AND(W$5&gt;0,W$5&lt;100)),
VLOOKUP(FLOOR((Midterm!W11/W$5)*100,1),new_transmute,3,FALSE),
VLOOKUP(Midterm!W11,new_transmute,3,FALSE)
),
IF(Info!$B$4="Board program (Medicine)",
IF(OR(AND(W$5&gt;0,W$5&gt;100),AND(W$5&gt;0,W$5&lt;100)),
VLOOKUP(FLOOR((Midterm!W11/W$5)*100,1),new_transmute,4,FALSE),
VLOOKUP(Midterm!W11,new_transmute,4,FALSE)
),
""
)
)
)
)
)
)
)
)
))</f>
        <v/>
      </c>
      <c r="X11" s="14" t="str">
        <f>IF($B11="","",
IF(X$5="","",
IF(Midterm!X11="",0,
IF(NOT(ISNUMBER(Midterm!X11)),"NAN",
IF(Midterm!X11&lt;0,"NEG",
IF(Midterm!X11&gt;X$5,"OVER",
IF(AND(X$5&lt;=100,Midterm!X11&gt;100),"ERR",
IF(Info!$B$4="Non-board program",
IF(OR(AND(X$5&gt;0,X$5&gt;100),AND(X$5&gt;0,X$5&lt;100)),
VLOOKUP(FLOOR((Midterm!X11/X$5)*100,1),new_transmute,2,FALSE),
VLOOKUP(Midterm!X11,new_transmute,2,FALSE)
),
IF(Info!$B$4="Board program",
IF(OR(AND(X$5&gt;0,X$5&gt;100),AND(X$5&gt;0,X$5&lt;100)),
VLOOKUP(FLOOR((Midterm!X11/X$5)*100,1),new_transmute,3,FALSE),
VLOOKUP(Midterm!X11,new_transmute,3,FALSE)
),
IF(Info!$B$4="Board program (Medicine)",
IF(OR(AND(X$5&gt;0,X$5&gt;100),AND(X$5&gt;0,X$5&lt;100)),
VLOOKUP(FLOOR((Midterm!X11/X$5)*100,1),new_transmute,4,FALSE),
VLOOKUP(Midterm!X11,new_transmute,4,FALSE)
),
""
)
)
)
)
)
)
)
)
))</f>
        <v/>
      </c>
      <c r="Y11" s="112" t="str">
        <f t="shared" si="4"/>
        <v/>
      </c>
      <c r="Z11" s="14" t="str">
        <f>IF($B11="","",
IF(Z$5="","",
IF(Midterm!Z11="",0,
IF(NOT(ISNUMBER(Midterm!Z11)),"NAN",
IF(Midterm!Z11&lt;0,"NEG",
IF(Midterm!Z11&gt;Z$5,"OVER",
IF(AND(Z$5&lt;=100,Midterm!Z11&gt;100),"ERR",
IF(Info!$B$4="Non-board program",
IF(OR(AND(Z$5&gt;0,Z$5&gt;100),AND(Z$5&gt;0,Z$5&lt;100)),
VLOOKUP(FLOOR((Midterm!Z11/Z$5)*100,1),new_transmute,2,FALSE),
VLOOKUP(Midterm!Z11,new_transmute,2,FALSE)
),
IF(Info!$B$4="Board program",
IF(OR(AND(Z$5&gt;0,Z$5&gt;100),AND(Z$5&gt;0,Z$5&lt;100)),
VLOOKUP(FLOOR((Midterm!Z11/Z$5)*100,1),new_transmute,3,FALSE),
VLOOKUP(Midterm!Z11,new_transmute,3,FALSE)
),
IF(Info!$B$4="Board program (Medicine)",
IF(OR(AND(Z$5&gt;0,Z$5&gt;100),AND(Z$5&gt;0,Z$5&lt;100)),
VLOOKUP(FLOOR((Midterm!Z11/Z$5)*100,1),new_transmute,4,FALSE),
VLOOKUP(Midterm!Z11,new_transmute,4,FALSE)
),
""
)
)
)
)
)
)
)
)
))</f>
        <v/>
      </c>
      <c r="AA11" s="14" t="str">
        <f>IF($B11="","",
IF(AA$5="","",
IF(Midterm!AA11="",0,
IF(NOT(ISNUMBER(Midterm!AA11)),"NAN",
IF(Midterm!AA11&lt;0,"NEG",
IF(Midterm!AA11&gt;AA$5,"OVER",
IF(AND(AA$5&lt;=100,Midterm!AA11&gt;100),"ERR",
IF(Info!$B$4="Non-board program",
IF(OR(AND(AA$5&gt;0,AA$5&gt;100),AND(AA$5&gt;0,AA$5&lt;100)),
VLOOKUP(FLOOR((Midterm!AA11/AA$5)*100,1),new_transmute,2,FALSE),
VLOOKUP(Midterm!AA11,new_transmute,2,FALSE)
),
IF(Info!$B$4="Board program",
IF(OR(AND(AA$5&gt;0,AA$5&gt;100),AND(AA$5&gt;0,AA$5&lt;100)),
VLOOKUP(FLOOR((Midterm!AA11/AA$5)*100,1),new_transmute,3,FALSE),
VLOOKUP(Midterm!AA11,new_transmute,3,FALSE)
),
IF(Info!$B$4="Board program (Medicine)",
IF(OR(AND(AA$5&gt;0,AA$5&gt;100),AND(AA$5&gt;0,AA$5&lt;100)),
VLOOKUP(FLOOR((Midterm!AA11/AA$5)*100,1),new_transmute,4,FALSE),
VLOOKUP(Midterm!AA11,new_transmute,4,FALSE)
),
""
)
)
)
)
)
)
)
)
))</f>
        <v/>
      </c>
      <c r="AB11" s="14" t="str">
        <f>IF($B11="","",
IF(AB$5="","",
IF(Midterm!AB11="",0,
IF(NOT(ISNUMBER(Midterm!AB11)),"NAN",
IF(Midterm!AB11&lt;0,"NEG",
IF(Midterm!AB11&gt;AB$5,"OVER",
IF(AND(AB$5&lt;=100,Midterm!AB11&gt;100),"ERR",
IF(Info!$B$4="Non-board program",
IF(OR(AND(AB$5&gt;0,AB$5&gt;100),AND(AB$5&gt;0,AB$5&lt;100)),
VLOOKUP(FLOOR((Midterm!AB11/AB$5)*100,1),new_transmute,2,FALSE),
VLOOKUP(Midterm!AB11,new_transmute,2,FALSE)
),
IF(Info!$B$4="Board program",
IF(OR(AND(AB$5&gt;0,AB$5&gt;100),AND(AB$5&gt;0,AB$5&lt;100)),
VLOOKUP(FLOOR((Midterm!AB11/AB$5)*100,1),new_transmute,3,FALSE),
VLOOKUP(Midterm!AB11,new_transmute,3,FALSE)
),
IF(Info!$B$4="Board program (Medicine)",
IF(OR(AND(AB$5&gt;0,AB$5&gt;100),AND(AB$5&gt;0,AB$5&lt;100)),
VLOOKUP(FLOOR((Midterm!AB11/AB$5)*100,1),new_transmute,4,FALSE),
VLOOKUP(Midterm!AB11,new_transmute,4,FALSE)
),
""
)
)
)
)
)
)
)
)
))</f>
        <v/>
      </c>
      <c r="AC11" s="14" t="str">
        <f>IF($B11="","",
IF(AC$5="","",
IF(Midterm!AC11="",0,
IF(NOT(ISNUMBER(Midterm!AC11)),"NAN",
IF(Midterm!AC11&lt;0,"NEG",
IF(Midterm!AC11&gt;AC$5,"OVER",
IF(AND(AC$5&lt;=100,Midterm!AC11&gt;100),"ERR",
IF(Info!$B$4="Non-board program",
IF(OR(AND(AC$5&gt;0,AC$5&gt;100),AND(AC$5&gt;0,AC$5&lt;100)),
VLOOKUP(FLOOR((Midterm!AC11/AC$5)*100,1),new_transmute,2,FALSE),
VLOOKUP(Midterm!AC11,new_transmute,2,FALSE)
),
IF(Info!$B$4="Board program",
IF(OR(AND(AC$5&gt;0,AC$5&gt;100),AND(AC$5&gt;0,AC$5&lt;100)),
VLOOKUP(FLOOR((Midterm!AC11/AC$5)*100,1),new_transmute,3,FALSE),
VLOOKUP(Midterm!AC11,new_transmute,3,FALSE)
),
IF(Info!$B$4="Board program (Medicine)",
IF(OR(AND(AC$5&gt;0,AC$5&gt;100),AND(AC$5&gt;0,AC$5&lt;100)),
VLOOKUP(FLOOR((Midterm!AC11/AC$5)*100,1),new_transmute,4,FALSE),
VLOOKUP(Midterm!AC11,new_transmute,4,FALSE)
),
""
)
)
)
)
)
)
)
)
))</f>
        <v/>
      </c>
      <c r="AD11" s="14" t="str">
        <f>IF($B11="","",
IF(AD$5="","",
IF(Midterm!AD11="",0,
IF(NOT(ISNUMBER(Midterm!AD11)),"NAN",
IF(Midterm!AD11&lt;0,"NEG",
IF(Midterm!AD11&gt;AD$5,"OVER",
IF(AND(AD$5&lt;=100,Midterm!AD11&gt;100),"ERR",
IF(Info!$B$4="Non-board program",
IF(OR(AND(AD$5&gt;0,AD$5&gt;100),AND(AD$5&gt;0,AD$5&lt;100)),
VLOOKUP(FLOOR((Midterm!AD11/AD$5)*100,1),new_transmute,2,FALSE),
VLOOKUP(Midterm!AD11,new_transmute,2,FALSE)
),
IF(Info!$B$4="Board program",
IF(OR(AND(AD$5&gt;0,AD$5&gt;100),AND(AD$5&gt;0,AD$5&lt;100)),
VLOOKUP(FLOOR((Midterm!AD11/AD$5)*100,1),new_transmute,3,FALSE),
VLOOKUP(Midterm!AD11,new_transmute,3,FALSE)
),
IF(Info!$B$4="Board program (Medicine)",
IF(OR(AND(AD$5&gt;0,AD$5&gt;100),AND(AD$5&gt;0,AD$5&lt;100)),
VLOOKUP(FLOOR((Midterm!AD11/AD$5)*100,1),new_transmute,4,FALSE),
VLOOKUP(Midterm!AD11,new_transmute,4,FALSE)
),
""
)
)
)
)
)
)
)
)
))</f>
        <v/>
      </c>
      <c r="AE11" s="58" t="str">
        <f t="shared" si="5"/>
        <v/>
      </c>
      <c r="AF11" s="14" t="str">
        <f>IF($B11="","",
IF(AF$5="","",
IF(Midterm!AF11="",0,
IF(NOT(ISNUMBER(Midterm!AF11)),"NAN",
IF(Midterm!AF11&lt;0,"NEG",
IF(Midterm!AF11&gt;AF$5,"OVER",
IF(AND(AF$5&lt;=100,Midterm!AF11&gt;100),"ERR",
IF(Info!$B$4="Non-board program",
IF(OR(AND(AF$5&gt;0,AF$5&gt;100),AND(AF$5&gt;0,AF$5&lt;100)),
VLOOKUP(FLOOR((Midterm!AF11/AF$5)*100,1),new_transmute,2,FALSE),
VLOOKUP(Midterm!AF11,new_transmute,2,FALSE)
),
IF(Info!$B$4="Board program",
IF(OR(AND(AF$5&gt;0,AF$5&gt;100),AND(AF$5&gt;0,AF$5&lt;100)),
VLOOKUP(FLOOR((Midterm!AF11/AF$5)*100,1),new_transmute,3,FALSE),
VLOOKUP(Midterm!AF11,new_transmute,3,FALSE)
),
IF(Info!$B$4="Board program (Medicine)",
IF(OR(AND(AF$5&gt;0,AF$5&gt;100),AND(AF$5&gt;0,AF$5&lt;100)),
VLOOKUP(FLOOR((Midterm!AF11/AF$5)*100,1),new_transmute,4,FALSE),
VLOOKUP(Midterm!AF11,new_transmute,4,FALSE)
),
""
)
)
)
)
)
)
)
)
))</f>
        <v/>
      </c>
      <c r="AG11" s="14" t="str">
        <f>IF($B11="","",
IF(AG$5="","",
IF(Midterm!AG11="",0,
IF(NOT(ISNUMBER(Midterm!AG11)),"NAN",
IF(Midterm!AG11&lt;0,"NEG",
IF(Midterm!AG11&gt;AG$5,"OVER",
IF(AND(AG$5&lt;=100,Midterm!AG11&gt;100),"ERR",
IF(Info!$B$4="Non-board program",
IF(OR(AND(AG$5&gt;0,AG$5&gt;100),AND(AG$5&gt;0,AG$5&lt;100)),
VLOOKUP(FLOOR((Midterm!AG11/AG$5)*100,1),new_transmute,2,FALSE),
VLOOKUP(Midterm!AG11,new_transmute,2,FALSE)
),
IF(Info!$B$4="Board program",
IF(OR(AND(AG$5&gt;0,AG$5&gt;100),AND(AG$5&gt;0,AG$5&lt;100)),
VLOOKUP(FLOOR((Midterm!AG11/AG$5)*100,1),new_transmute,3,FALSE),
VLOOKUP(Midterm!AG11,new_transmute,3,FALSE)
),
IF(Info!$B$4="Board program (Medicine)",
IF(OR(AND(AG$5&gt;0,AG$5&gt;100),AND(AG$5&gt;0,AG$5&lt;100)),
VLOOKUP(FLOOR((Midterm!AG11/AG$5)*100,1),new_transmute,4,FALSE),
VLOOKUP(Midterm!AG11,new_transmute,4,FALSE)
),
""
)
)
)
)
)
)
)
)
))</f>
        <v/>
      </c>
      <c r="AH11" s="14" t="str">
        <f>IF($B11="","",
IF(AH$5="","",
IF(Midterm!AH11="",0,
IF(NOT(ISNUMBER(Midterm!AH11)),"NAN",
IF(Midterm!AH11&lt;0,"NEG",
IF(Midterm!AH11&gt;AH$5,"OVER",
IF(AND(AH$5&lt;=100,Midterm!AH11&gt;100),"ERR",
IF(Info!$B$4="Non-board program",
IF(OR(AND(AH$5&gt;0,AH$5&gt;100),AND(AH$5&gt;0,AH$5&lt;100)),
VLOOKUP(FLOOR((Midterm!AH11/AH$5)*100,1),new_transmute,2,FALSE),
VLOOKUP(Midterm!AH11,new_transmute,2,FALSE)
),
IF(Info!$B$4="Board program",
IF(OR(AND(AH$5&gt;0,AH$5&gt;100),AND(AH$5&gt;0,AH$5&lt;100)),
VLOOKUP(FLOOR((Midterm!AH11/AH$5)*100,1),new_transmute,3,FALSE),
VLOOKUP(Midterm!AH11,new_transmute,3,FALSE)
),
IF(Info!$B$4="Board program (Medicine)",
IF(OR(AND(AH$5&gt;0,AH$5&gt;100),AND(AH$5&gt;0,AH$5&lt;100)),
VLOOKUP(FLOOR((Midterm!AH11/AH$5)*100,1),new_transmute,4,FALSE),
VLOOKUP(Midterm!AH11,new_transmute,4,FALSE)
),
""
)
)
)
)
)
)
)
)
))</f>
        <v/>
      </c>
      <c r="AI11" s="14" t="str">
        <f>IF($B11="","",
IF(AI$5="","",
IF(Midterm!AI11="",0,
IF(NOT(ISNUMBER(Midterm!AI11)),"NAN",
IF(Midterm!AI11&lt;0,"NEG",
IF(Midterm!AI11&gt;AI$5,"OVER",
IF(AND(AI$5&lt;=100,Midterm!AI11&gt;100),"ERR",
IF(Info!$B$4="Non-board program",
IF(OR(AND(AI$5&gt;0,AI$5&gt;100),AND(AI$5&gt;0,AI$5&lt;100)),
VLOOKUP(FLOOR((Midterm!AI11/AI$5)*100,1),new_transmute,2,FALSE),
VLOOKUP(Midterm!AI11,new_transmute,2,FALSE)
),
IF(Info!$B$4="Board program",
IF(OR(AND(AI$5&gt;0,AI$5&gt;100),AND(AI$5&gt;0,AI$5&lt;100)),
VLOOKUP(FLOOR((Midterm!AI11/AI$5)*100,1),new_transmute,3,FALSE),
VLOOKUP(Midterm!AI11,new_transmute,3,FALSE)
),
IF(Info!$B$4="Board program (Medicine)",
IF(OR(AND(AI$5&gt;0,AI$5&gt;100),AND(AI$5&gt;0,AI$5&lt;100)),
VLOOKUP(FLOOR((Midterm!AI11/AI$5)*100,1),new_transmute,4,FALSE),
VLOOKUP(Midterm!AI11,new_transmute,4,FALSE)
),
""
)
)
)
)
)
)
)
)
))</f>
        <v/>
      </c>
      <c r="AJ11" s="14" t="str">
        <f>IF($B11="","",
IF(AJ$5="","",
IF(Midterm!AJ11="",0,
IF(NOT(ISNUMBER(Midterm!AJ11)),"NAN",
IF(Midterm!AJ11&lt;0,"NEG",
IF(Midterm!AJ11&gt;AJ$5,"OVER",
IF(AND(AJ$5&lt;=100,Midterm!AJ11&gt;100),"ERR",
IF(Info!$B$4="Non-board program",
IF(OR(AND(AJ$5&gt;0,AJ$5&gt;100),AND(AJ$5&gt;0,AJ$5&lt;100)),
VLOOKUP(FLOOR((Midterm!AJ11/AJ$5)*100,1),new_transmute,2,FALSE),
VLOOKUP(Midterm!AJ11,new_transmute,2,FALSE)
),
IF(Info!$B$4="Board program",
IF(OR(AND(AJ$5&gt;0,AJ$5&gt;100),AND(AJ$5&gt;0,AJ$5&lt;100)),
VLOOKUP(FLOOR((Midterm!AJ11/AJ$5)*100,1),new_transmute,3,FALSE),
VLOOKUP(Midterm!AJ11,new_transmute,3,FALSE)
),
IF(Info!$B$4="Board program (Medicine)",
IF(OR(AND(AJ$5&gt;0,AJ$5&gt;100),AND(AJ$5&gt;0,AJ$5&lt;100)),
VLOOKUP(FLOOR((Midterm!AJ11/AJ$5)*100,1),new_transmute,4,FALSE),
VLOOKUP(Midterm!AJ11,new_transmute,4,FALSE)
),
""
)
)
)
)
)
)
)
)
))</f>
        <v/>
      </c>
      <c r="AK11" s="59" t="str">
        <f t="shared" si="6"/>
        <v/>
      </c>
      <c r="AL11" s="60" t="str">
        <f>IF(B11="", "",
    IF(OR(M11="OVER", S11="OVER", Y11="OVER", AE11="OVER", AK11="OVER"),
        "OVER",
        IF(Info!$B$4="Non-board program",
            VLOOKUP(IFERROR(FLOOR(SUM((M11*$M$4), (S11*$S$4), (Y11*$Y$4), (AE11*$AE$4), (AK11*$AK$4)) * (100 / 60), 1), 0), new_transmute, 2, FALSE),
            IF(Info!$B$4="Board program",
                VLOOKUP(IFERROR(FLOOR(SUM((M11*$M$4), (S11*$S$4), (Y11*$Y$4), (AE11*$AE$4), (AK11*$AK$4)) * (100 / 60), 1), 0), new_transmute, 3, FALSE),
                IF(Info!$B$4="Board program (Medicine)",
                    VLOOKUP(IFERROR(FLOOR(SUM((M11*$M$4), (S11*$S$4), (Y11*$Y$4), (AE11*$AE$4), (AK11*$AK$4)) * (100 / 60), 1), 0), new_transmute, 4, FALSE),
                    ""
                )
            )
        )
    )
)</f>
        <v/>
      </c>
      <c r="AM11" s="14" t="str">
        <f>IF($B11="","",
IF(AM$5="","",
IF(Midterm!AM11="",0,
IF(NOT(ISNUMBER(Midterm!AM11)),"NAN",
IF(Midterm!AM11&lt;0,"NEG",
IF(Midterm!AM11&gt;AM$5,"OVER",
IF(AND(AM$5&lt;=100,Midterm!AM11&gt;100),"ERR",
IF(Info!$B$4="Non-board program",
IF(OR(AND(AM$5&gt;0,AM$5&gt;100),AND(AM$5&gt;0,AM$5&lt;100)),
VLOOKUP(FLOOR((Midterm!AM11/AM$5)*100,1),new_transmute,2,FALSE),
VLOOKUP(Midterm!AM11,new_transmute,2,FALSE)
),
IF(Info!$B$4="Board program",
IF(OR(AND(AM$5&gt;0,AM$5&gt;100),AND(AM$5&gt;0,AM$5&lt;100)),
VLOOKUP(FLOOR((Midterm!AM11/AM$5)*100,1),new_transmute,3,FALSE),
VLOOKUP(Midterm!AM11,new_transmute,3,FALSE)
),
IF(Info!$B$4="Board program (Medicine)",
IF(OR(AND(AM$5&gt;0,AM$5&gt;100),AND(AM$5&gt;0,AM$5&lt;100)),
VLOOKUP(FLOOR((Midterm!AM11/AM$5)*100,1),new_transmute,4,FALSE),
VLOOKUP(Midterm!AM11,new_transmute,4,FALSE)
),
""
)
)
)
)
)
)
)
)
))</f>
        <v/>
      </c>
      <c r="AN11" s="14" t="str">
        <f>IF($B11="","",
IF(AN$5="","",
IF(Midterm!AN11="",0,
IF(NOT(ISNUMBER(Midterm!AN11)),"NAN",
IF(Midterm!AN11&lt;0,"NEG",
IF(Midterm!AN11&gt;AN$5,"OVER",
IF(AND(AN$5&lt;=100,Midterm!AN11&gt;100),"ERR",
IF(Info!$B$4="Non-board program",
IF(OR(AND(AN$5&gt;0,AN$5&gt;100),AND(AN$5&gt;0,AN$5&lt;100)),
VLOOKUP(FLOOR((Midterm!AN11/AN$5)*100,1),new_transmute,2,FALSE),
VLOOKUP(Midterm!AN11,new_transmute,2,FALSE)
),
IF(Info!$B$4="Board program",
IF(OR(AND(AN$5&gt;0,AN$5&gt;100),AND(AN$5&gt;0,AN$5&lt;100)),
VLOOKUP(FLOOR((Midterm!AN11/AN$5)*100,1),new_transmute,3,FALSE),
VLOOKUP(Midterm!AN11,new_transmute,3,FALSE)
),
IF(Info!$B$4="Board program (Medicine)",
IF(OR(AND(AN$5&gt;0,AN$5&gt;100),AND(AN$5&gt;0,AN$5&lt;100)),
VLOOKUP(FLOOR((Midterm!AN11/AN$5)*100,1),new_transmute,4,FALSE),
VLOOKUP(Midterm!AN11,new_transmute,4,FALSE)
),
""
)
)
)
)
)
)
)
)
))</f>
        <v/>
      </c>
      <c r="AO11" s="14" t="str">
        <f>IF($B11="","",
IF(AO$5="","",
IF(Midterm!AO11="",0,
IF(NOT(ISNUMBER(Midterm!AO11)),"NAN",
IF(Midterm!AO11&lt;0,"NEG",
IF(Midterm!AO11&gt;AO$5,"OVER",
IF(AND(AO$5&lt;=100,Midterm!AO11&gt;100),"ERR",
IF(Info!$B$4="Non-board program",
IF(OR(AND(AO$5&gt;0,AO$5&gt;100),AND(AO$5&gt;0,AO$5&lt;100)),
VLOOKUP(FLOOR((Midterm!AO11/AO$5)*100,1),new_transmute,2,FALSE),
VLOOKUP(Midterm!AO11,new_transmute,2,FALSE)
),
IF(Info!$B$4="Board program",
IF(OR(AND(AO$5&gt;0,AO$5&gt;100),AND(AO$5&gt;0,AO$5&lt;100)),
VLOOKUP(FLOOR((Midterm!AO11/AO$5)*100,1),new_transmute,3,FALSE),
VLOOKUP(Midterm!AO11,new_transmute,3,FALSE)
),
IF(Info!$B$4="Board program (Medicine)",
IF(OR(AND(AO$5&gt;0,AO$5&gt;100),AND(AO$5&gt;0,AO$5&lt;100)),
VLOOKUP(FLOOR((Midterm!AO11/AO$5)*100,1),new_transmute,4,FALSE),
VLOOKUP(Midterm!AO11,new_transmute,4,FALSE)
),
""
)
)
)
)
)
)
)
)
))</f>
        <v/>
      </c>
      <c r="AP11" s="14" t="str">
        <f>IF($B11="","",
IF(AP$5="","",
IF(Midterm!AP11="",0,
IF(NOT(ISNUMBER(Midterm!AP11)),"NAN",
IF(Midterm!AP11&lt;0,"NEG",
IF(Midterm!AP11&gt;AP$5,"OVER",
IF(AND(AP$5&lt;=100,Midterm!AP11&gt;100),"ERR",
IF(Info!$B$4="Non-board program",
IF(OR(AND(AP$5&gt;0,AP$5&gt;100),AND(AP$5&gt;0,AP$5&lt;100)),
VLOOKUP(FLOOR((Midterm!AP11/AP$5)*100,1),new_transmute,2,FALSE),
VLOOKUP(Midterm!AP11,new_transmute,2,FALSE)
),
IF(Info!$B$4="Board program",
IF(OR(AND(AP$5&gt;0,AP$5&gt;100),AND(AP$5&gt;0,AP$5&lt;100)),
VLOOKUP(FLOOR((Midterm!AP11/AP$5)*100,1),new_transmute,3,FALSE),
VLOOKUP(Midterm!AP11,new_transmute,3,FALSE)
),
IF(Info!$B$4="Board program (Medicine)",
IF(OR(AND(AP$5&gt;0,AP$5&gt;100),AND(AP$5&gt;0,AP$5&lt;100)),
VLOOKUP(FLOOR((Midterm!AP11/AP$5)*100,1),new_transmute,4,FALSE),
VLOOKUP(Midterm!AP11,new_transmute,4,FALSE)
),
""
)
)
)
)
)
)
)
)
))</f>
        <v/>
      </c>
      <c r="AQ11" s="61" t="str">
        <f t="shared" si="7"/>
        <v/>
      </c>
      <c r="AR11" s="48" t="str">
        <f>IF(Midterm!AR11="","",Midterm!AR11)</f>
        <v/>
      </c>
      <c r="AS11" s="165" t="str">
        <f t="shared" si="8"/>
        <v/>
      </c>
      <c r="AT11" s="14" t="str">
        <f t="shared" si="0"/>
        <v/>
      </c>
      <c r="AU11" s="14" t="str">
        <f>IF(B11="","",VLOOKUP(AT11,'New Grade Equivalent'!$B$3:$C$47,2,FALSE))</f>
        <v/>
      </c>
    </row>
    <row r="12" spans="1:47" x14ac:dyDescent="0.25">
      <c r="A12" s="8">
        <v>7</v>
      </c>
      <c r="B12" s="2" t="str">
        <f>IF('Student List'!C16="","",UPPER(LEFT('Student List'!C16,FIND(",",'Student List'!C16)-1)))</f>
        <v/>
      </c>
      <c r="C12" s="12" t="str">
        <f>IF('Student List'!C16="","",PROPER(MID('Student List'!C16, FIND(",", 'Student List'!C16) + 2, LEN('Student List'!C16) - FIND(",", 'Student List'!C16) - 1)))</f>
        <v/>
      </c>
      <c r="D12" s="127" t="str">
        <f>IF(B12="","",IF(Midterm!D12="", "NA", Midterm!D12))</f>
        <v/>
      </c>
      <c r="E12" s="8" t="str">
        <f>IF(B12="","",
  IF(Info!$B$5="First Year",
    IF(D12="Yes", "DRP",
      IF(D12="No", "WF", "")
    )
  )
)</f>
        <v/>
      </c>
      <c r="F12" s="14" t="str">
        <f>IF($B12="","",
IF(F$5="","",
IF(Midterm!F12="",0,
IF(NOT(ISNUMBER(Midterm!F12)),"NAN",
IF(Midterm!F12&lt;0,"NEG",
IF(Midterm!F12&gt;F$5,"OVER",
IF(AND(F$5&lt;=100,Midterm!F12&gt;100),"ERR",
IF(Info!$B$4="Non-board program",
IF(OR(AND(F$5&gt;0,F$5&gt;100),AND(F$5&gt;0,F$5&lt;100)),
VLOOKUP(FLOOR((Midterm!F12/F$5)*100,1),new_transmute,2,FALSE),
VLOOKUP(Midterm!F12,new_transmute,2,FALSE)
),
IF(Info!$B$4="Board program",
IF(OR(AND(F$5&gt;0,F$5&gt;100),AND(F$5&gt;0,F$5&lt;100)),
VLOOKUP(FLOOR((Midterm!F12/F$5)*100,1),new_transmute,3,FALSE),
VLOOKUP(Midterm!F12,new_transmute,3,FALSE)
),
IF(Info!$B$4="Board program (Medicine)",
IF(OR(AND(F$5&gt;0,F$5&gt;100),AND(F$5&gt;0,F$5&lt;100)),
VLOOKUP(FLOOR((Midterm!F12/F$5)*100,1),new_transmute,4,FALSE),
VLOOKUP(Midterm!F12,new_transmute,4,FALSE)
),
""
)
)
)
)
)
)
)
)
))</f>
        <v/>
      </c>
      <c r="G12" s="57" t="str">
        <f t="shared" si="1"/>
        <v/>
      </c>
      <c r="H12" s="14" t="str">
        <f>IF($B12="","",
IF(H$5="","",
IF(Midterm!H12="",0,
IF(NOT(ISNUMBER(Midterm!H12)),"NAN",
IF(Midterm!H12&lt;0,"NEG",
IF(Midterm!H12&gt;H$5,"OVER",
IF(AND(H$5&lt;=100,Midterm!H12&gt;100),"ERR",
IF(Info!$B$4="Non-board program",
IF(OR(AND(H$5&gt;0,H$5&gt;100),AND(H$5&gt;0,H$5&lt;100)),
VLOOKUP(FLOOR((Midterm!H12/H$5)*100,1),new_transmute,2,FALSE),
VLOOKUP(Midterm!H12,new_transmute,2,FALSE)
),
IF(Info!$B$4="Board program",
IF(OR(AND(H$5&gt;0,H$5&gt;100),AND(H$5&gt;0,H$5&lt;100)),
VLOOKUP(FLOOR((Midterm!H12/H$5)*100,1),new_transmute,3,FALSE),
VLOOKUP(Midterm!H12,new_transmute,3,FALSE)
),
IF(Info!$B$4="Board program (Medicine)",
IF(OR(AND(H$5&gt;0,H$5&gt;100),AND(H$5&gt;0,H$5&lt;100)),
VLOOKUP(FLOOR((Midterm!H12/H$5)*100,1),new_transmute,4,FALSE),
VLOOKUP(Midterm!H12,new_transmute,4,FALSE)
),
""
)
)
)
)
)
)
)
)
))</f>
        <v/>
      </c>
      <c r="I12" s="14" t="str">
        <f>IF($B12="","",
IF(I$5="","",
IF(Midterm!I12="",0,
IF(NOT(ISNUMBER(Midterm!I12)),"NAN",
IF(Midterm!I12&lt;0,"NEG",
IF(Midterm!I12&gt;I$5,"OVER",
IF(AND(I$5&lt;=100,Midterm!I12&gt;100),"ERR",
IF(Info!$B$4="Non-board program",
IF(OR(AND(I$5&gt;0,I$5&gt;100),AND(I$5&gt;0,I$5&lt;100)),
VLOOKUP(FLOOR((Midterm!I12/I$5)*100,1),new_transmute,2,FALSE),
VLOOKUP(Midterm!I12,new_transmute,2,FALSE)
),
IF(Info!$B$4="Board program",
IF(OR(AND(I$5&gt;0,I$5&gt;100),AND(I$5&gt;0,I$5&lt;100)),
VLOOKUP(FLOOR((Midterm!I12/I$5)*100,1),new_transmute,3,FALSE),
VLOOKUP(Midterm!I12,new_transmute,3,FALSE)
),
IF(Info!$B$4="Board program (Medicine)",
IF(OR(AND(I$5&gt;0,I$5&gt;100),AND(I$5&gt;0,I$5&lt;100)),
VLOOKUP(FLOOR((Midterm!I12/I$5)*100,1),new_transmute,4,FALSE),
VLOOKUP(Midterm!I12,new_transmute,4,FALSE)
),
""
)
)
)
)
)
)
)
)
))</f>
        <v/>
      </c>
      <c r="J12" s="14" t="str">
        <f>IF($B12="","",
IF(J$5="","",
IF(Midterm!J12="",0,
IF(NOT(ISNUMBER(Midterm!J12)),"NAN",
IF(Midterm!J12&lt;0,"NEG",
IF(Midterm!J12&gt;J$5,"OVER",
IF(AND(J$5&lt;=100,Midterm!J12&gt;100),"ERR",
IF(Info!$B$4="Non-board program",
IF(OR(AND(J$5&gt;0,J$5&gt;100),AND(J$5&gt;0,J$5&lt;100)),
VLOOKUP(FLOOR((Midterm!J12/J$5)*100,1),new_transmute,2,FALSE),
VLOOKUP(Midterm!J12,new_transmute,2,FALSE)
),
IF(Info!$B$4="Board program",
IF(OR(AND(J$5&gt;0,J$5&gt;100),AND(J$5&gt;0,J$5&lt;100)),
VLOOKUP(FLOOR((Midterm!J12/J$5)*100,1),new_transmute,3,FALSE),
VLOOKUP(Midterm!J12,new_transmute,3,FALSE)
),
IF(Info!$B$4="Board program (Medicine)",
IF(OR(AND(J$5&gt;0,J$5&gt;100),AND(J$5&gt;0,J$5&lt;100)),
VLOOKUP(FLOOR((Midterm!J12/J$5)*100,1),new_transmute,4,FALSE),
VLOOKUP(Midterm!J12,new_transmute,4,FALSE)
),
""
)
)
)
)
)
)
)
)
))</f>
        <v/>
      </c>
      <c r="K12" s="14" t="str">
        <f>IF($B12="","",
IF(K$5="","",
IF(Midterm!K12="",0,
IF(NOT(ISNUMBER(Midterm!K12)),"NAN",
IF(Midterm!K12&lt;0,"NEG",
IF(Midterm!K12&gt;K$5,"OVER",
IF(AND(K$5&lt;=100,Midterm!K12&gt;100),"ERR",
IF(Info!$B$4="Non-board program",
IF(OR(AND(K$5&gt;0,K$5&gt;100),AND(K$5&gt;0,K$5&lt;100)),
VLOOKUP(FLOOR((Midterm!K12/K$5)*100,1),new_transmute,2,FALSE),
VLOOKUP(Midterm!K12,new_transmute,2,FALSE)
),
IF(Info!$B$4="Board program",
IF(OR(AND(K$5&gt;0,K$5&gt;100),AND(K$5&gt;0,K$5&lt;100)),
VLOOKUP(FLOOR((Midterm!K12/K$5)*100,1),new_transmute,3,FALSE),
VLOOKUP(Midterm!K12,new_transmute,3,FALSE)
),
IF(Info!$B$4="Board program (Medicine)",
IF(OR(AND(K$5&gt;0,K$5&gt;100),AND(K$5&gt;0,K$5&lt;100)),
VLOOKUP(FLOOR((Midterm!K12/K$5)*100,1),new_transmute,4,FALSE),
VLOOKUP(Midterm!K12,new_transmute,4,FALSE)
),
""
)
)
)
)
)
)
)
)
))</f>
        <v/>
      </c>
      <c r="L12" s="14" t="str">
        <f>IF($B12="","",
IF(L$5="","",
IF(Midterm!L12="",0,
IF(NOT(ISNUMBER(Midterm!L12)),"NAN",
IF(Midterm!L12&lt;0,"NEG",
IF(Midterm!L12&gt;L$5,"OVER",
IF(AND(L$5&lt;=100,Midterm!L12&gt;100),"ERR",
IF(Info!$B$4="Non-board program",
IF(OR(AND(L$5&gt;0,L$5&gt;100),AND(L$5&gt;0,L$5&lt;100)),
VLOOKUP(FLOOR((Midterm!L12/L$5)*100,1),new_transmute,2,FALSE),
VLOOKUP(Midterm!L12,new_transmute,2,FALSE)
),
IF(Info!$B$4="Board program",
IF(OR(AND(L$5&gt;0,L$5&gt;100),AND(L$5&gt;0,L$5&lt;100)),
VLOOKUP(FLOOR((Midterm!L12/L$5)*100,1),new_transmute,3,FALSE),
VLOOKUP(Midterm!L12,new_transmute,3,FALSE)
),
IF(Info!$B$4="Board program (Medicine)",
IF(OR(AND(L$5&gt;0,L$5&gt;100),AND(L$5&gt;0,L$5&lt;100)),
VLOOKUP(FLOOR((Midterm!L12/L$5)*100,1),new_transmute,4,FALSE),
VLOOKUP(Midterm!L12,new_transmute,4,FALSE)
),
""
)
)
)
)
)
)
)
)
))</f>
        <v/>
      </c>
      <c r="M12" s="111" t="str">
        <f t="shared" si="2"/>
        <v/>
      </c>
      <c r="N12" s="14" t="str">
        <f>IF($B12="","",
IF(N$5="","",
IF(Midterm!N12="",0,
IF(NOT(ISNUMBER(Midterm!N12)),"NAN",
IF(Midterm!N12&lt;0,"NEG",
IF(Midterm!N12&gt;N$5,"OVER",
IF(AND(N$5&lt;=100,Midterm!N12&gt;100),"ERR",
IF(Info!$B$4="Non-board program",
IF(OR(AND(N$5&gt;0,N$5&gt;100),AND(N$5&gt;0,N$5&lt;100)),
VLOOKUP(FLOOR((Midterm!N12/N$5)*100,1),new_transmute,2,FALSE),
VLOOKUP(Midterm!N12,new_transmute,2,FALSE)
),
IF(Info!$B$4="Board program",
IF(OR(AND(N$5&gt;0,N$5&gt;100),AND(N$5&gt;0,N$5&lt;100)),
VLOOKUP(FLOOR((Midterm!N12/N$5)*100,1),new_transmute,3,FALSE),
VLOOKUP(Midterm!N12,new_transmute,3,FALSE)
),
IF(Info!$B$4="Board program (Medicine)",
IF(OR(AND(N$5&gt;0,N$5&gt;100),AND(N$5&gt;0,N$5&lt;100)),
VLOOKUP(FLOOR((Midterm!N12/N$5)*100,1),new_transmute,4,FALSE),
VLOOKUP(Midterm!N12,new_transmute,4,FALSE)
),
""
)
)
)
)
)
)
)
)
))</f>
        <v/>
      </c>
      <c r="O12" s="14" t="str">
        <f>IF($B12="","",
IF(O$5="","",
IF(Midterm!O12="",0,
IF(NOT(ISNUMBER(Midterm!O12)),"NAN",
IF(Midterm!O12&lt;0,"NEG",
IF(Midterm!O12&gt;O$5,"OVER",
IF(AND(O$5&lt;=100,Midterm!O12&gt;100),"ERR",
IF(Info!$B$4="Non-board program",
IF(OR(AND(O$5&gt;0,O$5&gt;100),AND(O$5&gt;0,O$5&lt;100)),
VLOOKUP(FLOOR((Midterm!O12/O$5)*100,1),new_transmute,2,FALSE),
VLOOKUP(Midterm!O12,new_transmute,2,FALSE)
),
IF(Info!$B$4="Board program",
IF(OR(AND(O$5&gt;0,O$5&gt;100),AND(O$5&gt;0,O$5&lt;100)),
VLOOKUP(FLOOR((Midterm!O12/O$5)*100,1),new_transmute,3,FALSE),
VLOOKUP(Midterm!O12,new_transmute,3,FALSE)
),
IF(Info!$B$4="Board program (Medicine)",
IF(OR(AND(O$5&gt;0,O$5&gt;100),AND(O$5&gt;0,O$5&lt;100)),
VLOOKUP(FLOOR((Midterm!O12/O$5)*100,1),new_transmute,4,FALSE),
VLOOKUP(Midterm!O12,new_transmute,4,FALSE)
),
""
)
)
)
)
)
)
)
)
))</f>
        <v/>
      </c>
      <c r="P12" s="14" t="str">
        <f>IF($B12="","",
IF(P$5="","",
IF(Midterm!P12="",0,
IF(NOT(ISNUMBER(Midterm!P12)),"NAN",
IF(Midterm!P12&lt;0,"NEG",
IF(Midterm!P12&gt;P$5,"OVER",
IF(AND(P$5&lt;=100,Midterm!P12&gt;100),"ERR",
IF(Info!$B$4="Non-board program",
IF(OR(AND(P$5&gt;0,P$5&gt;100),AND(P$5&gt;0,P$5&lt;100)),
VLOOKUP(FLOOR((Midterm!P12/P$5)*100,1),new_transmute,2,FALSE),
VLOOKUP(Midterm!P12,new_transmute,2,FALSE)
),
IF(Info!$B$4="Board program",
IF(OR(AND(P$5&gt;0,P$5&gt;100),AND(P$5&gt;0,P$5&lt;100)),
VLOOKUP(FLOOR((Midterm!P12/P$5)*100,1),new_transmute,3,FALSE),
VLOOKUP(Midterm!P12,new_transmute,3,FALSE)
),
IF(Info!$B$4="Board program (Medicine)",
IF(OR(AND(P$5&gt;0,P$5&gt;100),AND(P$5&gt;0,P$5&lt;100)),
VLOOKUP(FLOOR((Midterm!P12/P$5)*100,1),new_transmute,4,FALSE),
VLOOKUP(Midterm!P12,new_transmute,4,FALSE)
),
""
)
)
)
)
)
)
)
)
))</f>
        <v/>
      </c>
      <c r="Q12" s="14" t="str">
        <f>IF($B12="","",
IF(Q$5="","",
IF(Midterm!Q12="",0,
IF(NOT(ISNUMBER(Midterm!Q12)),"NAN",
IF(Midterm!Q12&lt;0,"NEG",
IF(Midterm!Q12&gt;Q$5,"OVER",
IF(AND(Q$5&lt;=100,Midterm!Q12&gt;100),"ERR",
IF(Info!$B$4="Non-board program",
IF(OR(AND(Q$5&gt;0,Q$5&gt;100),AND(Q$5&gt;0,Q$5&lt;100)),
VLOOKUP(FLOOR((Midterm!Q12/Q$5)*100,1),new_transmute,2,FALSE),
VLOOKUP(Midterm!Q12,new_transmute,2,FALSE)
),
IF(Info!$B$4="Board program",
IF(OR(AND(Q$5&gt;0,Q$5&gt;100),AND(Q$5&gt;0,Q$5&lt;100)),
VLOOKUP(FLOOR((Midterm!Q12/Q$5)*100,1),new_transmute,3,FALSE),
VLOOKUP(Midterm!Q12,new_transmute,3,FALSE)
),
IF(Info!$B$4="Board program (Medicine)",
IF(OR(AND(Q$5&gt;0,Q$5&gt;100),AND(Q$5&gt;0,Q$5&lt;100)),
VLOOKUP(FLOOR((Midterm!Q12/Q$5)*100,1),new_transmute,4,FALSE),
VLOOKUP(Midterm!Q12,new_transmute,4,FALSE)
),
""
)
)
)
)
)
)
)
)
))</f>
        <v/>
      </c>
      <c r="R12" s="14" t="str">
        <f>IF($B12="","",
IF(R$5="","",
IF(Midterm!R12="",0,
IF(NOT(ISNUMBER(Midterm!R12)),"NAN",
IF(Midterm!R12&lt;0,"NEG",
IF(Midterm!R12&gt;R$5,"OVER",
IF(AND(R$5&lt;=100,Midterm!R12&gt;100),"ERR",
IF(Info!$B$4="Non-board program",
IF(OR(AND(R$5&gt;0,R$5&gt;100),AND(R$5&gt;0,R$5&lt;100)),
VLOOKUP(FLOOR((Midterm!R12/R$5)*100,1),new_transmute,2,FALSE),
VLOOKUP(Midterm!R12,new_transmute,2,FALSE)
),
IF(Info!$B$4="Board program",
IF(OR(AND(R$5&gt;0,R$5&gt;100),AND(R$5&gt;0,R$5&lt;100)),
VLOOKUP(FLOOR((Midterm!R12/R$5)*100,1),new_transmute,3,FALSE),
VLOOKUP(Midterm!R12,new_transmute,3,FALSE)
),
IF(Info!$B$4="Board program (Medicine)",
IF(OR(AND(R$5&gt;0,R$5&gt;100),AND(R$5&gt;0,R$5&lt;100)),
VLOOKUP(FLOOR((Midterm!R12/R$5)*100,1),new_transmute,4,FALSE),
VLOOKUP(Midterm!R12,new_transmute,4,FALSE)
),
""
)
)
)
)
)
)
)
)
))</f>
        <v/>
      </c>
      <c r="S12" s="115" t="str">
        <f t="shared" si="3"/>
        <v/>
      </c>
      <c r="T12" s="14" t="str">
        <f>IF($B12="","",
IF(T$5="","",
IF(Midterm!T12="",0,
IF(NOT(ISNUMBER(Midterm!T12)),"NAN",
IF(Midterm!T12&lt;0,"NEG",
IF(Midterm!T12&gt;T$5,"OVER",
IF(AND(T$5&lt;=100,Midterm!T12&gt;100),"ERR",
IF(Info!$B$4="Non-board program",
IF(OR(AND(T$5&gt;0,T$5&gt;100),AND(T$5&gt;0,T$5&lt;100)),
VLOOKUP(FLOOR((Midterm!T12/T$5)*100,1),new_transmute,2,FALSE),
VLOOKUP(Midterm!T12,new_transmute,2,FALSE)
),
IF(Info!$B$4="Board program",
IF(OR(AND(T$5&gt;0,T$5&gt;100),AND(T$5&gt;0,T$5&lt;100)),
VLOOKUP(FLOOR((Midterm!T12/T$5)*100,1),new_transmute,3,FALSE),
VLOOKUP(Midterm!T12,new_transmute,3,FALSE)
),
IF(Info!$B$4="Board program (Medicine)",
IF(OR(AND(T$5&gt;0,T$5&gt;100),AND(T$5&gt;0,T$5&lt;100)),
VLOOKUP(FLOOR((Midterm!T12/T$5)*100,1),new_transmute,4,FALSE),
VLOOKUP(Midterm!T12,new_transmute,4,FALSE)
),
""
)
)
)
)
)
)
)
)
))</f>
        <v/>
      </c>
      <c r="U12" s="14" t="str">
        <f>IF($B12="","",
IF(U$5="","",
IF(Midterm!U12="",0,
IF(NOT(ISNUMBER(Midterm!U12)),"NAN",
IF(Midterm!U12&lt;0,"NEG",
IF(Midterm!U12&gt;U$5,"OVER",
IF(AND(U$5&lt;=100,Midterm!U12&gt;100),"ERR",
IF(Info!$B$4="Non-board program",
IF(OR(AND(U$5&gt;0,U$5&gt;100),AND(U$5&gt;0,U$5&lt;100)),
VLOOKUP(FLOOR((Midterm!U12/U$5)*100,1),new_transmute,2,FALSE),
VLOOKUP(Midterm!U12,new_transmute,2,FALSE)
),
IF(Info!$B$4="Board program",
IF(OR(AND(U$5&gt;0,U$5&gt;100),AND(U$5&gt;0,U$5&lt;100)),
VLOOKUP(FLOOR((Midterm!U12/U$5)*100,1),new_transmute,3,FALSE),
VLOOKUP(Midterm!U12,new_transmute,3,FALSE)
),
IF(Info!$B$4="Board program (Medicine)",
IF(OR(AND(U$5&gt;0,U$5&gt;100),AND(U$5&gt;0,U$5&lt;100)),
VLOOKUP(FLOOR((Midterm!U12/U$5)*100,1),new_transmute,4,FALSE),
VLOOKUP(Midterm!U12,new_transmute,4,FALSE)
),
""
)
)
)
)
)
)
)
)
))</f>
        <v/>
      </c>
      <c r="V12" s="14" t="str">
        <f>IF($B12="","",
IF(V$5="","",
IF(Midterm!V12="",0,
IF(NOT(ISNUMBER(Midterm!V12)),"NAN",
IF(Midterm!V12&lt;0,"NEG",
IF(Midterm!V12&gt;V$5,"OVER",
IF(AND(V$5&lt;=100,Midterm!V12&gt;100),"ERR",
IF(Info!$B$4="Non-board program",
IF(OR(AND(V$5&gt;0,V$5&gt;100),AND(V$5&gt;0,V$5&lt;100)),
VLOOKUP(FLOOR((Midterm!V12/V$5)*100,1),new_transmute,2,FALSE),
VLOOKUP(Midterm!V12,new_transmute,2,FALSE)
),
IF(Info!$B$4="Board program",
IF(OR(AND(V$5&gt;0,V$5&gt;100),AND(V$5&gt;0,V$5&lt;100)),
VLOOKUP(FLOOR((Midterm!V12/V$5)*100,1),new_transmute,3,FALSE),
VLOOKUP(Midterm!V12,new_transmute,3,FALSE)
),
IF(Info!$B$4="Board program (Medicine)",
IF(OR(AND(V$5&gt;0,V$5&gt;100),AND(V$5&gt;0,V$5&lt;100)),
VLOOKUP(FLOOR((Midterm!V12/V$5)*100,1),new_transmute,4,FALSE),
VLOOKUP(Midterm!V12,new_transmute,4,FALSE)
),
""
)
)
)
)
)
)
)
)
))</f>
        <v/>
      </c>
      <c r="W12" s="14" t="str">
        <f>IF($B12="","",
IF(W$5="","",
IF(Midterm!W12="",0,
IF(NOT(ISNUMBER(Midterm!W12)),"NAN",
IF(Midterm!W12&lt;0,"NEG",
IF(Midterm!W12&gt;W$5,"OVER",
IF(AND(W$5&lt;=100,Midterm!W12&gt;100),"ERR",
IF(Info!$B$4="Non-board program",
IF(OR(AND(W$5&gt;0,W$5&gt;100),AND(W$5&gt;0,W$5&lt;100)),
VLOOKUP(FLOOR((Midterm!W12/W$5)*100,1),new_transmute,2,FALSE),
VLOOKUP(Midterm!W12,new_transmute,2,FALSE)
),
IF(Info!$B$4="Board program",
IF(OR(AND(W$5&gt;0,W$5&gt;100),AND(W$5&gt;0,W$5&lt;100)),
VLOOKUP(FLOOR((Midterm!W12/W$5)*100,1),new_transmute,3,FALSE),
VLOOKUP(Midterm!W12,new_transmute,3,FALSE)
),
IF(Info!$B$4="Board program (Medicine)",
IF(OR(AND(W$5&gt;0,W$5&gt;100),AND(W$5&gt;0,W$5&lt;100)),
VLOOKUP(FLOOR((Midterm!W12/W$5)*100,1),new_transmute,4,FALSE),
VLOOKUP(Midterm!W12,new_transmute,4,FALSE)
),
""
)
)
)
)
)
)
)
)
))</f>
        <v/>
      </c>
      <c r="X12" s="14" t="str">
        <f>IF($B12="","",
IF(X$5="","",
IF(Midterm!X12="",0,
IF(NOT(ISNUMBER(Midterm!X12)),"NAN",
IF(Midterm!X12&lt;0,"NEG",
IF(Midterm!X12&gt;X$5,"OVER",
IF(AND(X$5&lt;=100,Midterm!X12&gt;100),"ERR",
IF(Info!$B$4="Non-board program",
IF(OR(AND(X$5&gt;0,X$5&gt;100),AND(X$5&gt;0,X$5&lt;100)),
VLOOKUP(FLOOR((Midterm!X12/X$5)*100,1),new_transmute,2,FALSE),
VLOOKUP(Midterm!X12,new_transmute,2,FALSE)
),
IF(Info!$B$4="Board program",
IF(OR(AND(X$5&gt;0,X$5&gt;100),AND(X$5&gt;0,X$5&lt;100)),
VLOOKUP(FLOOR((Midterm!X12/X$5)*100,1),new_transmute,3,FALSE),
VLOOKUP(Midterm!X12,new_transmute,3,FALSE)
),
IF(Info!$B$4="Board program (Medicine)",
IF(OR(AND(X$5&gt;0,X$5&gt;100),AND(X$5&gt;0,X$5&lt;100)),
VLOOKUP(FLOOR((Midterm!X12/X$5)*100,1),new_transmute,4,FALSE),
VLOOKUP(Midterm!X12,new_transmute,4,FALSE)
),
""
)
)
)
)
)
)
)
)
))</f>
        <v/>
      </c>
      <c r="Y12" s="112" t="str">
        <f t="shared" si="4"/>
        <v/>
      </c>
      <c r="Z12" s="14" t="str">
        <f>IF($B12="","",
IF(Z$5="","",
IF(Midterm!Z12="",0,
IF(NOT(ISNUMBER(Midterm!Z12)),"NAN",
IF(Midterm!Z12&lt;0,"NEG",
IF(Midterm!Z12&gt;Z$5,"OVER",
IF(AND(Z$5&lt;=100,Midterm!Z12&gt;100),"ERR",
IF(Info!$B$4="Non-board program",
IF(OR(AND(Z$5&gt;0,Z$5&gt;100),AND(Z$5&gt;0,Z$5&lt;100)),
VLOOKUP(FLOOR((Midterm!Z12/Z$5)*100,1),new_transmute,2,FALSE),
VLOOKUP(Midterm!Z12,new_transmute,2,FALSE)
),
IF(Info!$B$4="Board program",
IF(OR(AND(Z$5&gt;0,Z$5&gt;100),AND(Z$5&gt;0,Z$5&lt;100)),
VLOOKUP(FLOOR((Midterm!Z12/Z$5)*100,1),new_transmute,3,FALSE),
VLOOKUP(Midterm!Z12,new_transmute,3,FALSE)
),
IF(Info!$B$4="Board program (Medicine)",
IF(OR(AND(Z$5&gt;0,Z$5&gt;100),AND(Z$5&gt;0,Z$5&lt;100)),
VLOOKUP(FLOOR((Midterm!Z12/Z$5)*100,1),new_transmute,4,FALSE),
VLOOKUP(Midterm!Z12,new_transmute,4,FALSE)
),
""
)
)
)
)
)
)
)
)
))</f>
        <v/>
      </c>
      <c r="AA12" s="14" t="str">
        <f>IF($B12="","",
IF(AA$5="","",
IF(Midterm!AA12="",0,
IF(NOT(ISNUMBER(Midterm!AA12)),"NAN",
IF(Midterm!AA12&lt;0,"NEG",
IF(Midterm!AA12&gt;AA$5,"OVER",
IF(AND(AA$5&lt;=100,Midterm!AA12&gt;100),"ERR",
IF(Info!$B$4="Non-board program",
IF(OR(AND(AA$5&gt;0,AA$5&gt;100),AND(AA$5&gt;0,AA$5&lt;100)),
VLOOKUP(FLOOR((Midterm!AA12/AA$5)*100,1),new_transmute,2,FALSE),
VLOOKUP(Midterm!AA12,new_transmute,2,FALSE)
),
IF(Info!$B$4="Board program",
IF(OR(AND(AA$5&gt;0,AA$5&gt;100),AND(AA$5&gt;0,AA$5&lt;100)),
VLOOKUP(FLOOR((Midterm!AA12/AA$5)*100,1),new_transmute,3,FALSE),
VLOOKUP(Midterm!AA12,new_transmute,3,FALSE)
),
IF(Info!$B$4="Board program (Medicine)",
IF(OR(AND(AA$5&gt;0,AA$5&gt;100),AND(AA$5&gt;0,AA$5&lt;100)),
VLOOKUP(FLOOR((Midterm!AA12/AA$5)*100,1),new_transmute,4,FALSE),
VLOOKUP(Midterm!AA12,new_transmute,4,FALSE)
),
""
)
)
)
)
)
)
)
)
))</f>
        <v/>
      </c>
      <c r="AB12" s="14" t="str">
        <f>IF($B12="","",
IF(AB$5="","",
IF(Midterm!AB12="",0,
IF(NOT(ISNUMBER(Midterm!AB12)),"NAN",
IF(Midterm!AB12&lt;0,"NEG",
IF(Midterm!AB12&gt;AB$5,"OVER",
IF(AND(AB$5&lt;=100,Midterm!AB12&gt;100),"ERR",
IF(Info!$B$4="Non-board program",
IF(OR(AND(AB$5&gt;0,AB$5&gt;100),AND(AB$5&gt;0,AB$5&lt;100)),
VLOOKUP(FLOOR((Midterm!AB12/AB$5)*100,1),new_transmute,2,FALSE),
VLOOKUP(Midterm!AB12,new_transmute,2,FALSE)
),
IF(Info!$B$4="Board program",
IF(OR(AND(AB$5&gt;0,AB$5&gt;100),AND(AB$5&gt;0,AB$5&lt;100)),
VLOOKUP(FLOOR((Midterm!AB12/AB$5)*100,1),new_transmute,3,FALSE),
VLOOKUP(Midterm!AB12,new_transmute,3,FALSE)
),
IF(Info!$B$4="Board program (Medicine)",
IF(OR(AND(AB$5&gt;0,AB$5&gt;100),AND(AB$5&gt;0,AB$5&lt;100)),
VLOOKUP(FLOOR((Midterm!AB12/AB$5)*100,1),new_transmute,4,FALSE),
VLOOKUP(Midterm!AB12,new_transmute,4,FALSE)
),
""
)
)
)
)
)
)
)
)
))</f>
        <v/>
      </c>
      <c r="AC12" s="14" t="str">
        <f>IF($B12="","",
IF(AC$5="","",
IF(Midterm!AC12="",0,
IF(NOT(ISNUMBER(Midterm!AC12)),"NAN",
IF(Midterm!AC12&lt;0,"NEG",
IF(Midterm!AC12&gt;AC$5,"OVER",
IF(AND(AC$5&lt;=100,Midterm!AC12&gt;100),"ERR",
IF(Info!$B$4="Non-board program",
IF(OR(AND(AC$5&gt;0,AC$5&gt;100),AND(AC$5&gt;0,AC$5&lt;100)),
VLOOKUP(FLOOR((Midterm!AC12/AC$5)*100,1),new_transmute,2,FALSE),
VLOOKUP(Midterm!AC12,new_transmute,2,FALSE)
),
IF(Info!$B$4="Board program",
IF(OR(AND(AC$5&gt;0,AC$5&gt;100),AND(AC$5&gt;0,AC$5&lt;100)),
VLOOKUP(FLOOR((Midterm!AC12/AC$5)*100,1),new_transmute,3,FALSE),
VLOOKUP(Midterm!AC12,new_transmute,3,FALSE)
),
IF(Info!$B$4="Board program (Medicine)",
IF(OR(AND(AC$5&gt;0,AC$5&gt;100),AND(AC$5&gt;0,AC$5&lt;100)),
VLOOKUP(FLOOR((Midterm!AC12/AC$5)*100,1),new_transmute,4,FALSE),
VLOOKUP(Midterm!AC12,new_transmute,4,FALSE)
),
""
)
)
)
)
)
)
)
)
))</f>
        <v/>
      </c>
      <c r="AD12" s="14" t="str">
        <f>IF($B12="","",
IF(AD$5="","",
IF(Midterm!AD12="",0,
IF(NOT(ISNUMBER(Midterm!AD12)),"NAN",
IF(Midterm!AD12&lt;0,"NEG",
IF(Midterm!AD12&gt;AD$5,"OVER",
IF(AND(AD$5&lt;=100,Midterm!AD12&gt;100),"ERR",
IF(Info!$B$4="Non-board program",
IF(OR(AND(AD$5&gt;0,AD$5&gt;100),AND(AD$5&gt;0,AD$5&lt;100)),
VLOOKUP(FLOOR((Midterm!AD12/AD$5)*100,1),new_transmute,2,FALSE),
VLOOKUP(Midterm!AD12,new_transmute,2,FALSE)
),
IF(Info!$B$4="Board program",
IF(OR(AND(AD$5&gt;0,AD$5&gt;100),AND(AD$5&gt;0,AD$5&lt;100)),
VLOOKUP(FLOOR((Midterm!AD12/AD$5)*100,1),new_transmute,3,FALSE),
VLOOKUP(Midterm!AD12,new_transmute,3,FALSE)
),
IF(Info!$B$4="Board program (Medicine)",
IF(OR(AND(AD$5&gt;0,AD$5&gt;100),AND(AD$5&gt;0,AD$5&lt;100)),
VLOOKUP(FLOOR((Midterm!AD12/AD$5)*100,1),new_transmute,4,FALSE),
VLOOKUP(Midterm!AD12,new_transmute,4,FALSE)
),
""
)
)
)
)
)
)
)
)
))</f>
        <v/>
      </c>
      <c r="AE12" s="58" t="str">
        <f t="shared" si="5"/>
        <v/>
      </c>
      <c r="AF12" s="14" t="str">
        <f>IF($B12="","",
IF(AF$5="","",
IF(Midterm!AF12="",0,
IF(NOT(ISNUMBER(Midterm!AF12)),"NAN",
IF(Midterm!AF12&lt;0,"NEG",
IF(Midterm!AF12&gt;AF$5,"OVER",
IF(AND(AF$5&lt;=100,Midterm!AF12&gt;100),"ERR",
IF(Info!$B$4="Non-board program",
IF(OR(AND(AF$5&gt;0,AF$5&gt;100),AND(AF$5&gt;0,AF$5&lt;100)),
VLOOKUP(FLOOR((Midterm!AF12/AF$5)*100,1),new_transmute,2,FALSE),
VLOOKUP(Midterm!AF12,new_transmute,2,FALSE)
),
IF(Info!$B$4="Board program",
IF(OR(AND(AF$5&gt;0,AF$5&gt;100),AND(AF$5&gt;0,AF$5&lt;100)),
VLOOKUP(FLOOR((Midterm!AF12/AF$5)*100,1),new_transmute,3,FALSE),
VLOOKUP(Midterm!AF12,new_transmute,3,FALSE)
),
IF(Info!$B$4="Board program (Medicine)",
IF(OR(AND(AF$5&gt;0,AF$5&gt;100),AND(AF$5&gt;0,AF$5&lt;100)),
VLOOKUP(FLOOR((Midterm!AF12/AF$5)*100,1),new_transmute,4,FALSE),
VLOOKUP(Midterm!AF12,new_transmute,4,FALSE)
),
""
)
)
)
)
)
)
)
)
))</f>
        <v/>
      </c>
      <c r="AG12" s="14" t="str">
        <f>IF($B12="","",
IF(AG$5="","",
IF(Midterm!AG12="",0,
IF(NOT(ISNUMBER(Midterm!AG12)),"NAN",
IF(Midterm!AG12&lt;0,"NEG",
IF(Midterm!AG12&gt;AG$5,"OVER",
IF(AND(AG$5&lt;=100,Midterm!AG12&gt;100),"ERR",
IF(Info!$B$4="Non-board program",
IF(OR(AND(AG$5&gt;0,AG$5&gt;100),AND(AG$5&gt;0,AG$5&lt;100)),
VLOOKUP(FLOOR((Midterm!AG12/AG$5)*100,1),new_transmute,2,FALSE),
VLOOKUP(Midterm!AG12,new_transmute,2,FALSE)
),
IF(Info!$B$4="Board program",
IF(OR(AND(AG$5&gt;0,AG$5&gt;100),AND(AG$5&gt;0,AG$5&lt;100)),
VLOOKUP(FLOOR((Midterm!AG12/AG$5)*100,1),new_transmute,3,FALSE),
VLOOKUP(Midterm!AG12,new_transmute,3,FALSE)
),
IF(Info!$B$4="Board program (Medicine)",
IF(OR(AND(AG$5&gt;0,AG$5&gt;100),AND(AG$5&gt;0,AG$5&lt;100)),
VLOOKUP(FLOOR((Midterm!AG12/AG$5)*100,1),new_transmute,4,FALSE),
VLOOKUP(Midterm!AG12,new_transmute,4,FALSE)
),
""
)
)
)
)
)
)
)
)
))</f>
        <v/>
      </c>
      <c r="AH12" s="14" t="str">
        <f>IF($B12="","",
IF(AH$5="","",
IF(Midterm!AH12="",0,
IF(NOT(ISNUMBER(Midterm!AH12)),"NAN",
IF(Midterm!AH12&lt;0,"NEG",
IF(Midterm!AH12&gt;AH$5,"OVER",
IF(AND(AH$5&lt;=100,Midterm!AH12&gt;100),"ERR",
IF(Info!$B$4="Non-board program",
IF(OR(AND(AH$5&gt;0,AH$5&gt;100),AND(AH$5&gt;0,AH$5&lt;100)),
VLOOKUP(FLOOR((Midterm!AH12/AH$5)*100,1),new_transmute,2,FALSE),
VLOOKUP(Midterm!AH12,new_transmute,2,FALSE)
),
IF(Info!$B$4="Board program",
IF(OR(AND(AH$5&gt;0,AH$5&gt;100),AND(AH$5&gt;0,AH$5&lt;100)),
VLOOKUP(FLOOR((Midterm!AH12/AH$5)*100,1),new_transmute,3,FALSE),
VLOOKUP(Midterm!AH12,new_transmute,3,FALSE)
),
IF(Info!$B$4="Board program (Medicine)",
IF(OR(AND(AH$5&gt;0,AH$5&gt;100),AND(AH$5&gt;0,AH$5&lt;100)),
VLOOKUP(FLOOR((Midterm!AH12/AH$5)*100,1),new_transmute,4,FALSE),
VLOOKUP(Midterm!AH12,new_transmute,4,FALSE)
),
""
)
)
)
)
)
)
)
)
))</f>
        <v/>
      </c>
      <c r="AI12" s="14" t="str">
        <f>IF($B12="","",
IF(AI$5="","",
IF(Midterm!AI12="",0,
IF(NOT(ISNUMBER(Midterm!AI12)),"NAN",
IF(Midterm!AI12&lt;0,"NEG",
IF(Midterm!AI12&gt;AI$5,"OVER",
IF(AND(AI$5&lt;=100,Midterm!AI12&gt;100),"ERR",
IF(Info!$B$4="Non-board program",
IF(OR(AND(AI$5&gt;0,AI$5&gt;100),AND(AI$5&gt;0,AI$5&lt;100)),
VLOOKUP(FLOOR((Midterm!AI12/AI$5)*100,1),new_transmute,2,FALSE),
VLOOKUP(Midterm!AI12,new_transmute,2,FALSE)
),
IF(Info!$B$4="Board program",
IF(OR(AND(AI$5&gt;0,AI$5&gt;100),AND(AI$5&gt;0,AI$5&lt;100)),
VLOOKUP(FLOOR((Midterm!AI12/AI$5)*100,1),new_transmute,3,FALSE),
VLOOKUP(Midterm!AI12,new_transmute,3,FALSE)
),
IF(Info!$B$4="Board program (Medicine)",
IF(OR(AND(AI$5&gt;0,AI$5&gt;100),AND(AI$5&gt;0,AI$5&lt;100)),
VLOOKUP(FLOOR((Midterm!AI12/AI$5)*100,1),new_transmute,4,FALSE),
VLOOKUP(Midterm!AI12,new_transmute,4,FALSE)
),
""
)
)
)
)
)
)
)
)
))</f>
        <v/>
      </c>
      <c r="AJ12" s="14" t="str">
        <f>IF($B12="","",
IF(AJ$5="","",
IF(Midterm!AJ12="",0,
IF(NOT(ISNUMBER(Midterm!AJ12)),"NAN",
IF(Midterm!AJ12&lt;0,"NEG",
IF(Midterm!AJ12&gt;AJ$5,"OVER",
IF(AND(AJ$5&lt;=100,Midterm!AJ12&gt;100),"ERR",
IF(Info!$B$4="Non-board program",
IF(OR(AND(AJ$5&gt;0,AJ$5&gt;100),AND(AJ$5&gt;0,AJ$5&lt;100)),
VLOOKUP(FLOOR((Midterm!AJ12/AJ$5)*100,1),new_transmute,2,FALSE),
VLOOKUP(Midterm!AJ12,new_transmute,2,FALSE)
),
IF(Info!$B$4="Board program",
IF(OR(AND(AJ$5&gt;0,AJ$5&gt;100),AND(AJ$5&gt;0,AJ$5&lt;100)),
VLOOKUP(FLOOR((Midterm!AJ12/AJ$5)*100,1),new_transmute,3,FALSE),
VLOOKUP(Midterm!AJ12,new_transmute,3,FALSE)
),
IF(Info!$B$4="Board program (Medicine)",
IF(OR(AND(AJ$5&gt;0,AJ$5&gt;100),AND(AJ$5&gt;0,AJ$5&lt;100)),
VLOOKUP(FLOOR((Midterm!AJ12/AJ$5)*100,1),new_transmute,4,FALSE),
VLOOKUP(Midterm!AJ12,new_transmute,4,FALSE)
),
""
)
)
)
)
)
)
)
)
))</f>
        <v/>
      </c>
      <c r="AK12" s="59" t="str">
        <f t="shared" si="6"/>
        <v/>
      </c>
      <c r="AL12" s="60" t="str">
        <f>IF(B12="", "",
    IF(OR(M12="OVER", S12="OVER", Y12="OVER", AE12="OVER", AK12="OVER"),
        "OVER",
        IF(Info!$B$4="Non-board program",
            VLOOKUP(IFERROR(FLOOR(SUM((M12*$M$4), (S12*$S$4), (Y12*$Y$4), (AE12*$AE$4), (AK12*$AK$4)) * (100 / 60), 1), 0), new_transmute, 2, FALSE),
            IF(Info!$B$4="Board program",
                VLOOKUP(IFERROR(FLOOR(SUM((M12*$M$4), (S12*$S$4), (Y12*$Y$4), (AE12*$AE$4), (AK12*$AK$4)) * (100 / 60), 1), 0), new_transmute, 3, FALSE),
                IF(Info!$B$4="Board program (Medicine)",
                    VLOOKUP(IFERROR(FLOOR(SUM((M12*$M$4), (S12*$S$4), (Y12*$Y$4), (AE12*$AE$4), (AK12*$AK$4)) * (100 / 60), 1), 0), new_transmute, 4, FALSE),
                    ""
                )
            )
        )
    )
)</f>
        <v/>
      </c>
      <c r="AM12" s="14" t="str">
        <f>IF($B12="","",
IF(AM$5="","",
IF(Midterm!AM12="",0,
IF(NOT(ISNUMBER(Midterm!AM12)),"NAN",
IF(Midterm!AM12&lt;0,"NEG",
IF(Midterm!AM12&gt;AM$5,"OVER",
IF(AND(AM$5&lt;=100,Midterm!AM12&gt;100),"ERR",
IF(Info!$B$4="Non-board program",
IF(OR(AND(AM$5&gt;0,AM$5&gt;100),AND(AM$5&gt;0,AM$5&lt;100)),
VLOOKUP(FLOOR((Midterm!AM12/AM$5)*100,1),new_transmute,2,FALSE),
VLOOKUP(Midterm!AM12,new_transmute,2,FALSE)
),
IF(Info!$B$4="Board program",
IF(OR(AND(AM$5&gt;0,AM$5&gt;100),AND(AM$5&gt;0,AM$5&lt;100)),
VLOOKUP(FLOOR((Midterm!AM12/AM$5)*100,1),new_transmute,3,FALSE),
VLOOKUP(Midterm!AM12,new_transmute,3,FALSE)
),
IF(Info!$B$4="Board program (Medicine)",
IF(OR(AND(AM$5&gt;0,AM$5&gt;100),AND(AM$5&gt;0,AM$5&lt;100)),
VLOOKUP(FLOOR((Midterm!AM12/AM$5)*100,1),new_transmute,4,FALSE),
VLOOKUP(Midterm!AM12,new_transmute,4,FALSE)
),
""
)
)
)
)
)
)
)
)
))</f>
        <v/>
      </c>
      <c r="AN12" s="14" t="str">
        <f>IF($B12="","",
IF(AN$5="","",
IF(Midterm!AN12="",0,
IF(NOT(ISNUMBER(Midterm!AN12)),"NAN",
IF(Midterm!AN12&lt;0,"NEG",
IF(Midterm!AN12&gt;AN$5,"OVER",
IF(AND(AN$5&lt;=100,Midterm!AN12&gt;100),"ERR",
IF(Info!$B$4="Non-board program",
IF(OR(AND(AN$5&gt;0,AN$5&gt;100),AND(AN$5&gt;0,AN$5&lt;100)),
VLOOKUP(FLOOR((Midterm!AN12/AN$5)*100,1),new_transmute,2,FALSE),
VLOOKUP(Midterm!AN12,new_transmute,2,FALSE)
),
IF(Info!$B$4="Board program",
IF(OR(AND(AN$5&gt;0,AN$5&gt;100),AND(AN$5&gt;0,AN$5&lt;100)),
VLOOKUP(FLOOR((Midterm!AN12/AN$5)*100,1),new_transmute,3,FALSE),
VLOOKUP(Midterm!AN12,new_transmute,3,FALSE)
),
IF(Info!$B$4="Board program (Medicine)",
IF(OR(AND(AN$5&gt;0,AN$5&gt;100),AND(AN$5&gt;0,AN$5&lt;100)),
VLOOKUP(FLOOR((Midterm!AN12/AN$5)*100,1),new_transmute,4,FALSE),
VLOOKUP(Midterm!AN12,new_transmute,4,FALSE)
),
""
)
)
)
)
)
)
)
)
))</f>
        <v/>
      </c>
      <c r="AO12" s="14" t="str">
        <f>IF($B12="","",
IF(AO$5="","",
IF(Midterm!AO12="",0,
IF(NOT(ISNUMBER(Midterm!AO12)),"NAN",
IF(Midterm!AO12&lt;0,"NEG",
IF(Midterm!AO12&gt;AO$5,"OVER",
IF(AND(AO$5&lt;=100,Midterm!AO12&gt;100),"ERR",
IF(Info!$B$4="Non-board program",
IF(OR(AND(AO$5&gt;0,AO$5&gt;100),AND(AO$5&gt;0,AO$5&lt;100)),
VLOOKUP(FLOOR((Midterm!AO12/AO$5)*100,1),new_transmute,2,FALSE),
VLOOKUP(Midterm!AO12,new_transmute,2,FALSE)
),
IF(Info!$B$4="Board program",
IF(OR(AND(AO$5&gt;0,AO$5&gt;100),AND(AO$5&gt;0,AO$5&lt;100)),
VLOOKUP(FLOOR((Midterm!AO12/AO$5)*100,1),new_transmute,3,FALSE),
VLOOKUP(Midterm!AO12,new_transmute,3,FALSE)
),
IF(Info!$B$4="Board program (Medicine)",
IF(OR(AND(AO$5&gt;0,AO$5&gt;100),AND(AO$5&gt;0,AO$5&lt;100)),
VLOOKUP(FLOOR((Midterm!AO12/AO$5)*100,1),new_transmute,4,FALSE),
VLOOKUP(Midterm!AO12,new_transmute,4,FALSE)
),
""
)
)
)
)
)
)
)
)
))</f>
        <v/>
      </c>
      <c r="AP12" s="14" t="str">
        <f>IF($B12="","",
IF(AP$5="","",
IF(Midterm!AP12="",0,
IF(NOT(ISNUMBER(Midterm!AP12)),"NAN",
IF(Midterm!AP12&lt;0,"NEG",
IF(Midterm!AP12&gt;AP$5,"OVER",
IF(AND(AP$5&lt;=100,Midterm!AP12&gt;100),"ERR",
IF(Info!$B$4="Non-board program",
IF(OR(AND(AP$5&gt;0,AP$5&gt;100),AND(AP$5&gt;0,AP$5&lt;100)),
VLOOKUP(FLOOR((Midterm!AP12/AP$5)*100,1),new_transmute,2,FALSE),
VLOOKUP(Midterm!AP12,new_transmute,2,FALSE)
),
IF(Info!$B$4="Board program",
IF(OR(AND(AP$5&gt;0,AP$5&gt;100),AND(AP$5&gt;0,AP$5&lt;100)),
VLOOKUP(FLOOR((Midterm!AP12/AP$5)*100,1),new_transmute,3,FALSE),
VLOOKUP(Midterm!AP12,new_transmute,3,FALSE)
),
IF(Info!$B$4="Board program (Medicine)",
IF(OR(AND(AP$5&gt;0,AP$5&gt;100),AND(AP$5&gt;0,AP$5&lt;100)),
VLOOKUP(FLOOR((Midterm!AP12/AP$5)*100,1),new_transmute,4,FALSE),
VLOOKUP(Midterm!AP12,new_transmute,4,FALSE)
),
""
)
)
)
)
)
)
)
)
))</f>
        <v/>
      </c>
      <c r="AQ12" s="61" t="str">
        <f t="shared" si="7"/>
        <v/>
      </c>
      <c r="AR12" s="48" t="str">
        <f>IF(Midterm!AR12="","",Midterm!AR12)</f>
        <v/>
      </c>
      <c r="AS12" s="165" t="str">
        <f t="shared" si="8"/>
        <v/>
      </c>
      <c r="AT12" s="14" t="str">
        <f t="shared" si="0"/>
        <v/>
      </c>
      <c r="AU12" s="14" t="str">
        <f>IF(B12="","",VLOOKUP(AT12,'New Grade Equivalent'!$B$3:$C$47,2,FALSE))</f>
        <v/>
      </c>
    </row>
    <row r="13" spans="1:47" x14ac:dyDescent="0.25">
      <c r="A13" s="8">
        <v>8</v>
      </c>
      <c r="B13" s="2" t="str">
        <f>IF('Student List'!C17="","",UPPER(LEFT('Student List'!C17,FIND(",",'Student List'!C17)-1)))</f>
        <v/>
      </c>
      <c r="C13" s="12" t="str">
        <f>IF('Student List'!C17="","",PROPER(MID('Student List'!C17, FIND(",", 'Student List'!C17) + 2, LEN('Student List'!C17) - FIND(",", 'Student List'!C17) - 1)))</f>
        <v/>
      </c>
      <c r="D13" s="127" t="str">
        <f>IF(B13="","",IF(Midterm!D13="", "NA", Midterm!D13))</f>
        <v/>
      </c>
      <c r="E13" s="8" t="str">
        <f>IF(B13="","",
  IF(Info!$B$5="First Year",
    IF(D13="Yes", "DRP",
      IF(D13="No", "WF", "")
    )
  )
)</f>
        <v/>
      </c>
      <c r="F13" s="14" t="str">
        <f>IF($B13="","",
IF(F$5="","",
IF(Midterm!F13="",0,
IF(NOT(ISNUMBER(Midterm!F13)),"NAN",
IF(Midterm!F13&lt;0,"NEG",
IF(Midterm!F13&gt;F$5,"OVER",
IF(AND(F$5&lt;=100,Midterm!F13&gt;100),"ERR",
IF(Info!$B$4="Non-board program",
IF(OR(AND(F$5&gt;0,F$5&gt;100),AND(F$5&gt;0,F$5&lt;100)),
VLOOKUP(FLOOR((Midterm!F13/F$5)*100,1),new_transmute,2,FALSE),
VLOOKUP(Midterm!F13,new_transmute,2,FALSE)
),
IF(Info!$B$4="Board program",
IF(OR(AND(F$5&gt;0,F$5&gt;100),AND(F$5&gt;0,F$5&lt;100)),
VLOOKUP(FLOOR((Midterm!F13/F$5)*100,1),new_transmute,3,FALSE),
VLOOKUP(Midterm!F13,new_transmute,3,FALSE)
),
IF(Info!$B$4="Board program (Medicine)",
IF(OR(AND(F$5&gt;0,F$5&gt;100),AND(F$5&gt;0,F$5&lt;100)),
VLOOKUP(FLOOR((Midterm!F13/F$5)*100,1),new_transmute,4,FALSE),
VLOOKUP(Midterm!F13,new_transmute,4,FALSE)
),
""
)
)
)
)
)
)
)
)
))</f>
        <v/>
      </c>
      <c r="G13" s="57" t="str">
        <f t="shared" si="1"/>
        <v/>
      </c>
      <c r="H13" s="14" t="str">
        <f>IF($B13="","",
IF(H$5="","",
IF(Midterm!H13="",0,
IF(NOT(ISNUMBER(Midterm!H13)),"NAN",
IF(Midterm!H13&lt;0,"NEG",
IF(Midterm!H13&gt;H$5,"OVER",
IF(AND(H$5&lt;=100,Midterm!H13&gt;100),"ERR",
IF(Info!$B$4="Non-board program",
IF(OR(AND(H$5&gt;0,H$5&gt;100),AND(H$5&gt;0,H$5&lt;100)),
VLOOKUP(FLOOR((Midterm!H13/H$5)*100,1),new_transmute,2,FALSE),
VLOOKUP(Midterm!H13,new_transmute,2,FALSE)
),
IF(Info!$B$4="Board program",
IF(OR(AND(H$5&gt;0,H$5&gt;100),AND(H$5&gt;0,H$5&lt;100)),
VLOOKUP(FLOOR((Midterm!H13/H$5)*100,1),new_transmute,3,FALSE),
VLOOKUP(Midterm!H13,new_transmute,3,FALSE)
),
IF(Info!$B$4="Board program (Medicine)",
IF(OR(AND(H$5&gt;0,H$5&gt;100),AND(H$5&gt;0,H$5&lt;100)),
VLOOKUP(FLOOR((Midterm!H13/H$5)*100,1),new_transmute,4,FALSE),
VLOOKUP(Midterm!H13,new_transmute,4,FALSE)
),
""
)
)
)
)
)
)
)
)
))</f>
        <v/>
      </c>
      <c r="I13" s="14" t="str">
        <f>IF($B13="","",
IF(I$5="","",
IF(Midterm!I13="",0,
IF(NOT(ISNUMBER(Midterm!I13)),"NAN",
IF(Midterm!I13&lt;0,"NEG",
IF(Midterm!I13&gt;I$5,"OVER",
IF(AND(I$5&lt;=100,Midterm!I13&gt;100),"ERR",
IF(Info!$B$4="Non-board program",
IF(OR(AND(I$5&gt;0,I$5&gt;100),AND(I$5&gt;0,I$5&lt;100)),
VLOOKUP(FLOOR((Midterm!I13/I$5)*100,1),new_transmute,2,FALSE),
VLOOKUP(Midterm!I13,new_transmute,2,FALSE)
),
IF(Info!$B$4="Board program",
IF(OR(AND(I$5&gt;0,I$5&gt;100),AND(I$5&gt;0,I$5&lt;100)),
VLOOKUP(FLOOR((Midterm!I13/I$5)*100,1),new_transmute,3,FALSE),
VLOOKUP(Midterm!I13,new_transmute,3,FALSE)
),
IF(Info!$B$4="Board program (Medicine)",
IF(OR(AND(I$5&gt;0,I$5&gt;100),AND(I$5&gt;0,I$5&lt;100)),
VLOOKUP(FLOOR((Midterm!I13/I$5)*100,1),new_transmute,4,FALSE),
VLOOKUP(Midterm!I13,new_transmute,4,FALSE)
),
""
)
)
)
)
)
)
)
)
))</f>
        <v/>
      </c>
      <c r="J13" s="14" t="str">
        <f>IF($B13="","",
IF(J$5="","",
IF(Midterm!J13="",0,
IF(NOT(ISNUMBER(Midterm!J13)),"NAN",
IF(Midterm!J13&lt;0,"NEG",
IF(Midterm!J13&gt;J$5,"OVER",
IF(AND(J$5&lt;=100,Midterm!J13&gt;100),"ERR",
IF(Info!$B$4="Non-board program",
IF(OR(AND(J$5&gt;0,J$5&gt;100),AND(J$5&gt;0,J$5&lt;100)),
VLOOKUP(FLOOR((Midterm!J13/J$5)*100,1),new_transmute,2,FALSE),
VLOOKUP(Midterm!J13,new_transmute,2,FALSE)
),
IF(Info!$B$4="Board program",
IF(OR(AND(J$5&gt;0,J$5&gt;100),AND(J$5&gt;0,J$5&lt;100)),
VLOOKUP(FLOOR((Midterm!J13/J$5)*100,1),new_transmute,3,FALSE),
VLOOKUP(Midterm!J13,new_transmute,3,FALSE)
),
IF(Info!$B$4="Board program (Medicine)",
IF(OR(AND(J$5&gt;0,J$5&gt;100),AND(J$5&gt;0,J$5&lt;100)),
VLOOKUP(FLOOR((Midterm!J13/J$5)*100,1),new_transmute,4,FALSE),
VLOOKUP(Midterm!J13,new_transmute,4,FALSE)
),
""
)
)
)
)
)
)
)
)
))</f>
        <v/>
      </c>
      <c r="K13" s="14" t="str">
        <f>IF($B13="","",
IF(K$5="","",
IF(Midterm!K13="",0,
IF(NOT(ISNUMBER(Midterm!K13)),"NAN",
IF(Midterm!K13&lt;0,"NEG",
IF(Midterm!K13&gt;K$5,"OVER",
IF(AND(K$5&lt;=100,Midterm!K13&gt;100),"ERR",
IF(Info!$B$4="Non-board program",
IF(OR(AND(K$5&gt;0,K$5&gt;100),AND(K$5&gt;0,K$5&lt;100)),
VLOOKUP(FLOOR((Midterm!K13/K$5)*100,1),new_transmute,2,FALSE),
VLOOKUP(Midterm!K13,new_transmute,2,FALSE)
),
IF(Info!$B$4="Board program",
IF(OR(AND(K$5&gt;0,K$5&gt;100),AND(K$5&gt;0,K$5&lt;100)),
VLOOKUP(FLOOR((Midterm!K13/K$5)*100,1),new_transmute,3,FALSE),
VLOOKUP(Midterm!K13,new_transmute,3,FALSE)
),
IF(Info!$B$4="Board program (Medicine)",
IF(OR(AND(K$5&gt;0,K$5&gt;100),AND(K$5&gt;0,K$5&lt;100)),
VLOOKUP(FLOOR((Midterm!K13/K$5)*100,1),new_transmute,4,FALSE),
VLOOKUP(Midterm!K13,new_transmute,4,FALSE)
),
""
)
)
)
)
)
)
)
)
))</f>
        <v/>
      </c>
      <c r="L13" s="14" t="str">
        <f>IF($B13="","",
IF(L$5="","",
IF(Midterm!L13="",0,
IF(NOT(ISNUMBER(Midterm!L13)),"NAN",
IF(Midterm!L13&lt;0,"NEG",
IF(Midterm!L13&gt;L$5,"OVER",
IF(AND(L$5&lt;=100,Midterm!L13&gt;100),"ERR",
IF(Info!$B$4="Non-board program",
IF(OR(AND(L$5&gt;0,L$5&gt;100),AND(L$5&gt;0,L$5&lt;100)),
VLOOKUP(FLOOR((Midterm!L13/L$5)*100,1),new_transmute,2,FALSE),
VLOOKUP(Midterm!L13,new_transmute,2,FALSE)
),
IF(Info!$B$4="Board program",
IF(OR(AND(L$5&gt;0,L$5&gt;100),AND(L$5&gt;0,L$5&lt;100)),
VLOOKUP(FLOOR((Midterm!L13/L$5)*100,1),new_transmute,3,FALSE),
VLOOKUP(Midterm!L13,new_transmute,3,FALSE)
),
IF(Info!$B$4="Board program (Medicine)",
IF(OR(AND(L$5&gt;0,L$5&gt;100),AND(L$5&gt;0,L$5&lt;100)),
VLOOKUP(FLOOR((Midterm!L13/L$5)*100,1),new_transmute,4,FALSE),
VLOOKUP(Midterm!L13,new_transmute,4,FALSE)
),
""
)
)
)
)
)
)
)
)
))</f>
        <v/>
      </c>
      <c r="M13" s="111" t="str">
        <f t="shared" si="2"/>
        <v/>
      </c>
      <c r="N13" s="14" t="str">
        <f>IF($B13="","",
IF(N$5="","",
IF(Midterm!N13="",0,
IF(NOT(ISNUMBER(Midterm!N13)),"NAN",
IF(Midterm!N13&lt;0,"NEG",
IF(Midterm!N13&gt;N$5,"OVER",
IF(AND(N$5&lt;=100,Midterm!N13&gt;100),"ERR",
IF(Info!$B$4="Non-board program",
IF(OR(AND(N$5&gt;0,N$5&gt;100),AND(N$5&gt;0,N$5&lt;100)),
VLOOKUP(FLOOR((Midterm!N13/N$5)*100,1),new_transmute,2,FALSE),
VLOOKUP(Midterm!N13,new_transmute,2,FALSE)
),
IF(Info!$B$4="Board program",
IF(OR(AND(N$5&gt;0,N$5&gt;100),AND(N$5&gt;0,N$5&lt;100)),
VLOOKUP(FLOOR((Midterm!N13/N$5)*100,1),new_transmute,3,FALSE),
VLOOKUP(Midterm!N13,new_transmute,3,FALSE)
),
IF(Info!$B$4="Board program (Medicine)",
IF(OR(AND(N$5&gt;0,N$5&gt;100),AND(N$5&gt;0,N$5&lt;100)),
VLOOKUP(FLOOR((Midterm!N13/N$5)*100,1),new_transmute,4,FALSE),
VLOOKUP(Midterm!N13,new_transmute,4,FALSE)
),
""
)
)
)
)
)
)
)
)
))</f>
        <v/>
      </c>
      <c r="O13" s="14" t="str">
        <f>IF($B13="","",
IF(O$5="","",
IF(Midterm!O13="",0,
IF(NOT(ISNUMBER(Midterm!O13)),"NAN",
IF(Midterm!O13&lt;0,"NEG",
IF(Midterm!O13&gt;O$5,"OVER",
IF(AND(O$5&lt;=100,Midterm!O13&gt;100),"ERR",
IF(Info!$B$4="Non-board program",
IF(OR(AND(O$5&gt;0,O$5&gt;100),AND(O$5&gt;0,O$5&lt;100)),
VLOOKUP(FLOOR((Midterm!O13/O$5)*100,1),new_transmute,2,FALSE),
VLOOKUP(Midterm!O13,new_transmute,2,FALSE)
),
IF(Info!$B$4="Board program",
IF(OR(AND(O$5&gt;0,O$5&gt;100),AND(O$5&gt;0,O$5&lt;100)),
VLOOKUP(FLOOR((Midterm!O13/O$5)*100,1),new_transmute,3,FALSE),
VLOOKUP(Midterm!O13,new_transmute,3,FALSE)
),
IF(Info!$B$4="Board program (Medicine)",
IF(OR(AND(O$5&gt;0,O$5&gt;100),AND(O$5&gt;0,O$5&lt;100)),
VLOOKUP(FLOOR((Midterm!O13/O$5)*100,1),new_transmute,4,FALSE),
VLOOKUP(Midterm!O13,new_transmute,4,FALSE)
),
""
)
)
)
)
)
)
)
)
))</f>
        <v/>
      </c>
      <c r="P13" s="14" t="str">
        <f>IF($B13="","",
IF(P$5="","",
IF(Midterm!P13="",0,
IF(NOT(ISNUMBER(Midterm!P13)),"NAN",
IF(Midterm!P13&lt;0,"NEG",
IF(Midterm!P13&gt;P$5,"OVER",
IF(AND(P$5&lt;=100,Midterm!P13&gt;100),"ERR",
IF(Info!$B$4="Non-board program",
IF(OR(AND(P$5&gt;0,P$5&gt;100),AND(P$5&gt;0,P$5&lt;100)),
VLOOKUP(FLOOR((Midterm!P13/P$5)*100,1),new_transmute,2,FALSE),
VLOOKUP(Midterm!P13,new_transmute,2,FALSE)
),
IF(Info!$B$4="Board program",
IF(OR(AND(P$5&gt;0,P$5&gt;100),AND(P$5&gt;0,P$5&lt;100)),
VLOOKUP(FLOOR((Midterm!P13/P$5)*100,1),new_transmute,3,FALSE),
VLOOKUP(Midterm!P13,new_transmute,3,FALSE)
),
IF(Info!$B$4="Board program (Medicine)",
IF(OR(AND(P$5&gt;0,P$5&gt;100),AND(P$5&gt;0,P$5&lt;100)),
VLOOKUP(FLOOR((Midterm!P13/P$5)*100,1),new_transmute,4,FALSE),
VLOOKUP(Midterm!P13,new_transmute,4,FALSE)
),
""
)
)
)
)
)
)
)
)
))</f>
        <v/>
      </c>
      <c r="Q13" s="14" t="str">
        <f>IF($B13="","",
IF(Q$5="","",
IF(Midterm!Q13="",0,
IF(NOT(ISNUMBER(Midterm!Q13)),"NAN",
IF(Midterm!Q13&lt;0,"NEG",
IF(Midterm!Q13&gt;Q$5,"OVER",
IF(AND(Q$5&lt;=100,Midterm!Q13&gt;100),"ERR",
IF(Info!$B$4="Non-board program",
IF(OR(AND(Q$5&gt;0,Q$5&gt;100),AND(Q$5&gt;0,Q$5&lt;100)),
VLOOKUP(FLOOR((Midterm!Q13/Q$5)*100,1),new_transmute,2,FALSE),
VLOOKUP(Midterm!Q13,new_transmute,2,FALSE)
),
IF(Info!$B$4="Board program",
IF(OR(AND(Q$5&gt;0,Q$5&gt;100),AND(Q$5&gt;0,Q$5&lt;100)),
VLOOKUP(FLOOR((Midterm!Q13/Q$5)*100,1),new_transmute,3,FALSE),
VLOOKUP(Midterm!Q13,new_transmute,3,FALSE)
),
IF(Info!$B$4="Board program (Medicine)",
IF(OR(AND(Q$5&gt;0,Q$5&gt;100),AND(Q$5&gt;0,Q$5&lt;100)),
VLOOKUP(FLOOR((Midterm!Q13/Q$5)*100,1),new_transmute,4,FALSE),
VLOOKUP(Midterm!Q13,new_transmute,4,FALSE)
),
""
)
)
)
)
)
)
)
)
))</f>
        <v/>
      </c>
      <c r="R13" s="14" t="str">
        <f>IF($B13="","",
IF(R$5="","",
IF(Midterm!R13="",0,
IF(NOT(ISNUMBER(Midterm!R13)),"NAN",
IF(Midterm!R13&lt;0,"NEG",
IF(Midterm!R13&gt;R$5,"OVER",
IF(AND(R$5&lt;=100,Midterm!R13&gt;100),"ERR",
IF(Info!$B$4="Non-board program",
IF(OR(AND(R$5&gt;0,R$5&gt;100),AND(R$5&gt;0,R$5&lt;100)),
VLOOKUP(FLOOR((Midterm!R13/R$5)*100,1),new_transmute,2,FALSE),
VLOOKUP(Midterm!R13,new_transmute,2,FALSE)
),
IF(Info!$B$4="Board program",
IF(OR(AND(R$5&gt;0,R$5&gt;100),AND(R$5&gt;0,R$5&lt;100)),
VLOOKUP(FLOOR((Midterm!R13/R$5)*100,1),new_transmute,3,FALSE),
VLOOKUP(Midterm!R13,new_transmute,3,FALSE)
),
IF(Info!$B$4="Board program (Medicine)",
IF(OR(AND(R$5&gt;0,R$5&gt;100),AND(R$5&gt;0,R$5&lt;100)),
VLOOKUP(FLOOR((Midterm!R13/R$5)*100,1),new_transmute,4,FALSE),
VLOOKUP(Midterm!R13,new_transmute,4,FALSE)
),
""
)
)
)
)
)
)
)
)
))</f>
        <v/>
      </c>
      <c r="S13" s="115" t="str">
        <f t="shared" si="3"/>
        <v/>
      </c>
      <c r="T13" s="14" t="str">
        <f>IF($B13="","",
IF(T$5="","",
IF(Midterm!T13="",0,
IF(NOT(ISNUMBER(Midterm!T13)),"NAN",
IF(Midterm!T13&lt;0,"NEG",
IF(Midterm!T13&gt;T$5,"OVER",
IF(AND(T$5&lt;=100,Midterm!T13&gt;100),"ERR",
IF(Info!$B$4="Non-board program",
IF(OR(AND(T$5&gt;0,T$5&gt;100),AND(T$5&gt;0,T$5&lt;100)),
VLOOKUP(FLOOR((Midterm!T13/T$5)*100,1),new_transmute,2,FALSE),
VLOOKUP(Midterm!T13,new_transmute,2,FALSE)
),
IF(Info!$B$4="Board program",
IF(OR(AND(T$5&gt;0,T$5&gt;100),AND(T$5&gt;0,T$5&lt;100)),
VLOOKUP(FLOOR((Midterm!T13/T$5)*100,1),new_transmute,3,FALSE),
VLOOKUP(Midterm!T13,new_transmute,3,FALSE)
),
IF(Info!$B$4="Board program (Medicine)",
IF(OR(AND(T$5&gt;0,T$5&gt;100),AND(T$5&gt;0,T$5&lt;100)),
VLOOKUP(FLOOR((Midterm!T13/T$5)*100,1),new_transmute,4,FALSE),
VLOOKUP(Midterm!T13,new_transmute,4,FALSE)
),
""
)
)
)
)
)
)
)
)
))</f>
        <v/>
      </c>
      <c r="U13" s="14" t="str">
        <f>IF($B13="","",
IF(U$5="","",
IF(Midterm!U13="",0,
IF(NOT(ISNUMBER(Midterm!U13)),"NAN",
IF(Midterm!U13&lt;0,"NEG",
IF(Midterm!U13&gt;U$5,"OVER",
IF(AND(U$5&lt;=100,Midterm!U13&gt;100),"ERR",
IF(Info!$B$4="Non-board program",
IF(OR(AND(U$5&gt;0,U$5&gt;100),AND(U$5&gt;0,U$5&lt;100)),
VLOOKUP(FLOOR((Midterm!U13/U$5)*100,1),new_transmute,2,FALSE),
VLOOKUP(Midterm!U13,new_transmute,2,FALSE)
),
IF(Info!$B$4="Board program",
IF(OR(AND(U$5&gt;0,U$5&gt;100),AND(U$5&gt;0,U$5&lt;100)),
VLOOKUP(FLOOR((Midterm!U13/U$5)*100,1),new_transmute,3,FALSE),
VLOOKUP(Midterm!U13,new_transmute,3,FALSE)
),
IF(Info!$B$4="Board program (Medicine)",
IF(OR(AND(U$5&gt;0,U$5&gt;100),AND(U$5&gt;0,U$5&lt;100)),
VLOOKUP(FLOOR((Midterm!U13/U$5)*100,1),new_transmute,4,FALSE),
VLOOKUP(Midterm!U13,new_transmute,4,FALSE)
),
""
)
)
)
)
)
)
)
)
))</f>
        <v/>
      </c>
      <c r="V13" s="14" t="str">
        <f>IF($B13="","",
IF(V$5="","",
IF(Midterm!V13="",0,
IF(NOT(ISNUMBER(Midterm!V13)),"NAN",
IF(Midterm!V13&lt;0,"NEG",
IF(Midterm!V13&gt;V$5,"OVER",
IF(AND(V$5&lt;=100,Midterm!V13&gt;100),"ERR",
IF(Info!$B$4="Non-board program",
IF(OR(AND(V$5&gt;0,V$5&gt;100),AND(V$5&gt;0,V$5&lt;100)),
VLOOKUP(FLOOR((Midterm!V13/V$5)*100,1),new_transmute,2,FALSE),
VLOOKUP(Midterm!V13,new_transmute,2,FALSE)
),
IF(Info!$B$4="Board program",
IF(OR(AND(V$5&gt;0,V$5&gt;100),AND(V$5&gt;0,V$5&lt;100)),
VLOOKUP(FLOOR((Midterm!V13/V$5)*100,1),new_transmute,3,FALSE),
VLOOKUP(Midterm!V13,new_transmute,3,FALSE)
),
IF(Info!$B$4="Board program (Medicine)",
IF(OR(AND(V$5&gt;0,V$5&gt;100),AND(V$5&gt;0,V$5&lt;100)),
VLOOKUP(FLOOR((Midterm!V13/V$5)*100,1),new_transmute,4,FALSE),
VLOOKUP(Midterm!V13,new_transmute,4,FALSE)
),
""
)
)
)
)
)
)
)
)
))</f>
        <v/>
      </c>
      <c r="W13" s="14" t="str">
        <f>IF($B13="","",
IF(W$5="","",
IF(Midterm!W13="",0,
IF(NOT(ISNUMBER(Midterm!W13)),"NAN",
IF(Midterm!W13&lt;0,"NEG",
IF(Midterm!W13&gt;W$5,"OVER",
IF(AND(W$5&lt;=100,Midterm!W13&gt;100),"ERR",
IF(Info!$B$4="Non-board program",
IF(OR(AND(W$5&gt;0,W$5&gt;100),AND(W$5&gt;0,W$5&lt;100)),
VLOOKUP(FLOOR((Midterm!W13/W$5)*100,1),new_transmute,2,FALSE),
VLOOKUP(Midterm!W13,new_transmute,2,FALSE)
),
IF(Info!$B$4="Board program",
IF(OR(AND(W$5&gt;0,W$5&gt;100),AND(W$5&gt;0,W$5&lt;100)),
VLOOKUP(FLOOR((Midterm!W13/W$5)*100,1),new_transmute,3,FALSE),
VLOOKUP(Midterm!W13,new_transmute,3,FALSE)
),
IF(Info!$B$4="Board program (Medicine)",
IF(OR(AND(W$5&gt;0,W$5&gt;100),AND(W$5&gt;0,W$5&lt;100)),
VLOOKUP(FLOOR((Midterm!W13/W$5)*100,1),new_transmute,4,FALSE),
VLOOKUP(Midterm!W13,new_transmute,4,FALSE)
),
""
)
)
)
)
)
)
)
)
))</f>
        <v/>
      </c>
      <c r="X13" s="14" t="str">
        <f>IF($B13="","",
IF(X$5="","",
IF(Midterm!X13="",0,
IF(NOT(ISNUMBER(Midterm!X13)),"NAN",
IF(Midterm!X13&lt;0,"NEG",
IF(Midterm!X13&gt;X$5,"OVER",
IF(AND(X$5&lt;=100,Midterm!X13&gt;100),"ERR",
IF(Info!$B$4="Non-board program",
IF(OR(AND(X$5&gt;0,X$5&gt;100),AND(X$5&gt;0,X$5&lt;100)),
VLOOKUP(FLOOR((Midterm!X13/X$5)*100,1),new_transmute,2,FALSE),
VLOOKUP(Midterm!X13,new_transmute,2,FALSE)
),
IF(Info!$B$4="Board program",
IF(OR(AND(X$5&gt;0,X$5&gt;100),AND(X$5&gt;0,X$5&lt;100)),
VLOOKUP(FLOOR((Midterm!X13/X$5)*100,1),new_transmute,3,FALSE),
VLOOKUP(Midterm!X13,new_transmute,3,FALSE)
),
IF(Info!$B$4="Board program (Medicine)",
IF(OR(AND(X$5&gt;0,X$5&gt;100),AND(X$5&gt;0,X$5&lt;100)),
VLOOKUP(FLOOR((Midterm!X13/X$5)*100,1),new_transmute,4,FALSE),
VLOOKUP(Midterm!X13,new_transmute,4,FALSE)
),
""
)
)
)
)
)
)
)
)
))</f>
        <v/>
      </c>
      <c r="Y13" s="112" t="str">
        <f t="shared" si="4"/>
        <v/>
      </c>
      <c r="Z13" s="14" t="str">
        <f>IF($B13="","",
IF(Z$5="","",
IF(Midterm!Z13="",0,
IF(NOT(ISNUMBER(Midterm!Z13)),"NAN",
IF(Midterm!Z13&lt;0,"NEG",
IF(Midterm!Z13&gt;Z$5,"OVER",
IF(AND(Z$5&lt;=100,Midterm!Z13&gt;100),"ERR",
IF(Info!$B$4="Non-board program",
IF(OR(AND(Z$5&gt;0,Z$5&gt;100),AND(Z$5&gt;0,Z$5&lt;100)),
VLOOKUP(FLOOR((Midterm!Z13/Z$5)*100,1),new_transmute,2,FALSE),
VLOOKUP(Midterm!Z13,new_transmute,2,FALSE)
),
IF(Info!$B$4="Board program",
IF(OR(AND(Z$5&gt;0,Z$5&gt;100),AND(Z$5&gt;0,Z$5&lt;100)),
VLOOKUP(FLOOR((Midterm!Z13/Z$5)*100,1),new_transmute,3,FALSE),
VLOOKUP(Midterm!Z13,new_transmute,3,FALSE)
),
IF(Info!$B$4="Board program (Medicine)",
IF(OR(AND(Z$5&gt;0,Z$5&gt;100),AND(Z$5&gt;0,Z$5&lt;100)),
VLOOKUP(FLOOR((Midterm!Z13/Z$5)*100,1),new_transmute,4,FALSE),
VLOOKUP(Midterm!Z13,new_transmute,4,FALSE)
),
""
)
)
)
)
)
)
)
)
))</f>
        <v/>
      </c>
      <c r="AA13" s="14" t="str">
        <f>IF($B13="","",
IF(AA$5="","",
IF(Midterm!AA13="",0,
IF(NOT(ISNUMBER(Midterm!AA13)),"NAN",
IF(Midterm!AA13&lt;0,"NEG",
IF(Midterm!AA13&gt;AA$5,"OVER",
IF(AND(AA$5&lt;=100,Midterm!AA13&gt;100),"ERR",
IF(Info!$B$4="Non-board program",
IF(OR(AND(AA$5&gt;0,AA$5&gt;100),AND(AA$5&gt;0,AA$5&lt;100)),
VLOOKUP(FLOOR((Midterm!AA13/AA$5)*100,1),new_transmute,2,FALSE),
VLOOKUP(Midterm!AA13,new_transmute,2,FALSE)
),
IF(Info!$B$4="Board program",
IF(OR(AND(AA$5&gt;0,AA$5&gt;100),AND(AA$5&gt;0,AA$5&lt;100)),
VLOOKUP(FLOOR((Midterm!AA13/AA$5)*100,1),new_transmute,3,FALSE),
VLOOKUP(Midterm!AA13,new_transmute,3,FALSE)
),
IF(Info!$B$4="Board program (Medicine)",
IF(OR(AND(AA$5&gt;0,AA$5&gt;100),AND(AA$5&gt;0,AA$5&lt;100)),
VLOOKUP(FLOOR((Midterm!AA13/AA$5)*100,1),new_transmute,4,FALSE),
VLOOKUP(Midterm!AA13,new_transmute,4,FALSE)
),
""
)
)
)
)
)
)
)
)
))</f>
        <v/>
      </c>
      <c r="AB13" s="14" t="str">
        <f>IF($B13="","",
IF(AB$5="","",
IF(Midterm!AB13="",0,
IF(NOT(ISNUMBER(Midterm!AB13)),"NAN",
IF(Midterm!AB13&lt;0,"NEG",
IF(Midterm!AB13&gt;AB$5,"OVER",
IF(AND(AB$5&lt;=100,Midterm!AB13&gt;100),"ERR",
IF(Info!$B$4="Non-board program",
IF(OR(AND(AB$5&gt;0,AB$5&gt;100),AND(AB$5&gt;0,AB$5&lt;100)),
VLOOKUP(FLOOR((Midterm!AB13/AB$5)*100,1),new_transmute,2,FALSE),
VLOOKUP(Midterm!AB13,new_transmute,2,FALSE)
),
IF(Info!$B$4="Board program",
IF(OR(AND(AB$5&gt;0,AB$5&gt;100),AND(AB$5&gt;0,AB$5&lt;100)),
VLOOKUP(FLOOR((Midterm!AB13/AB$5)*100,1),new_transmute,3,FALSE),
VLOOKUP(Midterm!AB13,new_transmute,3,FALSE)
),
IF(Info!$B$4="Board program (Medicine)",
IF(OR(AND(AB$5&gt;0,AB$5&gt;100),AND(AB$5&gt;0,AB$5&lt;100)),
VLOOKUP(FLOOR((Midterm!AB13/AB$5)*100,1),new_transmute,4,FALSE),
VLOOKUP(Midterm!AB13,new_transmute,4,FALSE)
),
""
)
)
)
)
)
)
)
)
))</f>
        <v/>
      </c>
      <c r="AC13" s="14" t="str">
        <f>IF($B13="","",
IF(AC$5="","",
IF(Midterm!AC13="",0,
IF(NOT(ISNUMBER(Midterm!AC13)),"NAN",
IF(Midterm!AC13&lt;0,"NEG",
IF(Midterm!AC13&gt;AC$5,"OVER",
IF(AND(AC$5&lt;=100,Midterm!AC13&gt;100),"ERR",
IF(Info!$B$4="Non-board program",
IF(OR(AND(AC$5&gt;0,AC$5&gt;100),AND(AC$5&gt;0,AC$5&lt;100)),
VLOOKUP(FLOOR((Midterm!AC13/AC$5)*100,1),new_transmute,2,FALSE),
VLOOKUP(Midterm!AC13,new_transmute,2,FALSE)
),
IF(Info!$B$4="Board program",
IF(OR(AND(AC$5&gt;0,AC$5&gt;100),AND(AC$5&gt;0,AC$5&lt;100)),
VLOOKUP(FLOOR((Midterm!AC13/AC$5)*100,1),new_transmute,3,FALSE),
VLOOKUP(Midterm!AC13,new_transmute,3,FALSE)
),
IF(Info!$B$4="Board program (Medicine)",
IF(OR(AND(AC$5&gt;0,AC$5&gt;100),AND(AC$5&gt;0,AC$5&lt;100)),
VLOOKUP(FLOOR((Midterm!AC13/AC$5)*100,1),new_transmute,4,FALSE),
VLOOKUP(Midterm!AC13,new_transmute,4,FALSE)
),
""
)
)
)
)
)
)
)
)
))</f>
        <v/>
      </c>
      <c r="AD13" s="14" t="str">
        <f>IF($B13="","",
IF(AD$5="","",
IF(Midterm!AD13="",0,
IF(NOT(ISNUMBER(Midterm!AD13)),"NAN",
IF(Midterm!AD13&lt;0,"NEG",
IF(Midterm!AD13&gt;AD$5,"OVER",
IF(AND(AD$5&lt;=100,Midterm!AD13&gt;100),"ERR",
IF(Info!$B$4="Non-board program",
IF(OR(AND(AD$5&gt;0,AD$5&gt;100),AND(AD$5&gt;0,AD$5&lt;100)),
VLOOKUP(FLOOR((Midterm!AD13/AD$5)*100,1),new_transmute,2,FALSE),
VLOOKUP(Midterm!AD13,new_transmute,2,FALSE)
),
IF(Info!$B$4="Board program",
IF(OR(AND(AD$5&gt;0,AD$5&gt;100),AND(AD$5&gt;0,AD$5&lt;100)),
VLOOKUP(FLOOR((Midterm!AD13/AD$5)*100,1),new_transmute,3,FALSE),
VLOOKUP(Midterm!AD13,new_transmute,3,FALSE)
),
IF(Info!$B$4="Board program (Medicine)",
IF(OR(AND(AD$5&gt;0,AD$5&gt;100),AND(AD$5&gt;0,AD$5&lt;100)),
VLOOKUP(FLOOR((Midterm!AD13/AD$5)*100,1),new_transmute,4,FALSE),
VLOOKUP(Midterm!AD13,new_transmute,4,FALSE)
),
""
)
)
)
)
)
)
)
)
))</f>
        <v/>
      </c>
      <c r="AE13" s="58" t="str">
        <f t="shared" si="5"/>
        <v/>
      </c>
      <c r="AF13" s="14" t="str">
        <f>IF($B13="","",
IF(AF$5="","",
IF(Midterm!AF13="",0,
IF(NOT(ISNUMBER(Midterm!AF13)),"NAN",
IF(Midterm!AF13&lt;0,"NEG",
IF(Midterm!AF13&gt;AF$5,"OVER",
IF(AND(AF$5&lt;=100,Midterm!AF13&gt;100),"ERR",
IF(Info!$B$4="Non-board program",
IF(OR(AND(AF$5&gt;0,AF$5&gt;100),AND(AF$5&gt;0,AF$5&lt;100)),
VLOOKUP(FLOOR((Midterm!AF13/AF$5)*100,1),new_transmute,2,FALSE),
VLOOKUP(Midterm!AF13,new_transmute,2,FALSE)
),
IF(Info!$B$4="Board program",
IF(OR(AND(AF$5&gt;0,AF$5&gt;100),AND(AF$5&gt;0,AF$5&lt;100)),
VLOOKUP(FLOOR((Midterm!AF13/AF$5)*100,1),new_transmute,3,FALSE),
VLOOKUP(Midterm!AF13,new_transmute,3,FALSE)
),
IF(Info!$B$4="Board program (Medicine)",
IF(OR(AND(AF$5&gt;0,AF$5&gt;100),AND(AF$5&gt;0,AF$5&lt;100)),
VLOOKUP(FLOOR((Midterm!AF13/AF$5)*100,1),new_transmute,4,FALSE),
VLOOKUP(Midterm!AF13,new_transmute,4,FALSE)
),
""
)
)
)
)
)
)
)
)
))</f>
        <v/>
      </c>
      <c r="AG13" s="14" t="str">
        <f>IF($B13="","",
IF(AG$5="","",
IF(Midterm!AG13="",0,
IF(NOT(ISNUMBER(Midterm!AG13)),"NAN",
IF(Midterm!AG13&lt;0,"NEG",
IF(Midterm!AG13&gt;AG$5,"OVER",
IF(AND(AG$5&lt;=100,Midterm!AG13&gt;100),"ERR",
IF(Info!$B$4="Non-board program",
IF(OR(AND(AG$5&gt;0,AG$5&gt;100),AND(AG$5&gt;0,AG$5&lt;100)),
VLOOKUP(FLOOR((Midterm!AG13/AG$5)*100,1),new_transmute,2,FALSE),
VLOOKUP(Midterm!AG13,new_transmute,2,FALSE)
),
IF(Info!$B$4="Board program",
IF(OR(AND(AG$5&gt;0,AG$5&gt;100),AND(AG$5&gt;0,AG$5&lt;100)),
VLOOKUP(FLOOR((Midterm!AG13/AG$5)*100,1),new_transmute,3,FALSE),
VLOOKUP(Midterm!AG13,new_transmute,3,FALSE)
),
IF(Info!$B$4="Board program (Medicine)",
IF(OR(AND(AG$5&gt;0,AG$5&gt;100),AND(AG$5&gt;0,AG$5&lt;100)),
VLOOKUP(FLOOR((Midterm!AG13/AG$5)*100,1),new_transmute,4,FALSE),
VLOOKUP(Midterm!AG13,new_transmute,4,FALSE)
),
""
)
)
)
)
)
)
)
)
))</f>
        <v/>
      </c>
      <c r="AH13" s="14" t="str">
        <f>IF($B13="","",
IF(AH$5="","",
IF(Midterm!AH13="",0,
IF(NOT(ISNUMBER(Midterm!AH13)),"NAN",
IF(Midterm!AH13&lt;0,"NEG",
IF(Midterm!AH13&gt;AH$5,"OVER",
IF(AND(AH$5&lt;=100,Midterm!AH13&gt;100),"ERR",
IF(Info!$B$4="Non-board program",
IF(OR(AND(AH$5&gt;0,AH$5&gt;100),AND(AH$5&gt;0,AH$5&lt;100)),
VLOOKUP(FLOOR((Midterm!AH13/AH$5)*100,1),new_transmute,2,FALSE),
VLOOKUP(Midterm!AH13,new_transmute,2,FALSE)
),
IF(Info!$B$4="Board program",
IF(OR(AND(AH$5&gt;0,AH$5&gt;100),AND(AH$5&gt;0,AH$5&lt;100)),
VLOOKUP(FLOOR((Midterm!AH13/AH$5)*100,1),new_transmute,3,FALSE),
VLOOKUP(Midterm!AH13,new_transmute,3,FALSE)
),
IF(Info!$B$4="Board program (Medicine)",
IF(OR(AND(AH$5&gt;0,AH$5&gt;100),AND(AH$5&gt;0,AH$5&lt;100)),
VLOOKUP(FLOOR((Midterm!AH13/AH$5)*100,1),new_transmute,4,FALSE),
VLOOKUP(Midterm!AH13,new_transmute,4,FALSE)
),
""
)
)
)
)
)
)
)
)
))</f>
        <v/>
      </c>
      <c r="AI13" s="14" t="str">
        <f>IF($B13="","",
IF(AI$5="","",
IF(Midterm!AI13="",0,
IF(NOT(ISNUMBER(Midterm!AI13)),"NAN",
IF(Midterm!AI13&lt;0,"NEG",
IF(Midterm!AI13&gt;AI$5,"OVER",
IF(AND(AI$5&lt;=100,Midterm!AI13&gt;100),"ERR",
IF(Info!$B$4="Non-board program",
IF(OR(AND(AI$5&gt;0,AI$5&gt;100),AND(AI$5&gt;0,AI$5&lt;100)),
VLOOKUP(FLOOR((Midterm!AI13/AI$5)*100,1),new_transmute,2,FALSE),
VLOOKUP(Midterm!AI13,new_transmute,2,FALSE)
),
IF(Info!$B$4="Board program",
IF(OR(AND(AI$5&gt;0,AI$5&gt;100),AND(AI$5&gt;0,AI$5&lt;100)),
VLOOKUP(FLOOR((Midterm!AI13/AI$5)*100,1),new_transmute,3,FALSE),
VLOOKUP(Midterm!AI13,new_transmute,3,FALSE)
),
IF(Info!$B$4="Board program (Medicine)",
IF(OR(AND(AI$5&gt;0,AI$5&gt;100),AND(AI$5&gt;0,AI$5&lt;100)),
VLOOKUP(FLOOR((Midterm!AI13/AI$5)*100,1),new_transmute,4,FALSE),
VLOOKUP(Midterm!AI13,new_transmute,4,FALSE)
),
""
)
)
)
)
)
)
)
)
))</f>
        <v/>
      </c>
      <c r="AJ13" s="14" t="str">
        <f>IF($B13="","",
IF(AJ$5="","",
IF(Midterm!AJ13="",0,
IF(NOT(ISNUMBER(Midterm!AJ13)),"NAN",
IF(Midterm!AJ13&lt;0,"NEG",
IF(Midterm!AJ13&gt;AJ$5,"OVER",
IF(AND(AJ$5&lt;=100,Midterm!AJ13&gt;100),"ERR",
IF(Info!$B$4="Non-board program",
IF(OR(AND(AJ$5&gt;0,AJ$5&gt;100),AND(AJ$5&gt;0,AJ$5&lt;100)),
VLOOKUP(FLOOR((Midterm!AJ13/AJ$5)*100,1),new_transmute,2,FALSE),
VLOOKUP(Midterm!AJ13,new_transmute,2,FALSE)
),
IF(Info!$B$4="Board program",
IF(OR(AND(AJ$5&gt;0,AJ$5&gt;100),AND(AJ$5&gt;0,AJ$5&lt;100)),
VLOOKUP(FLOOR((Midterm!AJ13/AJ$5)*100,1),new_transmute,3,FALSE),
VLOOKUP(Midterm!AJ13,new_transmute,3,FALSE)
),
IF(Info!$B$4="Board program (Medicine)",
IF(OR(AND(AJ$5&gt;0,AJ$5&gt;100),AND(AJ$5&gt;0,AJ$5&lt;100)),
VLOOKUP(FLOOR((Midterm!AJ13/AJ$5)*100,1),new_transmute,4,FALSE),
VLOOKUP(Midterm!AJ13,new_transmute,4,FALSE)
),
""
)
)
)
)
)
)
)
)
))</f>
        <v/>
      </c>
      <c r="AK13" s="59" t="str">
        <f t="shared" si="6"/>
        <v/>
      </c>
      <c r="AL13" s="60" t="str">
        <f>IF(B13="", "",
    IF(OR(M13="OVER", S13="OVER", Y13="OVER", AE13="OVER", AK13="OVER"),
        "OVER",
        IF(Info!$B$4="Non-board program",
            VLOOKUP(IFERROR(FLOOR(SUM((M13*$M$4), (S13*$S$4), (Y13*$Y$4), (AE13*$AE$4), (AK13*$AK$4)) * (100 / 60), 1), 0), new_transmute, 2, FALSE),
            IF(Info!$B$4="Board program",
                VLOOKUP(IFERROR(FLOOR(SUM((M13*$M$4), (S13*$S$4), (Y13*$Y$4), (AE13*$AE$4), (AK13*$AK$4)) * (100 / 60), 1), 0), new_transmute, 3, FALSE),
                IF(Info!$B$4="Board program (Medicine)",
                    VLOOKUP(IFERROR(FLOOR(SUM((M13*$M$4), (S13*$S$4), (Y13*$Y$4), (AE13*$AE$4), (AK13*$AK$4)) * (100 / 60), 1), 0), new_transmute, 4, FALSE),
                    ""
                )
            )
        )
    )
)</f>
        <v/>
      </c>
      <c r="AM13" s="14" t="str">
        <f>IF($B13="","",
IF(AM$5="","",
IF(Midterm!AM13="",0,
IF(NOT(ISNUMBER(Midterm!AM13)),"NAN",
IF(Midterm!AM13&lt;0,"NEG",
IF(Midterm!AM13&gt;AM$5,"OVER",
IF(AND(AM$5&lt;=100,Midterm!AM13&gt;100),"ERR",
IF(Info!$B$4="Non-board program",
IF(OR(AND(AM$5&gt;0,AM$5&gt;100),AND(AM$5&gt;0,AM$5&lt;100)),
VLOOKUP(FLOOR((Midterm!AM13/AM$5)*100,1),new_transmute,2,FALSE),
VLOOKUP(Midterm!AM13,new_transmute,2,FALSE)
),
IF(Info!$B$4="Board program",
IF(OR(AND(AM$5&gt;0,AM$5&gt;100),AND(AM$5&gt;0,AM$5&lt;100)),
VLOOKUP(FLOOR((Midterm!AM13/AM$5)*100,1),new_transmute,3,FALSE),
VLOOKUP(Midterm!AM13,new_transmute,3,FALSE)
),
IF(Info!$B$4="Board program (Medicine)",
IF(OR(AND(AM$5&gt;0,AM$5&gt;100),AND(AM$5&gt;0,AM$5&lt;100)),
VLOOKUP(FLOOR((Midterm!AM13/AM$5)*100,1),new_transmute,4,FALSE),
VLOOKUP(Midterm!AM13,new_transmute,4,FALSE)
),
""
)
)
)
)
)
)
)
)
))</f>
        <v/>
      </c>
      <c r="AN13" s="14" t="str">
        <f>IF($B13="","",
IF(AN$5="","",
IF(Midterm!AN13="",0,
IF(NOT(ISNUMBER(Midterm!AN13)),"NAN",
IF(Midterm!AN13&lt;0,"NEG",
IF(Midterm!AN13&gt;AN$5,"OVER",
IF(AND(AN$5&lt;=100,Midterm!AN13&gt;100),"ERR",
IF(Info!$B$4="Non-board program",
IF(OR(AND(AN$5&gt;0,AN$5&gt;100),AND(AN$5&gt;0,AN$5&lt;100)),
VLOOKUP(FLOOR((Midterm!AN13/AN$5)*100,1),new_transmute,2,FALSE),
VLOOKUP(Midterm!AN13,new_transmute,2,FALSE)
),
IF(Info!$B$4="Board program",
IF(OR(AND(AN$5&gt;0,AN$5&gt;100),AND(AN$5&gt;0,AN$5&lt;100)),
VLOOKUP(FLOOR((Midterm!AN13/AN$5)*100,1),new_transmute,3,FALSE),
VLOOKUP(Midterm!AN13,new_transmute,3,FALSE)
),
IF(Info!$B$4="Board program (Medicine)",
IF(OR(AND(AN$5&gt;0,AN$5&gt;100),AND(AN$5&gt;0,AN$5&lt;100)),
VLOOKUP(FLOOR((Midterm!AN13/AN$5)*100,1),new_transmute,4,FALSE),
VLOOKUP(Midterm!AN13,new_transmute,4,FALSE)
),
""
)
)
)
)
)
)
)
)
))</f>
        <v/>
      </c>
      <c r="AO13" s="14" t="str">
        <f>IF($B13="","",
IF(AO$5="","",
IF(Midterm!AO13="",0,
IF(NOT(ISNUMBER(Midterm!AO13)),"NAN",
IF(Midterm!AO13&lt;0,"NEG",
IF(Midterm!AO13&gt;AO$5,"OVER",
IF(AND(AO$5&lt;=100,Midterm!AO13&gt;100),"ERR",
IF(Info!$B$4="Non-board program",
IF(OR(AND(AO$5&gt;0,AO$5&gt;100),AND(AO$5&gt;0,AO$5&lt;100)),
VLOOKUP(FLOOR((Midterm!AO13/AO$5)*100,1),new_transmute,2,FALSE),
VLOOKUP(Midterm!AO13,new_transmute,2,FALSE)
),
IF(Info!$B$4="Board program",
IF(OR(AND(AO$5&gt;0,AO$5&gt;100),AND(AO$5&gt;0,AO$5&lt;100)),
VLOOKUP(FLOOR((Midterm!AO13/AO$5)*100,1),new_transmute,3,FALSE),
VLOOKUP(Midterm!AO13,new_transmute,3,FALSE)
),
IF(Info!$B$4="Board program (Medicine)",
IF(OR(AND(AO$5&gt;0,AO$5&gt;100),AND(AO$5&gt;0,AO$5&lt;100)),
VLOOKUP(FLOOR((Midterm!AO13/AO$5)*100,1),new_transmute,4,FALSE),
VLOOKUP(Midterm!AO13,new_transmute,4,FALSE)
),
""
)
)
)
)
)
)
)
)
))</f>
        <v/>
      </c>
      <c r="AP13" s="14" t="str">
        <f>IF($B13="","",
IF(AP$5="","",
IF(Midterm!AP13="",0,
IF(NOT(ISNUMBER(Midterm!AP13)),"NAN",
IF(Midterm!AP13&lt;0,"NEG",
IF(Midterm!AP13&gt;AP$5,"OVER",
IF(AND(AP$5&lt;=100,Midterm!AP13&gt;100),"ERR",
IF(Info!$B$4="Non-board program",
IF(OR(AND(AP$5&gt;0,AP$5&gt;100),AND(AP$5&gt;0,AP$5&lt;100)),
VLOOKUP(FLOOR((Midterm!AP13/AP$5)*100,1),new_transmute,2,FALSE),
VLOOKUP(Midterm!AP13,new_transmute,2,FALSE)
),
IF(Info!$B$4="Board program",
IF(OR(AND(AP$5&gt;0,AP$5&gt;100),AND(AP$5&gt;0,AP$5&lt;100)),
VLOOKUP(FLOOR((Midterm!AP13/AP$5)*100,1),new_transmute,3,FALSE),
VLOOKUP(Midterm!AP13,new_transmute,3,FALSE)
),
IF(Info!$B$4="Board program (Medicine)",
IF(OR(AND(AP$5&gt;0,AP$5&gt;100),AND(AP$5&gt;0,AP$5&lt;100)),
VLOOKUP(FLOOR((Midterm!AP13/AP$5)*100,1),new_transmute,4,FALSE),
VLOOKUP(Midterm!AP13,new_transmute,4,FALSE)
),
""
)
)
)
)
)
)
)
)
))</f>
        <v/>
      </c>
      <c r="AQ13" s="61" t="str">
        <f t="shared" si="7"/>
        <v/>
      </c>
      <c r="AR13" s="48" t="str">
        <f>IF(Midterm!AR13="","",Midterm!AR13)</f>
        <v/>
      </c>
      <c r="AS13" s="165" t="str">
        <f t="shared" si="8"/>
        <v/>
      </c>
      <c r="AT13" s="14" t="str">
        <f t="shared" si="0"/>
        <v/>
      </c>
      <c r="AU13" s="14" t="str">
        <f>IF(B13="","",VLOOKUP(AT13,'New Grade Equivalent'!$B$3:$C$47,2,FALSE))</f>
        <v/>
      </c>
    </row>
    <row r="14" spans="1:47" x14ac:dyDescent="0.25">
      <c r="A14" s="8">
        <v>9</v>
      </c>
      <c r="B14" s="2" t="str">
        <f>IF('Student List'!C18="","",UPPER(LEFT('Student List'!C18,FIND(",",'Student List'!C18)-1)))</f>
        <v/>
      </c>
      <c r="C14" s="12" t="str">
        <f>IF('Student List'!C18="","",PROPER(MID('Student List'!C18, FIND(",", 'Student List'!C18) + 2, LEN('Student List'!C18) - FIND(",", 'Student List'!C18) - 1)))</f>
        <v/>
      </c>
      <c r="D14" s="127" t="str">
        <f>IF(B14="","",IF(Midterm!D14="", "NA", Midterm!D14))</f>
        <v/>
      </c>
      <c r="E14" s="8" t="str">
        <f>IF(B14="","",
  IF(Info!$B$5="First Year",
    IF(D14="Yes", "DRP",
      IF(D14="No", "WF", "")
    )
  )
)</f>
        <v/>
      </c>
      <c r="F14" s="14" t="str">
        <f>IF($B14="","",
IF(F$5="","",
IF(Midterm!F14="",0,
IF(NOT(ISNUMBER(Midterm!F14)),"NAN",
IF(Midterm!F14&lt;0,"NEG",
IF(Midterm!F14&gt;F$5,"OVER",
IF(AND(F$5&lt;=100,Midterm!F14&gt;100),"ERR",
IF(Info!$B$4="Non-board program",
IF(OR(AND(F$5&gt;0,F$5&gt;100),AND(F$5&gt;0,F$5&lt;100)),
VLOOKUP(FLOOR((Midterm!F14/F$5)*100,1),new_transmute,2,FALSE),
VLOOKUP(Midterm!F14,new_transmute,2,FALSE)
),
IF(Info!$B$4="Board program",
IF(OR(AND(F$5&gt;0,F$5&gt;100),AND(F$5&gt;0,F$5&lt;100)),
VLOOKUP(FLOOR((Midterm!F14/F$5)*100,1),new_transmute,3,FALSE),
VLOOKUP(Midterm!F14,new_transmute,3,FALSE)
),
IF(Info!$B$4="Board program (Medicine)",
IF(OR(AND(F$5&gt;0,F$5&gt;100),AND(F$5&gt;0,F$5&lt;100)),
VLOOKUP(FLOOR((Midterm!F14/F$5)*100,1),new_transmute,4,FALSE),
VLOOKUP(Midterm!F14,new_transmute,4,FALSE)
),
""
)
)
)
)
)
)
)
)
))</f>
        <v/>
      </c>
      <c r="G14" s="57" t="str">
        <f t="shared" si="1"/>
        <v/>
      </c>
      <c r="H14" s="14" t="str">
        <f>IF($B14="","",
IF(H$5="","",
IF(Midterm!H14="",0,
IF(NOT(ISNUMBER(Midterm!H14)),"NAN",
IF(Midterm!H14&lt;0,"NEG",
IF(Midterm!H14&gt;H$5,"OVER",
IF(AND(H$5&lt;=100,Midterm!H14&gt;100),"ERR",
IF(Info!$B$4="Non-board program",
IF(OR(AND(H$5&gt;0,H$5&gt;100),AND(H$5&gt;0,H$5&lt;100)),
VLOOKUP(FLOOR((Midterm!H14/H$5)*100,1),new_transmute,2,FALSE),
VLOOKUP(Midterm!H14,new_transmute,2,FALSE)
),
IF(Info!$B$4="Board program",
IF(OR(AND(H$5&gt;0,H$5&gt;100),AND(H$5&gt;0,H$5&lt;100)),
VLOOKUP(FLOOR((Midterm!H14/H$5)*100,1),new_transmute,3,FALSE),
VLOOKUP(Midterm!H14,new_transmute,3,FALSE)
),
IF(Info!$B$4="Board program (Medicine)",
IF(OR(AND(H$5&gt;0,H$5&gt;100),AND(H$5&gt;0,H$5&lt;100)),
VLOOKUP(FLOOR((Midterm!H14/H$5)*100,1),new_transmute,4,FALSE),
VLOOKUP(Midterm!H14,new_transmute,4,FALSE)
),
""
)
)
)
)
)
)
)
)
))</f>
        <v/>
      </c>
      <c r="I14" s="14" t="str">
        <f>IF($B14="","",
IF(I$5="","",
IF(Midterm!I14="",0,
IF(NOT(ISNUMBER(Midterm!I14)),"NAN",
IF(Midterm!I14&lt;0,"NEG",
IF(Midterm!I14&gt;I$5,"OVER",
IF(AND(I$5&lt;=100,Midterm!I14&gt;100),"ERR",
IF(Info!$B$4="Non-board program",
IF(OR(AND(I$5&gt;0,I$5&gt;100),AND(I$5&gt;0,I$5&lt;100)),
VLOOKUP(FLOOR((Midterm!I14/I$5)*100,1),new_transmute,2,FALSE),
VLOOKUP(Midterm!I14,new_transmute,2,FALSE)
),
IF(Info!$B$4="Board program",
IF(OR(AND(I$5&gt;0,I$5&gt;100),AND(I$5&gt;0,I$5&lt;100)),
VLOOKUP(FLOOR((Midterm!I14/I$5)*100,1),new_transmute,3,FALSE),
VLOOKUP(Midterm!I14,new_transmute,3,FALSE)
),
IF(Info!$B$4="Board program (Medicine)",
IF(OR(AND(I$5&gt;0,I$5&gt;100),AND(I$5&gt;0,I$5&lt;100)),
VLOOKUP(FLOOR((Midterm!I14/I$5)*100,1),new_transmute,4,FALSE),
VLOOKUP(Midterm!I14,new_transmute,4,FALSE)
),
""
)
)
)
)
)
)
)
)
))</f>
        <v/>
      </c>
      <c r="J14" s="14" t="str">
        <f>IF($B14="","",
IF(J$5="","",
IF(Midterm!J14="",0,
IF(NOT(ISNUMBER(Midterm!J14)),"NAN",
IF(Midterm!J14&lt;0,"NEG",
IF(Midterm!J14&gt;J$5,"OVER",
IF(AND(J$5&lt;=100,Midterm!J14&gt;100),"ERR",
IF(Info!$B$4="Non-board program",
IF(OR(AND(J$5&gt;0,J$5&gt;100),AND(J$5&gt;0,J$5&lt;100)),
VLOOKUP(FLOOR((Midterm!J14/J$5)*100,1),new_transmute,2,FALSE),
VLOOKUP(Midterm!J14,new_transmute,2,FALSE)
),
IF(Info!$B$4="Board program",
IF(OR(AND(J$5&gt;0,J$5&gt;100),AND(J$5&gt;0,J$5&lt;100)),
VLOOKUP(FLOOR((Midterm!J14/J$5)*100,1),new_transmute,3,FALSE),
VLOOKUP(Midterm!J14,new_transmute,3,FALSE)
),
IF(Info!$B$4="Board program (Medicine)",
IF(OR(AND(J$5&gt;0,J$5&gt;100),AND(J$5&gt;0,J$5&lt;100)),
VLOOKUP(FLOOR((Midterm!J14/J$5)*100,1),new_transmute,4,FALSE),
VLOOKUP(Midterm!J14,new_transmute,4,FALSE)
),
""
)
)
)
)
)
)
)
)
))</f>
        <v/>
      </c>
      <c r="K14" s="14" t="str">
        <f>IF($B14="","",
IF(K$5="","",
IF(Midterm!K14="",0,
IF(NOT(ISNUMBER(Midterm!K14)),"NAN",
IF(Midterm!K14&lt;0,"NEG",
IF(Midterm!K14&gt;K$5,"OVER",
IF(AND(K$5&lt;=100,Midterm!K14&gt;100),"ERR",
IF(Info!$B$4="Non-board program",
IF(OR(AND(K$5&gt;0,K$5&gt;100),AND(K$5&gt;0,K$5&lt;100)),
VLOOKUP(FLOOR((Midterm!K14/K$5)*100,1),new_transmute,2,FALSE),
VLOOKUP(Midterm!K14,new_transmute,2,FALSE)
),
IF(Info!$B$4="Board program",
IF(OR(AND(K$5&gt;0,K$5&gt;100),AND(K$5&gt;0,K$5&lt;100)),
VLOOKUP(FLOOR((Midterm!K14/K$5)*100,1),new_transmute,3,FALSE),
VLOOKUP(Midterm!K14,new_transmute,3,FALSE)
),
IF(Info!$B$4="Board program (Medicine)",
IF(OR(AND(K$5&gt;0,K$5&gt;100),AND(K$5&gt;0,K$5&lt;100)),
VLOOKUP(FLOOR((Midterm!K14/K$5)*100,1),new_transmute,4,FALSE),
VLOOKUP(Midterm!K14,new_transmute,4,FALSE)
),
""
)
)
)
)
)
)
)
)
))</f>
        <v/>
      </c>
      <c r="L14" s="14" t="str">
        <f>IF($B14="","",
IF(L$5="","",
IF(Midterm!L14="",0,
IF(NOT(ISNUMBER(Midterm!L14)),"NAN",
IF(Midterm!L14&lt;0,"NEG",
IF(Midterm!L14&gt;L$5,"OVER",
IF(AND(L$5&lt;=100,Midterm!L14&gt;100),"ERR",
IF(Info!$B$4="Non-board program",
IF(OR(AND(L$5&gt;0,L$5&gt;100),AND(L$5&gt;0,L$5&lt;100)),
VLOOKUP(FLOOR((Midterm!L14/L$5)*100,1),new_transmute,2,FALSE),
VLOOKUP(Midterm!L14,new_transmute,2,FALSE)
),
IF(Info!$B$4="Board program",
IF(OR(AND(L$5&gt;0,L$5&gt;100),AND(L$5&gt;0,L$5&lt;100)),
VLOOKUP(FLOOR((Midterm!L14/L$5)*100,1),new_transmute,3,FALSE),
VLOOKUP(Midterm!L14,new_transmute,3,FALSE)
),
IF(Info!$B$4="Board program (Medicine)",
IF(OR(AND(L$5&gt;0,L$5&gt;100),AND(L$5&gt;0,L$5&lt;100)),
VLOOKUP(FLOOR((Midterm!L14/L$5)*100,1),new_transmute,4,FALSE),
VLOOKUP(Midterm!L14,new_transmute,4,FALSE)
),
""
)
)
)
)
)
)
)
)
))</f>
        <v/>
      </c>
      <c r="M14" s="111" t="str">
        <f t="shared" si="2"/>
        <v/>
      </c>
      <c r="N14" s="14" t="str">
        <f>IF($B14="","",
IF(N$5="","",
IF(Midterm!N14="",0,
IF(NOT(ISNUMBER(Midterm!N14)),"NAN",
IF(Midterm!N14&lt;0,"NEG",
IF(Midterm!N14&gt;N$5,"OVER",
IF(AND(N$5&lt;=100,Midterm!N14&gt;100),"ERR",
IF(Info!$B$4="Non-board program",
IF(OR(AND(N$5&gt;0,N$5&gt;100),AND(N$5&gt;0,N$5&lt;100)),
VLOOKUP(FLOOR((Midterm!N14/N$5)*100,1),new_transmute,2,FALSE),
VLOOKUP(Midterm!N14,new_transmute,2,FALSE)
),
IF(Info!$B$4="Board program",
IF(OR(AND(N$5&gt;0,N$5&gt;100),AND(N$5&gt;0,N$5&lt;100)),
VLOOKUP(FLOOR((Midterm!N14/N$5)*100,1),new_transmute,3,FALSE),
VLOOKUP(Midterm!N14,new_transmute,3,FALSE)
),
IF(Info!$B$4="Board program (Medicine)",
IF(OR(AND(N$5&gt;0,N$5&gt;100),AND(N$5&gt;0,N$5&lt;100)),
VLOOKUP(FLOOR((Midterm!N14/N$5)*100,1),new_transmute,4,FALSE),
VLOOKUP(Midterm!N14,new_transmute,4,FALSE)
),
""
)
)
)
)
)
)
)
)
))</f>
        <v/>
      </c>
      <c r="O14" s="14" t="str">
        <f>IF($B14="","",
IF(O$5="","",
IF(Midterm!O14="",0,
IF(NOT(ISNUMBER(Midterm!O14)),"NAN",
IF(Midterm!O14&lt;0,"NEG",
IF(Midterm!O14&gt;O$5,"OVER",
IF(AND(O$5&lt;=100,Midterm!O14&gt;100),"ERR",
IF(Info!$B$4="Non-board program",
IF(OR(AND(O$5&gt;0,O$5&gt;100),AND(O$5&gt;0,O$5&lt;100)),
VLOOKUP(FLOOR((Midterm!O14/O$5)*100,1),new_transmute,2,FALSE),
VLOOKUP(Midterm!O14,new_transmute,2,FALSE)
),
IF(Info!$B$4="Board program",
IF(OR(AND(O$5&gt;0,O$5&gt;100),AND(O$5&gt;0,O$5&lt;100)),
VLOOKUP(FLOOR((Midterm!O14/O$5)*100,1),new_transmute,3,FALSE),
VLOOKUP(Midterm!O14,new_transmute,3,FALSE)
),
IF(Info!$B$4="Board program (Medicine)",
IF(OR(AND(O$5&gt;0,O$5&gt;100),AND(O$5&gt;0,O$5&lt;100)),
VLOOKUP(FLOOR((Midterm!O14/O$5)*100,1),new_transmute,4,FALSE),
VLOOKUP(Midterm!O14,new_transmute,4,FALSE)
),
""
)
)
)
)
)
)
)
)
))</f>
        <v/>
      </c>
      <c r="P14" s="14" t="str">
        <f>IF($B14="","",
IF(P$5="","",
IF(Midterm!P14="",0,
IF(NOT(ISNUMBER(Midterm!P14)),"NAN",
IF(Midterm!P14&lt;0,"NEG",
IF(Midterm!P14&gt;P$5,"OVER",
IF(AND(P$5&lt;=100,Midterm!P14&gt;100),"ERR",
IF(Info!$B$4="Non-board program",
IF(OR(AND(P$5&gt;0,P$5&gt;100),AND(P$5&gt;0,P$5&lt;100)),
VLOOKUP(FLOOR((Midterm!P14/P$5)*100,1),new_transmute,2,FALSE),
VLOOKUP(Midterm!P14,new_transmute,2,FALSE)
),
IF(Info!$B$4="Board program",
IF(OR(AND(P$5&gt;0,P$5&gt;100),AND(P$5&gt;0,P$5&lt;100)),
VLOOKUP(FLOOR((Midterm!P14/P$5)*100,1),new_transmute,3,FALSE),
VLOOKUP(Midterm!P14,new_transmute,3,FALSE)
),
IF(Info!$B$4="Board program (Medicine)",
IF(OR(AND(P$5&gt;0,P$5&gt;100),AND(P$5&gt;0,P$5&lt;100)),
VLOOKUP(FLOOR((Midterm!P14/P$5)*100,1),new_transmute,4,FALSE),
VLOOKUP(Midterm!P14,new_transmute,4,FALSE)
),
""
)
)
)
)
)
)
)
)
))</f>
        <v/>
      </c>
      <c r="Q14" s="14" t="str">
        <f>IF($B14="","",
IF(Q$5="","",
IF(Midterm!Q14="",0,
IF(NOT(ISNUMBER(Midterm!Q14)),"NAN",
IF(Midterm!Q14&lt;0,"NEG",
IF(Midterm!Q14&gt;Q$5,"OVER",
IF(AND(Q$5&lt;=100,Midterm!Q14&gt;100),"ERR",
IF(Info!$B$4="Non-board program",
IF(OR(AND(Q$5&gt;0,Q$5&gt;100),AND(Q$5&gt;0,Q$5&lt;100)),
VLOOKUP(FLOOR((Midterm!Q14/Q$5)*100,1),new_transmute,2,FALSE),
VLOOKUP(Midterm!Q14,new_transmute,2,FALSE)
),
IF(Info!$B$4="Board program",
IF(OR(AND(Q$5&gt;0,Q$5&gt;100),AND(Q$5&gt;0,Q$5&lt;100)),
VLOOKUP(FLOOR((Midterm!Q14/Q$5)*100,1),new_transmute,3,FALSE),
VLOOKUP(Midterm!Q14,new_transmute,3,FALSE)
),
IF(Info!$B$4="Board program (Medicine)",
IF(OR(AND(Q$5&gt;0,Q$5&gt;100),AND(Q$5&gt;0,Q$5&lt;100)),
VLOOKUP(FLOOR((Midterm!Q14/Q$5)*100,1),new_transmute,4,FALSE),
VLOOKUP(Midterm!Q14,new_transmute,4,FALSE)
),
""
)
)
)
)
)
)
)
)
))</f>
        <v/>
      </c>
      <c r="R14" s="14" t="str">
        <f>IF($B14="","",
IF(R$5="","",
IF(Midterm!R14="",0,
IF(NOT(ISNUMBER(Midterm!R14)),"NAN",
IF(Midterm!R14&lt;0,"NEG",
IF(Midterm!R14&gt;R$5,"OVER",
IF(AND(R$5&lt;=100,Midterm!R14&gt;100),"ERR",
IF(Info!$B$4="Non-board program",
IF(OR(AND(R$5&gt;0,R$5&gt;100),AND(R$5&gt;0,R$5&lt;100)),
VLOOKUP(FLOOR((Midterm!R14/R$5)*100,1),new_transmute,2,FALSE),
VLOOKUP(Midterm!R14,new_transmute,2,FALSE)
),
IF(Info!$B$4="Board program",
IF(OR(AND(R$5&gt;0,R$5&gt;100),AND(R$5&gt;0,R$5&lt;100)),
VLOOKUP(FLOOR((Midterm!R14/R$5)*100,1),new_transmute,3,FALSE),
VLOOKUP(Midterm!R14,new_transmute,3,FALSE)
),
IF(Info!$B$4="Board program (Medicine)",
IF(OR(AND(R$5&gt;0,R$5&gt;100),AND(R$5&gt;0,R$5&lt;100)),
VLOOKUP(FLOOR((Midterm!R14/R$5)*100,1),new_transmute,4,FALSE),
VLOOKUP(Midterm!R14,new_transmute,4,FALSE)
),
""
)
)
)
)
)
)
)
)
))</f>
        <v/>
      </c>
      <c r="S14" s="115" t="str">
        <f t="shared" si="3"/>
        <v/>
      </c>
      <c r="T14" s="14" t="str">
        <f>IF($B14="","",
IF(T$5="","",
IF(Midterm!T14="",0,
IF(NOT(ISNUMBER(Midterm!T14)),"NAN",
IF(Midterm!T14&lt;0,"NEG",
IF(Midterm!T14&gt;T$5,"OVER",
IF(AND(T$5&lt;=100,Midterm!T14&gt;100),"ERR",
IF(Info!$B$4="Non-board program",
IF(OR(AND(T$5&gt;0,T$5&gt;100),AND(T$5&gt;0,T$5&lt;100)),
VLOOKUP(FLOOR((Midterm!T14/T$5)*100,1),new_transmute,2,FALSE),
VLOOKUP(Midterm!T14,new_transmute,2,FALSE)
),
IF(Info!$B$4="Board program",
IF(OR(AND(T$5&gt;0,T$5&gt;100),AND(T$5&gt;0,T$5&lt;100)),
VLOOKUP(FLOOR((Midterm!T14/T$5)*100,1),new_transmute,3,FALSE),
VLOOKUP(Midterm!T14,new_transmute,3,FALSE)
),
IF(Info!$B$4="Board program (Medicine)",
IF(OR(AND(T$5&gt;0,T$5&gt;100),AND(T$5&gt;0,T$5&lt;100)),
VLOOKUP(FLOOR((Midterm!T14/T$5)*100,1),new_transmute,4,FALSE),
VLOOKUP(Midterm!T14,new_transmute,4,FALSE)
),
""
)
)
)
)
)
)
)
)
))</f>
        <v/>
      </c>
      <c r="U14" s="14" t="str">
        <f>IF($B14="","",
IF(U$5="","",
IF(Midterm!U14="",0,
IF(NOT(ISNUMBER(Midterm!U14)),"NAN",
IF(Midterm!U14&lt;0,"NEG",
IF(Midterm!U14&gt;U$5,"OVER",
IF(AND(U$5&lt;=100,Midterm!U14&gt;100),"ERR",
IF(Info!$B$4="Non-board program",
IF(OR(AND(U$5&gt;0,U$5&gt;100),AND(U$5&gt;0,U$5&lt;100)),
VLOOKUP(FLOOR((Midterm!U14/U$5)*100,1),new_transmute,2,FALSE),
VLOOKUP(Midterm!U14,new_transmute,2,FALSE)
),
IF(Info!$B$4="Board program",
IF(OR(AND(U$5&gt;0,U$5&gt;100),AND(U$5&gt;0,U$5&lt;100)),
VLOOKUP(FLOOR((Midterm!U14/U$5)*100,1),new_transmute,3,FALSE),
VLOOKUP(Midterm!U14,new_transmute,3,FALSE)
),
IF(Info!$B$4="Board program (Medicine)",
IF(OR(AND(U$5&gt;0,U$5&gt;100),AND(U$5&gt;0,U$5&lt;100)),
VLOOKUP(FLOOR((Midterm!U14/U$5)*100,1),new_transmute,4,FALSE),
VLOOKUP(Midterm!U14,new_transmute,4,FALSE)
),
""
)
)
)
)
)
)
)
)
))</f>
        <v/>
      </c>
      <c r="V14" s="14" t="str">
        <f>IF($B14="","",
IF(V$5="","",
IF(Midterm!V14="",0,
IF(NOT(ISNUMBER(Midterm!V14)),"NAN",
IF(Midterm!V14&lt;0,"NEG",
IF(Midterm!V14&gt;V$5,"OVER",
IF(AND(V$5&lt;=100,Midterm!V14&gt;100),"ERR",
IF(Info!$B$4="Non-board program",
IF(OR(AND(V$5&gt;0,V$5&gt;100),AND(V$5&gt;0,V$5&lt;100)),
VLOOKUP(FLOOR((Midterm!V14/V$5)*100,1),new_transmute,2,FALSE),
VLOOKUP(Midterm!V14,new_transmute,2,FALSE)
),
IF(Info!$B$4="Board program",
IF(OR(AND(V$5&gt;0,V$5&gt;100),AND(V$5&gt;0,V$5&lt;100)),
VLOOKUP(FLOOR((Midterm!V14/V$5)*100,1),new_transmute,3,FALSE),
VLOOKUP(Midterm!V14,new_transmute,3,FALSE)
),
IF(Info!$B$4="Board program (Medicine)",
IF(OR(AND(V$5&gt;0,V$5&gt;100),AND(V$5&gt;0,V$5&lt;100)),
VLOOKUP(FLOOR((Midterm!V14/V$5)*100,1),new_transmute,4,FALSE),
VLOOKUP(Midterm!V14,new_transmute,4,FALSE)
),
""
)
)
)
)
)
)
)
)
))</f>
        <v/>
      </c>
      <c r="W14" s="14" t="str">
        <f>IF($B14="","",
IF(W$5="","",
IF(Midterm!W14="",0,
IF(NOT(ISNUMBER(Midterm!W14)),"NAN",
IF(Midterm!W14&lt;0,"NEG",
IF(Midterm!W14&gt;W$5,"OVER",
IF(AND(W$5&lt;=100,Midterm!W14&gt;100),"ERR",
IF(Info!$B$4="Non-board program",
IF(OR(AND(W$5&gt;0,W$5&gt;100),AND(W$5&gt;0,W$5&lt;100)),
VLOOKUP(FLOOR((Midterm!W14/W$5)*100,1),new_transmute,2,FALSE),
VLOOKUP(Midterm!W14,new_transmute,2,FALSE)
),
IF(Info!$B$4="Board program",
IF(OR(AND(W$5&gt;0,W$5&gt;100),AND(W$5&gt;0,W$5&lt;100)),
VLOOKUP(FLOOR((Midterm!W14/W$5)*100,1),new_transmute,3,FALSE),
VLOOKUP(Midterm!W14,new_transmute,3,FALSE)
),
IF(Info!$B$4="Board program (Medicine)",
IF(OR(AND(W$5&gt;0,W$5&gt;100),AND(W$5&gt;0,W$5&lt;100)),
VLOOKUP(FLOOR((Midterm!W14/W$5)*100,1),new_transmute,4,FALSE),
VLOOKUP(Midterm!W14,new_transmute,4,FALSE)
),
""
)
)
)
)
)
)
)
)
))</f>
        <v/>
      </c>
      <c r="X14" s="14" t="str">
        <f>IF($B14="","",
IF(X$5="","",
IF(Midterm!X14="",0,
IF(NOT(ISNUMBER(Midterm!X14)),"NAN",
IF(Midterm!X14&lt;0,"NEG",
IF(Midterm!X14&gt;X$5,"OVER",
IF(AND(X$5&lt;=100,Midterm!X14&gt;100),"ERR",
IF(Info!$B$4="Non-board program",
IF(OR(AND(X$5&gt;0,X$5&gt;100),AND(X$5&gt;0,X$5&lt;100)),
VLOOKUP(FLOOR((Midterm!X14/X$5)*100,1),new_transmute,2,FALSE),
VLOOKUP(Midterm!X14,new_transmute,2,FALSE)
),
IF(Info!$B$4="Board program",
IF(OR(AND(X$5&gt;0,X$5&gt;100),AND(X$5&gt;0,X$5&lt;100)),
VLOOKUP(FLOOR((Midterm!X14/X$5)*100,1),new_transmute,3,FALSE),
VLOOKUP(Midterm!X14,new_transmute,3,FALSE)
),
IF(Info!$B$4="Board program (Medicine)",
IF(OR(AND(X$5&gt;0,X$5&gt;100),AND(X$5&gt;0,X$5&lt;100)),
VLOOKUP(FLOOR((Midterm!X14/X$5)*100,1),new_transmute,4,FALSE),
VLOOKUP(Midterm!X14,new_transmute,4,FALSE)
),
""
)
)
)
)
)
)
)
)
))</f>
        <v/>
      </c>
      <c r="Y14" s="112" t="str">
        <f t="shared" si="4"/>
        <v/>
      </c>
      <c r="Z14" s="14" t="str">
        <f>IF($B14="","",
IF(Z$5="","",
IF(Midterm!Z14="",0,
IF(NOT(ISNUMBER(Midterm!Z14)),"NAN",
IF(Midterm!Z14&lt;0,"NEG",
IF(Midterm!Z14&gt;Z$5,"OVER",
IF(AND(Z$5&lt;=100,Midterm!Z14&gt;100),"ERR",
IF(Info!$B$4="Non-board program",
IF(OR(AND(Z$5&gt;0,Z$5&gt;100),AND(Z$5&gt;0,Z$5&lt;100)),
VLOOKUP(FLOOR((Midterm!Z14/Z$5)*100,1),new_transmute,2,FALSE),
VLOOKUP(Midterm!Z14,new_transmute,2,FALSE)
),
IF(Info!$B$4="Board program",
IF(OR(AND(Z$5&gt;0,Z$5&gt;100),AND(Z$5&gt;0,Z$5&lt;100)),
VLOOKUP(FLOOR((Midterm!Z14/Z$5)*100,1),new_transmute,3,FALSE),
VLOOKUP(Midterm!Z14,new_transmute,3,FALSE)
),
IF(Info!$B$4="Board program (Medicine)",
IF(OR(AND(Z$5&gt;0,Z$5&gt;100),AND(Z$5&gt;0,Z$5&lt;100)),
VLOOKUP(FLOOR((Midterm!Z14/Z$5)*100,1),new_transmute,4,FALSE),
VLOOKUP(Midterm!Z14,new_transmute,4,FALSE)
),
""
)
)
)
)
)
)
)
)
))</f>
        <v/>
      </c>
      <c r="AA14" s="14" t="str">
        <f>IF($B14="","",
IF(AA$5="","",
IF(Midterm!AA14="",0,
IF(NOT(ISNUMBER(Midterm!AA14)),"NAN",
IF(Midterm!AA14&lt;0,"NEG",
IF(Midterm!AA14&gt;AA$5,"OVER",
IF(AND(AA$5&lt;=100,Midterm!AA14&gt;100),"ERR",
IF(Info!$B$4="Non-board program",
IF(OR(AND(AA$5&gt;0,AA$5&gt;100),AND(AA$5&gt;0,AA$5&lt;100)),
VLOOKUP(FLOOR((Midterm!AA14/AA$5)*100,1),new_transmute,2,FALSE),
VLOOKUP(Midterm!AA14,new_transmute,2,FALSE)
),
IF(Info!$B$4="Board program",
IF(OR(AND(AA$5&gt;0,AA$5&gt;100),AND(AA$5&gt;0,AA$5&lt;100)),
VLOOKUP(FLOOR((Midterm!AA14/AA$5)*100,1),new_transmute,3,FALSE),
VLOOKUP(Midterm!AA14,new_transmute,3,FALSE)
),
IF(Info!$B$4="Board program (Medicine)",
IF(OR(AND(AA$5&gt;0,AA$5&gt;100),AND(AA$5&gt;0,AA$5&lt;100)),
VLOOKUP(FLOOR((Midterm!AA14/AA$5)*100,1),new_transmute,4,FALSE),
VLOOKUP(Midterm!AA14,new_transmute,4,FALSE)
),
""
)
)
)
)
)
)
)
)
))</f>
        <v/>
      </c>
      <c r="AB14" s="14" t="str">
        <f>IF($B14="","",
IF(AB$5="","",
IF(Midterm!AB14="",0,
IF(NOT(ISNUMBER(Midterm!AB14)),"NAN",
IF(Midterm!AB14&lt;0,"NEG",
IF(Midterm!AB14&gt;AB$5,"OVER",
IF(AND(AB$5&lt;=100,Midterm!AB14&gt;100),"ERR",
IF(Info!$B$4="Non-board program",
IF(OR(AND(AB$5&gt;0,AB$5&gt;100),AND(AB$5&gt;0,AB$5&lt;100)),
VLOOKUP(FLOOR((Midterm!AB14/AB$5)*100,1),new_transmute,2,FALSE),
VLOOKUP(Midterm!AB14,new_transmute,2,FALSE)
),
IF(Info!$B$4="Board program",
IF(OR(AND(AB$5&gt;0,AB$5&gt;100),AND(AB$5&gt;0,AB$5&lt;100)),
VLOOKUP(FLOOR((Midterm!AB14/AB$5)*100,1),new_transmute,3,FALSE),
VLOOKUP(Midterm!AB14,new_transmute,3,FALSE)
),
IF(Info!$B$4="Board program (Medicine)",
IF(OR(AND(AB$5&gt;0,AB$5&gt;100),AND(AB$5&gt;0,AB$5&lt;100)),
VLOOKUP(FLOOR((Midterm!AB14/AB$5)*100,1),new_transmute,4,FALSE),
VLOOKUP(Midterm!AB14,new_transmute,4,FALSE)
),
""
)
)
)
)
)
)
)
)
))</f>
        <v/>
      </c>
      <c r="AC14" s="14" t="str">
        <f>IF($B14="","",
IF(AC$5="","",
IF(Midterm!AC14="",0,
IF(NOT(ISNUMBER(Midterm!AC14)),"NAN",
IF(Midterm!AC14&lt;0,"NEG",
IF(Midterm!AC14&gt;AC$5,"OVER",
IF(AND(AC$5&lt;=100,Midterm!AC14&gt;100),"ERR",
IF(Info!$B$4="Non-board program",
IF(OR(AND(AC$5&gt;0,AC$5&gt;100),AND(AC$5&gt;0,AC$5&lt;100)),
VLOOKUP(FLOOR((Midterm!AC14/AC$5)*100,1),new_transmute,2,FALSE),
VLOOKUP(Midterm!AC14,new_transmute,2,FALSE)
),
IF(Info!$B$4="Board program",
IF(OR(AND(AC$5&gt;0,AC$5&gt;100),AND(AC$5&gt;0,AC$5&lt;100)),
VLOOKUP(FLOOR((Midterm!AC14/AC$5)*100,1),new_transmute,3,FALSE),
VLOOKUP(Midterm!AC14,new_transmute,3,FALSE)
),
IF(Info!$B$4="Board program (Medicine)",
IF(OR(AND(AC$5&gt;0,AC$5&gt;100),AND(AC$5&gt;0,AC$5&lt;100)),
VLOOKUP(FLOOR((Midterm!AC14/AC$5)*100,1),new_transmute,4,FALSE),
VLOOKUP(Midterm!AC14,new_transmute,4,FALSE)
),
""
)
)
)
)
)
)
)
)
))</f>
        <v/>
      </c>
      <c r="AD14" s="14" t="str">
        <f>IF($B14="","",
IF(AD$5="","",
IF(Midterm!AD14="",0,
IF(NOT(ISNUMBER(Midterm!AD14)),"NAN",
IF(Midterm!AD14&lt;0,"NEG",
IF(Midterm!AD14&gt;AD$5,"OVER",
IF(AND(AD$5&lt;=100,Midterm!AD14&gt;100),"ERR",
IF(Info!$B$4="Non-board program",
IF(OR(AND(AD$5&gt;0,AD$5&gt;100),AND(AD$5&gt;0,AD$5&lt;100)),
VLOOKUP(FLOOR((Midterm!AD14/AD$5)*100,1),new_transmute,2,FALSE),
VLOOKUP(Midterm!AD14,new_transmute,2,FALSE)
),
IF(Info!$B$4="Board program",
IF(OR(AND(AD$5&gt;0,AD$5&gt;100),AND(AD$5&gt;0,AD$5&lt;100)),
VLOOKUP(FLOOR((Midterm!AD14/AD$5)*100,1),new_transmute,3,FALSE),
VLOOKUP(Midterm!AD14,new_transmute,3,FALSE)
),
IF(Info!$B$4="Board program (Medicine)",
IF(OR(AND(AD$5&gt;0,AD$5&gt;100),AND(AD$5&gt;0,AD$5&lt;100)),
VLOOKUP(FLOOR((Midterm!AD14/AD$5)*100,1),new_transmute,4,FALSE),
VLOOKUP(Midterm!AD14,new_transmute,4,FALSE)
),
""
)
)
)
)
)
)
)
)
))</f>
        <v/>
      </c>
      <c r="AE14" s="58" t="str">
        <f t="shared" si="5"/>
        <v/>
      </c>
      <c r="AF14" s="14" t="str">
        <f>IF($B14="","",
IF(AF$5="","",
IF(Midterm!AF14="",0,
IF(NOT(ISNUMBER(Midterm!AF14)),"NAN",
IF(Midterm!AF14&lt;0,"NEG",
IF(Midterm!AF14&gt;AF$5,"OVER",
IF(AND(AF$5&lt;=100,Midterm!AF14&gt;100),"ERR",
IF(Info!$B$4="Non-board program",
IF(OR(AND(AF$5&gt;0,AF$5&gt;100),AND(AF$5&gt;0,AF$5&lt;100)),
VLOOKUP(FLOOR((Midterm!AF14/AF$5)*100,1),new_transmute,2,FALSE),
VLOOKUP(Midterm!AF14,new_transmute,2,FALSE)
),
IF(Info!$B$4="Board program",
IF(OR(AND(AF$5&gt;0,AF$5&gt;100),AND(AF$5&gt;0,AF$5&lt;100)),
VLOOKUP(FLOOR((Midterm!AF14/AF$5)*100,1),new_transmute,3,FALSE),
VLOOKUP(Midterm!AF14,new_transmute,3,FALSE)
),
IF(Info!$B$4="Board program (Medicine)",
IF(OR(AND(AF$5&gt;0,AF$5&gt;100),AND(AF$5&gt;0,AF$5&lt;100)),
VLOOKUP(FLOOR((Midterm!AF14/AF$5)*100,1),new_transmute,4,FALSE),
VLOOKUP(Midterm!AF14,new_transmute,4,FALSE)
),
""
)
)
)
)
)
)
)
)
))</f>
        <v/>
      </c>
      <c r="AG14" s="14" t="str">
        <f>IF($B14="","",
IF(AG$5="","",
IF(Midterm!AG14="",0,
IF(NOT(ISNUMBER(Midterm!AG14)),"NAN",
IF(Midterm!AG14&lt;0,"NEG",
IF(Midterm!AG14&gt;AG$5,"OVER",
IF(AND(AG$5&lt;=100,Midterm!AG14&gt;100),"ERR",
IF(Info!$B$4="Non-board program",
IF(OR(AND(AG$5&gt;0,AG$5&gt;100),AND(AG$5&gt;0,AG$5&lt;100)),
VLOOKUP(FLOOR((Midterm!AG14/AG$5)*100,1),new_transmute,2,FALSE),
VLOOKUP(Midterm!AG14,new_transmute,2,FALSE)
),
IF(Info!$B$4="Board program",
IF(OR(AND(AG$5&gt;0,AG$5&gt;100),AND(AG$5&gt;0,AG$5&lt;100)),
VLOOKUP(FLOOR((Midterm!AG14/AG$5)*100,1),new_transmute,3,FALSE),
VLOOKUP(Midterm!AG14,new_transmute,3,FALSE)
),
IF(Info!$B$4="Board program (Medicine)",
IF(OR(AND(AG$5&gt;0,AG$5&gt;100),AND(AG$5&gt;0,AG$5&lt;100)),
VLOOKUP(FLOOR((Midterm!AG14/AG$5)*100,1),new_transmute,4,FALSE),
VLOOKUP(Midterm!AG14,new_transmute,4,FALSE)
),
""
)
)
)
)
)
)
)
)
))</f>
        <v/>
      </c>
      <c r="AH14" s="14" t="str">
        <f>IF($B14="","",
IF(AH$5="","",
IF(Midterm!AH14="",0,
IF(NOT(ISNUMBER(Midterm!AH14)),"NAN",
IF(Midterm!AH14&lt;0,"NEG",
IF(Midterm!AH14&gt;AH$5,"OVER",
IF(AND(AH$5&lt;=100,Midterm!AH14&gt;100),"ERR",
IF(Info!$B$4="Non-board program",
IF(OR(AND(AH$5&gt;0,AH$5&gt;100),AND(AH$5&gt;0,AH$5&lt;100)),
VLOOKUP(FLOOR((Midterm!AH14/AH$5)*100,1),new_transmute,2,FALSE),
VLOOKUP(Midterm!AH14,new_transmute,2,FALSE)
),
IF(Info!$B$4="Board program",
IF(OR(AND(AH$5&gt;0,AH$5&gt;100),AND(AH$5&gt;0,AH$5&lt;100)),
VLOOKUP(FLOOR((Midterm!AH14/AH$5)*100,1),new_transmute,3,FALSE),
VLOOKUP(Midterm!AH14,new_transmute,3,FALSE)
),
IF(Info!$B$4="Board program (Medicine)",
IF(OR(AND(AH$5&gt;0,AH$5&gt;100),AND(AH$5&gt;0,AH$5&lt;100)),
VLOOKUP(FLOOR((Midterm!AH14/AH$5)*100,1),new_transmute,4,FALSE),
VLOOKUP(Midterm!AH14,new_transmute,4,FALSE)
),
""
)
)
)
)
)
)
)
)
))</f>
        <v/>
      </c>
      <c r="AI14" s="14" t="str">
        <f>IF($B14="","",
IF(AI$5="","",
IF(Midterm!AI14="",0,
IF(NOT(ISNUMBER(Midterm!AI14)),"NAN",
IF(Midterm!AI14&lt;0,"NEG",
IF(Midterm!AI14&gt;AI$5,"OVER",
IF(AND(AI$5&lt;=100,Midterm!AI14&gt;100),"ERR",
IF(Info!$B$4="Non-board program",
IF(OR(AND(AI$5&gt;0,AI$5&gt;100),AND(AI$5&gt;0,AI$5&lt;100)),
VLOOKUP(FLOOR((Midterm!AI14/AI$5)*100,1),new_transmute,2,FALSE),
VLOOKUP(Midterm!AI14,new_transmute,2,FALSE)
),
IF(Info!$B$4="Board program",
IF(OR(AND(AI$5&gt;0,AI$5&gt;100),AND(AI$5&gt;0,AI$5&lt;100)),
VLOOKUP(FLOOR((Midterm!AI14/AI$5)*100,1),new_transmute,3,FALSE),
VLOOKUP(Midterm!AI14,new_transmute,3,FALSE)
),
IF(Info!$B$4="Board program (Medicine)",
IF(OR(AND(AI$5&gt;0,AI$5&gt;100),AND(AI$5&gt;0,AI$5&lt;100)),
VLOOKUP(FLOOR((Midterm!AI14/AI$5)*100,1),new_transmute,4,FALSE),
VLOOKUP(Midterm!AI14,new_transmute,4,FALSE)
),
""
)
)
)
)
)
)
)
)
))</f>
        <v/>
      </c>
      <c r="AJ14" s="14" t="str">
        <f>IF($B14="","",
IF(AJ$5="","",
IF(Midterm!AJ14="",0,
IF(NOT(ISNUMBER(Midterm!AJ14)),"NAN",
IF(Midterm!AJ14&lt;0,"NEG",
IF(Midterm!AJ14&gt;AJ$5,"OVER",
IF(AND(AJ$5&lt;=100,Midterm!AJ14&gt;100),"ERR",
IF(Info!$B$4="Non-board program",
IF(OR(AND(AJ$5&gt;0,AJ$5&gt;100),AND(AJ$5&gt;0,AJ$5&lt;100)),
VLOOKUP(FLOOR((Midterm!AJ14/AJ$5)*100,1),new_transmute,2,FALSE),
VLOOKUP(Midterm!AJ14,new_transmute,2,FALSE)
),
IF(Info!$B$4="Board program",
IF(OR(AND(AJ$5&gt;0,AJ$5&gt;100),AND(AJ$5&gt;0,AJ$5&lt;100)),
VLOOKUP(FLOOR((Midterm!AJ14/AJ$5)*100,1),new_transmute,3,FALSE),
VLOOKUP(Midterm!AJ14,new_transmute,3,FALSE)
),
IF(Info!$B$4="Board program (Medicine)",
IF(OR(AND(AJ$5&gt;0,AJ$5&gt;100),AND(AJ$5&gt;0,AJ$5&lt;100)),
VLOOKUP(FLOOR((Midterm!AJ14/AJ$5)*100,1),new_transmute,4,FALSE),
VLOOKUP(Midterm!AJ14,new_transmute,4,FALSE)
),
""
)
)
)
)
)
)
)
)
))</f>
        <v/>
      </c>
      <c r="AK14" s="59" t="str">
        <f t="shared" si="6"/>
        <v/>
      </c>
      <c r="AL14" s="60" t="str">
        <f>IF(B14="", "",
    IF(OR(M14="OVER", S14="OVER", Y14="OVER", AE14="OVER", AK14="OVER"),
        "OVER",
        IF(Info!$B$4="Non-board program",
            VLOOKUP(IFERROR(FLOOR(SUM((M14*$M$4), (S14*$S$4), (Y14*$Y$4), (AE14*$AE$4), (AK14*$AK$4)) * (100 / 60), 1), 0), new_transmute, 2, FALSE),
            IF(Info!$B$4="Board program",
                VLOOKUP(IFERROR(FLOOR(SUM((M14*$M$4), (S14*$S$4), (Y14*$Y$4), (AE14*$AE$4), (AK14*$AK$4)) * (100 / 60), 1), 0), new_transmute, 3, FALSE),
                IF(Info!$B$4="Board program (Medicine)",
                    VLOOKUP(IFERROR(FLOOR(SUM((M14*$M$4), (S14*$S$4), (Y14*$Y$4), (AE14*$AE$4), (AK14*$AK$4)) * (100 / 60), 1), 0), new_transmute, 4, FALSE),
                    ""
                )
            )
        )
    )
)</f>
        <v/>
      </c>
      <c r="AM14" s="14" t="str">
        <f>IF($B14="","",
IF(AM$5="","",
IF(Midterm!AM14="",0,
IF(NOT(ISNUMBER(Midterm!AM14)),"NAN",
IF(Midterm!AM14&lt;0,"NEG",
IF(Midterm!AM14&gt;AM$5,"OVER",
IF(AND(AM$5&lt;=100,Midterm!AM14&gt;100),"ERR",
IF(Info!$B$4="Non-board program",
IF(OR(AND(AM$5&gt;0,AM$5&gt;100),AND(AM$5&gt;0,AM$5&lt;100)),
VLOOKUP(FLOOR((Midterm!AM14/AM$5)*100,1),new_transmute,2,FALSE),
VLOOKUP(Midterm!AM14,new_transmute,2,FALSE)
),
IF(Info!$B$4="Board program",
IF(OR(AND(AM$5&gt;0,AM$5&gt;100),AND(AM$5&gt;0,AM$5&lt;100)),
VLOOKUP(FLOOR((Midterm!AM14/AM$5)*100,1),new_transmute,3,FALSE),
VLOOKUP(Midterm!AM14,new_transmute,3,FALSE)
),
IF(Info!$B$4="Board program (Medicine)",
IF(OR(AND(AM$5&gt;0,AM$5&gt;100),AND(AM$5&gt;0,AM$5&lt;100)),
VLOOKUP(FLOOR((Midterm!AM14/AM$5)*100,1),new_transmute,4,FALSE),
VLOOKUP(Midterm!AM14,new_transmute,4,FALSE)
),
""
)
)
)
)
)
)
)
)
))</f>
        <v/>
      </c>
      <c r="AN14" s="14" t="str">
        <f>IF($B14="","",
IF(AN$5="","",
IF(Midterm!AN14="",0,
IF(NOT(ISNUMBER(Midterm!AN14)),"NAN",
IF(Midterm!AN14&lt;0,"NEG",
IF(Midterm!AN14&gt;AN$5,"OVER",
IF(AND(AN$5&lt;=100,Midterm!AN14&gt;100),"ERR",
IF(Info!$B$4="Non-board program",
IF(OR(AND(AN$5&gt;0,AN$5&gt;100),AND(AN$5&gt;0,AN$5&lt;100)),
VLOOKUP(FLOOR((Midterm!AN14/AN$5)*100,1),new_transmute,2,FALSE),
VLOOKUP(Midterm!AN14,new_transmute,2,FALSE)
),
IF(Info!$B$4="Board program",
IF(OR(AND(AN$5&gt;0,AN$5&gt;100),AND(AN$5&gt;0,AN$5&lt;100)),
VLOOKUP(FLOOR((Midterm!AN14/AN$5)*100,1),new_transmute,3,FALSE),
VLOOKUP(Midterm!AN14,new_transmute,3,FALSE)
),
IF(Info!$B$4="Board program (Medicine)",
IF(OR(AND(AN$5&gt;0,AN$5&gt;100),AND(AN$5&gt;0,AN$5&lt;100)),
VLOOKUP(FLOOR((Midterm!AN14/AN$5)*100,1),new_transmute,4,FALSE),
VLOOKUP(Midterm!AN14,new_transmute,4,FALSE)
),
""
)
)
)
)
)
)
)
)
))</f>
        <v/>
      </c>
      <c r="AO14" s="14" t="str">
        <f>IF($B14="","",
IF(AO$5="","",
IF(Midterm!AO14="",0,
IF(NOT(ISNUMBER(Midterm!AO14)),"NAN",
IF(Midterm!AO14&lt;0,"NEG",
IF(Midterm!AO14&gt;AO$5,"OVER",
IF(AND(AO$5&lt;=100,Midterm!AO14&gt;100),"ERR",
IF(Info!$B$4="Non-board program",
IF(OR(AND(AO$5&gt;0,AO$5&gt;100),AND(AO$5&gt;0,AO$5&lt;100)),
VLOOKUP(FLOOR((Midterm!AO14/AO$5)*100,1),new_transmute,2,FALSE),
VLOOKUP(Midterm!AO14,new_transmute,2,FALSE)
),
IF(Info!$B$4="Board program",
IF(OR(AND(AO$5&gt;0,AO$5&gt;100),AND(AO$5&gt;0,AO$5&lt;100)),
VLOOKUP(FLOOR((Midterm!AO14/AO$5)*100,1),new_transmute,3,FALSE),
VLOOKUP(Midterm!AO14,new_transmute,3,FALSE)
),
IF(Info!$B$4="Board program (Medicine)",
IF(OR(AND(AO$5&gt;0,AO$5&gt;100),AND(AO$5&gt;0,AO$5&lt;100)),
VLOOKUP(FLOOR((Midterm!AO14/AO$5)*100,1),new_transmute,4,FALSE),
VLOOKUP(Midterm!AO14,new_transmute,4,FALSE)
),
""
)
)
)
)
)
)
)
)
))</f>
        <v/>
      </c>
      <c r="AP14" s="14" t="str">
        <f>IF($B14="","",
IF(AP$5="","",
IF(Midterm!AP14="",0,
IF(NOT(ISNUMBER(Midterm!AP14)),"NAN",
IF(Midterm!AP14&lt;0,"NEG",
IF(Midterm!AP14&gt;AP$5,"OVER",
IF(AND(AP$5&lt;=100,Midterm!AP14&gt;100),"ERR",
IF(Info!$B$4="Non-board program",
IF(OR(AND(AP$5&gt;0,AP$5&gt;100),AND(AP$5&gt;0,AP$5&lt;100)),
VLOOKUP(FLOOR((Midterm!AP14/AP$5)*100,1),new_transmute,2,FALSE),
VLOOKUP(Midterm!AP14,new_transmute,2,FALSE)
),
IF(Info!$B$4="Board program",
IF(OR(AND(AP$5&gt;0,AP$5&gt;100),AND(AP$5&gt;0,AP$5&lt;100)),
VLOOKUP(FLOOR((Midterm!AP14/AP$5)*100,1),new_transmute,3,FALSE),
VLOOKUP(Midterm!AP14,new_transmute,3,FALSE)
),
IF(Info!$B$4="Board program (Medicine)",
IF(OR(AND(AP$5&gt;0,AP$5&gt;100),AND(AP$5&gt;0,AP$5&lt;100)),
VLOOKUP(FLOOR((Midterm!AP14/AP$5)*100,1),new_transmute,4,FALSE),
VLOOKUP(Midterm!AP14,new_transmute,4,FALSE)
),
""
)
)
)
)
)
)
)
)
))</f>
        <v/>
      </c>
      <c r="AQ14" s="61" t="str">
        <f t="shared" si="7"/>
        <v/>
      </c>
      <c r="AR14" s="48" t="str">
        <f>IF(Midterm!AR14="","",Midterm!AR14)</f>
        <v/>
      </c>
      <c r="AS14" s="165" t="str">
        <f t="shared" si="8"/>
        <v/>
      </c>
      <c r="AT14" s="14" t="str">
        <f t="shared" si="0"/>
        <v/>
      </c>
      <c r="AU14" s="14" t="str">
        <f>IF(B14="","",VLOOKUP(AT14,'New Grade Equivalent'!$B$3:$C$47,2,FALSE))</f>
        <v/>
      </c>
    </row>
    <row r="15" spans="1:47" x14ac:dyDescent="0.25">
      <c r="A15" s="8">
        <v>10</v>
      </c>
      <c r="B15" s="2" t="str">
        <f>IF('Student List'!C19="","",UPPER(LEFT('Student List'!C19,FIND(",",'Student List'!C19)-1)))</f>
        <v/>
      </c>
      <c r="C15" s="12" t="str">
        <f>IF('Student List'!C19="","",PROPER(MID('Student List'!C19, FIND(",", 'Student List'!C19) + 2, LEN('Student List'!C19) - FIND(",", 'Student List'!C19) - 1)))</f>
        <v/>
      </c>
      <c r="D15" s="127" t="str">
        <f>IF(B15="","",IF(Midterm!D15="", "NA", Midterm!D15))</f>
        <v/>
      </c>
      <c r="E15" s="8" t="str">
        <f>IF(B15="","",
  IF(Info!$B$5="First Year",
    IF(D15="Yes", "DRP",
      IF(D15="No", "WF", "")
    )
  )
)</f>
        <v/>
      </c>
      <c r="F15" s="14" t="str">
        <f>IF($B15="","",
IF(F$5="","",
IF(Midterm!F15="",0,
IF(NOT(ISNUMBER(Midterm!F15)),"NAN",
IF(Midterm!F15&lt;0,"NEG",
IF(Midterm!F15&gt;F$5,"OVER",
IF(AND(F$5&lt;=100,Midterm!F15&gt;100),"ERR",
IF(Info!$B$4="Non-board program",
IF(OR(AND(F$5&gt;0,F$5&gt;100),AND(F$5&gt;0,F$5&lt;100)),
VLOOKUP(FLOOR((Midterm!F15/F$5)*100,1),new_transmute,2,FALSE),
VLOOKUP(Midterm!F15,new_transmute,2,FALSE)
),
IF(Info!$B$4="Board program",
IF(OR(AND(F$5&gt;0,F$5&gt;100),AND(F$5&gt;0,F$5&lt;100)),
VLOOKUP(FLOOR((Midterm!F15/F$5)*100,1),new_transmute,3,FALSE),
VLOOKUP(Midterm!F15,new_transmute,3,FALSE)
),
IF(Info!$B$4="Board program (Medicine)",
IF(OR(AND(F$5&gt;0,F$5&gt;100),AND(F$5&gt;0,F$5&lt;100)),
VLOOKUP(FLOOR((Midterm!F15/F$5)*100,1),new_transmute,4,FALSE),
VLOOKUP(Midterm!F15,new_transmute,4,FALSE)
),
""
)
)
)
)
)
)
)
)
))</f>
        <v/>
      </c>
      <c r="G15" s="57" t="str">
        <f t="shared" si="1"/>
        <v/>
      </c>
      <c r="H15" s="14" t="str">
        <f>IF($B15="","",
IF(H$5="","",
IF(Midterm!H15="",0,
IF(NOT(ISNUMBER(Midterm!H15)),"NAN",
IF(Midterm!H15&lt;0,"NEG",
IF(Midterm!H15&gt;H$5,"OVER",
IF(AND(H$5&lt;=100,Midterm!H15&gt;100),"ERR",
IF(Info!$B$4="Non-board program",
IF(OR(AND(H$5&gt;0,H$5&gt;100),AND(H$5&gt;0,H$5&lt;100)),
VLOOKUP(FLOOR((Midterm!H15/H$5)*100,1),new_transmute,2,FALSE),
VLOOKUP(Midterm!H15,new_transmute,2,FALSE)
),
IF(Info!$B$4="Board program",
IF(OR(AND(H$5&gt;0,H$5&gt;100),AND(H$5&gt;0,H$5&lt;100)),
VLOOKUP(FLOOR((Midterm!H15/H$5)*100,1),new_transmute,3,FALSE),
VLOOKUP(Midterm!H15,new_transmute,3,FALSE)
),
IF(Info!$B$4="Board program (Medicine)",
IF(OR(AND(H$5&gt;0,H$5&gt;100),AND(H$5&gt;0,H$5&lt;100)),
VLOOKUP(FLOOR((Midterm!H15/H$5)*100,1),new_transmute,4,FALSE),
VLOOKUP(Midterm!H15,new_transmute,4,FALSE)
),
""
)
)
)
)
)
)
)
)
))</f>
        <v/>
      </c>
      <c r="I15" s="14" t="str">
        <f>IF($B15="","",
IF(I$5="","",
IF(Midterm!I15="",0,
IF(NOT(ISNUMBER(Midterm!I15)),"NAN",
IF(Midterm!I15&lt;0,"NEG",
IF(Midterm!I15&gt;I$5,"OVER",
IF(AND(I$5&lt;=100,Midterm!I15&gt;100),"ERR",
IF(Info!$B$4="Non-board program",
IF(OR(AND(I$5&gt;0,I$5&gt;100),AND(I$5&gt;0,I$5&lt;100)),
VLOOKUP(FLOOR((Midterm!I15/I$5)*100,1),new_transmute,2,FALSE),
VLOOKUP(Midterm!I15,new_transmute,2,FALSE)
),
IF(Info!$B$4="Board program",
IF(OR(AND(I$5&gt;0,I$5&gt;100),AND(I$5&gt;0,I$5&lt;100)),
VLOOKUP(FLOOR((Midterm!I15/I$5)*100,1),new_transmute,3,FALSE),
VLOOKUP(Midterm!I15,new_transmute,3,FALSE)
),
IF(Info!$B$4="Board program (Medicine)",
IF(OR(AND(I$5&gt;0,I$5&gt;100),AND(I$5&gt;0,I$5&lt;100)),
VLOOKUP(FLOOR((Midterm!I15/I$5)*100,1),new_transmute,4,FALSE),
VLOOKUP(Midterm!I15,new_transmute,4,FALSE)
),
""
)
)
)
)
)
)
)
)
))</f>
        <v/>
      </c>
      <c r="J15" s="14" t="str">
        <f>IF($B15="","",
IF(J$5="","",
IF(Midterm!J15="",0,
IF(NOT(ISNUMBER(Midterm!J15)),"NAN",
IF(Midterm!J15&lt;0,"NEG",
IF(Midterm!J15&gt;J$5,"OVER",
IF(AND(J$5&lt;=100,Midterm!J15&gt;100),"ERR",
IF(Info!$B$4="Non-board program",
IF(OR(AND(J$5&gt;0,J$5&gt;100),AND(J$5&gt;0,J$5&lt;100)),
VLOOKUP(FLOOR((Midterm!J15/J$5)*100,1),new_transmute,2,FALSE),
VLOOKUP(Midterm!J15,new_transmute,2,FALSE)
),
IF(Info!$B$4="Board program",
IF(OR(AND(J$5&gt;0,J$5&gt;100),AND(J$5&gt;0,J$5&lt;100)),
VLOOKUP(FLOOR((Midterm!J15/J$5)*100,1),new_transmute,3,FALSE),
VLOOKUP(Midterm!J15,new_transmute,3,FALSE)
),
IF(Info!$B$4="Board program (Medicine)",
IF(OR(AND(J$5&gt;0,J$5&gt;100),AND(J$5&gt;0,J$5&lt;100)),
VLOOKUP(FLOOR((Midterm!J15/J$5)*100,1),new_transmute,4,FALSE),
VLOOKUP(Midterm!J15,new_transmute,4,FALSE)
),
""
)
)
)
)
)
)
)
)
))</f>
        <v/>
      </c>
      <c r="K15" s="14" t="str">
        <f>IF($B15="","",
IF(K$5="","",
IF(Midterm!K15="",0,
IF(NOT(ISNUMBER(Midterm!K15)),"NAN",
IF(Midterm!K15&lt;0,"NEG",
IF(Midterm!K15&gt;K$5,"OVER",
IF(AND(K$5&lt;=100,Midterm!K15&gt;100),"ERR",
IF(Info!$B$4="Non-board program",
IF(OR(AND(K$5&gt;0,K$5&gt;100),AND(K$5&gt;0,K$5&lt;100)),
VLOOKUP(FLOOR((Midterm!K15/K$5)*100,1),new_transmute,2,FALSE),
VLOOKUP(Midterm!K15,new_transmute,2,FALSE)
),
IF(Info!$B$4="Board program",
IF(OR(AND(K$5&gt;0,K$5&gt;100),AND(K$5&gt;0,K$5&lt;100)),
VLOOKUP(FLOOR((Midterm!K15/K$5)*100,1),new_transmute,3,FALSE),
VLOOKUP(Midterm!K15,new_transmute,3,FALSE)
),
IF(Info!$B$4="Board program (Medicine)",
IF(OR(AND(K$5&gt;0,K$5&gt;100),AND(K$5&gt;0,K$5&lt;100)),
VLOOKUP(FLOOR((Midterm!K15/K$5)*100,1),new_transmute,4,FALSE),
VLOOKUP(Midterm!K15,new_transmute,4,FALSE)
),
""
)
)
)
)
)
)
)
)
))</f>
        <v/>
      </c>
      <c r="L15" s="14" t="str">
        <f>IF($B15="","",
IF(L$5="","",
IF(Midterm!L15="",0,
IF(NOT(ISNUMBER(Midterm!L15)),"NAN",
IF(Midterm!L15&lt;0,"NEG",
IF(Midterm!L15&gt;L$5,"OVER",
IF(AND(L$5&lt;=100,Midterm!L15&gt;100),"ERR",
IF(Info!$B$4="Non-board program",
IF(OR(AND(L$5&gt;0,L$5&gt;100),AND(L$5&gt;0,L$5&lt;100)),
VLOOKUP(FLOOR((Midterm!L15/L$5)*100,1),new_transmute,2,FALSE),
VLOOKUP(Midterm!L15,new_transmute,2,FALSE)
),
IF(Info!$B$4="Board program",
IF(OR(AND(L$5&gt;0,L$5&gt;100),AND(L$5&gt;0,L$5&lt;100)),
VLOOKUP(FLOOR((Midterm!L15/L$5)*100,1),new_transmute,3,FALSE),
VLOOKUP(Midterm!L15,new_transmute,3,FALSE)
),
IF(Info!$B$4="Board program (Medicine)",
IF(OR(AND(L$5&gt;0,L$5&gt;100),AND(L$5&gt;0,L$5&lt;100)),
VLOOKUP(FLOOR((Midterm!L15/L$5)*100,1),new_transmute,4,FALSE),
VLOOKUP(Midterm!L15,new_transmute,4,FALSE)
),
""
)
)
)
)
)
)
)
)
))</f>
        <v/>
      </c>
      <c r="M15" s="111" t="str">
        <f t="shared" si="2"/>
        <v/>
      </c>
      <c r="N15" s="14" t="str">
        <f>IF($B15="","",
IF(N$5="","",
IF(Midterm!N15="",0,
IF(NOT(ISNUMBER(Midterm!N15)),"NAN",
IF(Midterm!N15&lt;0,"NEG",
IF(Midterm!N15&gt;N$5,"OVER",
IF(AND(N$5&lt;=100,Midterm!N15&gt;100),"ERR",
IF(Info!$B$4="Non-board program",
IF(OR(AND(N$5&gt;0,N$5&gt;100),AND(N$5&gt;0,N$5&lt;100)),
VLOOKUP(FLOOR((Midterm!N15/N$5)*100,1),new_transmute,2,FALSE),
VLOOKUP(Midterm!N15,new_transmute,2,FALSE)
),
IF(Info!$B$4="Board program",
IF(OR(AND(N$5&gt;0,N$5&gt;100),AND(N$5&gt;0,N$5&lt;100)),
VLOOKUP(FLOOR((Midterm!N15/N$5)*100,1),new_transmute,3,FALSE),
VLOOKUP(Midterm!N15,new_transmute,3,FALSE)
),
IF(Info!$B$4="Board program (Medicine)",
IF(OR(AND(N$5&gt;0,N$5&gt;100),AND(N$5&gt;0,N$5&lt;100)),
VLOOKUP(FLOOR((Midterm!N15/N$5)*100,1),new_transmute,4,FALSE),
VLOOKUP(Midterm!N15,new_transmute,4,FALSE)
),
""
)
)
)
)
)
)
)
)
))</f>
        <v/>
      </c>
      <c r="O15" s="14" t="str">
        <f>IF($B15="","",
IF(O$5="","",
IF(Midterm!O15="",0,
IF(NOT(ISNUMBER(Midterm!O15)),"NAN",
IF(Midterm!O15&lt;0,"NEG",
IF(Midterm!O15&gt;O$5,"OVER",
IF(AND(O$5&lt;=100,Midterm!O15&gt;100),"ERR",
IF(Info!$B$4="Non-board program",
IF(OR(AND(O$5&gt;0,O$5&gt;100),AND(O$5&gt;0,O$5&lt;100)),
VLOOKUP(FLOOR((Midterm!O15/O$5)*100,1),new_transmute,2,FALSE),
VLOOKUP(Midterm!O15,new_transmute,2,FALSE)
),
IF(Info!$B$4="Board program",
IF(OR(AND(O$5&gt;0,O$5&gt;100),AND(O$5&gt;0,O$5&lt;100)),
VLOOKUP(FLOOR((Midterm!O15/O$5)*100,1),new_transmute,3,FALSE),
VLOOKUP(Midterm!O15,new_transmute,3,FALSE)
),
IF(Info!$B$4="Board program (Medicine)",
IF(OR(AND(O$5&gt;0,O$5&gt;100),AND(O$5&gt;0,O$5&lt;100)),
VLOOKUP(FLOOR((Midterm!O15/O$5)*100,1),new_transmute,4,FALSE),
VLOOKUP(Midterm!O15,new_transmute,4,FALSE)
),
""
)
)
)
)
)
)
)
)
))</f>
        <v/>
      </c>
      <c r="P15" s="14" t="str">
        <f>IF($B15="","",
IF(P$5="","",
IF(Midterm!P15="",0,
IF(NOT(ISNUMBER(Midterm!P15)),"NAN",
IF(Midterm!P15&lt;0,"NEG",
IF(Midterm!P15&gt;P$5,"OVER",
IF(AND(P$5&lt;=100,Midterm!P15&gt;100),"ERR",
IF(Info!$B$4="Non-board program",
IF(OR(AND(P$5&gt;0,P$5&gt;100),AND(P$5&gt;0,P$5&lt;100)),
VLOOKUP(FLOOR((Midterm!P15/P$5)*100,1),new_transmute,2,FALSE),
VLOOKUP(Midterm!P15,new_transmute,2,FALSE)
),
IF(Info!$B$4="Board program",
IF(OR(AND(P$5&gt;0,P$5&gt;100),AND(P$5&gt;0,P$5&lt;100)),
VLOOKUP(FLOOR((Midterm!P15/P$5)*100,1),new_transmute,3,FALSE),
VLOOKUP(Midterm!P15,new_transmute,3,FALSE)
),
IF(Info!$B$4="Board program (Medicine)",
IF(OR(AND(P$5&gt;0,P$5&gt;100),AND(P$5&gt;0,P$5&lt;100)),
VLOOKUP(FLOOR((Midterm!P15/P$5)*100,1),new_transmute,4,FALSE),
VLOOKUP(Midterm!P15,new_transmute,4,FALSE)
),
""
)
)
)
)
)
)
)
)
))</f>
        <v/>
      </c>
      <c r="Q15" s="14" t="str">
        <f>IF($B15="","",
IF(Q$5="","",
IF(Midterm!Q15="",0,
IF(NOT(ISNUMBER(Midterm!Q15)),"NAN",
IF(Midterm!Q15&lt;0,"NEG",
IF(Midterm!Q15&gt;Q$5,"OVER",
IF(AND(Q$5&lt;=100,Midterm!Q15&gt;100),"ERR",
IF(Info!$B$4="Non-board program",
IF(OR(AND(Q$5&gt;0,Q$5&gt;100),AND(Q$5&gt;0,Q$5&lt;100)),
VLOOKUP(FLOOR((Midterm!Q15/Q$5)*100,1),new_transmute,2,FALSE),
VLOOKUP(Midterm!Q15,new_transmute,2,FALSE)
),
IF(Info!$B$4="Board program",
IF(OR(AND(Q$5&gt;0,Q$5&gt;100),AND(Q$5&gt;0,Q$5&lt;100)),
VLOOKUP(FLOOR((Midterm!Q15/Q$5)*100,1),new_transmute,3,FALSE),
VLOOKUP(Midterm!Q15,new_transmute,3,FALSE)
),
IF(Info!$B$4="Board program (Medicine)",
IF(OR(AND(Q$5&gt;0,Q$5&gt;100),AND(Q$5&gt;0,Q$5&lt;100)),
VLOOKUP(FLOOR((Midterm!Q15/Q$5)*100,1),new_transmute,4,FALSE),
VLOOKUP(Midterm!Q15,new_transmute,4,FALSE)
),
""
)
)
)
)
)
)
)
)
))</f>
        <v/>
      </c>
      <c r="R15" s="14" t="str">
        <f>IF($B15="","",
IF(R$5="","",
IF(Midterm!R15="",0,
IF(NOT(ISNUMBER(Midterm!R15)),"NAN",
IF(Midterm!R15&lt;0,"NEG",
IF(Midterm!R15&gt;R$5,"OVER",
IF(AND(R$5&lt;=100,Midterm!R15&gt;100),"ERR",
IF(Info!$B$4="Non-board program",
IF(OR(AND(R$5&gt;0,R$5&gt;100),AND(R$5&gt;0,R$5&lt;100)),
VLOOKUP(FLOOR((Midterm!R15/R$5)*100,1),new_transmute,2,FALSE),
VLOOKUP(Midterm!R15,new_transmute,2,FALSE)
),
IF(Info!$B$4="Board program",
IF(OR(AND(R$5&gt;0,R$5&gt;100),AND(R$5&gt;0,R$5&lt;100)),
VLOOKUP(FLOOR((Midterm!R15/R$5)*100,1),new_transmute,3,FALSE),
VLOOKUP(Midterm!R15,new_transmute,3,FALSE)
),
IF(Info!$B$4="Board program (Medicine)",
IF(OR(AND(R$5&gt;0,R$5&gt;100),AND(R$5&gt;0,R$5&lt;100)),
VLOOKUP(FLOOR((Midterm!R15/R$5)*100,1),new_transmute,4,FALSE),
VLOOKUP(Midterm!R15,new_transmute,4,FALSE)
),
""
)
)
)
)
)
)
)
)
))</f>
        <v/>
      </c>
      <c r="S15" s="115" t="str">
        <f t="shared" si="3"/>
        <v/>
      </c>
      <c r="T15" s="14" t="str">
        <f>IF($B15="","",
IF(T$5="","",
IF(Midterm!T15="",0,
IF(NOT(ISNUMBER(Midterm!T15)),"NAN",
IF(Midterm!T15&lt;0,"NEG",
IF(Midterm!T15&gt;T$5,"OVER",
IF(AND(T$5&lt;=100,Midterm!T15&gt;100),"ERR",
IF(Info!$B$4="Non-board program",
IF(OR(AND(T$5&gt;0,T$5&gt;100),AND(T$5&gt;0,T$5&lt;100)),
VLOOKUP(FLOOR((Midterm!T15/T$5)*100,1),new_transmute,2,FALSE),
VLOOKUP(Midterm!T15,new_transmute,2,FALSE)
),
IF(Info!$B$4="Board program",
IF(OR(AND(T$5&gt;0,T$5&gt;100),AND(T$5&gt;0,T$5&lt;100)),
VLOOKUP(FLOOR((Midterm!T15/T$5)*100,1),new_transmute,3,FALSE),
VLOOKUP(Midterm!T15,new_transmute,3,FALSE)
),
IF(Info!$B$4="Board program (Medicine)",
IF(OR(AND(T$5&gt;0,T$5&gt;100),AND(T$5&gt;0,T$5&lt;100)),
VLOOKUP(FLOOR((Midterm!T15/T$5)*100,1),new_transmute,4,FALSE),
VLOOKUP(Midterm!T15,new_transmute,4,FALSE)
),
""
)
)
)
)
)
)
)
)
))</f>
        <v/>
      </c>
      <c r="U15" s="14" t="str">
        <f>IF($B15="","",
IF(U$5="","",
IF(Midterm!U15="",0,
IF(NOT(ISNUMBER(Midterm!U15)),"NAN",
IF(Midterm!U15&lt;0,"NEG",
IF(Midterm!U15&gt;U$5,"OVER",
IF(AND(U$5&lt;=100,Midterm!U15&gt;100),"ERR",
IF(Info!$B$4="Non-board program",
IF(OR(AND(U$5&gt;0,U$5&gt;100),AND(U$5&gt;0,U$5&lt;100)),
VLOOKUP(FLOOR((Midterm!U15/U$5)*100,1),new_transmute,2,FALSE),
VLOOKUP(Midterm!U15,new_transmute,2,FALSE)
),
IF(Info!$B$4="Board program",
IF(OR(AND(U$5&gt;0,U$5&gt;100),AND(U$5&gt;0,U$5&lt;100)),
VLOOKUP(FLOOR((Midterm!U15/U$5)*100,1),new_transmute,3,FALSE),
VLOOKUP(Midterm!U15,new_transmute,3,FALSE)
),
IF(Info!$B$4="Board program (Medicine)",
IF(OR(AND(U$5&gt;0,U$5&gt;100),AND(U$5&gt;0,U$5&lt;100)),
VLOOKUP(FLOOR((Midterm!U15/U$5)*100,1),new_transmute,4,FALSE),
VLOOKUP(Midterm!U15,new_transmute,4,FALSE)
),
""
)
)
)
)
)
)
)
)
))</f>
        <v/>
      </c>
      <c r="V15" s="14" t="str">
        <f>IF($B15="","",
IF(V$5="","",
IF(Midterm!V15="",0,
IF(NOT(ISNUMBER(Midterm!V15)),"NAN",
IF(Midterm!V15&lt;0,"NEG",
IF(Midterm!V15&gt;V$5,"OVER",
IF(AND(V$5&lt;=100,Midterm!V15&gt;100),"ERR",
IF(Info!$B$4="Non-board program",
IF(OR(AND(V$5&gt;0,V$5&gt;100),AND(V$5&gt;0,V$5&lt;100)),
VLOOKUP(FLOOR((Midterm!V15/V$5)*100,1),new_transmute,2,FALSE),
VLOOKUP(Midterm!V15,new_transmute,2,FALSE)
),
IF(Info!$B$4="Board program",
IF(OR(AND(V$5&gt;0,V$5&gt;100),AND(V$5&gt;0,V$5&lt;100)),
VLOOKUP(FLOOR((Midterm!V15/V$5)*100,1),new_transmute,3,FALSE),
VLOOKUP(Midterm!V15,new_transmute,3,FALSE)
),
IF(Info!$B$4="Board program (Medicine)",
IF(OR(AND(V$5&gt;0,V$5&gt;100),AND(V$5&gt;0,V$5&lt;100)),
VLOOKUP(FLOOR((Midterm!V15/V$5)*100,1),new_transmute,4,FALSE),
VLOOKUP(Midterm!V15,new_transmute,4,FALSE)
),
""
)
)
)
)
)
)
)
)
))</f>
        <v/>
      </c>
      <c r="W15" s="14" t="str">
        <f>IF($B15="","",
IF(W$5="","",
IF(Midterm!W15="",0,
IF(NOT(ISNUMBER(Midterm!W15)),"NAN",
IF(Midterm!W15&lt;0,"NEG",
IF(Midterm!W15&gt;W$5,"OVER",
IF(AND(W$5&lt;=100,Midterm!W15&gt;100),"ERR",
IF(Info!$B$4="Non-board program",
IF(OR(AND(W$5&gt;0,W$5&gt;100),AND(W$5&gt;0,W$5&lt;100)),
VLOOKUP(FLOOR((Midterm!W15/W$5)*100,1),new_transmute,2,FALSE),
VLOOKUP(Midterm!W15,new_transmute,2,FALSE)
),
IF(Info!$B$4="Board program",
IF(OR(AND(W$5&gt;0,W$5&gt;100),AND(W$5&gt;0,W$5&lt;100)),
VLOOKUP(FLOOR((Midterm!W15/W$5)*100,1),new_transmute,3,FALSE),
VLOOKUP(Midterm!W15,new_transmute,3,FALSE)
),
IF(Info!$B$4="Board program (Medicine)",
IF(OR(AND(W$5&gt;0,W$5&gt;100),AND(W$5&gt;0,W$5&lt;100)),
VLOOKUP(FLOOR((Midterm!W15/W$5)*100,1),new_transmute,4,FALSE),
VLOOKUP(Midterm!W15,new_transmute,4,FALSE)
),
""
)
)
)
)
)
)
)
)
))</f>
        <v/>
      </c>
      <c r="X15" s="14" t="str">
        <f>IF($B15="","",
IF(X$5="","",
IF(Midterm!X15="",0,
IF(NOT(ISNUMBER(Midterm!X15)),"NAN",
IF(Midterm!X15&lt;0,"NEG",
IF(Midterm!X15&gt;X$5,"OVER",
IF(AND(X$5&lt;=100,Midterm!X15&gt;100),"ERR",
IF(Info!$B$4="Non-board program",
IF(OR(AND(X$5&gt;0,X$5&gt;100),AND(X$5&gt;0,X$5&lt;100)),
VLOOKUP(FLOOR((Midterm!X15/X$5)*100,1),new_transmute,2,FALSE),
VLOOKUP(Midterm!X15,new_transmute,2,FALSE)
),
IF(Info!$B$4="Board program",
IF(OR(AND(X$5&gt;0,X$5&gt;100),AND(X$5&gt;0,X$5&lt;100)),
VLOOKUP(FLOOR((Midterm!X15/X$5)*100,1),new_transmute,3,FALSE),
VLOOKUP(Midterm!X15,new_transmute,3,FALSE)
),
IF(Info!$B$4="Board program (Medicine)",
IF(OR(AND(X$5&gt;0,X$5&gt;100),AND(X$5&gt;0,X$5&lt;100)),
VLOOKUP(FLOOR((Midterm!X15/X$5)*100,1),new_transmute,4,FALSE),
VLOOKUP(Midterm!X15,new_transmute,4,FALSE)
),
""
)
)
)
)
)
)
)
)
))</f>
        <v/>
      </c>
      <c r="Y15" s="112" t="str">
        <f t="shared" si="4"/>
        <v/>
      </c>
      <c r="Z15" s="14" t="str">
        <f>IF($B15="","",
IF(Z$5="","",
IF(Midterm!Z15="",0,
IF(NOT(ISNUMBER(Midterm!Z15)),"NAN",
IF(Midterm!Z15&lt;0,"NEG",
IF(Midterm!Z15&gt;Z$5,"OVER",
IF(AND(Z$5&lt;=100,Midterm!Z15&gt;100),"ERR",
IF(Info!$B$4="Non-board program",
IF(OR(AND(Z$5&gt;0,Z$5&gt;100),AND(Z$5&gt;0,Z$5&lt;100)),
VLOOKUP(FLOOR((Midterm!Z15/Z$5)*100,1),new_transmute,2,FALSE),
VLOOKUP(Midterm!Z15,new_transmute,2,FALSE)
),
IF(Info!$B$4="Board program",
IF(OR(AND(Z$5&gt;0,Z$5&gt;100),AND(Z$5&gt;0,Z$5&lt;100)),
VLOOKUP(FLOOR((Midterm!Z15/Z$5)*100,1),new_transmute,3,FALSE),
VLOOKUP(Midterm!Z15,new_transmute,3,FALSE)
),
IF(Info!$B$4="Board program (Medicine)",
IF(OR(AND(Z$5&gt;0,Z$5&gt;100),AND(Z$5&gt;0,Z$5&lt;100)),
VLOOKUP(FLOOR((Midterm!Z15/Z$5)*100,1),new_transmute,4,FALSE),
VLOOKUP(Midterm!Z15,new_transmute,4,FALSE)
),
""
)
)
)
)
)
)
)
)
))</f>
        <v/>
      </c>
      <c r="AA15" s="14" t="str">
        <f>IF($B15="","",
IF(AA$5="","",
IF(Midterm!AA15="",0,
IF(NOT(ISNUMBER(Midterm!AA15)),"NAN",
IF(Midterm!AA15&lt;0,"NEG",
IF(Midterm!AA15&gt;AA$5,"OVER",
IF(AND(AA$5&lt;=100,Midterm!AA15&gt;100),"ERR",
IF(Info!$B$4="Non-board program",
IF(OR(AND(AA$5&gt;0,AA$5&gt;100),AND(AA$5&gt;0,AA$5&lt;100)),
VLOOKUP(FLOOR((Midterm!AA15/AA$5)*100,1),new_transmute,2,FALSE),
VLOOKUP(Midterm!AA15,new_transmute,2,FALSE)
),
IF(Info!$B$4="Board program",
IF(OR(AND(AA$5&gt;0,AA$5&gt;100),AND(AA$5&gt;0,AA$5&lt;100)),
VLOOKUP(FLOOR((Midterm!AA15/AA$5)*100,1),new_transmute,3,FALSE),
VLOOKUP(Midterm!AA15,new_transmute,3,FALSE)
),
IF(Info!$B$4="Board program (Medicine)",
IF(OR(AND(AA$5&gt;0,AA$5&gt;100),AND(AA$5&gt;0,AA$5&lt;100)),
VLOOKUP(FLOOR((Midterm!AA15/AA$5)*100,1),new_transmute,4,FALSE),
VLOOKUP(Midterm!AA15,new_transmute,4,FALSE)
),
""
)
)
)
)
)
)
)
)
))</f>
        <v/>
      </c>
      <c r="AB15" s="14" t="str">
        <f>IF($B15="","",
IF(AB$5="","",
IF(Midterm!AB15="",0,
IF(NOT(ISNUMBER(Midterm!AB15)),"NAN",
IF(Midterm!AB15&lt;0,"NEG",
IF(Midterm!AB15&gt;AB$5,"OVER",
IF(AND(AB$5&lt;=100,Midterm!AB15&gt;100),"ERR",
IF(Info!$B$4="Non-board program",
IF(OR(AND(AB$5&gt;0,AB$5&gt;100),AND(AB$5&gt;0,AB$5&lt;100)),
VLOOKUP(FLOOR((Midterm!AB15/AB$5)*100,1),new_transmute,2,FALSE),
VLOOKUP(Midterm!AB15,new_transmute,2,FALSE)
),
IF(Info!$B$4="Board program",
IF(OR(AND(AB$5&gt;0,AB$5&gt;100),AND(AB$5&gt;0,AB$5&lt;100)),
VLOOKUP(FLOOR((Midterm!AB15/AB$5)*100,1),new_transmute,3,FALSE),
VLOOKUP(Midterm!AB15,new_transmute,3,FALSE)
),
IF(Info!$B$4="Board program (Medicine)",
IF(OR(AND(AB$5&gt;0,AB$5&gt;100),AND(AB$5&gt;0,AB$5&lt;100)),
VLOOKUP(FLOOR((Midterm!AB15/AB$5)*100,1),new_transmute,4,FALSE),
VLOOKUP(Midterm!AB15,new_transmute,4,FALSE)
),
""
)
)
)
)
)
)
)
)
))</f>
        <v/>
      </c>
      <c r="AC15" s="14" t="str">
        <f>IF($B15="","",
IF(AC$5="","",
IF(Midterm!AC15="",0,
IF(NOT(ISNUMBER(Midterm!AC15)),"NAN",
IF(Midterm!AC15&lt;0,"NEG",
IF(Midterm!AC15&gt;AC$5,"OVER",
IF(AND(AC$5&lt;=100,Midterm!AC15&gt;100),"ERR",
IF(Info!$B$4="Non-board program",
IF(OR(AND(AC$5&gt;0,AC$5&gt;100),AND(AC$5&gt;0,AC$5&lt;100)),
VLOOKUP(FLOOR((Midterm!AC15/AC$5)*100,1),new_transmute,2,FALSE),
VLOOKUP(Midterm!AC15,new_transmute,2,FALSE)
),
IF(Info!$B$4="Board program",
IF(OR(AND(AC$5&gt;0,AC$5&gt;100),AND(AC$5&gt;0,AC$5&lt;100)),
VLOOKUP(FLOOR((Midterm!AC15/AC$5)*100,1),new_transmute,3,FALSE),
VLOOKUP(Midterm!AC15,new_transmute,3,FALSE)
),
IF(Info!$B$4="Board program (Medicine)",
IF(OR(AND(AC$5&gt;0,AC$5&gt;100),AND(AC$5&gt;0,AC$5&lt;100)),
VLOOKUP(FLOOR((Midterm!AC15/AC$5)*100,1),new_transmute,4,FALSE),
VLOOKUP(Midterm!AC15,new_transmute,4,FALSE)
),
""
)
)
)
)
)
)
)
)
))</f>
        <v/>
      </c>
      <c r="AD15" s="14" t="str">
        <f>IF($B15="","",
IF(AD$5="","",
IF(Midterm!AD15="",0,
IF(NOT(ISNUMBER(Midterm!AD15)),"NAN",
IF(Midterm!AD15&lt;0,"NEG",
IF(Midterm!AD15&gt;AD$5,"OVER",
IF(AND(AD$5&lt;=100,Midterm!AD15&gt;100),"ERR",
IF(Info!$B$4="Non-board program",
IF(OR(AND(AD$5&gt;0,AD$5&gt;100),AND(AD$5&gt;0,AD$5&lt;100)),
VLOOKUP(FLOOR((Midterm!AD15/AD$5)*100,1),new_transmute,2,FALSE),
VLOOKUP(Midterm!AD15,new_transmute,2,FALSE)
),
IF(Info!$B$4="Board program",
IF(OR(AND(AD$5&gt;0,AD$5&gt;100),AND(AD$5&gt;0,AD$5&lt;100)),
VLOOKUP(FLOOR((Midterm!AD15/AD$5)*100,1),new_transmute,3,FALSE),
VLOOKUP(Midterm!AD15,new_transmute,3,FALSE)
),
IF(Info!$B$4="Board program (Medicine)",
IF(OR(AND(AD$5&gt;0,AD$5&gt;100),AND(AD$5&gt;0,AD$5&lt;100)),
VLOOKUP(FLOOR((Midterm!AD15/AD$5)*100,1),new_transmute,4,FALSE),
VLOOKUP(Midterm!AD15,new_transmute,4,FALSE)
),
""
)
)
)
)
)
)
)
)
))</f>
        <v/>
      </c>
      <c r="AE15" s="58" t="str">
        <f t="shared" si="5"/>
        <v/>
      </c>
      <c r="AF15" s="14" t="str">
        <f>IF($B15="","",
IF(AF$5="","",
IF(Midterm!AF15="",0,
IF(NOT(ISNUMBER(Midterm!AF15)),"NAN",
IF(Midterm!AF15&lt;0,"NEG",
IF(Midterm!AF15&gt;AF$5,"OVER",
IF(AND(AF$5&lt;=100,Midterm!AF15&gt;100),"ERR",
IF(Info!$B$4="Non-board program",
IF(OR(AND(AF$5&gt;0,AF$5&gt;100),AND(AF$5&gt;0,AF$5&lt;100)),
VLOOKUP(FLOOR((Midterm!AF15/AF$5)*100,1),new_transmute,2,FALSE),
VLOOKUP(Midterm!AF15,new_transmute,2,FALSE)
),
IF(Info!$B$4="Board program",
IF(OR(AND(AF$5&gt;0,AF$5&gt;100),AND(AF$5&gt;0,AF$5&lt;100)),
VLOOKUP(FLOOR((Midterm!AF15/AF$5)*100,1),new_transmute,3,FALSE),
VLOOKUP(Midterm!AF15,new_transmute,3,FALSE)
),
IF(Info!$B$4="Board program (Medicine)",
IF(OR(AND(AF$5&gt;0,AF$5&gt;100),AND(AF$5&gt;0,AF$5&lt;100)),
VLOOKUP(FLOOR((Midterm!AF15/AF$5)*100,1),new_transmute,4,FALSE),
VLOOKUP(Midterm!AF15,new_transmute,4,FALSE)
),
""
)
)
)
)
)
)
)
)
))</f>
        <v/>
      </c>
      <c r="AG15" s="14" t="str">
        <f>IF($B15="","",
IF(AG$5="","",
IF(Midterm!AG15="",0,
IF(NOT(ISNUMBER(Midterm!AG15)),"NAN",
IF(Midterm!AG15&lt;0,"NEG",
IF(Midterm!AG15&gt;AG$5,"OVER",
IF(AND(AG$5&lt;=100,Midterm!AG15&gt;100),"ERR",
IF(Info!$B$4="Non-board program",
IF(OR(AND(AG$5&gt;0,AG$5&gt;100),AND(AG$5&gt;0,AG$5&lt;100)),
VLOOKUP(FLOOR((Midterm!AG15/AG$5)*100,1),new_transmute,2,FALSE),
VLOOKUP(Midterm!AG15,new_transmute,2,FALSE)
),
IF(Info!$B$4="Board program",
IF(OR(AND(AG$5&gt;0,AG$5&gt;100),AND(AG$5&gt;0,AG$5&lt;100)),
VLOOKUP(FLOOR((Midterm!AG15/AG$5)*100,1),new_transmute,3,FALSE),
VLOOKUP(Midterm!AG15,new_transmute,3,FALSE)
),
IF(Info!$B$4="Board program (Medicine)",
IF(OR(AND(AG$5&gt;0,AG$5&gt;100),AND(AG$5&gt;0,AG$5&lt;100)),
VLOOKUP(FLOOR((Midterm!AG15/AG$5)*100,1),new_transmute,4,FALSE),
VLOOKUP(Midterm!AG15,new_transmute,4,FALSE)
),
""
)
)
)
)
)
)
)
)
))</f>
        <v/>
      </c>
      <c r="AH15" s="14" t="str">
        <f>IF($B15="","",
IF(AH$5="","",
IF(Midterm!AH15="",0,
IF(NOT(ISNUMBER(Midterm!AH15)),"NAN",
IF(Midterm!AH15&lt;0,"NEG",
IF(Midterm!AH15&gt;AH$5,"OVER",
IF(AND(AH$5&lt;=100,Midterm!AH15&gt;100),"ERR",
IF(Info!$B$4="Non-board program",
IF(OR(AND(AH$5&gt;0,AH$5&gt;100),AND(AH$5&gt;0,AH$5&lt;100)),
VLOOKUP(FLOOR((Midterm!AH15/AH$5)*100,1),new_transmute,2,FALSE),
VLOOKUP(Midterm!AH15,new_transmute,2,FALSE)
),
IF(Info!$B$4="Board program",
IF(OR(AND(AH$5&gt;0,AH$5&gt;100),AND(AH$5&gt;0,AH$5&lt;100)),
VLOOKUP(FLOOR((Midterm!AH15/AH$5)*100,1),new_transmute,3,FALSE),
VLOOKUP(Midterm!AH15,new_transmute,3,FALSE)
),
IF(Info!$B$4="Board program (Medicine)",
IF(OR(AND(AH$5&gt;0,AH$5&gt;100),AND(AH$5&gt;0,AH$5&lt;100)),
VLOOKUP(FLOOR((Midterm!AH15/AH$5)*100,1),new_transmute,4,FALSE),
VLOOKUP(Midterm!AH15,new_transmute,4,FALSE)
),
""
)
)
)
)
)
)
)
)
))</f>
        <v/>
      </c>
      <c r="AI15" s="14" t="str">
        <f>IF($B15="","",
IF(AI$5="","",
IF(Midterm!AI15="",0,
IF(NOT(ISNUMBER(Midterm!AI15)),"NAN",
IF(Midterm!AI15&lt;0,"NEG",
IF(Midterm!AI15&gt;AI$5,"OVER",
IF(AND(AI$5&lt;=100,Midterm!AI15&gt;100),"ERR",
IF(Info!$B$4="Non-board program",
IF(OR(AND(AI$5&gt;0,AI$5&gt;100),AND(AI$5&gt;0,AI$5&lt;100)),
VLOOKUP(FLOOR((Midterm!AI15/AI$5)*100,1),new_transmute,2,FALSE),
VLOOKUP(Midterm!AI15,new_transmute,2,FALSE)
),
IF(Info!$B$4="Board program",
IF(OR(AND(AI$5&gt;0,AI$5&gt;100),AND(AI$5&gt;0,AI$5&lt;100)),
VLOOKUP(FLOOR((Midterm!AI15/AI$5)*100,1),new_transmute,3,FALSE),
VLOOKUP(Midterm!AI15,new_transmute,3,FALSE)
),
IF(Info!$B$4="Board program (Medicine)",
IF(OR(AND(AI$5&gt;0,AI$5&gt;100),AND(AI$5&gt;0,AI$5&lt;100)),
VLOOKUP(FLOOR((Midterm!AI15/AI$5)*100,1),new_transmute,4,FALSE),
VLOOKUP(Midterm!AI15,new_transmute,4,FALSE)
),
""
)
)
)
)
)
)
)
)
))</f>
        <v/>
      </c>
      <c r="AJ15" s="14" t="str">
        <f>IF($B15="","",
IF(AJ$5="","",
IF(Midterm!AJ15="",0,
IF(NOT(ISNUMBER(Midterm!AJ15)),"NAN",
IF(Midterm!AJ15&lt;0,"NEG",
IF(Midterm!AJ15&gt;AJ$5,"OVER",
IF(AND(AJ$5&lt;=100,Midterm!AJ15&gt;100),"ERR",
IF(Info!$B$4="Non-board program",
IF(OR(AND(AJ$5&gt;0,AJ$5&gt;100),AND(AJ$5&gt;0,AJ$5&lt;100)),
VLOOKUP(FLOOR((Midterm!AJ15/AJ$5)*100,1),new_transmute,2,FALSE),
VLOOKUP(Midterm!AJ15,new_transmute,2,FALSE)
),
IF(Info!$B$4="Board program",
IF(OR(AND(AJ$5&gt;0,AJ$5&gt;100),AND(AJ$5&gt;0,AJ$5&lt;100)),
VLOOKUP(FLOOR((Midterm!AJ15/AJ$5)*100,1),new_transmute,3,FALSE),
VLOOKUP(Midterm!AJ15,new_transmute,3,FALSE)
),
IF(Info!$B$4="Board program (Medicine)",
IF(OR(AND(AJ$5&gt;0,AJ$5&gt;100),AND(AJ$5&gt;0,AJ$5&lt;100)),
VLOOKUP(FLOOR((Midterm!AJ15/AJ$5)*100,1),new_transmute,4,FALSE),
VLOOKUP(Midterm!AJ15,new_transmute,4,FALSE)
),
""
)
)
)
)
)
)
)
)
))</f>
        <v/>
      </c>
      <c r="AK15" s="59" t="str">
        <f t="shared" si="6"/>
        <v/>
      </c>
      <c r="AL15" s="60" t="str">
        <f>IF(B15="", "",
    IF(OR(M15="OVER", S15="OVER", Y15="OVER", AE15="OVER", AK15="OVER"),
        "OVER",
        IF(Info!$B$4="Non-board program",
            VLOOKUP(IFERROR(FLOOR(SUM((M15*$M$4), (S15*$S$4), (Y15*$Y$4), (AE15*$AE$4), (AK15*$AK$4)) * (100 / 60), 1), 0), new_transmute, 2, FALSE),
            IF(Info!$B$4="Board program",
                VLOOKUP(IFERROR(FLOOR(SUM((M15*$M$4), (S15*$S$4), (Y15*$Y$4), (AE15*$AE$4), (AK15*$AK$4)) * (100 / 60), 1), 0), new_transmute, 3, FALSE),
                IF(Info!$B$4="Board program (Medicine)",
                    VLOOKUP(IFERROR(FLOOR(SUM((M15*$M$4), (S15*$S$4), (Y15*$Y$4), (AE15*$AE$4), (AK15*$AK$4)) * (100 / 60), 1), 0), new_transmute, 4, FALSE),
                    ""
                )
            )
        )
    )
)</f>
        <v/>
      </c>
      <c r="AM15" s="14" t="str">
        <f>IF($B15="","",
IF(AM$5="","",
IF(Midterm!AM15="",0,
IF(NOT(ISNUMBER(Midterm!AM15)),"NAN",
IF(Midterm!AM15&lt;0,"NEG",
IF(Midterm!AM15&gt;AM$5,"OVER",
IF(AND(AM$5&lt;=100,Midterm!AM15&gt;100),"ERR",
IF(Info!$B$4="Non-board program",
IF(OR(AND(AM$5&gt;0,AM$5&gt;100),AND(AM$5&gt;0,AM$5&lt;100)),
VLOOKUP(FLOOR((Midterm!AM15/AM$5)*100,1),new_transmute,2,FALSE),
VLOOKUP(Midterm!AM15,new_transmute,2,FALSE)
),
IF(Info!$B$4="Board program",
IF(OR(AND(AM$5&gt;0,AM$5&gt;100),AND(AM$5&gt;0,AM$5&lt;100)),
VLOOKUP(FLOOR((Midterm!AM15/AM$5)*100,1),new_transmute,3,FALSE),
VLOOKUP(Midterm!AM15,new_transmute,3,FALSE)
),
IF(Info!$B$4="Board program (Medicine)",
IF(OR(AND(AM$5&gt;0,AM$5&gt;100),AND(AM$5&gt;0,AM$5&lt;100)),
VLOOKUP(FLOOR((Midterm!AM15/AM$5)*100,1),new_transmute,4,FALSE),
VLOOKUP(Midterm!AM15,new_transmute,4,FALSE)
),
""
)
)
)
)
)
)
)
)
))</f>
        <v/>
      </c>
      <c r="AN15" s="14" t="str">
        <f>IF($B15="","",
IF(AN$5="","",
IF(Midterm!AN15="",0,
IF(NOT(ISNUMBER(Midterm!AN15)),"NAN",
IF(Midterm!AN15&lt;0,"NEG",
IF(Midterm!AN15&gt;AN$5,"OVER",
IF(AND(AN$5&lt;=100,Midterm!AN15&gt;100),"ERR",
IF(Info!$B$4="Non-board program",
IF(OR(AND(AN$5&gt;0,AN$5&gt;100),AND(AN$5&gt;0,AN$5&lt;100)),
VLOOKUP(FLOOR((Midterm!AN15/AN$5)*100,1),new_transmute,2,FALSE),
VLOOKUP(Midterm!AN15,new_transmute,2,FALSE)
),
IF(Info!$B$4="Board program",
IF(OR(AND(AN$5&gt;0,AN$5&gt;100),AND(AN$5&gt;0,AN$5&lt;100)),
VLOOKUP(FLOOR((Midterm!AN15/AN$5)*100,1),new_transmute,3,FALSE),
VLOOKUP(Midterm!AN15,new_transmute,3,FALSE)
),
IF(Info!$B$4="Board program (Medicine)",
IF(OR(AND(AN$5&gt;0,AN$5&gt;100),AND(AN$5&gt;0,AN$5&lt;100)),
VLOOKUP(FLOOR((Midterm!AN15/AN$5)*100,1),new_transmute,4,FALSE),
VLOOKUP(Midterm!AN15,new_transmute,4,FALSE)
),
""
)
)
)
)
)
)
)
)
))</f>
        <v/>
      </c>
      <c r="AO15" s="14" t="str">
        <f>IF($B15="","",
IF(AO$5="","",
IF(Midterm!AO15="",0,
IF(NOT(ISNUMBER(Midterm!AO15)),"NAN",
IF(Midterm!AO15&lt;0,"NEG",
IF(Midterm!AO15&gt;AO$5,"OVER",
IF(AND(AO$5&lt;=100,Midterm!AO15&gt;100),"ERR",
IF(Info!$B$4="Non-board program",
IF(OR(AND(AO$5&gt;0,AO$5&gt;100),AND(AO$5&gt;0,AO$5&lt;100)),
VLOOKUP(FLOOR((Midterm!AO15/AO$5)*100,1),new_transmute,2,FALSE),
VLOOKUP(Midterm!AO15,new_transmute,2,FALSE)
),
IF(Info!$B$4="Board program",
IF(OR(AND(AO$5&gt;0,AO$5&gt;100),AND(AO$5&gt;0,AO$5&lt;100)),
VLOOKUP(FLOOR((Midterm!AO15/AO$5)*100,1),new_transmute,3,FALSE),
VLOOKUP(Midterm!AO15,new_transmute,3,FALSE)
),
IF(Info!$B$4="Board program (Medicine)",
IF(OR(AND(AO$5&gt;0,AO$5&gt;100),AND(AO$5&gt;0,AO$5&lt;100)),
VLOOKUP(FLOOR((Midterm!AO15/AO$5)*100,1),new_transmute,4,FALSE),
VLOOKUP(Midterm!AO15,new_transmute,4,FALSE)
),
""
)
)
)
)
)
)
)
)
))</f>
        <v/>
      </c>
      <c r="AP15" s="14" t="str">
        <f>IF($B15="","",
IF(AP$5="","",
IF(Midterm!AP15="",0,
IF(NOT(ISNUMBER(Midterm!AP15)),"NAN",
IF(Midterm!AP15&lt;0,"NEG",
IF(Midterm!AP15&gt;AP$5,"OVER",
IF(AND(AP$5&lt;=100,Midterm!AP15&gt;100),"ERR",
IF(Info!$B$4="Non-board program",
IF(OR(AND(AP$5&gt;0,AP$5&gt;100),AND(AP$5&gt;0,AP$5&lt;100)),
VLOOKUP(FLOOR((Midterm!AP15/AP$5)*100,1),new_transmute,2,FALSE),
VLOOKUP(Midterm!AP15,new_transmute,2,FALSE)
),
IF(Info!$B$4="Board program",
IF(OR(AND(AP$5&gt;0,AP$5&gt;100),AND(AP$5&gt;0,AP$5&lt;100)),
VLOOKUP(FLOOR((Midterm!AP15/AP$5)*100,1),new_transmute,3,FALSE),
VLOOKUP(Midterm!AP15,new_transmute,3,FALSE)
),
IF(Info!$B$4="Board program (Medicine)",
IF(OR(AND(AP$5&gt;0,AP$5&gt;100),AND(AP$5&gt;0,AP$5&lt;100)),
VLOOKUP(FLOOR((Midterm!AP15/AP$5)*100,1),new_transmute,4,FALSE),
VLOOKUP(Midterm!AP15,new_transmute,4,FALSE)
),
""
)
)
)
)
)
)
)
)
))</f>
        <v/>
      </c>
      <c r="AQ15" s="61" t="str">
        <f t="shared" si="7"/>
        <v/>
      </c>
      <c r="AR15" s="48" t="str">
        <f>IF(Midterm!AR15="","",Midterm!AR15)</f>
        <v/>
      </c>
      <c r="AS15" s="165" t="str">
        <f t="shared" si="8"/>
        <v/>
      </c>
      <c r="AT15" s="14" t="str">
        <f t="shared" si="0"/>
        <v/>
      </c>
      <c r="AU15" s="14" t="str">
        <f>IF(B15="","",VLOOKUP(AT15,'New Grade Equivalent'!$B$3:$C$47,2,FALSE))</f>
        <v/>
      </c>
    </row>
    <row r="16" spans="1:47" x14ac:dyDescent="0.25">
      <c r="A16" s="8">
        <v>11</v>
      </c>
      <c r="B16" s="2" t="str">
        <f>IF('Student List'!C20="","",UPPER(LEFT('Student List'!C20,FIND(",",'Student List'!C20)-1)))</f>
        <v/>
      </c>
      <c r="C16" s="12" t="str">
        <f>IF('Student List'!C20="","",PROPER(MID('Student List'!C20, FIND(",", 'Student List'!C20) + 2, LEN('Student List'!C20) - FIND(",", 'Student List'!C20) - 1)))</f>
        <v/>
      </c>
      <c r="D16" s="127" t="str">
        <f>IF(B16="","",IF(Midterm!D16="", "NA", Midterm!D16))</f>
        <v/>
      </c>
      <c r="E16" s="8" t="str">
        <f>IF(B16="","",
  IF(Info!$B$5="First Year",
    IF(D16="Yes", "DRP",
      IF(D16="No", "WF", "")
    )
  )
)</f>
        <v/>
      </c>
      <c r="F16" s="14" t="str">
        <f>IF($B16="","",
IF(F$5="","",
IF(Midterm!F16="",0,
IF(NOT(ISNUMBER(Midterm!F16)),"NAN",
IF(Midterm!F16&lt;0,"NEG",
IF(Midterm!F16&gt;F$5,"OVER",
IF(AND(F$5&lt;=100,Midterm!F16&gt;100),"ERR",
IF(Info!$B$4="Non-board program",
IF(OR(AND(F$5&gt;0,F$5&gt;100),AND(F$5&gt;0,F$5&lt;100)),
VLOOKUP(FLOOR((Midterm!F16/F$5)*100,1),new_transmute,2,FALSE),
VLOOKUP(Midterm!F16,new_transmute,2,FALSE)
),
IF(Info!$B$4="Board program",
IF(OR(AND(F$5&gt;0,F$5&gt;100),AND(F$5&gt;0,F$5&lt;100)),
VLOOKUP(FLOOR((Midterm!F16/F$5)*100,1),new_transmute,3,FALSE),
VLOOKUP(Midterm!F16,new_transmute,3,FALSE)
),
IF(Info!$B$4="Board program (Medicine)",
IF(OR(AND(F$5&gt;0,F$5&gt;100),AND(F$5&gt;0,F$5&lt;100)),
VLOOKUP(FLOOR((Midterm!F16/F$5)*100,1),new_transmute,4,FALSE),
VLOOKUP(Midterm!F16,new_transmute,4,FALSE)
),
""
)
)
)
)
)
)
)
)
))</f>
        <v/>
      </c>
      <c r="G16" s="57" t="str">
        <f t="shared" si="1"/>
        <v/>
      </c>
      <c r="H16" s="14" t="str">
        <f>IF($B16="","",
IF(H$5="","",
IF(Midterm!H16="",0,
IF(NOT(ISNUMBER(Midterm!H16)),"NAN",
IF(Midterm!H16&lt;0,"NEG",
IF(Midterm!H16&gt;H$5,"OVER",
IF(AND(H$5&lt;=100,Midterm!H16&gt;100),"ERR",
IF(Info!$B$4="Non-board program",
IF(OR(AND(H$5&gt;0,H$5&gt;100),AND(H$5&gt;0,H$5&lt;100)),
VLOOKUP(FLOOR((Midterm!H16/H$5)*100,1),new_transmute,2,FALSE),
VLOOKUP(Midterm!H16,new_transmute,2,FALSE)
),
IF(Info!$B$4="Board program",
IF(OR(AND(H$5&gt;0,H$5&gt;100),AND(H$5&gt;0,H$5&lt;100)),
VLOOKUP(FLOOR((Midterm!H16/H$5)*100,1),new_transmute,3,FALSE),
VLOOKUP(Midterm!H16,new_transmute,3,FALSE)
),
IF(Info!$B$4="Board program (Medicine)",
IF(OR(AND(H$5&gt;0,H$5&gt;100),AND(H$5&gt;0,H$5&lt;100)),
VLOOKUP(FLOOR((Midterm!H16/H$5)*100,1),new_transmute,4,FALSE),
VLOOKUP(Midterm!H16,new_transmute,4,FALSE)
),
""
)
)
)
)
)
)
)
)
))</f>
        <v/>
      </c>
      <c r="I16" s="14" t="str">
        <f>IF($B16="","",
IF(I$5="","",
IF(Midterm!I16="",0,
IF(NOT(ISNUMBER(Midterm!I16)),"NAN",
IF(Midterm!I16&lt;0,"NEG",
IF(Midterm!I16&gt;I$5,"OVER",
IF(AND(I$5&lt;=100,Midterm!I16&gt;100),"ERR",
IF(Info!$B$4="Non-board program",
IF(OR(AND(I$5&gt;0,I$5&gt;100),AND(I$5&gt;0,I$5&lt;100)),
VLOOKUP(FLOOR((Midterm!I16/I$5)*100,1),new_transmute,2,FALSE),
VLOOKUP(Midterm!I16,new_transmute,2,FALSE)
),
IF(Info!$B$4="Board program",
IF(OR(AND(I$5&gt;0,I$5&gt;100),AND(I$5&gt;0,I$5&lt;100)),
VLOOKUP(FLOOR((Midterm!I16/I$5)*100,1),new_transmute,3,FALSE),
VLOOKUP(Midterm!I16,new_transmute,3,FALSE)
),
IF(Info!$B$4="Board program (Medicine)",
IF(OR(AND(I$5&gt;0,I$5&gt;100),AND(I$5&gt;0,I$5&lt;100)),
VLOOKUP(FLOOR((Midterm!I16/I$5)*100,1),new_transmute,4,FALSE),
VLOOKUP(Midterm!I16,new_transmute,4,FALSE)
),
""
)
)
)
)
)
)
)
)
))</f>
        <v/>
      </c>
      <c r="J16" s="14" t="str">
        <f>IF($B16="","",
IF(J$5="","",
IF(Midterm!J16="",0,
IF(NOT(ISNUMBER(Midterm!J16)),"NAN",
IF(Midterm!J16&lt;0,"NEG",
IF(Midterm!J16&gt;J$5,"OVER",
IF(AND(J$5&lt;=100,Midterm!J16&gt;100),"ERR",
IF(Info!$B$4="Non-board program",
IF(OR(AND(J$5&gt;0,J$5&gt;100),AND(J$5&gt;0,J$5&lt;100)),
VLOOKUP(FLOOR((Midterm!J16/J$5)*100,1),new_transmute,2,FALSE),
VLOOKUP(Midterm!J16,new_transmute,2,FALSE)
),
IF(Info!$B$4="Board program",
IF(OR(AND(J$5&gt;0,J$5&gt;100),AND(J$5&gt;0,J$5&lt;100)),
VLOOKUP(FLOOR((Midterm!J16/J$5)*100,1),new_transmute,3,FALSE),
VLOOKUP(Midterm!J16,new_transmute,3,FALSE)
),
IF(Info!$B$4="Board program (Medicine)",
IF(OR(AND(J$5&gt;0,J$5&gt;100),AND(J$5&gt;0,J$5&lt;100)),
VLOOKUP(FLOOR((Midterm!J16/J$5)*100,1),new_transmute,4,FALSE),
VLOOKUP(Midterm!J16,new_transmute,4,FALSE)
),
""
)
)
)
)
)
)
)
)
))</f>
        <v/>
      </c>
      <c r="K16" s="14" t="str">
        <f>IF($B16="","",
IF(K$5="","",
IF(Midterm!K16="",0,
IF(NOT(ISNUMBER(Midterm!K16)),"NAN",
IF(Midterm!K16&lt;0,"NEG",
IF(Midterm!K16&gt;K$5,"OVER",
IF(AND(K$5&lt;=100,Midterm!K16&gt;100),"ERR",
IF(Info!$B$4="Non-board program",
IF(OR(AND(K$5&gt;0,K$5&gt;100),AND(K$5&gt;0,K$5&lt;100)),
VLOOKUP(FLOOR((Midterm!K16/K$5)*100,1),new_transmute,2,FALSE),
VLOOKUP(Midterm!K16,new_transmute,2,FALSE)
),
IF(Info!$B$4="Board program",
IF(OR(AND(K$5&gt;0,K$5&gt;100),AND(K$5&gt;0,K$5&lt;100)),
VLOOKUP(FLOOR((Midterm!K16/K$5)*100,1),new_transmute,3,FALSE),
VLOOKUP(Midterm!K16,new_transmute,3,FALSE)
),
IF(Info!$B$4="Board program (Medicine)",
IF(OR(AND(K$5&gt;0,K$5&gt;100),AND(K$5&gt;0,K$5&lt;100)),
VLOOKUP(FLOOR((Midterm!K16/K$5)*100,1),new_transmute,4,FALSE),
VLOOKUP(Midterm!K16,new_transmute,4,FALSE)
),
""
)
)
)
)
)
)
)
)
))</f>
        <v/>
      </c>
      <c r="L16" s="14" t="str">
        <f>IF($B16="","",
IF(L$5="","",
IF(Midterm!L16="",0,
IF(NOT(ISNUMBER(Midterm!L16)),"NAN",
IF(Midterm!L16&lt;0,"NEG",
IF(Midterm!L16&gt;L$5,"OVER",
IF(AND(L$5&lt;=100,Midterm!L16&gt;100),"ERR",
IF(Info!$B$4="Non-board program",
IF(OR(AND(L$5&gt;0,L$5&gt;100),AND(L$5&gt;0,L$5&lt;100)),
VLOOKUP(FLOOR((Midterm!L16/L$5)*100,1),new_transmute,2,FALSE),
VLOOKUP(Midterm!L16,new_transmute,2,FALSE)
),
IF(Info!$B$4="Board program",
IF(OR(AND(L$5&gt;0,L$5&gt;100),AND(L$5&gt;0,L$5&lt;100)),
VLOOKUP(FLOOR((Midterm!L16/L$5)*100,1),new_transmute,3,FALSE),
VLOOKUP(Midterm!L16,new_transmute,3,FALSE)
),
IF(Info!$B$4="Board program (Medicine)",
IF(OR(AND(L$5&gt;0,L$5&gt;100),AND(L$5&gt;0,L$5&lt;100)),
VLOOKUP(FLOOR((Midterm!L16/L$5)*100,1),new_transmute,4,FALSE),
VLOOKUP(Midterm!L16,new_transmute,4,FALSE)
),
""
)
)
)
)
)
)
)
)
))</f>
        <v/>
      </c>
      <c r="M16" s="111" t="str">
        <f t="shared" si="2"/>
        <v/>
      </c>
      <c r="N16" s="14" t="str">
        <f>IF($B16="","",
IF(N$5="","",
IF(Midterm!N16="",0,
IF(NOT(ISNUMBER(Midterm!N16)),"NAN",
IF(Midterm!N16&lt;0,"NEG",
IF(Midterm!N16&gt;N$5,"OVER",
IF(AND(N$5&lt;=100,Midterm!N16&gt;100),"ERR",
IF(Info!$B$4="Non-board program",
IF(OR(AND(N$5&gt;0,N$5&gt;100),AND(N$5&gt;0,N$5&lt;100)),
VLOOKUP(FLOOR((Midterm!N16/N$5)*100,1),new_transmute,2,FALSE),
VLOOKUP(Midterm!N16,new_transmute,2,FALSE)
),
IF(Info!$B$4="Board program",
IF(OR(AND(N$5&gt;0,N$5&gt;100),AND(N$5&gt;0,N$5&lt;100)),
VLOOKUP(FLOOR((Midterm!N16/N$5)*100,1),new_transmute,3,FALSE),
VLOOKUP(Midterm!N16,new_transmute,3,FALSE)
),
IF(Info!$B$4="Board program (Medicine)",
IF(OR(AND(N$5&gt;0,N$5&gt;100),AND(N$5&gt;0,N$5&lt;100)),
VLOOKUP(FLOOR((Midterm!N16/N$5)*100,1),new_transmute,4,FALSE),
VLOOKUP(Midterm!N16,new_transmute,4,FALSE)
),
""
)
)
)
)
)
)
)
)
))</f>
        <v/>
      </c>
      <c r="O16" s="14" t="str">
        <f>IF($B16="","",
IF(O$5="","",
IF(Midterm!O16="",0,
IF(NOT(ISNUMBER(Midterm!O16)),"NAN",
IF(Midterm!O16&lt;0,"NEG",
IF(Midterm!O16&gt;O$5,"OVER",
IF(AND(O$5&lt;=100,Midterm!O16&gt;100),"ERR",
IF(Info!$B$4="Non-board program",
IF(OR(AND(O$5&gt;0,O$5&gt;100),AND(O$5&gt;0,O$5&lt;100)),
VLOOKUP(FLOOR((Midterm!O16/O$5)*100,1),new_transmute,2,FALSE),
VLOOKUP(Midterm!O16,new_transmute,2,FALSE)
),
IF(Info!$B$4="Board program",
IF(OR(AND(O$5&gt;0,O$5&gt;100),AND(O$5&gt;0,O$5&lt;100)),
VLOOKUP(FLOOR((Midterm!O16/O$5)*100,1),new_transmute,3,FALSE),
VLOOKUP(Midterm!O16,new_transmute,3,FALSE)
),
IF(Info!$B$4="Board program (Medicine)",
IF(OR(AND(O$5&gt;0,O$5&gt;100),AND(O$5&gt;0,O$5&lt;100)),
VLOOKUP(FLOOR((Midterm!O16/O$5)*100,1),new_transmute,4,FALSE),
VLOOKUP(Midterm!O16,new_transmute,4,FALSE)
),
""
)
)
)
)
)
)
)
)
))</f>
        <v/>
      </c>
      <c r="P16" s="14" t="str">
        <f>IF($B16="","",
IF(P$5="","",
IF(Midterm!P16="",0,
IF(NOT(ISNUMBER(Midterm!P16)),"NAN",
IF(Midterm!P16&lt;0,"NEG",
IF(Midterm!P16&gt;P$5,"OVER",
IF(AND(P$5&lt;=100,Midterm!P16&gt;100),"ERR",
IF(Info!$B$4="Non-board program",
IF(OR(AND(P$5&gt;0,P$5&gt;100),AND(P$5&gt;0,P$5&lt;100)),
VLOOKUP(FLOOR((Midterm!P16/P$5)*100,1),new_transmute,2,FALSE),
VLOOKUP(Midterm!P16,new_transmute,2,FALSE)
),
IF(Info!$B$4="Board program",
IF(OR(AND(P$5&gt;0,P$5&gt;100),AND(P$5&gt;0,P$5&lt;100)),
VLOOKUP(FLOOR((Midterm!P16/P$5)*100,1),new_transmute,3,FALSE),
VLOOKUP(Midterm!P16,new_transmute,3,FALSE)
),
IF(Info!$B$4="Board program (Medicine)",
IF(OR(AND(P$5&gt;0,P$5&gt;100),AND(P$5&gt;0,P$5&lt;100)),
VLOOKUP(FLOOR((Midterm!P16/P$5)*100,1),new_transmute,4,FALSE),
VLOOKUP(Midterm!P16,new_transmute,4,FALSE)
),
""
)
)
)
)
)
)
)
)
))</f>
        <v/>
      </c>
      <c r="Q16" s="14" t="str">
        <f>IF($B16="","",
IF(Q$5="","",
IF(Midterm!Q16="",0,
IF(NOT(ISNUMBER(Midterm!Q16)),"NAN",
IF(Midterm!Q16&lt;0,"NEG",
IF(Midterm!Q16&gt;Q$5,"OVER",
IF(AND(Q$5&lt;=100,Midterm!Q16&gt;100),"ERR",
IF(Info!$B$4="Non-board program",
IF(OR(AND(Q$5&gt;0,Q$5&gt;100),AND(Q$5&gt;0,Q$5&lt;100)),
VLOOKUP(FLOOR((Midterm!Q16/Q$5)*100,1),new_transmute,2,FALSE),
VLOOKUP(Midterm!Q16,new_transmute,2,FALSE)
),
IF(Info!$B$4="Board program",
IF(OR(AND(Q$5&gt;0,Q$5&gt;100),AND(Q$5&gt;0,Q$5&lt;100)),
VLOOKUP(FLOOR((Midterm!Q16/Q$5)*100,1),new_transmute,3,FALSE),
VLOOKUP(Midterm!Q16,new_transmute,3,FALSE)
),
IF(Info!$B$4="Board program (Medicine)",
IF(OR(AND(Q$5&gt;0,Q$5&gt;100),AND(Q$5&gt;0,Q$5&lt;100)),
VLOOKUP(FLOOR((Midterm!Q16/Q$5)*100,1),new_transmute,4,FALSE),
VLOOKUP(Midterm!Q16,new_transmute,4,FALSE)
),
""
)
)
)
)
)
)
)
)
))</f>
        <v/>
      </c>
      <c r="R16" s="14" t="str">
        <f>IF($B16="","",
IF(R$5="","",
IF(Midterm!R16="",0,
IF(NOT(ISNUMBER(Midterm!R16)),"NAN",
IF(Midterm!R16&lt;0,"NEG",
IF(Midterm!R16&gt;R$5,"OVER",
IF(AND(R$5&lt;=100,Midterm!R16&gt;100),"ERR",
IF(Info!$B$4="Non-board program",
IF(OR(AND(R$5&gt;0,R$5&gt;100),AND(R$5&gt;0,R$5&lt;100)),
VLOOKUP(FLOOR((Midterm!R16/R$5)*100,1),new_transmute,2,FALSE),
VLOOKUP(Midterm!R16,new_transmute,2,FALSE)
),
IF(Info!$B$4="Board program",
IF(OR(AND(R$5&gt;0,R$5&gt;100),AND(R$5&gt;0,R$5&lt;100)),
VLOOKUP(FLOOR((Midterm!R16/R$5)*100,1),new_transmute,3,FALSE),
VLOOKUP(Midterm!R16,new_transmute,3,FALSE)
),
IF(Info!$B$4="Board program (Medicine)",
IF(OR(AND(R$5&gt;0,R$5&gt;100),AND(R$5&gt;0,R$5&lt;100)),
VLOOKUP(FLOOR((Midterm!R16/R$5)*100,1),new_transmute,4,FALSE),
VLOOKUP(Midterm!R16,new_transmute,4,FALSE)
),
""
)
)
)
)
)
)
)
)
))</f>
        <v/>
      </c>
      <c r="S16" s="115" t="str">
        <f t="shared" si="3"/>
        <v/>
      </c>
      <c r="T16" s="14" t="str">
        <f>IF($B16="","",
IF(T$5="","",
IF(Midterm!T16="",0,
IF(NOT(ISNUMBER(Midterm!T16)),"NAN",
IF(Midterm!T16&lt;0,"NEG",
IF(Midterm!T16&gt;T$5,"OVER",
IF(AND(T$5&lt;=100,Midterm!T16&gt;100),"ERR",
IF(Info!$B$4="Non-board program",
IF(OR(AND(T$5&gt;0,T$5&gt;100),AND(T$5&gt;0,T$5&lt;100)),
VLOOKUP(FLOOR((Midterm!T16/T$5)*100,1),new_transmute,2,FALSE),
VLOOKUP(Midterm!T16,new_transmute,2,FALSE)
),
IF(Info!$B$4="Board program",
IF(OR(AND(T$5&gt;0,T$5&gt;100),AND(T$5&gt;0,T$5&lt;100)),
VLOOKUP(FLOOR((Midterm!T16/T$5)*100,1),new_transmute,3,FALSE),
VLOOKUP(Midterm!T16,new_transmute,3,FALSE)
),
IF(Info!$B$4="Board program (Medicine)",
IF(OR(AND(T$5&gt;0,T$5&gt;100),AND(T$5&gt;0,T$5&lt;100)),
VLOOKUP(FLOOR((Midterm!T16/T$5)*100,1),new_transmute,4,FALSE),
VLOOKUP(Midterm!T16,new_transmute,4,FALSE)
),
""
)
)
)
)
)
)
)
)
))</f>
        <v/>
      </c>
      <c r="U16" s="14" t="str">
        <f>IF($B16="","",
IF(U$5="","",
IF(Midterm!U16="",0,
IF(NOT(ISNUMBER(Midterm!U16)),"NAN",
IF(Midterm!U16&lt;0,"NEG",
IF(Midterm!U16&gt;U$5,"OVER",
IF(AND(U$5&lt;=100,Midterm!U16&gt;100),"ERR",
IF(Info!$B$4="Non-board program",
IF(OR(AND(U$5&gt;0,U$5&gt;100),AND(U$5&gt;0,U$5&lt;100)),
VLOOKUP(FLOOR((Midterm!U16/U$5)*100,1),new_transmute,2,FALSE),
VLOOKUP(Midterm!U16,new_transmute,2,FALSE)
),
IF(Info!$B$4="Board program",
IF(OR(AND(U$5&gt;0,U$5&gt;100),AND(U$5&gt;0,U$5&lt;100)),
VLOOKUP(FLOOR((Midterm!U16/U$5)*100,1),new_transmute,3,FALSE),
VLOOKUP(Midterm!U16,new_transmute,3,FALSE)
),
IF(Info!$B$4="Board program (Medicine)",
IF(OR(AND(U$5&gt;0,U$5&gt;100),AND(U$5&gt;0,U$5&lt;100)),
VLOOKUP(FLOOR((Midterm!U16/U$5)*100,1),new_transmute,4,FALSE),
VLOOKUP(Midterm!U16,new_transmute,4,FALSE)
),
""
)
)
)
)
)
)
)
)
))</f>
        <v/>
      </c>
      <c r="V16" s="14" t="str">
        <f>IF($B16="","",
IF(V$5="","",
IF(Midterm!V16="",0,
IF(NOT(ISNUMBER(Midterm!V16)),"NAN",
IF(Midterm!V16&lt;0,"NEG",
IF(Midterm!V16&gt;V$5,"OVER",
IF(AND(V$5&lt;=100,Midterm!V16&gt;100),"ERR",
IF(Info!$B$4="Non-board program",
IF(OR(AND(V$5&gt;0,V$5&gt;100),AND(V$5&gt;0,V$5&lt;100)),
VLOOKUP(FLOOR((Midterm!V16/V$5)*100,1),new_transmute,2,FALSE),
VLOOKUP(Midterm!V16,new_transmute,2,FALSE)
),
IF(Info!$B$4="Board program",
IF(OR(AND(V$5&gt;0,V$5&gt;100),AND(V$5&gt;0,V$5&lt;100)),
VLOOKUP(FLOOR((Midterm!V16/V$5)*100,1),new_transmute,3,FALSE),
VLOOKUP(Midterm!V16,new_transmute,3,FALSE)
),
IF(Info!$B$4="Board program (Medicine)",
IF(OR(AND(V$5&gt;0,V$5&gt;100),AND(V$5&gt;0,V$5&lt;100)),
VLOOKUP(FLOOR((Midterm!V16/V$5)*100,1),new_transmute,4,FALSE),
VLOOKUP(Midterm!V16,new_transmute,4,FALSE)
),
""
)
)
)
)
)
)
)
)
))</f>
        <v/>
      </c>
      <c r="W16" s="14" t="str">
        <f>IF($B16="","",
IF(W$5="","",
IF(Midterm!W16="",0,
IF(NOT(ISNUMBER(Midterm!W16)),"NAN",
IF(Midterm!W16&lt;0,"NEG",
IF(Midterm!W16&gt;W$5,"OVER",
IF(AND(W$5&lt;=100,Midterm!W16&gt;100),"ERR",
IF(Info!$B$4="Non-board program",
IF(OR(AND(W$5&gt;0,W$5&gt;100),AND(W$5&gt;0,W$5&lt;100)),
VLOOKUP(FLOOR((Midterm!W16/W$5)*100,1),new_transmute,2,FALSE),
VLOOKUP(Midterm!W16,new_transmute,2,FALSE)
),
IF(Info!$B$4="Board program",
IF(OR(AND(W$5&gt;0,W$5&gt;100),AND(W$5&gt;0,W$5&lt;100)),
VLOOKUP(FLOOR((Midterm!W16/W$5)*100,1),new_transmute,3,FALSE),
VLOOKUP(Midterm!W16,new_transmute,3,FALSE)
),
IF(Info!$B$4="Board program (Medicine)",
IF(OR(AND(W$5&gt;0,W$5&gt;100),AND(W$5&gt;0,W$5&lt;100)),
VLOOKUP(FLOOR((Midterm!W16/W$5)*100,1),new_transmute,4,FALSE),
VLOOKUP(Midterm!W16,new_transmute,4,FALSE)
),
""
)
)
)
)
)
)
)
)
))</f>
        <v/>
      </c>
      <c r="X16" s="14" t="str">
        <f>IF($B16="","",
IF(X$5="","",
IF(Midterm!X16="",0,
IF(NOT(ISNUMBER(Midterm!X16)),"NAN",
IF(Midterm!X16&lt;0,"NEG",
IF(Midterm!X16&gt;X$5,"OVER",
IF(AND(X$5&lt;=100,Midterm!X16&gt;100),"ERR",
IF(Info!$B$4="Non-board program",
IF(OR(AND(X$5&gt;0,X$5&gt;100),AND(X$5&gt;0,X$5&lt;100)),
VLOOKUP(FLOOR((Midterm!X16/X$5)*100,1),new_transmute,2,FALSE),
VLOOKUP(Midterm!X16,new_transmute,2,FALSE)
),
IF(Info!$B$4="Board program",
IF(OR(AND(X$5&gt;0,X$5&gt;100),AND(X$5&gt;0,X$5&lt;100)),
VLOOKUP(FLOOR((Midterm!X16/X$5)*100,1),new_transmute,3,FALSE),
VLOOKUP(Midterm!X16,new_transmute,3,FALSE)
),
IF(Info!$B$4="Board program (Medicine)",
IF(OR(AND(X$5&gt;0,X$5&gt;100),AND(X$5&gt;0,X$5&lt;100)),
VLOOKUP(FLOOR((Midterm!X16/X$5)*100,1),new_transmute,4,FALSE),
VLOOKUP(Midterm!X16,new_transmute,4,FALSE)
),
""
)
)
)
)
)
)
)
)
))</f>
        <v/>
      </c>
      <c r="Y16" s="112" t="str">
        <f t="shared" si="4"/>
        <v/>
      </c>
      <c r="Z16" s="14" t="str">
        <f>IF($B16="","",
IF(Z$5="","",
IF(Midterm!Z16="",0,
IF(NOT(ISNUMBER(Midterm!Z16)),"NAN",
IF(Midterm!Z16&lt;0,"NEG",
IF(Midterm!Z16&gt;Z$5,"OVER",
IF(AND(Z$5&lt;=100,Midterm!Z16&gt;100),"ERR",
IF(Info!$B$4="Non-board program",
IF(OR(AND(Z$5&gt;0,Z$5&gt;100),AND(Z$5&gt;0,Z$5&lt;100)),
VLOOKUP(FLOOR((Midterm!Z16/Z$5)*100,1),new_transmute,2,FALSE),
VLOOKUP(Midterm!Z16,new_transmute,2,FALSE)
),
IF(Info!$B$4="Board program",
IF(OR(AND(Z$5&gt;0,Z$5&gt;100),AND(Z$5&gt;0,Z$5&lt;100)),
VLOOKUP(FLOOR((Midterm!Z16/Z$5)*100,1),new_transmute,3,FALSE),
VLOOKUP(Midterm!Z16,new_transmute,3,FALSE)
),
IF(Info!$B$4="Board program (Medicine)",
IF(OR(AND(Z$5&gt;0,Z$5&gt;100),AND(Z$5&gt;0,Z$5&lt;100)),
VLOOKUP(FLOOR((Midterm!Z16/Z$5)*100,1),new_transmute,4,FALSE),
VLOOKUP(Midterm!Z16,new_transmute,4,FALSE)
),
""
)
)
)
)
)
)
)
)
))</f>
        <v/>
      </c>
      <c r="AA16" s="14" t="str">
        <f>IF($B16="","",
IF(AA$5="","",
IF(Midterm!AA16="",0,
IF(NOT(ISNUMBER(Midterm!AA16)),"NAN",
IF(Midterm!AA16&lt;0,"NEG",
IF(Midterm!AA16&gt;AA$5,"OVER",
IF(AND(AA$5&lt;=100,Midterm!AA16&gt;100),"ERR",
IF(Info!$B$4="Non-board program",
IF(OR(AND(AA$5&gt;0,AA$5&gt;100),AND(AA$5&gt;0,AA$5&lt;100)),
VLOOKUP(FLOOR((Midterm!AA16/AA$5)*100,1),new_transmute,2,FALSE),
VLOOKUP(Midterm!AA16,new_transmute,2,FALSE)
),
IF(Info!$B$4="Board program",
IF(OR(AND(AA$5&gt;0,AA$5&gt;100),AND(AA$5&gt;0,AA$5&lt;100)),
VLOOKUP(FLOOR((Midterm!AA16/AA$5)*100,1),new_transmute,3,FALSE),
VLOOKUP(Midterm!AA16,new_transmute,3,FALSE)
),
IF(Info!$B$4="Board program (Medicine)",
IF(OR(AND(AA$5&gt;0,AA$5&gt;100),AND(AA$5&gt;0,AA$5&lt;100)),
VLOOKUP(FLOOR((Midterm!AA16/AA$5)*100,1),new_transmute,4,FALSE),
VLOOKUP(Midterm!AA16,new_transmute,4,FALSE)
),
""
)
)
)
)
)
)
)
)
))</f>
        <v/>
      </c>
      <c r="AB16" s="14" t="str">
        <f>IF($B16="","",
IF(AB$5="","",
IF(Midterm!AB16="",0,
IF(NOT(ISNUMBER(Midterm!AB16)),"NAN",
IF(Midterm!AB16&lt;0,"NEG",
IF(Midterm!AB16&gt;AB$5,"OVER",
IF(AND(AB$5&lt;=100,Midterm!AB16&gt;100),"ERR",
IF(Info!$B$4="Non-board program",
IF(OR(AND(AB$5&gt;0,AB$5&gt;100),AND(AB$5&gt;0,AB$5&lt;100)),
VLOOKUP(FLOOR((Midterm!AB16/AB$5)*100,1),new_transmute,2,FALSE),
VLOOKUP(Midterm!AB16,new_transmute,2,FALSE)
),
IF(Info!$B$4="Board program",
IF(OR(AND(AB$5&gt;0,AB$5&gt;100),AND(AB$5&gt;0,AB$5&lt;100)),
VLOOKUP(FLOOR((Midterm!AB16/AB$5)*100,1),new_transmute,3,FALSE),
VLOOKUP(Midterm!AB16,new_transmute,3,FALSE)
),
IF(Info!$B$4="Board program (Medicine)",
IF(OR(AND(AB$5&gt;0,AB$5&gt;100),AND(AB$5&gt;0,AB$5&lt;100)),
VLOOKUP(FLOOR((Midterm!AB16/AB$5)*100,1),new_transmute,4,FALSE),
VLOOKUP(Midterm!AB16,new_transmute,4,FALSE)
),
""
)
)
)
)
)
)
)
)
))</f>
        <v/>
      </c>
      <c r="AC16" s="14" t="str">
        <f>IF($B16="","",
IF(AC$5="","",
IF(Midterm!AC16="",0,
IF(NOT(ISNUMBER(Midterm!AC16)),"NAN",
IF(Midterm!AC16&lt;0,"NEG",
IF(Midterm!AC16&gt;AC$5,"OVER",
IF(AND(AC$5&lt;=100,Midterm!AC16&gt;100),"ERR",
IF(Info!$B$4="Non-board program",
IF(OR(AND(AC$5&gt;0,AC$5&gt;100),AND(AC$5&gt;0,AC$5&lt;100)),
VLOOKUP(FLOOR((Midterm!AC16/AC$5)*100,1),new_transmute,2,FALSE),
VLOOKUP(Midterm!AC16,new_transmute,2,FALSE)
),
IF(Info!$B$4="Board program",
IF(OR(AND(AC$5&gt;0,AC$5&gt;100),AND(AC$5&gt;0,AC$5&lt;100)),
VLOOKUP(FLOOR((Midterm!AC16/AC$5)*100,1),new_transmute,3,FALSE),
VLOOKUP(Midterm!AC16,new_transmute,3,FALSE)
),
IF(Info!$B$4="Board program (Medicine)",
IF(OR(AND(AC$5&gt;0,AC$5&gt;100),AND(AC$5&gt;0,AC$5&lt;100)),
VLOOKUP(FLOOR((Midterm!AC16/AC$5)*100,1),new_transmute,4,FALSE),
VLOOKUP(Midterm!AC16,new_transmute,4,FALSE)
),
""
)
)
)
)
)
)
)
)
))</f>
        <v/>
      </c>
      <c r="AD16" s="14" t="str">
        <f>IF($B16="","",
IF(AD$5="","",
IF(Midterm!AD16="",0,
IF(NOT(ISNUMBER(Midterm!AD16)),"NAN",
IF(Midterm!AD16&lt;0,"NEG",
IF(Midterm!AD16&gt;AD$5,"OVER",
IF(AND(AD$5&lt;=100,Midterm!AD16&gt;100),"ERR",
IF(Info!$B$4="Non-board program",
IF(OR(AND(AD$5&gt;0,AD$5&gt;100),AND(AD$5&gt;0,AD$5&lt;100)),
VLOOKUP(FLOOR((Midterm!AD16/AD$5)*100,1),new_transmute,2,FALSE),
VLOOKUP(Midterm!AD16,new_transmute,2,FALSE)
),
IF(Info!$B$4="Board program",
IF(OR(AND(AD$5&gt;0,AD$5&gt;100),AND(AD$5&gt;0,AD$5&lt;100)),
VLOOKUP(FLOOR((Midterm!AD16/AD$5)*100,1),new_transmute,3,FALSE),
VLOOKUP(Midterm!AD16,new_transmute,3,FALSE)
),
IF(Info!$B$4="Board program (Medicine)",
IF(OR(AND(AD$5&gt;0,AD$5&gt;100),AND(AD$5&gt;0,AD$5&lt;100)),
VLOOKUP(FLOOR((Midterm!AD16/AD$5)*100,1),new_transmute,4,FALSE),
VLOOKUP(Midterm!AD16,new_transmute,4,FALSE)
),
""
)
)
)
)
)
)
)
)
))</f>
        <v/>
      </c>
      <c r="AE16" s="58" t="str">
        <f t="shared" si="5"/>
        <v/>
      </c>
      <c r="AF16" s="14" t="str">
        <f>IF($B16="","",
IF(AF$5="","",
IF(Midterm!AF16="",0,
IF(NOT(ISNUMBER(Midterm!AF16)),"NAN",
IF(Midterm!AF16&lt;0,"NEG",
IF(Midterm!AF16&gt;AF$5,"OVER",
IF(AND(AF$5&lt;=100,Midterm!AF16&gt;100),"ERR",
IF(Info!$B$4="Non-board program",
IF(OR(AND(AF$5&gt;0,AF$5&gt;100),AND(AF$5&gt;0,AF$5&lt;100)),
VLOOKUP(FLOOR((Midterm!AF16/AF$5)*100,1),new_transmute,2,FALSE),
VLOOKUP(Midterm!AF16,new_transmute,2,FALSE)
),
IF(Info!$B$4="Board program",
IF(OR(AND(AF$5&gt;0,AF$5&gt;100),AND(AF$5&gt;0,AF$5&lt;100)),
VLOOKUP(FLOOR((Midterm!AF16/AF$5)*100,1),new_transmute,3,FALSE),
VLOOKUP(Midterm!AF16,new_transmute,3,FALSE)
),
IF(Info!$B$4="Board program (Medicine)",
IF(OR(AND(AF$5&gt;0,AF$5&gt;100),AND(AF$5&gt;0,AF$5&lt;100)),
VLOOKUP(FLOOR((Midterm!AF16/AF$5)*100,1),new_transmute,4,FALSE),
VLOOKUP(Midterm!AF16,new_transmute,4,FALSE)
),
""
)
)
)
)
)
)
)
)
))</f>
        <v/>
      </c>
      <c r="AG16" s="14" t="str">
        <f>IF($B16="","",
IF(AG$5="","",
IF(Midterm!AG16="",0,
IF(NOT(ISNUMBER(Midterm!AG16)),"NAN",
IF(Midterm!AG16&lt;0,"NEG",
IF(Midterm!AG16&gt;AG$5,"OVER",
IF(AND(AG$5&lt;=100,Midterm!AG16&gt;100),"ERR",
IF(Info!$B$4="Non-board program",
IF(OR(AND(AG$5&gt;0,AG$5&gt;100),AND(AG$5&gt;0,AG$5&lt;100)),
VLOOKUP(FLOOR((Midterm!AG16/AG$5)*100,1),new_transmute,2,FALSE),
VLOOKUP(Midterm!AG16,new_transmute,2,FALSE)
),
IF(Info!$B$4="Board program",
IF(OR(AND(AG$5&gt;0,AG$5&gt;100),AND(AG$5&gt;0,AG$5&lt;100)),
VLOOKUP(FLOOR((Midterm!AG16/AG$5)*100,1),new_transmute,3,FALSE),
VLOOKUP(Midterm!AG16,new_transmute,3,FALSE)
),
IF(Info!$B$4="Board program (Medicine)",
IF(OR(AND(AG$5&gt;0,AG$5&gt;100),AND(AG$5&gt;0,AG$5&lt;100)),
VLOOKUP(FLOOR((Midterm!AG16/AG$5)*100,1),new_transmute,4,FALSE),
VLOOKUP(Midterm!AG16,new_transmute,4,FALSE)
),
""
)
)
)
)
)
)
)
)
))</f>
        <v/>
      </c>
      <c r="AH16" s="14" t="str">
        <f>IF($B16="","",
IF(AH$5="","",
IF(Midterm!AH16="",0,
IF(NOT(ISNUMBER(Midterm!AH16)),"NAN",
IF(Midterm!AH16&lt;0,"NEG",
IF(Midterm!AH16&gt;AH$5,"OVER",
IF(AND(AH$5&lt;=100,Midterm!AH16&gt;100),"ERR",
IF(Info!$B$4="Non-board program",
IF(OR(AND(AH$5&gt;0,AH$5&gt;100),AND(AH$5&gt;0,AH$5&lt;100)),
VLOOKUP(FLOOR((Midterm!AH16/AH$5)*100,1),new_transmute,2,FALSE),
VLOOKUP(Midterm!AH16,new_transmute,2,FALSE)
),
IF(Info!$B$4="Board program",
IF(OR(AND(AH$5&gt;0,AH$5&gt;100),AND(AH$5&gt;0,AH$5&lt;100)),
VLOOKUP(FLOOR((Midterm!AH16/AH$5)*100,1),new_transmute,3,FALSE),
VLOOKUP(Midterm!AH16,new_transmute,3,FALSE)
),
IF(Info!$B$4="Board program (Medicine)",
IF(OR(AND(AH$5&gt;0,AH$5&gt;100),AND(AH$5&gt;0,AH$5&lt;100)),
VLOOKUP(FLOOR((Midterm!AH16/AH$5)*100,1),new_transmute,4,FALSE),
VLOOKUP(Midterm!AH16,new_transmute,4,FALSE)
),
""
)
)
)
)
)
)
)
)
))</f>
        <v/>
      </c>
      <c r="AI16" s="14" t="str">
        <f>IF($B16="","",
IF(AI$5="","",
IF(Midterm!AI16="",0,
IF(NOT(ISNUMBER(Midterm!AI16)),"NAN",
IF(Midterm!AI16&lt;0,"NEG",
IF(Midterm!AI16&gt;AI$5,"OVER",
IF(AND(AI$5&lt;=100,Midterm!AI16&gt;100),"ERR",
IF(Info!$B$4="Non-board program",
IF(OR(AND(AI$5&gt;0,AI$5&gt;100),AND(AI$5&gt;0,AI$5&lt;100)),
VLOOKUP(FLOOR((Midterm!AI16/AI$5)*100,1),new_transmute,2,FALSE),
VLOOKUP(Midterm!AI16,new_transmute,2,FALSE)
),
IF(Info!$B$4="Board program",
IF(OR(AND(AI$5&gt;0,AI$5&gt;100),AND(AI$5&gt;0,AI$5&lt;100)),
VLOOKUP(FLOOR((Midterm!AI16/AI$5)*100,1),new_transmute,3,FALSE),
VLOOKUP(Midterm!AI16,new_transmute,3,FALSE)
),
IF(Info!$B$4="Board program (Medicine)",
IF(OR(AND(AI$5&gt;0,AI$5&gt;100),AND(AI$5&gt;0,AI$5&lt;100)),
VLOOKUP(FLOOR((Midterm!AI16/AI$5)*100,1),new_transmute,4,FALSE),
VLOOKUP(Midterm!AI16,new_transmute,4,FALSE)
),
""
)
)
)
)
)
)
)
)
))</f>
        <v/>
      </c>
      <c r="AJ16" s="14" t="str">
        <f>IF($B16="","",
IF(AJ$5="","",
IF(Midterm!AJ16="",0,
IF(NOT(ISNUMBER(Midterm!AJ16)),"NAN",
IF(Midterm!AJ16&lt;0,"NEG",
IF(Midterm!AJ16&gt;AJ$5,"OVER",
IF(AND(AJ$5&lt;=100,Midterm!AJ16&gt;100),"ERR",
IF(Info!$B$4="Non-board program",
IF(OR(AND(AJ$5&gt;0,AJ$5&gt;100),AND(AJ$5&gt;0,AJ$5&lt;100)),
VLOOKUP(FLOOR((Midterm!AJ16/AJ$5)*100,1),new_transmute,2,FALSE),
VLOOKUP(Midterm!AJ16,new_transmute,2,FALSE)
),
IF(Info!$B$4="Board program",
IF(OR(AND(AJ$5&gt;0,AJ$5&gt;100),AND(AJ$5&gt;0,AJ$5&lt;100)),
VLOOKUP(FLOOR((Midterm!AJ16/AJ$5)*100,1),new_transmute,3,FALSE),
VLOOKUP(Midterm!AJ16,new_transmute,3,FALSE)
),
IF(Info!$B$4="Board program (Medicine)",
IF(OR(AND(AJ$5&gt;0,AJ$5&gt;100),AND(AJ$5&gt;0,AJ$5&lt;100)),
VLOOKUP(FLOOR((Midterm!AJ16/AJ$5)*100,1),new_transmute,4,FALSE),
VLOOKUP(Midterm!AJ16,new_transmute,4,FALSE)
),
""
)
)
)
)
)
)
)
)
))</f>
        <v/>
      </c>
      <c r="AK16" s="59" t="str">
        <f t="shared" si="6"/>
        <v/>
      </c>
      <c r="AL16" s="60" t="str">
        <f>IF(B16="", "",
    IF(OR(M16="OVER", S16="OVER", Y16="OVER", AE16="OVER", AK16="OVER"),
        "OVER",
        IF(Info!$B$4="Non-board program",
            VLOOKUP(IFERROR(FLOOR(SUM((M16*$M$4), (S16*$S$4), (Y16*$Y$4), (AE16*$AE$4), (AK16*$AK$4)) * (100 / 60), 1), 0), new_transmute, 2, FALSE),
            IF(Info!$B$4="Board program",
                VLOOKUP(IFERROR(FLOOR(SUM((M16*$M$4), (S16*$S$4), (Y16*$Y$4), (AE16*$AE$4), (AK16*$AK$4)) * (100 / 60), 1), 0), new_transmute, 3, FALSE),
                IF(Info!$B$4="Board program (Medicine)",
                    VLOOKUP(IFERROR(FLOOR(SUM((M16*$M$4), (S16*$S$4), (Y16*$Y$4), (AE16*$AE$4), (AK16*$AK$4)) * (100 / 60), 1), 0), new_transmute, 4, FALSE),
                    ""
                )
            )
        )
    )
)</f>
        <v/>
      </c>
      <c r="AM16" s="14" t="str">
        <f>IF($B16="","",
IF(AM$5="","",
IF(Midterm!AM16="",0,
IF(NOT(ISNUMBER(Midterm!AM16)),"NAN",
IF(Midterm!AM16&lt;0,"NEG",
IF(Midterm!AM16&gt;AM$5,"OVER",
IF(AND(AM$5&lt;=100,Midterm!AM16&gt;100),"ERR",
IF(Info!$B$4="Non-board program",
IF(OR(AND(AM$5&gt;0,AM$5&gt;100),AND(AM$5&gt;0,AM$5&lt;100)),
VLOOKUP(FLOOR((Midterm!AM16/AM$5)*100,1),new_transmute,2,FALSE),
VLOOKUP(Midterm!AM16,new_transmute,2,FALSE)
),
IF(Info!$B$4="Board program",
IF(OR(AND(AM$5&gt;0,AM$5&gt;100),AND(AM$5&gt;0,AM$5&lt;100)),
VLOOKUP(FLOOR((Midterm!AM16/AM$5)*100,1),new_transmute,3,FALSE),
VLOOKUP(Midterm!AM16,new_transmute,3,FALSE)
),
IF(Info!$B$4="Board program (Medicine)",
IF(OR(AND(AM$5&gt;0,AM$5&gt;100),AND(AM$5&gt;0,AM$5&lt;100)),
VLOOKUP(FLOOR((Midterm!AM16/AM$5)*100,1),new_transmute,4,FALSE),
VLOOKUP(Midterm!AM16,new_transmute,4,FALSE)
),
""
)
)
)
)
)
)
)
)
))</f>
        <v/>
      </c>
      <c r="AN16" s="14" t="str">
        <f>IF($B16="","",
IF(AN$5="","",
IF(Midterm!AN16="",0,
IF(NOT(ISNUMBER(Midterm!AN16)),"NAN",
IF(Midterm!AN16&lt;0,"NEG",
IF(Midterm!AN16&gt;AN$5,"OVER",
IF(AND(AN$5&lt;=100,Midterm!AN16&gt;100),"ERR",
IF(Info!$B$4="Non-board program",
IF(OR(AND(AN$5&gt;0,AN$5&gt;100),AND(AN$5&gt;0,AN$5&lt;100)),
VLOOKUP(FLOOR((Midterm!AN16/AN$5)*100,1),new_transmute,2,FALSE),
VLOOKUP(Midterm!AN16,new_transmute,2,FALSE)
),
IF(Info!$B$4="Board program",
IF(OR(AND(AN$5&gt;0,AN$5&gt;100),AND(AN$5&gt;0,AN$5&lt;100)),
VLOOKUP(FLOOR((Midterm!AN16/AN$5)*100,1),new_transmute,3,FALSE),
VLOOKUP(Midterm!AN16,new_transmute,3,FALSE)
),
IF(Info!$B$4="Board program (Medicine)",
IF(OR(AND(AN$5&gt;0,AN$5&gt;100),AND(AN$5&gt;0,AN$5&lt;100)),
VLOOKUP(FLOOR((Midterm!AN16/AN$5)*100,1),new_transmute,4,FALSE),
VLOOKUP(Midterm!AN16,new_transmute,4,FALSE)
),
""
)
)
)
)
)
)
)
)
))</f>
        <v/>
      </c>
      <c r="AO16" s="14" t="str">
        <f>IF($B16="","",
IF(AO$5="","",
IF(Midterm!AO16="",0,
IF(NOT(ISNUMBER(Midterm!AO16)),"NAN",
IF(Midterm!AO16&lt;0,"NEG",
IF(Midterm!AO16&gt;AO$5,"OVER",
IF(AND(AO$5&lt;=100,Midterm!AO16&gt;100),"ERR",
IF(Info!$B$4="Non-board program",
IF(OR(AND(AO$5&gt;0,AO$5&gt;100),AND(AO$5&gt;0,AO$5&lt;100)),
VLOOKUP(FLOOR((Midterm!AO16/AO$5)*100,1),new_transmute,2,FALSE),
VLOOKUP(Midterm!AO16,new_transmute,2,FALSE)
),
IF(Info!$B$4="Board program",
IF(OR(AND(AO$5&gt;0,AO$5&gt;100),AND(AO$5&gt;0,AO$5&lt;100)),
VLOOKUP(FLOOR((Midterm!AO16/AO$5)*100,1),new_transmute,3,FALSE),
VLOOKUP(Midterm!AO16,new_transmute,3,FALSE)
),
IF(Info!$B$4="Board program (Medicine)",
IF(OR(AND(AO$5&gt;0,AO$5&gt;100),AND(AO$5&gt;0,AO$5&lt;100)),
VLOOKUP(FLOOR((Midterm!AO16/AO$5)*100,1),new_transmute,4,FALSE),
VLOOKUP(Midterm!AO16,new_transmute,4,FALSE)
),
""
)
)
)
)
)
)
)
)
))</f>
        <v/>
      </c>
      <c r="AP16" s="14" t="str">
        <f>IF($B16="","",
IF(AP$5="","",
IF(Midterm!AP16="",0,
IF(NOT(ISNUMBER(Midterm!AP16)),"NAN",
IF(Midterm!AP16&lt;0,"NEG",
IF(Midterm!AP16&gt;AP$5,"OVER",
IF(AND(AP$5&lt;=100,Midterm!AP16&gt;100),"ERR",
IF(Info!$B$4="Non-board program",
IF(OR(AND(AP$5&gt;0,AP$5&gt;100),AND(AP$5&gt;0,AP$5&lt;100)),
VLOOKUP(FLOOR((Midterm!AP16/AP$5)*100,1),new_transmute,2,FALSE),
VLOOKUP(Midterm!AP16,new_transmute,2,FALSE)
),
IF(Info!$B$4="Board program",
IF(OR(AND(AP$5&gt;0,AP$5&gt;100),AND(AP$5&gt;0,AP$5&lt;100)),
VLOOKUP(FLOOR((Midterm!AP16/AP$5)*100,1),new_transmute,3,FALSE),
VLOOKUP(Midterm!AP16,new_transmute,3,FALSE)
),
IF(Info!$B$4="Board program (Medicine)",
IF(OR(AND(AP$5&gt;0,AP$5&gt;100),AND(AP$5&gt;0,AP$5&lt;100)),
VLOOKUP(FLOOR((Midterm!AP16/AP$5)*100,1),new_transmute,4,FALSE),
VLOOKUP(Midterm!AP16,new_transmute,4,FALSE)
),
""
)
)
)
)
)
)
)
)
))</f>
        <v/>
      </c>
      <c r="AQ16" s="61" t="str">
        <f t="shared" si="7"/>
        <v/>
      </c>
      <c r="AR16" s="48" t="str">
        <f>IF(Midterm!AR16="","",Midterm!AR16)</f>
        <v/>
      </c>
      <c r="AS16" s="165" t="str">
        <f t="shared" si="8"/>
        <v/>
      </c>
      <c r="AT16" s="14" t="str">
        <f t="shared" si="0"/>
        <v/>
      </c>
      <c r="AU16" s="14" t="str">
        <f>IF(B16="","",VLOOKUP(AT16,'New Grade Equivalent'!$B$3:$C$47,2,FALSE))</f>
        <v/>
      </c>
    </row>
    <row r="17" spans="1:47" x14ac:dyDescent="0.25">
      <c r="A17" s="8">
        <v>12</v>
      </c>
      <c r="B17" s="2" t="str">
        <f>IF('Student List'!C21="","",UPPER(LEFT('Student List'!C21,FIND(",",'Student List'!C21)-1)))</f>
        <v/>
      </c>
      <c r="C17" s="12" t="str">
        <f>IF('Student List'!C21="","",PROPER(MID('Student List'!C21, FIND(",", 'Student List'!C21) + 2, LEN('Student List'!C21) - FIND(",", 'Student List'!C21) - 1)))</f>
        <v/>
      </c>
      <c r="D17" s="127" t="str">
        <f>IF(B17="","",IF(Midterm!D17="", "NA", Midterm!D17))</f>
        <v/>
      </c>
      <c r="E17" s="8" t="str">
        <f>IF(B17="","",
  IF(Info!$B$5="First Year",
    IF(D17="Yes", "DRP",
      IF(D17="No", "WF", "")
    )
  )
)</f>
        <v/>
      </c>
      <c r="F17" s="14" t="str">
        <f>IF($B17="","",
IF(F$5="","",
IF(Midterm!F17="",0,
IF(NOT(ISNUMBER(Midterm!F17)),"NAN",
IF(Midterm!F17&lt;0,"NEG",
IF(Midterm!F17&gt;F$5,"OVER",
IF(AND(F$5&lt;=100,Midterm!F17&gt;100),"ERR",
IF(Info!$B$4="Non-board program",
IF(OR(AND(F$5&gt;0,F$5&gt;100),AND(F$5&gt;0,F$5&lt;100)),
VLOOKUP(FLOOR((Midterm!F17/F$5)*100,1),new_transmute,2,FALSE),
VLOOKUP(Midterm!F17,new_transmute,2,FALSE)
),
IF(Info!$B$4="Board program",
IF(OR(AND(F$5&gt;0,F$5&gt;100),AND(F$5&gt;0,F$5&lt;100)),
VLOOKUP(FLOOR((Midterm!F17/F$5)*100,1),new_transmute,3,FALSE),
VLOOKUP(Midterm!F17,new_transmute,3,FALSE)
),
IF(Info!$B$4="Board program (Medicine)",
IF(OR(AND(F$5&gt;0,F$5&gt;100),AND(F$5&gt;0,F$5&lt;100)),
VLOOKUP(FLOOR((Midterm!F17/F$5)*100,1),new_transmute,4,FALSE),
VLOOKUP(Midterm!F17,new_transmute,4,FALSE)
),
""
)
)
)
)
)
)
)
)
))</f>
        <v/>
      </c>
      <c r="G17" s="57" t="str">
        <f t="shared" si="1"/>
        <v/>
      </c>
      <c r="H17" s="14" t="str">
        <f>IF($B17="","",
IF(H$5="","",
IF(Midterm!H17="",0,
IF(NOT(ISNUMBER(Midterm!H17)),"NAN",
IF(Midterm!H17&lt;0,"NEG",
IF(Midterm!H17&gt;H$5,"OVER",
IF(AND(H$5&lt;=100,Midterm!H17&gt;100),"ERR",
IF(Info!$B$4="Non-board program",
IF(OR(AND(H$5&gt;0,H$5&gt;100),AND(H$5&gt;0,H$5&lt;100)),
VLOOKUP(FLOOR((Midterm!H17/H$5)*100,1),new_transmute,2,FALSE),
VLOOKUP(Midterm!H17,new_transmute,2,FALSE)
),
IF(Info!$B$4="Board program",
IF(OR(AND(H$5&gt;0,H$5&gt;100),AND(H$5&gt;0,H$5&lt;100)),
VLOOKUP(FLOOR((Midterm!H17/H$5)*100,1),new_transmute,3,FALSE),
VLOOKUP(Midterm!H17,new_transmute,3,FALSE)
),
IF(Info!$B$4="Board program (Medicine)",
IF(OR(AND(H$5&gt;0,H$5&gt;100),AND(H$5&gt;0,H$5&lt;100)),
VLOOKUP(FLOOR((Midterm!H17/H$5)*100,1),new_transmute,4,FALSE),
VLOOKUP(Midterm!H17,new_transmute,4,FALSE)
),
""
)
)
)
)
)
)
)
)
))</f>
        <v/>
      </c>
      <c r="I17" s="14" t="str">
        <f>IF($B17="","",
IF(I$5="","",
IF(Midterm!I17="",0,
IF(NOT(ISNUMBER(Midterm!I17)),"NAN",
IF(Midterm!I17&lt;0,"NEG",
IF(Midterm!I17&gt;I$5,"OVER",
IF(AND(I$5&lt;=100,Midterm!I17&gt;100),"ERR",
IF(Info!$B$4="Non-board program",
IF(OR(AND(I$5&gt;0,I$5&gt;100),AND(I$5&gt;0,I$5&lt;100)),
VLOOKUP(FLOOR((Midterm!I17/I$5)*100,1),new_transmute,2,FALSE),
VLOOKUP(Midterm!I17,new_transmute,2,FALSE)
),
IF(Info!$B$4="Board program",
IF(OR(AND(I$5&gt;0,I$5&gt;100),AND(I$5&gt;0,I$5&lt;100)),
VLOOKUP(FLOOR((Midterm!I17/I$5)*100,1),new_transmute,3,FALSE),
VLOOKUP(Midterm!I17,new_transmute,3,FALSE)
),
IF(Info!$B$4="Board program (Medicine)",
IF(OR(AND(I$5&gt;0,I$5&gt;100),AND(I$5&gt;0,I$5&lt;100)),
VLOOKUP(FLOOR((Midterm!I17/I$5)*100,1),new_transmute,4,FALSE),
VLOOKUP(Midterm!I17,new_transmute,4,FALSE)
),
""
)
)
)
)
)
)
)
)
))</f>
        <v/>
      </c>
      <c r="J17" s="14" t="str">
        <f>IF($B17="","",
IF(J$5="","",
IF(Midterm!J17="",0,
IF(NOT(ISNUMBER(Midterm!J17)),"NAN",
IF(Midterm!J17&lt;0,"NEG",
IF(Midterm!J17&gt;J$5,"OVER",
IF(AND(J$5&lt;=100,Midterm!J17&gt;100),"ERR",
IF(Info!$B$4="Non-board program",
IF(OR(AND(J$5&gt;0,J$5&gt;100),AND(J$5&gt;0,J$5&lt;100)),
VLOOKUP(FLOOR((Midterm!J17/J$5)*100,1),new_transmute,2,FALSE),
VLOOKUP(Midterm!J17,new_transmute,2,FALSE)
),
IF(Info!$B$4="Board program",
IF(OR(AND(J$5&gt;0,J$5&gt;100),AND(J$5&gt;0,J$5&lt;100)),
VLOOKUP(FLOOR((Midterm!J17/J$5)*100,1),new_transmute,3,FALSE),
VLOOKUP(Midterm!J17,new_transmute,3,FALSE)
),
IF(Info!$B$4="Board program (Medicine)",
IF(OR(AND(J$5&gt;0,J$5&gt;100),AND(J$5&gt;0,J$5&lt;100)),
VLOOKUP(FLOOR((Midterm!J17/J$5)*100,1),new_transmute,4,FALSE),
VLOOKUP(Midterm!J17,new_transmute,4,FALSE)
),
""
)
)
)
)
)
)
)
)
))</f>
        <v/>
      </c>
      <c r="K17" s="14" t="str">
        <f>IF($B17="","",
IF(K$5="","",
IF(Midterm!K17="",0,
IF(NOT(ISNUMBER(Midterm!K17)),"NAN",
IF(Midterm!K17&lt;0,"NEG",
IF(Midterm!K17&gt;K$5,"OVER",
IF(AND(K$5&lt;=100,Midterm!K17&gt;100),"ERR",
IF(Info!$B$4="Non-board program",
IF(OR(AND(K$5&gt;0,K$5&gt;100),AND(K$5&gt;0,K$5&lt;100)),
VLOOKUP(FLOOR((Midterm!K17/K$5)*100,1),new_transmute,2,FALSE),
VLOOKUP(Midterm!K17,new_transmute,2,FALSE)
),
IF(Info!$B$4="Board program",
IF(OR(AND(K$5&gt;0,K$5&gt;100),AND(K$5&gt;0,K$5&lt;100)),
VLOOKUP(FLOOR((Midterm!K17/K$5)*100,1),new_transmute,3,FALSE),
VLOOKUP(Midterm!K17,new_transmute,3,FALSE)
),
IF(Info!$B$4="Board program (Medicine)",
IF(OR(AND(K$5&gt;0,K$5&gt;100),AND(K$5&gt;0,K$5&lt;100)),
VLOOKUP(FLOOR((Midterm!K17/K$5)*100,1),new_transmute,4,FALSE),
VLOOKUP(Midterm!K17,new_transmute,4,FALSE)
),
""
)
)
)
)
)
)
)
)
))</f>
        <v/>
      </c>
      <c r="L17" s="14" t="str">
        <f>IF($B17="","",
IF(L$5="","",
IF(Midterm!L17="",0,
IF(NOT(ISNUMBER(Midterm!L17)),"NAN",
IF(Midterm!L17&lt;0,"NEG",
IF(Midterm!L17&gt;L$5,"OVER",
IF(AND(L$5&lt;=100,Midterm!L17&gt;100),"ERR",
IF(Info!$B$4="Non-board program",
IF(OR(AND(L$5&gt;0,L$5&gt;100),AND(L$5&gt;0,L$5&lt;100)),
VLOOKUP(FLOOR((Midterm!L17/L$5)*100,1),new_transmute,2,FALSE),
VLOOKUP(Midterm!L17,new_transmute,2,FALSE)
),
IF(Info!$B$4="Board program",
IF(OR(AND(L$5&gt;0,L$5&gt;100),AND(L$5&gt;0,L$5&lt;100)),
VLOOKUP(FLOOR((Midterm!L17/L$5)*100,1),new_transmute,3,FALSE),
VLOOKUP(Midterm!L17,new_transmute,3,FALSE)
),
IF(Info!$B$4="Board program (Medicine)",
IF(OR(AND(L$5&gt;0,L$5&gt;100),AND(L$5&gt;0,L$5&lt;100)),
VLOOKUP(FLOOR((Midterm!L17/L$5)*100,1),new_transmute,4,FALSE),
VLOOKUP(Midterm!L17,new_transmute,4,FALSE)
),
""
)
)
)
)
)
)
)
)
))</f>
        <v/>
      </c>
      <c r="M17" s="111" t="str">
        <f t="shared" si="2"/>
        <v/>
      </c>
      <c r="N17" s="14" t="str">
        <f>IF($B17="","",
IF(N$5="","",
IF(Midterm!N17="",0,
IF(NOT(ISNUMBER(Midterm!N17)),"NAN",
IF(Midterm!N17&lt;0,"NEG",
IF(Midterm!N17&gt;N$5,"OVER",
IF(AND(N$5&lt;=100,Midterm!N17&gt;100),"ERR",
IF(Info!$B$4="Non-board program",
IF(OR(AND(N$5&gt;0,N$5&gt;100),AND(N$5&gt;0,N$5&lt;100)),
VLOOKUP(FLOOR((Midterm!N17/N$5)*100,1),new_transmute,2,FALSE),
VLOOKUP(Midterm!N17,new_transmute,2,FALSE)
),
IF(Info!$B$4="Board program",
IF(OR(AND(N$5&gt;0,N$5&gt;100),AND(N$5&gt;0,N$5&lt;100)),
VLOOKUP(FLOOR((Midterm!N17/N$5)*100,1),new_transmute,3,FALSE),
VLOOKUP(Midterm!N17,new_transmute,3,FALSE)
),
IF(Info!$B$4="Board program (Medicine)",
IF(OR(AND(N$5&gt;0,N$5&gt;100),AND(N$5&gt;0,N$5&lt;100)),
VLOOKUP(FLOOR((Midterm!N17/N$5)*100,1),new_transmute,4,FALSE),
VLOOKUP(Midterm!N17,new_transmute,4,FALSE)
),
""
)
)
)
)
)
)
)
)
))</f>
        <v/>
      </c>
      <c r="O17" s="14" t="str">
        <f>IF($B17="","",
IF(O$5="","",
IF(Midterm!O17="",0,
IF(NOT(ISNUMBER(Midterm!O17)),"NAN",
IF(Midterm!O17&lt;0,"NEG",
IF(Midterm!O17&gt;O$5,"OVER",
IF(AND(O$5&lt;=100,Midterm!O17&gt;100),"ERR",
IF(Info!$B$4="Non-board program",
IF(OR(AND(O$5&gt;0,O$5&gt;100),AND(O$5&gt;0,O$5&lt;100)),
VLOOKUP(FLOOR((Midterm!O17/O$5)*100,1),new_transmute,2,FALSE),
VLOOKUP(Midterm!O17,new_transmute,2,FALSE)
),
IF(Info!$B$4="Board program",
IF(OR(AND(O$5&gt;0,O$5&gt;100),AND(O$5&gt;0,O$5&lt;100)),
VLOOKUP(FLOOR((Midterm!O17/O$5)*100,1),new_transmute,3,FALSE),
VLOOKUP(Midterm!O17,new_transmute,3,FALSE)
),
IF(Info!$B$4="Board program (Medicine)",
IF(OR(AND(O$5&gt;0,O$5&gt;100),AND(O$5&gt;0,O$5&lt;100)),
VLOOKUP(FLOOR((Midterm!O17/O$5)*100,1),new_transmute,4,FALSE),
VLOOKUP(Midterm!O17,new_transmute,4,FALSE)
),
""
)
)
)
)
)
)
)
)
))</f>
        <v/>
      </c>
      <c r="P17" s="14" t="str">
        <f>IF($B17="","",
IF(P$5="","",
IF(Midterm!P17="",0,
IF(NOT(ISNUMBER(Midterm!P17)),"NAN",
IF(Midterm!P17&lt;0,"NEG",
IF(Midterm!P17&gt;P$5,"OVER",
IF(AND(P$5&lt;=100,Midterm!P17&gt;100),"ERR",
IF(Info!$B$4="Non-board program",
IF(OR(AND(P$5&gt;0,P$5&gt;100),AND(P$5&gt;0,P$5&lt;100)),
VLOOKUP(FLOOR((Midterm!P17/P$5)*100,1),new_transmute,2,FALSE),
VLOOKUP(Midterm!P17,new_transmute,2,FALSE)
),
IF(Info!$B$4="Board program",
IF(OR(AND(P$5&gt;0,P$5&gt;100),AND(P$5&gt;0,P$5&lt;100)),
VLOOKUP(FLOOR((Midterm!P17/P$5)*100,1),new_transmute,3,FALSE),
VLOOKUP(Midterm!P17,new_transmute,3,FALSE)
),
IF(Info!$B$4="Board program (Medicine)",
IF(OR(AND(P$5&gt;0,P$5&gt;100),AND(P$5&gt;0,P$5&lt;100)),
VLOOKUP(FLOOR((Midterm!P17/P$5)*100,1),new_transmute,4,FALSE),
VLOOKUP(Midterm!P17,new_transmute,4,FALSE)
),
""
)
)
)
)
)
)
)
)
))</f>
        <v/>
      </c>
      <c r="Q17" s="14" t="str">
        <f>IF($B17="","",
IF(Q$5="","",
IF(Midterm!Q17="",0,
IF(NOT(ISNUMBER(Midterm!Q17)),"NAN",
IF(Midterm!Q17&lt;0,"NEG",
IF(Midterm!Q17&gt;Q$5,"OVER",
IF(AND(Q$5&lt;=100,Midterm!Q17&gt;100),"ERR",
IF(Info!$B$4="Non-board program",
IF(OR(AND(Q$5&gt;0,Q$5&gt;100),AND(Q$5&gt;0,Q$5&lt;100)),
VLOOKUP(FLOOR((Midterm!Q17/Q$5)*100,1),new_transmute,2,FALSE),
VLOOKUP(Midterm!Q17,new_transmute,2,FALSE)
),
IF(Info!$B$4="Board program",
IF(OR(AND(Q$5&gt;0,Q$5&gt;100),AND(Q$5&gt;0,Q$5&lt;100)),
VLOOKUP(FLOOR((Midterm!Q17/Q$5)*100,1),new_transmute,3,FALSE),
VLOOKUP(Midterm!Q17,new_transmute,3,FALSE)
),
IF(Info!$B$4="Board program (Medicine)",
IF(OR(AND(Q$5&gt;0,Q$5&gt;100),AND(Q$5&gt;0,Q$5&lt;100)),
VLOOKUP(FLOOR((Midterm!Q17/Q$5)*100,1),new_transmute,4,FALSE),
VLOOKUP(Midterm!Q17,new_transmute,4,FALSE)
),
""
)
)
)
)
)
)
)
)
))</f>
        <v/>
      </c>
      <c r="R17" s="14" t="str">
        <f>IF($B17="","",
IF(R$5="","",
IF(Midterm!R17="",0,
IF(NOT(ISNUMBER(Midterm!R17)),"NAN",
IF(Midterm!R17&lt;0,"NEG",
IF(Midterm!R17&gt;R$5,"OVER",
IF(AND(R$5&lt;=100,Midterm!R17&gt;100),"ERR",
IF(Info!$B$4="Non-board program",
IF(OR(AND(R$5&gt;0,R$5&gt;100),AND(R$5&gt;0,R$5&lt;100)),
VLOOKUP(FLOOR((Midterm!R17/R$5)*100,1),new_transmute,2,FALSE),
VLOOKUP(Midterm!R17,new_transmute,2,FALSE)
),
IF(Info!$B$4="Board program",
IF(OR(AND(R$5&gt;0,R$5&gt;100),AND(R$5&gt;0,R$5&lt;100)),
VLOOKUP(FLOOR((Midterm!R17/R$5)*100,1),new_transmute,3,FALSE),
VLOOKUP(Midterm!R17,new_transmute,3,FALSE)
),
IF(Info!$B$4="Board program (Medicine)",
IF(OR(AND(R$5&gt;0,R$5&gt;100),AND(R$5&gt;0,R$5&lt;100)),
VLOOKUP(FLOOR((Midterm!R17/R$5)*100,1),new_transmute,4,FALSE),
VLOOKUP(Midterm!R17,new_transmute,4,FALSE)
),
""
)
)
)
)
)
)
)
)
))</f>
        <v/>
      </c>
      <c r="S17" s="115" t="str">
        <f t="shared" si="3"/>
        <v/>
      </c>
      <c r="T17" s="14" t="str">
        <f>IF($B17="","",
IF(T$5="","",
IF(Midterm!T17="",0,
IF(NOT(ISNUMBER(Midterm!T17)),"NAN",
IF(Midterm!T17&lt;0,"NEG",
IF(Midterm!T17&gt;T$5,"OVER",
IF(AND(T$5&lt;=100,Midterm!T17&gt;100),"ERR",
IF(Info!$B$4="Non-board program",
IF(OR(AND(T$5&gt;0,T$5&gt;100),AND(T$5&gt;0,T$5&lt;100)),
VLOOKUP(FLOOR((Midterm!T17/T$5)*100,1),new_transmute,2,FALSE),
VLOOKUP(Midterm!T17,new_transmute,2,FALSE)
),
IF(Info!$B$4="Board program",
IF(OR(AND(T$5&gt;0,T$5&gt;100),AND(T$5&gt;0,T$5&lt;100)),
VLOOKUP(FLOOR((Midterm!T17/T$5)*100,1),new_transmute,3,FALSE),
VLOOKUP(Midterm!T17,new_transmute,3,FALSE)
),
IF(Info!$B$4="Board program (Medicine)",
IF(OR(AND(T$5&gt;0,T$5&gt;100),AND(T$5&gt;0,T$5&lt;100)),
VLOOKUP(FLOOR((Midterm!T17/T$5)*100,1),new_transmute,4,FALSE),
VLOOKUP(Midterm!T17,new_transmute,4,FALSE)
),
""
)
)
)
)
)
)
)
)
))</f>
        <v/>
      </c>
      <c r="U17" s="14" t="str">
        <f>IF($B17="","",
IF(U$5="","",
IF(Midterm!U17="",0,
IF(NOT(ISNUMBER(Midterm!U17)),"NAN",
IF(Midterm!U17&lt;0,"NEG",
IF(Midterm!U17&gt;U$5,"OVER",
IF(AND(U$5&lt;=100,Midterm!U17&gt;100),"ERR",
IF(Info!$B$4="Non-board program",
IF(OR(AND(U$5&gt;0,U$5&gt;100),AND(U$5&gt;0,U$5&lt;100)),
VLOOKUP(FLOOR((Midterm!U17/U$5)*100,1),new_transmute,2,FALSE),
VLOOKUP(Midterm!U17,new_transmute,2,FALSE)
),
IF(Info!$B$4="Board program",
IF(OR(AND(U$5&gt;0,U$5&gt;100),AND(U$5&gt;0,U$5&lt;100)),
VLOOKUP(FLOOR((Midterm!U17/U$5)*100,1),new_transmute,3,FALSE),
VLOOKUP(Midterm!U17,new_transmute,3,FALSE)
),
IF(Info!$B$4="Board program (Medicine)",
IF(OR(AND(U$5&gt;0,U$5&gt;100),AND(U$5&gt;0,U$5&lt;100)),
VLOOKUP(FLOOR((Midterm!U17/U$5)*100,1),new_transmute,4,FALSE),
VLOOKUP(Midterm!U17,new_transmute,4,FALSE)
),
""
)
)
)
)
)
)
)
)
))</f>
        <v/>
      </c>
      <c r="V17" s="14" t="str">
        <f>IF($B17="","",
IF(V$5="","",
IF(Midterm!V17="",0,
IF(NOT(ISNUMBER(Midterm!V17)),"NAN",
IF(Midterm!V17&lt;0,"NEG",
IF(Midterm!V17&gt;V$5,"OVER",
IF(AND(V$5&lt;=100,Midterm!V17&gt;100),"ERR",
IF(Info!$B$4="Non-board program",
IF(OR(AND(V$5&gt;0,V$5&gt;100),AND(V$5&gt;0,V$5&lt;100)),
VLOOKUP(FLOOR((Midterm!V17/V$5)*100,1),new_transmute,2,FALSE),
VLOOKUP(Midterm!V17,new_transmute,2,FALSE)
),
IF(Info!$B$4="Board program",
IF(OR(AND(V$5&gt;0,V$5&gt;100),AND(V$5&gt;0,V$5&lt;100)),
VLOOKUP(FLOOR((Midterm!V17/V$5)*100,1),new_transmute,3,FALSE),
VLOOKUP(Midterm!V17,new_transmute,3,FALSE)
),
IF(Info!$B$4="Board program (Medicine)",
IF(OR(AND(V$5&gt;0,V$5&gt;100),AND(V$5&gt;0,V$5&lt;100)),
VLOOKUP(FLOOR((Midterm!V17/V$5)*100,1),new_transmute,4,FALSE),
VLOOKUP(Midterm!V17,new_transmute,4,FALSE)
),
""
)
)
)
)
)
)
)
)
))</f>
        <v/>
      </c>
      <c r="W17" s="14" t="str">
        <f>IF($B17="","",
IF(W$5="","",
IF(Midterm!W17="",0,
IF(NOT(ISNUMBER(Midterm!W17)),"NAN",
IF(Midterm!W17&lt;0,"NEG",
IF(Midterm!W17&gt;W$5,"OVER",
IF(AND(W$5&lt;=100,Midterm!W17&gt;100),"ERR",
IF(Info!$B$4="Non-board program",
IF(OR(AND(W$5&gt;0,W$5&gt;100),AND(W$5&gt;0,W$5&lt;100)),
VLOOKUP(FLOOR((Midterm!W17/W$5)*100,1),new_transmute,2,FALSE),
VLOOKUP(Midterm!W17,new_transmute,2,FALSE)
),
IF(Info!$B$4="Board program",
IF(OR(AND(W$5&gt;0,W$5&gt;100),AND(W$5&gt;0,W$5&lt;100)),
VLOOKUP(FLOOR((Midterm!W17/W$5)*100,1),new_transmute,3,FALSE),
VLOOKUP(Midterm!W17,new_transmute,3,FALSE)
),
IF(Info!$B$4="Board program (Medicine)",
IF(OR(AND(W$5&gt;0,W$5&gt;100),AND(W$5&gt;0,W$5&lt;100)),
VLOOKUP(FLOOR((Midterm!W17/W$5)*100,1),new_transmute,4,FALSE),
VLOOKUP(Midterm!W17,new_transmute,4,FALSE)
),
""
)
)
)
)
)
)
)
)
))</f>
        <v/>
      </c>
      <c r="X17" s="14" t="str">
        <f>IF($B17="","",
IF(X$5="","",
IF(Midterm!X17="",0,
IF(NOT(ISNUMBER(Midterm!X17)),"NAN",
IF(Midterm!X17&lt;0,"NEG",
IF(Midterm!X17&gt;X$5,"OVER",
IF(AND(X$5&lt;=100,Midterm!X17&gt;100),"ERR",
IF(Info!$B$4="Non-board program",
IF(OR(AND(X$5&gt;0,X$5&gt;100),AND(X$5&gt;0,X$5&lt;100)),
VLOOKUP(FLOOR((Midterm!X17/X$5)*100,1),new_transmute,2,FALSE),
VLOOKUP(Midterm!X17,new_transmute,2,FALSE)
),
IF(Info!$B$4="Board program",
IF(OR(AND(X$5&gt;0,X$5&gt;100),AND(X$5&gt;0,X$5&lt;100)),
VLOOKUP(FLOOR((Midterm!X17/X$5)*100,1),new_transmute,3,FALSE),
VLOOKUP(Midterm!X17,new_transmute,3,FALSE)
),
IF(Info!$B$4="Board program (Medicine)",
IF(OR(AND(X$5&gt;0,X$5&gt;100),AND(X$5&gt;0,X$5&lt;100)),
VLOOKUP(FLOOR((Midterm!X17/X$5)*100,1),new_transmute,4,FALSE),
VLOOKUP(Midterm!X17,new_transmute,4,FALSE)
),
""
)
)
)
)
)
)
)
)
))</f>
        <v/>
      </c>
      <c r="Y17" s="112" t="str">
        <f t="shared" si="4"/>
        <v/>
      </c>
      <c r="Z17" s="14" t="str">
        <f>IF($B17="","",
IF(Z$5="","",
IF(Midterm!Z17="",0,
IF(NOT(ISNUMBER(Midterm!Z17)),"NAN",
IF(Midterm!Z17&lt;0,"NEG",
IF(Midterm!Z17&gt;Z$5,"OVER",
IF(AND(Z$5&lt;=100,Midterm!Z17&gt;100),"ERR",
IF(Info!$B$4="Non-board program",
IF(OR(AND(Z$5&gt;0,Z$5&gt;100),AND(Z$5&gt;0,Z$5&lt;100)),
VLOOKUP(FLOOR((Midterm!Z17/Z$5)*100,1),new_transmute,2,FALSE),
VLOOKUP(Midterm!Z17,new_transmute,2,FALSE)
),
IF(Info!$B$4="Board program",
IF(OR(AND(Z$5&gt;0,Z$5&gt;100),AND(Z$5&gt;0,Z$5&lt;100)),
VLOOKUP(FLOOR((Midterm!Z17/Z$5)*100,1),new_transmute,3,FALSE),
VLOOKUP(Midterm!Z17,new_transmute,3,FALSE)
),
IF(Info!$B$4="Board program (Medicine)",
IF(OR(AND(Z$5&gt;0,Z$5&gt;100),AND(Z$5&gt;0,Z$5&lt;100)),
VLOOKUP(FLOOR((Midterm!Z17/Z$5)*100,1),new_transmute,4,FALSE),
VLOOKUP(Midterm!Z17,new_transmute,4,FALSE)
),
""
)
)
)
)
)
)
)
)
))</f>
        <v/>
      </c>
      <c r="AA17" s="14" t="str">
        <f>IF($B17="","",
IF(AA$5="","",
IF(Midterm!AA17="",0,
IF(NOT(ISNUMBER(Midterm!AA17)),"NAN",
IF(Midterm!AA17&lt;0,"NEG",
IF(Midterm!AA17&gt;AA$5,"OVER",
IF(AND(AA$5&lt;=100,Midterm!AA17&gt;100),"ERR",
IF(Info!$B$4="Non-board program",
IF(OR(AND(AA$5&gt;0,AA$5&gt;100),AND(AA$5&gt;0,AA$5&lt;100)),
VLOOKUP(FLOOR((Midterm!AA17/AA$5)*100,1),new_transmute,2,FALSE),
VLOOKUP(Midterm!AA17,new_transmute,2,FALSE)
),
IF(Info!$B$4="Board program",
IF(OR(AND(AA$5&gt;0,AA$5&gt;100),AND(AA$5&gt;0,AA$5&lt;100)),
VLOOKUP(FLOOR((Midterm!AA17/AA$5)*100,1),new_transmute,3,FALSE),
VLOOKUP(Midterm!AA17,new_transmute,3,FALSE)
),
IF(Info!$B$4="Board program (Medicine)",
IF(OR(AND(AA$5&gt;0,AA$5&gt;100),AND(AA$5&gt;0,AA$5&lt;100)),
VLOOKUP(FLOOR((Midterm!AA17/AA$5)*100,1),new_transmute,4,FALSE),
VLOOKUP(Midterm!AA17,new_transmute,4,FALSE)
),
""
)
)
)
)
)
)
)
)
))</f>
        <v/>
      </c>
      <c r="AB17" s="14" t="str">
        <f>IF($B17="","",
IF(AB$5="","",
IF(Midterm!AB17="",0,
IF(NOT(ISNUMBER(Midterm!AB17)),"NAN",
IF(Midterm!AB17&lt;0,"NEG",
IF(Midterm!AB17&gt;AB$5,"OVER",
IF(AND(AB$5&lt;=100,Midterm!AB17&gt;100),"ERR",
IF(Info!$B$4="Non-board program",
IF(OR(AND(AB$5&gt;0,AB$5&gt;100),AND(AB$5&gt;0,AB$5&lt;100)),
VLOOKUP(FLOOR((Midterm!AB17/AB$5)*100,1),new_transmute,2,FALSE),
VLOOKUP(Midterm!AB17,new_transmute,2,FALSE)
),
IF(Info!$B$4="Board program",
IF(OR(AND(AB$5&gt;0,AB$5&gt;100),AND(AB$5&gt;0,AB$5&lt;100)),
VLOOKUP(FLOOR((Midterm!AB17/AB$5)*100,1),new_transmute,3,FALSE),
VLOOKUP(Midterm!AB17,new_transmute,3,FALSE)
),
IF(Info!$B$4="Board program (Medicine)",
IF(OR(AND(AB$5&gt;0,AB$5&gt;100),AND(AB$5&gt;0,AB$5&lt;100)),
VLOOKUP(FLOOR((Midterm!AB17/AB$5)*100,1),new_transmute,4,FALSE),
VLOOKUP(Midterm!AB17,new_transmute,4,FALSE)
),
""
)
)
)
)
)
)
)
)
))</f>
        <v/>
      </c>
      <c r="AC17" s="14" t="str">
        <f>IF($B17="","",
IF(AC$5="","",
IF(Midterm!AC17="",0,
IF(NOT(ISNUMBER(Midterm!AC17)),"NAN",
IF(Midterm!AC17&lt;0,"NEG",
IF(Midterm!AC17&gt;AC$5,"OVER",
IF(AND(AC$5&lt;=100,Midterm!AC17&gt;100),"ERR",
IF(Info!$B$4="Non-board program",
IF(OR(AND(AC$5&gt;0,AC$5&gt;100),AND(AC$5&gt;0,AC$5&lt;100)),
VLOOKUP(FLOOR((Midterm!AC17/AC$5)*100,1),new_transmute,2,FALSE),
VLOOKUP(Midterm!AC17,new_transmute,2,FALSE)
),
IF(Info!$B$4="Board program",
IF(OR(AND(AC$5&gt;0,AC$5&gt;100),AND(AC$5&gt;0,AC$5&lt;100)),
VLOOKUP(FLOOR((Midterm!AC17/AC$5)*100,1),new_transmute,3,FALSE),
VLOOKUP(Midterm!AC17,new_transmute,3,FALSE)
),
IF(Info!$B$4="Board program (Medicine)",
IF(OR(AND(AC$5&gt;0,AC$5&gt;100),AND(AC$5&gt;0,AC$5&lt;100)),
VLOOKUP(FLOOR((Midterm!AC17/AC$5)*100,1),new_transmute,4,FALSE),
VLOOKUP(Midterm!AC17,new_transmute,4,FALSE)
),
""
)
)
)
)
)
)
)
)
))</f>
        <v/>
      </c>
      <c r="AD17" s="14" t="str">
        <f>IF($B17="","",
IF(AD$5="","",
IF(Midterm!AD17="",0,
IF(NOT(ISNUMBER(Midterm!AD17)),"NAN",
IF(Midterm!AD17&lt;0,"NEG",
IF(Midterm!AD17&gt;AD$5,"OVER",
IF(AND(AD$5&lt;=100,Midterm!AD17&gt;100),"ERR",
IF(Info!$B$4="Non-board program",
IF(OR(AND(AD$5&gt;0,AD$5&gt;100),AND(AD$5&gt;0,AD$5&lt;100)),
VLOOKUP(FLOOR((Midterm!AD17/AD$5)*100,1),new_transmute,2,FALSE),
VLOOKUP(Midterm!AD17,new_transmute,2,FALSE)
),
IF(Info!$B$4="Board program",
IF(OR(AND(AD$5&gt;0,AD$5&gt;100),AND(AD$5&gt;0,AD$5&lt;100)),
VLOOKUP(FLOOR((Midterm!AD17/AD$5)*100,1),new_transmute,3,FALSE),
VLOOKUP(Midterm!AD17,new_transmute,3,FALSE)
),
IF(Info!$B$4="Board program (Medicine)",
IF(OR(AND(AD$5&gt;0,AD$5&gt;100),AND(AD$5&gt;0,AD$5&lt;100)),
VLOOKUP(FLOOR((Midterm!AD17/AD$5)*100,1),new_transmute,4,FALSE),
VLOOKUP(Midterm!AD17,new_transmute,4,FALSE)
),
""
)
)
)
)
)
)
)
)
))</f>
        <v/>
      </c>
      <c r="AE17" s="58" t="str">
        <f t="shared" si="5"/>
        <v/>
      </c>
      <c r="AF17" s="14" t="str">
        <f>IF($B17="","",
IF(AF$5="","",
IF(Midterm!AF17="",0,
IF(NOT(ISNUMBER(Midterm!AF17)),"NAN",
IF(Midterm!AF17&lt;0,"NEG",
IF(Midterm!AF17&gt;AF$5,"OVER",
IF(AND(AF$5&lt;=100,Midterm!AF17&gt;100),"ERR",
IF(Info!$B$4="Non-board program",
IF(OR(AND(AF$5&gt;0,AF$5&gt;100),AND(AF$5&gt;0,AF$5&lt;100)),
VLOOKUP(FLOOR((Midterm!AF17/AF$5)*100,1),new_transmute,2,FALSE),
VLOOKUP(Midterm!AF17,new_transmute,2,FALSE)
),
IF(Info!$B$4="Board program",
IF(OR(AND(AF$5&gt;0,AF$5&gt;100),AND(AF$5&gt;0,AF$5&lt;100)),
VLOOKUP(FLOOR((Midterm!AF17/AF$5)*100,1),new_transmute,3,FALSE),
VLOOKUP(Midterm!AF17,new_transmute,3,FALSE)
),
IF(Info!$B$4="Board program (Medicine)",
IF(OR(AND(AF$5&gt;0,AF$5&gt;100),AND(AF$5&gt;0,AF$5&lt;100)),
VLOOKUP(FLOOR((Midterm!AF17/AF$5)*100,1),new_transmute,4,FALSE),
VLOOKUP(Midterm!AF17,new_transmute,4,FALSE)
),
""
)
)
)
)
)
)
)
)
))</f>
        <v/>
      </c>
      <c r="AG17" s="14" t="str">
        <f>IF($B17="","",
IF(AG$5="","",
IF(Midterm!AG17="",0,
IF(NOT(ISNUMBER(Midterm!AG17)),"NAN",
IF(Midterm!AG17&lt;0,"NEG",
IF(Midterm!AG17&gt;AG$5,"OVER",
IF(AND(AG$5&lt;=100,Midterm!AG17&gt;100),"ERR",
IF(Info!$B$4="Non-board program",
IF(OR(AND(AG$5&gt;0,AG$5&gt;100),AND(AG$5&gt;0,AG$5&lt;100)),
VLOOKUP(FLOOR((Midterm!AG17/AG$5)*100,1),new_transmute,2,FALSE),
VLOOKUP(Midterm!AG17,new_transmute,2,FALSE)
),
IF(Info!$B$4="Board program",
IF(OR(AND(AG$5&gt;0,AG$5&gt;100),AND(AG$5&gt;0,AG$5&lt;100)),
VLOOKUP(FLOOR((Midterm!AG17/AG$5)*100,1),new_transmute,3,FALSE),
VLOOKUP(Midterm!AG17,new_transmute,3,FALSE)
),
IF(Info!$B$4="Board program (Medicine)",
IF(OR(AND(AG$5&gt;0,AG$5&gt;100),AND(AG$5&gt;0,AG$5&lt;100)),
VLOOKUP(FLOOR((Midterm!AG17/AG$5)*100,1),new_transmute,4,FALSE),
VLOOKUP(Midterm!AG17,new_transmute,4,FALSE)
),
""
)
)
)
)
)
)
)
)
))</f>
        <v/>
      </c>
      <c r="AH17" s="14" t="str">
        <f>IF($B17="","",
IF(AH$5="","",
IF(Midterm!AH17="",0,
IF(NOT(ISNUMBER(Midterm!AH17)),"NAN",
IF(Midterm!AH17&lt;0,"NEG",
IF(Midterm!AH17&gt;AH$5,"OVER",
IF(AND(AH$5&lt;=100,Midterm!AH17&gt;100),"ERR",
IF(Info!$B$4="Non-board program",
IF(OR(AND(AH$5&gt;0,AH$5&gt;100),AND(AH$5&gt;0,AH$5&lt;100)),
VLOOKUP(FLOOR((Midterm!AH17/AH$5)*100,1),new_transmute,2,FALSE),
VLOOKUP(Midterm!AH17,new_transmute,2,FALSE)
),
IF(Info!$B$4="Board program",
IF(OR(AND(AH$5&gt;0,AH$5&gt;100),AND(AH$5&gt;0,AH$5&lt;100)),
VLOOKUP(FLOOR((Midterm!AH17/AH$5)*100,1),new_transmute,3,FALSE),
VLOOKUP(Midterm!AH17,new_transmute,3,FALSE)
),
IF(Info!$B$4="Board program (Medicine)",
IF(OR(AND(AH$5&gt;0,AH$5&gt;100),AND(AH$5&gt;0,AH$5&lt;100)),
VLOOKUP(FLOOR((Midterm!AH17/AH$5)*100,1),new_transmute,4,FALSE),
VLOOKUP(Midterm!AH17,new_transmute,4,FALSE)
),
""
)
)
)
)
)
)
)
)
))</f>
        <v/>
      </c>
      <c r="AI17" s="14" t="str">
        <f>IF($B17="","",
IF(AI$5="","",
IF(Midterm!AI17="",0,
IF(NOT(ISNUMBER(Midterm!AI17)),"NAN",
IF(Midterm!AI17&lt;0,"NEG",
IF(Midterm!AI17&gt;AI$5,"OVER",
IF(AND(AI$5&lt;=100,Midterm!AI17&gt;100),"ERR",
IF(Info!$B$4="Non-board program",
IF(OR(AND(AI$5&gt;0,AI$5&gt;100),AND(AI$5&gt;0,AI$5&lt;100)),
VLOOKUP(FLOOR((Midterm!AI17/AI$5)*100,1),new_transmute,2,FALSE),
VLOOKUP(Midterm!AI17,new_transmute,2,FALSE)
),
IF(Info!$B$4="Board program",
IF(OR(AND(AI$5&gt;0,AI$5&gt;100),AND(AI$5&gt;0,AI$5&lt;100)),
VLOOKUP(FLOOR((Midterm!AI17/AI$5)*100,1),new_transmute,3,FALSE),
VLOOKUP(Midterm!AI17,new_transmute,3,FALSE)
),
IF(Info!$B$4="Board program (Medicine)",
IF(OR(AND(AI$5&gt;0,AI$5&gt;100),AND(AI$5&gt;0,AI$5&lt;100)),
VLOOKUP(FLOOR((Midterm!AI17/AI$5)*100,1),new_transmute,4,FALSE),
VLOOKUP(Midterm!AI17,new_transmute,4,FALSE)
),
""
)
)
)
)
)
)
)
)
))</f>
        <v/>
      </c>
      <c r="AJ17" s="14" t="str">
        <f>IF($B17="","",
IF(AJ$5="","",
IF(Midterm!AJ17="",0,
IF(NOT(ISNUMBER(Midterm!AJ17)),"NAN",
IF(Midterm!AJ17&lt;0,"NEG",
IF(Midterm!AJ17&gt;AJ$5,"OVER",
IF(AND(AJ$5&lt;=100,Midterm!AJ17&gt;100),"ERR",
IF(Info!$B$4="Non-board program",
IF(OR(AND(AJ$5&gt;0,AJ$5&gt;100),AND(AJ$5&gt;0,AJ$5&lt;100)),
VLOOKUP(FLOOR((Midterm!AJ17/AJ$5)*100,1),new_transmute,2,FALSE),
VLOOKUP(Midterm!AJ17,new_transmute,2,FALSE)
),
IF(Info!$B$4="Board program",
IF(OR(AND(AJ$5&gt;0,AJ$5&gt;100),AND(AJ$5&gt;0,AJ$5&lt;100)),
VLOOKUP(FLOOR((Midterm!AJ17/AJ$5)*100,1),new_transmute,3,FALSE),
VLOOKUP(Midterm!AJ17,new_transmute,3,FALSE)
),
IF(Info!$B$4="Board program (Medicine)",
IF(OR(AND(AJ$5&gt;0,AJ$5&gt;100),AND(AJ$5&gt;0,AJ$5&lt;100)),
VLOOKUP(FLOOR((Midterm!AJ17/AJ$5)*100,1),new_transmute,4,FALSE),
VLOOKUP(Midterm!AJ17,new_transmute,4,FALSE)
),
""
)
)
)
)
)
)
)
)
))</f>
        <v/>
      </c>
      <c r="AK17" s="59" t="str">
        <f t="shared" si="6"/>
        <v/>
      </c>
      <c r="AL17" s="60" t="str">
        <f>IF(B17="", "",
    IF(OR(M17="OVER", S17="OVER", Y17="OVER", AE17="OVER", AK17="OVER"),
        "OVER",
        IF(Info!$B$4="Non-board program",
            VLOOKUP(IFERROR(FLOOR(SUM((M17*$M$4), (S17*$S$4), (Y17*$Y$4), (AE17*$AE$4), (AK17*$AK$4)) * (100 / 60), 1), 0), new_transmute, 2, FALSE),
            IF(Info!$B$4="Board program",
                VLOOKUP(IFERROR(FLOOR(SUM((M17*$M$4), (S17*$S$4), (Y17*$Y$4), (AE17*$AE$4), (AK17*$AK$4)) * (100 / 60), 1), 0), new_transmute, 3, FALSE),
                IF(Info!$B$4="Board program (Medicine)",
                    VLOOKUP(IFERROR(FLOOR(SUM((M17*$M$4), (S17*$S$4), (Y17*$Y$4), (AE17*$AE$4), (AK17*$AK$4)) * (100 / 60), 1), 0), new_transmute, 4, FALSE),
                    ""
                )
            )
        )
    )
)</f>
        <v/>
      </c>
      <c r="AM17" s="14" t="str">
        <f>IF($B17="","",
IF(AM$5="","",
IF(Midterm!AM17="",0,
IF(NOT(ISNUMBER(Midterm!AM17)),"NAN",
IF(Midterm!AM17&lt;0,"NEG",
IF(Midterm!AM17&gt;AM$5,"OVER",
IF(AND(AM$5&lt;=100,Midterm!AM17&gt;100),"ERR",
IF(Info!$B$4="Non-board program",
IF(OR(AND(AM$5&gt;0,AM$5&gt;100),AND(AM$5&gt;0,AM$5&lt;100)),
VLOOKUP(FLOOR((Midterm!AM17/AM$5)*100,1),new_transmute,2,FALSE),
VLOOKUP(Midterm!AM17,new_transmute,2,FALSE)
),
IF(Info!$B$4="Board program",
IF(OR(AND(AM$5&gt;0,AM$5&gt;100),AND(AM$5&gt;0,AM$5&lt;100)),
VLOOKUP(FLOOR((Midterm!AM17/AM$5)*100,1),new_transmute,3,FALSE),
VLOOKUP(Midterm!AM17,new_transmute,3,FALSE)
),
IF(Info!$B$4="Board program (Medicine)",
IF(OR(AND(AM$5&gt;0,AM$5&gt;100),AND(AM$5&gt;0,AM$5&lt;100)),
VLOOKUP(FLOOR((Midterm!AM17/AM$5)*100,1),new_transmute,4,FALSE),
VLOOKUP(Midterm!AM17,new_transmute,4,FALSE)
),
""
)
)
)
)
)
)
)
)
))</f>
        <v/>
      </c>
      <c r="AN17" s="14" t="str">
        <f>IF($B17="","",
IF(AN$5="","",
IF(Midterm!AN17="",0,
IF(NOT(ISNUMBER(Midterm!AN17)),"NAN",
IF(Midterm!AN17&lt;0,"NEG",
IF(Midterm!AN17&gt;AN$5,"OVER",
IF(AND(AN$5&lt;=100,Midterm!AN17&gt;100),"ERR",
IF(Info!$B$4="Non-board program",
IF(OR(AND(AN$5&gt;0,AN$5&gt;100),AND(AN$5&gt;0,AN$5&lt;100)),
VLOOKUP(FLOOR((Midterm!AN17/AN$5)*100,1),new_transmute,2,FALSE),
VLOOKUP(Midterm!AN17,new_transmute,2,FALSE)
),
IF(Info!$B$4="Board program",
IF(OR(AND(AN$5&gt;0,AN$5&gt;100),AND(AN$5&gt;0,AN$5&lt;100)),
VLOOKUP(FLOOR((Midterm!AN17/AN$5)*100,1),new_transmute,3,FALSE),
VLOOKUP(Midterm!AN17,new_transmute,3,FALSE)
),
IF(Info!$B$4="Board program (Medicine)",
IF(OR(AND(AN$5&gt;0,AN$5&gt;100),AND(AN$5&gt;0,AN$5&lt;100)),
VLOOKUP(FLOOR((Midterm!AN17/AN$5)*100,1),new_transmute,4,FALSE),
VLOOKUP(Midterm!AN17,new_transmute,4,FALSE)
),
""
)
)
)
)
)
)
)
)
))</f>
        <v/>
      </c>
      <c r="AO17" s="14" t="str">
        <f>IF($B17="","",
IF(AO$5="","",
IF(Midterm!AO17="",0,
IF(NOT(ISNUMBER(Midterm!AO17)),"NAN",
IF(Midterm!AO17&lt;0,"NEG",
IF(Midterm!AO17&gt;AO$5,"OVER",
IF(AND(AO$5&lt;=100,Midterm!AO17&gt;100),"ERR",
IF(Info!$B$4="Non-board program",
IF(OR(AND(AO$5&gt;0,AO$5&gt;100),AND(AO$5&gt;0,AO$5&lt;100)),
VLOOKUP(FLOOR((Midterm!AO17/AO$5)*100,1),new_transmute,2,FALSE),
VLOOKUP(Midterm!AO17,new_transmute,2,FALSE)
),
IF(Info!$B$4="Board program",
IF(OR(AND(AO$5&gt;0,AO$5&gt;100),AND(AO$5&gt;0,AO$5&lt;100)),
VLOOKUP(FLOOR((Midterm!AO17/AO$5)*100,1),new_transmute,3,FALSE),
VLOOKUP(Midterm!AO17,new_transmute,3,FALSE)
),
IF(Info!$B$4="Board program (Medicine)",
IF(OR(AND(AO$5&gt;0,AO$5&gt;100),AND(AO$5&gt;0,AO$5&lt;100)),
VLOOKUP(FLOOR((Midterm!AO17/AO$5)*100,1),new_transmute,4,FALSE),
VLOOKUP(Midterm!AO17,new_transmute,4,FALSE)
),
""
)
)
)
)
)
)
)
)
))</f>
        <v/>
      </c>
      <c r="AP17" s="14" t="str">
        <f>IF($B17="","",
IF(AP$5="","",
IF(Midterm!AP17="",0,
IF(NOT(ISNUMBER(Midterm!AP17)),"NAN",
IF(Midterm!AP17&lt;0,"NEG",
IF(Midterm!AP17&gt;AP$5,"OVER",
IF(AND(AP$5&lt;=100,Midterm!AP17&gt;100),"ERR",
IF(Info!$B$4="Non-board program",
IF(OR(AND(AP$5&gt;0,AP$5&gt;100),AND(AP$5&gt;0,AP$5&lt;100)),
VLOOKUP(FLOOR((Midterm!AP17/AP$5)*100,1),new_transmute,2,FALSE),
VLOOKUP(Midterm!AP17,new_transmute,2,FALSE)
),
IF(Info!$B$4="Board program",
IF(OR(AND(AP$5&gt;0,AP$5&gt;100),AND(AP$5&gt;0,AP$5&lt;100)),
VLOOKUP(FLOOR((Midterm!AP17/AP$5)*100,1),new_transmute,3,FALSE),
VLOOKUP(Midterm!AP17,new_transmute,3,FALSE)
),
IF(Info!$B$4="Board program (Medicine)",
IF(OR(AND(AP$5&gt;0,AP$5&gt;100),AND(AP$5&gt;0,AP$5&lt;100)),
VLOOKUP(FLOOR((Midterm!AP17/AP$5)*100,1),new_transmute,4,FALSE),
VLOOKUP(Midterm!AP17,new_transmute,4,FALSE)
),
""
)
)
)
)
)
)
)
)
))</f>
        <v/>
      </c>
      <c r="AQ17" s="61" t="str">
        <f t="shared" si="7"/>
        <v/>
      </c>
      <c r="AR17" s="48" t="str">
        <f>IF(Midterm!AR17="","",Midterm!AR17)</f>
        <v/>
      </c>
      <c r="AS17" s="165" t="str">
        <f t="shared" si="8"/>
        <v/>
      </c>
      <c r="AT17" s="14" t="str">
        <f t="shared" si="0"/>
        <v/>
      </c>
      <c r="AU17" s="14" t="str">
        <f>IF(B17="","",VLOOKUP(AT17,'New Grade Equivalent'!$B$3:$C$47,2,FALSE))</f>
        <v/>
      </c>
    </row>
    <row r="18" spans="1:47" x14ac:dyDescent="0.25">
      <c r="A18" s="8">
        <v>13</v>
      </c>
      <c r="B18" s="2" t="str">
        <f>IF('Student List'!C22="","",UPPER(LEFT('Student List'!C22,FIND(",",'Student List'!C22)-1)))</f>
        <v/>
      </c>
      <c r="C18" s="12" t="str">
        <f>IF('Student List'!C22="","",PROPER(MID('Student List'!C22, FIND(",", 'Student List'!C22) + 2, LEN('Student List'!C22) - FIND(",", 'Student List'!C22) - 1)))</f>
        <v/>
      </c>
      <c r="D18" s="127" t="str">
        <f>IF(B18="","",IF(Midterm!D18="", "NA", Midterm!D18))</f>
        <v/>
      </c>
      <c r="E18" s="8" t="str">
        <f>IF(B18="","",
  IF(Info!$B$5="First Year",
    IF(D18="Yes", "DRP",
      IF(D18="No", "WF", "")
    )
  )
)</f>
        <v/>
      </c>
      <c r="F18" s="14" t="str">
        <f>IF($B18="","",
IF(F$5="","",
IF(Midterm!F18="",0,
IF(NOT(ISNUMBER(Midterm!F18)),"NAN",
IF(Midterm!F18&lt;0,"NEG",
IF(Midterm!F18&gt;F$5,"OVER",
IF(AND(F$5&lt;=100,Midterm!F18&gt;100),"ERR",
IF(Info!$B$4="Non-board program",
IF(OR(AND(F$5&gt;0,F$5&gt;100),AND(F$5&gt;0,F$5&lt;100)),
VLOOKUP(FLOOR((Midterm!F18/F$5)*100,1),new_transmute,2,FALSE),
VLOOKUP(Midterm!F18,new_transmute,2,FALSE)
),
IF(Info!$B$4="Board program",
IF(OR(AND(F$5&gt;0,F$5&gt;100),AND(F$5&gt;0,F$5&lt;100)),
VLOOKUP(FLOOR((Midterm!F18/F$5)*100,1),new_transmute,3,FALSE),
VLOOKUP(Midterm!F18,new_transmute,3,FALSE)
),
IF(Info!$B$4="Board program (Medicine)",
IF(OR(AND(F$5&gt;0,F$5&gt;100),AND(F$5&gt;0,F$5&lt;100)),
VLOOKUP(FLOOR((Midterm!F18/F$5)*100,1),new_transmute,4,FALSE),
VLOOKUP(Midterm!F18,new_transmute,4,FALSE)
),
""
)
)
)
)
)
)
)
)
))</f>
        <v/>
      </c>
      <c r="G18" s="57" t="str">
        <f t="shared" si="1"/>
        <v/>
      </c>
      <c r="H18" s="14" t="str">
        <f>IF($B18="","",
IF(H$5="","",
IF(Midterm!H18="",0,
IF(NOT(ISNUMBER(Midterm!H18)),"NAN",
IF(Midterm!H18&lt;0,"NEG",
IF(Midterm!H18&gt;H$5,"OVER",
IF(AND(H$5&lt;=100,Midterm!H18&gt;100),"ERR",
IF(Info!$B$4="Non-board program",
IF(OR(AND(H$5&gt;0,H$5&gt;100),AND(H$5&gt;0,H$5&lt;100)),
VLOOKUP(FLOOR((Midterm!H18/H$5)*100,1),new_transmute,2,FALSE),
VLOOKUP(Midterm!H18,new_transmute,2,FALSE)
),
IF(Info!$B$4="Board program",
IF(OR(AND(H$5&gt;0,H$5&gt;100),AND(H$5&gt;0,H$5&lt;100)),
VLOOKUP(FLOOR((Midterm!H18/H$5)*100,1),new_transmute,3,FALSE),
VLOOKUP(Midterm!H18,new_transmute,3,FALSE)
),
IF(Info!$B$4="Board program (Medicine)",
IF(OR(AND(H$5&gt;0,H$5&gt;100),AND(H$5&gt;0,H$5&lt;100)),
VLOOKUP(FLOOR((Midterm!H18/H$5)*100,1),new_transmute,4,FALSE),
VLOOKUP(Midterm!H18,new_transmute,4,FALSE)
),
""
)
)
)
)
)
)
)
)
))</f>
        <v/>
      </c>
      <c r="I18" s="14" t="str">
        <f>IF($B18="","",
IF(I$5="","",
IF(Midterm!I18="",0,
IF(NOT(ISNUMBER(Midterm!I18)),"NAN",
IF(Midterm!I18&lt;0,"NEG",
IF(Midterm!I18&gt;I$5,"OVER",
IF(AND(I$5&lt;=100,Midterm!I18&gt;100),"ERR",
IF(Info!$B$4="Non-board program",
IF(OR(AND(I$5&gt;0,I$5&gt;100),AND(I$5&gt;0,I$5&lt;100)),
VLOOKUP(FLOOR((Midterm!I18/I$5)*100,1),new_transmute,2,FALSE),
VLOOKUP(Midterm!I18,new_transmute,2,FALSE)
),
IF(Info!$B$4="Board program",
IF(OR(AND(I$5&gt;0,I$5&gt;100),AND(I$5&gt;0,I$5&lt;100)),
VLOOKUP(FLOOR((Midterm!I18/I$5)*100,1),new_transmute,3,FALSE),
VLOOKUP(Midterm!I18,new_transmute,3,FALSE)
),
IF(Info!$B$4="Board program (Medicine)",
IF(OR(AND(I$5&gt;0,I$5&gt;100),AND(I$5&gt;0,I$5&lt;100)),
VLOOKUP(FLOOR((Midterm!I18/I$5)*100,1),new_transmute,4,FALSE),
VLOOKUP(Midterm!I18,new_transmute,4,FALSE)
),
""
)
)
)
)
)
)
)
)
))</f>
        <v/>
      </c>
      <c r="J18" s="14" t="str">
        <f>IF($B18="","",
IF(J$5="","",
IF(Midterm!J18="",0,
IF(NOT(ISNUMBER(Midterm!J18)),"NAN",
IF(Midterm!J18&lt;0,"NEG",
IF(Midterm!J18&gt;J$5,"OVER",
IF(AND(J$5&lt;=100,Midterm!J18&gt;100),"ERR",
IF(Info!$B$4="Non-board program",
IF(OR(AND(J$5&gt;0,J$5&gt;100),AND(J$5&gt;0,J$5&lt;100)),
VLOOKUP(FLOOR((Midterm!J18/J$5)*100,1),new_transmute,2,FALSE),
VLOOKUP(Midterm!J18,new_transmute,2,FALSE)
),
IF(Info!$B$4="Board program",
IF(OR(AND(J$5&gt;0,J$5&gt;100),AND(J$5&gt;0,J$5&lt;100)),
VLOOKUP(FLOOR((Midterm!J18/J$5)*100,1),new_transmute,3,FALSE),
VLOOKUP(Midterm!J18,new_transmute,3,FALSE)
),
IF(Info!$B$4="Board program (Medicine)",
IF(OR(AND(J$5&gt;0,J$5&gt;100),AND(J$5&gt;0,J$5&lt;100)),
VLOOKUP(FLOOR((Midterm!J18/J$5)*100,1),new_transmute,4,FALSE),
VLOOKUP(Midterm!J18,new_transmute,4,FALSE)
),
""
)
)
)
)
)
)
)
)
))</f>
        <v/>
      </c>
      <c r="K18" s="14" t="str">
        <f>IF($B18="","",
IF(K$5="","",
IF(Midterm!K18="",0,
IF(NOT(ISNUMBER(Midterm!K18)),"NAN",
IF(Midterm!K18&lt;0,"NEG",
IF(Midterm!K18&gt;K$5,"OVER",
IF(AND(K$5&lt;=100,Midterm!K18&gt;100),"ERR",
IF(Info!$B$4="Non-board program",
IF(OR(AND(K$5&gt;0,K$5&gt;100),AND(K$5&gt;0,K$5&lt;100)),
VLOOKUP(FLOOR((Midterm!K18/K$5)*100,1),new_transmute,2,FALSE),
VLOOKUP(Midterm!K18,new_transmute,2,FALSE)
),
IF(Info!$B$4="Board program",
IF(OR(AND(K$5&gt;0,K$5&gt;100),AND(K$5&gt;0,K$5&lt;100)),
VLOOKUP(FLOOR((Midterm!K18/K$5)*100,1),new_transmute,3,FALSE),
VLOOKUP(Midterm!K18,new_transmute,3,FALSE)
),
IF(Info!$B$4="Board program (Medicine)",
IF(OR(AND(K$5&gt;0,K$5&gt;100),AND(K$5&gt;0,K$5&lt;100)),
VLOOKUP(FLOOR((Midterm!K18/K$5)*100,1),new_transmute,4,FALSE),
VLOOKUP(Midterm!K18,new_transmute,4,FALSE)
),
""
)
)
)
)
)
)
)
)
))</f>
        <v/>
      </c>
      <c r="L18" s="14" t="str">
        <f>IF($B18="","",
IF(L$5="","",
IF(Midterm!L18="",0,
IF(NOT(ISNUMBER(Midterm!L18)),"NAN",
IF(Midterm!L18&lt;0,"NEG",
IF(Midterm!L18&gt;L$5,"OVER",
IF(AND(L$5&lt;=100,Midterm!L18&gt;100),"ERR",
IF(Info!$B$4="Non-board program",
IF(OR(AND(L$5&gt;0,L$5&gt;100),AND(L$5&gt;0,L$5&lt;100)),
VLOOKUP(FLOOR((Midterm!L18/L$5)*100,1),new_transmute,2,FALSE),
VLOOKUP(Midterm!L18,new_transmute,2,FALSE)
),
IF(Info!$B$4="Board program",
IF(OR(AND(L$5&gt;0,L$5&gt;100),AND(L$5&gt;0,L$5&lt;100)),
VLOOKUP(FLOOR((Midterm!L18/L$5)*100,1),new_transmute,3,FALSE),
VLOOKUP(Midterm!L18,new_transmute,3,FALSE)
),
IF(Info!$B$4="Board program (Medicine)",
IF(OR(AND(L$5&gt;0,L$5&gt;100),AND(L$5&gt;0,L$5&lt;100)),
VLOOKUP(FLOOR((Midterm!L18/L$5)*100,1),new_transmute,4,FALSE),
VLOOKUP(Midterm!L18,new_transmute,4,FALSE)
),
""
)
)
)
)
)
)
)
)
))</f>
        <v/>
      </c>
      <c r="M18" s="111" t="str">
        <f t="shared" si="2"/>
        <v/>
      </c>
      <c r="N18" s="14" t="str">
        <f>IF($B18="","",
IF(N$5="","",
IF(Midterm!N18="",0,
IF(NOT(ISNUMBER(Midterm!N18)),"NAN",
IF(Midterm!N18&lt;0,"NEG",
IF(Midterm!N18&gt;N$5,"OVER",
IF(AND(N$5&lt;=100,Midterm!N18&gt;100),"ERR",
IF(Info!$B$4="Non-board program",
IF(OR(AND(N$5&gt;0,N$5&gt;100),AND(N$5&gt;0,N$5&lt;100)),
VLOOKUP(FLOOR((Midterm!N18/N$5)*100,1),new_transmute,2,FALSE),
VLOOKUP(Midterm!N18,new_transmute,2,FALSE)
),
IF(Info!$B$4="Board program",
IF(OR(AND(N$5&gt;0,N$5&gt;100),AND(N$5&gt;0,N$5&lt;100)),
VLOOKUP(FLOOR((Midterm!N18/N$5)*100,1),new_transmute,3,FALSE),
VLOOKUP(Midterm!N18,new_transmute,3,FALSE)
),
IF(Info!$B$4="Board program (Medicine)",
IF(OR(AND(N$5&gt;0,N$5&gt;100),AND(N$5&gt;0,N$5&lt;100)),
VLOOKUP(FLOOR((Midterm!N18/N$5)*100,1),new_transmute,4,FALSE),
VLOOKUP(Midterm!N18,new_transmute,4,FALSE)
),
""
)
)
)
)
)
)
)
)
))</f>
        <v/>
      </c>
      <c r="O18" s="14" t="str">
        <f>IF($B18="","",
IF(O$5="","",
IF(Midterm!O18="",0,
IF(NOT(ISNUMBER(Midterm!O18)),"NAN",
IF(Midterm!O18&lt;0,"NEG",
IF(Midterm!O18&gt;O$5,"OVER",
IF(AND(O$5&lt;=100,Midterm!O18&gt;100),"ERR",
IF(Info!$B$4="Non-board program",
IF(OR(AND(O$5&gt;0,O$5&gt;100),AND(O$5&gt;0,O$5&lt;100)),
VLOOKUP(FLOOR((Midterm!O18/O$5)*100,1),new_transmute,2,FALSE),
VLOOKUP(Midterm!O18,new_transmute,2,FALSE)
),
IF(Info!$B$4="Board program",
IF(OR(AND(O$5&gt;0,O$5&gt;100),AND(O$5&gt;0,O$5&lt;100)),
VLOOKUP(FLOOR((Midterm!O18/O$5)*100,1),new_transmute,3,FALSE),
VLOOKUP(Midterm!O18,new_transmute,3,FALSE)
),
IF(Info!$B$4="Board program (Medicine)",
IF(OR(AND(O$5&gt;0,O$5&gt;100),AND(O$5&gt;0,O$5&lt;100)),
VLOOKUP(FLOOR((Midterm!O18/O$5)*100,1),new_transmute,4,FALSE),
VLOOKUP(Midterm!O18,new_transmute,4,FALSE)
),
""
)
)
)
)
)
)
)
)
))</f>
        <v/>
      </c>
      <c r="P18" s="14" t="str">
        <f>IF($B18="","",
IF(P$5="","",
IF(Midterm!P18="",0,
IF(NOT(ISNUMBER(Midterm!P18)),"NAN",
IF(Midterm!P18&lt;0,"NEG",
IF(Midterm!P18&gt;P$5,"OVER",
IF(AND(P$5&lt;=100,Midterm!P18&gt;100),"ERR",
IF(Info!$B$4="Non-board program",
IF(OR(AND(P$5&gt;0,P$5&gt;100),AND(P$5&gt;0,P$5&lt;100)),
VLOOKUP(FLOOR((Midterm!P18/P$5)*100,1),new_transmute,2,FALSE),
VLOOKUP(Midterm!P18,new_transmute,2,FALSE)
),
IF(Info!$B$4="Board program",
IF(OR(AND(P$5&gt;0,P$5&gt;100),AND(P$5&gt;0,P$5&lt;100)),
VLOOKUP(FLOOR((Midterm!P18/P$5)*100,1),new_transmute,3,FALSE),
VLOOKUP(Midterm!P18,new_transmute,3,FALSE)
),
IF(Info!$B$4="Board program (Medicine)",
IF(OR(AND(P$5&gt;0,P$5&gt;100),AND(P$5&gt;0,P$5&lt;100)),
VLOOKUP(FLOOR((Midterm!P18/P$5)*100,1),new_transmute,4,FALSE),
VLOOKUP(Midterm!P18,new_transmute,4,FALSE)
),
""
)
)
)
)
)
)
)
)
))</f>
        <v/>
      </c>
      <c r="Q18" s="14" t="str">
        <f>IF($B18="","",
IF(Q$5="","",
IF(Midterm!Q18="",0,
IF(NOT(ISNUMBER(Midterm!Q18)),"NAN",
IF(Midterm!Q18&lt;0,"NEG",
IF(Midterm!Q18&gt;Q$5,"OVER",
IF(AND(Q$5&lt;=100,Midterm!Q18&gt;100),"ERR",
IF(Info!$B$4="Non-board program",
IF(OR(AND(Q$5&gt;0,Q$5&gt;100),AND(Q$5&gt;0,Q$5&lt;100)),
VLOOKUP(FLOOR((Midterm!Q18/Q$5)*100,1),new_transmute,2,FALSE),
VLOOKUP(Midterm!Q18,new_transmute,2,FALSE)
),
IF(Info!$B$4="Board program",
IF(OR(AND(Q$5&gt;0,Q$5&gt;100),AND(Q$5&gt;0,Q$5&lt;100)),
VLOOKUP(FLOOR((Midterm!Q18/Q$5)*100,1),new_transmute,3,FALSE),
VLOOKUP(Midterm!Q18,new_transmute,3,FALSE)
),
IF(Info!$B$4="Board program (Medicine)",
IF(OR(AND(Q$5&gt;0,Q$5&gt;100),AND(Q$5&gt;0,Q$5&lt;100)),
VLOOKUP(FLOOR((Midterm!Q18/Q$5)*100,1),new_transmute,4,FALSE),
VLOOKUP(Midterm!Q18,new_transmute,4,FALSE)
),
""
)
)
)
)
)
)
)
)
))</f>
        <v/>
      </c>
      <c r="R18" s="14" t="str">
        <f>IF($B18="","",
IF(R$5="","",
IF(Midterm!R18="",0,
IF(NOT(ISNUMBER(Midterm!R18)),"NAN",
IF(Midterm!R18&lt;0,"NEG",
IF(Midterm!R18&gt;R$5,"OVER",
IF(AND(R$5&lt;=100,Midterm!R18&gt;100),"ERR",
IF(Info!$B$4="Non-board program",
IF(OR(AND(R$5&gt;0,R$5&gt;100),AND(R$5&gt;0,R$5&lt;100)),
VLOOKUP(FLOOR((Midterm!R18/R$5)*100,1),new_transmute,2,FALSE),
VLOOKUP(Midterm!R18,new_transmute,2,FALSE)
),
IF(Info!$B$4="Board program",
IF(OR(AND(R$5&gt;0,R$5&gt;100),AND(R$5&gt;0,R$5&lt;100)),
VLOOKUP(FLOOR((Midterm!R18/R$5)*100,1),new_transmute,3,FALSE),
VLOOKUP(Midterm!R18,new_transmute,3,FALSE)
),
IF(Info!$B$4="Board program (Medicine)",
IF(OR(AND(R$5&gt;0,R$5&gt;100),AND(R$5&gt;0,R$5&lt;100)),
VLOOKUP(FLOOR((Midterm!R18/R$5)*100,1),new_transmute,4,FALSE),
VLOOKUP(Midterm!R18,new_transmute,4,FALSE)
),
""
)
)
)
)
)
)
)
)
))</f>
        <v/>
      </c>
      <c r="S18" s="115" t="str">
        <f t="shared" si="3"/>
        <v/>
      </c>
      <c r="T18" s="14" t="str">
        <f>IF($B18="","",
IF(T$5="","",
IF(Midterm!T18="",0,
IF(NOT(ISNUMBER(Midterm!T18)),"NAN",
IF(Midterm!T18&lt;0,"NEG",
IF(Midterm!T18&gt;T$5,"OVER",
IF(AND(T$5&lt;=100,Midterm!T18&gt;100),"ERR",
IF(Info!$B$4="Non-board program",
IF(OR(AND(T$5&gt;0,T$5&gt;100),AND(T$5&gt;0,T$5&lt;100)),
VLOOKUP(FLOOR((Midterm!T18/T$5)*100,1),new_transmute,2,FALSE),
VLOOKUP(Midterm!T18,new_transmute,2,FALSE)
),
IF(Info!$B$4="Board program",
IF(OR(AND(T$5&gt;0,T$5&gt;100),AND(T$5&gt;0,T$5&lt;100)),
VLOOKUP(FLOOR((Midterm!T18/T$5)*100,1),new_transmute,3,FALSE),
VLOOKUP(Midterm!T18,new_transmute,3,FALSE)
),
IF(Info!$B$4="Board program (Medicine)",
IF(OR(AND(T$5&gt;0,T$5&gt;100),AND(T$5&gt;0,T$5&lt;100)),
VLOOKUP(FLOOR((Midterm!T18/T$5)*100,1),new_transmute,4,FALSE),
VLOOKUP(Midterm!T18,new_transmute,4,FALSE)
),
""
)
)
)
)
)
)
)
)
))</f>
        <v/>
      </c>
      <c r="U18" s="14" t="str">
        <f>IF($B18="","",
IF(U$5="","",
IF(Midterm!U18="",0,
IF(NOT(ISNUMBER(Midterm!U18)),"NAN",
IF(Midterm!U18&lt;0,"NEG",
IF(Midterm!U18&gt;U$5,"OVER",
IF(AND(U$5&lt;=100,Midterm!U18&gt;100),"ERR",
IF(Info!$B$4="Non-board program",
IF(OR(AND(U$5&gt;0,U$5&gt;100),AND(U$5&gt;0,U$5&lt;100)),
VLOOKUP(FLOOR((Midterm!U18/U$5)*100,1),new_transmute,2,FALSE),
VLOOKUP(Midterm!U18,new_transmute,2,FALSE)
),
IF(Info!$B$4="Board program",
IF(OR(AND(U$5&gt;0,U$5&gt;100),AND(U$5&gt;0,U$5&lt;100)),
VLOOKUP(FLOOR((Midterm!U18/U$5)*100,1),new_transmute,3,FALSE),
VLOOKUP(Midterm!U18,new_transmute,3,FALSE)
),
IF(Info!$B$4="Board program (Medicine)",
IF(OR(AND(U$5&gt;0,U$5&gt;100),AND(U$5&gt;0,U$5&lt;100)),
VLOOKUP(FLOOR((Midterm!U18/U$5)*100,1),new_transmute,4,FALSE),
VLOOKUP(Midterm!U18,new_transmute,4,FALSE)
),
""
)
)
)
)
)
)
)
)
))</f>
        <v/>
      </c>
      <c r="V18" s="14" t="str">
        <f>IF($B18="","",
IF(V$5="","",
IF(Midterm!V18="",0,
IF(NOT(ISNUMBER(Midterm!V18)),"NAN",
IF(Midterm!V18&lt;0,"NEG",
IF(Midterm!V18&gt;V$5,"OVER",
IF(AND(V$5&lt;=100,Midterm!V18&gt;100),"ERR",
IF(Info!$B$4="Non-board program",
IF(OR(AND(V$5&gt;0,V$5&gt;100),AND(V$5&gt;0,V$5&lt;100)),
VLOOKUP(FLOOR((Midterm!V18/V$5)*100,1),new_transmute,2,FALSE),
VLOOKUP(Midterm!V18,new_transmute,2,FALSE)
),
IF(Info!$B$4="Board program",
IF(OR(AND(V$5&gt;0,V$5&gt;100),AND(V$5&gt;0,V$5&lt;100)),
VLOOKUP(FLOOR((Midterm!V18/V$5)*100,1),new_transmute,3,FALSE),
VLOOKUP(Midterm!V18,new_transmute,3,FALSE)
),
IF(Info!$B$4="Board program (Medicine)",
IF(OR(AND(V$5&gt;0,V$5&gt;100),AND(V$5&gt;0,V$5&lt;100)),
VLOOKUP(FLOOR((Midterm!V18/V$5)*100,1),new_transmute,4,FALSE),
VLOOKUP(Midterm!V18,new_transmute,4,FALSE)
),
""
)
)
)
)
)
)
)
)
))</f>
        <v/>
      </c>
      <c r="W18" s="14" t="str">
        <f>IF($B18="","",
IF(W$5="","",
IF(Midterm!W18="",0,
IF(NOT(ISNUMBER(Midterm!W18)),"NAN",
IF(Midterm!W18&lt;0,"NEG",
IF(Midterm!W18&gt;W$5,"OVER",
IF(AND(W$5&lt;=100,Midterm!W18&gt;100),"ERR",
IF(Info!$B$4="Non-board program",
IF(OR(AND(W$5&gt;0,W$5&gt;100),AND(W$5&gt;0,W$5&lt;100)),
VLOOKUP(FLOOR((Midterm!W18/W$5)*100,1),new_transmute,2,FALSE),
VLOOKUP(Midterm!W18,new_transmute,2,FALSE)
),
IF(Info!$B$4="Board program",
IF(OR(AND(W$5&gt;0,W$5&gt;100),AND(W$5&gt;0,W$5&lt;100)),
VLOOKUP(FLOOR((Midterm!W18/W$5)*100,1),new_transmute,3,FALSE),
VLOOKUP(Midterm!W18,new_transmute,3,FALSE)
),
IF(Info!$B$4="Board program (Medicine)",
IF(OR(AND(W$5&gt;0,W$5&gt;100),AND(W$5&gt;0,W$5&lt;100)),
VLOOKUP(FLOOR((Midterm!W18/W$5)*100,1),new_transmute,4,FALSE),
VLOOKUP(Midterm!W18,new_transmute,4,FALSE)
),
""
)
)
)
)
)
)
)
)
))</f>
        <v/>
      </c>
      <c r="X18" s="14" t="str">
        <f>IF($B18="","",
IF(X$5="","",
IF(Midterm!X18="",0,
IF(NOT(ISNUMBER(Midterm!X18)),"NAN",
IF(Midterm!X18&lt;0,"NEG",
IF(Midterm!X18&gt;X$5,"OVER",
IF(AND(X$5&lt;=100,Midterm!X18&gt;100),"ERR",
IF(Info!$B$4="Non-board program",
IF(OR(AND(X$5&gt;0,X$5&gt;100),AND(X$5&gt;0,X$5&lt;100)),
VLOOKUP(FLOOR((Midterm!X18/X$5)*100,1),new_transmute,2,FALSE),
VLOOKUP(Midterm!X18,new_transmute,2,FALSE)
),
IF(Info!$B$4="Board program",
IF(OR(AND(X$5&gt;0,X$5&gt;100),AND(X$5&gt;0,X$5&lt;100)),
VLOOKUP(FLOOR((Midterm!X18/X$5)*100,1),new_transmute,3,FALSE),
VLOOKUP(Midterm!X18,new_transmute,3,FALSE)
),
IF(Info!$B$4="Board program (Medicine)",
IF(OR(AND(X$5&gt;0,X$5&gt;100),AND(X$5&gt;0,X$5&lt;100)),
VLOOKUP(FLOOR((Midterm!X18/X$5)*100,1),new_transmute,4,FALSE),
VLOOKUP(Midterm!X18,new_transmute,4,FALSE)
),
""
)
)
)
)
)
)
)
)
))</f>
        <v/>
      </c>
      <c r="Y18" s="112" t="str">
        <f t="shared" si="4"/>
        <v/>
      </c>
      <c r="Z18" s="14" t="str">
        <f>IF($B18="","",
IF(Z$5="","",
IF(Midterm!Z18="",0,
IF(NOT(ISNUMBER(Midterm!Z18)),"NAN",
IF(Midterm!Z18&lt;0,"NEG",
IF(Midterm!Z18&gt;Z$5,"OVER",
IF(AND(Z$5&lt;=100,Midterm!Z18&gt;100),"ERR",
IF(Info!$B$4="Non-board program",
IF(OR(AND(Z$5&gt;0,Z$5&gt;100),AND(Z$5&gt;0,Z$5&lt;100)),
VLOOKUP(FLOOR((Midterm!Z18/Z$5)*100,1),new_transmute,2,FALSE),
VLOOKUP(Midterm!Z18,new_transmute,2,FALSE)
),
IF(Info!$B$4="Board program",
IF(OR(AND(Z$5&gt;0,Z$5&gt;100),AND(Z$5&gt;0,Z$5&lt;100)),
VLOOKUP(FLOOR((Midterm!Z18/Z$5)*100,1),new_transmute,3,FALSE),
VLOOKUP(Midterm!Z18,new_transmute,3,FALSE)
),
IF(Info!$B$4="Board program (Medicine)",
IF(OR(AND(Z$5&gt;0,Z$5&gt;100),AND(Z$5&gt;0,Z$5&lt;100)),
VLOOKUP(FLOOR((Midterm!Z18/Z$5)*100,1),new_transmute,4,FALSE),
VLOOKUP(Midterm!Z18,new_transmute,4,FALSE)
),
""
)
)
)
)
)
)
)
)
))</f>
        <v/>
      </c>
      <c r="AA18" s="14" t="str">
        <f>IF($B18="","",
IF(AA$5="","",
IF(Midterm!AA18="",0,
IF(NOT(ISNUMBER(Midterm!AA18)),"NAN",
IF(Midterm!AA18&lt;0,"NEG",
IF(Midterm!AA18&gt;AA$5,"OVER",
IF(AND(AA$5&lt;=100,Midterm!AA18&gt;100),"ERR",
IF(Info!$B$4="Non-board program",
IF(OR(AND(AA$5&gt;0,AA$5&gt;100),AND(AA$5&gt;0,AA$5&lt;100)),
VLOOKUP(FLOOR((Midterm!AA18/AA$5)*100,1),new_transmute,2,FALSE),
VLOOKUP(Midterm!AA18,new_transmute,2,FALSE)
),
IF(Info!$B$4="Board program",
IF(OR(AND(AA$5&gt;0,AA$5&gt;100),AND(AA$5&gt;0,AA$5&lt;100)),
VLOOKUP(FLOOR((Midterm!AA18/AA$5)*100,1),new_transmute,3,FALSE),
VLOOKUP(Midterm!AA18,new_transmute,3,FALSE)
),
IF(Info!$B$4="Board program (Medicine)",
IF(OR(AND(AA$5&gt;0,AA$5&gt;100),AND(AA$5&gt;0,AA$5&lt;100)),
VLOOKUP(FLOOR((Midterm!AA18/AA$5)*100,1),new_transmute,4,FALSE),
VLOOKUP(Midterm!AA18,new_transmute,4,FALSE)
),
""
)
)
)
)
)
)
)
)
))</f>
        <v/>
      </c>
      <c r="AB18" s="14" t="str">
        <f>IF($B18="","",
IF(AB$5="","",
IF(Midterm!AB18="",0,
IF(NOT(ISNUMBER(Midterm!AB18)),"NAN",
IF(Midterm!AB18&lt;0,"NEG",
IF(Midterm!AB18&gt;AB$5,"OVER",
IF(AND(AB$5&lt;=100,Midterm!AB18&gt;100),"ERR",
IF(Info!$B$4="Non-board program",
IF(OR(AND(AB$5&gt;0,AB$5&gt;100),AND(AB$5&gt;0,AB$5&lt;100)),
VLOOKUP(FLOOR((Midterm!AB18/AB$5)*100,1),new_transmute,2,FALSE),
VLOOKUP(Midterm!AB18,new_transmute,2,FALSE)
),
IF(Info!$B$4="Board program",
IF(OR(AND(AB$5&gt;0,AB$5&gt;100),AND(AB$5&gt;0,AB$5&lt;100)),
VLOOKUP(FLOOR((Midterm!AB18/AB$5)*100,1),new_transmute,3,FALSE),
VLOOKUP(Midterm!AB18,new_transmute,3,FALSE)
),
IF(Info!$B$4="Board program (Medicine)",
IF(OR(AND(AB$5&gt;0,AB$5&gt;100),AND(AB$5&gt;0,AB$5&lt;100)),
VLOOKUP(FLOOR((Midterm!AB18/AB$5)*100,1),new_transmute,4,FALSE),
VLOOKUP(Midterm!AB18,new_transmute,4,FALSE)
),
""
)
)
)
)
)
)
)
)
))</f>
        <v/>
      </c>
      <c r="AC18" s="14" t="str">
        <f>IF($B18="","",
IF(AC$5="","",
IF(Midterm!AC18="",0,
IF(NOT(ISNUMBER(Midterm!AC18)),"NAN",
IF(Midterm!AC18&lt;0,"NEG",
IF(Midterm!AC18&gt;AC$5,"OVER",
IF(AND(AC$5&lt;=100,Midterm!AC18&gt;100),"ERR",
IF(Info!$B$4="Non-board program",
IF(OR(AND(AC$5&gt;0,AC$5&gt;100),AND(AC$5&gt;0,AC$5&lt;100)),
VLOOKUP(FLOOR((Midterm!AC18/AC$5)*100,1),new_transmute,2,FALSE),
VLOOKUP(Midterm!AC18,new_transmute,2,FALSE)
),
IF(Info!$B$4="Board program",
IF(OR(AND(AC$5&gt;0,AC$5&gt;100),AND(AC$5&gt;0,AC$5&lt;100)),
VLOOKUP(FLOOR((Midterm!AC18/AC$5)*100,1),new_transmute,3,FALSE),
VLOOKUP(Midterm!AC18,new_transmute,3,FALSE)
),
IF(Info!$B$4="Board program (Medicine)",
IF(OR(AND(AC$5&gt;0,AC$5&gt;100),AND(AC$5&gt;0,AC$5&lt;100)),
VLOOKUP(FLOOR((Midterm!AC18/AC$5)*100,1),new_transmute,4,FALSE),
VLOOKUP(Midterm!AC18,new_transmute,4,FALSE)
),
""
)
)
)
)
)
)
)
)
))</f>
        <v/>
      </c>
      <c r="AD18" s="14" t="str">
        <f>IF($B18="","",
IF(AD$5="","",
IF(Midterm!AD18="",0,
IF(NOT(ISNUMBER(Midterm!AD18)),"NAN",
IF(Midterm!AD18&lt;0,"NEG",
IF(Midterm!AD18&gt;AD$5,"OVER",
IF(AND(AD$5&lt;=100,Midterm!AD18&gt;100),"ERR",
IF(Info!$B$4="Non-board program",
IF(OR(AND(AD$5&gt;0,AD$5&gt;100),AND(AD$5&gt;0,AD$5&lt;100)),
VLOOKUP(FLOOR((Midterm!AD18/AD$5)*100,1),new_transmute,2,FALSE),
VLOOKUP(Midterm!AD18,new_transmute,2,FALSE)
),
IF(Info!$B$4="Board program",
IF(OR(AND(AD$5&gt;0,AD$5&gt;100),AND(AD$5&gt;0,AD$5&lt;100)),
VLOOKUP(FLOOR((Midterm!AD18/AD$5)*100,1),new_transmute,3,FALSE),
VLOOKUP(Midterm!AD18,new_transmute,3,FALSE)
),
IF(Info!$B$4="Board program (Medicine)",
IF(OR(AND(AD$5&gt;0,AD$5&gt;100),AND(AD$5&gt;0,AD$5&lt;100)),
VLOOKUP(FLOOR((Midterm!AD18/AD$5)*100,1),new_transmute,4,FALSE),
VLOOKUP(Midterm!AD18,new_transmute,4,FALSE)
),
""
)
)
)
)
)
)
)
)
))</f>
        <v/>
      </c>
      <c r="AE18" s="58" t="str">
        <f t="shared" si="5"/>
        <v/>
      </c>
      <c r="AF18" s="14" t="str">
        <f>IF($B18="","",
IF(AF$5="","",
IF(Midterm!AF18="",0,
IF(NOT(ISNUMBER(Midterm!AF18)),"NAN",
IF(Midterm!AF18&lt;0,"NEG",
IF(Midterm!AF18&gt;AF$5,"OVER",
IF(AND(AF$5&lt;=100,Midterm!AF18&gt;100),"ERR",
IF(Info!$B$4="Non-board program",
IF(OR(AND(AF$5&gt;0,AF$5&gt;100),AND(AF$5&gt;0,AF$5&lt;100)),
VLOOKUP(FLOOR((Midterm!AF18/AF$5)*100,1),new_transmute,2,FALSE),
VLOOKUP(Midterm!AF18,new_transmute,2,FALSE)
),
IF(Info!$B$4="Board program",
IF(OR(AND(AF$5&gt;0,AF$5&gt;100),AND(AF$5&gt;0,AF$5&lt;100)),
VLOOKUP(FLOOR((Midterm!AF18/AF$5)*100,1),new_transmute,3,FALSE),
VLOOKUP(Midterm!AF18,new_transmute,3,FALSE)
),
IF(Info!$B$4="Board program (Medicine)",
IF(OR(AND(AF$5&gt;0,AF$5&gt;100),AND(AF$5&gt;0,AF$5&lt;100)),
VLOOKUP(FLOOR((Midterm!AF18/AF$5)*100,1),new_transmute,4,FALSE),
VLOOKUP(Midterm!AF18,new_transmute,4,FALSE)
),
""
)
)
)
)
)
)
)
)
))</f>
        <v/>
      </c>
      <c r="AG18" s="14" t="str">
        <f>IF($B18="","",
IF(AG$5="","",
IF(Midterm!AG18="",0,
IF(NOT(ISNUMBER(Midterm!AG18)),"NAN",
IF(Midterm!AG18&lt;0,"NEG",
IF(Midterm!AG18&gt;AG$5,"OVER",
IF(AND(AG$5&lt;=100,Midterm!AG18&gt;100),"ERR",
IF(Info!$B$4="Non-board program",
IF(OR(AND(AG$5&gt;0,AG$5&gt;100),AND(AG$5&gt;0,AG$5&lt;100)),
VLOOKUP(FLOOR((Midterm!AG18/AG$5)*100,1),new_transmute,2,FALSE),
VLOOKUP(Midterm!AG18,new_transmute,2,FALSE)
),
IF(Info!$B$4="Board program",
IF(OR(AND(AG$5&gt;0,AG$5&gt;100),AND(AG$5&gt;0,AG$5&lt;100)),
VLOOKUP(FLOOR((Midterm!AG18/AG$5)*100,1),new_transmute,3,FALSE),
VLOOKUP(Midterm!AG18,new_transmute,3,FALSE)
),
IF(Info!$B$4="Board program (Medicine)",
IF(OR(AND(AG$5&gt;0,AG$5&gt;100),AND(AG$5&gt;0,AG$5&lt;100)),
VLOOKUP(FLOOR((Midterm!AG18/AG$5)*100,1),new_transmute,4,FALSE),
VLOOKUP(Midterm!AG18,new_transmute,4,FALSE)
),
""
)
)
)
)
)
)
)
)
))</f>
        <v/>
      </c>
      <c r="AH18" s="14" t="str">
        <f>IF($B18="","",
IF(AH$5="","",
IF(Midterm!AH18="",0,
IF(NOT(ISNUMBER(Midterm!AH18)),"NAN",
IF(Midterm!AH18&lt;0,"NEG",
IF(Midterm!AH18&gt;AH$5,"OVER",
IF(AND(AH$5&lt;=100,Midterm!AH18&gt;100),"ERR",
IF(Info!$B$4="Non-board program",
IF(OR(AND(AH$5&gt;0,AH$5&gt;100),AND(AH$5&gt;0,AH$5&lt;100)),
VLOOKUP(FLOOR((Midterm!AH18/AH$5)*100,1),new_transmute,2,FALSE),
VLOOKUP(Midterm!AH18,new_transmute,2,FALSE)
),
IF(Info!$B$4="Board program",
IF(OR(AND(AH$5&gt;0,AH$5&gt;100),AND(AH$5&gt;0,AH$5&lt;100)),
VLOOKUP(FLOOR((Midterm!AH18/AH$5)*100,1),new_transmute,3,FALSE),
VLOOKUP(Midterm!AH18,new_transmute,3,FALSE)
),
IF(Info!$B$4="Board program (Medicine)",
IF(OR(AND(AH$5&gt;0,AH$5&gt;100),AND(AH$5&gt;0,AH$5&lt;100)),
VLOOKUP(FLOOR((Midterm!AH18/AH$5)*100,1),new_transmute,4,FALSE),
VLOOKUP(Midterm!AH18,new_transmute,4,FALSE)
),
""
)
)
)
)
)
)
)
)
))</f>
        <v/>
      </c>
      <c r="AI18" s="14" t="str">
        <f>IF($B18="","",
IF(AI$5="","",
IF(Midterm!AI18="",0,
IF(NOT(ISNUMBER(Midterm!AI18)),"NAN",
IF(Midterm!AI18&lt;0,"NEG",
IF(Midterm!AI18&gt;AI$5,"OVER",
IF(AND(AI$5&lt;=100,Midterm!AI18&gt;100),"ERR",
IF(Info!$B$4="Non-board program",
IF(OR(AND(AI$5&gt;0,AI$5&gt;100),AND(AI$5&gt;0,AI$5&lt;100)),
VLOOKUP(FLOOR((Midterm!AI18/AI$5)*100,1),new_transmute,2,FALSE),
VLOOKUP(Midterm!AI18,new_transmute,2,FALSE)
),
IF(Info!$B$4="Board program",
IF(OR(AND(AI$5&gt;0,AI$5&gt;100),AND(AI$5&gt;0,AI$5&lt;100)),
VLOOKUP(FLOOR((Midterm!AI18/AI$5)*100,1),new_transmute,3,FALSE),
VLOOKUP(Midterm!AI18,new_transmute,3,FALSE)
),
IF(Info!$B$4="Board program (Medicine)",
IF(OR(AND(AI$5&gt;0,AI$5&gt;100),AND(AI$5&gt;0,AI$5&lt;100)),
VLOOKUP(FLOOR((Midterm!AI18/AI$5)*100,1),new_transmute,4,FALSE),
VLOOKUP(Midterm!AI18,new_transmute,4,FALSE)
),
""
)
)
)
)
)
)
)
)
))</f>
        <v/>
      </c>
      <c r="AJ18" s="14" t="str">
        <f>IF($B18="","",
IF(AJ$5="","",
IF(Midterm!AJ18="",0,
IF(NOT(ISNUMBER(Midterm!AJ18)),"NAN",
IF(Midterm!AJ18&lt;0,"NEG",
IF(Midterm!AJ18&gt;AJ$5,"OVER",
IF(AND(AJ$5&lt;=100,Midterm!AJ18&gt;100),"ERR",
IF(Info!$B$4="Non-board program",
IF(OR(AND(AJ$5&gt;0,AJ$5&gt;100),AND(AJ$5&gt;0,AJ$5&lt;100)),
VLOOKUP(FLOOR((Midterm!AJ18/AJ$5)*100,1),new_transmute,2,FALSE),
VLOOKUP(Midterm!AJ18,new_transmute,2,FALSE)
),
IF(Info!$B$4="Board program",
IF(OR(AND(AJ$5&gt;0,AJ$5&gt;100),AND(AJ$5&gt;0,AJ$5&lt;100)),
VLOOKUP(FLOOR((Midterm!AJ18/AJ$5)*100,1),new_transmute,3,FALSE),
VLOOKUP(Midterm!AJ18,new_transmute,3,FALSE)
),
IF(Info!$B$4="Board program (Medicine)",
IF(OR(AND(AJ$5&gt;0,AJ$5&gt;100),AND(AJ$5&gt;0,AJ$5&lt;100)),
VLOOKUP(FLOOR((Midterm!AJ18/AJ$5)*100,1),new_transmute,4,FALSE),
VLOOKUP(Midterm!AJ18,new_transmute,4,FALSE)
),
""
)
)
)
)
)
)
)
)
))</f>
        <v/>
      </c>
      <c r="AK18" s="59" t="str">
        <f t="shared" si="6"/>
        <v/>
      </c>
      <c r="AL18" s="60" t="str">
        <f>IF(B18="", "",
    IF(OR(M18="OVER", S18="OVER", Y18="OVER", AE18="OVER", AK18="OVER"),
        "OVER",
        IF(Info!$B$4="Non-board program",
            VLOOKUP(IFERROR(FLOOR(SUM((M18*$M$4), (S18*$S$4), (Y18*$Y$4), (AE18*$AE$4), (AK18*$AK$4)) * (100 / 60), 1), 0), new_transmute, 2, FALSE),
            IF(Info!$B$4="Board program",
                VLOOKUP(IFERROR(FLOOR(SUM((M18*$M$4), (S18*$S$4), (Y18*$Y$4), (AE18*$AE$4), (AK18*$AK$4)) * (100 / 60), 1), 0), new_transmute, 3, FALSE),
                IF(Info!$B$4="Board program (Medicine)",
                    VLOOKUP(IFERROR(FLOOR(SUM((M18*$M$4), (S18*$S$4), (Y18*$Y$4), (AE18*$AE$4), (AK18*$AK$4)) * (100 / 60), 1), 0), new_transmute, 4, FALSE),
                    ""
                )
            )
        )
    )
)</f>
        <v/>
      </c>
      <c r="AM18" s="14" t="str">
        <f>IF($B18="","",
IF(AM$5="","",
IF(Midterm!AM18="",0,
IF(NOT(ISNUMBER(Midterm!AM18)),"NAN",
IF(Midterm!AM18&lt;0,"NEG",
IF(Midterm!AM18&gt;AM$5,"OVER",
IF(AND(AM$5&lt;=100,Midterm!AM18&gt;100),"ERR",
IF(Info!$B$4="Non-board program",
IF(OR(AND(AM$5&gt;0,AM$5&gt;100),AND(AM$5&gt;0,AM$5&lt;100)),
VLOOKUP(FLOOR((Midterm!AM18/AM$5)*100,1),new_transmute,2,FALSE),
VLOOKUP(Midterm!AM18,new_transmute,2,FALSE)
),
IF(Info!$B$4="Board program",
IF(OR(AND(AM$5&gt;0,AM$5&gt;100),AND(AM$5&gt;0,AM$5&lt;100)),
VLOOKUP(FLOOR((Midterm!AM18/AM$5)*100,1),new_transmute,3,FALSE),
VLOOKUP(Midterm!AM18,new_transmute,3,FALSE)
),
IF(Info!$B$4="Board program (Medicine)",
IF(OR(AND(AM$5&gt;0,AM$5&gt;100),AND(AM$5&gt;0,AM$5&lt;100)),
VLOOKUP(FLOOR((Midterm!AM18/AM$5)*100,1),new_transmute,4,FALSE),
VLOOKUP(Midterm!AM18,new_transmute,4,FALSE)
),
""
)
)
)
)
)
)
)
)
))</f>
        <v/>
      </c>
      <c r="AN18" s="14" t="str">
        <f>IF($B18="","",
IF(AN$5="","",
IF(Midterm!AN18="",0,
IF(NOT(ISNUMBER(Midterm!AN18)),"NAN",
IF(Midterm!AN18&lt;0,"NEG",
IF(Midterm!AN18&gt;AN$5,"OVER",
IF(AND(AN$5&lt;=100,Midterm!AN18&gt;100),"ERR",
IF(Info!$B$4="Non-board program",
IF(OR(AND(AN$5&gt;0,AN$5&gt;100),AND(AN$5&gt;0,AN$5&lt;100)),
VLOOKUP(FLOOR((Midterm!AN18/AN$5)*100,1),new_transmute,2,FALSE),
VLOOKUP(Midterm!AN18,new_transmute,2,FALSE)
),
IF(Info!$B$4="Board program",
IF(OR(AND(AN$5&gt;0,AN$5&gt;100),AND(AN$5&gt;0,AN$5&lt;100)),
VLOOKUP(FLOOR((Midterm!AN18/AN$5)*100,1),new_transmute,3,FALSE),
VLOOKUP(Midterm!AN18,new_transmute,3,FALSE)
),
IF(Info!$B$4="Board program (Medicine)",
IF(OR(AND(AN$5&gt;0,AN$5&gt;100),AND(AN$5&gt;0,AN$5&lt;100)),
VLOOKUP(FLOOR((Midterm!AN18/AN$5)*100,1),new_transmute,4,FALSE),
VLOOKUP(Midterm!AN18,new_transmute,4,FALSE)
),
""
)
)
)
)
)
)
)
)
))</f>
        <v/>
      </c>
      <c r="AO18" s="14" t="str">
        <f>IF($B18="","",
IF(AO$5="","",
IF(Midterm!AO18="",0,
IF(NOT(ISNUMBER(Midterm!AO18)),"NAN",
IF(Midterm!AO18&lt;0,"NEG",
IF(Midterm!AO18&gt;AO$5,"OVER",
IF(AND(AO$5&lt;=100,Midterm!AO18&gt;100),"ERR",
IF(Info!$B$4="Non-board program",
IF(OR(AND(AO$5&gt;0,AO$5&gt;100),AND(AO$5&gt;0,AO$5&lt;100)),
VLOOKUP(FLOOR((Midterm!AO18/AO$5)*100,1),new_transmute,2,FALSE),
VLOOKUP(Midterm!AO18,new_transmute,2,FALSE)
),
IF(Info!$B$4="Board program",
IF(OR(AND(AO$5&gt;0,AO$5&gt;100),AND(AO$5&gt;0,AO$5&lt;100)),
VLOOKUP(FLOOR((Midterm!AO18/AO$5)*100,1),new_transmute,3,FALSE),
VLOOKUP(Midterm!AO18,new_transmute,3,FALSE)
),
IF(Info!$B$4="Board program (Medicine)",
IF(OR(AND(AO$5&gt;0,AO$5&gt;100),AND(AO$5&gt;0,AO$5&lt;100)),
VLOOKUP(FLOOR((Midterm!AO18/AO$5)*100,1),new_transmute,4,FALSE),
VLOOKUP(Midterm!AO18,new_transmute,4,FALSE)
),
""
)
)
)
)
)
)
)
)
))</f>
        <v/>
      </c>
      <c r="AP18" s="14" t="str">
        <f>IF($B18="","",
IF(AP$5="","",
IF(Midterm!AP18="",0,
IF(NOT(ISNUMBER(Midterm!AP18)),"NAN",
IF(Midterm!AP18&lt;0,"NEG",
IF(Midterm!AP18&gt;AP$5,"OVER",
IF(AND(AP$5&lt;=100,Midterm!AP18&gt;100),"ERR",
IF(Info!$B$4="Non-board program",
IF(OR(AND(AP$5&gt;0,AP$5&gt;100),AND(AP$5&gt;0,AP$5&lt;100)),
VLOOKUP(FLOOR((Midterm!AP18/AP$5)*100,1),new_transmute,2,FALSE),
VLOOKUP(Midterm!AP18,new_transmute,2,FALSE)
),
IF(Info!$B$4="Board program",
IF(OR(AND(AP$5&gt;0,AP$5&gt;100),AND(AP$5&gt;0,AP$5&lt;100)),
VLOOKUP(FLOOR((Midterm!AP18/AP$5)*100,1),new_transmute,3,FALSE),
VLOOKUP(Midterm!AP18,new_transmute,3,FALSE)
),
IF(Info!$B$4="Board program (Medicine)",
IF(OR(AND(AP$5&gt;0,AP$5&gt;100),AND(AP$5&gt;0,AP$5&lt;100)),
VLOOKUP(FLOOR((Midterm!AP18/AP$5)*100,1),new_transmute,4,FALSE),
VLOOKUP(Midterm!AP18,new_transmute,4,FALSE)
),
""
)
)
)
)
)
)
)
)
))</f>
        <v/>
      </c>
      <c r="AQ18" s="61" t="str">
        <f t="shared" si="7"/>
        <v/>
      </c>
      <c r="AR18" s="48" t="str">
        <f>IF(Midterm!AR18="","",Midterm!AR18)</f>
        <v/>
      </c>
      <c r="AS18" s="165" t="str">
        <f t="shared" si="8"/>
        <v/>
      </c>
      <c r="AT18" s="14" t="str">
        <f t="shared" si="0"/>
        <v/>
      </c>
      <c r="AU18" s="14" t="str">
        <f>IF(B18="","",VLOOKUP(AT18,'New Grade Equivalent'!$B$3:$C$47,2,FALSE))</f>
        <v/>
      </c>
    </row>
    <row r="19" spans="1:47" x14ac:dyDescent="0.25">
      <c r="A19" s="8">
        <v>14</v>
      </c>
      <c r="B19" s="2" t="str">
        <f>IF('Student List'!C23="","",UPPER(LEFT('Student List'!C23,FIND(",",'Student List'!C23)-1)))</f>
        <v/>
      </c>
      <c r="C19" s="12" t="str">
        <f>IF('Student List'!C23="","",PROPER(MID('Student List'!C23, FIND(",", 'Student List'!C23) + 2, LEN('Student List'!C23) - FIND(",", 'Student List'!C23) - 1)))</f>
        <v/>
      </c>
      <c r="D19" s="127" t="str">
        <f>IF(B19="","",IF(Midterm!D19="", "NA", Midterm!D19))</f>
        <v/>
      </c>
      <c r="E19" s="8" t="str">
        <f>IF(B19="","",
  IF(Info!$B$5="First Year",
    IF(D19="Yes", "DRP",
      IF(D19="No", "WF", "")
    )
  )
)</f>
        <v/>
      </c>
      <c r="F19" s="14" t="str">
        <f>IF($B19="","",
IF(F$5="","",
IF(Midterm!F19="",0,
IF(NOT(ISNUMBER(Midterm!F19)),"NAN",
IF(Midterm!F19&lt;0,"NEG",
IF(Midterm!F19&gt;F$5,"OVER",
IF(AND(F$5&lt;=100,Midterm!F19&gt;100),"ERR",
IF(Info!$B$4="Non-board program",
IF(OR(AND(F$5&gt;0,F$5&gt;100),AND(F$5&gt;0,F$5&lt;100)),
VLOOKUP(FLOOR((Midterm!F19/F$5)*100,1),new_transmute,2,FALSE),
VLOOKUP(Midterm!F19,new_transmute,2,FALSE)
),
IF(Info!$B$4="Board program",
IF(OR(AND(F$5&gt;0,F$5&gt;100),AND(F$5&gt;0,F$5&lt;100)),
VLOOKUP(FLOOR((Midterm!F19/F$5)*100,1),new_transmute,3,FALSE),
VLOOKUP(Midterm!F19,new_transmute,3,FALSE)
),
IF(Info!$B$4="Board program (Medicine)",
IF(OR(AND(F$5&gt;0,F$5&gt;100),AND(F$5&gt;0,F$5&lt;100)),
VLOOKUP(FLOOR((Midterm!F19/F$5)*100,1),new_transmute,4,FALSE),
VLOOKUP(Midterm!F19,new_transmute,4,FALSE)
),
""
)
)
)
)
)
)
)
)
))</f>
        <v/>
      </c>
      <c r="G19" s="57" t="str">
        <f t="shared" si="1"/>
        <v/>
      </c>
      <c r="H19" s="14" t="str">
        <f>IF($B19="","",
IF(H$5="","",
IF(Midterm!H19="",0,
IF(NOT(ISNUMBER(Midterm!H19)),"NAN",
IF(Midterm!H19&lt;0,"NEG",
IF(Midterm!H19&gt;H$5,"OVER",
IF(AND(H$5&lt;=100,Midterm!H19&gt;100),"ERR",
IF(Info!$B$4="Non-board program",
IF(OR(AND(H$5&gt;0,H$5&gt;100),AND(H$5&gt;0,H$5&lt;100)),
VLOOKUP(FLOOR((Midterm!H19/H$5)*100,1),new_transmute,2,FALSE),
VLOOKUP(Midterm!H19,new_transmute,2,FALSE)
),
IF(Info!$B$4="Board program",
IF(OR(AND(H$5&gt;0,H$5&gt;100),AND(H$5&gt;0,H$5&lt;100)),
VLOOKUP(FLOOR((Midterm!H19/H$5)*100,1),new_transmute,3,FALSE),
VLOOKUP(Midterm!H19,new_transmute,3,FALSE)
),
IF(Info!$B$4="Board program (Medicine)",
IF(OR(AND(H$5&gt;0,H$5&gt;100),AND(H$5&gt;0,H$5&lt;100)),
VLOOKUP(FLOOR((Midterm!H19/H$5)*100,1),new_transmute,4,FALSE),
VLOOKUP(Midterm!H19,new_transmute,4,FALSE)
),
""
)
)
)
)
)
)
)
)
))</f>
        <v/>
      </c>
      <c r="I19" s="14" t="str">
        <f>IF($B19="","",
IF(I$5="","",
IF(Midterm!I19="",0,
IF(NOT(ISNUMBER(Midterm!I19)),"NAN",
IF(Midterm!I19&lt;0,"NEG",
IF(Midterm!I19&gt;I$5,"OVER",
IF(AND(I$5&lt;=100,Midterm!I19&gt;100),"ERR",
IF(Info!$B$4="Non-board program",
IF(OR(AND(I$5&gt;0,I$5&gt;100),AND(I$5&gt;0,I$5&lt;100)),
VLOOKUP(FLOOR((Midterm!I19/I$5)*100,1),new_transmute,2,FALSE),
VLOOKUP(Midterm!I19,new_transmute,2,FALSE)
),
IF(Info!$B$4="Board program",
IF(OR(AND(I$5&gt;0,I$5&gt;100),AND(I$5&gt;0,I$5&lt;100)),
VLOOKUP(FLOOR((Midterm!I19/I$5)*100,1),new_transmute,3,FALSE),
VLOOKUP(Midterm!I19,new_transmute,3,FALSE)
),
IF(Info!$B$4="Board program (Medicine)",
IF(OR(AND(I$5&gt;0,I$5&gt;100),AND(I$5&gt;0,I$5&lt;100)),
VLOOKUP(FLOOR((Midterm!I19/I$5)*100,1),new_transmute,4,FALSE),
VLOOKUP(Midterm!I19,new_transmute,4,FALSE)
),
""
)
)
)
)
)
)
)
)
))</f>
        <v/>
      </c>
      <c r="J19" s="14" t="str">
        <f>IF($B19="","",
IF(J$5="","",
IF(Midterm!J19="",0,
IF(NOT(ISNUMBER(Midterm!J19)),"NAN",
IF(Midterm!J19&lt;0,"NEG",
IF(Midterm!J19&gt;J$5,"OVER",
IF(AND(J$5&lt;=100,Midterm!J19&gt;100),"ERR",
IF(Info!$B$4="Non-board program",
IF(OR(AND(J$5&gt;0,J$5&gt;100),AND(J$5&gt;0,J$5&lt;100)),
VLOOKUP(FLOOR((Midterm!J19/J$5)*100,1),new_transmute,2,FALSE),
VLOOKUP(Midterm!J19,new_transmute,2,FALSE)
),
IF(Info!$B$4="Board program",
IF(OR(AND(J$5&gt;0,J$5&gt;100),AND(J$5&gt;0,J$5&lt;100)),
VLOOKUP(FLOOR((Midterm!J19/J$5)*100,1),new_transmute,3,FALSE),
VLOOKUP(Midterm!J19,new_transmute,3,FALSE)
),
IF(Info!$B$4="Board program (Medicine)",
IF(OR(AND(J$5&gt;0,J$5&gt;100),AND(J$5&gt;0,J$5&lt;100)),
VLOOKUP(FLOOR((Midterm!J19/J$5)*100,1),new_transmute,4,FALSE),
VLOOKUP(Midterm!J19,new_transmute,4,FALSE)
),
""
)
)
)
)
)
)
)
)
))</f>
        <v/>
      </c>
      <c r="K19" s="14" t="str">
        <f>IF($B19="","",
IF(K$5="","",
IF(Midterm!K19="",0,
IF(NOT(ISNUMBER(Midterm!K19)),"NAN",
IF(Midterm!K19&lt;0,"NEG",
IF(Midterm!K19&gt;K$5,"OVER",
IF(AND(K$5&lt;=100,Midterm!K19&gt;100),"ERR",
IF(Info!$B$4="Non-board program",
IF(OR(AND(K$5&gt;0,K$5&gt;100),AND(K$5&gt;0,K$5&lt;100)),
VLOOKUP(FLOOR((Midterm!K19/K$5)*100,1),new_transmute,2,FALSE),
VLOOKUP(Midterm!K19,new_transmute,2,FALSE)
),
IF(Info!$B$4="Board program",
IF(OR(AND(K$5&gt;0,K$5&gt;100),AND(K$5&gt;0,K$5&lt;100)),
VLOOKUP(FLOOR((Midterm!K19/K$5)*100,1),new_transmute,3,FALSE),
VLOOKUP(Midterm!K19,new_transmute,3,FALSE)
),
IF(Info!$B$4="Board program (Medicine)",
IF(OR(AND(K$5&gt;0,K$5&gt;100),AND(K$5&gt;0,K$5&lt;100)),
VLOOKUP(FLOOR((Midterm!K19/K$5)*100,1),new_transmute,4,FALSE),
VLOOKUP(Midterm!K19,new_transmute,4,FALSE)
),
""
)
)
)
)
)
)
)
)
))</f>
        <v/>
      </c>
      <c r="L19" s="14" t="str">
        <f>IF($B19="","",
IF(L$5="","",
IF(Midterm!L19="",0,
IF(NOT(ISNUMBER(Midterm!L19)),"NAN",
IF(Midterm!L19&lt;0,"NEG",
IF(Midterm!L19&gt;L$5,"OVER",
IF(AND(L$5&lt;=100,Midterm!L19&gt;100),"ERR",
IF(Info!$B$4="Non-board program",
IF(OR(AND(L$5&gt;0,L$5&gt;100),AND(L$5&gt;0,L$5&lt;100)),
VLOOKUP(FLOOR((Midterm!L19/L$5)*100,1),new_transmute,2,FALSE),
VLOOKUP(Midterm!L19,new_transmute,2,FALSE)
),
IF(Info!$B$4="Board program",
IF(OR(AND(L$5&gt;0,L$5&gt;100),AND(L$5&gt;0,L$5&lt;100)),
VLOOKUP(FLOOR((Midterm!L19/L$5)*100,1),new_transmute,3,FALSE),
VLOOKUP(Midterm!L19,new_transmute,3,FALSE)
),
IF(Info!$B$4="Board program (Medicine)",
IF(OR(AND(L$5&gt;0,L$5&gt;100),AND(L$5&gt;0,L$5&lt;100)),
VLOOKUP(FLOOR((Midterm!L19/L$5)*100,1),new_transmute,4,FALSE),
VLOOKUP(Midterm!L19,new_transmute,4,FALSE)
),
""
)
)
)
)
)
)
)
)
))</f>
        <v/>
      </c>
      <c r="M19" s="111" t="str">
        <f t="shared" si="2"/>
        <v/>
      </c>
      <c r="N19" s="14" t="str">
        <f>IF($B19="","",
IF(N$5="","",
IF(Midterm!N19="",0,
IF(NOT(ISNUMBER(Midterm!N19)),"NAN",
IF(Midterm!N19&lt;0,"NEG",
IF(Midterm!N19&gt;N$5,"OVER",
IF(AND(N$5&lt;=100,Midterm!N19&gt;100),"ERR",
IF(Info!$B$4="Non-board program",
IF(OR(AND(N$5&gt;0,N$5&gt;100),AND(N$5&gt;0,N$5&lt;100)),
VLOOKUP(FLOOR((Midterm!N19/N$5)*100,1),new_transmute,2,FALSE),
VLOOKUP(Midterm!N19,new_transmute,2,FALSE)
),
IF(Info!$B$4="Board program",
IF(OR(AND(N$5&gt;0,N$5&gt;100),AND(N$5&gt;0,N$5&lt;100)),
VLOOKUP(FLOOR((Midterm!N19/N$5)*100,1),new_transmute,3,FALSE),
VLOOKUP(Midterm!N19,new_transmute,3,FALSE)
),
IF(Info!$B$4="Board program (Medicine)",
IF(OR(AND(N$5&gt;0,N$5&gt;100),AND(N$5&gt;0,N$5&lt;100)),
VLOOKUP(FLOOR((Midterm!N19/N$5)*100,1),new_transmute,4,FALSE),
VLOOKUP(Midterm!N19,new_transmute,4,FALSE)
),
""
)
)
)
)
)
)
)
)
))</f>
        <v/>
      </c>
      <c r="O19" s="14" t="str">
        <f>IF($B19="","",
IF(O$5="","",
IF(Midterm!O19="",0,
IF(NOT(ISNUMBER(Midterm!O19)),"NAN",
IF(Midterm!O19&lt;0,"NEG",
IF(Midterm!O19&gt;O$5,"OVER",
IF(AND(O$5&lt;=100,Midterm!O19&gt;100),"ERR",
IF(Info!$B$4="Non-board program",
IF(OR(AND(O$5&gt;0,O$5&gt;100),AND(O$5&gt;0,O$5&lt;100)),
VLOOKUP(FLOOR((Midterm!O19/O$5)*100,1),new_transmute,2,FALSE),
VLOOKUP(Midterm!O19,new_transmute,2,FALSE)
),
IF(Info!$B$4="Board program",
IF(OR(AND(O$5&gt;0,O$5&gt;100),AND(O$5&gt;0,O$5&lt;100)),
VLOOKUP(FLOOR((Midterm!O19/O$5)*100,1),new_transmute,3,FALSE),
VLOOKUP(Midterm!O19,new_transmute,3,FALSE)
),
IF(Info!$B$4="Board program (Medicine)",
IF(OR(AND(O$5&gt;0,O$5&gt;100),AND(O$5&gt;0,O$5&lt;100)),
VLOOKUP(FLOOR((Midterm!O19/O$5)*100,1),new_transmute,4,FALSE),
VLOOKUP(Midterm!O19,new_transmute,4,FALSE)
),
""
)
)
)
)
)
)
)
)
))</f>
        <v/>
      </c>
      <c r="P19" s="14" t="str">
        <f>IF($B19="","",
IF(P$5="","",
IF(Midterm!P19="",0,
IF(NOT(ISNUMBER(Midterm!P19)),"NAN",
IF(Midterm!P19&lt;0,"NEG",
IF(Midterm!P19&gt;P$5,"OVER",
IF(AND(P$5&lt;=100,Midterm!P19&gt;100),"ERR",
IF(Info!$B$4="Non-board program",
IF(OR(AND(P$5&gt;0,P$5&gt;100),AND(P$5&gt;0,P$5&lt;100)),
VLOOKUP(FLOOR((Midterm!P19/P$5)*100,1),new_transmute,2,FALSE),
VLOOKUP(Midterm!P19,new_transmute,2,FALSE)
),
IF(Info!$B$4="Board program",
IF(OR(AND(P$5&gt;0,P$5&gt;100),AND(P$5&gt;0,P$5&lt;100)),
VLOOKUP(FLOOR((Midterm!P19/P$5)*100,1),new_transmute,3,FALSE),
VLOOKUP(Midterm!P19,new_transmute,3,FALSE)
),
IF(Info!$B$4="Board program (Medicine)",
IF(OR(AND(P$5&gt;0,P$5&gt;100),AND(P$5&gt;0,P$5&lt;100)),
VLOOKUP(FLOOR((Midterm!P19/P$5)*100,1),new_transmute,4,FALSE),
VLOOKUP(Midterm!P19,new_transmute,4,FALSE)
),
""
)
)
)
)
)
)
)
)
))</f>
        <v/>
      </c>
      <c r="Q19" s="14" t="str">
        <f>IF($B19="","",
IF(Q$5="","",
IF(Midterm!Q19="",0,
IF(NOT(ISNUMBER(Midterm!Q19)),"NAN",
IF(Midterm!Q19&lt;0,"NEG",
IF(Midterm!Q19&gt;Q$5,"OVER",
IF(AND(Q$5&lt;=100,Midterm!Q19&gt;100),"ERR",
IF(Info!$B$4="Non-board program",
IF(OR(AND(Q$5&gt;0,Q$5&gt;100),AND(Q$5&gt;0,Q$5&lt;100)),
VLOOKUP(FLOOR((Midterm!Q19/Q$5)*100,1),new_transmute,2,FALSE),
VLOOKUP(Midterm!Q19,new_transmute,2,FALSE)
),
IF(Info!$B$4="Board program",
IF(OR(AND(Q$5&gt;0,Q$5&gt;100),AND(Q$5&gt;0,Q$5&lt;100)),
VLOOKUP(FLOOR((Midterm!Q19/Q$5)*100,1),new_transmute,3,FALSE),
VLOOKUP(Midterm!Q19,new_transmute,3,FALSE)
),
IF(Info!$B$4="Board program (Medicine)",
IF(OR(AND(Q$5&gt;0,Q$5&gt;100),AND(Q$5&gt;0,Q$5&lt;100)),
VLOOKUP(FLOOR((Midterm!Q19/Q$5)*100,1),new_transmute,4,FALSE),
VLOOKUP(Midterm!Q19,new_transmute,4,FALSE)
),
""
)
)
)
)
)
)
)
)
))</f>
        <v/>
      </c>
      <c r="R19" s="14" t="str">
        <f>IF($B19="","",
IF(R$5="","",
IF(Midterm!R19="",0,
IF(NOT(ISNUMBER(Midterm!R19)),"NAN",
IF(Midterm!R19&lt;0,"NEG",
IF(Midterm!R19&gt;R$5,"OVER",
IF(AND(R$5&lt;=100,Midterm!R19&gt;100),"ERR",
IF(Info!$B$4="Non-board program",
IF(OR(AND(R$5&gt;0,R$5&gt;100),AND(R$5&gt;0,R$5&lt;100)),
VLOOKUP(FLOOR((Midterm!R19/R$5)*100,1),new_transmute,2,FALSE),
VLOOKUP(Midterm!R19,new_transmute,2,FALSE)
),
IF(Info!$B$4="Board program",
IF(OR(AND(R$5&gt;0,R$5&gt;100),AND(R$5&gt;0,R$5&lt;100)),
VLOOKUP(FLOOR((Midterm!R19/R$5)*100,1),new_transmute,3,FALSE),
VLOOKUP(Midterm!R19,new_transmute,3,FALSE)
),
IF(Info!$B$4="Board program (Medicine)",
IF(OR(AND(R$5&gt;0,R$5&gt;100),AND(R$5&gt;0,R$5&lt;100)),
VLOOKUP(FLOOR((Midterm!R19/R$5)*100,1),new_transmute,4,FALSE),
VLOOKUP(Midterm!R19,new_transmute,4,FALSE)
),
""
)
)
)
)
)
)
)
)
))</f>
        <v/>
      </c>
      <c r="S19" s="115" t="str">
        <f t="shared" si="3"/>
        <v/>
      </c>
      <c r="T19" s="14" t="str">
        <f>IF($B19="","",
IF(T$5="","",
IF(Midterm!T19="",0,
IF(NOT(ISNUMBER(Midterm!T19)),"NAN",
IF(Midterm!T19&lt;0,"NEG",
IF(Midterm!T19&gt;T$5,"OVER",
IF(AND(T$5&lt;=100,Midterm!T19&gt;100),"ERR",
IF(Info!$B$4="Non-board program",
IF(OR(AND(T$5&gt;0,T$5&gt;100),AND(T$5&gt;0,T$5&lt;100)),
VLOOKUP(FLOOR((Midterm!T19/T$5)*100,1),new_transmute,2,FALSE),
VLOOKUP(Midterm!T19,new_transmute,2,FALSE)
),
IF(Info!$B$4="Board program",
IF(OR(AND(T$5&gt;0,T$5&gt;100),AND(T$5&gt;0,T$5&lt;100)),
VLOOKUP(FLOOR((Midterm!T19/T$5)*100,1),new_transmute,3,FALSE),
VLOOKUP(Midterm!T19,new_transmute,3,FALSE)
),
IF(Info!$B$4="Board program (Medicine)",
IF(OR(AND(T$5&gt;0,T$5&gt;100),AND(T$5&gt;0,T$5&lt;100)),
VLOOKUP(FLOOR((Midterm!T19/T$5)*100,1),new_transmute,4,FALSE),
VLOOKUP(Midterm!T19,new_transmute,4,FALSE)
),
""
)
)
)
)
)
)
)
)
))</f>
        <v/>
      </c>
      <c r="U19" s="14" t="str">
        <f>IF($B19="","",
IF(U$5="","",
IF(Midterm!U19="",0,
IF(NOT(ISNUMBER(Midterm!U19)),"NAN",
IF(Midterm!U19&lt;0,"NEG",
IF(Midterm!U19&gt;U$5,"OVER",
IF(AND(U$5&lt;=100,Midterm!U19&gt;100),"ERR",
IF(Info!$B$4="Non-board program",
IF(OR(AND(U$5&gt;0,U$5&gt;100),AND(U$5&gt;0,U$5&lt;100)),
VLOOKUP(FLOOR((Midterm!U19/U$5)*100,1),new_transmute,2,FALSE),
VLOOKUP(Midterm!U19,new_transmute,2,FALSE)
),
IF(Info!$B$4="Board program",
IF(OR(AND(U$5&gt;0,U$5&gt;100),AND(U$5&gt;0,U$5&lt;100)),
VLOOKUP(FLOOR((Midterm!U19/U$5)*100,1),new_transmute,3,FALSE),
VLOOKUP(Midterm!U19,new_transmute,3,FALSE)
),
IF(Info!$B$4="Board program (Medicine)",
IF(OR(AND(U$5&gt;0,U$5&gt;100),AND(U$5&gt;0,U$5&lt;100)),
VLOOKUP(FLOOR((Midterm!U19/U$5)*100,1),new_transmute,4,FALSE),
VLOOKUP(Midterm!U19,new_transmute,4,FALSE)
),
""
)
)
)
)
)
)
)
)
))</f>
        <v/>
      </c>
      <c r="V19" s="14" t="str">
        <f>IF($B19="","",
IF(V$5="","",
IF(Midterm!V19="",0,
IF(NOT(ISNUMBER(Midterm!V19)),"NAN",
IF(Midterm!V19&lt;0,"NEG",
IF(Midterm!V19&gt;V$5,"OVER",
IF(AND(V$5&lt;=100,Midterm!V19&gt;100),"ERR",
IF(Info!$B$4="Non-board program",
IF(OR(AND(V$5&gt;0,V$5&gt;100),AND(V$5&gt;0,V$5&lt;100)),
VLOOKUP(FLOOR((Midterm!V19/V$5)*100,1),new_transmute,2,FALSE),
VLOOKUP(Midterm!V19,new_transmute,2,FALSE)
),
IF(Info!$B$4="Board program",
IF(OR(AND(V$5&gt;0,V$5&gt;100),AND(V$5&gt;0,V$5&lt;100)),
VLOOKUP(FLOOR((Midterm!V19/V$5)*100,1),new_transmute,3,FALSE),
VLOOKUP(Midterm!V19,new_transmute,3,FALSE)
),
IF(Info!$B$4="Board program (Medicine)",
IF(OR(AND(V$5&gt;0,V$5&gt;100),AND(V$5&gt;0,V$5&lt;100)),
VLOOKUP(FLOOR((Midterm!V19/V$5)*100,1),new_transmute,4,FALSE),
VLOOKUP(Midterm!V19,new_transmute,4,FALSE)
),
""
)
)
)
)
)
)
)
)
))</f>
        <v/>
      </c>
      <c r="W19" s="14" t="str">
        <f>IF($B19="","",
IF(W$5="","",
IF(Midterm!W19="",0,
IF(NOT(ISNUMBER(Midterm!W19)),"NAN",
IF(Midterm!W19&lt;0,"NEG",
IF(Midterm!W19&gt;W$5,"OVER",
IF(AND(W$5&lt;=100,Midterm!W19&gt;100),"ERR",
IF(Info!$B$4="Non-board program",
IF(OR(AND(W$5&gt;0,W$5&gt;100),AND(W$5&gt;0,W$5&lt;100)),
VLOOKUP(FLOOR((Midterm!W19/W$5)*100,1),new_transmute,2,FALSE),
VLOOKUP(Midterm!W19,new_transmute,2,FALSE)
),
IF(Info!$B$4="Board program",
IF(OR(AND(W$5&gt;0,W$5&gt;100),AND(W$5&gt;0,W$5&lt;100)),
VLOOKUP(FLOOR((Midterm!W19/W$5)*100,1),new_transmute,3,FALSE),
VLOOKUP(Midterm!W19,new_transmute,3,FALSE)
),
IF(Info!$B$4="Board program (Medicine)",
IF(OR(AND(W$5&gt;0,W$5&gt;100),AND(W$5&gt;0,W$5&lt;100)),
VLOOKUP(FLOOR((Midterm!W19/W$5)*100,1),new_transmute,4,FALSE),
VLOOKUP(Midterm!W19,new_transmute,4,FALSE)
),
""
)
)
)
)
)
)
)
)
))</f>
        <v/>
      </c>
      <c r="X19" s="14" t="str">
        <f>IF($B19="","",
IF(X$5="","",
IF(Midterm!X19="",0,
IF(NOT(ISNUMBER(Midterm!X19)),"NAN",
IF(Midterm!X19&lt;0,"NEG",
IF(Midterm!X19&gt;X$5,"OVER",
IF(AND(X$5&lt;=100,Midterm!X19&gt;100),"ERR",
IF(Info!$B$4="Non-board program",
IF(OR(AND(X$5&gt;0,X$5&gt;100),AND(X$5&gt;0,X$5&lt;100)),
VLOOKUP(FLOOR((Midterm!X19/X$5)*100,1),new_transmute,2,FALSE),
VLOOKUP(Midterm!X19,new_transmute,2,FALSE)
),
IF(Info!$B$4="Board program",
IF(OR(AND(X$5&gt;0,X$5&gt;100),AND(X$5&gt;0,X$5&lt;100)),
VLOOKUP(FLOOR((Midterm!X19/X$5)*100,1),new_transmute,3,FALSE),
VLOOKUP(Midterm!X19,new_transmute,3,FALSE)
),
IF(Info!$B$4="Board program (Medicine)",
IF(OR(AND(X$5&gt;0,X$5&gt;100),AND(X$5&gt;0,X$5&lt;100)),
VLOOKUP(FLOOR((Midterm!X19/X$5)*100,1),new_transmute,4,FALSE),
VLOOKUP(Midterm!X19,new_transmute,4,FALSE)
),
""
)
)
)
)
)
)
)
)
))</f>
        <v/>
      </c>
      <c r="Y19" s="112" t="str">
        <f t="shared" si="4"/>
        <v/>
      </c>
      <c r="Z19" s="14" t="str">
        <f>IF($B19="","",
IF(Z$5="","",
IF(Midterm!Z19="",0,
IF(NOT(ISNUMBER(Midterm!Z19)),"NAN",
IF(Midterm!Z19&lt;0,"NEG",
IF(Midterm!Z19&gt;Z$5,"OVER",
IF(AND(Z$5&lt;=100,Midterm!Z19&gt;100),"ERR",
IF(Info!$B$4="Non-board program",
IF(OR(AND(Z$5&gt;0,Z$5&gt;100),AND(Z$5&gt;0,Z$5&lt;100)),
VLOOKUP(FLOOR((Midterm!Z19/Z$5)*100,1),new_transmute,2,FALSE),
VLOOKUP(Midterm!Z19,new_transmute,2,FALSE)
),
IF(Info!$B$4="Board program",
IF(OR(AND(Z$5&gt;0,Z$5&gt;100),AND(Z$5&gt;0,Z$5&lt;100)),
VLOOKUP(FLOOR((Midterm!Z19/Z$5)*100,1),new_transmute,3,FALSE),
VLOOKUP(Midterm!Z19,new_transmute,3,FALSE)
),
IF(Info!$B$4="Board program (Medicine)",
IF(OR(AND(Z$5&gt;0,Z$5&gt;100),AND(Z$5&gt;0,Z$5&lt;100)),
VLOOKUP(FLOOR((Midterm!Z19/Z$5)*100,1),new_transmute,4,FALSE),
VLOOKUP(Midterm!Z19,new_transmute,4,FALSE)
),
""
)
)
)
)
)
)
)
)
))</f>
        <v/>
      </c>
      <c r="AA19" s="14" t="str">
        <f>IF($B19="","",
IF(AA$5="","",
IF(Midterm!AA19="",0,
IF(NOT(ISNUMBER(Midterm!AA19)),"NAN",
IF(Midterm!AA19&lt;0,"NEG",
IF(Midterm!AA19&gt;AA$5,"OVER",
IF(AND(AA$5&lt;=100,Midterm!AA19&gt;100),"ERR",
IF(Info!$B$4="Non-board program",
IF(OR(AND(AA$5&gt;0,AA$5&gt;100),AND(AA$5&gt;0,AA$5&lt;100)),
VLOOKUP(FLOOR((Midterm!AA19/AA$5)*100,1),new_transmute,2,FALSE),
VLOOKUP(Midterm!AA19,new_transmute,2,FALSE)
),
IF(Info!$B$4="Board program",
IF(OR(AND(AA$5&gt;0,AA$5&gt;100),AND(AA$5&gt;0,AA$5&lt;100)),
VLOOKUP(FLOOR((Midterm!AA19/AA$5)*100,1),new_transmute,3,FALSE),
VLOOKUP(Midterm!AA19,new_transmute,3,FALSE)
),
IF(Info!$B$4="Board program (Medicine)",
IF(OR(AND(AA$5&gt;0,AA$5&gt;100),AND(AA$5&gt;0,AA$5&lt;100)),
VLOOKUP(FLOOR((Midterm!AA19/AA$5)*100,1),new_transmute,4,FALSE),
VLOOKUP(Midterm!AA19,new_transmute,4,FALSE)
),
""
)
)
)
)
)
)
)
)
))</f>
        <v/>
      </c>
      <c r="AB19" s="14" t="str">
        <f>IF($B19="","",
IF(AB$5="","",
IF(Midterm!AB19="",0,
IF(NOT(ISNUMBER(Midterm!AB19)),"NAN",
IF(Midterm!AB19&lt;0,"NEG",
IF(Midterm!AB19&gt;AB$5,"OVER",
IF(AND(AB$5&lt;=100,Midterm!AB19&gt;100),"ERR",
IF(Info!$B$4="Non-board program",
IF(OR(AND(AB$5&gt;0,AB$5&gt;100),AND(AB$5&gt;0,AB$5&lt;100)),
VLOOKUP(FLOOR((Midterm!AB19/AB$5)*100,1),new_transmute,2,FALSE),
VLOOKUP(Midterm!AB19,new_transmute,2,FALSE)
),
IF(Info!$B$4="Board program",
IF(OR(AND(AB$5&gt;0,AB$5&gt;100),AND(AB$5&gt;0,AB$5&lt;100)),
VLOOKUP(FLOOR((Midterm!AB19/AB$5)*100,1),new_transmute,3,FALSE),
VLOOKUP(Midterm!AB19,new_transmute,3,FALSE)
),
IF(Info!$B$4="Board program (Medicine)",
IF(OR(AND(AB$5&gt;0,AB$5&gt;100),AND(AB$5&gt;0,AB$5&lt;100)),
VLOOKUP(FLOOR((Midterm!AB19/AB$5)*100,1),new_transmute,4,FALSE),
VLOOKUP(Midterm!AB19,new_transmute,4,FALSE)
),
""
)
)
)
)
)
)
)
)
))</f>
        <v/>
      </c>
      <c r="AC19" s="14" t="str">
        <f>IF($B19="","",
IF(AC$5="","",
IF(Midterm!AC19="",0,
IF(NOT(ISNUMBER(Midterm!AC19)),"NAN",
IF(Midterm!AC19&lt;0,"NEG",
IF(Midterm!AC19&gt;AC$5,"OVER",
IF(AND(AC$5&lt;=100,Midterm!AC19&gt;100),"ERR",
IF(Info!$B$4="Non-board program",
IF(OR(AND(AC$5&gt;0,AC$5&gt;100),AND(AC$5&gt;0,AC$5&lt;100)),
VLOOKUP(FLOOR((Midterm!AC19/AC$5)*100,1),new_transmute,2,FALSE),
VLOOKUP(Midterm!AC19,new_transmute,2,FALSE)
),
IF(Info!$B$4="Board program",
IF(OR(AND(AC$5&gt;0,AC$5&gt;100),AND(AC$5&gt;0,AC$5&lt;100)),
VLOOKUP(FLOOR((Midterm!AC19/AC$5)*100,1),new_transmute,3,FALSE),
VLOOKUP(Midterm!AC19,new_transmute,3,FALSE)
),
IF(Info!$B$4="Board program (Medicine)",
IF(OR(AND(AC$5&gt;0,AC$5&gt;100),AND(AC$5&gt;0,AC$5&lt;100)),
VLOOKUP(FLOOR((Midterm!AC19/AC$5)*100,1),new_transmute,4,FALSE),
VLOOKUP(Midterm!AC19,new_transmute,4,FALSE)
),
""
)
)
)
)
)
)
)
)
))</f>
        <v/>
      </c>
      <c r="AD19" s="14" t="str">
        <f>IF($B19="","",
IF(AD$5="","",
IF(Midterm!AD19="",0,
IF(NOT(ISNUMBER(Midterm!AD19)),"NAN",
IF(Midterm!AD19&lt;0,"NEG",
IF(Midterm!AD19&gt;AD$5,"OVER",
IF(AND(AD$5&lt;=100,Midterm!AD19&gt;100),"ERR",
IF(Info!$B$4="Non-board program",
IF(OR(AND(AD$5&gt;0,AD$5&gt;100),AND(AD$5&gt;0,AD$5&lt;100)),
VLOOKUP(FLOOR((Midterm!AD19/AD$5)*100,1),new_transmute,2,FALSE),
VLOOKUP(Midterm!AD19,new_transmute,2,FALSE)
),
IF(Info!$B$4="Board program",
IF(OR(AND(AD$5&gt;0,AD$5&gt;100),AND(AD$5&gt;0,AD$5&lt;100)),
VLOOKUP(FLOOR((Midterm!AD19/AD$5)*100,1),new_transmute,3,FALSE),
VLOOKUP(Midterm!AD19,new_transmute,3,FALSE)
),
IF(Info!$B$4="Board program (Medicine)",
IF(OR(AND(AD$5&gt;0,AD$5&gt;100),AND(AD$5&gt;0,AD$5&lt;100)),
VLOOKUP(FLOOR((Midterm!AD19/AD$5)*100,1),new_transmute,4,FALSE),
VLOOKUP(Midterm!AD19,new_transmute,4,FALSE)
),
""
)
)
)
)
)
)
)
)
))</f>
        <v/>
      </c>
      <c r="AE19" s="58" t="str">
        <f t="shared" si="5"/>
        <v/>
      </c>
      <c r="AF19" s="14" t="str">
        <f>IF($B19="","",
IF(AF$5="","",
IF(Midterm!AF19="",0,
IF(NOT(ISNUMBER(Midterm!AF19)),"NAN",
IF(Midterm!AF19&lt;0,"NEG",
IF(Midterm!AF19&gt;AF$5,"OVER",
IF(AND(AF$5&lt;=100,Midterm!AF19&gt;100),"ERR",
IF(Info!$B$4="Non-board program",
IF(OR(AND(AF$5&gt;0,AF$5&gt;100),AND(AF$5&gt;0,AF$5&lt;100)),
VLOOKUP(FLOOR((Midterm!AF19/AF$5)*100,1),new_transmute,2,FALSE),
VLOOKUP(Midterm!AF19,new_transmute,2,FALSE)
),
IF(Info!$B$4="Board program",
IF(OR(AND(AF$5&gt;0,AF$5&gt;100),AND(AF$5&gt;0,AF$5&lt;100)),
VLOOKUP(FLOOR((Midterm!AF19/AF$5)*100,1),new_transmute,3,FALSE),
VLOOKUP(Midterm!AF19,new_transmute,3,FALSE)
),
IF(Info!$B$4="Board program (Medicine)",
IF(OR(AND(AF$5&gt;0,AF$5&gt;100),AND(AF$5&gt;0,AF$5&lt;100)),
VLOOKUP(FLOOR((Midterm!AF19/AF$5)*100,1),new_transmute,4,FALSE),
VLOOKUP(Midterm!AF19,new_transmute,4,FALSE)
),
""
)
)
)
)
)
)
)
)
))</f>
        <v/>
      </c>
      <c r="AG19" s="14" t="str">
        <f>IF($B19="","",
IF(AG$5="","",
IF(Midterm!AG19="",0,
IF(NOT(ISNUMBER(Midterm!AG19)),"NAN",
IF(Midterm!AG19&lt;0,"NEG",
IF(Midterm!AG19&gt;AG$5,"OVER",
IF(AND(AG$5&lt;=100,Midterm!AG19&gt;100),"ERR",
IF(Info!$B$4="Non-board program",
IF(OR(AND(AG$5&gt;0,AG$5&gt;100),AND(AG$5&gt;0,AG$5&lt;100)),
VLOOKUP(FLOOR((Midterm!AG19/AG$5)*100,1),new_transmute,2,FALSE),
VLOOKUP(Midterm!AG19,new_transmute,2,FALSE)
),
IF(Info!$B$4="Board program",
IF(OR(AND(AG$5&gt;0,AG$5&gt;100),AND(AG$5&gt;0,AG$5&lt;100)),
VLOOKUP(FLOOR((Midterm!AG19/AG$5)*100,1),new_transmute,3,FALSE),
VLOOKUP(Midterm!AG19,new_transmute,3,FALSE)
),
IF(Info!$B$4="Board program (Medicine)",
IF(OR(AND(AG$5&gt;0,AG$5&gt;100),AND(AG$5&gt;0,AG$5&lt;100)),
VLOOKUP(FLOOR((Midterm!AG19/AG$5)*100,1),new_transmute,4,FALSE),
VLOOKUP(Midterm!AG19,new_transmute,4,FALSE)
),
""
)
)
)
)
)
)
)
)
))</f>
        <v/>
      </c>
      <c r="AH19" s="14" t="str">
        <f>IF($B19="","",
IF(AH$5="","",
IF(Midterm!AH19="",0,
IF(NOT(ISNUMBER(Midterm!AH19)),"NAN",
IF(Midterm!AH19&lt;0,"NEG",
IF(Midterm!AH19&gt;AH$5,"OVER",
IF(AND(AH$5&lt;=100,Midterm!AH19&gt;100),"ERR",
IF(Info!$B$4="Non-board program",
IF(OR(AND(AH$5&gt;0,AH$5&gt;100),AND(AH$5&gt;0,AH$5&lt;100)),
VLOOKUP(FLOOR((Midterm!AH19/AH$5)*100,1),new_transmute,2,FALSE),
VLOOKUP(Midterm!AH19,new_transmute,2,FALSE)
),
IF(Info!$B$4="Board program",
IF(OR(AND(AH$5&gt;0,AH$5&gt;100),AND(AH$5&gt;0,AH$5&lt;100)),
VLOOKUP(FLOOR((Midterm!AH19/AH$5)*100,1),new_transmute,3,FALSE),
VLOOKUP(Midterm!AH19,new_transmute,3,FALSE)
),
IF(Info!$B$4="Board program (Medicine)",
IF(OR(AND(AH$5&gt;0,AH$5&gt;100),AND(AH$5&gt;0,AH$5&lt;100)),
VLOOKUP(FLOOR((Midterm!AH19/AH$5)*100,1),new_transmute,4,FALSE),
VLOOKUP(Midterm!AH19,new_transmute,4,FALSE)
),
""
)
)
)
)
)
)
)
)
))</f>
        <v/>
      </c>
      <c r="AI19" s="14" t="str">
        <f>IF($B19="","",
IF(AI$5="","",
IF(Midterm!AI19="",0,
IF(NOT(ISNUMBER(Midterm!AI19)),"NAN",
IF(Midterm!AI19&lt;0,"NEG",
IF(Midterm!AI19&gt;AI$5,"OVER",
IF(AND(AI$5&lt;=100,Midterm!AI19&gt;100),"ERR",
IF(Info!$B$4="Non-board program",
IF(OR(AND(AI$5&gt;0,AI$5&gt;100),AND(AI$5&gt;0,AI$5&lt;100)),
VLOOKUP(FLOOR((Midterm!AI19/AI$5)*100,1),new_transmute,2,FALSE),
VLOOKUP(Midterm!AI19,new_transmute,2,FALSE)
),
IF(Info!$B$4="Board program",
IF(OR(AND(AI$5&gt;0,AI$5&gt;100),AND(AI$5&gt;0,AI$5&lt;100)),
VLOOKUP(FLOOR((Midterm!AI19/AI$5)*100,1),new_transmute,3,FALSE),
VLOOKUP(Midterm!AI19,new_transmute,3,FALSE)
),
IF(Info!$B$4="Board program (Medicine)",
IF(OR(AND(AI$5&gt;0,AI$5&gt;100),AND(AI$5&gt;0,AI$5&lt;100)),
VLOOKUP(FLOOR((Midterm!AI19/AI$5)*100,1),new_transmute,4,FALSE),
VLOOKUP(Midterm!AI19,new_transmute,4,FALSE)
),
""
)
)
)
)
)
)
)
)
))</f>
        <v/>
      </c>
      <c r="AJ19" s="14" t="str">
        <f>IF($B19="","",
IF(AJ$5="","",
IF(Midterm!AJ19="",0,
IF(NOT(ISNUMBER(Midterm!AJ19)),"NAN",
IF(Midterm!AJ19&lt;0,"NEG",
IF(Midterm!AJ19&gt;AJ$5,"OVER",
IF(AND(AJ$5&lt;=100,Midterm!AJ19&gt;100),"ERR",
IF(Info!$B$4="Non-board program",
IF(OR(AND(AJ$5&gt;0,AJ$5&gt;100),AND(AJ$5&gt;0,AJ$5&lt;100)),
VLOOKUP(FLOOR((Midterm!AJ19/AJ$5)*100,1),new_transmute,2,FALSE),
VLOOKUP(Midterm!AJ19,new_transmute,2,FALSE)
),
IF(Info!$B$4="Board program",
IF(OR(AND(AJ$5&gt;0,AJ$5&gt;100),AND(AJ$5&gt;0,AJ$5&lt;100)),
VLOOKUP(FLOOR((Midterm!AJ19/AJ$5)*100,1),new_transmute,3,FALSE),
VLOOKUP(Midterm!AJ19,new_transmute,3,FALSE)
),
IF(Info!$B$4="Board program (Medicine)",
IF(OR(AND(AJ$5&gt;0,AJ$5&gt;100),AND(AJ$5&gt;0,AJ$5&lt;100)),
VLOOKUP(FLOOR((Midterm!AJ19/AJ$5)*100,1),new_transmute,4,FALSE),
VLOOKUP(Midterm!AJ19,new_transmute,4,FALSE)
),
""
)
)
)
)
)
)
)
)
))</f>
        <v/>
      </c>
      <c r="AK19" s="59" t="str">
        <f t="shared" si="6"/>
        <v/>
      </c>
      <c r="AL19" s="60" t="str">
        <f>IF(B19="", "",
    IF(OR(M19="OVER", S19="OVER", Y19="OVER", AE19="OVER", AK19="OVER"),
        "OVER",
        IF(Info!$B$4="Non-board program",
            VLOOKUP(IFERROR(FLOOR(SUM((M19*$M$4), (S19*$S$4), (Y19*$Y$4), (AE19*$AE$4), (AK19*$AK$4)) * (100 / 60), 1), 0), new_transmute, 2, FALSE),
            IF(Info!$B$4="Board program",
                VLOOKUP(IFERROR(FLOOR(SUM((M19*$M$4), (S19*$S$4), (Y19*$Y$4), (AE19*$AE$4), (AK19*$AK$4)) * (100 / 60), 1), 0), new_transmute, 3, FALSE),
                IF(Info!$B$4="Board program (Medicine)",
                    VLOOKUP(IFERROR(FLOOR(SUM((M19*$M$4), (S19*$S$4), (Y19*$Y$4), (AE19*$AE$4), (AK19*$AK$4)) * (100 / 60), 1), 0), new_transmute, 4, FALSE),
                    ""
                )
            )
        )
    )
)</f>
        <v/>
      </c>
      <c r="AM19" s="14" t="str">
        <f>IF($B19="","",
IF(AM$5="","",
IF(Midterm!AM19="",0,
IF(NOT(ISNUMBER(Midterm!AM19)),"NAN",
IF(Midterm!AM19&lt;0,"NEG",
IF(Midterm!AM19&gt;AM$5,"OVER",
IF(AND(AM$5&lt;=100,Midterm!AM19&gt;100),"ERR",
IF(Info!$B$4="Non-board program",
IF(OR(AND(AM$5&gt;0,AM$5&gt;100),AND(AM$5&gt;0,AM$5&lt;100)),
VLOOKUP(FLOOR((Midterm!AM19/AM$5)*100,1),new_transmute,2,FALSE),
VLOOKUP(Midterm!AM19,new_transmute,2,FALSE)
),
IF(Info!$B$4="Board program",
IF(OR(AND(AM$5&gt;0,AM$5&gt;100),AND(AM$5&gt;0,AM$5&lt;100)),
VLOOKUP(FLOOR((Midterm!AM19/AM$5)*100,1),new_transmute,3,FALSE),
VLOOKUP(Midterm!AM19,new_transmute,3,FALSE)
),
IF(Info!$B$4="Board program (Medicine)",
IF(OR(AND(AM$5&gt;0,AM$5&gt;100),AND(AM$5&gt;0,AM$5&lt;100)),
VLOOKUP(FLOOR((Midterm!AM19/AM$5)*100,1),new_transmute,4,FALSE),
VLOOKUP(Midterm!AM19,new_transmute,4,FALSE)
),
""
)
)
)
)
)
)
)
)
))</f>
        <v/>
      </c>
      <c r="AN19" s="14" t="str">
        <f>IF($B19="","",
IF(AN$5="","",
IF(Midterm!AN19="",0,
IF(NOT(ISNUMBER(Midterm!AN19)),"NAN",
IF(Midterm!AN19&lt;0,"NEG",
IF(Midterm!AN19&gt;AN$5,"OVER",
IF(AND(AN$5&lt;=100,Midterm!AN19&gt;100),"ERR",
IF(Info!$B$4="Non-board program",
IF(OR(AND(AN$5&gt;0,AN$5&gt;100),AND(AN$5&gt;0,AN$5&lt;100)),
VLOOKUP(FLOOR((Midterm!AN19/AN$5)*100,1),new_transmute,2,FALSE),
VLOOKUP(Midterm!AN19,new_transmute,2,FALSE)
),
IF(Info!$B$4="Board program",
IF(OR(AND(AN$5&gt;0,AN$5&gt;100),AND(AN$5&gt;0,AN$5&lt;100)),
VLOOKUP(FLOOR((Midterm!AN19/AN$5)*100,1),new_transmute,3,FALSE),
VLOOKUP(Midterm!AN19,new_transmute,3,FALSE)
),
IF(Info!$B$4="Board program (Medicine)",
IF(OR(AND(AN$5&gt;0,AN$5&gt;100),AND(AN$5&gt;0,AN$5&lt;100)),
VLOOKUP(FLOOR((Midterm!AN19/AN$5)*100,1),new_transmute,4,FALSE),
VLOOKUP(Midterm!AN19,new_transmute,4,FALSE)
),
""
)
)
)
)
)
)
)
)
))</f>
        <v/>
      </c>
      <c r="AO19" s="14" t="str">
        <f>IF($B19="","",
IF(AO$5="","",
IF(Midterm!AO19="",0,
IF(NOT(ISNUMBER(Midterm!AO19)),"NAN",
IF(Midterm!AO19&lt;0,"NEG",
IF(Midterm!AO19&gt;AO$5,"OVER",
IF(AND(AO$5&lt;=100,Midterm!AO19&gt;100),"ERR",
IF(Info!$B$4="Non-board program",
IF(OR(AND(AO$5&gt;0,AO$5&gt;100),AND(AO$5&gt;0,AO$5&lt;100)),
VLOOKUP(FLOOR((Midterm!AO19/AO$5)*100,1),new_transmute,2,FALSE),
VLOOKUP(Midterm!AO19,new_transmute,2,FALSE)
),
IF(Info!$B$4="Board program",
IF(OR(AND(AO$5&gt;0,AO$5&gt;100),AND(AO$5&gt;0,AO$5&lt;100)),
VLOOKUP(FLOOR((Midterm!AO19/AO$5)*100,1),new_transmute,3,FALSE),
VLOOKUP(Midterm!AO19,new_transmute,3,FALSE)
),
IF(Info!$B$4="Board program (Medicine)",
IF(OR(AND(AO$5&gt;0,AO$5&gt;100),AND(AO$5&gt;0,AO$5&lt;100)),
VLOOKUP(FLOOR((Midterm!AO19/AO$5)*100,1),new_transmute,4,FALSE),
VLOOKUP(Midterm!AO19,new_transmute,4,FALSE)
),
""
)
)
)
)
)
)
)
)
))</f>
        <v/>
      </c>
      <c r="AP19" s="14" t="str">
        <f>IF($B19="","",
IF(AP$5="","",
IF(Midterm!AP19="",0,
IF(NOT(ISNUMBER(Midterm!AP19)),"NAN",
IF(Midterm!AP19&lt;0,"NEG",
IF(Midterm!AP19&gt;AP$5,"OVER",
IF(AND(AP$5&lt;=100,Midterm!AP19&gt;100),"ERR",
IF(Info!$B$4="Non-board program",
IF(OR(AND(AP$5&gt;0,AP$5&gt;100),AND(AP$5&gt;0,AP$5&lt;100)),
VLOOKUP(FLOOR((Midterm!AP19/AP$5)*100,1),new_transmute,2,FALSE),
VLOOKUP(Midterm!AP19,new_transmute,2,FALSE)
),
IF(Info!$B$4="Board program",
IF(OR(AND(AP$5&gt;0,AP$5&gt;100),AND(AP$5&gt;0,AP$5&lt;100)),
VLOOKUP(FLOOR((Midterm!AP19/AP$5)*100,1),new_transmute,3,FALSE),
VLOOKUP(Midterm!AP19,new_transmute,3,FALSE)
),
IF(Info!$B$4="Board program (Medicine)",
IF(OR(AND(AP$5&gt;0,AP$5&gt;100),AND(AP$5&gt;0,AP$5&lt;100)),
VLOOKUP(FLOOR((Midterm!AP19/AP$5)*100,1),new_transmute,4,FALSE),
VLOOKUP(Midterm!AP19,new_transmute,4,FALSE)
),
""
)
)
)
)
)
)
)
)
))</f>
        <v/>
      </c>
      <c r="AQ19" s="61" t="str">
        <f t="shared" si="7"/>
        <v/>
      </c>
      <c r="AR19" s="48" t="str">
        <f>IF(Midterm!AR19="","",Midterm!AR19)</f>
        <v/>
      </c>
      <c r="AS19" s="165" t="str">
        <f t="shared" si="8"/>
        <v/>
      </c>
      <c r="AT19" s="14" t="str">
        <f t="shared" si="0"/>
        <v/>
      </c>
      <c r="AU19" s="14" t="str">
        <f>IF(B19="","",VLOOKUP(AT19,'New Grade Equivalent'!$B$3:$C$47,2,FALSE))</f>
        <v/>
      </c>
    </row>
    <row r="20" spans="1:47" x14ac:dyDescent="0.25">
      <c r="A20" s="8">
        <v>15</v>
      </c>
      <c r="B20" s="2" t="str">
        <f>IF('Student List'!C24="","",UPPER(LEFT('Student List'!C24,FIND(",",'Student List'!C24)-1)))</f>
        <v/>
      </c>
      <c r="C20" s="12" t="str">
        <f>IF('Student List'!C24="","",PROPER(MID('Student List'!C24, FIND(",", 'Student List'!C24) + 2, LEN('Student List'!C24) - FIND(",", 'Student List'!C24) - 1)))</f>
        <v/>
      </c>
      <c r="D20" s="127" t="str">
        <f>IF(B20="","",IF(Midterm!D20="", "NA", Midterm!D20))</f>
        <v/>
      </c>
      <c r="E20" s="8" t="str">
        <f>IF(B20="","",
  IF(Info!$B$5="First Year",
    IF(D20="Yes", "DRP",
      IF(D20="No", "WF", "")
    )
  )
)</f>
        <v/>
      </c>
      <c r="F20" s="14" t="str">
        <f>IF($B20="","",
IF(F$5="","",
IF(Midterm!F20="",0,
IF(NOT(ISNUMBER(Midterm!F20)),"NAN",
IF(Midterm!F20&lt;0,"NEG",
IF(Midterm!F20&gt;F$5,"OVER",
IF(AND(F$5&lt;=100,Midterm!F20&gt;100),"ERR",
IF(Info!$B$4="Non-board program",
IF(OR(AND(F$5&gt;0,F$5&gt;100),AND(F$5&gt;0,F$5&lt;100)),
VLOOKUP(FLOOR((Midterm!F20/F$5)*100,1),new_transmute,2,FALSE),
VLOOKUP(Midterm!F20,new_transmute,2,FALSE)
),
IF(Info!$B$4="Board program",
IF(OR(AND(F$5&gt;0,F$5&gt;100),AND(F$5&gt;0,F$5&lt;100)),
VLOOKUP(FLOOR((Midterm!F20/F$5)*100,1),new_transmute,3,FALSE),
VLOOKUP(Midterm!F20,new_transmute,3,FALSE)
),
IF(Info!$B$4="Board program (Medicine)",
IF(OR(AND(F$5&gt;0,F$5&gt;100),AND(F$5&gt;0,F$5&lt;100)),
VLOOKUP(FLOOR((Midterm!F20/F$5)*100,1),new_transmute,4,FALSE),
VLOOKUP(Midterm!F20,new_transmute,4,FALSE)
),
""
)
)
)
)
)
)
)
)
))</f>
        <v/>
      </c>
      <c r="G20" s="57" t="str">
        <f t="shared" si="1"/>
        <v/>
      </c>
      <c r="H20" s="14" t="str">
        <f>IF($B20="","",
IF(H$5="","",
IF(Midterm!H20="",0,
IF(NOT(ISNUMBER(Midterm!H20)),"NAN",
IF(Midterm!H20&lt;0,"NEG",
IF(Midterm!H20&gt;H$5,"OVER",
IF(AND(H$5&lt;=100,Midterm!H20&gt;100),"ERR",
IF(Info!$B$4="Non-board program",
IF(OR(AND(H$5&gt;0,H$5&gt;100),AND(H$5&gt;0,H$5&lt;100)),
VLOOKUP(FLOOR((Midterm!H20/H$5)*100,1),new_transmute,2,FALSE),
VLOOKUP(Midterm!H20,new_transmute,2,FALSE)
),
IF(Info!$B$4="Board program",
IF(OR(AND(H$5&gt;0,H$5&gt;100),AND(H$5&gt;0,H$5&lt;100)),
VLOOKUP(FLOOR((Midterm!H20/H$5)*100,1),new_transmute,3,FALSE),
VLOOKUP(Midterm!H20,new_transmute,3,FALSE)
),
IF(Info!$B$4="Board program (Medicine)",
IF(OR(AND(H$5&gt;0,H$5&gt;100),AND(H$5&gt;0,H$5&lt;100)),
VLOOKUP(FLOOR((Midterm!H20/H$5)*100,1),new_transmute,4,FALSE),
VLOOKUP(Midterm!H20,new_transmute,4,FALSE)
),
""
)
)
)
)
)
)
)
)
))</f>
        <v/>
      </c>
      <c r="I20" s="14" t="str">
        <f>IF($B20="","",
IF(I$5="","",
IF(Midterm!I20="",0,
IF(NOT(ISNUMBER(Midterm!I20)),"NAN",
IF(Midterm!I20&lt;0,"NEG",
IF(Midterm!I20&gt;I$5,"OVER",
IF(AND(I$5&lt;=100,Midterm!I20&gt;100),"ERR",
IF(Info!$B$4="Non-board program",
IF(OR(AND(I$5&gt;0,I$5&gt;100),AND(I$5&gt;0,I$5&lt;100)),
VLOOKUP(FLOOR((Midterm!I20/I$5)*100,1),new_transmute,2,FALSE),
VLOOKUP(Midterm!I20,new_transmute,2,FALSE)
),
IF(Info!$B$4="Board program",
IF(OR(AND(I$5&gt;0,I$5&gt;100),AND(I$5&gt;0,I$5&lt;100)),
VLOOKUP(FLOOR((Midterm!I20/I$5)*100,1),new_transmute,3,FALSE),
VLOOKUP(Midterm!I20,new_transmute,3,FALSE)
),
IF(Info!$B$4="Board program (Medicine)",
IF(OR(AND(I$5&gt;0,I$5&gt;100),AND(I$5&gt;0,I$5&lt;100)),
VLOOKUP(FLOOR((Midterm!I20/I$5)*100,1),new_transmute,4,FALSE),
VLOOKUP(Midterm!I20,new_transmute,4,FALSE)
),
""
)
)
)
)
)
)
)
)
))</f>
        <v/>
      </c>
      <c r="J20" s="14" t="str">
        <f>IF($B20="","",
IF(J$5="","",
IF(Midterm!J20="",0,
IF(NOT(ISNUMBER(Midterm!J20)),"NAN",
IF(Midterm!J20&lt;0,"NEG",
IF(Midterm!J20&gt;J$5,"OVER",
IF(AND(J$5&lt;=100,Midterm!J20&gt;100),"ERR",
IF(Info!$B$4="Non-board program",
IF(OR(AND(J$5&gt;0,J$5&gt;100),AND(J$5&gt;0,J$5&lt;100)),
VLOOKUP(FLOOR((Midterm!J20/J$5)*100,1),new_transmute,2,FALSE),
VLOOKUP(Midterm!J20,new_transmute,2,FALSE)
),
IF(Info!$B$4="Board program",
IF(OR(AND(J$5&gt;0,J$5&gt;100),AND(J$5&gt;0,J$5&lt;100)),
VLOOKUP(FLOOR((Midterm!J20/J$5)*100,1),new_transmute,3,FALSE),
VLOOKUP(Midterm!J20,new_transmute,3,FALSE)
),
IF(Info!$B$4="Board program (Medicine)",
IF(OR(AND(J$5&gt;0,J$5&gt;100),AND(J$5&gt;0,J$5&lt;100)),
VLOOKUP(FLOOR((Midterm!J20/J$5)*100,1),new_transmute,4,FALSE),
VLOOKUP(Midterm!J20,new_transmute,4,FALSE)
),
""
)
)
)
)
)
)
)
)
))</f>
        <v/>
      </c>
      <c r="K20" s="14" t="str">
        <f>IF($B20="","",
IF(K$5="","",
IF(Midterm!K20="",0,
IF(NOT(ISNUMBER(Midterm!K20)),"NAN",
IF(Midterm!K20&lt;0,"NEG",
IF(Midterm!K20&gt;K$5,"OVER",
IF(AND(K$5&lt;=100,Midterm!K20&gt;100),"ERR",
IF(Info!$B$4="Non-board program",
IF(OR(AND(K$5&gt;0,K$5&gt;100),AND(K$5&gt;0,K$5&lt;100)),
VLOOKUP(FLOOR((Midterm!K20/K$5)*100,1),new_transmute,2,FALSE),
VLOOKUP(Midterm!K20,new_transmute,2,FALSE)
),
IF(Info!$B$4="Board program",
IF(OR(AND(K$5&gt;0,K$5&gt;100),AND(K$5&gt;0,K$5&lt;100)),
VLOOKUP(FLOOR((Midterm!K20/K$5)*100,1),new_transmute,3,FALSE),
VLOOKUP(Midterm!K20,new_transmute,3,FALSE)
),
IF(Info!$B$4="Board program (Medicine)",
IF(OR(AND(K$5&gt;0,K$5&gt;100),AND(K$5&gt;0,K$5&lt;100)),
VLOOKUP(FLOOR((Midterm!K20/K$5)*100,1),new_transmute,4,FALSE),
VLOOKUP(Midterm!K20,new_transmute,4,FALSE)
),
""
)
)
)
)
)
)
)
)
))</f>
        <v/>
      </c>
      <c r="L20" s="14" t="str">
        <f>IF($B20="","",
IF(L$5="","",
IF(Midterm!L20="",0,
IF(NOT(ISNUMBER(Midterm!L20)),"NAN",
IF(Midterm!L20&lt;0,"NEG",
IF(Midterm!L20&gt;L$5,"OVER",
IF(AND(L$5&lt;=100,Midterm!L20&gt;100),"ERR",
IF(Info!$B$4="Non-board program",
IF(OR(AND(L$5&gt;0,L$5&gt;100),AND(L$5&gt;0,L$5&lt;100)),
VLOOKUP(FLOOR((Midterm!L20/L$5)*100,1),new_transmute,2,FALSE),
VLOOKUP(Midterm!L20,new_transmute,2,FALSE)
),
IF(Info!$B$4="Board program",
IF(OR(AND(L$5&gt;0,L$5&gt;100),AND(L$5&gt;0,L$5&lt;100)),
VLOOKUP(FLOOR((Midterm!L20/L$5)*100,1),new_transmute,3,FALSE),
VLOOKUP(Midterm!L20,new_transmute,3,FALSE)
),
IF(Info!$B$4="Board program (Medicine)",
IF(OR(AND(L$5&gt;0,L$5&gt;100),AND(L$5&gt;0,L$5&lt;100)),
VLOOKUP(FLOOR((Midterm!L20/L$5)*100,1),new_transmute,4,FALSE),
VLOOKUP(Midterm!L20,new_transmute,4,FALSE)
),
""
)
)
)
)
)
)
)
)
))</f>
        <v/>
      </c>
      <c r="M20" s="111" t="str">
        <f t="shared" si="2"/>
        <v/>
      </c>
      <c r="N20" s="14" t="str">
        <f>IF($B20="","",
IF(N$5="","",
IF(Midterm!N20="",0,
IF(NOT(ISNUMBER(Midterm!N20)),"NAN",
IF(Midterm!N20&lt;0,"NEG",
IF(Midterm!N20&gt;N$5,"OVER",
IF(AND(N$5&lt;=100,Midterm!N20&gt;100),"ERR",
IF(Info!$B$4="Non-board program",
IF(OR(AND(N$5&gt;0,N$5&gt;100),AND(N$5&gt;0,N$5&lt;100)),
VLOOKUP(FLOOR((Midterm!N20/N$5)*100,1),new_transmute,2,FALSE),
VLOOKUP(Midterm!N20,new_transmute,2,FALSE)
),
IF(Info!$B$4="Board program",
IF(OR(AND(N$5&gt;0,N$5&gt;100),AND(N$5&gt;0,N$5&lt;100)),
VLOOKUP(FLOOR((Midterm!N20/N$5)*100,1),new_transmute,3,FALSE),
VLOOKUP(Midterm!N20,new_transmute,3,FALSE)
),
IF(Info!$B$4="Board program (Medicine)",
IF(OR(AND(N$5&gt;0,N$5&gt;100),AND(N$5&gt;0,N$5&lt;100)),
VLOOKUP(FLOOR((Midterm!N20/N$5)*100,1),new_transmute,4,FALSE),
VLOOKUP(Midterm!N20,new_transmute,4,FALSE)
),
""
)
)
)
)
)
)
)
)
))</f>
        <v/>
      </c>
      <c r="O20" s="14" t="str">
        <f>IF($B20="","",
IF(O$5="","",
IF(Midterm!O20="",0,
IF(NOT(ISNUMBER(Midterm!O20)),"NAN",
IF(Midterm!O20&lt;0,"NEG",
IF(Midterm!O20&gt;O$5,"OVER",
IF(AND(O$5&lt;=100,Midterm!O20&gt;100),"ERR",
IF(Info!$B$4="Non-board program",
IF(OR(AND(O$5&gt;0,O$5&gt;100),AND(O$5&gt;0,O$5&lt;100)),
VLOOKUP(FLOOR((Midterm!O20/O$5)*100,1),new_transmute,2,FALSE),
VLOOKUP(Midterm!O20,new_transmute,2,FALSE)
),
IF(Info!$B$4="Board program",
IF(OR(AND(O$5&gt;0,O$5&gt;100),AND(O$5&gt;0,O$5&lt;100)),
VLOOKUP(FLOOR((Midterm!O20/O$5)*100,1),new_transmute,3,FALSE),
VLOOKUP(Midterm!O20,new_transmute,3,FALSE)
),
IF(Info!$B$4="Board program (Medicine)",
IF(OR(AND(O$5&gt;0,O$5&gt;100),AND(O$5&gt;0,O$5&lt;100)),
VLOOKUP(FLOOR((Midterm!O20/O$5)*100,1),new_transmute,4,FALSE),
VLOOKUP(Midterm!O20,new_transmute,4,FALSE)
),
""
)
)
)
)
)
)
)
)
))</f>
        <v/>
      </c>
      <c r="P20" s="14" t="str">
        <f>IF($B20="","",
IF(P$5="","",
IF(Midterm!P20="",0,
IF(NOT(ISNUMBER(Midterm!P20)),"NAN",
IF(Midterm!P20&lt;0,"NEG",
IF(Midterm!P20&gt;P$5,"OVER",
IF(AND(P$5&lt;=100,Midterm!P20&gt;100),"ERR",
IF(Info!$B$4="Non-board program",
IF(OR(AND(P$5&gt;0,P$5&gt;100),AND(P$5&gt;0,P$5&lt;100)),
VLOOKUP(FLOOR((Midterm!P20/P$5)*100,1),new_transmute,2,FALSE),
VLOOKUP(Midterm!P20,new_transmute,2,FALSE)
),
IF(Info!$B$4="Board program",
IF(OR(AND(P$5&gt;0,P$5&gt;100),AND(P$5&gt;0,P$5&lt;100)),
VLOOKUP(FLOOR((Midterm!P20/P$5)*100,1),new_transmute,3,FALSE),
VLOOKUP(Midterm!P20,new_transmute,3,FALSE)
),
IF(Info!$B$4="Board program (Medicine)",
IF(OR(AND(P$5&gt;0,P$5&gt;100),AND(P$5&gt;0,P$5&lt;100)),
VLOOKUP(FLOOR((Midterm!P20/P$5)*100,1),new_transmute,4,FALSE),
VLOOKUP(Midterm!P20,new_transmute,4,FALSE)
),
""
)
)
)
)
)
)
)
)
))</f>
        <v/>
      </c>
      <c r="Q20" s="14" t="str">
        <f>IF($B20="","",
IF(Q$5="","",
IF(Midterm!Q20="",0,
IF(NOT(ISNUMBER(Midterm!Q20)),"NAN",
IF(Midterm!Q20&lt;0,"NEG",
IF(Midterm!Q20&gt;Q$5,"OVER",
IF(AND(Q$5&lt;=100,Midterm!Q20&gt;100),"ERR",
IF(Info!$B$4="Non-board program",
IF(OR(AND(Q$5&gt;0,Q$5&gt;100),AND(Q$5&gt;0,Q$5&lt;100)),
VLOOKUP(FLOOR((Midterm!Q20/Q$5)*100,1),new_transmute,2,FALSE),
VLOOKUP(Midterm!Q20,new_transmute,2,FALSE)
),
IF(Info!$B$4="Board program",
IF(OR(AND(Q$5&gt;0,Q$5&gt;100),AND(Q$5&gt;0,Q$5&lt;100)),
VLOOKUP(FLOOR((Midterm!Q20/Q$5)*100,1),new_transmute,3,FALSE),
VLOOKUP(Midterm!Q20,new_transmute,3,FALSE)
),
IF(Info!$B$4="Board program (Medicine)",
IF(OR(AND(Q$5&gt;0,Q$5&gt;100),AND(Q$5&gt;0,Q$5&lt;100)),
VLOOKUP(FLOOR((Midterm!Q20/Q$5)*100,1),new_transmute,4,FALSE),
VLOOKUP(Midterm!Q20,new_transmute,4,FALSE)
),
""
)
)
)
)
)
)
)
)
))</f>
        <v/>
      </c>
      <c r="R20" s="14" t="str">
        <f>IF($B20="","",
IF(R$5="","",
IF(Midterm!R20="",0,
IF(NOT(ISNUMBER(Midterm!R20)),"NAN",
IF(Midterm!R20&lt;0,"NEG",
IF(Midterm!R20&gt;R$5,"OVER",
IF(AND(R$5&lt;=100,Midterm!R20&gt;100),"ERR",
IF(Info!$B$4="Non-board program",
IF(OR(AND(R$5&gt;0,R$5&gt;100),AND(R$5&gt;0,R$5&lt;100)),
VLOOKUP(FLOOR((Midterm!R20/R$5)*100,1),new_transmute,2,FALSE),
VLOOKUP(Midterm!R20,new_transmute,2,FALSE)
),
IF(Info!$B$4="Board program",
IF(OR(AND(R$5&gt;0,R$5&gt;100),AND(R$5&gt;0,R$5&lt;100)),
VLOOKUP(FLOOR((Midterm!R20/R$5)*100,1),new_transmute,3,FALSE),
VLOOKUP(Midterm!R20,new_transmute,3,FALSE)
),
IF(Info!$B$4="Board program (Medicine)",
IF(OR(AND(R$5&gt;0,R$5&gt;100),AND(R$5&gt;0,R$5&lt;100)),
VLOOKUP(FLOOR((Midterm!R20/R$5)*100,1),new_transmute,4,FALSE),
VLOOKUP(Midterm!R20,new_transmute,4,FALSE)
),
""
)
)
)
)
)
)
)
)
))</f>
        <v/>
      </c>
      <c r="S20" s="115" t="str">
        <f t="shared" si="3"/>
        <v/>
      </c>
      <c r="T20" s="14" t="str">
        <f>IF($B20="","",
IF(T$5="","",
IF(Midterm!T20="",0,
IF(NOT(ISNUMBER(Midterm!T20)),"NAN",
IF(Midterm!T20&lt;0,"NEG",
IF(Midterm!T20&gt;T$5,"OVER",
IF(AND(T$5&lt;=100,Midterm!T20&gt;100),"ERR",
IF(Info!$B$4="Non-board program",
IF(OR(AND(T$5&gt;0,T$5&gt;100),AND(T$5&gt;0,T$5&lt;100)),
VLOOKUP(FLOOR((Midterm!T20/T$5)*100,1),new_transmute,2,FALSE),
VLOOKUP(Midterm!T20,new_transmute,2,FALSE)
),
IF(Info!$B$4="Board program",
IF(OR(AND(T$5&gt;0,T$5&gt;100),AND(T$5&gt;0,T$5&lt;100)),
VLOOKUP(FLOOR((Midterm!T20/T$5)*100,1),new_transmute,3,FALSE),
VLOOKUP(Midterm!T20,new_transmute,3,FALSE)
),
IF(Info!$B$4="Board program (Medicine)",
IF(OR(AND(T$5&gt;0,T$5&gt;100),AND(T$5&gt;0,T$5&lt;100)),
VLOOKUP(FLOOR((Midterm!T20/T$5)*100,1),new_transmute,4,FALSE),
VLOOKUP(Midterm!T20,new_transmute,4,FALSE)
),
""
)
)
)
)
)
)
)
)
))</f>
        <v/>
      </c>
      <c r="U20" s="14" t="str">
        <f>IF($B20="","",
IF(U$5="","",
IF(Midterm!U20="",0,
IF(NOT(ISNUMBER(Midterm!U20)),"NAN",
IF(Midterm!U20&lt;0,"NEG",
IF(Midterm!U20&gt;U$5,"OVER",
IF(AND(U$5&lt;=100,Midterm!U20&gt;100),"ERR",
IF(Info!$B$4="Non-board program",
IF(OR(AND(U$5&gt;0,U$5&gt;100),AND(U$5&gt;0,U$5&lt;100)),
VLOOKUP(FLOOR((Midterm!U20/U$5)*100,1),new_transmute,2,FALSE),
VLOOKUP(Midterm!U20,new_transmute,2,FALSE)
),
IF(Info!$B$4="Board program",
IF(OR(AND(U$5&gt;0,U$5&gt;100),AND(U$5&gt;0,U$5&lt;100)),
VLOOKUP(FLOOR((Midterm!U20/U$5)*100,1),new_transmute,3,FALSE),
VLOOKUP(Midterm!U20,new_transmute,3,FALSE)
),
IF(Info!$B$4="Board program (Medicine)",
IF(OR(AND(U$5&gt;0,U$5&gt;100),AND(U$5&gt;0,U$5&lt;100)),
VLOOKUP(FLOOR((Midterm!U20/U$5)*100,1),new_transmute,4,FALSE),
VLOOKUP(Midterm!U20,new_transmute,4,FALSE)
),
""
)
)
)
)
)
)
)
)
))</f>
        <v/>
      </c>
      <c r="V20" s="14" t="str">
        <f>IF($B20="","",
IF(V$5="","",
IF(Midterm!V20="",0,
IF(NOT(ISNUMBER(Midterm!V20)),"NAN",
IF(Midterm!V20&lt;0,"NEG",
IF(Midterm!V20&gt;V$5,"OVER",
IF(AND(V$5&lt;=100,Midterm!V20&gt;100),"ERR",
IF(Info!$B$4="Non-board program",
IF(OR(AND(V$5&gt;0,V$5&gt;100),AND(V$5&gt;0,V$5&lt;100)),
VLOOKUP(FLOOR((Midterm!V20/V$5)*100,1),new_transmute,2,FALSE),
VLOOKUP(Midterm!V20,new_transmute,2,FALSE)
),
IF(Info!$B$4="Board program",
IF(OR(AND(V$5&gt;0,V$5&gt;100),AND(V$5&gt;0,V$5&lt;100)),
VLOOKUP(FLOOR((Midterm!V20/V$5)*100,1),new_transmute,3,FALSE),
VLOOKUP(Midterm!V20,new_transmute,3,FALSE)
),
IF(Info!$B$4="Board program (Medicine)",
IF(OR(AND(V$5&gt;0,V$5&gt;100),AND(V$5&gt;0,V$5&lt;100)),
VLOOKUP(FLOOR((Midterm!V20/V$5)*100,1),new_transmute,4,FALSE),
VLOOKUP(Midterm!V20,new_transmute,4,FALSE)
),
""
)
)
)
)
)
)
)
)
))</f>
        <v/>
      </c>
      <c r="W20" s="14" t="str">
        <f>IF($B20="","",
IF(W$5="","",
IF(Midterm!W20="",0,
IF(NOT(ISNUMBER(Midterm!W20)),"NAN",
IF(Midterm!W20&lt;0,"NEG",
IF(Midterm!W20&gt;W$5,"OVER",
IF(AND(W$5&lt;=100,Midterm!W20&gt;100),"ERR",
IF(Info!$B$4="Non-board program",
IF(OR(AND(W$5&gt;0,W$5&gt;100),AND(W$5&gt;0,W$5&lt;100)),
VLOOKUP(FLOOR((Midterm!W20/W$5)*100,1),new_transmute,2,FALSE),
VLOOKUP(Midterm!W20,new_transmute,2,FALSE)
),
IF(Info!$B$4="Board program",
IF(OR(AND(W$5&gt;0,W$5&gt;100),AND(W$5&gt;0,W$5&lt;100)),
VLOOKUP(FLOOR((Midterm!W20/W$5)*100,1),new_transmute,3,FALSE),
VLOOKUP(Midterm!W20,new_transmute,3,FALSE)
),
IF(Info!$B$4="Board program (Medicine)",
IF(OR(AND(W$5&gt;0,W$5&gt;100),AND(W$5&gt;0,W$5&lt;100)),
VLOOKUP(FLOOR((Midterm!W20/W$5)*100,1),new_transmute,4,FALSE),
VLOOKUP(Midterm!W20,new_transmute,4,FALSE)
),
""
)
)
)
)
)
)
)
)
))</f>
        <v/>
      </c>
      <c r="X20" s="14" t="str">
        <f>IF($B20="","",
IF(X$5="","",
IF(Midterm!X20="",0,
IF(NOT(ISNUMBER(Midterm!X20)),"NAN",
IF(Midterm!X20&lt;0,"NEG",
IF(Midterm!X20&gt;X$5,"OVER",
IF(AND(X$5&lt;=100,Midterm!X20&gt;100),"ERR",
IF(Info!$B$4="Non-board program",
IF(OR(AND(X$5&gt;0,X$5&gt;100),AND(X$5&gt;0,X$5&lt;100)),
VLOOKUP(FLOOR((Midterm!X20/X$5)*100,1),new_transmute,2,FALSE),
VLOOKUP(Midterm!X20,new_transmute,2,FALSE)
),
IF(Info!$B$4="Board program",
IF(OR(AND(X$5&gt;0,X$5&gt;100),AND(X$5&gt;0,X$5&lt;100)),
VLOOKUP(FLOOR((Midterm!X20/X$5)*100,1),new_transmute,3,FALSE),
VLOOKUP(Midterm!X20,new_transmute,3,FALSE)
),
IF(Info!$B$4="Board program (Medicine)",
IF(OR(AND(X$5&gt;0,X$5&gt;100),AND(X$5&gt;0,X$5&lt;100)),
VLOOKUP(FLOOR((Midterm!X20/X$5)*100,1),new_transmute,4,FALSE),
VLOOKUP(Midterm!X20,new_transmute,4,FALSE)
),
""
)
)
)
)
)
)
)
)
))</f>
        <v/>
      </c>
      <c r="Y20" s="112" t="str">
        <f t="shared" si="4"/>
        <v/>
      </c>
      <c r="Z20" s="14" t="str">
        <f>IF($B20="","",
IF(Z$5="","",
IF(Midterm!Z20="",0,
IF(NOT(ISNUMBER(Midterm!Z20)),"NAN",
IF(Midterm!Z20&lt;0,"NEG",
IF(Midterm!Z20&gt;Z$5,"OVER",
IF(AND(Z$5&lt;=100,Midterm!Z20&gt;100),"ERR",
IF(Info!$B$4="Non-board program",
IF(OR(AND(Z$5&gt;0,Z$5&gt;100),AND(Z$5&gt;0,Z$5&lt;100)),
VLOOKUP(FLOOR((Midterm!Z20/Z$5)*100,1),new_transmute,2,FALSE),
VLOOKUP(Midterm!Z20,new_transmute,2,FALSE)
),
IF(Info!$B$4="Board program",
IF(OR(AND(Z$5&gt;0,Z$5&gt;100),AND(Z$5&gt;0,Z$5&lt;100)),
VLOOKUP(FLOOR((Midterm!Z20/Z$5)*100,1),new_transmute,3,FALSE),
VLOOKUP(Midterm!Z20,new_transmute,3,FALSE)
),
IF(Info!$B$4="Board program (Medicine)",
IF(OR(AND(Z$5&gt;0,Z$5&gt;100),AND(Z$5&gt;0,Z$5&lt;100)),
VLOOKUP(FLOOR((Midterm!Z20/Z$5)*100,1),new_transmute,4,FALSE),
VLOOKUP(Midterm!Z20,new_transmute,4,FALSE)
),
""
)
)
)
)
)
)
)
)
))</f>
        <v/>
      </c>
      <c r="AA20" s="14" t="str">
        <f>IF($B20="","",
IF(AA$5="","",
IF(Midterm!AA20="",0,
IF(NOT(ISNUMBER(Midterm!AA20)),"NAN",
IF(Midterm!AA20&lt;0,"NEG",
IF(Midterm!AA20&gt;AA$5,"OVER",
IF(AND(AA$5&lt;=100,Midterm!AA20&gt;100),"ERR",
IF(Info!$B$4="Non-board program",
IF(OR(AND(AA$5&gt;0,AA$5&gt;100),AND(AA$5&gt;0,AA$5&lt;100)),
VLOOKUP(FLOOR((Midterm!AA20/AA$5)*100,1),new_transmute,2,FALSE),
VLOOKUP(Midterm!AA20,new_transmute,2,FALSE)
),
IF(Info!$B$4="Board program",
IF(OR(AND(AA$5&gt;0,AA$5&gt;100),AND(AA$5&gt;0,AA$5&lt;100)),
VLOOKUP(FLOOR((Midterm!AA20/AA$5)*100,1),new_transmute,3,FALSE),
VLOOKUP(Midterm!AA20,new_transmute,3,FALSE)
),
IF(Info!$B$4="Board program (Medicine)",
IF(OR(AND(AA$5&gt;0,AA$5&gt;100),AND(AA$5&gt;0,AA$5&lt;100)),
VLOOKUP(FLOOR((Midterm!AA20/AA$5)*100,1),new_transmute,4,FALSE),
VLOOKUP(Midterm!AA20,new_transmute,4,FALSE)
),
""
)
)
)
)
)
)
)
)
))</f>
        <v/>
      </c>
      <c r="AB20" s="14" t="str">
        <f>IF($B20="","",
IF(AB$5="","",
IF(Midterm!AB20="",0,
IF(NOT(ISNUMBER(Midterm!AB20)),"NAN",
IF(Midterm!AB20&lt;0,"NEG",
IF(Midterm!AB20&gt;AB$5,"OVER",
IF(AND(AB$5&lt;=100,Midterm!AB20&gt;100),"ERR",
IF(Info!$B$4="Non-board program",
IF(OR(AND(AB$5&gt;0,AB$5&gt;100),AND(AB$5&gt;0,AB$5&lt;100)),
VLOOKUP(FLOOR((Midterm!AB20/AB$5)*100,1),new_transmute,2,FALSE),
VLOOKUP(Midterm!AB20,new_transmute,2,FALSE)
),
IF(Info!$B$4="Board program",
IF(OR(AND(AB$5&gt;0,AB$5&gt;100),AND(AB$5&gt;0,AB$5&lt;100)),
VLOOKUP(FLOOR((Midterm!AB20/AB$5)*100,1),new_transmute,3,FALSE),
VLOOKUP(Midterm!AB20,new_transmute,3,FALSE)
),
IF(Info!$B$4="Board program (Medicine)",
IF(OR(AND(AB$5&gt;0,AB$5&gt;100),AND(AB$5&gt;0,AB$5&lt;100)),
VLOOKUP(FLOOR((Midterm!AB20/AB$5)*100,1),new_transmute,4,FALSE),
VLOOKUP(Midterm!AB20,new_transmute,4,FALSE)
),
""
)
)
)
)
)
)
)
)
))</f>
        <v/>
      </c>
      <c r="AC20" s="14" t="str">
        <f>IF($B20="","",
IF(AC$5="","",
IF(Midterm!AC20="",0,
IF(NOT(ISNUMBER(Midterm!AC20)),"NAN",
IF(Midterm!AC20&lt;0,"NEG",
IF(Midterm!AC20&gt;AC$5,"OVER",
IF(AND(AC$5&lt;=100,Midterm!AC20&gt;100),"ERR",
IF(Info!$B$4="Non-board program",
IF(OR(AND(AC$5&gt;0,AC$5&gt;100),AND(AC$5&gt;0,AC$5&lt;100)),
VLOOKUP(FLOOR((Midterm!AC20/AC$5)*100,1),new_transmute,2,FALSE),
VLOOKUP(Midterm!AC20,new_transmute,2,FALSE)
),
IF(Info!$B$4="Board program",
IF(OR(AND(AC$5&gt;0,AC$5&gt;100),AND(AC$5&gt;0,AC$5&lt;100)),
VLOOKUP(FLOOR((Midterm!AC20/AC$5)*100,1),new_transmute,3,FALSE),
VLOOKUP(Midterm!AC20,new_transmute,3,FALSE)
),
IF(Info!$B$4="Board program (Medicine)",
IF(OR(AND(AC$5&gt;0,AC$5&gt;100),AND(AC$5&gt;0,AC$5&lt;100)),
VLOOKUP(FLOOR((Midterm!AC20/AC$5)*100,1),new_transmute,4,FALSE),
VLOOKUP(Midterm!AC20,new_transmute,4,FALSE)
),
""
)
)
)
)
)
)
)
)
))</f>
        <v/>
      </c>
      <c r="AD20" s="14" t="str">
        <f>IF($B20="","",
IF(AD$5="","",
IF(Midterm!AD20="",0,
IF(NOT(ISNUMBER(Midterm!AD20)),"NAN",
IF(Midterm!AD20&lt;0,"NEG",
IF(Midterm!AD20&gt;AD$5,"OVER",
IF(AND(AD$5&lt;=100,Midterm!AD20&gt;100),"ERR",
IF(Info!$B$4="Non-board program",
IF(OR(AND(AD$5&gt;0,AD$5&gt;100),AND(AD$5&gt;0,AD$5&lt;100)),
VLOOKUP(FLOOR((Midterm!AD20/AD$5)*100,1),new_transmute,2,FALSE),
VLOOKUP(Midterm!AD20,new_transmute,2,FALSE)
),
IF(Info!$B$4="Board program",
IF(OR(AND(AD$5&gt;0,AD$5&gt;100),AND(AD$5&gt;0,AD$5&lt;100)),
VLOOKUP(FLOOR((Midterm!AD20/AD$5)*100,1),new_transmute,3,FALSE),
VLOOKUP(Midterm!AD20,new_transmute,3,FALSE)
),
IF(Info!$B$4="Board program (Medicine)",
IF(OR(AND(AD$5&gt;0,AD$5&gt;100),AND(AD$5&gt;0,AD$5&lt;100)),
VLOOKUP(FLOOR((Midterm!AD20/AD$5)*100,1),new_transmute,4,FALSE),
VLOOKUP(Midterm!AD20,new_transmute,4,FALSE)
),
""
)
)
)
)
)
)
)
)
))</f>
        <v/>
      </c>
      <c r="AE20" s="58" t="str">
        <f t="shared" si="5"/>
        <v/>
      </c>
      <c r="AF20" s="14" t="str">
        <f>IF($B20="","",
IF(AF$5="","",
IF(Midterm!AF20="",0,
IF(NOT(ISNUMBER(Midterm!AF20)),"NAN",
IF(Midterm!AF20&lt;0,"NEG",
IF(Midterm!AF20&gt;AF$5,"OVER",
IF(AND(AF$5&lt;=100,Midterm!AF20&gt;100),"ERR",
IF(Info!$B$4="Non-board program",
IF(OR(AND(AF$5&gt;0,AF$5&gt;100),AND(AF$5&gt;0,AF$5&lt;100)),
VLOOKUP(FLOOR((Midterm!AF20/AF$5)*100,1),new_transmute,2,FALSE),
VLOOKUP(Midterm!AF20,new_transmute,2,FALSE)
),
IF(Info!$B$4="Board program",
IF(OR(AND(AF$5&gt;0,AF$5&gt;100),AND(AF$5&gt;0,AF$5&lt;100)),
VLOOKUP(FLOOR((Midterm!AF20/AF$5)*100,1),new_transmute,3,FALSE),
VLOOKUP(Midterm!AF20,new_transmute,3,FALSE)
),
IF(Info!$B$4="Board program (Medicine)",
IF(OR(AND(AF$5&gt;0,AF$5&gt;100),AND(AF$5&gt;0,AF$5&lt;100)),
VLOOKUP(FLOOR((Midterm!AF20/AF$5)*100,1),new_transmute,4,FALSE),
VLOOKUP(Midterm!AF20,new_transmute,4,FALSE)
),
""
)
)
)
)
)
)
)
)
))</f>
        <v/>
      </c>
      <c r="AG20" s="14" t="str">
        <f>IF($B20="","",
IF(AG$5="","",
IF(Midterm!AG20="",0,
IF(NOT(ISNUMBER(Midterm!AG20)),"NAN",
IF(Midterm!AG20&lt;0,"NEG",
IF(Midterm!AG20&gt;AG$5,"OVER",
IF(AND(AG$5&lt;=100,Midterm!AG20&gt;100),"ERR",
IF(Info!$B$4="Non-board program",
IF(OR(AND(AG$5&gt;0,AG$5&gt;100),AND(AG$5&gt;0,AG$5&lt;100)),
VLOOKUP(FLOOR((Midterm!AG20/AG$5)*100,1),new_transmute,2,FALSE),
VLOOKUP(Midterm!AG20,new_transmute,2,FALSE)
),
IF(Info!$B$4="Board program",
IF(OR(AND(AG$5&gt;0,AG$5&gt;100),AND(AG$5&gt;0,AG$5&lt;100)),
VLOOKUP(FLOOR((Midterm!AG20/AG$5)*100,1),new_transmute,3,FALSE),
VLOOKUP(Midterm!AG20,new_transmute,3,FALSE)
),
IF(Info!$B$4="Board program (Medicine)",
IF(OR(AND(AG$5&gt;0,AG$5&gt;100),AND(AG$5&gt;0,AG$5&lt;100)),
VLOOKUP(FLOOR((Midterm!AG20/AG$5)*100,1),new_transmute,4,FALSE),
VLOOKUP(Midterm!AG20,new_transmute,4,FALSE)
),
""
)
)
)
)
)
)
)
)
))</f>
        <v/>
      </c>
      <c r="AH20" s="14" t="str">
        <f>IF($B20="","",
IF(AH$5="","",
IF(Midterm!AH20="",0,
IF(NOT(ISNUMBER(Midterm!AH20)),"NAN",
IF(Midterm!AH20&lt;0,"NEG",
IF(Midterm!AH20&gt;AH$5,"OVER",
IF(AND(AH$5&lt;=100,Midterm!AH20&gt;100),"ERR",
IF(Info!$B$4="Non-board program",
IF(OR(AND(AH$5&gt;0,AH$5&gt;100),AND(AH$5&gt;0,AH$5&lt;100)),
VLOOKUP(FLOOR((Midterm!AH20/AH$5)*100,1),new_transmute,2,FALSE),
VLOOKUP(Midterm!AH20,new_transmute,2,FALSE)
),
IF(Info!$B$4="Board program",
IF(OR(AND(AH$5&gt;0,AH$5&gt;100),AND(AH$5&gt;0,AH$5&lt;100)),
VLOOKUP(FLOOR((Midterm!AH20/AH$5)*100,1),new_transmute,3,FALSE),
VLOOKUP(Midterm!AH20,new_transmute,3,FALSE)
),
IF(Info!$B$4="Board program (Medicine)",
IF(OR(AND(AH$5&gt;0,AH$5&gt;100),AND(AH$5&gt;0,AH$5&lt;100)),
VLOOKUP(FLOOR((Midterm!AH20/AH$5)*100,1),new_transmute,4,FALSE),
VLOOKUP(Midterm!AH20,new_transmute,4,FALSE)
),
""
)
)
)
)
)
)
)
)
))</f>
        <v/>
      </c>
      <c r="AI20" s="14" t="str">
        <f>IF($B20="","",
IF(AI$5="","",
IF(Midterm!AI20="",0,
IF(NOT(ISNUMBER(Midterm!AI20)),"NAN",
IF(Midterm!AI20&lt;0,"NEG",
IF(Midterm!AI20&gt;AI$5,"OVER",
IF(AND(AI$5&lt;=100,Midterm!AI20&gt;100),"ERR",
IF(Info!$B$4="Non-board program",
IF(OR(AND(AI$5&gt;0,AI$5&gt;100),AND(AI$5&gt;0,AI$5&lt;100)),
VLOOKUP(FLOOR((Midterm!AI20/AI$5)*100,1),new_transmute,2,FALSE),
VLOOKUP(Midterm!AI20,new_transmute,2,FALSE)
),
IF(Info!$B$4="Board program",
IF(OR(AND(AI$5&gt;0,AI$5&gt;100),AND(AI$5&gt;0,AI$5&lt;100)),
VLOOKUP(FLOOR((Midterm!AI20/AI$5)*100,1),new_transmute,3,FALSE),
VLOOKUP(Midterm!AI20,new_transmute,3,FALSE)
),
IF(Info!$B$4="Board program (Medicine)",
IF(OR(AND(AI$5&gt;0,AI$5&gt;100),AND(AI$5&gt;0,AI$5&lt;100)),
VLOOKUP(FLOOR((Midterm!AI20/AI$5)*100,1),new_transmute,4,FALSE),
VLOOKUP(Midterm!AI20,new_transmute,4,FALSE)
),
""
)
)
)
)
)
)
)
)
))</f>
        <v/>
      </c>
      <c r="AJ20" s="14" t="str">
        <f>IF($B20="","",
IF(AJ$5="","",
IF(Midterm!AJ20="",0,
IF(NOT(ISNUMBER(Midterm!AJ20)),"NAN",
IF(Midterm!AJ20&lt;0,"NEG",
IF(Midterm!AJ20&gt;AJ$5,"OVER",
IF(AND(AJ$5&lt;=100,Midterm!AJ20&gt;100),"ERR",
IF(Info!$B$4="Non-board program",
IF(OR(AND(AJ$5&gt;0,AJ$5&gt;100),AND(AJ$5&gt;0,AJ$5&lt;100)),
VLOOKUP(FLOOR((Midterm!AJ20/AJ$5)*100,1),new_transmute,2,FALSE),
VLOOKUP(Midterm!AJ20,new_transmute,2,FALSE)
),
IF(Info!$B$4="Board program",
IF(OR(AND(AJ$5&gt;0,AJ$5&gt;100),AND(AJ$5&gt;0,AJ$5&lt;100)),
VLOOKUP(FLOOR((Midterm!AJ20/AJ$5)*100,1),new_transmute,3,FALSE),
VLOOKUP(Midterm!AJ20,new_transmute,3,FALSE)
),
IF(Info!$B$4="Board program (Medicine)",
IF(OR(AND(AJ$5&gt;0,AJ$5&gt;100),AND(AJ$5&gt;0,AJ$5&lt;100)),
VLOOKUP(FLOOR((Midterm!AJ20/AJ$5)*100,1),new_transmute,4,FALSE),
VLOOKUP(Midterm!AJ20,new_transmute,4,FALSE)
),
""
)
)
)
)
)
)
)
)
))</f>
        <v/>
      </c>
      <c r="AK20" s="59" t="str">
        <f t="shared" si="6"/>
        <v/>
      </c>
      <c r="AL20" s="60" t="str">
        <f>IF(B20="", "",
    IF(OR(M20="OVER", S20="OVER", Y20="OVER", AE20="OVER", AK20="OVER"),
        "OVER",
        IF(Info!$B$4="Non-board program",
            VLOOKUP(IFERROR(FLOOR(SUM((M20*$M$4), (S20*$S$4), (Y20*$Y$4), (AE20*$AE$4), (AK20*$AK$4)) * (100 / 60), 1), 0), new_transmute, 2, FALSE),
            IF(Info!$B$4="Board program",
                VLOOKUP(IFERROR(FLOOR(SUM((M20*$M$4), (S20*$S$4), (Y20*$Y$4), (AE20*$AE$4), (AK20*$AK$4)) * (100 / 60), 1), 0), new_transmute, 3, FALSE),
                IF(Info!$B$4="Board program (Medicine)",
                    VLOOKUP(IFERROR(FLOOR(SUM((M20*$M$4), (S20*$S$4), (Y20*$Y$4), (AE20*$AE$4), (AK20*$AK$4)) * (100 / 60), 1), 0), new_transmute, 4, FALSE),
                    ""
                )
            )
        )
    )
)</f>
        <v/>
      </c>
      <c r="AM20" s="14" t="str">
        <f>IF($B20="","",
IF(AM$5="","",
IF(Midterm!AM20="",0,
IF(NOT(ISNUMBER(Midterm!AM20)),"NAN",
IF(Midterm!AM20&lt;0,"NEG",
IF(Midterm!AM20&gt;AM$5,"OVER",
IF(AND(AM$5&lt;=100,Midterm!AM20&gt;100),"ERR",
IF(Info!$B$4="Non-board program",
IF(OR(AND(AM$5&gt;0,AM$5&gt;100),AND(AM$5&gt;0,AM$5&lt;100)),
VLOOKUP(FLOOR((Midterm!AM20/AM$5)*100,1),new_transmute,2,FALSE),
VLOOKUP(Midterm!AM20,new_transmute,2,FALSE)
),
IF(Info!$B$4="Board program",
IF(OR(AND(AM$5&gt;0,AM$5&gt;100),AND(AM$5&gt;0,AM$5&lt;100)),
VLOOKUP(FLOOR((Midterm!AM20/AM$5)*100,1),new_transmute,3,FALSE),
VLOOKUP(Midterm!AM20,new_transmute,3,FALSE)
),
IF(Info!$B$4="Board program (Medicine)",
IF(OR(AND(AM$5&gt;0,AM$5&gt;100),AND(AM$5&gt;0,AM$5&lt;100)),
VLOOKUP(FLOOR((Midterm!AM20/AM$5)*100,1),new_transmute,4,FALSE),
VLOOKUP(Midterm!AM20,new_transmute,4,FALSE)
),
""
)
)
)
)
)
)
)
)
))</f>
        <v/>
      </c>
      <c r="AN20" s="14" t="str">
        <f>IF($B20="","",
IF(AN$5="","",
IF(Midterm!AN20="",0,
IF(NOT(ISNUMBER(Midterm!AN20)),"NAN",
IF(Midterm!AN20&lt;0,"NEG",
IF(Midterm!AN20&gt;AN$5,"OVER",
IF(AND(AN$5&lt;=100,Midterm!AN20&gt;100),"ERR",
IF(Info!$B$4="Non-board program",
IF(OR(AND(AN$5&gt;0,AN$5&gt;100),AND(AN$5&gt;0,AN$5&lt;100)),
VLOOKUP(FLOOR((Midterm!AN20/AN$5)*100,1),new_transmute,2,FALSE),
VLOOKUP(Midterm!AN20,new_transmute,2,FALSE)
),
IF(Info!$B$4="Board program",
IF(OR(AND(AN$5&gt;0,AN$5&gt;100),AND(AN$5&gt;0,AN$5&lt;100)),
VLOOKUP(FLOOR((Midterm!AN20/AN$5)*100,1),new_transmute,3,FALSE),
VLOOKUP(Midterm!AN20,new_transmute,3,FALSE)
),
IF(Info!$B$4="Board program (Medicine)",
IF(OR(AND(AN$5&gt;0,AN$5&gt;100),AND(AN$5&gt;0,AN$5&lt;100)),
VLOOKUP(FLOOR((Midterm!AN20/AN$5)*100,1),new_transmute,4,FALSE),
VLOOKUP(Midterm!AN20,new_transmute,4,FALSE)
),
""
)
)
)
)
)
)
)
)
))</f>
        <v/>
      </c>
      <c r="AO20" s="14" t="str">
        <f>IF($B20="","",
IF(AO$5="","",
IF(Midterm!AO20="",0,
IF(NOT(ISNUMBER(Midterm!AO20)),"NAN",
IF(Midterm!AO20&lt;0,"NEG",
IF(Midterm!AO20&gt;AO$5,"OVER",
IF(AND(AO$5&lt;=100,Midterm!AO20&gt;100),"ERR",
IF(Info!$B$4="Non-board program",
IF(OR(AND(AO$5&gt;0,AO$5&gt;100),AND(AO$5&gt;0,AO$5&lt;100)),
VLOOKUP(FLOOR((Midterm!AO20/AO$5)*100,1),new_transmute,2,FALSE),
VLOOKUP(Midterm!AO20,new_transmute,2,FALSE)
),
IF(Info!$B$4="Board program",
IF(OR(AND(AO$5&gt;0,AO$5&gt;100),AND(AO$5&gt;0,AO$5&lt;100)),
VLOOKUP(FLOOR((Midterm!AO20/AO$5)*100,1),new_transmute,3,FALSE),
VLOOKUP(Midterm!AO20,new_transmute,3,FALSE)
),
IF(Info!$B$4="Board program (Medicine)",
IF(OR(AND(AO$5&gt;0,AO$5&gt;100),AND(AO$5&gt;0,AO$5&lt;100)),
VLOOKUP(FLOOR((Midterm!AO20/AO$5)*100,1),new_transmute,4,FALSE),
VLOOKUP(Midterm!AO20,new_transmute,4,FALSE)
),
""
)
)
)
)
)
)
)
)
))</f>
        <v/>
      </c>
      <c r="AP20" s="14" t="str">
        <f>IF($B20="","",
IF(AP$5="","",
IF(Midterm!AP20="",0,
IF(NOT(ISNUMBER(Midterm!AP20)),"NAN",
IF(Midterm!AP20&lt;0,"NEG",
IF(Midterm!AP20&gt;AP$5,"OVER",
IF(AND(AP$5&lt;=100,Midterm!AP20&gt;100),"ERR",
IF(Info!$B$4="Non-board program",
IF(OR(AND(AP$5&gt;0,AP$5&gt;100),AND(AP$5&gt;0,AP$5&lt;100)),
VLOOKUP(FLOOR((Midterm!AP20/AP$5)*100,1),new_transmute,2,FALSE),
VLOOKUP(Midterm!AP20,new_transmute,2,FALSE)
),
IF(Info!$B$4="Board program",
IF(OR(AND(AP$5&gt;0,AP$5&gt;100),AND(AP$5&gt;0,AP$5&lt;100)),
VLOOKUP(FLOOR((Midterm!AP20/AP$5)*100,1),new_transmute,3,FALSE),
VLOOKUP(Midterm!AP20,new_transmute,3,FALSE)
),
IF(Info!$B$4="Board program (Medicine)",
IF(OR(AND(AP$5&gt;0,AP$5&gt;100),AND(AP$5&gt;0,AP$5&lt;100)),
VLOOKUP(FLOOR((Midterm!AP20/AP$5)*100,1),new_transmute,4,FALSE),
VLOOKUP(Midterm!AP20,new_transmute,4,FALSE)
),
""
)
)
)
)
)
)
)
)
))</f>
        <v/>
      </c>
      <c r="AQ20" s="61" t="str">
        <f t="shared" si="7"/>
        <v/>
      </c>
      <c r="AR20" s="48" t="str">
        <f>IF(Midterm!AR20="","",Midterm!AR20)</f>
        <v/>
      </c>
      <c r="AS20" s="165" t="str">
        <f t="shared" si="8"/>
        <v/>
      </c>
      <c r="AT20" s="14" t="str">
        <f t="shared" si="0"/>
        <v/>
      </c>
      <c r="AU20" s="14" t="str">
        <f>IF(B20="","",VLOOKUP(AT20,'New Grade Equivalent'!$B$3:$C$47,2,FALSE))</f>
        <v/>
      </c>
    </row>
    <row r="21" spans="1:47" x14ac:dyDescent="0.25">
      <c r="A21" s="8">
        <v>16</v>
      </c>
      <c r="B21" s="2" t="str">
        <f>IF('Student List'!C25="","",UPPER(LEFT('Student List'!C25,FIND(",",'Student List'!C25)-1)))</f>
        <v/>
      </c>
      <c r="C21" s="12" t="str">
        <f>IF('Student List'!C25="","",PROPER(MID('Student List'!C25, FIND(",", 'Student List'!C25) + 2, LEN('Student List'!C25) - FIND(",", 'Student List'!C25) - 1)))</f>
        <v/>
      </c>
      <c r="D21" s="127" t="str">
        <f>IF(B21="","",IF(Midterm!D21="", "NA", Midterm!D21))</f>
        <v/>
      </c>
      <c r="E21" s="8" t="str">
        <f>IF(B21="","",
  IF(Info!$B$5="First Year",
    IF(D21="Yes", "DRP",
      IF(D21="No", "WF", "")
    )
  )
)</f>
        <v/>
      </c>
      <c r="F21" s="14" t="str">
        <f>IF($B21="","",
IF(F$5="","",
IF(Midterm!F21="",0,
IF(NOT(ISNUMBER(Midterm!F21)),"NAN",
IF(Midterm!F21&lt;0,"NEG",
IF(Midterm!F21&gt;F$5,"OVER",
IF(AND(F$5&lt;=100,Midterm!F21&gt;100),"ERR",
IF(Info!$B$4="Non-board program",
IF(OR(AND(F$5&gt;0,F$5&gt;100),AND(F$5&gt;0,F$5&lt;100)),
VLOOKUP(FLOOR((Midterm!F21/F$5)*100,1),new_transmute,2,FALSE),
VLOOKUP(Midterm!F21,new_transmute,2,FALSE)
),
IF(Info!$B$4="Board program",
IF(OR(AND(F$5&gt;0,F$5&gt;100),AND(F$5&gt;0,F$5&lt;100)),
VLOOKUP(FLOOR((Midterm!F21/F$5)*100,1),new_transmute,3,FALSE),
VLOOKUP(Midterm!F21,new_transmute,3,FALSE)
),
IF(Info!$B$4="Board program (Medicine)",
IF(OR(AND(F$5&gt;0,F$5&gt;100),AND(F$5&gt;0,F$5&lt;100)),
VLOOKUP(FLOOR((Midterm!F21/F$5)*100,1),new_transmute,4,FALSE),
VLOOKUP(Midterm!F21,new_transmute,4,FALSE)
),
""
)
)
)
)
)
)
)
)
))</f>
        <v/>
      </c>
      <c r="G21" s="57" t="str">
        <f t="shared" si="1"/>
        <v/>
      </c>
      <c r="H21" s="14" t="str">
        <f>IF($B21="","",
IF(H$5="","",
IF(Midterm!H21="",0,
IF(NOT(ISNUMBER(Midterm!H21)),"NAN",
IF(Midterm!H21&lt;0,"NEG",
IF(Midterm!H21&gt;H$5,"OVER",
IF(AND(H$5&lt;=100,Midterm!H21&gt;100),"ERR",
IF(Info!$B$4="Non-board program",
IF(OR(AND(H$5&gt;0,H$5&gt;100),AND(H$5&gt;0,H$5&lt;100)),
VLOOKUP(FLOOR((Midterm!H21/H$5)*100,1),new_transmute,2,FALSE),
VLOOKUP(Midterm!H21,new_transmute,2,FALSE)
),
IF(Info!$B$4="Board program",
IF(OR(AND(H$5&gt;0,H$5&gt;100),AND(H$5&gt;0,H$5&lt;100)),
VLOOKUP(FLOOR((Midterm!H21/H$5)*100,1),new_transmute,3,FALSE),
VLOOKUP(Midterm!H21,new_transmute,3,FALSE)
),
IF(Info!$B$4="Board program (Medicine)",
IF(OR(AND(H$5&gt;0,H$5&gt;100),AND(H$5&gt;0,H$5&lt;100)),
VLOOKUP(FLOOR((Midterm!H21/H$5)*100,1),new_transmute,4,FALSE),
VLOOKUP(Midterm!H21,new_transmute,4,FALSE)
),
""
)
)
)
)
)
)
)
)
))</f>
        <v/>
      </c>
      <c r="I21" s="14" t="str">
        <f>IF($B21="","",
IF(I$5="","",
IF(Midterm!I21="",0,
IF(NOT(ISNUMBER(Midterm!I21)),"NAN",
IF(Midterm!I21&lt;0,"NEG",
IF(Midterm!I21&gt;I$5,"OVER",
IF(AND(I$5&lt;=100,Midterm!I21&gt;100),"ERR",
IF(Info!$B$4="Non-board program",
IF(OR(AND(I$5&gt;0,I$5&gt;100),AND(I$5&gt;0,I$5&lt;100)),
VLOOKUP(FLOOR((Midterm!I21/I$5)*100,1),new_transmute,2,FALSE),
VLOOKUP(Midterm!I21,new_transmute,2,FALSE)
),
IF(Info!$B$4="Board program",
IF(OR(AND(I$5&gt;0,I$5&gt;100),AND(I$5&gt;0,I$5&lt;100)),
VLOOKUP(FLOOR((Midterm!I21/I$5)*100,1),new_transmute,3,FALSE),
VLOOKUP(Midterm!I21,new_transmute,3,FALSE)
),
IF(Info!$B$4="Board program (Medicine)",
IF(OR(AND(I$5&gt;0,I$5&gt;100),AND(I$5&gt;0,I$5&lt;100)),
VLOOKUP(FLOOR((Midterm!I21/I$5)*100,1),new_transmute,4,FALSE),
VLOOKUP(Midterm!I21,new_transmute,4,FALSE)
),
""
)
)
)
)
)
)
)
)
))</f>
        <v/>
      </c>
      <c r="J21" s="14" t="str">
        <f>IF($B21="","",
IF(J$5="","",
IF(Midterm!J21="",0,
IF(NOT(ISNUMBER(Midterm!J21)),"NAN",
IF(Midterm!J21&lt;0,"NEG",
IF(Midterm!J21&gt;J$5,"OVER",
IF(AND(J$5&lt;=100,Midterm!J21&gt;100),"ERR",
IF(Info!$B$4="Non-board program",
IF(OR(AND(J$5&gt;0,J$5&gt;100),AND(J$5&gt;0,J$5&lt;100)),
VLOOKUP(FLOOR((Midterm!J21/J$5)*100,1),new_transmute,2,FALSE),
VLOOKUP(Midterm!J21,new_transmute,2,FALSE)
),
IF(Info!$B$4="Board program",
IF(OR(AND(J$5&gt;0,J$5&gt;100),AND(J$5&gt;0,J$5&lt;100)),
VLOOKUP(FLOOR((Midterm!J21/J$5)*100,1),new_transmute,3,FALSE),
VLOOKUP(Midterm!J21,new_transmute,3,FALSE)
),
IF(Info!$B$4="Board program (Medicine)",
IF(OR(AND(J$5&gt;0,J$5&gt;100),AND(J$5&gt;0,J$5&lt;100)),
VLOOKUP(FLOOR((Midterm!J21/J$5)*100,1),new_transmute,4,FALSE),
VLOOKUP(Midterm!J21,new_transmute,4,FALSE)
),
""
)
)
)
)
)
)
)
)
))</f>
        <v/>
      </c>
      <c r="K21" s="14" t="str">
        <f>IF($B21="","",
IF(K$5="","",
IF(Midterm!K21="",0,
IF(NOT(ISNUMBER(Midterm!K21)),"NAN",
IF(Midterm!K21&lt;0,"NEG",
IF(Midterm!K21&gt;K$5,"OVER",
IF(AND(K$5&lt;=100,Midterm!K21&gt;100),"ERR",
IF(Info!$B$4="Non-board program",
IF(OR(AND(K$5&gt;0,K$5&gt;100),AND(K$5&gt;0,K$5&lt;100)),
VLOOKUP(FLOOR((Midterm!K21/K$5)*100,1),new_transmute,2,FALSE),
VLOOKUP(Midterm!K21,new_transmute,2,FALSE)
),
IF(Info!$B$4="Board program",
IF(OR(AND(K$5&gt;0,K$5&gt;100),AND(K$5&gt;0,K$5&lt;100)),
VLOOKUP(FLOOR((Midterm!K21/K$5)*100,1),new_transmute,3,FALSE),
VLOOKUP(Midterm!K21,new_transmute,3,FALSE)
),
IF(Info!$B$4="Board program (Medicine)",
IF(OR(AND(K$5&gt;0,K$5&gt;100),AND(K$5&gt;0,K$5&lt;100)),
VLOOKUP(FLOOR((Midterm!K21/K$5)*100,1),new_transmute,4,FALSE),
VLOOKUP(Midterm!K21,new_transmute,4,FALSE)
),
""
)
)
)
)
)
)
)
)
))</f>
        <v/>
      </c>
      <c r="L21" s="14" t="str">
        <f>IF($B21="","",
IF(L$5="","",
IF(Midterm!L21="",0,
IF(NOT(ISNUMBER(Midterm!L21)),"NAN",
IF(Midterm!L21&lt;0,"NEG",
IF(Midterm!L21&gt;L$5,"OVER",
IF(AND(L$5&lt;=100,Midterm!L21&gt;100),"ERR",
IF(Info!$B$4="Non-board program",
IF(OR(AND(L$5&gt;0,L$5&gt;100),AND(L$5&gt;0,L$5&lt;100)),
VLOOKUP(FLOOR((Midterm!L21/L$5)*100,1),new_transmute,2,FALSE),
VLOOKUP(Midterm!L21,new_transmute,2,FALSE)
),
IF(Info!$B$4="Board program",
IF(OR(AND(L$5&gt;0,L$5&gt;100),AND(L$5&gt;0,L$5&lt;100)),
VLOOKUP(FLOOR((Midterm!L21/L$5)*100,1),new_transmute,3,FALSE),
VLOOKUP(Midterm!L21,new_transmute,3,FALSE)
),
IF(Info!$B$4="Board program (Medicine)",
IF(OR(AND(L$5&gt;0,L$5&gt;100),AND(L$5&gt;0,L$5&lt;100)),
VLOOKUP(FLOOR((Midterm!L21/L$5)*100,1),new_transmute,4,FALSE),
VLOOKUP(Midterm!L21,new_transmute,4,FALSE)
),
""
)
)
)
)
)
)
)
)
))</f>
        <v/>
      </c>
      <c r="M21" s="111" t="str">
        <f t="shared" si="2"/>
        <v/>
      </c>
      <c r="N21" s="14" t="str">
        <f>IF($B21="","",
IF(N$5="","",
IF(Midterm!N21="",0,
IF(NOT(ISNUMBER(Midterm!N21)),"NAN",
IF(Midterm!N21&lt;0,"NEG",
IF(Midterm!N21&gt;N$5,"OVER",
IF(AND(N$5&lt;=100,Midterm!N21&gt;100),"ERR",
IF(Info!$B$4="Non-board program",
IF(OR(AND(N$5&gt;0,N$5&gt;100),AND(N$5&gt;0,N$5&lt;100)),
VLOOKUP(FLOOR((Midterm!N21/N$5)*100,1),new_transmute,2,FALSE),
VLOOKUP(Midterm!N21,new_transmute,2,FALSE)
),
IF(Info!$B$4="Board program",
IF(OR(AND(N$5&gt;0,N$5&gt;100),AND(N$5&gt;0,N$5&lt;100)),
VLOOKUP(FLOOR((Midterm!N21/N$5)*100,1),new_transmute,3,FALSE),
VLOOKUP(Midterm!N21,new_transmute,3,FALSE)
),
IF(Info!$B$4="Board program (Medicine)",
IF(OR(AND(N$5&gt;0,N$5&gt;100),AND(N$5&gt;0,N$5&lt;100)),
VLOOKUP(FLOOR((Midterm!N21/N$5)*100,1),new_transmute,4,FALSE),
VLOOKUP(Midterm!N21,new_transmute,4,FALSE)
),
""
)
)
)
)
)
)
)
)
))</f>
        <v/>
      </c>
      <c r="O21" s="14" t="str">
        <f>IF($B21="","",
IF(O$5="","",
IF(Midterm!O21="",0,
IF(NOT(ISNUMBER(Midterm!O21)),"NAN",
IF(Midterm!O21&lt;0,"NEG",
IF(Midterm!O21&gt;O$5,"OVER",
IF(AND(O$5&lt;=100,Midterm!O21&gt;100),"ERR",
IF(Info!$B$4="Non-board program",
IF(OR(AND(O$5&gt;0,O$5&gt;100),AND(O$5&gt;0,O$5&lt;100)),
VLOOKUP(FLOOR((Midterm!O21/O$5)*100,1),new_transmute,2,FALSE),
VLOOKUP(Midterm!O21,new_transmute,2,FALSE)
),
IF(Info!$B$4="Board program",
IF(OR(AND(O$5&gt;0,O$5&gt;100),AND(O$5&gt;0,O$5&lt;100)),
VLOOKUP(FLOOR((Midterm!O21/O$5)*100,1),new_transmute,3,FALSE),
VLOOKUP(Midterm!O21,new_transmute,3,FALSE)
),
IF(Info!$B$4="Board program (Medicine)",
IF(OR(AND(O$5&gt;0,O$5&gt;100),AND(O$5&gt;0,O$5&lt;100)),
VLOOKUP(FLOOR((Midterm!O21/O$5)*100,1),new_transmute,4,FALSE),
VLOOKUP(Midterm!O21,new_transmute,4,FALSE)
),
""
)
)
)
)
)
)
)
)
))</f>
        <v/>
      </c>
      <c r="P21" s="14" t="str">
        <f>IF($B21="","",
IF(P$5="","",
IF(Midterm!P21="",0,
IF(NOT(ISNUMBER(Midterm!P21)),"NAN",
IF(Midterm!P21&lt;0,"NEG",
IF(Midterm!P21&gt;P$5,"OVER",
IF(AND(P$5&lt;=100,Midterm!P21&gt;100),"ERR",
IF(Info!$B$4="Non-board program",
IF(OR(AND(P$5&gt;0,P$5&gt;100),AND(P$5&gt;0,P$5&lt;100)),
VLOOKUP(FLOOR((Midterm!P21/P$5)*100,1),new_transmute,2,FALSE),
VLOOKUP(Midterm!P21,new_transmute,2,FALSE)
),
IF(Info!$B$4="Board program",
IF(OR(AND(P$5&gt;0,P$5&gt;100),AND(P$5&gt;0,P$5&lt;100)),
VLOOKUP(FLOOR((Midterm!P21/P$5)*100,1),new_transmute,3,FALSE),
VLOOKUP(Midterm!P21,new_transmute,3,FALSE)
),
IF(Info!$B$4="Board program (Medicine)",
IF(OR(AND(P$5&gt;0,P$5&gt;100),AND(P$5&gt;0,P$5&lt;100)),
VLOOKUP(FLOOR((Midterm!P21/P$5)*100,1),new_transmute,4,FALSE),
VLOOKUP(Midterm!P21,new_transmute,4,FALSE)
),
""
)
)
)
)
)
)
)
)
))</f>
        <v/>
      </c>
      <c r="Q21" s="14" t="str">
        <f>IF($B21="","",
IF(Q$5="","",
IF(Midterm!Q21="",0,
IF(NOT(ISNUMBER(Midterm!Q21)),"NAN",
IF(Midterm!Q21&lt;0,"NEG",
IF(Midterm!Q21&gt;Q$5,"OVER",
IF(AND(Q$5&lt;=100,Midterm!Q21&gt;100),"ERR",
IF(Info!$B$4="Non-board program",
IF(OR(AND(Q$5&gt;0,Q$5&gt;100),AND(Q$5&gt;0,Q$5&lt;100)),
VLOOKUP(FLOOR((Midterm!Q21/Q$5)*100,1),new_transmute,2,FALSE),
VLOOKUP(Midterm!Q21,new_transmute,2,FALSE)
),
IF(Info!$B$4="Board program",
IF(OR(AND(Q$5&gt;0,Q$5&gt;100),AND(Q$5&gt;0,Q$5&lt;100)),
VLOOKUP(FLOOR((Midterm!Q21/Q$5)*100,1),new_transmute,3,FALSE),
VLOOKUP(Midterm!Q21,new_transmute,3,FALSE)
),
IF(Info!$B$4="Board program (Medicine)",
IF(OR(AND(Q$5&gt;0,Q$5&gt;100),AND(Q$5&gt;0,Q$5&lt;100)),
VLOOKUP(FLOOR((Midterm!Q21/Q$5)*100,1),new_transmute,4,FALSE),
VLOOKUP(Midterm!Q21,new_transmute,4,FALSE)
),
""
)
)
)
)
)
)
)
)
))</f>
        <v/>
      </c>
      <c r="R21" s="14" t="str">
        <f>IF($B21="","",
IF(R$5="","",
IF(Midterm!R21="",0,
IF(NOT(ISNUMBER(Midterm!R21)),"NAN",
IF(Midterm!R21&lt;0,"NEG",
IF(Midterm!R21&gt;R$5,"OVER",
IF(AND(R$5&lt;=100,Midterm!R21&gt;100),"ERR",
IF(Info!$B$4="Non-board program",
IF(OR(AND(R$5&gt;0,R$5&gt;100),AND(R$5&gt;0,R$5&lt;100)),
VLOOKUP(FLOOR((Midterm!R21/R$5)*100,1),new_transmute,2,FALSE),
VLOOKUP(Midterm!R21,new_transmute,2,FALSE)
),
IF(Info!$B$4="Board program",
IF(OR(AND(R$5&gt;0,R$5&gt;100),AND(R$5&gt;0,R$5&lt;100)),
VLOOKUP(FLOOR((Midterm!R21/R$5)*100,1),new_transmute,3,FALSE),
VLOOKUP(Midterm!R21,new_transmute,3,FALSE)
),
IF(Info!$B$4="Board program (Medicine)",
IF(OR(AND(R$5&gt;0,R$5&gt;100),AND(R$5&gt;0,R$5&lt;100)),
VLOOKUP(FLOOR((Midterm!R21/R$5)*100,1),new_transmute,4,FALSE),
VLOOKUP(Midterm!R21,new_transmute,4,FALSE)
),
""
)
)
)
)
)
)
)
)
))</f>
        <v/>
      </c>
      <c r="S21" s="115" t="str">
        <f t="shared" si="3"/>
        <v/>
      </c>
      <c r="T21" s="14" t="str">
        <f>IF($B21="","",
IF(T$5="","",
IF(Midterm!T21="",0,
IF(NOT(ISNUMBER(Midterm!T21)),"NAN",
IF(Midterm!T21&lt;0,"NEG",
IF(Midterm!T21&gt;T$5,"OVER",
IF(AND(T$5&lt;=100,Midterm!T21&gt;100),"ERR",
IF(Info!$B$4="Non-board program",
IF(OR(AND(T$5&gt;0,T$5&gt;100),AND(T$5&gt;0,T$5&lt;100)),
VLOOKUP(FLOOR((Midterm!T21/T$5)*100,1),new_transmute,2,FALSE),
VLOOKUP(Midterm!T21,new_transmute,2,FALSE)
),
IF(Info!$B$4="Board program",
IF(OR(AND(T$5&gt;0,T$5&gt;100),AND(T$5&gt;0,T$5&lt;100)),
VLOOKUP(FLOOR((Midterm!T21/T$5)*100,1),new_transmute,3,FALSE),
VLOOKUP(Midterm!T21,new_transmute,3,FALSE)
),
IF(Info!$B$4="Board program (Medicine)",
IF(OR(AND(T$5&gt;0,T$5&gt;100),AND(T$5&gt;0,T$5&lt;100)),
VLOOKUP(FLOOR((Midterm!T21/T$5)*100,1),new_transmute,4,FALSE),
VLOOKUP(Midterm!T21,new_transmute,4,FALSE)
),
""
)
)
)
)
)
)
)
)
))</f>
        <v/>
      </c>
      <c r="U21" s="14" t="str">
        <f>IF($B21="","",
IF(U$5="","",
IF(Midterm!U21="",0,
IF(NOT(ISNUMBER(Midterm!U21)),"NAN",
IF(Midterm!U21&lt;0,"NEG",
IF(Midterm!U21&gt;U$5,"OVER",
IF(AND(U$5&lt;=100,Midterm!U21&gt;100),"ERR",
IF(Info!$B$4="Non-board program",
IF(OR(AND(U$5&gt;0,U$5&gt;100),AND(U$5&gt;0,U$5&lt;100)),
VLOOKUP(FLOOR((Midterm!U21/U$5)*100,1),new_transmute,2,FALSE),
VLOOKUP(Midterm!U21,new_transmute,2,FALSE)
),
IF(Info!$B$4="Board program",
IF(OR(AND(U$5&gt;0,U$5&gt;100),AND(U$5&gt;0,U$5&lt;100)),
VLOOKUP(FLOOR((Midterm!U21/U$5)*100,1),new_transmute,3,FALSE),
VLOOKUP(Midterm!U21,new_transmute,3,FALSE)
),
IF(Info!$B$4="Board program (Medicine)",
IF(OR(AND(U$5&gt;0,U$5&gt;100),AND(U$5&gt;0,U$5&lt;100)),
VLOOKUP(FLOOR((Midterm!U21/U$5)*100,1),new_transmute,4,FALSE),
VLOOKUP(Midterm!U21,new_transmute,4,FALSE)
),
""
)
)
)
)
)
)
)
)
))</f>
        <v/>
      </c>
      <c r="V21" s="14" t="str">
        <f>IF($B21="","",
IF(V$5="","",
IF(Midterm!V21="",0,
IF(NOT(ISNUMBER(Midterm!V21)),"NAN",
IF(Midterm!V21&lt;0,"NEG",
IF(Midterm!V21&gt;V$5,"OVER",
IF(AND(V$5&lt;=100,Midterm!V21&gt;100),"ERR",
IF(Info!$B$4="Non-board program",
IF(OR(AND(V$5&gt;0,V$5&gt;100),AND(V$5&gt;0,V$5&lt;100)),
VLOOKUP(FLOOR((Midterm!V21/V$5)*100,1),new_transmute,2,FALSE),
VLOOKUP(Midterm!V21,new_transmute,2,FALSE)
),
IF(Info!$B$4="Board program",
IF(OR(AND(V$5&gt;0,V$5&gt;100),AND(V$5&gt;0,V$5&lt;100)),
VLOOKUP(FLOOR((Midterm!V21/V$5)*100,1),new_transmute,3,FALSE),
VLOOKUP(Midterm!V21,new_transmute,3,FALSE)
),
IF(Info!$B$4="Board program (Medicine)",
IF(OR(AND(V$5&gt;0,V$5&gt;100),AND(V$5&gt;0,V$5&lt;100)),
VLOOKUP(FLOOR((Midterm!V21/V$5)*100,1),new_transmute,4,FALSE),
VLOOKUP(Midterm!V21,new_transmute,4,FALSE)
),
""
)
)
)
)
)
)
)
)
))</f>
        <v/>
      </c>
      <c r="W21" s="14" t="str">
        <f>IF($B21="","",
IF(W$5="","",
IF(Midterm!W21="",0,
IF(NOT(ISNUMBER(Midterm!W21)),"NAN",
IF(Midterm!W21&lt;0,"NEG",
IF(Midterm!W21&gt;W$5,"OVER",
IF(AND(W$5&lt;=100,Midterm!W21&gt;100),"ERR",
IF(Info!$B$4="Non-board program",
IF(OR(AND(W$5&gt;0,W$5&gt;100),AND(W$5&gt;0,W$5&lt;100)),
VLOOKUP(FLOOR((Midterm!W21/W$5)*100,1),new_transmute,2,FALSE),
VLOOKUP(Midterm!W21,new_transmute,2,FALSE)
),
IF(Info!$B$4="Board program",
IF(OR(AND(W$5&gt;0,W$5&gt;100),AND(W$5&gt;0,W$5&lt;100)),
VLOOKUP(FLOOR((Midterm!W21/W$5)*100,1),new_transmute,3,FALSE),
VLOOKUP(Midterm!W21,new_transmute,3,FALSE)
),
IF(Info!$B$4="Board program (Medicine)",
IF(OR(AND(W$5&gt;0,W$5&gt;100),AND(W$5&gt;0,W$5&lt;100)),
VLOOKUP(FLOOR((Midterm!W21/W$5)*100,1),new_transmute,4,FALSE),
VLOOKUP(Midterm!W21,new_transmute,4,FALSE)
),
""
)
)
)
)
)
)
)
)
))</f>
        <v/>
      </c>
      <c r="X21" s="14" t="str">
        <f>IF($B21="","",
IF(X$5="","",
IF(Midterm!X21="",0,
IF(NOT(ISNUMBER(Midterm!X21)),"NAN",
IF(Midterm!X21&lt;0,"NEG",
IF(Midterm!X21&gt;X$5,"OVER",
IF(AND(X$5&lt;=100,Midterm!X21&gt;100),"ERR",
IF(Info!$B$4="Non-board program",
IF(OR(AND(X$5&gt;0,X$5&gt;100),AND(X$5&gt;0,X$5&lt;100)),
VLOOKUP(FLOOR((Midterm!X21/X$5)*100,1),new_transmute,2,FALSE),
VLOOKUP(Midterm!X21,new_transmute,2,FALSE)
),
IF(Info!$B$4="Board program",
IF(OR(AND(X$5&gt;0,X$5&gt;100),AND(X$5&gt;0,X$5&lt;100)),
VLOOKUP(FLOOR((Midterm!X21/X$5)*100,1),new_transmute,3,FALSE),
VLOOKUP(Midterm!X21,new_transmute,3,FALSE)
),
IF(Info!$B$4="Board program (Medicine)",
IF(OR(AND(X$5&gt;0,X$5&gt;100),AND(X$5&gt;0,X$5&lt;100)),
VLOOKUP(FLOOR((Midterm!X21/X$5)*100,1),new_transmute,4,FALSE),
VLOOKUP(Midterm!X21,new_transmute,4,FALSE)
),
""
)
)
)
)
)
)
)
)
))</f>
        <v/>
      </c>
      <c r="Y21" s="112" t="str">
        <f t="shared" si="4"/>
        <v/>
      </c>
      <c r="Z21" s="14" t="str">
        <f>IF($B21="","",
IF(Z$5="","",
IF(Midterm!Z21="",0,
IF(NOT(ISNUMBER(Midterm!Z21)),"NAN",
IF(Midterm!Z21&lt;0,"NEG",
IF(Midterm!Z21&gt;Z$5,"OVER",
IF(AND(Z$5&lt;=100,Midterm!Z21&gt;100),"ERR",
IF(Info!$B$4="Non-board program",
IF(OR(AND(Z$5&gt;0,Z$5&gt;100),AND(Z$5&gt;0,Z$5&lt;100)),
VLOOKUP(FLOOR((Midterm!Z21/Z$5)*100,1),new_transmute,2,FALSE),
VLOOKUP(Midterm!Z21,new_transmute,2,FALSE)
),
IF(Info!$B$4="Board program",
IF(OR(AND(Z$5&gt;0,Z$5&gt;100),AND(Z$5&gt;0,Z$5&lt;100)),
VLOOKUP(FLOOR((Midterm!Z21/Z$5)*100,1),new_transmute,3,FALSE),
VLOOKUP(Midterm!Z21,new_transmute,3,FALSE)
),
IF(Info!$B$4="Board program (Medicine)",
IF(OR(AND(Z$5&gt;0,Z$5&gt;100),AND(Z$5&gt;0,Z$5&lt;100)),
VLOOKUP(FLOOR((Midterm!Z21/Z$5)*100,1),new_transmute,4,FALSE),
VLOOKUP(Midterm!Z21,new_transmute,4,FALSE)
),
""
)
)
)
)
)
)
)
)
))</f>
        <v/>
      </c>
      <c r="AA21" s="14" t="str">
        <f>IF($B21="","",
IF(AA$5="","",
IF(Midterm!AA21="",0,
IF(NOT(ISNUMBER(Midterm!AA21)),"NAN",
IF(Midterm!AA21&lt;0,"NEG",
IF(Midterm!AA21&gt;AA$5,"OVER",
IF(AND(AA$5&lt;=100,Midterm!AA21&gt;100),"ERR",
IF(Info!$B$4="Non-board program",
IF(OR(AND(AA$5&gt;0,AA$5&gt;100),AND(AA$5&gt;0,AA$5&lt;100)),
VLOOKUP(FLOOR((Midterm!AA21/AA$5)*100,1),new_transmute,2,FALSE),
VLOOKUP(Midterm!AA21,new_transmute,2,FALSE)
),
IF(Info!$B$4="Board program",
IF(OR(AND(AA$5&gt;0,AA$5&gt;100),AND(AA$5&gt;0,AA$5&lt;100)),
VLOOKUP(FLOOR((Midterm!AA21/AA$5)*100,1),new_transmute,3,FALSE),
VLOOKUP(Midterm!AA21,new_transmute,3,FALSE)
),
IF(Info!$B$4="Board program (Medicine)",
IF(OR(AND(AA$5&gt;0,AA$5&gt;100),AND(AA$5&gt;0,AA$5&lt;100)),
VLOOKUP(FLOOR((Midterm!AA21/AA$5)*100,1),new_transmute,4,FALSE),
VLOOKUP(Midterm!AA21,new_transmute,4,FALSE)
),
""
)
)
)
)
)
)
)
)
))</f>
        <v/>
      </c>
      <c r="AB21" s="14" t="str">
        <f>IF($B21="","",
IF(AB$5="","",
IF(Midterm!AB21="",0,
IF(NOT(ISNUMBER(Midterm!AB21)),"NAN",
IF(Midterm!AB21&lt;0,"NEG",
IF(Midterm!AB21&gt;AB$5,"OVER",
IF(AND(AB$5&lt;=100,Midterm!AB21&gt;100),"ERR",
IF(Info!$B$4="Non-board program",
IF(OR(AND(AB$5&gt;0,AB$5&gt;100),AND(AB$5&gt;0,AB$5&lt;100)),
VLOOKUP(FLOOR((Midterm!AB21/AB$5)*100,1),new_transmute,2,FALSE),
VLOOKUP(Midterm!AB21,new_transmute,2,FALSE)
),
IF(Info!$B$4="Board program",
IF(OR(AND(AB$5&gt;0,AB$5&gt;100),AND(AB$5&gt;0,AB$5&lt;100)),
VLOOKUP(FLOOR((Midterm!AB21/AB$5)*100,1),new_transmute,3,FALSE),
VLOOKUP(Midterm!AB21,new_transmute,3,FALSE)
),
IF(Info!$B$4="Board program (Medicine)",
IF(OR(AND(AB$5&gt;0,AB$5&gt;100),AND(AB$5&gt;0,AB$5&lt;100)),
VLOOKUP(FLOOR((Midterm!AB21/AB$5)*100,1),new_transmute,4,FALSE),
VLOOKUP(Midterm!AB21,new_transmute,4,FALSE)
),
""
)
)
)
)
)
)
)
)
))</f>
        <v/>
      </c>
      <c r="AC21" s="14" t="str">
        <f>IF($B21="","",
IF(AC$5="","",
IF(Midterm!AC21="",0,
IF(NOT(ISNUMBER(Midterm!AC21)),"NAN",
IF(Midterm!AC21&lt;0,"NEG",
IF(Midterm!AC21&gt;AC$5,"OVER",
IF(AND(AC$5&lt;=100,Midterm!AC21&gt;100),"ERR",
IF(Info!$B$4="Non-board program",
IF(OR(AND(AC$5&gt;0,AC$5&gt;100),AND(AC$5&gt;0,AC$5&lt;100)),
VLOOKUP(FLOOR((Midterm!AC21/AC$5)*100,1),new_transmute,2,FALSE),
VLOOKUP(Midterm!AC21,new_transmute,2,FALSE)
),
IF(Info!$B$4="Board program",
IF(OR(AND(AC$5&gt;0,AC$5&gt;100),AND(AC$5&gt;0,AC$5&lt;100)),
VLOOKUP(FLOOR((Midterm!AC21/AC$5)*100,1),new_transmute,3,FALSE),
VLOOKUP(Midterm!AC21,new_transmute,3,FALSE)
),
IF(Info!$B$4="Board program (Medicine)",
IF(OR(AND(AC$5&gt;0,AC$5&gt;100),AND(AC$5&gt;0,AC$5&lt;100)),
VLOOKUP(FLOOR((Midterm!AC21/AC$5)*100,1),new_transmute,4,FALSE),
VLOOKUP(Midterm!AC21,new_transmute,4,FALSE)
),
""
)
)
)
)
)
)
)
)
))</f>
        <v/>
      </c>
      <c r="AD21" s="14" t="str">
        <f>IF($B21="","",
IF(AD$5="","",
IF(Midterm!AD21="",0,
IF(NOT(ISNUMBER(Midterm!AD21)),"NAN",
IF(Midterm!AD21&lt;0,"NEG",
IF(Midterm!AD21&gt;AD$5,"OVER",
IF(AND(AD$5&lt;=100,Midterm!AD21&gt;100),"ERR",
IF(Info!$B$4="Non-board program",
IF(OR(AND(AD$5&gt;0,AD$5&gt;100),AND(AD$5&gt;0,AD$5&lt;100)),
VLOOKUP(FLOOR((Midterm!AD21/AD$5)*100,1),new_transmute,2,FALSE),
VLOOKUP(Midterm!AD21,new_transmute,2,FALSE)
),
IF(Info!$B$4="Board program",
IF(OR(AND(AD$5&gt;0,AD$5&gt;100),AND(AD$5&gt;0,AD$5&lt;100)),
VLOOKUP(FLOOR((Midterm!AD21/AD$5)*100,1),new_transmute,3,FALSE),
VLOOKUP(Midterm!AD21,new_transmute,3,FALSE)
),
IF(Info!$B$4="Board program (Medicine)",
IF(OR(AND(AD$5&gt;0,AD$5&gt;100),AND(AD$5&gt;0,AD$5&lt;100)),
VLOOKUP(FLOOR((Midterm!AD21/AD$5)*100,1),new_transmute,4,FALSE),
VLOOKUP(Midterm!AD21,new_transmute,4,FALSE)
),
""
)
)
)
)
)
)
)
)
))</f>
        <v/>
      </c>
      <c r="AE21" s="58" t="str">
        <f t="shared" si="5"/>
        <v/>
      </c>
      <c r="AF21" s="14" t="str">
        <f>IF($B21="","",
IF(AF$5="","",
IF(Midterm!AF21="",0,
IF(NOT(ISNUMBER(Midterm!AF21)),"NAN",
IF(Midterm!AF21&lt;0,"NEG",
IF(Midterm!AF21&gt;AF$5,"OVER",
IF(AND(AF$5&lt;=100,Midterm!AF21&gt;100),"ERR",
IF(Info!$B$4="Non-board program",
IF(OR(AND(AF$5&gt;0,AF$5&gt;100),AND(AF$5&gt;0,AF$5&lt;100)),
VLOOKUP(FLOOR((Midterm!AF21/AF$5)*100,1),new_transmute,2,FALSE),
VLOOKUP(Midterm!AF21,new_transmute,2,FALSE)
),
IF(Info!$B$4="Board program",
IF(OR(AND(AF$5&gt;0,AF$5&gt;100),AND(AF$5&gt;0,AF$5&lt;100)),
VLOOKUP(FLOOR((Midterm!AF21/AF$5)*100,1),new_transmute,3,FALSE),
VLOOKUP(Midterm!AF21,new_transmute,3,FALSE)
),
IF(Info!$B$4="Board program (Medicine)",
IF(OR(AND(AF$5&gt;0,AF$5&gt;100),AND(AF$5&gt;0,AF$5&lt;100)),
VLOOKUP(FLOOR((Midterm!AF21/AF$5)*100,1),new_transmute,4,FALSE),
VLOOKUP(Midterm!AF21,new_transmute,4,FALSE)
),
""
)
)
)
)
)
)
)
)
))</f>
        <v/>
      </c>
      <c r="AG21" s="14" t="str">
        <f>IF($B21="","",
IF(AG$5="","",
IF(Midterm!AG21="",0,
IF(NOT(ISNUMBER(Midterm!AG21)),"NAN",
IF(Midterm!AG21&lt;0,"NEG",
IF(Midterm!AG21&gt;AG$5,"OVER",
IF(AND(AG$5&lt;=100,Midterm!AG21&gt;100),"ERR",
IF(Info!$B$4="Non-board program",
IF(OR(AND(AG$5&gt;0,AG$5&gt;100),AND(AG$5&gt;0,AG$5&lt;100)),
VLOOKUP(FLOOR((Midterm!AG21/AG$5)*100,1),new_transmute,2,FALSE),
VLOOKUP(Midterm!AG21,new_transmute,2,FALSE)
),
IF(Info!$B$4="Board program",
IF(OR(AND(AG$5&gt;0,AG$5&gt;100),AND(AG$5&gt;0,AG$5&lt;100)),
VLOOKUP(FLOOR((Midterm!AG21/AG$5)*100,1),new_transmute,3,FALSE),
VLOOKUP(Midterm!AG21,new_transmute,3,FALSE)
),
IF(Info!$B$4="Board program (Medicine)",
IF(OR(AND(AG$5&gt;0,AG$5&gt;100),AND(AG$5&gt;0,AG$5&lt;100)),
VLOOKUP(FLOOR((Midterm!AG21/AG$5)*100,1),new_transmute,4,FALSE),
VLOOKUP(Midterm!AG21,new_transmute,4,FALSE)
),
""
)
)
)
)
)
)
)
)
))</f>
        <v/>
      </c>
      <c r="AH21" s="14" t="str">
        <f>IF($B21="","",
IF(AH$5="","",
IF(Midterm!AH21="",0,
IF(NOT(ISNUMBER(Midterm!AH21)),"NAN",
IF(Midterm!AH21&lt;0,"NEG",
IF(Midterm!AH21&gt;AH$5,"OVER",
IF(AND(AH$5&lt;=100,Midterm!AH21&gt;100),"ERR",
IF(Info!$B$4="Non-board program",
IF(OR(AND(AH$5&gt;0,AH$5&gt;100),AND(AH$5&gt;0,AH$5&lt;100)),
VLOOKUP(FLOOR((Midterm!AH21/AH$5)*100,1),new_transmute,2,FALSE),
VLOOKUP(Midterm!AH21,new_transmute,2,FALSE)
),
IF(Info!$B$4="Board program",
IF(OR(AND(AH$5&gt;0,AH$5&gt;100),AND(AH$5&gt;0,AH$5&lt;100)),
VLOOKUP(FLOOR((Midterm!AH21/AH$5)*100,1),new_transmute,3,FALSE),
VLOOKUP(Midterm!AH21,new_transmute,3,FALSE)
),
IF(Info!$B$4="Board program (Medicine)",
IF(OR(AND(AH$5&gt;0,AH$5&gt;100),AND(AH$5&gt;0,AH$5&lt;100)),
VLOOKUP(FLOOR((Midterm!AH21/AH$5)*100,1),new_transmute,4,FALSE),
VLOOKUP(Midterm!AH21,new_transmute,4,FALSE)
),
""
)
)
)
)
)
)
)
)
))</f>
        <v/>
      </c>
      <c r="AI21" s="14" t="str">
        <f>IF($B21="","",
IF(AI$5="","",
IF(Midterm!AI21="",0,
IF(NOT(ISNUMBER(Midterm!AI21)),"NAN",
IF(Midterm!AI21&lt;0,"NEG",
IF(Midterm!AI21&gt;AI$5,"OVER",
IF(AND(AI$5&lt;=100,Midterm!AI21&gt;100),"ERR",
IF(Info!$B$4="Non-board program",
IF(OR(AND(AI$5&gt;0,AI$5&gt;100),AND(AI$5&gt;0,AI$5&lt;100)),
VLOOKUP(FLOOR((Midterm!AI21/AI$5)*100,1),new_transmute,2,FALSE),
VLOOKUP(Midterm!AI21,new_transmute,2,FALSE)
),
IF(Info!$B$4="Board program",
IF(OR(AND(AI$5&gt;0,AI$5&gt;100),AND(AI$5&gt;0,AI$5&lt;100)),
VLOOKUP(FLOOR((Midterm!AI21/AI$5)*100,1),new_transmute,3,FALSE),
VLOOKUP(Midterm!AI21,new_transmute,3,FALSE)
),
IF(Info!$B$4="Board program (Medicine)",
IF(OR(AND(AI$5&gt;0,AI$5&gt;100),AND(AI$5&gt;0,AI$5&lt;100)),
VLOOKUP(FLOOR((Midterm!AI21/AI$5)*100,1),new_transmute,4,FALSE),
VLOOKUP(Midterm!AI21,new_transmute,4,FALSE)
),
""
)
)
)
)
)
)
)
)
))</f>
        <v/>
      </c>
      <c r="AJ21" s="14" t="str">
        <f>IF($B21="","",
IF(AJ$5="","",
IF(Midterm!AJ21="",0,
IF(NOT(ISNUMBER(Midterm!AJ21)),"NAN",
IF(Midterm!AJ21&lt;0,"NEG",
IF(Midterm!AJ21&gt;AJ$5,"OVER",
IF(AND(AJ$5&lt;=100,Midterm!AJ21&gt;100),"ERR",
IF(Info!$B$4="Non-board program",
IF(OR(AND(AJ$5&gt;0,AJ$5&gt;100),AND(AJ$5&gt;0,AJ$5&lt;100)),
VLOOKUP(FLOOR((Midterm!AJ21/AJ$5)*100,1),new_transmute,2,FALSE),
VLOOKUP(Midterm!AJ21,new_transmute,2,FALSE)
),
IF(Info!$B$4="Board program",
IF(OR(AND(AJ$5&gt;0,AJ$5&gt;100),AND(AJ$5&gt;0,AJ$5&lt;100)),
VLOOKUP(FLOOR((Midterm!AJ21/AJ$5)*100,1),new_transmute,3,FALSE),
VLOOKUP(Midterm!AJ21,new_transmute,3,FALSE)
),
IF(Info!$B$4="Board program (Medicine)",
IF(OR(AND(AJ$5&gt;0,AJ$5&gt;100),AND(AJ$5&gt;0,AJ$5&lt;100)),
VLOOKUP(FLOOR((Midterm!AJ21/AJ$5)*100,1),new_transmute,4,FALSE),
VLOOKUP(Midterm!AJ21,new_transmute,4,FALSE)
),
""
)
)
)
)
)
)
)
)
))</f>
        <v/>
      </c>
      <c r="AK21" s="59" t="str">
        <f t="shared" si="6"/>
        <v/>
      </c>
      <c r="AL21" s="60" t="str">
        <f>IF(B21="", "",
    IF(OR(M21="OVER", S21="OVER", Y21="OVER", AE21="OVER", AK21="OVER"),
        "OVER",
        IF(Info!$B$4="Non-board program",
            VLOOKUP(IFERROR(FLOOR(SUM((M21*$M$4), (S21*$S$4), (Y21*$Y$4), (AE21*$AE$4), (AK21*$AK$4)) * (100 / 60), 1), 0), new_transmute, 2, FALSE),
            IF(Info!$B$4="Board program",
                VLOOKUP(IFERROR(FLOOR(SUM((M21*$M$4), (S21*$S$4), (Y21*$Y$4), (AE21*$AE$4), (AK21*$AK$4)) * (100 / 60), 1), 0), new_transmute, 3, FALSE),
                IF(Info!$B$4="Board program (Medicine)",
                    VLOOKUP(IFERROR(FLOOR(SUM((M21*$M$4), (S21*$S$4), (Y21*$Y$4), (AE21*$AE$4), (AK21*$AK$4)) * (100 / 60), 1), 0), new_transmute, 4, FALSE),
                    ""
                )
            )
        )
    )
)</f>
        <v/>
      </c>
      <c r="AM21" s="14" t="str">
        <f>IF($B21="","",
IF(AM$5="","",
IF(Midterm!AM21="",0,
IF(NOT(ISNUMBER(Midterm!AM21)),"NAN",
IF(Midterm!AM21&lt;0,"NEG",
IF(Midterm!AM21&gt;AM$5,"OVER",
IF(AND(AM$5&lt;=100,Midterm!AM21&gt;100),"ERR",
IF(Info!$B$4="Non-board program",
IF(OR(AND(AM$5&gt;0,AM$5&gt;100),AND(AM$5&gt;0,AM$5&lt;100)),
VLOOKUP(FLOOR((Midterm!AM21/AM$5)*100,1),new_transmute,2,FALSE),
VLOOKUP(Midterm!AM21,new_transmute,2,FALSE)
),
IF(Info!$B$4="Board program",
IF(OR(AND(AM$5&gt;0,AM$5&gt;100),AND(AM$5&gt;0,AM$5&lt;100)),
VLOOKUP(FLOOR((Midterm!AM21/AM$5)*100,1),new_transmute,3,FALSE),
VLOOKUP(Midterm!AM21,new_transmute,3,FALSE)
),
IF(Info!$B$4="Board program (Medicine)",
IF(OR(AND(AM$5&gt;0,AM$5&gt;100),AND(AM$5&gt;0,AM$5&lt;100)),
VLOOKUP(FLOOR((Midterm!AM21/AM$5)*100,1),new_transmute,4,FALSE),
VLOOKUP(Midterm!AM21,new_transmute,4,FALSE)
),
""
)
)
)
)
)
)
)
)
))</f>
        <v/>
      </c>
      <c r="AN21" s="14" t="str">
        <f>IF($B21="","",
IF(AN$5="","",
IF(Midterm!AN21="",0,
IF(NOT(ISNUMBER(Midterm!AN21)),"NAN",
IF(Midterm!AN21&lt;0,"NEG",
IF(Midterm!AN21&gt;AN$5,"OVER",
IF(AND(AN$5&lt;=100,Midterm!AN21&gt;100),"ERR",
IF(Info!$B$4="Non-board program",
IF(OR(AND(AN$5&gt;0,AN$5&gt;100),AND(AN$5&gt;0,AN$5&lt;100)),
VLOOKUP(FLOOR((Midterm!AN21/AN$5)*100,1),new_transmute,2,FALSE),
VLOOKUP(Midterm!AN21,new_transmute,2,FALSE)
),
IF(Info!$B$4="Board program",
IF(OR(AND(AN$5&gt;0,AN$5&gt;100),AND(AN$5&gt;0,AN$5&lt;100)),
VLOOKUP(FLOOR((Midterm!AN21/AN$5)*100,1),new_transmute,3,FALSE),
VLOOKUP(Midterm!AN21,new_transmute,3,FALSE)
),
IF(Info!$B$4="Board program (Medicine)",
IF(OR(AND(AN$5&gt;0,AN$5&gt;100),AND(AN$5&gt;0,AN$5&lt;100)),
VLOOKUP(FLOOR((Midterm!AN21/AN$5)*100,1),new_transmute,4,FALSE),
VLOOKUP(Midterm!AN21,new_transmute,4,FALSE)
),
""
)
)
)
)
)
)
)
)
))</f>
        <v/>
      </c>
      <c r="AO21" s="14" t="str">
        <f>IF($B21="","",
IF(AO$5="","",
IF(Midterm!AO21="",0,
IF(NOT(ISNUMBER(Midterm!AO21)),"NAN",
IF(Midterm!AO21&lt;0,"NEG",
IF(Midterm!AO21&gt;AO$5,"OVER",
IF(AND(AO$5&lt;=100,Midterm!AO21&gt;100),"ERR",
IF(Info!$B$4="Non-board program",
IF(OR(AND(AO$5&gt;0,AO$5&gt;100),AND(AO$5&gt;0,AO$5&lt;100)),
VLOOKUP(FLOOR((Midterm!AO21/AO$5)*100,1),new_transmute,2,FALSE),
VLOOKUP(Midterm!AO21,new_transmute,2,FALSE)
),
IF(Info!$B$4="Board program",
IF(OR(AND(AO$5&gt;0,AO$5&gt;100),AND(AO$5&gt;0,AO$5&lt;100)),
VLOOKUP(FLOOR((Midterm!AO21/AO$5)*100,1),new_transmute,3,FALSE),
VLOOKUP(Midterm!AO21,new_transmute,3,FALSE)
),
IF(Info!$B$4="Board program (Medicine)",
IF(OR(AND(AO$5&gt;0,AO$5&gt;100),AND(AO$5&gt;0,AO$5&lt;100)),
VLOOKUP(FLOOR((Midterm!AO21/AO$5)*100,1),new_transmute,4,FALSE),
VLOOKUP(Midterm!AO21,new_transmute,4,FALSE)
),
""
)
)
)
)
)
)
)
)
))</f>
        <v/>
      </c>
      <c r="AP21" s="14" t="str">
        <f>IF($B21="","",
IF(AP$5="","",
IF(Midterm!AP21="",0,
IF(NOT(ISNUMBER(Midterm!AP21)),"NAN",
IF(Midterm!AP21&lt;0,"NEG",
IF(Midterm!AP21&gt;AP$5,"OVER",
IF(AND(AP$5&lt;=100,Midterm!AP21&gt;100),"ERR",
IF(Info!$B$4="Non-board program",
IF(OR(AND(AP$5&gt;0,AP$5&gt;100),AND(AP$5&gt;0,AP$5&lt;100)),
VLOOKUP(FLOOR((Midterm!AP21/AP$5)*100,1),new_transmute,2,FALSE),
VLOOKUP(Midterm!AP21,new_transmute,2,FALSE)
),
IF(Info!$B$4="Board program",
IF(OR(AND(AP$5&gt;0,AP$5&gt;100),AND(AP$5&gt;0,AP$5&lt;100)),
VLOOKUP(FLOOR((Midterm!AP21/AP$5)*100,1),new_transmute,3,FALSE),
VLOOKUP(Midterm!AP21,new_transmute,3,FALSE)
),
IF(Info!$B$4="Board program (Medicine)",
IF(OR(AND(AP$5&gt;0,AP$5&gt;100),AND(AP$5&gt;0,AP$5&lt;100)),
VLOOKUP(FLOOR((Midterm!AP21/AP$5)*100,1),new_transmute,4,FALSE),
VLOOKUP(Midterm!AP21,new_transmute,4,FALSE)
),
""
)
)
)
)
)
)
)
)
))</f>
        <v/>
      </c>
      <c r="AQ21" s="61" t="str">
        <f t="shared" si="7"/>
        <v/>
      </c>
      <c r="AR21" s="48" t="str">
        <f>IF(Midterm!AR21="","",Midterm!AR21)</f>
        <v/>
      </c>
      <c r="AS21" s="165" t="str">
        <f t="shared" si="8"/>
        <v/>
      </c>
      <c r="AT21" s="14" t="str">
        <f t="shared" si="0"/>
        <v/>
      </c>
      <c r="AU21" s="14" t="str">
        <f>IF(B21="","",VLOOKUP(AT21,'New Grade Equivalent'!$B$3:$C$47,2,FALSE))</f>
        <v/>
      </c>
    </row>
    <row r="22" spans="1:47" x14ac:dyDescent="0.25">
      <c r="A22" s="8">
        <v>17</v>
      </c>
      <c r="B22" s="2" t="str">
        <f>IF('Student List'!C26="","",UPPER(LEFT('Student List'!C26,FIND(",",'Student List'!C26)-1)))</f>
        <v/>
      </c>
      <c r="C22" s="12" t="str">
        <f>IF('Student List'!C26="","",PROPER(MID('Student List'!C26, FIND(",", 'Student List'!C26) + 2, LEN('Student List'!C26) - FIND(",", 'Student List'!C26) - 1)))</f>
        <v/>
      </c>
      <c r="D22" s="127" t="str">
        <f>IF(B22="","",IF(Midterm!D22="", "NA", Midterm!D22))</f>
        <v/>
      </c>
      <c r="E22" s="8" t="str">
        <f>IF(B22="","",
  IF(Info!$B$5="First Year",
    IF(D22="Yes", "DRP",
      IF(D22="No", "WF", "")
    )
  )
)</f>
        <v/>
      </c>
      <c r="F22" s="14" t="str">
        <f>IF($B22="","",
IF(F$5="","",
IF(Midterm!F22="",0,
IF(NOT(ISNUMBER(Midterm!F22)),"NAN",
IF(Midterm!F22&lt;0,"NEG",
IF(Midterm!F22&gt;F$5,"OVER",
IF(AND(F$5&lt;=100,Midterm!F22&gt;100),"ERR",
IF(Info!$B$4="Non-board program",
IF(OR(AND(F$5&gt;0,F$5&gt;100),AND(F$5&gt;0,F$5&lt;100)),
VLOOKUP(FLOOR((Midterm!F22/F$5)*100,1),new_transmute,2,FALSE),
VLOOKUP(Midterm!F22,new_transmute,2,FALSE)
),
IF(Info!$B$4="Board program",
IF(OR(AND(F$5&gt;0,F$5&gt;100),AND(F$5&gt;0,F$5&lt;100)),
VLOOKUP(FLOOR((Midterm!F22/F$5)*100,1),new_transmute,3,FALSE),
VLOOKUP(Midterm!F22,new_transmute,3,FALSE)
),
IF(Info!$B$4="Board program (Medicine)",
IF(OR(AND(F$5&gt;0,F$5&gt;100),AND(F$5&gt;0,F$5&lt;100)),
VLOOKUP(FLOOR((Midterm!F22/F$5)*100,1),new_transmute,4,FALSE),
VLOOKUP(Midterm!F22,new_transmute,4,FALSE)
),
""
)
)
)
)
)
)
)
)
))</f>
        <v/>
      </c>
      <c r="G22" s="57" t="str">
        <f t="shared" si="1"/>
        <v/>
      </c>
      <c r="H22" s="14" t="str">
        <f>IF($B22="","",
IF(H$5="","",
IF(Midterm!H22="",0,
IF(NOT(ISNUMBER(Midterm!H22)),"NAN",
IF(Midterm!H22&lt;0,"NEG",
IF(Midterm!H22&gt;H$5,"OVER",
IF(AND(H$5&lt;=100,Midterm!H22&gt;100),"ERR",
IF(Info!$B$4="Non-board program",
IF(OR(AND(H$5&gt;0,H$5&gt;100),AND(H$5&gt;0,H$5&lt;100)),
VLOOKUP(FLOOR((Midterm!H22/H$5)*100,1),new_transmute,2,FALSE),
VLOOKUP(Midterm!H22,new_transmute,2,FALSE)
),
IF(Info!$B$4="Board program",
IF(OR(AND(H$5&gt;0,H$5&gt;100),AND(H$5&gt;0,H$5&lt;100)),
VLOOKUP(FLOOR((Midterm!H22/H$5)*100,1),new_transmute,3,FALSE),
VLOOKUP(Midterm!H22,new_transmute,3,FALSE)
),
IF(Info!$B$4="Board program (Medicine)",
IF(OR(AND(H$5&gt;0,H$5&gt;100),AND(H$5&gt;0,H$5&lt;100)),
VLOOKUP(FLOOR((Midterm!H22/H$5)*100,1),new_transmute,4,FALSE),
VLOOKUP(Midterm!H22,new_transmute,4,FALSE)
),
""
)
)
)
)
)
)
)
)
))</f>
        <v/>
      </c>
      <c r="I22" s="14" t="str">
        <f>IF($B22="","",
IF(I$5="","",
IF(Midterm!I22="",0,
IF(NOT(ISNUMBER(Midterm!I22)),"NAN",
IF(Midterm!I22&lt;0,"NEG",
IF(Midterm!I22&gt;I$5,"OVER",
IF(AND(I$5&lt;=100,Midterm!I22&gt;100),"ERR",
IF(Info!$B$4="Non-board program",
IF(OR(AND(I$5&gt;0,I$5&gt;100),AND(I$5&gt;0,I$5&lt;100)),
VLOOKUP(FLOOR((Midterm!I22/I$5)*100,1),new_transmute,2,FALSE),
VLOOKUP(Midterm!I22,new_transmute,2,FALSE)
),
IF(Info!$B$4="Board program",
IF(OR(AND(I$5&gt;0,I$5&gt;100),AND(I$5&gt;0,I$5&lt;100)),
VLOOKUP(FLOOR((Midterm!I22/I$5)*100,1),new_transmute,3,FALSE),
VLOOKUP(Midterm!I22,new_transmute,3,FALSE)
),
IF(Info!$B$4="Board program (Medicine)",
IF(OR(AND(I$5&gt;0,I$5&gt;100),AND(I$5&gt;0,I$5&lt;100)),
VLOOKUP(FLOOR((Midterm!I22/I$5)*100,1),new_transmute,4,FALSE),
VLOOKUP(Midterm!I22,new_transmute,4,FALSE)
),
""
)
)
)
)
)
)
)
)
))</f>
        <v/>
      </c>
      <c r="J22" s="14" t="str">
        <f>IF($B22="","",
IF(J$5="","",
IF(Midterm!J22="",0,
IF(NOT(ISNUMBER(Midterm!J22)),"NAN",
IF(Midterm!J22&lt;0,"NEG",
IF(Midterm!J22&gt;J$5,"OVER",
IF(AND(J$5&lt;=100,Midterm!J22&gt;100),"ERR",
IF(Info!$B$4="Non-board program",
IF(OR(AND(J$5&gt;0,J$5&gt;100),AND(J$5&gt;0,J$5&lt;100)),
VLOOKUP(FLOOR((Midterm!J22/J$5)*100,1),new_transmute,2,FALSE),
VLOOKUP(Midterm!J22,new_transmute,2,FALSE)
),
IF(Info!$B$4="Board program",
IF(OR(AND(J$5&gt;0,J$5&gt;100),AND(J$5&gt;0,J$5&lt;100)),
VLOOKUP(FLOOR((Midterm!J22/J$5)*100,1),new_transmute,3,FALSE),
VLOOKUP(Midterm!J22,new_transmute,3,FALSE)
),
IF(Info!$B$4="Board program (Medicine)",
IF(OR(AND(J$5&gt;0,J$5&gt;100),AND(J$5&gt;0,J$5&lt;100)),
VLOOKUP(FLOOR((Midterm!J22/J$5)*100,1),new_transmute,4,FALSE),
VLOOKUP(Midterm!J22,new_transmute,4,FALSE)
),
""
)
)
)
)
)
)
)
)
))</f>
        <v/>
      </c>
      <c r="K22" s="14" t="str">
        <f>IF($B22="","",
IF(K$5="","",
IF(Midterm!K22="",0,
IF(NOT(ISNUMBER(Midterm!K22)),"NAN",
IF(Midterm!K22&lt;0,"NEG",
IF(Midterm!K22&gt;K$5,"OVER",
IF(AND(K$5&lt;=100,Midterm!K22&gt;100),"ERR",
IF(Info!$B$4="Non-board program",
IF(OR(AND(K$5&gt;0,K$5&gt;100),AND(K$5&gt;0,K$5&lt;100)),
VLOOKUP(FLOOR((Midterm!K22/K$5)*100,1),new_transmute,2,FALSE),
VLOOKUP(Midterm!K22,new_transmute,2,FALSE)
),
IF(Info!$B$4="Board program",
IF(OR(AND(K$5&gt;0,K$5&gt;100),AND(K$5&gt;0,K$5&lt;100)),
VLOOKUP(FLOOR((Midterm!K22/K$5)*100,1),new_transmute,3,FALSE),
VLOOKUP(Midterm!K22,new_transmute,3,FALSE)
),
IF(Info!$B$4="Board program (Medicine)",
IF(OR(AND(K$5&gt;0,K$5&gt;100),AND(K$5&gt;0,K$5&lt;100)),
VLOOKUP(FLOOR((Midterm!K22/K$5)*100,1),new_transmute,4,FALSE),
VLOOKUP(Midterm!K22,new_transmute,4,FALSE)
),
""
)
)
)
)
)
)
)
)
))</f>
        <v/>
      </c>
      <c r="L22" s="14" t="str">
        <f>IF($B22="","",
IF(L$5="","",
IF(Midterm!L22="",0,
IF(NOT(ISNUMBER(Midterm!L22)),"NAN",
IF(Midterm!L22&lt;0,"NEG",
IF(Midterm!L22&gt;L$5,"OVER",
IF(AND(L$5&lt;=100,Midterm!L22&gt;100),"ERR",
IF(Info!$B$4="Non-board program",
IF(OR(AND(L$5&gt;0,L$5&gt;100),AND(L$5&gt;0,L$5&lt;100)),
VLOOKUP(FLOOR((Midterm!L22/L$5)*100,1),new_transmute,2,FALSE),
VLOOKUP(Midterm!L22,new_transmute,2,FALSE)
),
IF(Info!$B$4="Board program",
IF(OR(AND(L$5&gt;0,L$5&gt;100),AND(L$5&gt;0,L$5&lt;100)),
VLOOKUP(FLOOR((Midterm!L22/L$5)*100,1),new_transmute,3,FALSE),
VLOOKUP(Midterm!L22,new_transmute,3,FALSE)
),
IF(Info!$B$4="Board program (Medicine)",
IF(OR(AND(L$5&gt;0,L$5&gt;100),AND(L$5&gt;0,L$5&lt;100)),
VLOOKUP(FLOOR((Midterm!L22/L$5)*100,1),new_transmute,4,FALSE),
VLOOKUP(Midterm!L22,new_transmute,4,FALSE)
),
""
)
)
)
)
)
)
)
)
))</f>
        <v/>
      </c>
      <c r="M22" s="111" t="str">
        <f t="shared" si="2"/>
        <v/>
      </c>
      <c r="N22" s="14" t="str">
        <f>IF($B22="","",
IF(N$5="","",
IF(Midterm!N22="",0,
IF(NOT(ISNUMBER(Midterm!N22)),"NAN",
IF(Midterm!N22&lt;0,"NEG",
IF(Midterm!N22&gt;N$5,"OVER",
IF(AND(N$5&lt;=100,Midterm!N22&gt;100),"ERR",
IF(Info!$B$4="Non-board program",
IF(OR(AND(N$5&gt;0,N$5&gt;100),AND(N$5&gt;0,N$5&lt;100)),
VLOOKUP(FLOOR((Midterm!N22/N$5)*100,1),new_transmute,2,FALSE),
VLOOKUP(Midterm!N22,new_transmute,2,FALSE)
),
IF(Info!$B$4="Board program",
IF(OR(AND(N$5&gt;0,N$5&gt;100),AND(N$5&gt;0,N$5&lt;100)),
VLOOKUP(FLOOR((Midterm!N22/N$5)*100,1),new_transmute,3,FALSE),
VLOOKUP(Midterm!N22,new_transmute,3,FALSE)
),
IF(Info!$B$4="Board program (Medicine)",
IF(OR(AND(N$5&gt;0,N$5&gt;100),AND(N$5&gt;0,N$5&lt;100)),
VLOOKUP(FLOOR((Midterm!N22/N$5)*100,1),new_transmute,4,FALSE),
VLOOKUP(Midterm!N22,new_transmute,4,FALSE)
),
""
)
)
)
)
)
)
)
)
))</f>
        <v/>
      </c>
      <c r="O22" s="14" t="str">
        <f>IF($B22="","",
IF(O$5="","",
IF(Midterm!O22="",0,
IF(NOT(ISNUMBER(Midterm!O22)),"NAN",
IF(Midterm!O22&lt;0,"NEG",
IF(Midterm!O22&gt;O$5,"OVER",
IF(AND(O$5&lt;=100,Midterm!O22&gt;100),"ERR",
IF(Info!$B$4="Non-board program",
IF(OR(AND(O$5&gt;0,O$5&gt;100),AND(O$5&gt;0,O$5&lt;100)),
VLOOKUP(FLOOR((Midterm!O22/O$5)*100,1),new_transmute,2,FALSE),
VLOOKUP(Midterm!O22,new_transmute,2,FALSE)
),
IF(Info!$B$4="Board program",
IF(OR(AND(O$5&gt;0,O$5&gt;100),AND(O$5&gt;0,O$5&lt;100)),
VLOOKUP(FLOOR((Midterm!O22/O$5)*100,1),new_transmute,3,FALSE),
VLOOKUP(Midterm!O22,new_transmute,3,FALSE)
),
IF(Info!$B$4="Board program (Medicine)",
IF(OR(AND(O$5&gt;0,O$5&gt;100),AND(O$5&gt;0,O$5&lt;100)),
VLOOKUP(FLOOR((Midterm!O22/O$5)*100,1),new_transmute,4,FALSE),
VLOOKUP(Midterm!O22,new_transmute,4,FALSE)
),
""
)
)
)
)
)
)
)
)
))</f>
        <v/>
      </c>
      <c r="P22" s="14" t="str">
        <f>IF($B22="","",
IF(P$5="","",
IF(Midterm!P22="",0,
IF(NOT(ISNUMBER(Midterm!P22)),"NAN",
IF(Midterm!P22&lt;0,"NEG",
IF(Midterm!P22&gt;P$5,"OVER",
IF(AND(P$5&lt;=100,Midterm!P22&gt;100),"ERR",
IF(Info!$B$4="Non-board program",
IF(OR(AND(P$5&gt;0,P$5&gt;100),AND(P$5&gt;0,P$5&lt;100)),
VLOOKUP(FLOOR((Midterm!P22/P$5)*100,1),new_transmute,2,FALSE),
VLOOKUP(Midterm!P22,new_transmute,2,FALSE)
),
IF(Info!$B$4="Board program",
IF(OR(AND(P$5&gt;0,P$5&gt;100),AND(P$5&gt;0,P$5&lt;100)),
VLOOKUP(FLOOR((Midterm!P22/P$5)*100,1),new_transmute,3,FALSE),
VLOOKUP(Midterm!P22,new_transmute,3,FALSE)
),
IF(Info!$B$4="Board program (Medicine)",
IF(OR(AND(P$5&gt;0,P$5&gt;100),AND(P$5&gt;0,P$5&lt;100)),
VLOOKUP(FLOOR((Midterm!P22/P$5)*100,1),new_transmute,4,FALSE),
VLOOKUP(Midterm!P22,new_transmute,4,FALSE)
),
""
)
)
)
)
)
)
)
)
))</f>
        <v/>
      </c>
      <c r="Q22" s="14" t="str">
        <f>IF($B22="","",
IF(Q$5="","",
IF(Midterm!Q22="",0,
IF(NOT(ISNUMBER(Midterm!Q22)),"NAN",
IF(Midterm!Q22&lt;0,"NEG",
IF(Midterm!Q22&gt;Q$5,"OVER",
IF(AND(Q$5&lt;=100,Midterm!Q22&gt;100),"ERR",
IF(Info!$B$4="Non-board program",
IF(OR(AND(Q$5&gt;0,Q$5&gt;100),AND(Q$5&gt;0,Q$5&lt;100)),
VLOOKUP(FLOOR((Midterm!Q22/Q$5)*100,1),new_transmute,2,FALSE),
VLOOKUP(Midterm!Q22,new_transmute,2,FALSE)
),
IF(Info!$B$4="Board program",
IF(OR(AND(Q$5&gt;0,Q$5&gt;100),AND(Q$5&gt;0,Q$5&lt;100)),
VLOOKUP(FLOOR((Midterm!Q22/Q$5)*100,1),new_transmute,3,FALSE),
VLOOKUP(Midterm!Q22,new_transmute,3,FALSE)
),
IF(Info!$B$4="Board program (Medicine)",
IF(OR(AND(Q$5&gt;0,Q$5&gt;100),AND(Q$5&gt;0,Q$5&lt;100)),
VLOOKUP(FLOOR((Midterm!Q22/Q$5)*100,1),new_transmute,4,FALSE),
VLOOKUP(Midterm!Q22,new_transmute,4,FALSE)
),
""
)
)
)
)
)
)
)
)
))</f>
        <v/>
      </c>
      <c r="R22" s="14" t="str">
        <f>IF($B22="","",
IF(R$5="","",
IF(Midterm!R22="",0,
IF(NOT(ISNUMBER(Midterm!R22)),"NAN",
IF(Midterm!R22&lt;0,"NEG",
IF(Midterm!R22&gt;R$5,"OVER",
IF(AND(R$5&lt;=100,Midterm!R22&gt;100),"ERR",
IF(Info!$B$4="Non-board program",
IF(OR(AND(R$5&gt;0,R$5&gt;100),AND(R$5&gt;0,R$5&lt;100)),
VLOOKUP(FLOOR((Midterm!R22/R$5)*100,1),new_transmute,2,FALSE),
VLOOKUP(Midterm!R22,new_transmute,2,FALSE)
),
IF(Info!$B$4="Board program",
IF(OR(AND(R$5&gt;0,R$5&gt;100),AND(R$5&gt;0,R$5&lt;100)),
VLOOKUP(FLOOR((Midterm!R22/R$5)*100,1),new_transmute,3,FALSE),
VLOOKUP(Midterm!R22,new_transmute,3,FALSE)
),
IF(Info!$B$4="Board program (Medicine)",
IF(OR(AND(R$5&gt;0,R$5&gt;100),AND(R$5&gt;0,R$5&lt;100)),
VLOOKUP(FLOOR((Midterm!R22/R$5)*100,1),new_transmute,4,FALSE),
VLOOKUP(Midterm!R22,new_transmute,4,FALSE)
),
""
)
)
)
)
)
)
)
)
))</f>
        <v/>
      </c>
      <c r="S22" s="115" t="str">
        <f t="shared" si="3"/>
        <v/>
      </c>
      <c r="T22" s="14" t="str">
        <f>IF($B22="","",
IF(T$5="","",
IF(Midterm!T22="",0,
IF(NOT(ISNUMBER(Midterm!T22)),"NAN",
IF(Midterm!T22&lt;0,"NEG",
IF(Midterm!T22&gt;T$5,"OVER",
IF(AND(T$5&lt;=100,Midterm!T22&gt;100),"ERR",
IF(Info!$B$4="Non-board program",
IF(OR(AND(T$5&gt;0,T$5&gt;100),AND(T$5&gt;0,T$5&lt;100)),
VLOOKUP(FLOOR((Midterm!T22/T$5)*100,1),new_transmute,2,FALSE),
VLOOKUP(Midterm!T22,new_transmute,2,FALSE)
),
IF(Info!$B$4="Board program",
IF(OR(AND(T$5&gt;0,T$5&gt;100),AND(T$5&gt;0,T$5&lt;100)),
VLOOKUP(FLOOR((Midterm!T22/T$5)*100,1),new_transmute,3,FALSE),
VLOOKUP(Midterm!T22,new_transmute,3,FALSE)
),
IF(Info!$B$4="Board program (Medicine)",
IF(OR(AND(T$5&gt;0,T$5&gt;100),AND(T$5&gt;0,T$5&lt;100)),
VLOOKUP(FLOOR((Midterm!T22/T$5)*100,1),new_transmute,4,FALSE),
VLOOKUP(Midterm!T22,new_transmute,4,FALSE)
),
""
)
)
)
)
)
)
)
)
))</f>
        <v/>
      </c>
      <c r="U22" s="14" t="str">
        <f>IF($B22="","",
IF(U$5="","",
IF(Midterm!U22="",0,
IF(NOT(ISNUMBER(Midterm!U22)),"NAN",
IF(Midterm!U22&lt;0,"NEG",
IF(Midterm!U22&gt;U$5,"OVER",
IF(AND(U$5&lt;=100,Midterm!U22&gt;100),"ERR",
IF(Info!$B$4="Non-board program",
IF(OR(AND(U$5&gt;0,U$5&gt;100),AND(U$5&gt;0,U$5&lt;100)),
VLOOKUP(FLOOR((Midterm!U22/U$5)*100,1),new_transmute,2,FALSE),
VLOOKUP(Midterm!U22,new_transmute,2,FALSE)
),
IF(Info!$B$4="Board program",
IF(OR(AND(U$5&gt;0,U$5&gt;100),AND(U$5&gt;0,U$5&lt;100)),
VLOOKUP(FLOOR((Midterm!U22/U$5)*100,1),new_transmute,3,FALSE),
VLOOKUP(Midterm!U22,new_transmute,3,FALSE)
),
IF(Info!$B$4="Board program (Medicine)",
IF(OR(AND(U$5&gt;0,U$5&gt;100),AND(U$5&gt;0,U$5&lt;100)),
VLOOKUP(FLOOR((Midterm!U22/U$5)*100,1),new_transmute,4,FALSE),
VLOOKUP(Midterm!U22,new_transmute,4,FALSE)
),
""
)
)
)
)
)
)
)
)
))</f>
        <v/>
      </c>
      <c r="V22" s="14" t="str">
        <f>IF($B22="","",
IF(V$5="","",
IF(Midterm!V22="",0,
IF(NOT(ISNUMBER(Midterm!V22)),"NAN",
IF(Midterm!V22&lt;0,"NEG",
IF(Midterm!V22&gt;V$5,"OVER",
IF(AND(V$5&lt;=100,Midterm!V22&gt;100),"ERR",
IF(Info!$B$4="Non-board program",
IF(OR(AND(V$5&gt;0,V$5&gt;100),AND(V$5&gt;0,V$5&lt;100)),
VLOOKUP(FLOOR((Midterm!V22/V$5)*100,1),new_transmute,2,FALSE),
VLOOKUP(Midterm!V22,new_transmute,2,FALSE)
),
IF(Info!$B$4="Board program",
IF(OR(AND(V$5&gt;0,V$5&gt;100),AND(V$5&gt;0,V$5&lt;100)),
VLOOKUP(FLOOR((Midterm!V22/V$5)*100,1),new_transmute,3,FALSE),
VLOOKUP(Midterm!V22,new_transmute,3,FALSE)
),
IF(Info!$B$4="Board program (Medicine)",
IF(OR(AND(V$5&gt;0,V$5&gt;100),AND(V$5&gt;0,V$5&lt;100)),
VLOOKUP(FLOOR((Midterm!V22/V$5)*100,1),new_transmute,4,FALSE),
VLOOKUP(Midterm!V22,new_transmute,4,FALSE)
),
""
)
)
)
)
)
)
)
)
))</f>
        <v/>
      </c>
      <c r="W22" s="14" t="str">
        <f>IF($B22="","",
IF(W$5="","",
IF(Midterm!W22="",0,
IF(NOT(ISNUMBER(Midterm!W22)),"NAN",
IF(Midterm!W22&lt;0,"NEG",
IF(Midterm!W22&gt;W$5,"OVER",
IF(AND(W$5&lt;=100,Midterm!W22&gt;100),"ERR",
IF(Info!$B$4="Non-board program",
IF(OR(AND(W$5&gt;0,W$5&gt;100),AND(W$5&gt;0,W$5&lt;100)),
VLOOKUP(FLOOR((Midterm!W22/W$5)*100,1),new_transmute,2,FALSE),
VLOOKUP(Midterm!W22,new_transmute,2,FALSE)
),
IF(Info!$B$4="Board program",
IF(OR(AND(W$5&gt;0,W$5&gt;100),AND(W$5&gt;0,W$5&lt;100)),
VLOOKUP(FLOOR((Midterm!W22/W$5)*100,1),new_transmute,3,FALSE),
VLOOKUP(Midterm!W22,new_transmute,3,FALSE)
),
IF(Info!$B$4="Board program (Medicine)",
IF(OR(AND(W$5&gt;0,W$5&gt;100),AND(W$5&gt;0,W$5&lt;100)),
VLOOKUP(FLOOR((Midterm!W22/W$5)*100,1),new_transmute,4,FALSE),
VLOOKUP(Midterm!W22,new_transmute,4,FALSE)
),
""
)
)
)
)
)
)
)
)
))</f>
        <v/>
      </c>
      <c r="X22" s="14" t="str">
        <f>IF($B22="","",
IF(X$5="","",
IF(Midterm!X22="",0,
IF(NOT(ISNUMBER(Midterm!X22)),"NAN",
IF(Midterm!X22&lt;0,"NEG",
IF(Midterm!X22&gt;X$5,"OVER",
IF(AND(X$5&lt;=100,Midterm!X22&gt;100),"ERR",
IF(Info!$B$4="Non-board program",
IF(OR(AND(X$5&gt;0,X$5&gt;100),AND(X$5&gt;0,X$5&lt;100)),
VLOOKUP(FLOOR((Midterm!X22/X$5)*100,1),new_transmute,2,FALSE),
VLOOKUP(Midterm!X22,new_transmute,2,FALSE)
),
IF(Info!$B$4="Board program",
IF(OR(AND(X$5&gt;0,X$5&gt;100),AND(X$5&gt;0,X$5&lt;100)),
VLOOKUP(FLOOR((Midterm!X22/X$5)*100,1),new_transmute,3,FALSE),
VLOOKUP(Midterm!X22,new_transmute,3,FALSE)
),
IF(Info!$B$4="Board program (Medicine)",
IF(OR(AND(X$5&gt;0,X$5&gt;100),AND(X$5&gt;0,X$5&lt;100)),
VLOOKUP(FLOOR((Midterm!X22/X$5)*100,1),new_transmute,4,FALSE),
VLOOKUP(Midterm!X22,new_transmute,4,FALSE)
),
""
)
)
)
)
)
)
)
)
))</f>
        <v/>
      </c>
      <c r="Y22" s="112" t="str">
        <f t="shared" si="4"/>
        <v/>
      </c>
      <c r="Z22" s="14" t="str">
        <f>IF($B22="","",
IF(Z$5="","",
IF(Midterm!Z22="",0,
IF(NOT(ISNUMBER(Midterm!Z22)),"NAN",
IF(Midterm!Z22&lt;0,"NEG",
IF(Midterm!Z22&gt;Z$5,"OVER",
IF(AND(Z$5&lt;=100,Midterm!Z22&gt;100),"ERR",
IF(Info!$B$4="Non-board program",
IF(OR(AND(Z$5&gt;0,Z$5&gt;100),AND(Z$5&gt;0,Z$5&lt;100)),
VLOOKUP(FLOOR((Midterm!Z22/Z$5)*100,1),new_transmute,2,FALSE),
VLOOKUP(Midterm!Z22,new_transmute,2,FALSE)
),
IF(Info!$B$4="Board program",
IF(OR(AND(Z$5&gt;0,Z$5&gt;100),AND(Z$5&gt;0,Z$5&lt;100)),
VLOOKUP(FLOOR((Midterm!Z22/Z$5)*100,1),new_transmute,3,FALSE),
VLOOKUP(Midterm!Z22,new_transmute,3,FALSE)
),
IF(Info!$B$4="Board program (Medicine)",
IF(OR(AND(Z$5&gt;0,Z$5&gt;100),AND(Z$5&gt;0,Z$5&lt;100)),
VLOOKUP(FLOOR((Midterm!Z22/Z$5)*100,1),new_transmute,4,FALSE),
VLOOKUP(Midterm!Z22,new_transmute,4,FALSE)
),
""
)
)
)
)
)
)
)
)
))</f>
        <v/>
      </c>
      <c r="AA22" s="14" t="str">
        <f>IF($B22="","",
IF(AA$5="","",
IF(Midterm!AA22="",0,
IF(NOT(ISNUMBER(Midterm!AA22)),"NAN",
IF(Midterm!AA22&lt;0,"NEG",
IF(Midterm!AA22&gt;AA$5,"OVER",
IF(AND(AA$5&lt;=100,Midterm!AA22&gt;100),"ERR",
IF(Info!$B$4="Non-board program",
IF(OR(AND(AA$5&gt;0,AA$5&gt;100),AND(AA$5&gt;0,AA$5&lt;100)),
VLOOKUP(FLOOR((Midterm!AA22/AA$5)*100,1),new_transmute,2,FALSE),
VLOOKUP(Midterm!AA22,new_transmute,2,FALSE)
),
IF(Info!$B$4="Board program",
IF(OR(AND(AA$5&gt;0,AA$5&gt;100),AND(AA$5&gt;0,AA$5&lt;100)),
VLOOKUP(FLOOR((Midterm!AA22/AA$5)*100,1),new_transmute,3,FALSE),
VLOOKUP(Midterm!AA22,new_transmute,3,FALSE)
),
IF(Info!$B$4="Board program (Medicine)",
IF(OR(AND(AA$5&gt;0,AA$5&gt;100),AND(AA$5&gt;0,AA$5&lt;100)),
VLOOKUP(FLOOR((Midterm!AA22/AA$5)*100,1),new_transmute,4,FALSE),
VLOOKUP(Midterm!AA22,new_transmute,4,FALSE)
),
""
)
)
)
)
)
)
)
)
))</f>
        <v/>
      </c>
      <c r="AB22" s="14" t="str">
        <f>IF($B22="","",
IF(AB$5="","",
IF(Midterm!AB22="",0,
IF(NOT(ISNUMBER(Midterm!AB22)),"NAN",
IF(Midterm!AB22&lt;0,"NEG",
IF(Midterm!AB22&gt;AB$5,"OVER",
IF(AND(AB$5&lt;=100,Midterm!AB22&gt;100),"ERR",
IF(Info!$B$4="Non-board program",
IF(OR(AND(AB$5&gt;0,AB$5&gt;100),AND(AB$5&gt;0,AB$5&lt;100)),
VLOOKUP(FLOOR((Midterm!AB22/AB$5)*100,1),new_transmute,2,FALSE),
VLOOKUP(Midterm!AB22,new_transmute,2,FALSE)
),
IF(Info!$B$4="Board program",
IF(OR(AND(AB$5&gt;0,AB$5&gt;100),AND(AB$5&gt;0,AB$5&lt;100)),
VLOOKUP(FLOOR((Midterm!AB22/AB$5)*100,1),new_transmute,3,FALSE),
VLOOKUP(Midterm!AB22,new_transmute,3,FALSE)
),
IF(Info!$B$4="Board program (Medicine)",
IF(OR(AND(AB$5&gt;0,AB$5&gt;100),AND(AB$5&gt;0,AB$5&lt;100)),
VLOOKUP(FLOOR((Midterm!AB22/AB$5)*100,1),new_transmute,4,FALSE),
VLOOKUP(Midterm!AB22,new_transmute,4,FALSE)
),
""
)
)
)
)
)
)
)
)
))</f>
        <v/>
      </c>
      <c r="AC22" s="14" t="str">
        <f>IF($B22="","",
IF(AC$5="","",
IF(Midterm!AC22="",0,
IF(NOT(ISNUMBER(Midterm!AC22)),"NAN",
IF(Midterm!AC22&lt;0,"NEG",
IF(Midterm!AC22&gt;AC$5,"OVER",
IF(AND(AC$5&lt;=100,Midterm!AC22&gt;100),"ERR",
IF(Info!$B$4="Non-board program",
IF(OR(AND(AC$5&gt;0,AC$5&gt;100),AND(AC$5&gt;0,AC$5&lt;100)),
VLOOKUP(FLOOR((Midterm!AC22/AC$5)*100,1),new_transmute,2,FALSE),
VLOOKUP(Midterm!AC22,new_transmute,2,FALSE)
),
IF(Info!$B$4="Board program",
IF(OR(AND(AC$5&gt;0,AC$5&gt;100),AND(AC$5&gt;0,AC$5&lt;100)),
VLOOKUP(FLOOR((Midterm!AC22/AC$5)*100,1),new_transmute,3,FALSE),
VLOOKUP(Midterm!AC22,new_transmute,3,FALSE)
),
IF(Info!$B$4="Board program (Medicine)",
IF(OR(AND(AC$5&gt;0,AC$5&gt;100),AND(AC$5&gt;0,AC$5&lt;100)),
VLOOKUP(FLOOR((Midterm!AC22/AC$5)*100,1),new_transmute,4,FALSE),
VLOOKUP(Midterm!AC22,new_transmute,4,FALSE)
),
""
)
)
)
)
)
)
)
)
))</f>
        <v/>
      </c>
      <c r="AD22" s="14" t="str">
        <f>IF($B22="","",
IF(AD$5="","",
IF(Midterm!AD22="",0,
IF(NOT(ISNUMBER(Midterm!AD22)),"NAN",
IF(Midterm!AD22&lt;0,"NEG",
IF(Midterm!AD22&gt;AD$5,"OVER",
IF(AND(AD$5&lt;=100,Midterm!AD22&gt;100),"ERR",
IF(Info!$B$4="Non-board program",
IF(OR(AND(AD$5&gt;0,AD$5&gt;100),AND(AD$5&gt;0,AD$5&lt;100)),
VLOOKUP(FLOOR((Midterm!AD22/AD$5)*100,1),new_transmute,2,FALSE),
VLOOKUP(Midterm!AD22,new_transmute,2,FALSE)
),
IF(Info!$B$4="Board program",
IF(OR(AND(AD$5&gt;0,AD$5&gt;100),AND(AD$5&gt;0,AD$5&lt;100)),
VLOOKUP(FLOOR((Midterm!AD22/AD$5)*100,1),new_transmute,3,FALSE),
VLOOKUP(Midterm!AD22,new_transmute,3,FALSE)
),
IF(Info!$B$4="Board program (Medicine)",
IF(OR(AND(AD$5&gt;0,AD$5&gt;100),AND(AD$5&gt;0,AD$5&lt;100)),
VLOOKUP(FLOOR((Midterm!AD22/AD$5)*100,1),new_transmute,4,FALSE),
VLOOKUP(Midterm!AD22,new_transmute,4,FALSE)
),
""
)
)
)
)
)
)
)
)
))</f>
        <v/>
      </c>
      <c r="AE22" s="58" t="str">
        <f t="shared" si="5"/>
        <v/>
      </c>
      <c r="AF22" s="14" t="str">
        <f>IF($B22="","",
IF(AF$5="","",
IF(Midterm!AF22="",0,
IF(NOT(ISNUMBER(Midterm!AF22)),"NAN",
IF(Midterm!AF22&lt;0,"NEG",
IF(Midterm!AF22&gt;AF$5,"OVER",
IF(AND(AF$5&lt;=100,Midterm!AF22&gt;100),"ERR",
IF(Info!$B$4="Non-board program",
IF(OR(AND(AF$5&gt;0,AF$5&gt;100),AND(AF$5&gt;0,AF$5&lt;100)),
VLOOKUP(FLOOR((Midterm!AF22/AF$5)*100,1),new_transmute,2,FALSE),
VLOOKUP(Midterm!AF22,new_transmute,2,FALSE)
),
IF(Info!$B$4="Board program",
IF(OR(AND(AF$5&gt;0,AF$5&gt;100),AND(AF$5&gt;0,AF$5&lt;100)),
VLOOKUP(FLOOR((Midterm!AF22/AF$5)*100,1),new_transmute,3,FALSE),
VLOOKUP(Midterm!AF22,new_transmute,3,FALSE)
),
IF(Info!$B$4="Board program (Medicine)",
IF(OR(AND(AF$5&gt;0,AF$5&gt;100),AND(AF$5&gt;0,AF$5&lt;100)),
VLOOKUP(FLOOR((Midterm!AF22/AF$5)*100,1),new_transmute,4,FALSE),
VLOOKUP(Midterm!AF22,new_transmute,4,FALSE)
),
""
)
)
)
)
)
)
)
)
))</f>
        <v/>
      </c>
      <c r="AG22" s="14" t="str">
        <f>IF($B22="","",
IF(AG$5="","",
IF(Midterm!AG22="",0,
IF(NOT(ISNUMBER(Midterm!AG22)),"NAN",
IF(Midterm!AG22&lt;0,"NEG",
IF(Midterm!AG22&gt;AG$5,"OVER",
IF(AND(AG$5&lt;=100,Midterm!AG22&gt;100),"ERR",
IF(Info!$B$4="Non-board program",
IF(OR(AND(AG$5&gt;0,AG$5&gt;100),AND(AG$5&gt;0,AG$5&lt;100)),
VLOOKUP(FLOOR((Midterm!AG22/AG$5)*100,1),new_transmute,2,FALSE),
VLOOKUP(Midterm!AG22,new_transmute,2,FALSE)
),
IF(Info!$B$4="Board program",
IF(OR(AND(AG$5&gt;0,AG$5&gt;100),AND(AG$5&gt;0,AG$5&lt;100)),
VLOOKUP(FLOOR((Midterm!AG22/AG$5)*100,1),new_transmute,3,FALSE),
VLOOKUP(Midterm!AG22,new_transmute,3,FALSE)
),
IF(Info!$B$4="Board program (Medicine)",
IF(OR(AND(AG$5&gt;0,AG$5&gt;100),AND(AG$5&gt;0,AG$5&lt;100)),
VLOOKUP(FLOOR((Midterm!AG22/AG$5)*100,1),new_transmute,4,FALSE),
VLOOKUP(Midterm!AG22,new_transmute,4,FALSE)
),
""
)
)
)
)
)
)
)
)
))</f>
        <v/>
      </c>
      <c r="AH22" s="14" t="str">
        <f>IF($B22="","",
IF(AH$5="","",
IF(Midterm!AH22="",0,
IF(NOT(ISNUMBER(Midterm!AH22)),"NAN",
IF(Midterm!AH22&lt;0,"NEG",
IF(Midterm!AH22&gt;AH$5,"OVER",
IF(AND(AH$5&lt;=100,Midterm!AH22&gt;100),"ERR",
IF(Info!$B$4="Non-board program",
IF(OR(AND(AH$5&gt;0,AH$5&gt;100),AND(AH$5&gt;0,AH$5&lt;100)),
VLOOKUP(FLOOR((Midterm!AH22/AH$5)*100,1),new_transmute,2,FALSE),
VLOOKUP(Midterm!AH22,new_transmute,2,FALSE)
),
IF(Info!$B$4="Board program",
IF(OR(AND(AH$5&gt;0,AH$5&gt;100),AND(AH$5&gt;0,AH$5&lt;100)),
VLOOKUP(FLOOR((Midterm!AH22/AH$5)*100,1),new_transmute,3,FALSE),
VLOOKUP(Midterm!AH22,new_transmute,3,FALSE)
),
IF(Info!$B$4="Board program (Medicine)",
IF(OR(AND(AH$5&gt;0,AH$5&gt;100),AND(AH$5&gt;0,AH$5&lt;100)),
VLOOKUP(FLOOR((Midterm!AH22/AH$5)*100,1),new_transmute,4,FALSE),
VLOOKUP(Midterm!AH22,new_transmute,4,FALSE)
),
""
)
)
)
)
)
)
)
)
))</f>
        <v/>
      </c>
      <c r="AI22" s="14" t="str">
        <f>IF($B22="","",
IF(AI$5="","",
IF(Midterm!AI22="",0,
IF(NOT(ISNUMBER(Midterm!AI22)),"NAN",
IF(Midterm!AI22&lt;0,"NEG",
IF(Midterm!AI22&gt;AI$5,"OVER",
IF(AND(AI$5&lt;=100,Midterm!AI22&gt;100),"ERR",
IF(Info!$B$4="Non-board program",
IF(OR(AND(AI$5&gt;0,AI$5&gt;100),AND(AI$5&gt;0,AI$5&lt;100)),
VLOOKUP(FLOOR((Midterm!AI22/AI$5)*100,1),new_transmute,2,FALSE),
VLOOKUP(Midterm!AI22,new_transmute,2,FALSE)
),
IF(Info!$B$4="Board program",
IF(OR(AND(AI$5&gt;0,AI$5&gt;100),AND(AI$5&gt;0,AI$5&lt;100)),
VLOOKUP(FLOOR((Midterm!AI22/AI$5)*100,1),new_transmute,3,FALSE),
VLOOKUP(Midterm!AI22,new_transmute,3,FALSE)
),
IF(Info!$B$4="Board program (Medicine)",
IF(OR(AND(AI$5&gt;0,AI$5&gt;100),AND(AI$5&gt;0,AI$5&lt;100)),
VLOOKUP(FLOOR((Midterm!AI22/AI$5)*100,1),new_transmute,4,FALSE),
VLOOKUP(Midterm!AI22,new_transmute,4,FALSE)
),
""
)
)
)
)
)
)
)
)
))</f>
        <v/>
      </c>
      <c r="AJ22" s="14" t="str">
        <f>IF($B22="","",
IF(AJ$5="","",
IF(Midterm!AJ22="",0,
IF(NOT(ISNUMBER(Midterm!AJ22)),"NAN",
IF(Midterm!AJ22&lt;0,"NEG",
IF(Midterm!AJ22&gt;AJ$5,"OVER",
IF(AND(AJ$5&lt;=100,Midterm!AJ22&gt;100),"ERR",
IF(Info!$B$4="Non-board program",
IF(OR(AND(AJ$5&gt;0,AJ$5&gt;100),AND(AJ$5&gt;0,AJ$5&lt;100)),
VLOOKUP(FLOOR((Midterm!AJ22/AJ$5)*100,1),new_transmute,2,FALSE),
VLOOKUP(Midterm!AJ22,new_transmute,2,FALSE)
),
IF(Info!$B$4="Board program",
IF(OR(AND(AJ$5&gt;0,AJ$5&gt;100),AND(AJ$5&gt;0,AJ$5&lt;100)),
VLOOKUP(FLOOR((Midterm!AJ22/AJ$5)*100,1),new_transmute,3,FALSE),
VLOOKUP(Midterm!AJ22,new_transmute,3,FALSE)
),
IF(Info!$B$4="Board program (Medicine)",
IF(OR(AND(AJ$5&gt;0,AJ$5&gt;100),AND(AJ$5&gt;0,AJ$5&lt;100)),
VLOOKUP(FLOOR((Midterm!AJ22/AJ$5)*100,1),new_transmute,4,FALSE),
VLOOKUP(Midterm!AJ22,new_transmute,4,FALSE)
),
""
)
)
)
)
)
)
)
)
))</f>
        <v/>
      </c>
      <c r="AK22" s="59" t="str">
        <f t="shared" si="6"/>
        <v/>
      </c>
      <c r="AL22" s="60" t="str">
        <f>IF(B22="", "",
    IF(OR(M22="OVER", S22="OVER", Y22="OVER", AE22="OVER", AK22="OVER"),
        "OVER",
        IF(Info!$B$4="Non-board program",
            VLOOKUP(IFERROR(FLOOR(SUM((M22*$M$4), (S22*$S$4), (Y22*$Y$4), (AE22*$AE$4), (AK22*$AK$4)) * (100 / 60), 1), 0), new_transmute, 2, FALSE),
            IF(Info!$B$4="Board program",
                VLOOKUP(IFERROR(FLOOR(SUM((M22*$M$4), (S22*$S$4), (Y22*$Y$4), (AE22*$AE$4), (AK22*$AK$4)) * (100 / 60), 1), 0), new_transmute, 3, FALSE),
                IF(Info!$B$4="Board program (Medicine)",
                    VLOOKUP(IFERROR(FLOOR(SUM((M22*$M$4), (S22*$S$4), (Y22*$Y$4), (AE22*$AE$4), (AK22*$AK$4)) * (100 / 60), 1), 0), new_transmute, 4, FALSE),
                    ""
                )
            )
        )
    )
)</f>
        <v/>
      </c>
      <c r="AM22" s="14" t="str">
        <f>IF($B22="","",
IF(AM$5="","",
IF(Midterm!AM22="",0,
IF(NOT(ISNUMBER(Midterm!AM22)),"NAN",
IF(Midterm!AM22&lt;0,"NEG",
IF(Midterm!AM22&gt;AM$5,"OVER",
IF(AND(AM$5&lt;=100,Midterm!AM22&gt;100),"ERR",
IF(Info!$B$4="Non-board program",
IF(OR(AND(AM$5&gt;0,AM$5&gt;100),AND(AM$5&gt;0,AM$5&lt;100)),
VLOOKUP(FLOOR((Midterm!AM22/AM$5)*100,1),new_transmute,2,FALSE),
VLOOKUP(Midterm!AM22,new_transmute,2,FALSE)
),
IF(Info!$B$4="Board program",
IF(OR(AND(AM$5&gt;0,AM$5&gt;100),AND(AM$5&gt;0,AM$5&lt;100)),
VLOOKUP(FLOOR((Midterm!AM22/AM$5)*100,1),new_transmute,3,FALSE),
VLOOKUP(Midterm!AM22,new_transmute,3,FALSE)
),
IF(Info!$B$4="Board program (Medicine)",
IF(OR(AND(AM$5&gt;0,AM$5&gt;100),AND(AM$5&gt;0,AM$5&lt;100)),
VLOOKUP(FLOOR((Midterm!AM22/AM$5)*100,1),new_transmute,4,FALSE),
VLOOKUP(Midterm!AM22,new_transmute,4,FALSE)
),
""
)
)
)
)
)
)
)
)
))</f>
        <v/>
      </c>
      <c r="AN22" s="14" t="str">
        <f>IF($B22="","",
IF(AN$5="","",
IF(Midterm!AN22="",0,
IF(NOT(ISNUMBER(Midterm!AN22)),"NAN",
IF(Midterm!AN22&lt;0,"NEG",
IF(Midterm!AN22&gt;AN$5,"OVER",
IF(AND(AN$5&lt;=100,Midterm!AN22&gt;100),"ERR",
IF(Info!$B$4="Non-board program",
IF(OR(AND(AN$5&gt;0,AN$5&gt;100),AND(AN$5&gt;0,AN$5&lt;100)),
VLOOKUP(FLOOR((Midterm!AN22/AN$5)*100,1),new_transmute,2,FALSE),
VLOOKUP(Midterm!AN22,new_transmute,2,FALSE)
),
IF(Info!$B$4="Board program",
IF(OR(AND(AN$5&gt;0,AN$5&gt;100),AND(AN$5&gt;0,AN$5&lt;100)),
VLOOKUP(FLOOR((Midterm!AN22/AN$5)*100,1),new_transmute,3,FALSE),
VLOOKUP(Midterm!AN22,new_transmute,3,FALSE)
),
IF(Info!$B$4="Board program (Medicine)",
IF(OR(AND(AN$5&gt;0,AN$5&gt;100),AND(AN$5&gt;0,AN$5&lt;100)),
VLOOKUP(FLOOR((Midterm!AN22/AN$5)*100,1),new_transmute,4,FALSE),
VLOOKUP(Midterm!AN22,new_transmute,4,FALSE)
),
""
)
)
)
)
)
)
)
)
))</f>
        <v/>
      </c>
      <c r="AO22" s="14" t="str">
        <f>IF($B22="","",
IF(AO$5="","",
IF(Midterm!AO22="",0,
IF(NOT(ISNUMBER(Midterm!AO22)),"NAN",
IF(Midterm!AO22&lt;0,"NEG",
IF(Midterm!AO22&gt;AO$5,"OVER",
IF(AND(AO$5&lt;=100,Midterm!AO22&gt;100),"ERR",
IF(Info!$B$4="Non-board program",
IF(OR(AND(AO$5&gt;0,AO$5&gt;100),AND(AO$5&gt;0,AO$5&lt;100)),
VLOOKUP(FLOOR((Midterm!AO22/AO$5)*100,1),new_transmute,2,FALSE),
VLOOKUP(Midterm!AO22,new_transmute,2,FALSE)
),
IF(Info!$B$4="Board program",
IF(OR(AND(AO$5&gt;0,AO$5&gt;100),AND(AO$5&gt;0,AO$5&lt;100)),
VLOOKUP(FLOOR((Midterm!AO22/AO$5)*100,1),new_transmute,3,FALSE),
VLOOKUP(Midterm!AO22,new_transmute,3,FALSE)
),
IF(Info!$B$4="Board program (Medicine)",
IF(OR(AND(AO$5&gt;0,AO$5&gt;100),AND(AO$5&gt;0,AO$5&lt;100)),
VLOOKUP(FLOOR((Midterm!AO22/AO$5)*100,1),new_transmute,4,FALSE),
VLOOKUP(Midterm!AO22,new_transmute,4,FALSE)
),
""
)
)
)
)
)
)
)
)
))</f>
        <v/>
      </c>
      <c r="AP22" s="14" t="str">
        <f>IF($B22="","",
IF(AP$5="","",
IF(Midterm!AP22="",0,
IF(NOT(ISNUMBER(Midterm!AP22)),"NAN",
IF(Midterm!AP22&lt;0,"NEG",
IF(Midterm!AP22&gt;AP$5,"OVER",
IF(AND(AP$5&lt;=100,Midterm!AP22&gt;100),"ERR",
IF(Info!$B$4="Non-board program",
IF(OR(AND(AP$5&gt;0,AP$5&gt;100),AND(AP$5&gt;0,AP$5&lt;100)),
VLOOKUP(FLOOR((Midterm!AP22/AP$5)*100,1),new_transmute,2,FALSE),
VLOOKUP(Midterm!AP22,new_transmute,2,FALSE)
),
IF(Info!$B$4="Board program",
IF(OR(AND(AP$5&gt;0,AP$5&gt;100),AND(AP$5&gt;0,AP$5&lt;100)),
VLOOKUP(FLOOR((Midterm!AP22/AP$5)*100,1),new_transmute,3,FALSE),
VLOOKUP(Midterm!AP22,new_transmute,3,FALSE)
),
IF(Info!$B$4="Board program (Medicine)",
IF(OR(AND(AP$5&gt;0,AP$5&gt;100),AND(AP$5&gt;0,AP$5&lt;100)),
VLOOKUP(FLOOR((Midterm!AP22/AP$5)*100,1),new_transmute,4,FALSE),
VLOOKUP(Midterm!AP22,new_transmute,4,FALSE)
),
""
)
)
)
)
)
)
)
)
))</f>
        <v/>
      </c>
      <c r="AQ22" s="61" t="str">
        <f t="shared" si="7"/>
        <v/>
      </c>
      <c r="AR22" s="48" t="str">
        <f>IF(Midterm!AR22="","",Midterm!AR22)</f>
        <v/>
      </c>
      <c r="AS22" s="165" t="str">
        <f t="shared" si="8"/>
        <v/>
      </c>
      <c r="AT22" s="14" t="str">
        <f t="shared" si="0"/>
        <v/>
      </c>
      <c r="AU22" s="14" t="str">
        <f>IF(B22="","",VLOOKUP(AT22,'New Grade Equivalent'!$B$3:$C$47,2,FALSE))</f>
        <v/>
      </c>
    </row>
    <row r="23" spans="1:47" x14ac:dyDescent="0.25">
      <c r="A23" s="8">
        <v>18</v>
      </c>
      <c r="B23" s="2" t="str">
        <f>IF('Student List'!C27="","",UPPER(LEFT('Student List'!C27,FIND(",",'Student List'!C27)-1)))</f>
        <v/>
      </c>
      <c r="C23" s="12" t="str">
        <f>IF('Student List'!C27="","",PROPER(MID('Student List'!C27, FIND(",", 'Student List'!C27) + 2, LEN('Student List'!C27) - FIND(",", 'Student List'!C27) - 1)))</f>
        <v/>
      </c>
      <c r="D23" s="127" t="str">
        <f>IF(B23="","",IF(Midterm!D23="", "NA", Midterm!D23))</f>
        <v/>
      </c>
      <c r="E23" s="8" t="str">
        <f>IF(B23="","",
  IF(Info!$B$5="First Year",
    IF(D23="Yes", "DRP",
      IF(D23="No", "WF", "")
    )
  )
)</f>
        <v/>
      </c>
      <c r="F23" s="14" t="str">
        <f>IF($B23="","",
IF(F$5="","",
IF(Midterm!F23="",0,
IF(NOT(ISNUMBER(Midterm!F23)),"NAN",
IF(Midterm!F23&lt;0,"NEG",
IF(Midterm!F23&gt;F$5,"OVER",
IF(AND(F$5&lt;=100,Midterm!F23&gt;100),"ERR",
IF(Info!$B$4="Non-board program",
IF(OR(AND(F$5&gt;0,F$5&gt;100),AND(F$5&gt;0,F$5&lt;100)),
VLOOKUP(FLOOR((Midterm!F23/F$5)*100,1),new_transmute,2,FALSE),
VLOOKUP(Midterm!F23,new_transmute,2,FALSE)
),
IF(Info!$B$4="Board program",
IF(OR(AND(F$5&gt;0,F$5&gt;100),AND(F$5&gt;0,F$5&lt;100)),
VLOOKUP(FLOOR((Midterm!F23/F$5)*100,1),new_transmute,3,FALSE),
VLOOKUP(Midterm!F23,new_transmute,3,FALSE)
),
IF(Info!$B$4="Board program (Medicine)",
IF(OR(AND(F$5&gt;0,F$5&gt;100),AND(F$5&gt;0,F$5&lt;100)),
VLOOKUP(FLOOR((Midterm!F23/F$5)*100,1),new_transmute,4,FALSE),
VLOOKUP(Midterm!F23,new_transmute,4,FALSE)
),
""
)
)
)
)
)
)
)
)
))</f>
        <v/>
      </c>
      <c r="G23" s="57" t="str">
        <f t="shared" si="1"/>
        <v/>
      </c>
      <c r="H23" s="14" t="str">
        <f>IF($B23="","",
IF(H$5="","",
IF(Midterm!H23="",0,
IF(NOT(ISNUMBER(Midterm!H23)),"NAN",
IF(Midterm!H23&lt;0,"NEG",
IF(Midterm!H23&gt;H$5,"OVER",
IF(AND(H$5&lt;=100,Midterm!H23&gt;100),"ERR",
IF(Info!$B$4="Non-board program",
IF(OR(AND(H$5&gt;0,H$5&gt;100),AND(H$5&gt;0,H$5&lt;100)),
VLOOKUP(FLOOR((Midterm!H23/H$5)*100,1),new_transmute,2,FALSE),
VLOOKUP(Midterm!H23,new_transmute,2,FALSE)
),
IF(Info!$B$4="Board program",
IF(OR(AND(H$5&gt;0,H$5&gt;100),AND(H$5&gt;0,H$5&lt;100)),
VLOOKUP(FLOOR((Midterm!H23/H$5)*100,1),new_transmute,3,FALSE),
VLOOKUP(Midterm!H23,new_transmute,3,FALSE)
),
IF(Info!$B$4="Board program (Medicine)",
IF(OR(AND(H$5&gt;0,H$5&gt;100),AND(H$5&gt;0,H$5&lt;100)),
VLOOKUP(FLOOR((Midterm!H23/H$5)*100,1),new_transmute,4,FALSE),
VLOOKUP(Midterm!H23,new_transmute,4,FALSE)
),
""
)
)
)
)
)
)
)
)
))</f>
        <v/>
      </c>
      <c r="I23" s="14" t="str">
        <f>IF($B23="","",
IF(I$5="","",
IF(Midterm!I23="",0,
IF(NOT(ISNUMBER(Midterm!I23)),"NAN",
IF(Midterm!I23&lt;0,"NEG",
IF(Midterm!I23&gt;I$5,"OVER",
IF(AND(I$5&lt;=100,Midterm!I23&gt;100),"ERR",
IF(Info!$B$4="Non-board program",
IF(OR(AND(I$5&gt;0,I$5&gt;100),AND(I$5&gt;0,I$5&lt;100)),
VLOOKUP(FLOOR((Midterm!I23/I$5)*100,1),new_transmute,2,FALSE),
VLOOKUP(Midterm!I23,new_transmute,2,FALSE)
),
IF(Info!$B$4="Board program",
IF(OR(AND(I$5&gt;0,I$5&gt;100),AND(I$5&gt;0,I$5&lt;100)),
VLOOKUP(FLOOR((Midterm!I23/I$5)*100,1),new_transmute,3,FALSE),
VLOOKUP(Midterm!I23,new_transmute,3,FALSE)
),
IF(Info!$B$4="Board program (Medicine)",
IF(OR(AND(I$5&gt;0,I$5&gt;100),AND(I$5&gt;0,I$5&lt;100)),
VLOOKUP(FLOOR((Midterm!I23/I$5)*100,1),new_transmute,4,FALSE),
VLOOKUP(Midterm!I23,new_transmute,4,FALSE)
),
""
)
)
)
)
)
)
)
)
))</f>
        <v/>
      </c>
      <c r="J23" s="14" t="str">
        <f>IF($B23="","",
IF(J$5="","",
IF(Midterm!J23="",0,
IF(NOT(ISNUMBER(Midterm!J23)),"NAN",
IF(Midterm!J23&lt;0,"NEG",
IF(Midterm!J23&gt;J$5,"OVER",
IF(AND(J$5&lt;=100,Midterm!J23&gt;100),"ERR",
IF(Info!$B$4="Non-board program",
IF(OR(AND(J$5&gt;0,J$5&gt;100),AND(J$5&gt;0,J$5&lt;100)),
VLOOKUP(FLOOR((Midterm!J23/J$5)*100,1),new_transmute,2,FALSE),
VLOOKUP(Midterm!J23,new_transmute,2,FALSE)
),
IF(Info!$B$4="Board program",
IF(OR(AND(J$5&gt;0,J$5&gt;100),AND(J$5&gt;0,J$5&lt;100)),
VLOOKUP(FLOOR((Midterm!J23/J$5)*100,1),new_transmute,3,FALSE),
VLOOKUP(Midterm!J23,new_transmute,3,FALSE)
),
IF(Info!$B$4="Board program (Medicine)",
IF(OR(AND(J$5&gt;0,J$5&gt;100),AND(J$5&gt;0,J$5&lt;100)),
VLOOKUP(FLOOR((Midterm!J23/J$5)*100,1),new_transmute,4,FALSE),
VLOOKUP(Midterm!J23,new_transmute,4,FALSE)
),
""
)
)
)
)
)
)
)
)
))</f>
        <v/>
      </c>
      <c r="K23" s="14" t="str">
        <f>IF($B23="","",
IF(K$5="","",
IF(Midterm!K23="",0,
IF(NOT(ISNUMBER(Midterm!K23)),"NAN",
IF(Midterm!K23&lt;0,"NEG",
IF(Midterm!K23&gt;K$5,"OVER",
IF(AND(K$5&lt;=100,Midterm!K23&gt;100),"ERR",
IF(Info!$B$4="Non-board program",
IF(OR(AND(K$5&gt;0,K$5&gt;100),AND(K$5&gt;0,K$5&lt;100)),
VLOOKUP(FLOOR((Midterm!K23/K$5)*100,1),new_transmute,2,FALSE),
VLOOKUP(Midterm!K23,new_transmute,2,FALSE)
),
IF(Info!$B$4="Board program",
IF(OR(AND(K$5&gt;0,K$5&gt;100),AND(K$5&gt;0,K$5&lt;100)),
VLOOKUP(FLOOR((Midterm!K23/K$5)*100,1),new_transmute,3,FALSE),
VLOOKUP(Midterm!K23,new_transmute,3,FALSE)
),
IF(Info!$B$4="Board program (Medicine)",
IF(OR(AND(K$5&gt;0,K$5&gt;100),AND(K$5&gt;0,K$5&lt;100)),
VLOOKUP(FLOOR((Midterm!K23/K$5)*100,1),new_transmute,4,FALSE),
VLOOKUP(Midterm!K23,new_transmute,4,FALSE)
),
""
)
)
)
)
)
)
)
)
))</f>
        <v/>
      </c>
      <c r="L23" s="14" t="str">
        <f>IF($B23="","",
IF(L$5="","",
IF(Midterm!L23="",0,
IF(NOT(ISNUMBER(Midterm!L23)),"NAN",
IF(Midterm!L23&lt;0,"NEG",
IF(Midterm!L23&gt;L$5,"OVER",
IF(AND(L$5&lt;=100,Midterm!L23&gt;100),"ERR",
IF(Info!$B$4="Non-board program",
IF(OR(AND(L$5&gt;0,L$5&gt;100),AND(L$5&gt;0,L$5&lt;100)),
VLOOKUP(FLOOR((Midterm!L23/L$5)*100,1),new_transmute,2,FALSE),
VLOOKUP(Midterm!L23,new_transmute,2,FALSE)
),
IF(Info!$B$4="Board program",
IF(OR(AND(L$5&gt;0,L$5&gt;100),AND(L$5&gt;0,L$5&lt;100)),
VLOOKUP(FLOOR((Midterm!L23/L$5)*100,1),new_transmute,3,FALSE),
VLOOKUP(Midterm!L23,new_transmute,3,FALSE)
),
IF(Info!$B$4="Board program (Medicine)",
IF(OR(AND(L$5&gt;0,L$5&gt;100),AND(L$5&gt;0,L$5&lt;100)),
VLOOKUP(FLOOR((Midterm!L23/L$5)*100,1),new_transmute,4,FALSE),
VLOOKUP(Midterm!L23,new_transmute,4,FALSE)
),
""
)
)
)
)
)
)
)
)
))</f>
        <v/>
      </c>
      <c r="M23" s="111" t="str">
        <f t="shared" si="2"/>
        <v/>
      </c>
      <c r="N23" s="14" t="str">
        <f>IF($B23="","",
IF(N$5="","",
IF(Midterm!N23="",0,
IF(NOT(ISNUMBER(Midterm!N23)),"NAN",
IF(Midterm!N23&lt;0,"NEG",
IF(Midterm!N23&gt;N$5,"OVER",
IF(AND(N$5&lt;=100,Midterm!N23&gt;100),"ERR",
IF(Info!$B$4="Non-board program",
IF(OR(AND(N$5&gt;0,N$5&gt;100),AND(N$5&gt;0,N$5&lt;100)),
VLOOKUP(FLOOR((Midterm!N23/N$5)*100,1),new_transmute,2,FALSE),
VLOOKUP(Midterm!N23,new_transmute,2,FALSE)
),
IF(Info!$B$4="Board program",
IF(OR(AND(N$5&gt;0,N$5&gt;100),AND(N$5&gt;0,N$5&lt;100)),
VLOOKUP(FLOOR((Midterm!N23/N$5)*100,1),new_transmute,3,FALSE),
VLOOKUP(Midterm!N23,new_transmute,3,FALSE)
),
IF(Info!$B$4="Board program (Medicine)",
IF(OR(AND(N$5&gt;0,N$5&gt;100),AND(N$5&gt;0,N$5&lt;100)),
VLOOKUP(FLOOR((Midterm!N23/N$5)*100,1),new_transmute,4,FALSE),
VLOOKUP(Midterm!N23,new_transmute,4,FALSE)
),
""
)
)
)
)
)
)
)
)
))</f>
        <v/>
      </c>
      <c r="O23" s="14" t="str">
        <f>IF($B23="","",
IF(O$5="","",
IF(Midterm!O23="",0,
IF(NOT(ISNUMBER(Midterm!O23)),"NAN",
IF(Midterm!O23&lt;0,"NEG",
IF(Midterm!O23&gt;O$5,"OVER",
IF(AND(O$5&lt;=100,Midterm!O23&gt;100),"ERR",
IF(Info!$B$4="Non-board program",
IF(OR(AND(O$5&gt;0,O$5&gt;100),AND(O$5&gt;0,O$5&lt;100)),
VLOOKUP(FLOOR((Midterm!O23/O$5)*100,1),new_transmute,2,FALSE),
VLOOKUP(Midterm!O23,new_transmute,2,FALSE)
),
IF(Info!$B$4="Board program",
IF(OR(AND(O$5&gt;0,O$5&gt;100),AND(O$5&gt;0,O$5&lt;100)),
VLOOKUP(FLOOR((Midterm!O23/O$5)*100,1),new_transmute,3,FALSE),
VLOOKUP(Midterm!O23,new_transmute,3,FALSE)
),
IF(Info!$B$4="Board program (Medicine)",
IF(OR(AND(O$5&gt;0,O$5&gt;100),AND(O$5&gt;0,O$5&lt;100)),
VLOOKUP(FLOOR((Midterm!O23/O$5)*100,1),new_transmute,4,FALSE),
VLOOKUP(Midterm!O23,new_transmute,4,FALSE)
),
""
)
)
)
)
)
)
)
)
))</f>
        <v/>
      </c>
      <c r="P23" s="14" t="str">
        <f>IF($B23="","",
IF(P$5="","",
IF(Midterm!P23="",0,
IF(NOT(ISNUMBER(Midterm!P23)),"NAN",
IF(Midterm!P23&lt;0,"NEG",
IF(Midterm!P23&gt;P$5,"OVER",
IF(AND(P$5&lt;=100,Midterm!P23&gt;100),"ERR",
IF(Info!$B$4="Non-board program",
IF(OR(AND(P$5&gt;0,P$5&gt;100),AND(P$5&gt;0,P$5&lt;100)),
VLOOKUP(FLOOR((Midterm!P23/P$5)*100,1),new_transmute,2,FALSE),
VLOOKUP(Midterm!P23,new_transmute,2,FALSE)
),
IF(Info!$B$4="Board program",
IF(OR(AND(P$5&gt;0,P$5&gt;100),AND(P$5&gt;0,P$5&lt;100)),
VLOOKUP(FLOOR((Midterm!P23/P$5)*100,1),new_transmute,3,FALSE),
VLOOKUP(Midterm!P23,new_transmute,3,FALSE)
),
IF(Info!$B$4="Board program (Medicine)",
IF(OR(AND(P$5&gt;0,P$5&gt;100),AND(P$5&gt;0,P$5&lt;100)),
VLOOKUP(FLOOR((Midterm!P23/P$5)*100,1),new_transmute,4,FALSE),
VLOOKUP(Midterm!P23,new_transmute,4,FALSE)
),
""
)
)
)
)
)
)
)
)
))</f>
        <v/>
      </c>
      <c r="Q23" s="14" t="str">
        <f>IF($B23="","",
IF(Q$5="","",
IF(Midterm!Q23="",0,
IF(NOT(ISNUMBER(Midterm!Q23)),"NAN",
IF(Midterm!Q23&lt;0,"NEG",
IF(Midterm!Q23&gt;Q$5,"OVER",
IF(AND(Q$5&lt;=100,Midterm!Q23&gt;100),"ERR",
IF(Info!$B$4="Non-board program",
IF(OR(AND(Q$5&gt;0,Q$5&gt;100),AND(Q$5&gt;0,Q$5&lt;100)),
VLOOKUP(FLOOR((Midterm!Q23/Q$5)*100,1),new_transmute,2,FALSE),
VLOOKUP(Midterm!Q23,new_transmute,2,FALSE)
),
IF(Info!$B$4="Board program",
IF(OR(AND(Q$5&gt;0,Q$5&gt;100),AND(Q$5&gt;0,Q$5&lt;100)),
VLOOKUP(FLOOR((Midterm!Q23/Q$5)*100,1),new_transmute,3,FALSE),
VLOOKUP(Midterm!Q23,new_transmute,3,FALSE)
),
IF(Info!$B$4="Board program (Medicine)",
IF(OR(AND(Q$5&gt;0,Q$5&gt;100),AND(Q$5&gt;0,Q$5&lt;100)),
VLOOKUP(FLOOR((Midterm!Q23/Q$5)*100,1),new_transmute,4,FALSE),
VLOOKUP(Midterm!Q23,new_transmute,4,FALSE)
),
""
)
)
)
)
)
)
)
)
))</f>
        <v/>
      </c>
      <c r="R23" s="14" t="str">
        <f>IF($B23="","",
IF(R$5="","",
IF(Midterm!R23="",0,
IF(NOT(ISNUMBER(Midterm!R23)),"NAN",
IF(Midterm!R23&lt;0,"NEG",
IF(Midterm!R23&gt;R$5,"OVER",
IF(AND(R$5&lt;=100,Midterm!R23&gt;100),"ERR",
IF(Info!$B$4="Non-board program",
IF(OR(AND(R$5&gt;0,R$5&gt;100),AND(R$5&gt;0,R$5&lt;100)),
VLOOKUP(FLOOR((Midterm!R23/R$5)*100,1),new_transmute,2,FALSE),
VLOOKUP(Midterm!R23,new_transmute,2,FALSE)
),
IF(Info!$B$4="Board program",
IF(OR(AND(R$5&gt;0,R$5&gt;100),AND(R$5&gt;0,R$5&lt;100)),
VLOOKUP(FLOOR((Midterm!R23/R$5)*100,1),new_transmute,3,FALSE),
VLOOKUP(Midterm!R23,new_transmute,3,FALSE)
),
IF(Info!$B$4="Board program (Medicine)",
IF(OR(AND(R$5&gt;0,R$5&gt;100),AND(R$5&gt;0,R$5&lt;100)),
VLOOKUP(FLOOR((Midterm!R23/R$5)*100,1),new_transmute,4,FALSE),
VLOOKUP(Midterm!R23,new_transmute,4,FALSE)
),
""
)
)
)
)
)
)
)
)
))</f>
        <v/>
      </c>
      <c r="S23" s="115" t="str">
        <f t="shared" si="3"/>
        <v/>
      </c>
      <c r="T23" s="14" t="str">
        <f>IF($B23="","",
IF(T$5="","",
IF(Midterm!T23="",0,
IF(NOT(ISNUMBER(Midterm!T23)),"NAN",
IF(Midterm!T23&lt;0,"NEG",
IF(Midterm!T23&gt;T$5,"OVER",
IF(AND(T$5&lt;=100,Midterm!T23&gt;100),"ERR",
IF(Info!$B$4="Non-board program",
IF(OR(AND(T$5&gt;0,T$5&gt;100),AND(T$5&gt;0,T$5&lt;100)),
VLOOKUP(FLOOR((Midterm!T23/T$5)*100,1),new_transmute,2,FALSE),
VLOOKUP(Midterm!T23,new_transmute,2,FALSE)
),
IF(Info!$B$4="Board program",
IF(OR(AND(T$5&gt;0,T$5&gt;100),AND(T$5&gt;0,T$5&lt;100)),
VLOOKUP(FLOOR((Midterm!T23/T$5)*100,1),new_transmute,3,FALSE),
VLOOKUP(Midterm!T23,new_transmute,3,FALSE)
),
IF(Info!$B$4="Board program (Medicine)",
IF(OR(AND(T$5&gt;0,T$5&gt;100),AND(T$5&gt;0,T$5&lt;100)),
VLOOKUP(FLOOR((Midterm!T23/T$5)*100,1),new_transmute,4,FALSE),
VLOOKUP(Midterm!T23,new_transmute,4,FALSE)
),
""
)
)
)
)
)
)
)
)
))</f>
        <v/>
      </c>
      <c r="U23" s="14" t="str">
        <f>IF($B23="","",
IF(U$5="","",
IF(Midterm!U23="",0,
IF(NOT(ISNUMBER(Midterm!U23)),"NAN",
IF(Midterm!U23&lt;0,"NEG",
IF(Midterm!U23&gt;U$5,"OVER",
IF(AND(U$5&lt;=100,Midterm!U23&gt;100),"ERR",
IF(Info!$B$4="Non-board program",
IF(OR(AND(U$5&gt;0,U$5&gt;100),AND(U$5&gt;0,U$5&lt;100)),
VLOOKUP(FLOOR((Midterm!U23/U$5)*100,1),new_transmute,2,FALSE),
VLOOKUP(Midterm!U23,new_transmute,2,FALSE)
),
IF(Info!$B$4="Board program",
IF(OR(AND(U$5&gt;0,U$5&gt;100),AND(U$5&gt;0,U$5&lt;100)),
VLOOKUP(FLOOR((Midterm!U23/U$5)*100,1),new_transmute,3,FALSE),
VLOOKUP(Midterm!U23,new_transmute,3,FALSE)
),
IF(Info!$B$4="Board program (Medicine)",
IF(OR(AND(U$5&gt;0,U$5&gt;100),AND(U$5&gt;0,U$5&lt;100)),
VLOOKUP(FLOOR((Midterm!U23/U$5)*100,1),new_transmute,4,FALSE),
VLOOKUP(Midterm!U23,new_transmute,4,FALSE)
),
""
)
)
)
)
)
)
)
)
))</f>
        <v/>
      </c>
      <c r="V23" s="14" t="str">
        <f>IF($B23="","",
IF(V$5="","",
IF(Midterm!V23="",0,
IF(NOT(ISNUMBER(Midterm!V23)),"NAN",
IF(Midterm!V23&lt;0,"NEG",
IF(Midterm!V23&gt;V$5,"OVER",
IF(AND(V$5&lt;=100,Midterm!V23&gt;100),"ERR",
IF(Info!$B$4="Non-board program",
IF(OR(AND(V$5&gt;0,V$5&gt;100),AND(V$5&gt;0,V$5&lt;100)),
VLOOKUP(FLOOR((Midterm!V23/V$5)*100,1),new_transmute,2,FALSE),
VLOOKUP(Midterm!V23,new_transmute,2,FALSE)
),
IF(Info!$B$4="Board program",
IF(OR(AND(V$5&gt;0,V$5&gt;100),AND(V$5&gt;0,V$5&lt;100)),
VLOOKUP(FLOOR((Midterm!V23/V$5)*100,1),new_transmute,3,FALSE),
VLOOKUP(Midterm!V23,new_transmute,3,FALSE)
),
IF(Info!$B$4="Board program (Medicine)",
IF(OR(AND(V$5&gt;0,V$5&gt;100),AND(V$5&gt;0,V$5&lt;100)),
VLOOKUP(FLOOR((Midterm!V23/V$5)*100,1),new_transmute,4,FALSE),
VLOOKUP(Midterm!V23,new_transmute,4,FALSE)
),
""
)
)
)
)
)
)
)
)
))</f>
        <v/>
      </c>
      <c r="W23" s="14" t="str">
        <f>IF($B23="","",
IF(W$5="","",
IF(Midterm!W23="",0,
IF(NOT(ISNUMBER(Midterm!W23)),"NAN",
IF(Midterm!W23&lt;0,"NEG",
IF(Midterm!W23&gt;W$5,"OVER",
IF(AND(W$5&lt;=100,Midterm!W23&gt;100),"ERR",
IF(Info!$B$4="Non-board program",
IF(OR(AND(W$5&gt;0,W$5&gt;100),AND(W$5&gt;0,W$5&lt;100)),
VLOOKUP(FLOOR((Midterm!W23/W$5)*100,1),new_transmute,2,FALSE),
VLOOKUP(Midterm!W23,new_transmute,2,FALSE)
),
IF(Info!$B$4="Board program",
IF(OR(AND(W$5&gt;0,W$5&gt;100),AND(W$5&gt;0,W$5&lt;100)),
VLOOKUP(FLOOR((Midterm!W23/W$5)*100,1),new_transmute,3,FALSE),
VLOOKUP(Midterm!W23,new_transmute,3,FALSE)
),
IF(Info!$B$4="Board program (Medicine)",
IF(OR(AND(W$5&gt;0,W$5&gt;100),AND(W$5&gt;0,W$5&lt;100)),
VLOOKUP(FLOOR((Midterm!W23/W$5)*100,1),new_transmute,4,FALSE),
VLOOKUP(Midterm!W23,new_transmute,4,FALSE)
),
""
)
)
)
)
)
)
)
)
))</f>
        <v/>
      </c>
      <c r="X23" s="14" t="str">
        <f>IF($B23="","",
IF(X$5="","",
IF(Midterm!X23="",0,
IF(NOT(ISNUMBER(Midterm!X23)),"NAN",
IF(Midterm!X23&lt;0,"NEG",
IF(Midterm!X23&gt;X$5,"OVER",
IF(AND(X$5&lt;=100,Midterm!X23&gt;100),"ERR",
IF(Info!$B$4="Non-board program",
IF(OR(AND(X$5&gt;0,X$5&gt;100),AND(X$5&gt;0,X$5&lt;100)),
VLOOKUP(FLOOR((Midterm!X23/X$5)*100,1),new_transmute,2,FALSE),
VLOOKUP(Midterm!X23,new_transmute,2,FALSE)
),
IF(Info!$B$4="Board program",
IF(OR(AND(X$5&gt;0,X$5&gt;100),AND(X$5&gt;0,X$5&lt;100)),
VLOOKUP(FLOOR((Midterm!X23/X$5)*100,1),new_transmute,3,FALSE),
VLOOKUP(Midterm!X23,new_transmute,3,FALSE)
),
IF(Info!$B$4="Board program (Medicine)",
IF(OR(AND(X$5&gt;0,X$5&gt;100),AND(X$5&gt;0,X$5&lt;100)),
VLOOKUP(FLOOR((Midterm!X23/X$5)*100,1),new_transmute,4,FALSE),
VLOOKUP(Midterm!X23,new_transmute,4,FALSE)
),
""
)
)
)
)
)
)
)
)
))</f>
        <v/>
      </c>
      <c r="Y23" s="112" t="str">
        <f t="shared" si="4"/>
        <v/>
      </c>
      <c r="Z23" s="14" t="str">
        <f>IF($B23="","",
IF(Z$5="","",
IF(Midterm!Z23="",0,
IF(NOT(ISNUMBER(Midterm!Z23)),"NAN",
IF(Midterm!Z23&lt;0,"NEG",
IF(Midterm!Z23&gt;Z$5,"OVER",
IF(AND(Z$5&lt;=100,Midterm!Z23&gt;100),"ERR",
IF(Info!$B$4="Non-board program",
IF(OR(AND(Z$5&gt;0,Z$5&gt;100),AND(Z$5&gt;0,Z$5&lt;100)),
VLOOKUP(FLOOR((Midterm!Z23/Z$5)*100,1),new_transmute,2,FALSE),
VLOOKUP(Midterm!Z23,new_transmute,2,FALSE)
),
IF(Info!$B$4="Board program",
IF(OR(AND(Z$5&gt;0,Z$5&gt;100),AND(Z$5&gt;0,Z$5&lt;100)),
VLOOKUP(FLOOR((Midterm!Z23/Z$5)*100,1),new_transmute,3,FALSE),
VLOOKUP(Midterm!Z23,new_transmute,3,FALSE)
),
IF(Info!$B$4="Board program (Medicine)",
IF(OR(AND(Z$5&gt;0,Z$5&gt;100),AND(Z$5&gt;0,Z$5&lt;100)),
VLOOKUP(FLOOR((Midterm!Z23/Z$5)*100,1),new_transmute,4,FALSE),
VLOOKUP(Midterm!Z23,new_transmute,4,FALSE)
),
""
)
)
)
)
)
)
)
)
))</f>
        <v/>
      </c>
      <c r="AA23" s="14" t="str">
        <f>IF($B23="","",
IF(AA$5="","",
IF(Midterm!AA23="",0,
IF(NOT(ISNUMBER(Midterm!AA23)),"NAN",
IF(Midterm!AA23&lt;0,"NEG",
IF(Midterm!AA23&gt;AA$5,"OVER",
IF(AND(AA$5&lt;=100,Midterm!AA23&gt;100),"ERR",
IF(Info!$B$4="Non-board program",
IF(OR(AND(AA$5&gt;0,AA$5&gt;100),AND(AA$5&gt;0,AA$5&lt;100)),
VLOOKUP(FLOOR((Midterm!AA23/AA$5)*100,1),new_transmute,2,FALSE),
VLOOKUP(Midterm!AA23,new_transmute,2,FALSE)
),
IF(Info!$B$4="Board program",
IF(OR(AND(AA$5&gt;0,AA$5&gt;100),AND(AA$5&gt;0,AA$5&lt;100)),
VLOOKUP(FLOOR((Midterm!AA23/AA$5)*100,1),new_transmute,3,FALSE),
VLOOKUP(Midterm!AA23,new_transmute,3,FALSE)
),
IF(Info!$B$4="Board program (Medicine)",
IF(OR(AND(AA$5&gt;0,AA$5&gt;100),AND(AA$5&gt;0,AA$5&lt;100)),
VLOOKUP(FLOOR((Midterm!AA23/AA$5)*100,1),new_transmute,4,FALSE),
VLOOKUP(Midterm!AA23,new_transmute,4,FALSE)
),
""
)
)
)
)
)
)
)
)
))</f>
        <v/>
      </c>
      <c r="AB23" s="14" t="str">
        <f>IF($B23="","",
IF(AB$5="","",
IF(Midterm!AB23="",0,
IF(NOT(ISNUMBER(Midterm!AB23)),"NAN",
IF(Midterm!AB23&lt;0,"NEG",
IF(Midterm!AB23&gt;AB$5,"OVER",
IF(AND(AB$5&lt;=100,Midterm!AB23&gt;100),"ERR",
IF(Info!$B$4="Non-board program",
IF(OR(AND(AB$5&gt;0,AB$5&gt;100),AND(AB$5&gt;0,AB$5&lt;100)),
VLOOKUP(FLOOR((Midterm!AB23/AB$5)*100,1),new_transmute,2,FALSE),
VLOOKUP(Midterm!AB23,new_transmute,2,FALSE)
),
IF(Info!$B$4="Board program",
IF(OR(AND(AB$5&gt;0,AB$5&gt;100),AND(AB$5&gt;0,AB$5&lt;100)),
VLOOKUP(FLOOR((Midterm!AB23/AB$5)*100,1),new_transmute,3,FALSE),
VLOOKUP(Midterm!AB23,new_transmute,3,FALSE)
),
IF(Info!$B$4="Board program (Medicine)",
IF(OR(AND(AB$5&gt;0,AB$5&gt;100),AND(AB$5&gt;0,AB$5&lt;100)),
VLOOKUP(FLOOR((Midterm!AB23/AB$5)*100,1),new_transmute,4,FALSE),
VLOOKUP(Midterm!AB23,new_transmute,4,FALSE)
),
""
)
)
)
)
)
)
)
)
))</f>
        <v/>
      </c>
      <c r="AC23" s="14" t="str">
        <f>IF($B23="","",
IF(AC$5="","",
IF(Midterm!AC23="",0,
IF(NOT(ISNUMBER(Midterm!AC23)),"NAN",
IF(Midterm!AC23&lt;0,"NEG",
IF(Midterm!AC23&gt;AC$5,"OVER",
IF(AND(AC$5&lt;=100,Midterm!AC23&gt;100),"ERR",
IF(Info!$B$4="Non-board program",
IF(OR(AND(AC$5&gt;0,AC$5&gt;100),AND(AC$5&gt;0,AC$5&lt;100)),
VLOOKUP(FLOOR((Midterm!AC23/AC$5)*100,1),new_transmute,2,FALSE),
VLOOKUP(Midterm!AC23,new_transmute,2,FALSE)
),
IF(Info!$B$4="Board program",
IF(OR(AND(AC$5&gt;0,AC$5&gt;100),AND(AC$5&gt;0,AC$5&lt;100)),
VLOOKUP(FLOOR((Midterm!AC23/AC$5)*100,1),new_transmute,3,FALSE),
VLOOKUP(Midterm!AC23,new_transmute,3,FALSE)
),
IF(Info!$B$4="Board program (Medicine)",
IF(OR(AND(AC$5&gt;0,AC$5&gt;100),AND(AC$5&gt;0,AC$5&lt;100)),
VLOOKUP(FLOOR((Midterm!AC23/AC$5)*100,1),new_transmute,4,FALSE),
VLOOKUP(Midterm!AC23,new_transmute,4,FALSE)
),
""
)
)
)
)
)
)
)
)
))</f>
        <v/>
      </c>
      <c r="AD23" s="14" t="str">
        <f>IF($B23="","",
IF(AD$5="","",
IF(Midterm!AD23="",0,
IF(NOT(ISNUMBER(Midterm!AD23)),"NAN",
IF(Midterm!AD23&lt;0,"NEG",
IF(Midterm!AD23&gt;AD$5,"OVER",
IF(AND(AD$5&lt;=100,Midterm!AD23&gt;100),"ERR",
IF(Info!$B$4="Non-board program",
IF(OR(AND(AD$5&gt;0,AD$5&gt;100),AND(AD$5&gt;0,AD$5&lt;100)),
VLOOKUP(FLOOR((Midterm!AD23/AD$5)*100,1),new_transmute,2,FALSE),
VLOOKUP(Midterm!AD23,new_transmute,2,FALSE)
),
IF(Info!$B$4="Board program",
IF(OR(AND(AD$5&gt;0,AD$5&gt;100),AND(AD$5&gt;0,AD$5&lt;100)),
VLOOKUP(FLOOR((Midterm!AD23/AD$5)*100,1),new_transmute,3,FALSE),
VLOOKUP(Midterm!AD23,new_transmute,3,FALSE)
),
IF(Info!$B$4="Board program (Medicine)",
IF(OR(AND(AD$5&gt;0,AD$5&gt;100),AND(AD$5&gt;0,AD$5&lt;100)),
VLOOKUP(FLOOR((Midterm!AD23/AD$5)*100,1),new_transmute,4,FALSE),
VLOOKUP(Midterm!AD23,new_transmute,4,FALSE)
),
""
)
)
)
)
)
)
)
)
))</f>
        <v/>
      </c>
      <c r="AE23" s="58" t="str">
        <f t="shared" si="5"/>
        <v/>
      </c>
      <c r="AF23" s="14" t="str">
        <f>IF($B23="","",
IF(AF$5="","",
IF(Midterm!AF23="",0,
IF(NOT(ISNUMBER(Midterm!AF23)),"NAN",
IF(Midterm!AF23&lt;0,"NEG",
IF(Midterm!AF23&gt;AF$5,"OVER",
IF(AND(AF$5&lt;=100,Midterm!AF23&gt;100),"ERR",
IF(Info!$B$4="Non-board program",
IF(OR(AND(AF$5&gt;0,AF$5&gt;100),AND(AF$5&gt;0,AF$5&lt;100)),
VLOOKUP(FLOOR((Midterm!AF23/AF$5)*100,1),new_transmute,2,FALSE),
VLOOKUP(Midterm!AF23,new_transmute,2,FALSE)
),
IF(Info!$B$4="Board program",
IF(OR(AND(AF$5&gt;0,AF$5&gt;100),AND(AF$5&gt;0,AF$5&lt;100)),
VLOOKUP(FLOOR((Midterm!AF23/AF$5)*100,1),new_transmute,3,FALSE),
VLOOKUP(Midterm!AF23,new_transmute,3,FALSE)
),
IF(Info!$B$4="Board program (Medicine)",
IF(OR(AND(AF$5&gt;0,AF$5&gt;100),AND(AF$5&gt;0,AF$5&lt;100)),
VLOOKUP(FLOOR((Midterm!AF23/AF$5)*100,1),new_transmute,4,FALSE),
VLOOKUP(Midterm!AF23,new_transmute,4,FALSE)
),
""
)
)
)
)
)
)
)
)
))</f>
        <v/>
      </c>
      <c r="AG23" s="14" t="str">
        <f>IF($B23="","",
IF(AG$5="","",
IF(Midterm!AG23="",0,
IF(NOT(ISNUMBER(Midterm!AG23)),"NAN",
IF(Midterm!AG23&lt;0,"NEG",
IF(Midterm!AG23&gt;AG$5,"OVER",
IF(AND(AG$5&lt;=100,Midterm!AG23&gt;100),"ERR",
IF(Info!$B$4="Non-board program",
IF(OR(AND(AG$5&gt;0,AG$5&gt;100),AND(AG$5&gt;0,AG$5&lt;100)),
VLOOKUP(FLOOR((Midterm!AG23/AG$5)*100,1),new_transmute,2,FALSE),
VLOOKUP(Midterm!AG23,new_transmute,2,FALSE)
),
IF(Info!$B$4="Board program",
IF(OR(AND(AG$5&gt;0,AG$5&gt;100),AND(AG$5&gt;0,AG$5&lt;100)),
VLOOKUP(FLOOR((Midterm!AG23/AG$5)*100,1),new_transmute,3,FALSE),
VLOOKUP(Midterm!AG23,new_transmute,3,FALSE)
),
IF(Info!$B$4="Board program (Medicine)",
IF(OR(AND(AG$5&gt;0,AG$5&gt;100),AND(AG$5&gt;0,AG$5&lt;100)),
VLOOKUP(FLOOR((Midterm!AG23/AG$5)*100,1),new_transmute,4,FALSE),
VLOOKUP(Midterm!AG23,new_transmute,4,FALSE)
),
""
)
)
)
)
)
)
)
)
))</f>
        <v/>
      </c>
      <c r="AH23" s="14" t="str">
        <f>IF($B23="","",
IF(AH$5="","",
IF(Midterm!AH23="",0,
IF(NOT(ISNUMBER(Midterm!AH23)),"NAN",
IF(Midterm!AH23&lt;0,"NEG",
IF(Midterm!AH23&gt;AH$5,"OVER",
IF(AND(AH$5&lt;=100,Midterm!AH23&gt;100),"ERR",
IF(Info!$B$4="Non-board program",
IF(OR(AND(AH$5&gt;0,AH$5&gt;100),AND(AH$5&gt;0,AH$5&lt;100)),
VLOOKUP(FLOOR((Midterm!AH23/AH$5)*100,1),new_transmute,2,FALSE),
VLOOKUP(Midterm!AH23,new_transmute,2,FALSE)
),
IF(Info!$B$4="Board program",
IF(OR(AND(AH$5&gt;0,AH$5&gt;100),AND(AH$5&gt;0,AH$5&lt;100)),
VLOOKUP(FLOOR((Midterm!AH23/AH$5)*100,1),new_transmute,3,FALSE),
VLOOKUP(Midterm!AH23,new_transmute,3,FALSE)
),
IF(Info!$B$4="Board program (Medicine)",
IF(OR(AND(AH$5&gt;0,AH$5&gt;100),AND(AH$5&gt;0,AH$5&lt;100)),
VLOOKUP(FLOOR((Midterm!AH23/AH$5)*100,1),new_transmute,4,FALSE),
VLOOKUP(Midterm!AH23,new_transmute,4,FALSE)
),
""
)
)
)
)
)
)
)
)
))</f>
        <v/>
      </c>
      <c r="AI23" s="14" t="str">
        <f>IF($B23="","",
IF(AI$5="","",
IF(Midterm!AI23="",0,
IF(NOT(ISNUMBER(Midterm!AI23)),"NAN",
IF(Midterm!AI23&lt;0,"NEG",
IF(Midterm!AI23&gt;AI$5,"OVER",
IF(AND(AI$5&lt;=100,Midterm!AI23&gt;100),"ERR",
IF(Info!$B$4="Non-board program",
IF(OR(AND(AI$5&gt;0,AI$5&gt;100),AND(AI$5&gt;0,AI$5&lt;100)),
VLOOKUP(FLOOR((Midterm!AI23/AI$5)*100,1),new_transmute,2,FALSE),
VLOOKUP(Midterm!AI23,new_transmute,2,FALSE)
),
IF(Info!$B$4="Board program",
IF(OR(AND(AI$5&gt;0,AI$5&gt;100),AND(AI$5&gt;0,AI$5&lt;100)),
VLOOKUP(FLOOR((Midterm!AI23/AI$5)*100,1),new_transmute,3,FALSE),
VLOOKUP(Midterm!AI23,new_transmute,3,FALSE)
),
IF(Info!$B$4="Board program (Medicine)",
IF(OR(AND(AI$5&gt;0,AI$5&gt;100),AND(AI$5&gt;0,AI$5&lt;100)),
VLOOKUP(FLOOR((Midterm!AI23/AI$5)*100,1),new_transmute,4,FALSE),
VLOOKUP(Midterm!AI23,new_transmute,4,FALSE)
),
""
)
)
)
)
)
)
)
)
))</f>
        <v/>
      </c>
      <c r="AJ23" s="14" t="str">
        <f>IF($B23="","",
IF(AJ$5="","",
IF(Midterm!AJ23="",0,
IF(NOT(ISNUMBER(Midterm!AJ23)),"NAN",
IF(Midterm!AJ23&lt;0,"NEG",
IF(Midterm!AJ23&gt;AJ$5,"OVER",
IF(AND(AJ$5&lt;=100,Midterm!AJ23&gt;100),"ERR",
IF(Info!$B$4="Non-board program",
IF(OR(AND(AJ$5&gt;0,AJ$5&gt;100),AND(AJ$5&gt;0,AJ$5&lt;100)),
VLOOKUP(FLOOR((Midterm!AJ23/AJ$5)*100,1),new_transmute,2,FALSE),
VLOOKUP(Midterm!AJ23,new_transmute,2,FALSE)
),
IF(Info!$B$4="Board program",
IF(OR(AND(AJ$5&gt;0,AJ$5&gt;100),AND(AJ$5&gt;0,AJ$5&lt;100)),
VLOOKUP(FLOOR((Midterm!AJ23/AJ$5)*100,1),new_transmute,3,FALSE),
VLOOKUP(Midterm!AJ23,new_transmute,3,FALSE)
),
IF(Info!$B$4="Board program (Medicine)",
IF(OR(AND(AJ$5&gt;0,AJ$5&gt;100),AND(AJ$5&gt;0,AJ$5&lt;100)),
VLOOKUP(FLOOR((Midterm!AJ23/AJ$5)*100,1),new_transmute,4,FALSE),
VLOOKUP(Midterm!AJ23,new_transmute,4,FALSE)
),
""
)
)
)
)
)
)
)
)
))</f>
        <v/>
      </c>
      <c r="AK23" s="59" t="str">
        <f t="shared" si="6"/>
        <v/>
      </c>
      <c r="AL23" s="60" t="str">
        <f>IF(B23="", "",
    IF(OR(M23="OVER", S23="OVER", Y23="OVER", AE23="OVER", AK23="OVER"),
        "OVER",
        IF(Info!$B$4="Non-board program",
            VLOOKUP(IFERROR(FLOOR(SUM((M23*$M$4), (S23*$S$4), (Y23*$Y$4), (AE23*$AE$4), (AK23*$AK$4)) * (100 / 60), 1), 0), new_transmute, 2, FALSE),
            IF(Info!$B$4="Board program",
                VLOOKUP(IFERROR(FLOOR(SUM((M23*$M$4), (S23*$S$4), (Y23*$Y$4), (AE23*$AE$4), (AK23*$AK$4)) * (100 / 60), 1), 0), new_transmute, 3, FALSE),
                IF(Info!$B$4="Board program (Medicine)",
                    VLOOKUP(IFERROR(FLOOR(SUM((M23*$M$4), (S23*$S$4), (Y23*$Y$4), (AE23*$AE$4), (AK23*$AK$4)) * (100 / 60), 1), 0), new_transmute, 4, FALSE),
                    ""
                )
            )
        )
    )
)</f>
        <v/>
      </c>
      <c r="AM23" s="14" t="str">
        <f>IF($B23="","",
IF(AM$5="","",
IF(Midterm!AM23="",0,
IF(NOT(ISNUMBER(Midterm!AM23)),"NAN",
IF(Midterm!AM23&lt;0,"NEG",
IF(Midterm!AM23&gt;AM$5,"OVER",
IF(AND(AM$5&lt;=100,Midterm!AM23&gt;100),"ERR",
IF(Info!$B$4="Non-board program",
IF(OR(AND(AM$5&gt;0,AM$5&gt;100),AND(AM$5&gt;0,AM$5&lt;100)),
VLOOKUP(FLOOR((Midterm!AM23/AM$5)*100,1),new_transmute,2,FALSE),
VLOOKUP(Midterm!AM23,new_transmute,2,FALSE)
),
IF(Info!$B$4="Board program",
IF(OR(AND(AM$5&gt;0,AM$5&gt;100),AND(AM$5&gt;0,AM$5&lt;100)),
VLOOKUP(FLOOR((Midterm!AM23/AM$5)*100,1),new_transmute,3,FALSE),
VLOOKUP(Midterm!AM23,new_transmute,3,FALSE)
),
IF(Info!$B$4="Board program (Medicine)",
IF(OR(AND(AM$5&gt;0,AM$5&gt;100),AND(AM$5&gt;0,AM$5&lt;100)),
VLOOKUP(FLOOR((Midterm!AM23/AM$5)*100,1),new_transmute,4,FALSE),
VLOOKUP(Midterm!AM23,new_transmute,4,FALSE)
),
""
)
)
)
)
)
)
)
)
))</f>
        <v/>
      </c>
      <c r="AN23" s="14" t="str">
        <f>IF($B23="","",
IF(AN$5="","",
IF(Midterm!AN23="",0,
IF(NOT(ISNUMBER(Midterm!AN23)),"NAN",
IF(Midterm!AN23&lt;0,"NEG",
IF(Midterm!AN23&gt;AN$5,"OVER",
IF(AND(AN$5&lt;=100,Midterm!AN23&gt;100),"ERR",
IF(Info!$B$4="Non-board program",
IF(OR(AND(AN$5&gt;0,AN$5&gt;100),AND(AN$5&gt;0,AN$5&lt;100)),
VLOOKUP(FLOOR((Midterm!AN23/AN$5)*100,1),new_transmute,2,FALSE),
VLOOKUP(Midterm!AN23,new_transmute,2,FALSE)
),
IF(Info!$B$4="Board program",
IF(OR(AND(AN$5&gt;0,AN$5&gt;100),AND(AN$5&gt;0,AN$5&lt;100)),
VLOOKUP(FLOOR((Midterm!AN23/AN$5)*100,1),new_transmute,3,FALSE),
VLOOKUP(Midterm!AN23,new_transmute,3,FALSE)
),
IF(Info!$B$4="Board program (Medicine)",
IF(OR(AND(AN$5&gt;0,AN$5&gt;100),AND(AN$5&gt;0,AN$5&lt;100)),
VLOOKUP(FLOOR((Midterm!AN23/AN$5)*100,1),new_transmute,4,FALSE),
VLOOKUP(Midterm!AN23,new_transmute,4,FALSE)
),
""
)
)
)
)
)
)
)
)
))</f>
        <v/>
      </c>
      <c r="AO23" s="14" t="str">
        <f>IF($B23="","",
IF(AO$5="","",
IF(Midterm!AO23="",0,
IF(NOT(ISNUMBER(Midterm!AO23)),"NAN",
IF(Midterm!AO23&lt;0,"NEG",
IF(Midterm!AO23&gt;AO$5,"OVER",
IF(AND(AO$5&lt;=100,Midterm!AO23&gt;100),"ERR",
IF(Info!$B$4="Non-board program",
IF(OR(AND(AO$5&gt;0,AO$5&gt;100),AND(AO$5&gt;0,AO$5&lt;100)),
VLOOKUP(FLOOR((Midterm!AO23/AO$5)*100,1),new_transmute,2,FALSE),
VLOOKUP(Midterm!AO23,new_transmute,2,FALSE)
),
IF(Info!$B$4="Board program",
IF(OR(AND(AO$5&gt;0,AO$5&gt;100),AND(AO$5&gt;0,AO$5&lt;100)),
VLOOKUP(FLOOR((Midterm!AO23/AO$5)*100,1),new_transmute,3,FALSE),
VLOOKUP(Midterm!AO23,new_transmute,3,FALSE)
),
IF(Info!$B$4="Board program (Medicine)",
IF(OR(AND(AO$5&gt;0,AO$5&gt;100),AND(AO$5&gt;0,AO$5&lt;100)),
VLOOKUP(FLOOR((Midterm!AO23/AO$5)*100,1),new_transmute,4,FALSE),
VLOOKUP(Midterm!AO23,new_transmute,4,FALSE)
),
""
)
)
)
)
)
)
)
)
))</f>
        <v/>
      </c>
      <c r="AP23" s="14" t="str">
        <f>IF($B23="","",
IF(AP$5="","",
IF(Midterm!AP23="",0,
IF(NOT(ISNUMBER(Midterm!AP23)),"NAN",
IF(Midterm!AP23&lt;0,"NEG",
IF(Midterm!AP23&gt;AP$5,"OVER",
IF(AND(AP$5&lt;=100,Midterm!AP23&gt;100),"ERR",
IF(Info!$B$4="Non-board program",
IF(OR(AND(AP$5&gt;0,AP$5&gt;100),AND(AP$5&gt;0,AP$5&lt;100)),
VLOOKUP(FLOOR((Midterm!AP23/AP$5)*100,1),new_transmute,2,FALSE),
VLOOKUP(Midterm!AP23,new_transmute,2,FALSE)
),
IF(Info!$B$4="Board program",
IF(OR(AND(AP$5&gt;0,AP$5&gt;100),AND(AP$5&gt;0,AP$5&lt;100)),
VLOOKUP(FLOOR((Midterm!AP23/AP$5)*100,1),new_transmute,3,FALSE),
VLOOKUP(Midterm!AP23,new_transmute,3,FALSE)
),
IF(Info!$B$4="Board program (Medicine)",
IF(OR(AND(AP$5&gt;0,AP$5&gt;100),AND(AP$5&gt;0,AP$5&lt;100)),
VLOOKUP(FLOOR((Midterm!AP23/AP$5)*100,1),new_transmute,4,FALSE),
VLOOKUP(Midterm!AP23,new_transmute,4,FALSE)
),
""
)
)
)
)
)
)
)
)
))</f>
        <v/>
      </c>
      <c r="AQ23" s="61" t="str">
        <f t="shared" si="7"/>
        <v/>
      </c>
      <c r="AR23" s="48" t="str">
        <f>IF(Midterm!AR23="","",Midterm!AR23)</f>
        <v/>
      </c>
      <c r="AS23" s="165" t="str">
        <f t="shared" si="8"/>
        <v/>
      </c>
      <c r="AT23" s="14" t="str">
        <f t="shared" si="0"/>
        <v/>
      </c>
      <c r="AU23" s="14" t="str">
        <f>IF(B23="","",VLOOKUP(AT23,'New Grade Equivalent'!$B$3:$C$47,2,FALSE))</f>
        <v/>
      </c>
    </row>
    <row r="24" spans="1:47" x14ac:dyDescent="0.25">
      <c r="A24" s="8">
        <v>19</v>
      </c>
      <c r="B24" s="2" t="str">
        <f>IF('Student List'!C28="","",UPPER(LEFT('Student List'!C28,FIND(",",'Student List'!C28)-1)))</f>
        <v/>
      </c>
      <c r="C24" s="12" t="str">
        <f>IF('Student List'!C28="","",PROPER(MID('Student List'!C28, FIND(",", 'Student List'!C28) + 2, LEN('Student List'!C28) - FIND(",", 'Student List'!C28) - 1)))</f>
        <v/>
      </c>
      <c r="D24" s="127" t="str">
        <f>IF(B24="","",IF(Midterm!D24="", "NA", Midterm!D24))</f>
        <v/>
      </c>
      <c r="E24" s="8" t="str">
        <f>IF(B24="","",
  IF(Info!$B$5="First Year",
    IF(D24="Yes", "DRP",
      IF(D24="No", "WF", "")
    )
  )
)</f>
        <v/>
      </c>
      <c r="F24" s="14" t="str">
        <f>IF($B24="","",
IF(F$5="","",
IF(Midterm!F24="",0,
IF(NOT(ISNUMBER(Midterm!F24)),"NAN",
IF(Midterm!F24&lt;0,"NEG",
IF(Midterm!F24&gt;F$5,"OVER",
IF(AND(F$5&lt;=100,Midterm!F24&gt;100),"ERR",
IF(Info!$B$4="Non-board program",
IF(OR(AND(F$5&gt;0,F$5&gt;100),AND(F$5&gt;0,F$5&lt;100)),
VLOOKUP(FLOOR((Midterm!F24/F$5)*100,1),new_transmute,2,FALSE),
VLOOKUP(Midterm!F24,new_transmute,2,FALSE)
),
IF(Info!$B$4="Board program",
IF(OR(AND(F$5&gt;0,F$5&gt;100),AND(F$5&gt;0,F$5&lt;100)),
VLOOKUP(FLOOR((Midterm!F24/F$5)*100,1),new_transmute,3,FALSE),
VLOOKUP(Midterm!F24,new_transmute,3,FALSE)
),
IF(Info!$B$4="Board program (Medicine)",
IF(OR(AND(F$5&gt;0,F$5&gt;100),AND(F$5&gt;0,F$5&lt;100)),
VLOOKUP(FLOOR((Midterm!F24/F$5)*100,1),new_transmute,4,FALSE),
VLOOKUP(Midterm!F24,new_transmute,4,FALSE)
),
""
)
)
)
)
)
)
)
)
))</f>
        <v/>
      </c>
      <c r="G24" s="57" t="str">
        <f t="shared" si="1"/>
        <v/>
      </c>
      <c r="H24" s="14" t="str">
        <f>IF($B24="","",
IF(H$5="","",
IF(Midterm!H24="",0,
IF(NOT(ISNUMBER(Midterm!H24)),"NAN",
IF(Midterm!H24&lt;0,"NEG",
IF(Midterm!H24&gt;H$5,"OVER",
IF(AND(H$5&lt;=100,Midterm!H24&gt;100),"ERR",
IF(Info!$B$4="Non-board program",
IF(OR(AND(H$5&gt;0,H$5&gt;100),AND(H$5&gt;0,H$5&lt;100)),
VLOOKUP(FLOOR((Midterm!H24/H$5)*100,1),new_transmute,2,FALSE),
VLOOKUP(Midterm!H24,new_transmute,2,FALSE)
),
IF(Info!$B$4="Board program",
IF(OR(AND(H$5&gt;0,H$5&gt;100),AND(H$5&gt;0,H$5&lt;100)),
VLOOKUP(FLOOR((Midterm!H24/H$5)*100,1),new_transmute,3,FALSE),
VLOOKUP(Midterm!H24,new_transmute,3,FALSE)
),
IF(Info!$B$4="Board program (Medicine)",
IF(OR(AND(H$5&gt;0,H$5&gt;100),AND(H$5&gt;0,H$5&lt;100)),
VLOOKUP(FLOOR((Midterm!H24/H$5)*100,1),new_transmute,4,FALSE),
VLOOKUP(Midterm!H24,new_transmute,4,FALSE)
),
""
)
)
)
)
)
)
)
)
))</f>
        <v/>
      </c>
      <c r="I24" s="14" t="str">
        <f>IF($B24="","",
IF(I$5="","",
IF(Midterm!I24="",0,
IF(NOT(ISNUMBER(Midterm!I24)),"NAN",
IF(Midterm!I24&lt;0,"NEG",
IF(Midterm!I24&gt;I$5,"OVER",
IF(AND(I$5&lt;=100,Midterm!I24&gt;100),"ERR",
IF(Info!$B$4="Non-board program",
IF(OR(AND(I$5&gt;0,I$5&gt;100),AND(I$5&gt;0,I$5&lt;100)),
VLOOKUP(FLOOR((Midterm!I24/I$5)*100,1),new_transmute,2,FALSE),
VLOOKUP(Midterm!I24,new_transmute,2,FALSE)
),
IF(Info!$B$4="Board program",
IF(OR(AND(I$5&gt;0,I$5&gt;100),AND(I$5&gt;0,I$5&lt;100)),
VLOOKUP(FLOOR((Midterm!I24/I$5)*100,1),new_transmute,3,FALSE),
VLOOKUP(Midterm!I24,new_transmute,3,FALSE)
),
IF(Info!$B$4="Board program (Medicine)",
IF(OR(AND(I$5&gt;0,I$5&gt;100),AND(I$5&gt;0,I$5&lt;100)),
VLOOKUP(FLOOR((Midterm!I24/I$5)*100,1),new_transmute,4,FALSE),
VLOOKUP(Midterm!I24,new_transmute,4,FALSE)
),
""
)
)
)
)
)
)
)
)
))</f>
        <v/>
      </c>
      <c r="J24" s="14" t="str">
        <f>IF($B24="","",
IF(J$5="","",
IF(Midterm!J24="",0,
IF(NOT(ISNUMBER(Midterm!J24)),"NAN",
IF(Midterm!J24&lt;0,"NEG",
IF(Midterm!J24&gt;J$5,"OVER",
IF(AND(J$5&lt;=100,Midterm!J24&gt;100),"ERR",
IF(Info!$B$4="Non-board program",
IF(OR(AND(J$5&gt;0,J$5&gt;100),AND(J$5&gt;0,J$5&lt;100)),
VLOOKUP(FLOOR((Midterm!J24/J$5)*100,1),new_transmute,2,FALSE),
VLOOKUP(Midterm!J24,new_transmute,2,FALSE)
),
IF(Info!$B$4="Board program",
IF(OR(AND(J$5&gt;0,J$5&gt;100),AND(J$5&gt;0,J$5&lt;100)),
VLOOKUP(FLOOR((Midterm!J24/J$5)*100,1),new_transmute,3,FALSE),
VLOOKUP(Midterm!J24,new_transmute,3,FALSE)
),
IF(Info!$B$4="Board program (Medicine)",
IF(OR(AND(J$5&gt;0,J$5&gt;100),AND(J$5&gt;0,J$5&lt;100)),
VLOOKUP(FLOOR((Midterm!J24/J$5)*100,1),new_transmute,4,FALSE),
VLOOKUP(Midterm!J24,new_transmute,4,FALSE)
),
""
)
)
)
)
)
)
)
)
))</f>
        <v/>
      </c>
      <c r="K24" s="14" t="str">
        <f>IF($B24="","",
IF(K$5="","",
IF(Midterm!K24="",0,
IF(NOT(ISNUMBER(Midterm!K24)),"NAN",
IF(Midterm!K24&lt;0,"NEG",
IF(Midterm!K24&gt;K$5,"OVER",
IF(AND(K$5&lt;=100,Midterm!K24&gt;100),"ERR",
IF(Info!$B$4="Non-board program",
IF(OR(AND(K$5&gt;0,K$5&gt;100),AND(K$5&gt;0,K$5&lt;100)),
VLOOKUP(FLOOR((Midterm!K24/K$5)*100,1),new_transmute,2,FALSE),
VLOOKUP(Midterm!K24,new_transmute,2,FALSE)
),
IF(Info!$B$4="Board program",
IF(OR(AND(K$5&gt;0,K$5&gt;100),AND(K$5&gt;0,K$5&lt;100)),
VLOOKUP(FLOOR((Midterm!K24/K$5)*100,1),new_transmute,3,FALSE),
VLOOKUP(Midterm!K24,new_transmute,3,FALSE)
),
IF(Info!$B$4="Board program (Medicine)",
IF(OR(AND(K$5&gt;0,K$5&gt;100),AND(K$5&gt;0,K$5&lt;100)),
VLOOKUP(FLOOR((Midterm!K24/K$5)*100,1),new_transmute,4,FALSE),
VLOOKUP(Midterm!K24,new_transmute,4,FALSE)
),
""
)
)
)
)
)
)
)
)
))</f>
        <v/>
      </c>
      <c r="L24" s="14" t="str">
        <f>IF($B24="","",
IF(L$5="","",
IF(Midterm!L24="",0,
IF(NOT(ISNUMBER(Midterm!L24)),"NAN",
IF(Midterm!L24&lt;0,"NEG",
IF(Midterm!L24&gt;L$5,"OVER",
IF(AND(L$5&lt;=100,Midterm!L24&gt;100),"ERR",
IF(Info!$B$4="Non-board program",
IF(OR(AND(L$5&gt;0,L$5&gt;100),AND(L$5&gt;0,L$5&lt;100)),
VLOOKUP(FLOOR((Midterm!L24/L$5)*100,1),new_transmute,2,FALSE),
VLOOKUP(Midterm!L24,new_transmute,2,FALSE)
),
IF(Info!$B$4="Board program",
IF(OR(AND(L$5&gt;0,L$5&gt;100),AND(L$5&gt;0,L$5&lt;100)),
VLOOKUP(FLOOR((Midterm!L24/L$5)*100,1),new_transmute,3,FALSE),
VLOOKUP(Midterm!L24,new_transmute,3,FALSE)
),
IF(Info!$B$4="Board program (Medicine)",
IF(OR(AND(L$5&gt;0,L$5&gt;100),AND(L$5&gt;0,L$5&lt;100)),
VLOOKUP(FLOOR((Midterm!L24/L$5)*100,1),new_transmute,4,FALSE),
VLOOKUP(Midterm!L24,new_transmute,4,FALSE)
),
""
)
)
)
)
)
)
)
)
))</f>
        <v/>
      </c>
      <c r="M24" s="111" t="str">
        <f t="shared" si="2"/>
        <v/>
      </c>
      <c r="N24" s="14" t="str">
        <f>IF($B24="","",
IF(N$5="","",
IF(Midterm!N24="",0,
IF(NOT(ISNUMBER(Midterm!N24)),"NAN",
IF(Midterm!N24&lt;0,"NEG",
IF(Midterm!N24&gt;N$5,"OVER",
IF(AND(N$5&lt;=100,Midterm!N24&gt;100),"ERR",
IF(Info!$B$4="Non-board program",
IF(OR(AND(N$5&gt;0,N$5&gt;100),AND(N$5&gt;0,N$5&lt;100)),
VLOOKUP(FLOOR((Midterm!N24/N$5)*100,1),new_transmute,2,FALSE),
VLOOKUP(Midterm!N24,new_transmute,2,FALSE)
),
IF(Info!$B$4="Board program",
IF(OR(AND(N$5&gt;0,N$5&gt;100),AND(N$5&gt;0,N$5&lt;100)),
VLOOKUP(FLOOR((Midterm!N24/N$5)*100,1),new_transmute,3,FALSE),
VLOOKUP(Midterm!N24,new_transmute,3,FALSE)
),
IF(Info!$B$4="Board program (Medicine)",
IF(OR(AND(N$5&gt;0,N$5&gt;100),AND(N$5&gt;0,N$5&lt;100)),
VLOOKUP(FLOOR((Midterm!N24/N$5)*100,1),new_transmute,4,FALSE),
VLOOKUP(Midterm!N24,new_transmute,4,FALSE)
),
""
)
)
)
)
)
)
)
)
))</f>
        <v/>
      </c>
      <c r="O24" s="14" t="str">
        <f>IF($B24="","",
IF(O$5="","",
IF(Midterm!O24="",0,
IF(NOT(ISNUMBER(Midterm!O24)),"NAN",
IF(Midterm!O24&lt;0,"NEG",
IF(Midterm!O24&gt;O$5,"OVER",
IF(AND(O$5&lt;=100,Midterm!O24&gt;100),"ERR",
IF(Info!$B$4="Non-board program",
IF(OR(AND(O$5&gt;0,O$5&gt;100),AND(O$5&gt;0,O$5&lt;100)),
VLOOKUP(FLOOR((Midterm!O24/O$5)*100,1),new_transmute,2,FALSE),
VLOOKUP(Midterm!O24,new_transmute,2,FALSE)
),
IF(Info!$B$4="Board program",
IF(OR(AND(O$5&gt;0,O$5&gt;100),AND(O$5&gt;0,O$5&lt;100)),
VLOOKUP(FLOOR((Midterm!O24/O$5)*100,1),new_transmute,3,FALSE),
VLOOKUP(Midterm!O24,new_transmute,3,FALSE)
),
IF(Info!$B$4="Board program (Medicine)",
IF(OR(AND(O$5&gt;0,O$5&gt;100),AND(O$5&gt;0,O$5&lt;100)),
VLOOKUP(FLOOR((Midterm!O24/O$5)*100,1),new_transmute,4,FALSE),
VLOOKUP(Midterm!O24,new_transmute,4,FALSE)
),
""
)
)
)
)
)
)
)
)
))</f>
        <v/>
      </c>
      <c r="P24" s="14" t="str">
        <f>IF($B24="","",
IF(P$5="","",
IF(Midterm!P24="",0,
IF(NOT(ISNUMBER(Midterm!P24)),"NAN",
IF(Midterm!P24&lt;0,"NEG",
IF(Midterm!P24&gt;P$5,"OVER",
IF(AND(P$5&lt;=100,Midterm!P24&gt;100),"ERR",
IF(Info!$B$4="Non-board program",
IF(OR(AND(P$5&gt;0,P$5&gt;100),AND(P$5&gt;0,P$5&lt;100)),
VLOOKUP(FLOOR((Midterm!P24/P$5)*100,1),new_transmute,2,FALSE),
VLOOKUP(Midterm!P24,new_transmute,2,FALSE)
),
IF(Info!$B$4="Board program",
IF(OR(AND(P$5&gt;0,P$5&gt;100),AND(P$5&gt;0,P$5&lt;100)),
VLOOKUP(FLOOR((Midterm!P24/P$5)*100,1),new_transmute,3,FALSE),
VLOOKUP(Midterm!P24,new_transmute,3,FALSE)
),
IF(Info!$B$4="Board program (Medicine)",
IF(OR(AND(P$5&gt;0,P$5&gt;100),AND(P$5&gt;0,P$5&lt;100)),
VLOOKUP(FLOOR((Midterm!P24/P$5)*100,1),new_transmute,4,FALSE),
VLOOKUP(Midterm!P24,new_transmute,4,FALSE)
),
""
)
)
)
)
)
)
)
)
))</f>
        <v/>
      </c>
      <c r="Q24" s="14" t="str">
        <f>IF($B24="","",
IF(Q$5="","",
IF(Midterm!Q24="",0,
IF(NOT(ISNUMBER(Midterm!Q24)),"NAN",
IF(Midterm!Q24&lt;0,"NEG",
IF(Midterm!Q24&gt;Q$5,"OVER",
IF(AND(Q$5&lt;=100,Midterm!Q24&gt;100),"ERR",
IF(Info!$B$4="Non-board program",
IF(OR(AND(Q$5&gt;0,Q$5&gt;100),AND(Q$5&gt;0,Q$5&lt;100)),
VLOOKUP(FLOOR((Midterm!Q24/Q$5)*100,1),new_transmute,2,FALSE),
VLOOKUP(Midterm!Q24,new_transmute,2,FALSE)
),
IF(Info!$B$4="Board program",
IF(OR(AND(Q$5&gt;0,Q$5&gt;100),AND(Q$5&gt;0,Q$5&lt;100)),
VLOOKUP(FLOOR((Midterm!Q24/Q$5)*100,1),new_transmute,3,FALSE),
VLOOKUP(Midterm!Q24,new_transmute,3,FALSE)
),
IF(Info!$B$4="Board program (Medicine)",
IF(OR(AND(Q$5&gt;0,Q$5&gt;100),AND(Q$5&gt;0,Q$5&lt;100)),
VLOOKUP(FLOOR((Midterm!Q24/Q$5)*100,1),new_transmute,4,FALSE),
VLOOKUP(Midterm!Q24,new_transmute,4,FALSE)
),
""
)
)
)
)
)
)
)
)
))</f>
        <v/>
      </c>
      <c r="R24" s="14" t="str">
        <f>IF($B24="","",
IF(R$5="","",
IF(Midterm!R24="",0,
IF(NOT(ISNUMBER(Midterm!R24)),"NAN",
IF(Midterm!R24&lt;0,"NEG",
IF(Midterm!R24&gt;R$5,"OVER",
IF(AND(R$5&lt;=100,Midterm!R24&gt;100),"ERR",
IF(Info!$B$4="Non-board program",
IF(OR(AND(R$5&gt;0,R$5&gt;100),AND(R$5&gt;0,R$5&lt;100)),
VLOOKUP(FLOOR((Midterm!R24/R$5)*100,1),new_transmute,2,FALSE),
VLOOKUP(Midterm!R24,new_transmute,2,FALSE)
),
IF(Info!$B$4="Board program",
IF(OR(AND(R$5&gt;0,R$5&gt;100),AND(R$5&gt;0,R$5&lt;100)),
VLOOKUP(FLOOR((Midterm!R24/R$5)*100,1),new_transmute,3,FALSE),
VLOOKUP(Midterm!R24,new_transmute,3,FALSE)
),
IF(Info!$B$4="Board program (Medicine)",
IF(OR(AND(R$5&gt;0,R$5&gt;100),AND(R$5&gt;0,R$5&lt;100)),
VLOOKUP(FLOOR((Midterm!R24/R$5)*100,1),new_transmute,4,FALSE),
VLOOKUP(Midterm!R24,new_transmute,4,FALSE)
),
""
)
)
)
)
)
)
)
)
))</f>
        <v/>
      </c>
      <c r="S24" s="115" t="str">
        <f t="shared" si="3"/>
        <v/>
      </c>
      <c r="T24" s="14" t="str">
        <f>IF($B24="","",
IF(T$5="","",
IF(Midterm!T24="",0,
IF(NOT(ISNUMBER(Midterm!T24)),"NAN",
IF(Midterm!T24&lt;0,"NEG",
IF(Midterm!T24&gt;T$5,"OVER",
IF(AND(T$5&lt;=100,Midterm!T24&gt;100),"ERR",
IF(Info!$B$4="Non-board program",
IF(OR(AND(T$5&gt;0,T$5&gt;100),AND(T$5&gt;0,T$5&lt;100)),
VLOOKUP(FLOOR((Midterm!T24/T$5)*100,1),new_transmute,2,FALSE),
VLOOKUP(Midterm!T24,new_transmute,2,FALSE)
),
IF(Info!$B$4="Board program",
IF(OR(AND(T$5&gt;0,T$5&gt;100),AND(T$5&gt;0,T$5&lt;100)),
VLOOKUP(FLOOR((Midterm!T24/T$5)*100,1),new_transmute,3,FALSE),
VLOOKUP(Midterm!T24,new_transmute,3,FALSE)
),
IF(Info!$B$4="Board program (Medicine)",
IF(OR(AND(T$5&gt;0,T$5&gt;100),AND(T$5&gt;0,T$5&lt;100)),
VLOOKUP(FLOOR((Midterm!T24/T$5)*100,1),new_transmute,4,FALSE),
VLOOKUP(Midterm!T24,new_transmute,4,FALSE)
),
""
)
)
)
)
)
)
)
)
))</f>
        <v/>
      </c>
      <c r="U24" s="14" t="str">
        <f>IF($B24="","",
IF(U$5="","",
IF(Midterm!U24="",0,
IF(NOT(ISNUMBER(Midterm!U24)),"NAN",
IF(Midterm!U24&lt;0,"NEG",
IF(Midterm!U24&gt;U$5,"OVER",
IF(AND(U$5&lt;=100,Midterm!U24&gt;100),"ERR",
IF(Info!$B$4="Non-board program",
IF(OR(AND(U$5&gt;0,U$5&gt;100),AND(U$5&gt;0,U$5&lt;100)),
VLOOKUP(FLOOR((Midterm!U24/U$5)*100,1),new_transmute,2,FALSE),
VLOOKUP(Midterm!U24,new_transmute,2,FALSE)
),
IF(Info!$B$4="Board program",
IF(OR(AND(U$5&gt;0,U$5&gt;100),AND(U$5&gt;0,U$5&lt;100)),
VLOOKUP(FLOOR((Midterm!U24/U$5)*100,1),new_transmute,3,FALSE),
VLOOKUP(Midterm!U24,new_transmute,3,FALSE)
),
IF(Info!$B$4="Board program (Medicine)",
IF(OR(AND(U$5&gt;0,U$5&gt;100),AND(U$5&gt;0,U$5&lt;100)),
VLOOKUP(FLOOR((Midterm!U24/U$5)*100,1),new_transmute,4,FALSE),
VLOOKUP(Midterm!U24,new_transmute,4,FALSE)
),
""
)
)
)
)
)
)
)
)
))</f>
        <v/>
      </c>
      <c r="V24" s="14" t="str">
        <f>IF($B24="","",
IF(V$5="","",
IF(Midterm!V24="",0,
IF(NOT(ISNUMBER(Midterm!V24)),"NAN",
IF(Midterm!V24&lt;0,"NEG",
IF(Midterm!V24&gt;V$5,"OVER",
IF(AND(V$5&lt;=100,Midterm!V24&gt;100),"ERR",
IF(Info!$B$4="Non-board program",
IF(OR(AND(V$5&gt;0,V$5&gt;100),AND(V$5&gt;0,V$5&lt;100)),
VLOOKUP(FLOOR((Midterm!V24/V$5)*100,1),new_transmute,2,FALSE),
VLOOKUP(Midterm!V24,new_transmute,2,FALSE)
),
IF(Info!$B$4="Board program",
IF(OR(AND(V$5&gt;0,V$5&gt;100),AND(V$5&gt;0,V$5&lt;100)),
VLOOKUP(FLOOR((Midterm!V24/V$5)*100,1),new_transmute,3,FALSE),
VLOOKUP(Midterm!V24,new_transmute,3,FALSE)
),
IF(Info!$B$4="Board program (Medicine)",
IF(OR(AND(V$5&gt;0,V$5&gt;100),AND(V$5&gt;0,V$5&lt;100)),
VLOOKUP(FLOOR((Midterm!V24/V$5)*100,1),new_transmute,4,FALSE),
VLOOKUP(Midterm!V24,new_transmute,4,FALSE)
),
""
)
)
)
)
)
)
)
)
))</f>
        <v/>
      </c>
      <c r="W24" s="14" t="str">
        <f>IF($B24="","",
IF(W$5="","",
IF(Midterm!W24="",0,
IF(NOT(ISNUMBER(Midterm!W24)),"NAN",
IF(Midterm!W24&lt;0,"NEG",
IF(Midterm!W24&gt;W$5,"OVER",
IF(AND(W$5&lt;=100,Midterm!W24&gt;100),"ERR",
IF(Info!$B$4="Non-board program",
IF(OR(AND(W$5&gt;0,W$5&gt;100),AND(W$5&gt;0,W$5&lt;100)),
VLOOKUP(FLOOR((Midterm!W24/W$5)*100,1),new_transmute,2,FALSE),
VLOOKUP(Midterm!W24,new_transmute,2,FALSE)
),
IF(Info!$B$4="Board program",
IF(OR(AND(W$5&gt;0,W$5&gt;100),AND(W$5&gt;0,W$5&lt;100)),
VLOOKUP(FLOOR((Midterm!W24/W$5)*100,1),new_transmute,3,FALSE),
VLOOKUP(Midterm!W24,new_transmute,3,FALSE)
),
IF(Info!$B$4="Board program (Medicine)",
IF(OR(AND(W$5&gt;0,W$5&gt;100),AND(W$5&gt;0,W$5&lt;100)),
VLOOKUP(FLOOR((Midterm!W24/W$5)*100,1),new_transmute,4,FALSE),
VLOOKUP(Midterm!W24,new_transmute,4,FALSE)
),
""
)
)
)
)
)
)
)
)
))</f>
        <v/>
      </c>
      <c r="X24" s="14" t="str">
        <f>IF($B24="","",
IF(X$5="","",
IF(Midterm!X24="",0,
IF(NOT(ISNUMBER(Midterm!X24)),"NAN",
IF(Midterm!X24&lt;0,"NEG",
IF(Midterm!X24&gt;X$5,"OVER",
IF(AND(X$5&lt;=100,Midterm!X24&gt;100),"ERR",
IF(Info!$B$4="Non-board program",
IF(OR(AND(X$5&gt;0,X$5&gt;100),AND(X$5&gt;0,X$5&lt;100)),
VLOOKUP(FLOOR((Midterm!X24/X$5)*100,1),new_transmute,2,FALSE),
VLOOKUP(Midterm!X24,new_transmute,2,FALSE)
),
IF(Info!$B$4="Board program",
IF(OR(AND(X$5&gt;0,X$5&gt;100),AND(X$5&gt;0,X$5&lt;100)),
VLOOKUP(FLOOR((Midterm!X24/X$5)*100,1),new_transmute,3,FALSE),
VLOOKUP(Midterm!X24,new_transmute,3,FALSE)
),
IF(Info!$B$4="Board program (Medicine)",
IF(OR(AND(X$5&gt;0,X$5&gt;100),AND(X$5&gt;0,X$5&lt;100)),
VLOOKUP(FLOOR((Midterm!X24/X$5)*100,1),new_transmute,4,FALSE),
VLOOKUP(Midterm!X24,new_transmute,4,FALSE)
),
""
)
)
)
)
)
)
)
)
))</f>
        <v/>
      </c>
      <c r="Y24" s="112" t="str">
        <f t="shared" si="4"/>
        <v/>
      </c>
      <c r="Z24" s="14" t="str">
        <f>IF($B24="","",
IF(Z$5="","",
IF(Midterm!Z24="",0,
IF(NOT(ISNUMBER(Midterm!Z24)),"NAN",
IF(Midterm!Z24&lt;0,"NEG",
IF(Midterm!Z24&gt;Z$5,"OVER",
IF(AND(Z$5&lt;=100,Midterm!Z24&gt;100),"ERR",
IF(Info!$B$4="Non-board program",
IF(OR(AND(Z$5&gt;0,Z$5&gt;100),AND(Z$5&gt;0,Z$5&lt;100)),
VLOOKUP(FLOOR((Midterm!Z24/Z$5)*100,1),new_transmute,2,FALSE),
VLOOKUP(Midterm!Z24,new_transmute,2,FALSE)
),
IF(Info!$B$4="Board program",
IF(OR(AND(Z$5&gt;0,Z$5&gt;100),AND(Z$5&gt;0,Z$5&lt;100)),
VLOOKUP(FLOOR((Midterm!Z24/Z$5)*100,1),new_transmute,3,FALSE),
VLOOKUP(Midterm!Z24,new_transmute,3,FALSE)
),
IF(Info!$B$4="Board program (Medicine)",
IF(OR(AND(Z$5&gt;0,Z$5&gt;100),AND(Z$5&gt;0,Z$5&lt;100)),
VLOOKUP(FLOOR((Midterm!Z24/Z$5)*100,1),new_transmute,4,FALSE),
VLOOKUP(Midterm!Z24,new_transmute,4,FALSE)
),
""
)
)
)
)
)
)
)
)
))</f>
        <v/>
      </c>
      <c r="AA24" s="14" t="str">
        <f>IF($B24="","",
IF(AA$5="","",
IF(Midterm!AA24="",0,
IF(NOT(ISNUMBER(Midterm!AA24)),"NAN",
IF(Midterm!AA24&lt;0,"NEG",
IF(Midterm!AA24&gt;AA$5,"OVER",
IF(AND(AA$5&lt;=100,Midterm!AA24&gt;100),"ERR",
IF(Info!$B$4="Non-board program",
IF(OR(AND(AA$5&gt;0,AA$5&gt;100),AND(AA$5&gt;0,AA$5&lt;100)),
VLOOKUP(FLOOR((Midterm!AA24/AA$5)*100,1),new_transmute,2,FALSE),
VLOOKUP(Midterm!AA24,new_transmute,2,FALSE)
),
IF(Info!$B$4="Board program",
IF(OR(AND(AA$5&gt;0,AA$5&gt;100),AND(AA$5&gt;0,AA$5&lt;100)),
VLOOKUP(FLOOR((Midterm!AA24/AA$5)*100,1),new_transmute,3,FALSE),
VLOOKUP(Midterm!AA24,new_transmute,3,FALSE)
),
IF(Info!$B$4="Board program (Medicine)",
IF(OR(AND(AA$5&gt;0,AA$5&gt;100),AND(AA$5&gt;0,AA$5&lt;100)),
VLOOKUP(FLOOR((Midterm!AA24/AA$5)*100,1),new_transmute,4,FALSE),
VLOOKUP(Midterm!AA24,new_transmute,4,FALSE)
),
""
)
)
)
)
)
)
)
)
))</f>
        <v/>
      </c>
      <c r="AB24" s="14" t="str">
        <f>IF($B24="","",
IF(AB$5="","",
IF(Midterm!AB24="",0,
IF(NOT(ISNUMBER(Midterm!AB24)),"NAN",
IF(Midterm!AB24&lt;0,"NEG",
IF(Midterm!AB24&gt;AB$5,"OVER",
IF(AND(AB$5&lt;=100,Midterm!AB24&gt;100),"ERR",
IF(Info!$B$4="Non-board program",
IF(OR(AND(AB$5&gt;0,AB$5&gt;100),AND(AB$5&gt;0,AB$5&lt;100)),
VLOOKUP(FLOOR((Midterm!AB24/AB$5)*100,1),new_transmute,2,FALSE),
VLOOKUP(Midterm!AB24,new_transmute,2,FALSE)
),
IF(Info!$B$4="Board program",
IF(OR(AND(AB$5&gt;0,AB$5&gt;100),AND(AB$5&gt;0,AB$5&lt;100)),
VLOOKUP(FLOOR((Midterm!AB24/AB$5)*100,1),new_transmute,3,FALSE),
VLOOKUP(Midterm!AB24,new_transmute,3,FALSE)
),
IF(Info!$B$4="Board program (Medicine)",
IF(OR(AND(AB$5&gt;0,AB$5&gt;100),AND(AB$5&gt;0,AB$5&lt;100)),
VLOOKUP(FLOOR((Midterm!AB24/AB$5)*100,1),new_transmute,4,FALSE),
VLOOKUP(Midterm!AB24,new_transmute,4,FALSE)
),
""
)
)
)
)
)
)
)
)
))</f>
        <v/>
      </c>
      <c r="AC24" s="14" t="str">
        <f>IF($B24="","",
IF(AC$5="","",
IF(Midterm!AC24="",0,
IF(NOT(ISNUMBER(Midterm!AC24)),"NAN",
IF(Midterm!AC24&lt;0,"NEG",
IF(Midterm!AC24&gt;AC$5,"OVER",
IF(AND(AC$5&lt;=100,Midterm!AC24&gt;100),"ERR",
IF(Info!$B$4="Non-board program",
IF(OR(AND(AC$5&gt;0,AC$5&gt;100),AND(AC$5&gt;0,AC$5&lt;100)),
VLOOKUP(FLOOR((Midterm!AC24/AC$5)*100,1),new_transmute,2,FALSE),
VLOOKUP(Midterm!AC24,new_transmute,2,FALSE)
),
IF(Info!$B$4="Board program",
IF(OR(AND(AC$5&gt;0,AC$5&gt;100),AND(AC$5&gt;0,AC$5&lt;100)),
VLOOKUP(FLOOR((Midterm!AC24/AC$5)*100,1),new_transmute,3,FALSE),
VLOOKUP(Midterm!AC24,new_transmute,3,FALSE)
),
IF(Info!$B$4="Board program (Medicine)",
IF(OR(AND(AC$5&gt;0,AC$5&gt;100),AND(AC$5&gt;0,AC$5&lt;100)),
VLOOKUP(FLOOR((Midterm!AC24/AC$5)*100,1),new_transmute,4,FALSE),
VLOOKUP(Midterm!AC24,new_transmute,4,FALSE)
),
""
)
)
)
)
)
)
)
)
))</f>
        <v/>
      </c>
      <c r="AD24" s="14" t="str">
        <f>IF($B24="","",
IF(AD$5="","",
IF(Midterm!AD24="",0,
IF(NOT(ISNUMBER(Midterm!AD24)),"NAN",
IF(Midterm!AD24&lt;0,"NEG",
IF(Midterm!AD24&gt;AD$5,"OVER",
IF(AND(AD$5&lt;=100,Midterm!AD24&gt;100),"ERR",
IF(Info!$B$4="Non-board program",
IF(OR(AND(AD$5&gt;0,AD$5&gt;100),AND(AD$5&gt;0,AD$5&lt;100)),
VLOOKUP(FLOOR((Midterm!AD24/AD$5)*100,1),new_transmute,2,FALSE),
VLOOKUP(Midterm!AD24,new_transmute,2,FALSE)
),
IF(Info!$B$4="Board program",
IF(OR(AND(AD$5&gt;0,AD$5&gt;100),AND(AD$5&gt;0,AD$5&lt;100)),
VLOOKUP(FLOOR((Midterm!AD24/AD$5)*100,1),new_transmute,3,FALSE),
VLOOKUP(Midterm!AD24,new_transmute,3,FALSE)
),
IF(Info!$B$4="Board program (Medicine)",
IF(OR(AND(AD$5&gt;0,AD$5&gt;100),AND(AD$5&gt;0,AD$5&lt;100)),
VLOOKUP(FLOOR((Midterm!AD24/AD$5)*100,1),new_transmute,4,FALSE),
VLOOKUP(Midterm!AD24,new_transmute,4,FALSE)
),
""
)
)
)
)
)
)
)
)
))</f>
        <v/>
      </c>
      <c r="AE24" s="58" t="str">
        <f t="shared" si="5"/>
        <v/>
      </c>
      <c r="AF24" s="14" t="str">
        <f>IF($B24="","",
IF(AF$5="","",
IF(Midterm!AF24="",0,
IF(NOT(ISNUMBER(Midterm!AF24)),"NAN",
IF(Midterm!AF24&lt;0,"NEG",
IF(Midterm!AF24&gt;AF$5,"OVER",
IF(AND(AF$5&lt;=100,Midterm!AF24&gt;100),"ERR",
IF(Info!$B$4="Non-board program",
IF(OR(AND(AF$5&gt;0,AF$5&gt;100),AND(AF$5&gt;0,AF$5&lt;100)),
VLOOKUP(FLOOR((Midterm!AF24/AF$5)*100,1),new_transmute,2,FALSE),
VLOOKUP(Midterm!AF24,new_transmute,2,FALSE)
),
IF(Info!$B$4="Board program",
IF(OR(AND(AF$5&gt;0,AF$5&gt;100),AND(AF$5&gt;0,AF$5&lt;100)),
VLOOKUP(FLOOR((Midterm!AF24/AF$5)*100,1),new_transmute,3,FALSE),
VLOOKUP(Midterm!AF24,new_transmute,3,FALSE)
),
IF(Info!$B$4="Board program (Medicine)",
IF(OR(AND(AF$5&gt;0,AF$5&gt;100),AND(AF$5&gt;0,AF$5&lt;100)),
VLOOKUP(FLOOR((Midterm!AF24/AF$5)*100,1),new_transmute,4,FALSE),
VLOOKUP(Midterm!AF24,new_transmute,4,FALSE)
),
""
)
)
)
)
)
)
)
)
))</f>
        <v/>
      </c>
      <c r="AG24" s="14" t="str">
        <f>IF($B24="","",
IF(AG$5="","",
IF(Midterm!AG24="",0,
IF(NOT(ISNUMBER(Midterm!AG24)),"NAN",
IF(Midterm!AG24&lt;0,"NEG",
IF(Midterm!AG24&gt;AG$5,"OVER",
IF(AND(AG$5&lt;=100,Midterm!AG24&gt;100),"ERR",
IF(Info!$B$4="Non-board program",
IF(OR(AND(AG$5&gt;0,AG$5&gt;100),AND(AG$5&gt;0,AG$5&lt;100)),
VLOOKUP(FLOOR((Midterm!AG24/AG$5)*100,1),new_transmute,2,FALSE),
VLOOKUP(Midterm!AG24,new_transmute,2,FALSE)
),
IF(Info!$B$4="Board program",
IF(OR(AND(AG$5&gt;0,AG$5&gt;100),AND(AG$5&gt;0,AG$5&lt;100)),
VLOOKUP(FLOOR((Midterm!AG24/AG$5)*100,1),new_transmute,3,FALSE),
VLOOKUP(Midterm!AG24,new_transmute,3,FALSE)
),
IF(Info!$B$4="Board program (Medicine)",
IF(OR(AND(AG$5&gt;0,AG$5&gt;100),AND(AG$5&gt;0,AG$5&lt;100)),
VLOOKUP(FLOOR((Midterm!AG24/AG$5)*100,1),new_transmute,4,FALSE),
VLOOKUP(Midterm!AG24,new_transmute,4,FALSE)
),
""
)
)
)
)
)
)
)
)
))</f>
        <v/>
      </c>
      <c r="AH24" s="14" t="str">
        <f>IF($B24="","",
IF(AH$5="","",
IF(Midterm!AH24="",0,
IF(NOT(ISNUMBER(Midterm!AH24)),"NAN",
IF(Midterm!AH24&lt;0,"NEG",
IF(Midterm!AH24&gt;AH$5,"OVER",
IF(AND(AH$5&lt;=100,Midterm!AH24&gt;100),"ERR",
IF(Info!$B$4="Non-board program",
IF(OR(AND(AH$5&gt;0,AH$5&gt;100),AND(AH$5&gt;0,AH$5&lt;100)),
VLOOKUP(FLOOR((Midterm!AH24/AH$5)*100,1),new_transmute,2,FALSE),
VLOOKUP(Midterm!AH24,new_transmute,2,FALSE)
),
IF(Info!$B$4="Board program",
IF(OR(AND(AH$5&gt;0,AH$5&gt;100),AND(AH$5&gt;0,AH$5&lt;100)),
VLOOKUP(FLOOR((Midterm!AH24/AH$5)*100,1),new_transmute,3,FALSE),
VLOOKUP(Midterm!AH24,new_transmute,3,FALSE)
),
IF(Info!$B$4="Board program (Medicine)",
IF(OR(AND(AH$5&gt;0,AH$5&gt;100),AND(AH$5&gt;0,AH$5&lt;100)),
VLOOKUP(FLOOR((Midterm!AH24/AH$5)*100,1),new_transmute,4,FALSE),
VLOOKUP(Midterm!AH24,new_transmute,4,FALSE)
),
""
)
)
)
)
)
)
)
)
))</f>
        <v/>
      </c>
      <c r="AI24" s="14" t="str">
        <f>IF($B24="","",
IF(AI$5="","",
IF(Midterm!AI24="",0,
IF(NOT(ISNUMBER(Midterm!AI24)),"NAN",
IF(Midterm!AI24&lt;0,"NEG",
IF(Midterm!AI24&gt;AI$5,"OVER",
IF(AND(AI$5&lt;=100,Midterm!AI24&gt;100),"ERR",
IF(Info!$B$4="Non-board program",
IF(OR(AND(AI$5&gt;0,AI$5&gt;100),AND(AI$5&gt;0,AI$5&lt;100)),
VLOOKUP(FLOOR((Midterm!AI24/AI$5)*100,1),new_transmute,2,FALSE),
VLOOKUP(Midterm!AI24,new_transmute,2,FALSE)
),
IF(Info!$B$4="Board program",
IF(OR(AND(AI$5&gt;0,AI$5&gt;100),AND(AI$5&gt;0,AI$5&lt;100)),
VLOOKUP(FLOOR((Midterm!AI24/AI$5)*100,1),new_transmute,3,FALSE),
VLOOKUP(Midterm!AI24,new_transmute,3,FALSE)
),
IF(Info!$B$4="Board program (Medicine)",
IF(OR(AND(AI$5&gt;0,AI$5&gt;100),AND(AI$5&gt;0,AI$5&lt;100)),
VLOOKUP(FLOOR((Midterm!AI24/AI$5)*100,1),new_transmute,4,FALSE),
VLOOKUP(Midterm!AI24,new_transmute,4,FALSE)
),
""
)
)
)
)
)
)
)
)
))</f>
        <v/>
      </c>
      <c r="AJ24" s="14" t="str">
        <f>IF($B24="","",
IF(AJ$5="","",
IF(Midterm!AJ24="",0,
IF(NOT(ISNUMBER(Midterm!AJ24)),"NAN",
IF(Midterm!AJ24&lt;0,"NEG",
IF(Midterm!AJ24&gt;AJ$5,"OVER",
IF(AND(AJ$5&lt;=100,Midterm!AJ24&gt;100),"ERR",
IF(Info!$B$4="Non-board program",
IF(OR(AND(AJ$5&gt;0,AJ$5&gt;100),AND(AJ$5&gt;0,AJ$5&lt;100)),
VLOOKUP(FLOOR((Midterm!AJ24/AJ$5)*100,1),new_transmute,2,FALSE),
VLOOKUP(Midterm!AJ24,new_transmute,2,FALSE)
),
IF(Info!$B$4="Board program",
IF(OR(AND(AJ$5&gt;0,AJ$5&gt;100),AND(AJ$5&gt;0,AJ$5&lt;100)),
VLOOKUP(FLOOR((Midterm!AJ24/AJ$5)*100,1),new_transmute,3,FALSE),
VLOOKUP(Midterm!AJ24,new_transmute,3,FALSE)
),
IF(Info!$B$4="Board program (Medicine)",
IF(OR(AND(AJ$5&gt;0,AJ$5&gt;100),AND(AJ$5&gt;0,AJ$5&lt;100)),
VLOOKUP(FLOOR((Midterm!AJ24/AJ$5)*100,1),new_transmute,4,FALSE),
VLOOKUP(Midterm!AJ24,new_transmute,4,FALSE)
),
""
)
)
)
)
)
)
)
)
))</f>
        <v/>
      </c>
      <c r="AK24" s="59" t="str">
        <f t="shared" si="6"/>
        <v/>
      </c>
      <c r="AL24" s="60" t="str">
        <f>IF(B24="", "",
    IF(OR(M24="OVER", S24="OVER", Y24="OVER", AE24="OVER", AK24="OVER"),
        "OVER",
        IF(Info!$B$4="Non-board program",
            VLOOKUP(IFERROR(FLOOR(SUM((M24*$M$4), (S24*$S$4), (Y24*$Y$4), (AE24*$AE$4), (AK24*$AK$4)) * (100 / 60), 1), 0), new_transmute, 2, FALSE),
            IF(Info!$B$4="Board program",
                VLOOKUP(IFERROR(FLOOR(SUM((M24*$M$4), (S24*$S$4), (Y24*$Y$4), (AE24*$AE$4), (AK24*$AK$4)) * (100 / 60), 1), 0), new_transmute, 3, FALSE),
                IF(Info!$B$4="Board program (Medicine)",
                    VLOOKUP(IFERROR(FLOOR(SUM((M24*$M$4), (S24*$S$4), (Y24*$Y$4), (AE24*$AE$4), (AK24*$AK$4)) * (100 / 60), 1), 0), new_transmute, 4, FALSE),
                    ""
                )
            )
        )
    )
)</f>
        <v/>
      </c>
      <c r="AM24" s="14" t="str">
        <f>IF($B24="","",
IF(AM$5="","",
IF(Midterm!AM24="",0,
IF(NOT(ISNUMBER(Midterm!AM24)),"NAN",
IF(Midterm!AM24&lt;0,"NEG",
IF(Midterm!AM24&gt;AM$5,"OVER",
IF(AND(AM$5&lt;=100,Midterm!AM24&gt;100),"ERR",
IF(Info!$B$4="Non-board program",
IF(OR(AND(AM$5&gt;0,AM$5&gt;100),AND(AM$5&gt;0,AM$5&lt;100)),
VLOOKUP(FLOOR((Midterm!AM24/AM$5)*100,1),new_transmute,2,FALSE),
VLOOKUP(Midterm!AM24,new_transmute,2,FALSE)
),
IF(Info!$B$4="Board program",
IF(OR(AND(AM$5&gt;0,AM$5&gt;100),AND(AM$5&gt;0,AM$5&lt;100)),
VLOOKUP(FLOOR((Midterm!AM24/AM$5)*100,1),new_transmute,3,FALSE),
VLOOKUP(Midterm!AM24,new_transmute,3,FALSE)
),
IF(Info!$B$4="Board program (Medicine)",
IF(OR(AND(AM$5&gt;0,AM$5&gt;100),AND(AM$5&gt;0,AM$5&lt;100)),
VLOOKUP(FLOOR((Midterm!AM24/AM$5)*100,1),new_transmute,4,FALSE),
VLOOKUP(Midterm!AM24,new_transmute,4,FALSE)
),
""
)
)
)
)
)
)
)
)
))</f>
        <v/>
      </c>
      <c r="AN24" s="14" t="str">
        <f>IF($B24="","",
IF(AN$5="","",
IF(Midterm!AN24="",0,
IF(NOT(ISNUMBER(Midterm!AN24)),"NAN",
IF(Midterm!AN24&lt;0,"NEG",
IF(Midterm!AN24&gt;AN$5,"OVER",
IF(AND(AN$5&lt;=100,Midterm!AN24&gt;100),"ERR",
IF(Info!$B$4="Non-board program",
IF(OR(AND(AN$5&gt;0,AN$5&gt;100),AND(AN$5&gt;0,AN$5&lt;100)),
VLOOKUP(FLOOR((Midterm!AN24/AN$5)*100,1),new_transmute,2,FALSE),
VLOOKUP(Midterm!AN24,new_transmute,2,FALSE)
),
IF(Info!$B$4="Board program",
IF(OR(AND(AN$5&gt;0,AN$5&gt;100),AND(AN$5&gt;0,AN$5&lt;100)),
VLOOKUP(FLOOR((Midterm!AN24/AN$5)*100,1),new_transmute,3,FALSE),
VLOOKUP(Midterm!AN24,new_transmute,3,FALSE)
),
IF(Info!$B$4="Board program (Medicine)",
IF(OR(AND(AN$5&gt;0,AN$5&gt;100),AND(AN$5&gt;0,AN$5&lt;100)),
VLOOKUP(FLOOR((Midterm!AN24/AN$5)*100,1),new_transmute,4,FALSE),
VLOOKUP(Midterm!AN24,new_transmute,4,FALSE)
),
""
)
)
)
)
)
)
)
)
))</f>
        <v/>
      </c>
      <c r="AO24" s="14" t="str">
        <f>IF($B24="","",
IF(AO$5="","",
IF(Midterm!AO24="",0,
IF(NOT(ISNUMBER(Midterm!AO24)),"NAN",
IF(Midterm!AO24&lt;0,"NEG",
IF(Midterm!AO24&gt;AO$5,"OVER",
IF(AND(AO$5&lt;=100,Midterm!AO24&gt;100),"ERR",
IF(Info!$B$4="Non-board program",
IF(OR(AND(AO$5&gt;0,AO$5&gt;100),AND(AO$5&gt;0,AO$5&lt;100)),
VLOOKUP(FLOOR((Midterm!AO24/AO$5)*100,1),new_transmute,2,FALSE),
VLOOKUP(Midterm!AO24,new_transmute,2,FALSE)
),
IF(Info!$B$4="Board program",
IF(OR(AND(AO$5&gt;0,AO$5&gt;100),AND(AO$5&gt;0,AO$5&lt;100)),
VLOOKUP(FLOOR((Midterm!AO24/AO$5)*100,1),new_transmute,3,FALSE),
VLOOKUP(Midterm!AO24,new_transmute,3,FALSE)
),
IF(Info!$B$4="Board program (Medicine)",
IF(OR(AND(AO$5&gt;0,AO$5&gt;100),AND(AO$5&gt;0,AO$5&lt;100)),
VLOOKUP(FLOOR((Midterm!AO24/AO$5)*100,1),new_transmute,4,FALSE),
VLOOKUP(Midterm!AO24,new_transmute,4,FALSE)
),
""
)
)
)
)
)
)
)
)
))</f>
        <v/>
      </c>
      <c r="AP24" s="14" t="str">
        <f>IF($B24="","",
IF(AP$5="","",
IF(Midterm!AP24="",0,
IF(NOT(ISNUMBER(Midterm!AP24)),"NAN",
IF(Midterm!AP24&lt;0,"NEG",
IF(Midterm!AP24&gt;AP$5,"OVER",
IF(AND(AP$5&lt;=100,Midterm!AP24&gt;100),"ERR",
IF(Info!$B$4="Non-board program",
IF(OR(AND(AP$5&gt;0,AP$5&gt;100),AND(AP$5&gt;0,AP$5&lt;100)),
VLOOKUP(FLOOR((Midterm!AP24/AP$5)*100,1),new_transmute,2,FALSE),
VLOOKUP(Midterm!AP24,new_transmute,2,FALSE)
),
IF(Info!$B$4="Board program",
IF(OR(AND(AP$5&gt;0,AP$5&gt;100),AND(AP$5&gt;0,AP$5&lt;100)),
VLOOKUP(FLOOR((Midterm!AP24/AP$5)*100,1),new_transmute,3,FALSE),
VLOOKUP(Midterm!AP24,new_transmute,3,FALSE)
),
IF(Info!$B$4="Board program (Medicine)",
IF(OR(AND(AP$5&gt;0,AP$5&gt;100),AND(AP$5&gt;0,AP$5&lt;100)),
VLOOKUP(FLOOR((Midterm!AP24/AP$5)*100,1),new_transmute,4,FALSE),
VLOOKUP(Midterm!AP24,new_transmute,4,FALSE)
),
""
)
)
)
)
)
)
)
)
))</f>
        <v/>
      </c>
      <c r="AQ24" s="61" t="str">
        <f t="shared" si="7"/>
        <v/>
      </c>
      <c r="AR24" s="48" t="str">
        <f>IF(Midterm!AR24="","",Midterm!AR24)</f>
        <v/>
      </c>
      <c r="AS24" s="165" t="str">
        <f t="shared" si="8"/>
        <v/>
      </c>
      <c r="AT24" s="14" t="str">
        <f t="shared" si="0"/>
        <v/>
      </c>
      <c r="AU24" s="14" t="str">
        <f>IF(B24="","",VLOOKUP(AT24,'New Grade Equivalent'!$B$3:$C$47,2,FALSE))</f>
        <v/>
      </c>
    </row>
    <row r="25" spans="1:47" x14ac:dyDescent="0.25">
      <c r="A25" s="8">
        <v>20</v>
      </c>
      <c r="B25" s="2" t="str">
        <f>IF('Student List'!C29="","",UPPER(LEFT('Student List'!C29,FIND(",",'Student List'!C29)-1)))</f>
        <v/>
      </c>
      <c r="C25" s="12" t="str">
        <f>IF('Student List'!C29="","",PROPER(MID('Student List'!C29, FIND(",", 'Student List'!C29) + 2, LEN('Student List'!C29) - FIND(",", 'Student List'!C29) - 1)))</f>
        <v/>
      </c>
      <c r="D25" s="127" t="str">
        <f>IF(B25="","",IF(Midterm!D25="", "NA", Midterm!D25))</f>
        <v/>
      </c>
      <c r="E25" s="8" t="str">
        <f>IF(B25="","",
  IF(Info!$B$5="First Year",
    IF(D25="Yes", "DRP",
      IF(D25="No", "WF", "")
    )
  )
)</f>
        <v/>
      </c>
      <c r="F25" s="14" t="str">
        <f>IF($B25="","",
IF(F$5="","",
IF(Midterm!F25="",0,
IF(NOT(ISNUMBER(Midterm!F25)),"NAN",
IF(Midterm!F25&lt;0,"NEG",
IF(Midterm!F25&gt;F$5,"OVER",
IF(AND(F$5&lt;=100,Midterm!F25&gt;100),"ERR",
IF(Info!$B$4="Non-board program",
IF(OR(AND(F$5&gt;0,F$5&gt;100),AND(F$5&gt;0,F$5&lt;100)),
VLOOKUP(FLOOR((Midterm!F25/F$5)*100,1),new_transmute,2,FALSE),
VLOOKUP(Midterm!F25,new_transmute,2,FALSE)
),
IF(Info!$B$4="Board program",
IF(OR(AND(F$5&gt;0,F$5&gt;100),AND(F$5&gt;0,F$5&lt;100)),
VLOOKUP(FLOOR((Midterm!F25/F$5)*100,1),new_transmute,3,FALSE),
VLOOKUP(Midterm!F25,new_transmute,3,FALSE)
),
IF(Info!$B$4="Board program (Medicine)",
IF(OR(AND(F$5&gt;0,F$5&gt;100),AND(F$5&gt;0,F$5&lt;100)),
VLOOKUP(FLOOR((Midterm!F25/F$5)*100,1),new_transmute,4,FALSE),
VLOOKUP(Midterm!F25,new_transmute,4,FALSE)
),
""
)
)
)
)
)
)
)
)
))</f>
        <v/>
      </c>
      <c r="G25" s="57" t="str">
        <f t="shared" si="1"/>
        <v/>
      </c>
      <c r="H25" s="14" t="str">
        <f>IF($B25="","",
IF(H$5="","",
IF(Midterm!H25="",0,
IF(NOT(ISNUMBER(Midterm!H25)),"NAN",
IF(Midterm!H25&lt;0,"NEG",
IF(Midterm!H25&gt;H$5,"OVER",
IF(AND(H$5&lt;=100,Midterm!H25&gt;100),"ERR",
IF(Info!$B$4="Non-board program",
IF(OR(AND(H$5&gt;0,H$5&gt;100),AND(H$5&gt;0,H$5&lt;100)),
VLOOKUP(FLOOR((Midterm!H25/H$5)*100,1),new_transmute,2,FALSE),
VLOOKUP(Midterm!H25,new_transmute,2,FALSE)
),
IF(Info!$B$4="Board program",
IF(OR(AND(H$5&gt;0,H$5&gt;100),AND(H$5&gt;0,H$5&lt;100)),
VLOOKUP(FLOOR((Midterm!H25/H$5)*100,1),new_transmute,3,FALSE),
VLOOKUP(Midterm!H25,new_transmute,3,FALSE)
),
IF(Info!$B$4="Board program (Medicine)",
IF(OR(AND(H$5&gt;0,H$5&gt;100),AND(H$5&gt;0,H$5&lt;100)),
VLOOKUP(FLOOR((Midterm!H25/H$5)*100,1),new_transmute,4,FALSE),
VLOOKUP(Midterm!H25,new_transmute,4,FALSE)
),
""
)
)
)
)
)
)
)
)
))</f>
        <v/>
      </c>
      <c r="I25" s="14" t="str">
        <f>IF($B25="","",
IF(I$5="","",
IF(Midterm!I25="",0,
IF(NOT(ISNUMBER(Midterm!I25)),"NAN",
IF(Midterm!I25&lt;0,"NEG",
IF(Midterm!I25&gt;I$5,"OVER",
IF(AND(I$5&lt;=100,Midterm!I25&gt;100),"ERR",
IF(Info!$B$4="Non-board program",
IF(OR(AND(I$5&gt;0,I$5&gt;100),AND(I$5&gt;0,I$5&lt;100)),
VLOOKUP(FLOOR((Midterm!I25/I$5)*100,1),new_transmute,2,FALSE),
VLOOKUP(Midterm!I25,new_transmute,2,FALSE)
),
IF(Info!$B$4="Board program",
IF(OR(AND(I$5&gt;0,I$5&gt;100),AND(I$5&gt;0,I$5&lt;100)),
VLOOKUP(FLOOR((Midterm!I25/I$5)*100,1),new_transmute,3,FALSE),
VLOOKUP(Midterm!I25,new_transmute,3,FALSE)
),
IF(Info!$B$4="Board program (Medicine)",
IF(OR(AND(I$5&gt;0,I$5&gt;100),AND(I$5&gt;0,I$5&lt;100)),
VLOOKUP(FLOOR((Midterm!I25/I$5)*100,1),new_transmute,4,FALSE),
VLOOKUP(Midterm!I25,new_transmute,4,FALSE)
),
""
)
)
)
)
)
)
)
)
))</f>
        <v/>
      </c>
      <c r="J25" s="14" t="str">
        <f>IF($B25="","",
IF(J$5="","",
IF(Midterm!J25="",0,
IF(NOT(ISNUMBER(Midterm!J25)),"NAN",
IF(Midterm!J25&lt;0,"NEG",
IF(Midterm!J25&gt;J$5,"OVER",
IF(AND(J$5&lt;=100,Midterm!J25&gt;100),"ERR",
IF(Info!$B$4="Non-board program",
IF(OR(AND(J$5&gt;0,J$5&gt;100),AND(J$5&gt;0,J$5&lt;100)),
VLOOKUP(FLOOR((Midterm!J25/J$5)*100,1),new_transmute,2,FALSE),
VLOOKUP(Midterm!J25,new_transmute,2,FALSE)
),
IF(Info!$B$4="Board program",
IF(OR(AND(J$5&gt;0,J$5&gt;100),AND(J$5&gt;0,J$5&lt;100)),
VLOOKUP(FLOOR((Midterm!J25/J$5)*100,1),new_transmute,3,FALSE),
VLOOKUP(Midterm!J25,new_transmute,3,FALSE)
),
IF(Info!$B$4="Board program (Medicine)",
IF(OR(AND(J$5&gt;0,J$5&gt;100),AND(J$5&gt;0,J$5&lt;100)),
VLOOKUP(FLOOR((Midterm!J25/J$5)*100,1),new_transmute,4,FALSE),
VLOOKUP(Midterm!J25,new_transmute,4,FALSE)
),
""
)
)
)
)
)
)
)
)
))</f>
        <v/>
      </c>
      <c r="K25" s="14" t="str">
        <f>IF($B25="","",
IF(K$5="","",
IF(Midterm!K25="",0,
IF(NOT(ISNUMBER(Midterm!K25)),"NAN",
IF(Midterm!K25&lt;0,"NEG",
IF(Midterm!K25&gt;K$5,"OVER",
IF(AND(K$5&lt;=100,Midterm!K25&gt;100),"ERR",
IF(Info!$B$4="Non-board program",
IF(OR(AND(K$5&gt;0,K$5&gt;100),AND(K$5&gt;0,K$5&lt;100)),
VLOOKUP(FLOOR((Midterm!K25/K$5)*100,1),new_transmute,2,FALSE),
VLOOKUP(Midterm!K25,new_transmute,2,FALSE)
),
IF(Info!$B$4="Board program",
IF(OR(AND(K$5&gt;0,K$5&gt;100),AND(K$5&gt;0,K$5&lt;100)),
VLOOKUP(FLOOR((Midterm!K25/K$5)*100,1),new_transmute,3,FALSE),
VLOOKUP(Midterm!K25,new_transmute,3,FALSE)
),
IF(Info!$B$4="Board program (Medicine)",
IF(OR(AND(K$5&gt;0,K$5&gt;100),AND(K$5&gt;0,K$5&lt;100)),
VLOOKUP(FLOOR((Midterm!K25/K$5)*100,1),new_transmute,4,FALSE),
VLOOKUP(Midterm!K25,new_transmute,4,FALSE)
),
""
)
)
)
)
)
)
)
)
))</f>
        <v/>
      </c>
      <c r="L25" s="14" t="str">
        <f>IF($B25="","",
IF(L$5="","",
IF(Midterm!L25="",0,
IF(NOT(ISNUMBER(Midterm!L25)),"NAN",
IF(Midterm!L25&lt;0,"NEG",
IF(Midterm!L25&gt;L$5,"OVER",
IF(AND(L$5&lt;=100,Midterm!L25&gt;100),"ERR",
IF(Info!$B$4="Non-board program",
IF(OR(AND(L$5&gt;0,L$5&gt;100),AND(L$5&gt;0,L$5&lt;100)),
VLOOKUP(FLOOR((Midterm!L25/L$5)*100,1),new_transmute,2,FALSE),
VLOOKUP(Midterm!L25,new_transmute,2,FALSE)
),
IF(Info!$B$4="Board program",
IF(OR(AND(L$5&gt;0,L$5&gt;100),AND(L$5&gt;0,L$5&lt;100)),
VLOOKUP(FLOOR((Midterm!L25/L$5)*100,1),new_transmute,3,FALSE),
VLOOKUP(Midterm!L25,new_transmute,3,FALSE)
),
IF(Info!$B$4="Board program (Medicine)",
IF(OR(AND(L$5&gt;0,L$5&gt;100),AND(L$5&gt;0,L$5&lt;100)),
VLOOKUP(FLOOR((Midterm!L25/L$5)*100,1),new_transmute,4,FALSE),
VLOOKUP(Midterm!L25,new_transmute,4,FALSE)
),
""
)
)
)
)
)
)
)
)
))</f>
        <v/>
      </c>
      <c r="M25" s="111" t="str">
        <f t="shared" si="2"/>
        <v/>
      </c>
      <c r="N25" s="14" t="str">
        <f>IF($B25="","",
IF(N$5="","",
IF(Midterm!N25="",0,
IF(NOT(ISNUMBER(Midterm!N25)),"NAN",
IF(Midterm!N25&lt;0,"NEG",
IF(Midterm!N25&gt;N$5,"OVER",
IF(AND(N$5&lt;=100,Midterm!N25&gt;100),"ERR",
IF(Info!$B$4="Non-board program",
IF(OR(AND(N$5&gt;0,N$5&gt;100),AND(N$5&gt;0,N$5&lt;100)),
VLOOKUP(FLOOR((Midterm!N25/N$5)*100,1),new_transmute,2,FALSE),
VLOOKUP(Midterm!N25,new_transmute,2,FALSE)
),
IF(Info!$B$4="Board program",
IF(OR(AND(N$5&gt;0,N$5&gt;100),AND(N$5&gt;0,N$5&lt;100)),
VLOOKUP(FLOOR((Midterm!N25/N$5)*100,1),new_transmute,3,FALSE),
VLOOKUP(Midterm!N25,new_transmute,3,FALSE)
),
IF(Info!$B$4="Board program (Medicine)",
IF(OR(AND(N$5&gt;0,N$5&gt;100),AND(N$5&gt;0,N$5&lt;100)),
VLOOKUP(FLOOR((Midterm!N25/N$5)*100,1),new_transmute,4,FALSE),
VLOOKUP(Midterm!N25,new_transmute,4,FALSE)
),
""
)
)
)
)
)
)
)
)
))</f>
        <v/>
      </c>
      <c r="O25" s="14" t="str">
        <f>IF($B25="","",
IF(O$5="","",
IF(Midterm!O25="",0,
IF(NOT(ISNUMBER(Midterm!O25)),"NAN",
IF(Midterm!O25&lt;0,"NEG",
IF(Midterm!O25&gt;O$5,"OVER",
IF(AND(O$5&lt;=100,Midterm!O25&gt;100),"ERR",
IF(Info!$B$4="Non-board program",
IF(OR(AND(O$5&gt;0,O$5&gt;100),AND(O$5&gt;0,O$5&lt;100)),
VLOOKUP(FLOOR((Midterm!O25/O$5)*100,1),new_transmute,2,FALSE),
VLOOKUP(Midterm!O25,new_transmute,2,FALSE)
),
IF(Info!$B$4="Board program",
IF(OR(AND(O$5&gt;0,O$5&gt;100),AND(O$5&gt;0,O$5&lt;100)),
VLOOKUP(FLOOR((Midterm!O25/O$5)*100,1),new_transmute,3,FALSE),
VLOOKUP(Midterm!O25,new_transmute,3,FALSE)
),
IF(Info!$B$4="Board program (Medicine)",
IF(OR(AND(O$5&gt;0,O$5&gt;100),AND(O$5&gt;0,O$5&lt;100)),
VLOOKUP(FLOOR((Midterm!O25/O$5)*100,1),new_transmute,4,FALSE),
VLOOKUP(Midterm!O25,new_transmute,4,FALSE)
),
""
)
)
)
)
)
)
)
)
))</f>
        <v/>
      </c>
      <c r="P25" s="14" t="str">
        <f>IF($B25="","",
IF(P$5="","",
IF(Midterm!P25="",0,
IF(NOT(ISNUMBER(Midterm!P25)),"NAN",
IF(Midterm!P25&lt;0,"NEG",
IF(Midterm!P25&gt;P$5,"OVER",
IF(AND(P$5&lt;=100,Midterm!P25&gt;100),"ERR",
IF(Info!$B$4="Non-board program",
IF(OR(AND(P$5&gt;0,P$5&gt;100),AND(P$5&gt;0,P$5&lt;100)),
VLOOKUP(FLOOR((Midterm!P25/P$5)*100,1),new_transmute,2,FALSE),
VLOOKUP(Midterm!P25,new_transmute,2,FALSE)
),
IF(Info!$B$4="Board program",
IF(OR(AND(P$5&gt;0,P$5&gt;100),AND(P$5&gt;0,P$5&lt;100)),
VLOOKUP(FLOOR((Midterm!P25/P$5)*100,1),new_transmute,3,FALSE),
VLOOKUP(Midterm!P25,new_transmute,3,FALSE)
),
IF(Info!$B$4="Board program (Medicine)",
IF(OR(AND(P$5&gt;0,P$5&gt;100),AND(P$5&gt;0,P$5&lt;100)),
VLOOKUP(FLOOR((Midterm!P25/P$5)*100,1),new_transmute,4,FALSE),
VLOOKUP(Midterm!P25,new_transmute,4,FALSE)
),
""
)
)
)
)
)
)
)
)
))</f>
        <v/>
      </c>
      <c r="Q25" s="14" t="str">
        <f>IF($B25="","",
IF(Q$5="","",
IF(Midterm!Q25="",0,
IF(NOT(ISNUMBER(Midterm!Q25)),"NAN",
IF(Midterm!Q25&lt;0,"NEG",
IF(Midterm!Q25&gt;Q$5,"OVER",
IF(AND(Q$5&lt;=100,Midterm!Q25&gt;100),"ERR",
IF(Info!$B$4="Non-board program",
IF(OR(AND(Q$5&gt;0,Q$5&gt;100),AND(Q$5&gt;0,Q$5&lt;100)),
VLOOKUP(FLOOR((Midterm!Q25/Q$5)*100,1),new_transmute,2,FALSE),
VLOOKUP(Midterm!Q25,new_transmute,2,FALSE)
),
IF(Info!$B$4="Board program",
IF(OR(AND(Q$5&gt;0,Q$5&gt;100),AND(Q$5&gt;0,Q$5&lt;100)),
VLOOKUP(FLOOR((Midterm!Q25/Q$5)*100,1),new_transmute,3,FALSE),
VLOOKUP(Midterm!Q25,new_transmute,3,FALSE)
),
IF(Info!$B$4="Board program (Medicine)",
IF(OR(AND(Q$5&gt;0,Q$5&gt;100),AND(Q$5&gt;0,Q$5&lt;100)),
VLOOKUP(FLOOR((Midterm!Q25/Q$5)*100,1),new_transmute,4,FALSE),
VLOOKUP(Midterm!Q25,new_transmute,4,FALSE)
),
""
)
)
)
)
)
)
)
)
))</f>
        <v/>
      </c>
      <c r="R25" s="14" t="str">
        <f>IF($B25="","",
IF(R$5="","",
IF(Midterm!R25="",0,
IF(NOT(ISNUMBER(Midterm!R25)),"NAN",
IF(Midterm!R25&lt;0,"NEG",
IF(Midterm!R25&gt;R$5,"OVER",
IF(AND(R$5&lt;=100,Midterm!R25&gt;100),"ERR",
IF(Info!$B$4="Non-board program",
IF(OR(AND(R$5&gt;0,R$5&gt;100),AND(R$5&gt;0,R$5&lt;100)),
VLOOKUP(FLOOR((Midterm!R25/R$5)*100,1),new_transmute,2,FALSE),
VLOOKUP(Midterm!R25,new_transmute,2,FALSE)
),
IF(Info!$B$4="Board program",
IF(OR(AND(R$5&gt;0,R$5&gt;100),AND(R$5&gt;0,R$5&lt;100)),
VLOOKUP(FLOOR((Midterm!R25/R$5)*100,1),new_transmute,3,FALSE),
VLOOKUP(Midterm!R25,new_transmute,3,FALSE)
),
IF(Info!$B$4="Board program (Medicine)",
IF(OR(AND(R$5&gt;0,R$5&gt;100),AND(R$5&gt;0,R$5&lt;100)),
VLOOKUP(FLOOR((Midterm!R25/R$5)*100,1),new_transmute,4,FALSE),
VLOOKUP(Midterm!R25,new_transmute,4,FALSE)
),
""
)
)
)
)
)
)
)
)
))</f>
        <v/>
      </c>
      <c r="S25" s="115" t="str">
        <f t="shared" si="3"/>
        <v/>
      </c>
      <c r="T25" s="14" t="str">
        <f>IF($B25="","",
IF(T$5="","",
IF(Midterm!T25="",0,
IF(NOT(ISNUMBER(Midterm!T25)),"NAN",
IF(Midterm!T25&lt;0,"NEG",
IF(Midterm!T25&gt;T$5,"OVER",
IF(AND(T$5&lt;=100,Midterm!T25&gt;100),"ERR",
IF(Info!$B$4="Non-board program",
IF(OR(AND(T$5&gt;0,T$5&gt;100),AND(T$5&gt;0,T$5&lt;100)),
VLOOKUP(FLOOR((Midterm!T25/T$5)*100,1),new_transmute,2,FALSE),
VLOOKUP(Midterm!T25,new_transmute,2,FALSE)
),
IF(Info!$B$4="Board program",
IF(OR(AND(T$5&gt;0,T$5&gt;100),AND(T$5&gt;0,T$5&lt;100)),
VLOOKUP(FLOOR((Midterm!T25/T$5)*100,1),new_transmute,3,FALSE),
VLOOKUP(Midterm!T25,new_transmute,3,FALSE)
),
IF(Info!$B$4="Board program (Medicine)",
IF(OR(AND(T$5&gt;0,T$5&gt;100),AND(T$5&gt;0,T$5&lt;100)),
VLOOKUP(FLOOR((Midterm!T25/T$5)*100,1),new_transmute,4,FALSE),
VLOOKUP(Midterm!T25,new_transmute,4,FALSE)
),
""
)
)
)
)
)
)
)
)
))</f>
        <v/>
      </c>
      <c r="U25" s="14" t="str">
        <f>IF($B25="","",
IF(U$5="","",
IF(Midterm!U25="",0,
IF(NOT(ISNUMBER(Midterm!U25)),"NAN",
IF(Midterm!U25&lt;0,"NEG",
IF(Midterm!U25&gt;U$5,"OVER",
IF(AND(U$5&lt;=100,Midterm!U25&gt;100),"ERR",
IF(Info!$B$4="Non-board program",
IF(OR(AND(U$5&gt;0,U$5&gt;100),AND(U$5&gt;0,U$5&lt;100)),
VLOOKUP(FLOOR((Midterm!U25/U$5)*100,1),new_transmute,2,FALSE),
VLOOKUP(Midterm!U25,new_transmute,2,FALSE)
),
IF(Info!$B$4="Board program",
IF(OR(AND(U$5&gt;0,U$5&gt;100),AND(U$5&gt;0,U$5&lt;100)),
VLOOKUP(FLOOR((Midterm!U25/U$5)*100,1),new_transmute,3,FALSE),
VLOOKUP(Midterm!U25,new_transmute,3,FALSE)
),
IF(Info!$B$4="Board program (Medicine)",
IF(OR(AND(U$5&gt;0,U$5&gt;100),AND(U$5&gt;0,U$5&lt;100)),
VLOOKUP(FLOOR((Midterm!U25/U$5)*100,1),new_transmute,4,FALSE),
VLOOKUP(Midterm!U25,new_transmute,4,FALSE)
),
""
)
)
)
)
)
)
)
)
))</f>
        <v/>
      </c>
      <c r="V25" s="14" t="str">
        <f>IF($B25="","",
IF(V$5="","",
IF(Midterm!V25="",0,
IF(NOT(ISNUMBER(Midterm!V25)),"NAN",
IF(Midterm!V25&lt;0,"NEG",
IF(Midterm!V25&gt;V$5,"OVER",
IF(AND(V$5&lt;=100,Midterm!V25&gt;100),"ERR",
IF(Info!$B$4="Non-board program",
IF(OR(AND(V$5&gt;0,V$5&gt;100),AND(V$5&gt;0,V$5&lt;100)),
VLOOKUP(FLOOR((Midterm!V25/V$5)*100,1),new_transmute,2,FALSE),
VLOOKUP(Midterm!V25,new_transmute,2,FALSE)
),
IF(Info!$B$4="Board program",
IF(OR(AND(V$5&gt;0,V$5&gt;100),AND(V$5&gt;0,V$5&lt;100)),
VLOOKUP(FLOOR((Midterm!V25/V$5)*100,1),new_transmute,3,FALSE),
VLOOKUP(Midterm!V25,new_transmute,3,FALSE)
),
IF(Info!$B$4="Board program (Medicine)",
IF(OR(AND(V$5&gt;0,V$5&gt;100),AND(V$5&gt;0,V$5&lt;100)),
VLOOKUP(FLOOR((Midterm!V25/V$5)*100,1),new_transmute,4,FALSE),
VLOOKUP(Midterm!V25,new_transmute,4,FALSE)
),
""
)
)
)
)
)
)
)
)
))</f>
        <v/>
      </c>
      <c r="W25" s="14" t="str">
        <f>IF($B25="","",
IF(W$5="","",
IF(Midterm!W25="",0,
IF(NOT(ISNUMBER(Midterm!W25)),"NAN",
IF(Midterm!W25&lt;0,"NEG",
IF(Midterm!W25&gt;W$5,"OVER",
IF(AND(W$5&lt;=100,Midterm!W25&gt;100),"ERR",
IF(Info!$B$4="Non-board program",
IF(OR(AND(W$5&gt;0,W$5&gt;100),AND(W$5&gt;0,W$5&lt;100)),
VLOOKUP(FLOOR((Midterm!W25/W$5)*100,1),new_transmute,2,FALSE),
VLOOKUP(Midterm!W25,new_transmute,2,FALSE)
),
IF(Info!$B$4="Board program",
IF(OR(AND(W$5&gt;0,W$5&gt;100),AND(W$5&gt;0,W$5&lt;100)),
VLOOKUP(FLOOR((Midterm!W25/W$5)*100,1),new_transmute,3,FALSE),
VLOOKUP(Midterm!W25,new_transmute,3,FALSE)
),
IF(Info!$B$4="Board program (Medicine)",
IF(OR(AND(W$5&gt;0,W$5&gt;100),AND(W$5&gt;0,W$5&lt;100)),
VLOOKUP(FLOOR((Midterm!W25/W$5)*100,1),new_transmute,4,FALSE),
VLOOKUP(Midterm!W25,new_transmute,4,FALSE)
),
""
)
)
)
)
)
)
)
)
))</f>
        <v/>
      </c>
      <c r="X25" s="14" t="str">
        <f>IF($B25="","",
IF(X$5="","",
IF(Midterm!X25="",0,
IF(NOT(ISNUMBER(Midterm!X25)),"NAN",
IF(Midterm!X25&lt;0,"NEG",
IF(Midterm!X25&gt;X$5,"OVER",
IF(AND(X$5&lt;=100,Midterm!X25&gt;100),"ERR",
IF(Info!$B$4="Non-board program",
IF(OR(AND(X$5&gt;0,X$5&gt;100),AND(X$5&gt;0,X$5&lt;100)),
VLOOKUP(FLOOR((Midterm!X25/X$5)*100,1),new_transmute,2,FALSE),
VLOOKUP(Midterm!X25,new_transmute,2,FALSE)
),
IF(Info!$B$4="Board program",
IF(OR(AND(X$5&gt;0,X$5&gt;100),AND(X$5&gt;0,X$5&lt;100)),
VLOOKUP(FLOOR((Midterm!X25/X$5)*100,1),new_transmute,3,FALSE),
VLOOKUP(Midterm!X25,new_transmute,3,FALSE)
),
IF(Info!$B$4="Board program (Medicine)",
IF(OR(AND(X$5&gt;0,X$5&gt;100),AND(X$5&gt;0,X$5&lt;100)),
VLOOKUP(FLOOR((Midterm!X25/X$5)*100,1),new_transmute,4,FALSE),
VLOOKUP(Midterm!X25,new_transmute,4,FALSE)
),
""
)
)
)
)
)
)
)
)
))</f>
        <v/>
      </c>
      <c r="Y25" s="112" t="str">
        <f t="shared" si="4"/>
        <v/>
      </c>
      <c r="Z25" s="14" t="str">
        <f>IF($B25="","",
IF(Z$5="","",
IF(Midterm!Z25="",0,
IF(NOT(ISNUMBER(Midterm!Z25)),"NAN",
IF(Midterm!Z25&lt;0,"NEG",
IF(Midterm!Z25&gt;Z$5,"OVER",
IF(AND(Z$5&lt;=100,Midterm!Z25&gt;100),"ERR",
IF(Info!$B$4="Non-board program",
IF(OR(AND(Z$5&gt;0,Z$5&gt;100),AND(Z$5&gt;0,Z$5&lt;100)),
VLOOKUP(FLOOR((Midterm!Z25/Z$5)*100,1),new_transmute,2,FALSE),
VLOOKUP(Midterm!Z25,new_transmute,2,FALSE)
),
IF(Info!$B$4="Board program",
IF(OR(AND(Z$5&gt;0,Z$5&gt;100),AND(Z$5&gt;0,Z$5&lt;100)),
VLOOKUP(FLOOR((Midterm!Z25/Z$5)*100,1),new_transmute,3,FALSE),
VLOOKUP(Midterm!Z25,new_transmute,3,FALSE)
),
IF(Info!$B$4="Board program (Medicine)",
IF(OR(AND(Z$5&gt;0,Z$5&gt;100),AND(Z$5&gt;0,Z$5&lt;100)),
VLOOKUP(FLOOR((Midterm!Z25/Z$5)*100,1),new_transmute,4,FALSE),
VLOOKUP(Midterm!Z25,new_transmute,4,FALSE)
),
""
)
)
)
)
)
)
)
)
))</f>
        <v/>
      </c>
      <c r="AA25" s="14" t="str">
        <f>IF($B25="","",
IF(AA$5="","",
IF(Midterm!AA25="",0,
IF(NOT(ISNUMBER(Midterm!AA25)),"NAN",
IF(Midterm!AA25&lt;0,"NEG",
IF(Midterm!AA25&gt;AA$5,"OVER",
IF(AND(AA$5&lt;=100,Midterm!AA25&gt;100),"ERR",
IF(Info!$B$4="Non-board program",
IF(OR(AND(AA$5&gt;0,AA$5&gt;100),AND(AA$5&gt;0,AA$5&lt;100)),
VLOOKUP(FLOOR((Midterm!AA25/AA$5)*100,1),new_transmute,2,FALSE),
VLOOKUP(Midterm!AA25,new_transmute,2,FALSE)
),
IF(Info!$B$4="Board program",
IF(OR(AND(AA$5&gt;0,AA$5&gt;100),AND(AA$5&gt;0,AA$5&lt;100)),
VLOOKUP(FLOOR((Midterm!AA25/AA$5)*100,1),new_transmute,3,FALSE),
VLOOKUP(Midterm!AA25,new_transmute,3,FALSE)
),
IF(Info!$B$4="Board program (Medicine)",
IF(OR(AND(AA$5&gt;0,AA$5&gt;100),AND(AA$5&gt;0,AA$5&lt;100)),
VLOOKUP(FLOOR((Midterm!AA25/AA$5)*100,1),new_transmute,4,FALSE),
VLOOKUP(Midterm!AA25,new_transmute,4,FALSE)
),
""
)
)
)
)
)
)
)
)
))</f>
        <v/>
      </c>
      <c r="AB25" s="14" t="str">
        <f>IF($B25="","",
IF(AB$5="","",
IF(Midterm!AB25="",0,
IF(NOT(ISNUMBER(Midterm!AB25)),"NAN",
IF(Midterm!AB25&lt;0,"NEG",
IF(Midterm!AB25&gt;AB$5,"OVER",
IF(AND(AB$5&lt;=100,Midterm!AB25&gt;100),"ERR",
IF(Info!$B$4="Non-board program",
IF(OR(AND(AB$5&gt;0,AB$5&gt;100),AND(AB$5&gt;0,AB$5&lt;100)),
VLOOKUP(FLOOR((Midterm!AB25/AB$5)*100,1),new_transmute,2,FALSE),
VLOOKUP(Midterm!AB25,new_transmute,2,FALSE)
),
IF(Info!$B$4="Board program",
IF(OR(AND(AB$5&gt;0,AB$5&gt;100),AND(AB$5&gt;0,AB$5&lt;100)),
VLOOKUP(FLOOR((Midterm!AB25/AB$5)*100,1),new_transmute,3,FALSE),
VLOOKUP(Midterm!AB25,new_transmute,3,FALSE)
),
IF(Info!$B$4="Board program (Medicine)",
IF(OR(AND(AB$5&gt;0,AB$5&gt;100),AND(AB$5&gt;0,AB$5&lt;100)),
VLOOKUP(FLOOR((Midterm!AB25/AB$5)*100,1),new_transmute,4,FALSE),
VLOOKUP(Midterm!AB25,new_transmute,4,FALSE)
),
""
)
)
)
)
)
)
)
)
))</f>
        <v/>
      </c>
      <c r="AC25" s="14" t="str">
        <f>IF($B25="","",
IF(AC$5="","",
IF(Midterm!AC25="",0,
IF(NOT(ISNUMBER(Midterm!AC25)),"NAN",
IF(Midterm!AC25&lt;0,"NEG",
IF(Midterm!AC25&gt;AC$5,"OVER",
IF(AND(AC$5&lt;=100,Midterm!AC25&gt;100),"ERR",
IF(Info!$B$4="Non-board program",
IF(OR(AND(AC$5&gt;0,AC$5&gt;100),AND(AC$5&gt;0,AC$5&lt;100)),
VLOOKUP(FLOOR((Midterm!AC25/AC$5)*100,1),new_transmute,2,FALSE),
VLOOKUP(Midterm!AC25,new_transmute,2,FALSE)
),
IF(Info!$B$4="Board program",
IF(OR(AND(AC$5&gt;0,AC$5&gt;100),AND(AC$5&gt;0,AC$5&lt;100)),
VLOOKUP(FLOOR((Midterm!AC25/AC$5)*100,1),new_transmute,3,FALSE),
VLOOKUP(Midterm!AC25,new_transmute,3,FALSE)
),
IF(Info!$B$4="Board program (Medicine)",
IF(OR(AND(AC$5&gt;0,AC$5&gt;100),AND(AC$5&gt;0,AC$5&lt;100)),
VLOOKUP(FLOOR((Midterm!AC25/AC$5)*100,1),new_transmute,4,FALSE),
VLOOKUP(Midterm!AC25,new_transmute,4,FALSE)
),
""
)
)
)
)
)
)
)
)
))</f>
        <v/>
      </c>
      <c r="AD25" s="14" t="str">
        <f>IF($B25="","",
IF(AD$5="","",
IF(Midterm!AD25="",0,
IF(NOT(ISNUMBER(Midterm!AD25)),"NAN",
IF(Midterm!AD25&lt;0,"NEG",
IF(Midterm!AD25&gt;AD$5,"OVER",
IF(AND(AD$5&lt;=100,Midterm!AD25&gt;100),"ERR",
IF(Info!$B$4="Non-board program",
IF(OR(AND(AD$5&gt;0,AD$5&gt;100),AND(AD$5&gt;0,AD$5&lt;100)),
VLOOKUP(FLOOR((Midterm!AD25/AD$5)*100,1),new_transmute,2,FALSE),
VLOOKUP(Midterm!AD25,new_transmute,2,FALSE)
),
IF(Info!$B$4="Board program",
IF(OR(AND(AD$5&gt;0,AD$5&gt;100),AND(AD$5&gt;0,AD$5&lt;100)),
VLOOKUP(FLOOR((Midterm!AD25/AD$5)*100,1),new_transmute,3,FALSE),
VLOOKUP(Midterm!AD25,new_transmute,3,FALSE)
),
IF(Info!$B$4="Board program (Medicine)",
IF(OR(AND(AD$5&gt;0,AD$5&gt;100),AND(AD$5&gt;0,AD$5&lt;100)),
VLOOKUP(FLOOR((Midterm!AD25/AD$5)*100,1),new_transmute,4,FALSE),
VLOOKUP(Midterm!AD25,new_transmute,4,FALSE)
),
""
)
)
)
)
)
)
)
)
))</f>
        <v/>
      </c>
      <c r="AE25" s="58" t="str">
        <f t="shared" si="5"/>
        <v/>
      </c>
      <c r="AF25" s="14" t="str">
        <f>IF($B25="","",
IF(AF$5="","",
IF(Midterm!AF25="",0,
IF(NOT(ISNUMBER(Midterm!AF25)),"NAN",
IF(Midterm!AF25&lt;0,"NEG",
IF(Midterm!AF25&gt;AF$5,"OVER",
IF(AND(AF$5&lt;=100,Midterm!AF25&gt;100),"ERR",
IF(Info!$B$4="Non-board program",
IF(OR(AND(AF$5&gt;0,AF$5&gt;100),AND(AF$5&gt;0,AF$5&lt;100)),
VLOOKUP(FLOOR((Midterm!AF25/AF$5)*100,1),new_transmute,2,FALSE),
VLOOKUP(Midterm!AF25,new_transmute,2,FALSE)
),
IF(Info!$B$4="Board program",
IF(OR(AND(AF$5&gt;0,AF$5&gt;100),AND(AF$5&gt;0,AF$5&lt;100)),
VLOOKUP(FLOOR((Midterm!AF25/AF$5)*100,1),new_transmute,3,FALSE),
VLOOKUP(Midterm!AF25,new_transmute,3,FALSE)
),
IF(Info!$B$4="Board program (Medicine)",
IF(OR(AND(AF$5&gt;0,AF$5&gt;100),AND(AF$5&gt;0,AF$5&lt;100)),
VLOOKUP(FLOOR((Midterm!AF25/AF$5)*100,1),new_transmute,4,FALSE),
VLOOKUP(Midterm!AF25,new_transmute,4,FALSE)
),
""
)
)
)
)
)
)
)
)
))</f>
        <v/>
      </c>
      <c r="AG25" s="14" t="str">
        <f>IF($B25="","",
IF(AG$5="","",
IF(Midterm!AG25="",0,
IF(NOT(ISNUMBER(Midterm!AG25)),"NAN",
IF(Midterm!AG25&lt;0,"NEG",
IF(Midterm!AG25&gt;AG$5,"OVER",
IF(AND(AG$5&lt;=100,Midterm!AG25&gt;100),"ERR",
IF(Info!$B$4="Non-board program",
IF(OR(AND(AG$5&gt;0,AG$5&gt;100),AND(AG$5&gt;0,AG$5&lt;100)),
VLOOKUP(FLOOR((Midterm!AG25/AG$5)*100,1),new_transmute,2,FALSE),
VLOOKUP(Midterm!AG25,new_transmute,2,FALSE)
),
IF(Info!$B$4="Board program",
IF(OR(AND(AG$5&gt;0,AG$5&gt;100),AND(AG$5&gt;0,AG$5&lt;100)),
VLOOKUP(FLOOR((Midterm!AG25/AG$5)*100,1),new_transmute,3,FALSE),
VLOOKUP(Midterm!AG25,new_transmute,3,FALSE)
),
IF(Info!$B$4="Board program (Medicine)",
IF(OR(AND(AG$5&gt;0,AG$5&gt;100),AND(AG$5&gt;0,AG$5&lt;100)),
VLOOKUP(FLOOR((Midterm!AG25/AG$5)*100,1),new_transmute,4,FALSE),
VLOOKUP(Midterm!AG25,new_transmute,4,FALSE)
),
""
)
)
)
)
)
)
)
)
))</f>
        <v/>
      </c>
      <c r="AH25" s="14" t="str">
        <f>IF($B25="","",
IF(AH$5="","",
IF(Midterm!AH25="",0,
IF(NOT(ISNUMBER(Midterm!AH25)),"NAN",
IF(Midterm!AH25&lt;0,"NEG",
IF(Midterm!AH25&gt;AH$5,"OVER",
IF(AND(AH$5&lt;=100,Midterm!AH25&gt;100),"ERR",
IF(Info!$B$4="Non-board program",
IF(OR(AND(AH$5&gt;0,AH$5&gt;100),AND(AH$5&gt;0,AH$5&lt;100)),
VLOOKUP(FLOOR((Midterm!AH25/AH$5)*100,1),new_transmute,2,FALSE),
VLOOKUP(Midterm!AH25,new_transmute,2,FALSE)
),
IF(Info!$B$4="Board program",
IF(OR(AND(AH$5&gt;0,AH$5&gt;100),AND(AH$5&gt;0,AH$5&lt;100)),
VLOOKUP(FLOOR((Midterm!AH25/AH$5)*100,1),new_transmute,3,FALSE),
VLOOKUP(Midterm!AH25,new_transmute,3,FALSE)
),
IF(Info!$B$4="Board program (Medicine)",
IF(OR(AND(AH$5&gt;0,AH$5&gt;100),AND(AH$5&gt;0,AH$5&lt;100)),
VLOOKUP(FLOOR((Midterm!AH25/AH$5)*100,1),new_transmute,4,FALSE),
VLOOKUP(Midterm!AH25,new_transmute,4,FALSE)
),
""
)
)
)
)
)
)
)
)
))</f>
        <v/>
      </c>
      <c r="AI25" s="14" t="str">
        <f>IF($B25="","",
IF(AI$5="","",
IF(Midterm!AI25="",0,
IF(NOT(ISNUMBER(Midterm!AI25)),"NAN",
IF(Midterm!AI25&lt;0,"NEG",
IF(Midterm!AI25&gt;AI$5,"OVER",
IF(AND(AI$5&lt;=100,Midterm!AI25&gt;100),"ERR",
IF(Info!$B$4="Non-board program",
IF(OR(AND(AI$5&gt;0,AI$5&gt;100),AND(AI$5&gt;0,AI$5&lt;100)),
VLOOKUP(FLOOR((Midterm!AI25/AI$5)*100,1),new_transmute,2,FALSE),
VLOOKUP(Midterm!AI25,new_transmute,2,FALSE)
),
IF(Info!$B$4="Board program",
IF(OR(AND(AI$5&gt;0,AI$5&gt;100),AND(AI$5&gt;0,AI$5&lt;100)),
VLOOKUP(FLOOR((Midterm!AI25/AI$5)*100,1),new_transmute,3,FALSE),
VLOOKUP(Midterm!AI25,new_transmute,3,FALSE)
),
IF(Info!$B$4="Board program (Medicine)",
IF(OR(AND(AI$5&gt;0,AI$5&gt;100),AND(AI$5&gt;0,AI$5&lt;100)),
VLOOKUP(FLOOR((Midterm!AI25/AI$5)*100,1),new_transmute,4,FALSE),
VLOOKUP(Midterm!AI25,new_transmute,4,FALSE)
),
""
)
)
)
)
)
)
)
)
))</f>
        <v/>
      </c>
      <c r="AJ25" s="14" t="str">
        <f>IF($B25="","",
IF(AJ$5="","",
IF(Midterm!AJ25="",0,
IF(NOT(ISNUMBER(Midterm!AJ25)),"NAN",
IF(Midterm!AJ25&lt;0,"NEG",
IF(Midterm!AJ25&gt;AJ$5,"OVER",
IF(AND(AJ$5&lt;=100,Midterm!AJ25&gt;100),"ERR",
IF(Info!$B$4="Non-board program",
IF(OR(AND(AJ$5&gt;0,AJ$5&gt;100),AND(AJ$5&gt;0,AJ$5&lt;100)),
VLOOKUP(FLOOR((Midterm!AJ25/AJ$5)*100,1),new_transmute,2,FALSE),
VLOOKUP(Midterm!AJ25,new_transmute,2,FALSE)
),
IF(Info!$B$4="Board program",
IF(OR(AND(AJ$5&gt;0,AJ$5&gt;100),AND(AJ$5&gt;0,AJ$5&lt;100)),
VLOOKUP(FLOOR((Midterm!AJ25/AJ$5)*100,1),new_transmute,3,FALSE),
VLOOKUP(Midterm!AJ25,new_transmute,3,FALSE)
),
IF(Info!$B$4="Board program (Medicine)",
IF(OR(AND(AJ$5&gt;0,AJ$5&gt;100),AND(AJ$5&gt;0,AJ$5&lt;100)),
VLOOKUP(FLOOR((Midterm!AJ25/AJ$5)*100,1),new_transmute,4,FALSE),
VLOOKUP(Midterm!AJ25,new_transmute,4,FALSE)
),
""
)
)
)
)
)
)
)
)
))</f>
        <v/>
      </c>
      <c r="AK25" s="59" t="str">
        <f t="shared" si="6"/>
        <v/>
      </c>
      <c r="AL25" s="60" t="str">
        <f>IF(B25="", "",
    IF(OR(M25="OVER", S25="OVER", Y25="OVER", AE25="OVER", AK25="OVER"),
        "OVER",
        IF(Info!$B$4="Non-board program",
            VLOOKUP(IFERROR(FLOOR(SUM((M25*$M$4), (S25*$S$4), (Y25*$Y$4), (AE25*$AE$4), (AK25*$AK$4)) * (100 / 60), 1), 0), new_transmute, 2, FALSE),
            IF(Info!$B$4="Board program",
                VLOOKUP(IFERROR(FLOOR(SUM((M25*$M$4), (S25*$S$4), (Y25*$Y$4), (AE25*$AE$4), (AK25*$AK$4)) * (100 / 60), 1), 0), new_transmute, 3, FALSE),
                IF(Info!$B$4="Board program (Medicine)",
                    VLOOKUP(IFERROR(FLOOR(SUM((M25*$M$4), (S25*$S$4), (Y25*$Y$4), (AE25*$AE$4), (AK25*$AK$4)) * (100 / 60), 1), 0), new_transmute, 4, FALSE),
                    ""
                )
            )
        )
    )
)</f>
        <v/>
      </c>
      <c r="AM25" s="14" t="str">
        <f>IF($B25="","",
IF(AM$5="","",
IF(Midterm!AM25="",0,
IF(NOT(ISNUMBER(Midterm!AM25)),"NAN",
IF(Midterm!AM25&lt;0,"NEG",
IF(Midterm!AM25&gt;AM$5,"OVER",
IF(AND(AM$5&lt;=100,Midterm!AM25&gt;100),"ERR",
IF(Info!$B$4="Non-board program",
IF(OR(AND(AM$5&gt;0,AM$5&gt;100),AND(AM$5&gt;0,AM$5&lt;100)),
VLOOKUP(FLOOR((Midterm!AM25/AM$5)*100,1),new_transmute,2,FALSE),
VLOOKUP(Midterm!AM25,new_transmute,2,FALSE)
),
IF(Info!$B$4="Board program",
IF(OR(AND(AM$5&gt;0,AM$5&gt;100),AND(AM$5&gt;0,AM$5&lt;100)),
VLOOKUP(FLOOR((Midterm!AM25/AM$5)*100,1),new_transmute,3,FALSE),
VLOOKUP(Midterm!AM25,new_transmute,3,FALSE)
),
IF(Info!$B$4="Board program (Medicine)",
IF(OR(AND(AM$5&gt;0,AM$5&gt;100),AND(AM$5&gt;0,AM$5&lt;100)),
VLOOKUP(FLOOR((Midterm!AM25/AM$5)*100,1),new_transmute,4,FALSE),
VLOOKUP(Midterm!AM25,new_transmute,4,FALSE)
),
""
)
)
)
)
)
)
)
)
))</f>
        <v/>
      </c>
      <c r="AN25" s="14" t="str">
        <f>IF($B25="","",
IF(AN$5="","",
IF(Midterm!AN25="",0,
IF(NOT(ISNUMBER(Midterm!AN25)),"NAN",
IF(Midterm!AN25&lt;0,"NEG",
IF(Midterm!AN25&gt;AN$5,"OVER",
IF(AND(AN$5&lt;=100,Midterm!AN25&gt;100),"ERR",
IF(Info!$B$4="Non-board program",
IF(OR(AND(AN$5&gt;0,AN$5&gt;100),AND(AN$5&gt;0,AN$5&lt;100)),
VLOOKUP(FLOOR((Midterm!AN25/AN$5)*100,1),new_transmute,2,FALSE),
VLOOKUP(Midterm!AN25,new_transmute,2,FALSE)
),
IF(Info!$B$4="Board program",
IF(OR(AND(AN$5&gt;0,AN$5&gt;100),AND(AN$5&gt;0,AN$5&lt;100)),
VLOOKUP(FLOOR((Midterm!AN25/AN$5)*100,1),new_transmute,3,FALSE),
VLOOKUP(Midterm!AN25,new_transmute,3,FALSE)
),
IF(Info!$B$4="Board program (Medicine)",
IF(OR(AND(AN$5&gt;0,AN$5&gt;100),AND(AN$5&gt;0,AN$5&lt;100)),
VLOOKUP(FLOOR((Midterm!AN25/AN$5)*100,1),new_transmute,4,FALSE),
VLOOKUP(Midterm!AN25,new_transmute,4,FALSE)
),
""
)
)
)
)
)
)
)
)
))</f>
        <v/>
      </c>
      <c r="AO25" s="14" t="str">
        <f>IF($B25="","",
IF(AO$5="","",
IF(Midterm!AO25="",0,
IF(NOT(ISNUMBER(Midterm!AO25)),"NAN",
IF(Midterm!AO25&lt;0,"NEG",
IF(Midterm!AO25&gt;AO$5,"OVER",
IF(AND(AO$5&lt;=100,Midterm!AO25&gt;100),"ERR",
IF(Info!$B$4="Non-board program",
IF(OR(AND(AO$5&gt;0,AO$5&gt;100),AND(AO$5&gt;0,AO$5&lt;100)),
VLOOKUP(FLOOR((Midterm!AO25/AO$5)*100,1),new_transmute,2,FALSE),
VLOOKUP(Midterm!AO25,new_transmute,2,FALSE)
),
IF(Info!$B$4="Board program",
IF(OR(AND(AO$5&gt;0,AO$5&gt;100),AND(AO$5&gt;0,AO$5&lt;100)),
VLOOKUP(FLOOR((Midterm!AO25/AO$5)*100,1),new_transmute,3,FALSE),
VLOOKUP(Midterm!AO25,new_transmute,3,FALSE)
),
IF(Info!$B$4="Board program (Medicine)",
IF(OR(AND(AO$5&gt;0,AO$5&gt;100),AND(AO$5&gt;0,AO$5&lt;100)),
VLOOKUP(FLOOR((Midterm!AO25/AO$5)*100,1),new_transmute,4,FALSE),
VLOOKUP(Midterm!AO25,new_transmute,4,FALSE)
),
""
)
)
)
)
)
)
)
)
))</f>
        <v/>
      </c>
      <c r="AP25" s="14" t="str">
        <f>IF($B25="","",
IF(AP$5="","",
IF(Midterm!AP25="",0,
IF(NOT(ISNUMBER(Midterm!AP25)),"NAN",
IF(Midterm!AP25&lt;0,"NEG",
IF(Midterm!AP25&gt;AP$5,"OVER",
IF(AND(AP$5&lt;=100,Midterm!AP25&gt;100),"ERR",
IF(Info!$B$4="Non-board program",
IF(OR(AND(AP$5&gt;0,AP$5&gt;100),AND(AP$5&gt;0,AP$5&lt;100)),
VLOOKUP(FLOOR((Midterm!AP25/AP$5)*100,1),new_transmute,2,FALSE),
VLOOKUP(Midterm!AP25,new_transmute,2,FALSE)
),
IF(Info!$B$4="Board program",
IF(OR(AND(AP$5&gt;0,AP$5&gt;100),AND(AP$5&gt;0,AP$5&lt;100)),
VLOOKUP(FLOOR((Midterm!AP25/AP$5)*100,1),new_transmute,3,FALSE),
VLOOKUP(Midterm!AP25,new_transmute,3,FALSE)
),
IF(Info!$B$4="Board program (Medicine)",
IF(OR(AND(AP$5&gt;0,AP$5&gt;100),AND(AP$5&gt;0,AP$5&lt;100)),
VLOOKUP(FLOOR((Midterm!AP25/AP$5)*100,1),new_transmute,4,FALSE),
VLOOKUP(Midterm!AP25,new_transmute,4,FALSE)
),
""
)
)
)
)
)
)
)
)
))</f>
        <v/>
      </c>
      <c r="AQ25" s="61" t="str">
        <f t="shared" si="7"/>
        <v/>
      </c>
      <c r="AR25" s="48" t="str">
        <f>IF(Midterm!AR25="","",Midterm!AR25)</f>
        <v/>
      </c>
      <c r="AS25" s="165" t="str">
        <f t="shared" si="8"/>
        <v/>
      </c>
      <c r="AT25" s="14" t="str">
        <f t="shared" si="0"/>
        <v/>
      </c>
      <c r="AU25" s="14" t="str">
        <f>IF(B25="","",VLOOKUP(AT25,'New Grade Equivalent'!$B$3:$C$47,2,FALSE))</f>
        <v/>
      </c>
    </row>
    <row r="26" spans="1:47" x14ac:dyDescent="0.25">
      <c r="A26" s="8">
        <v>21</v>
      </c>
      <c r="B26" s="2" t="str">
        <f>IF('Student List'!C30="","",UPPER(LEFT('Student List'!C30,FIND(",",'Student List'!C30)-1)))</f>
        <v/>
      </c>
      <c r="C26" s="12" t="str">
        <f>IF('Student List'!C30="","",PROPER(MID('Student List'!C30, FIND(",", 'Student List'!C30) + 2, LEN('Student List'!C30) - FIND(",", 'Student List'!C30) - 1)))</f>
        <v/>
      </c>
      <c r="D26" s="127" t="str">
        <f>IF(B26="","",IF(Midterm!D26="", "NA", Midterm!D26))</f>
        <v/>
      </c>
      <c r="E26" s="8" t="str">
        <f>IF(B26="","",
  IF(Info!$B$5="First Year",
    IF(D26="Yes", "DRP",
      IF(D26="No", "WF", "")
    )
  )
)</f>
        <v/>
      </c>
      <c r="F26" s="14" t="str">
        <f>IF($B26="","",
IF(F$5="","",
IF(Midterm!F26="",0,
IF(NOT(ISNUMBER(Midterm!F26)),"NAN",
IF(Midterm!F26&lt;0,"NEG",
IF(Midterm!F26&gt;F$5,"OVER",
IF(AND(F$5&lt;=100,Midterm!F26&gt;100),"ERR",
IF(Info!$B$4="Non-board program",
IF(OR(AND(F$5&gt;0,F$5&gt;100),AND(F$5&gt;0,F$5&lt;100)),
VLOOKUP(FLOOR((Midterm!F26/F$5)*100,1),new_transmute,2,FALSE),
VLOOKUP(Midterm!F26,new_transmute,2,FALSE)
),
IF(Info!$B$4="Board program",
IF(OR(AND(F$5&gt;0,F$5&gt;100),AND(F$5&gt;0,F$5&lt;100)),
VLOOKUP(FLOOR((Midterm!F26/F$5)*100,1),new_transmute,3,FALSE),
VLOOKUP(Midterm!F26,new_transmute,3,FALSE)
),
IF(Info!$B$4="Board program (Medicine)",
IF(OR(AND(F$5&gt;0,F$5&gt;100),AND(F$5&gt;0,F$5&lt;100)),
VLOOKUP(FLOOR((Midterm!F26/F$5)*100,1),new_transmute,4,FALSE),
VLOOKUP(Midterm!F26,new_transmute,4,FALSE)
),
""
)
)
)
)
)
)
)
)
))</f>
        <v/>
      </c>
      <c r="G26" s="57" t="str">
        <f t="shared" si="1"/>
        <v/>
      </c>
      <c r="H26" s="14" t="str">
        <f>IF($B26="","",
IF(H$5="","",
IF(Midterm!H26="",0,
IF(NOT(ISNUMBER(Midterm!H26)),"NAN",
IF(Midterm!H26&lt;0,"NEG",
IF(Midterm!H26&gt;H$5,"OVER",
IF(AND(H$5&lt;=100,Midterm!H26&gt;100),"ERR",
IF(Info!$B$4="Non-board program",
IF(OR(AND(H$5&gt;0,H$5&gt;100),AND(H$5&gt;0,H$5&lt;100)),
VLOOKUP(FLOOR((Midterm!H26/H$5)*100,1),new_transmute,2,FALSE),
VLOOKUP(Midterm!H26,new_transmute,2,FALSE)
),
IF(Info!$B$4="Board program",
IF(OR(AND(H$5&gt;0,H$5&gt;100),AND(H$5&gt;0,H$5&lt;100)),
VLOOKUP(FLOOR((Midterm!H26/H$5)*100,1),new_transmute,3,FALSE),
VLOOKUP(Midterm!H26,new_transmute,3,FALSE)
),
IF(Info!$B$4="Board program (Medicine)",
IF(OR(AND(H$5&gt;0,H$5&gt;100),AND(H$5&gt;0,H$5&lt;100)),
VLOOKUP(FLOOR((Midterm!H26/H$5)*100,1),new_transmute,4,FALSE),
VLOOKUP(Midterm!H26,new_transmute,4,FALSE)
),
""
)
)
)
)
)
)
)
)
))</f>
        <v/>
      </c>
      <c r="I26" s="14" t="str">
        <f>IF($B26="","",
IF(I$5="","",
IF(Midterm!I26="",0,
IF(NOT(ISNUMBER(Midterm!I26)),"NAN",
IF(Midterm!I26&lt;0,"NEG",
IF(Midterm!I26&gt;I$5,"OVER",
IF(AND(I$5&lt;=100,Midterm!I26&gt;100),"ERR",
IF(Info!$B$4="Non-board program",
IF(OR(AND(I$5&gt;0,I$5&gt;100),AND(I$5&gt;0,I$5&lt;100)),
VLOOKUP(FLOOR((Midterm!I26/I$5)*100,1),new_transmute,2,FALSE),
VLOOKUP(Midterm!I26,new_transmute,2,FALSE)
),
IF(Info!$B$4="Board program",
IF(OR(AND(I$5&gt;0,I$5&gt;100),AND(I$5&gt;0,I$5&lt;100)),
VLOOKUP(FLOOR((Midterm!I26/I$5)*100,1),new_transmute,3,FALSE),
VLOOKUP(Midterm!I26,new_transmute,3,FALSE)
),
IF(Info!$B$4="Board program (Medicine)",
IF(OR(AND(I$5&gt;0,I$5&gt;100),AND(I$5&gt;0,I$5&lt;100)),
VLOOKUP(FLOOR((Midterm!I26/I$5)*100,1),new_transmute,4,FALSE),
VLOOKUP(Midterm!I26,new_transmute,4,FALSE)
),
""
)
)
)
)
)
)
)
)
))</f>
        <v/>
      </c>
      <c r="J26" s="14" t="str">
        <f>IF($B26="","",
IF(J$5="","",
IF(Midterm!J26="",0,
IF(NOT(ISNUMBER(Midterm!J26)),"NAN",
IF(Midterm!J26&lt;0,"NEG",
IF(Midterm!J26&gt;J$5,"OVER",
IF(AND(J$5&lt;=100,Midterm!J26&gt;100),"ERR",
IF(Info!$B$4="Non-board program",
IF(OR(AND(J$5&gt;0,J$5&gt;100),AND(J$5&gt;0,J$5&lt;100)),
VLOOKUP(FLOOR((Midterm!J26/J$5)*100,1),new_transmute,2,FALSE),
VLOOKUP(Midterm!J26,new_transmute,2,FALSE)
),
IF(Info!$B$4="Board program",
IF(OR(AND(J$5&gt;0,J$5&gt;100),AND(J$5&gt;0,J$5&lt;100)),
VLOOKUP(FLOOR((Midterm!J26/J$5)*100,1),new_transmute,3,FALSE),
VLOOKUP(Midterm!J26,new_transmute,3,FALSE)
),
IF(Info!$B$4="Board program (Medicine)",
IF(OR(AND(J$5&gt;0,J$5&gt;100),AND(J$5&gt;0,J$5&lt;100)),
VLOOKUP(FLOOR((Midterm!J26/J$5)*100,1),new_transmute,4,FALSE),
VLOOKUP(Midterm!J26,new_transmute,4,FALSE)
),
""
)
)
)
)
)
)
)
)
))</f>
        <v/>
      </c>
      <c r="K26" s="14" t="str">
        <f>IF($B26="","",
IF(K$5="","",
IF(Midterm!K26="",0,
IF(NOT(ISNUMBER(Midterm!K26)),"NAN",
IF(Midterm!K26&lt;0,"NEG",
IF(Midterm!K26&gt;K$5,"OVER",
IF(AND(K$5&lt;=100,Midterm!K26&gt;100),"ERR",
IF(Info!$B$4="Non-board program",
IF(OR(AND(K$5&gt;0,K$5&gt;100),AND(K$5&gt;0,K$5&lt;100)),
VLOOKUP(FLOOR((Midterm!K26/K$5)*100,1),new_transmute,2,FALSE),
VLOOKUP(Midterm!K26,new_transmute,2,FALSE)
),
IF(Info!$B$4="Board program",
IF(OR(AND(K$5&gt;0,K$5&gt;100),AND(K$5&gt;0,K$5&lt;100)),
VLOOKUP(FLOOR((Midterm!K26/K$5)*100,1),new_transmute,3,FALSE),
VLOOKUP(Midterm!K26,new_transmute,3,FALSE)
),
IF(Info!$B$4="Board program (Medicine)",
IF(OR(AND(K$5&gt;0,K$5&gt;100),AND(K$5&gt;0,K$5&lt;100)),
VLOOKUP(FLOOR((Midterm!K26/K$5)*100,1),new_transmute,4,FALSE),
VLOOKUP(Midterm!K26,new_transmute,4,FALSE)
),
""
)
)
)
)
)
)
)
)
))</f>
        <v/>
      </c>
      <c r="L26" s="14" t="str">
        <f>IF($B26="","",
IF(L$5="","",
IF(Midterm!L26="",0,
IF(NOT(ISNUMBER(Midterm!L26)),"NAN",
IF(Midterm!L26&lt;0,"NEG",
IF(Midterm!L26&gt;L$5,"OVER",
IF(AND(L$5&lt;=100,Midterm!L26&gt;100),"ERR",
IF(Info!$B$4="Non-board program",
IF(OR(AND(L$5&gt;0,L$5&gt;100),AND(L$5&gt;0,L$5&lt;100)),
VLOOKUP(FLOOR((Midterm!L26/L$5)*100,1),new_transmute,2,FALSE),
VLOOKUP(Midterm!L26,new_transmute,2,FALSE)
),
IF(Info!$B$4="Board program",
IF(OR(AND(L$5&gt;0,L$5&gt;100),AND(L$5&gt;0,L$5&lt;100)),
VLOOKUP(FLOOR((Midterm!L26/L$5)*100,1),new_transmute,3,FALSE),
VLOOKUP(Midterm!L26,new_transmute,3,FALSE)
),
IF(Info!$B$4="Board program (Medicine)",
IF(OR(AND(L$5&gt;0,L$5&gt;100),AND(L$5&gt;0,L$5&lt;100)),
VLOOKUP(FLOOR((Midterm!L26/L$5)*100,1),new_transmute,4,FALSE),
VLOOKUP(Midterm!L26,new_transmute,4,FALSE)
),
""
)
)
)
)
)
)
)
)
))</f>
        <v/>
      </c>
      <c r="M26" s="111" t="str">
        <f t="shared" si="2"/>
        <v/>
      </c>
      <c r="N26" s="14" t="str">
        <f>IF($B26="","",
IF(N$5="","",
IF(Midterm!N26="",0,
IF(NOT(ISNUMBER(Midterm!N26)),"NAN",
IF(Midterm!N26&lt;0,"NEG",
IF(Midterm!N26&gt;N$5,"OVER",
IF(AND(N$5&lt;=100,Midterm!N26&gt;100),"ERR",
IF(Info!$B$4="Non-board program",
IF(OR(AND(N$5&gt;0,N$5&gt;100),AND(N$5&gt;0,N$5&lt;100)),
VLOOKUP(FLOOR((Midterm!N26/N$5)*100,1),new_transmute,2,FALSE),
VLOOKUP(Midterm!N26,new_transmute,2,FALSE)
),
IF(Info!$B$4="Board program",
IF(OR(AND(N$5&gt;0,N$5&gt;100),AND(N$5&gt;0,N$5&lt;100)),
VLOOKUP(FLOOR((Midterm!N26/N$5)*100,1),new_transmute,3,FALSE),
VLOOKUP(Midterm!N26,new_transmute,3,FALSE)
),
IF(Info!$B$4="Board program (Medicine)",
IF(OR(AND(N$5&gt;0,N$5&gt;100),AND(N$5&gt;0,N$5&lt;100)),
VLOOKUP(FLOOR((Midterm!N26/N$5)*100,1),new_transmute,4,FALSE),
VLOOKUP(Midterm!N26,new_transmute,4,FALSE)
),
""
)
)
)
)
)
)
)
)
))</f>
        <v/>
      </c>
      <c r="O26" s="14" t="str">
        <f>IF($B26="","",
IF(O$5="","",
IF(Midterm!O26="",0,
IF(NOT(ISNUMBER(Midterm!O26)),"NAN",
IF(Midterm!O26&lt;0,"NEG",
IF(Midterm!O26&gt;O$5,"OVER",
IF(AND(O$5&lt;=100,Midterm!O26&gt;100),"ERR",
IF(Info!$B$4="Non-board program",
IF(OR(AND(O$5&gt;0,O$5&gt;100),AND(O$5&gt;0,O$5&lt;100)),
VLOOKUP(FLOOR((Midterm!O26/O$5)*100,1),new_transmute,2,FALSE),
VLOOKUP(Midterm!O26,new_transmute,2,FALSE)
),
IF(Info!$B$4="Board program",
IF(OR(AND(O$5&gt;0,O$5&gt;100),AND(O$5&gt;0,O$5&lt;100)),
VLOOKUP(FLOOR((Midterm!O26/O$5)*100,1),new_transmute,3,FALSE),
VLOOKUP(Midterm!O26,new_transmute,3,FALSE)
),
IF(Info!$B$4="Board program (Medicine)",
IF(OR(AND(O$5&gt;0,O$5&gt;100),AND(O$5&gt;0,O$5&lt;100)),
VLOOKUP(FLOOR((Midterm!O26/O$5)*100,1),new_transmute,4,FALSE),
VLOOKUP(Midterm!O26,new_transmute,4,FALSE)
),
""
)
)
)
)
)
)
)
)
))</f>
        <v/>
      </c>
      <c r="P26" s="14" t="str">
        <f>IF($B26="","",
IF(P$5="","",
IF(Midterm!P26="",0,
IF(NOT(ISNUMBER(Midterm!P26)),"NAN",
IF(Midterm!P26&lt;0,"NEG",
IF(Midterm!P26&gt;P$5,"OVER",
IF(AND(P$5&lt;=100,Midterm!P26&gt;100),"ERR",
IF(Info!$B$4="Non-board program",
IF(OR(AND(P$5&gt;0,P$5&gt;100),AND(P$5&gt;0,P$5&lt;100)),
VLOOKUP(FLOOR((Midterm!P26/P$5)*100,1),new_transmute,2,FALSE),
VLOOKUP(Midterm!P26,new_transmute,2,FALSE)
),
IF(Info!$B$4="Board program",
IF(OR(AND(P$5&gt;0,P$5&gt;100),AND(P$5&gt;0,P$5&lt;100)),
VLOOKUP(FLOOR((Midterm!P26/P$5)*100,1),new_transmute,3,FALSE),
VLOOKUP(Midterm!P26,new_transmute,3,FALSE)
),
IF(Info!$B$4="Board program (Medicine)",
IF(OR(AND(P$5&gt;0,P$5&gt;100),AND(P$5&gt;0,P$5&lt;100)),
VLOOKUP(FLOOR((Midterm!P26/P$5)*100,1),new_transmute,4,FALSE),
VLOOKUP(Midterm!P26,new_transmute,4,FALSE)
),
""
)
)
)
)
)
)
)
)
))</f>
        <v/>
      </c>
      <c r="Q26" s="14" t="str">
        <f>IF($B26="","",
IF(Q$5="","",
IF(Midterm!Q26="",0,
IF(NOT(ISNUMBER(Midterm!Q26)),"NAN",
IF(Midterm!Q26&lt;0,"NEG",
IF(Midterm!Q26&gt;Q$5,"OVER",
IF(AND(Q$5&lt;=100,Midterm!Q26&gt;100),"ERR",
IF(Info!$B$4="Non-board program",
IF(OR(AND(Q$5&gt;0,Q$5&gt;100),AND(Q$5&gt;0,Q$5&lt;100)),
VLOOKUP(FLOOR((Midterm!Q26/Q$5)*100,1),new_transmute,2,FALSE),
VLOOKUP(Midterm!Q26,new_transmute,2,FALSE)
),
IF(Info!$B$4="Board program",
IF(OR(AND(Q$5&gt;0,Q$5&gt;100),AND(Q$5&gt;0,Q$5&lt;100)),
VLOOKUP(FLOOR((Midterm!Q26/Q$5)*100,1),new_transmute,3,FALSE),
VLOOKUP(Midterm!Q26,new_transmute,3,FALSE)
),
IF(Info!$B$4="Board program (Medicine)",
IF(OR(AND(Q$5&gt;0,Q$5&gt;100),AND(Q$5&gt;0,Q$5&lt;100)),
VLOOKUP(FLOOR((Midterm!Q26/Q$5)*100,1),new_transmute,4,FALSE),
VLOOKUP(Midterm!Q26,new_transmute,4,FALSE)
),
""
)
)
)
)
)
)
)
)
))</f>
        <v/>
      </c>
      <c r="R26" s="14" t="str">
        <f>IF($B26="","",
IF(R$5="","",
IF(Midterm!R26="",0,
IF(NOT(ISNUMBER(Midterm!R26)),"NAN",
IF(Midterm!R26&lt;0,"NEG",
IF(Midterm!R26&gt;R$5,"OVER",
IF(AND(R$5&lt;=100,Midterm!R26&gt;100),"ERR",
IF(Info!$B$4="Non-board program",
IF(OR(AND(R$5&gt;0,R$5&gt;100),AND(R$5&gt;0,R$5&lt;100)),
VLOOKUP(FLOOR((Midterm!R26/R$5)*100,1),new_transmute,2,FALSE),
VLOOKUP(Midterm!R26,new_transmute,2,FALSE)
),
IF(Info!$B$4="Board program",
IF(OR(AND(R$5&gt;0,R$5&gt;100),AND(R$5&gt;0,R$5&lt;100)),
VLOOKUP(FLOOR((Midterm!R26/R$5)*100,1),new_transmute,3,FALSE),
VLOOKUP(Midterm!R26,new_transmute,3,FALSE)
),
IF(Info!$B$4="Board program (Medicine)",
IF(OR(AND(R$5&gt;0,R$5&gt;100),AND(R$5&gt;0,R$5&lt;100)),
VLOOKUP(FLOOR((Midterm!R26/R$5)*100,1),new_transmute,4,FALSE),
VLOOKUP(Midterm!R26,new_transmute,4,FALSE)
),
""
)
)
)
)
)
)
)
)
))</f>
        <v/>
      </c>
      <c r="S26" s="115" t="str">
        <f t="shared" si="3"/>
        <v/>
      </c>
      <c r="T26" s="14" t="str">
        <f>IF($B26="","",
IF(T$5="","",
IF(Midterm!T26="",0,
IF(NOT(ISNUMBER(Midterm!T26)),"NAN",
IF(Midterm!T26&lt;0,"NEG",
IF(Midterm!T26&gt;T$5,"OVER",
IF(AND(T$5&lt;=100,Midterm!T26&gt;100),"ERR",
IF(Info!$B$4="Non-board program",
IF(OR(AND(T$5&gt;0,T$5&gt;100),AND(T$5&gt;0,T$5&lt;100)),
VLOOKUP(FLOOR((Midterm!T26/T$5)*100,1),new_transmute,2,FALSE),
VLOOKUP(Midterm!T26,new_transmute,2,FALSE)
),
IF(Info!$B$4="Board program",
IF(OR(AND(T$5&gt;0,T$5&gt;100),AND(T$5&gt;0,T$5&lt;100)),
VLOOKUP(FLOOR((Midterm!T26/T$5)*100,1),new_transmute,3,FALSE),
VLOOKUP(Midterm!T26,new_transmute,3,FALSE)
),
IF(Info!$B$4="Board program (Medicine)",
IF(OR(AND(T$5&gt;0,T$5&gt;100),AND(T$5&gt;0,T$5&lt;100)),
VLOOKUP(FLOOR((Midterm!T26/T$5)*100,1),new_transmute,4,FALSE),
VLOOKUP(Midterm!T26,new_transmute,4,FALSE)
),
""
)
)
)
)
)
)
)
)
))</f>
        <v/>
      </c>
      <c r="U26" s="14" t="str">
        <f>IF($B26="","",
IF(U$5="","",
IF(Midterm!U26="",0,
IF(NOT(ISNUMBER(Midterm!U26)),"NAN",
IF(Midterm!U26&lt;0,"NEG",
IF(Midterm!U26&gt;U$5,"OVER",
IF(AND(U$5&lt;=100,Midterm!U26&gt;100),"ERR",
IF(Info!$B$4="Non-board program",
IF(OR(AND(U$5&gt;0,U$5&gt;100),AND(U$5&gt;0,U$5&lt;100)),
VLOOKUP(FLOOR((Midterm!U26/U$5)*100,1),new_transmute,2,FALSE),
VLOOKUP(Midterm!U26,new_transmute,2,FALSE)
),
IF(Info!$B$4="Board program",
IF(OR(AND(U$5&gt;0,U$5&gt;100),AND(U$5&gt;0,U$5&lt;100)),
VLOOKUP(FLOOR((Midterm!U26/U$5)*100,1),new_transmute,3,FALSE),
VLOOKUP(Midterm!U26,new_transmute,3,FALSE)
),
IF(Info!$B$4="Board program (Medicine)",
IF(OR(AND(U$5&gt;0,U$5&gt;100),AND(U$5&gt;0,U$5&lt;100)),
VLOOKUP(FLOOR((Midterm!U26/U$5)*100,1),new_transmute,4,FALSE),
VLOOKUP(Midterm!U26,new_transmute,4,FALSE)
),
""
)
)
)
)
)
)
)
)
))</f>
        <v/>
      </c>
      <c r="V26" s="14" t="str">
        <f>IF($B26="","",
IF(V$5="","",
IF(Midterm!V26="",0,
IF(NOT(ISNUMBER(Midterm!V26)),"NAN",
IF(Midterm!V26&lt;0,"NEG",
IF(Midterm!V26&gt;V$5,"OVER",
IF(AND(V$5&lt;=100,Midterm!V26&gt;100),"ERR",
IF(Info!$B$4="Non-board program",
IF(OR(AND(V$5&gt;0,V$5&gt;100),AND(V$5&gt;0,V$5&lt;100)),
VLOOKUP(FLOOR((Midterm!V26/V$5)*100,1),new_transmute,2,FALSE),
VLOOKUP(Midterm!V26,new_transmute,2,FALSE)
),
IF(Info!$B$4="Board program",
IF(OR(AND(V$5&gt;0,V$5&gt;100),AND(V$5&gt;0,V$5&lt;100)),
VLOOKUP(FLOOR((Midterm!V26/V$5)*100,1),new_transmute,3,FALSE),
VLOOKUP(Midterm!V26,new_transmute,3,FALSE)
),
IF(Info!$B$4="Board program (Medicine)",
IF(OR(AND(V$5&gt;0,V$5&gt;100),AND(V$5&gt;0,V$5&lt;100)),
VLOOKUP(FLOOR((Midterm!V26/V$5)*100,1),new_transmute,4,FALSE),
VLOOKUP(Midterm!V26,new_transmute,4,FALSE)
),
""
)
)
)
)
)
)
)
)
))</f>
        <v/>
      </c>
      <c r="W26" s="14" t="str">
        <f>IF($B26="","",
IF(W$5="","",
IF(Midterm!W26="",0,
IF(NOT(ISNUMBER(Midterm!W26)),"NAN",
IF(Midterm!W26&lt;0,"NEG",
IF(Midterm!W26&gt;W$5,"OVER",
IF(AND(W$5&lt;=100,Midterm!W26&gt;100),"ERR",
IF(Info!$B$4="Non-board program",
IF(OR(AND(W$5&gt;0,W$5&gt;100),AND(W$5&gt;0,W$5&lt;100)),
VLOOKUP(FLOOR((Midterm!W26/W$5)*100,1),new_transmute,2,FALSE),
VLOOKUP(Midterm!W26,new_transmute,2,FALSE)
),
IF(Info!$B$4="Board program",
IF(OR(AND(W$5&gt;0,W$5&gt;100),AND(W$5&gt;0,W$5&lt;100)),
VLOOKUP(FLOOR((Midterm!W26/W$5)*100,1),new_transmute,3,FALSE),
VLOOKUP(Midterm!W26,new_transmute,3,FALSE)
),
IF(Info!$B$4="Board program (Medicine)",
IF(OR(AND(W$5&gt;0,W$5&gt;100),AND(W$5&gt;0,W$5&lt;100)),
VLOOKUP(FLOOR((Midterm!W26/W$5)*100,1),new_transmute,4,FALSE),
VLOOKUP(Midterm!W26,new_transmute,4,FALSE)
),
""
)
)
)
)
)
)
)
)
))</f>
        <v/>
      </c>
      <c r="X26" s="14" t="str">
        <f>IF($B26="","",
IF(X$5="","",
IF(Midterm!X26="",0,
IF(NOT(ISNUMBER(Midterm!X26)),"NAN",
IF(Midterm!X26&lt;0,"NEG",
IF(Midterm!X26&gt;X$5,"OVER",
IF(AND(X$5&lt;=100,Midterm!X26&gt;100),"ERR",
IF(Info!$B$4="Non-board program",
IF(OR(AND(X$5&gt;0,X$5&gt;100),AND(X$5&gt;0,X$5&lt;100)),
VLOOKUP(FLOOR((Midterm!X26/X$5)*100,1),new_transmute,2,FALSE),
VLOOKUP(Midterm!X26,new_transmute,2,FALSE)
),
IF(Info!$B$4="Board program",
IF(OR(AND(X$5&gt;0,X$5&gt;100),AND(X$5&gt;0,X$5&lt;100)),
VLOOKUP(FLOOR((Midterm!X26/X$5)*100,1),new_transmute,3,FALSE),
VLOOKUP(Midterm!X26,new_transmute,3,FALSE)
),
IF(Info!$B$4="Board program (Medicine)",
IF(OR(AND(X$5&gt;0,X$5&gt;100),AND(X$5&gt;0,X$5&lt;100)),
VLOOKUP(FLOOR((Midterm!X26/X$5)*100,1),new_transmute,4,FALSE),
VLOOKUP(Midterm!X26,new_transmute,4,FALSE)
),
""
)
)
)
)
)
)
)
)
))</f>
        <v/>
      </c>
      <c r="Y26" s="112" t="str">
        <f t="shared" si="4"/>
        <v/>
      </c>
      <c r="Z26" s="14" t="str">
        <f>IF($B26="","",
IF(Z$5="","",
IF(Midterm!Z26="",0,
IF(NOT(ISNUMBER(Midterm!Z26)),"NAN",
IF(Midterm!Z26&lt;0,"NEG",
IF(Midterm!Z26&gt;Z$5,"OVER",
IF(AND(Z$5&lt;=100,Midterm!Z26&gt;100),"ERR",
IF(Info!$B$4="Non-board program",
IF(OR(AND(Z$5&gt;0,Z$5&gt;100),AND(Z$5&gt;0,Z$5&lt;100)),
VLOOKUP(FLOOR((Midterm!Z26/Z$5)*100,1),new_transmute,2,FALSE),
VLOOKUP(Midterm!Z26,new_transmute,2,FALSE)
),
IF(Info!$B$4="Board program",
IF(OR(AND(Z$5&gt;0,Z$5&gt;100),AND(Z$5&gt;0,Z$5&lt;100)),
VLOOKUP(FLOOR((Midterm!Z26/Z$5)*100,1),new_transmute,3,FALSE),
VLOOKUP(Midterm!Z26,new_transmute,3,FALSE)
),
IF(Info!$B$4="Board program (Medicine)",
IF(OR(AND(Z$5&gt;0,Z$5&gt;100),AND(Z$5&gt;0,Z$5&lt;100)),
VLOOKUP(FLOOR((Midterm!Z26/Z$5)*100,1),new_transmute,4,FALSE),
VLOOKUP(Midterm!Z26,new_transmute,4,FALSE)
),
""
)
)
)
)
)
)
)
)
))</f>
        <v/>
      </c>
      <c r="AA26" s="14" t="str">
        <f>IF($B26="","",
IF(AA$5="","",
IF(Midterm!AA26="",0,
IF(NOT(ISNUMBER(Midterm!AA26)),"NAN",
IF(Midterm!AA26&lt;0,"NEG",
IF(Midterm!AA26&gt;AA$5,"OVER",
IF(AND(AA$5&lt;=100,Midterm!AA26&gt;100),"ERR",
IF(Info!$B$4="Non-board program",
IF(OR(AND(AA$5&gt;0,AA$5&gt;100),AND(AA$5&gt;0,AA$5&lt;100)),
VLOOKUP(FLOOR((Midterm!AA26/AA$5)*100,1),new_transmute,2,FALSE),
VLOOKUP(Midterm!AA26,new_transmute,2,FALSE)
),
IF(Info!$B$4="Board program",
IF(OR(AND(AA$5&gt;0,AA$5&gt;100),AND(AA$5&gt;0,AA$5&lt;100)),
VLOOKUP(FLOOR((Midterm!AA26/AA$5)*100,1),new_transmute,3,FALSE),
VLOOKUP(Midterm!AA26,new_transmute,3,FALSE)
),
IF(Info!$B$4="Board program (Medicine)",
IF(OR(AND(AA$5&gt;0,AA$5&gt;100),AND(AA$5&gt;0,AA$5&lt;100)),
VLOOKUP(FLOOR((Midterm!AA26/AA$5)*100,1),new_transmute,4,FALSE),
VLOOKUP(Midterm!AA26,new_transmute,4,FALSE)
),
""
)
)
)
)
)
)
)
)
))</f>
        <v/>
      </c>
      <c r="AB26" s="14" t="str">
        <f>IF($B26="","",
IF(AB$5="","",
IF(Midterm!AB26="",0,
IF(NOT(ISNUMBER(Midterm!AB26)),"NAN",
IF(Midterm!AB26&lt;0,"NEG",
IF(Midterm!AB26&gt;AB$5,"OVER",
IF(AND(AB$5&lt;=100,Midterm!AB26&gt;100),"ERR",
IF(Info!$B$4="Non-board program",
IF(OR(AND(AB$5&gt;0,AB$5&gt;100),AND(AB$5&gt;0,AB$5&lt;100)),
VLOOKUP(FLOOR((Midterm!AB26/AB$5)*100,1),new_transmute,2,FALSE),
VLOOKUP(Midterm!AB26,new_transmute,2,FALSE)
),
IF(Info!$B$4="Board program",
IF(OR(AND(AB$5&gt;0,AB$5&gt;100),AND(AB$5&gt;0,AB$5&lt;100)),
VLOOKUP(FLOOR((Midterm!AB26/AB$5)*100,1),new_transmute,3,FALSE),
VLOOKUP(Midterm!AB26,new_transmute,3,FALSE)
),
IF(Info!$B$4="Board program (Medicine)",
IF(OR(AND(AB$5&gt;0,AB$5&gt;100),AND(AB$5&gt;0,AB$5&lt;100)),
VLOOKUP(FLOOR((Midterm!AB26/AB$5)*100,1),new_transmute,4,FALSE),
VLOOKUP(Midterm!AB26,new_transmute,4,FALSE)
),
""
)
)
)
)
)
)
)
)
))</f>
        <v/>
      </c>
      <c r="AC26" s="14" t="str">
        <f>IF($B26="","",
IF(AC$5="","",
IF(Midterm!AC26="",0,
IF(NOT(ISNUMBER(Midterm!AC26)),"NAN",
IF(Midterm!AC26&lt;0,"NEG",
IF(Midterm!AC26&gt;AC$5,"OVER",
IF(AND(AC$5&lt;=100,Midterm!AC26&gt;100),"ERR",
IF(Info!$B$4="Non-board program",
IF(OR(AND(AC$5&gt;0,AC$5&gt;100),AND(AC$5&gt;0,AC$5&lt;100)),
VLOOKUP(FLOOR((Midterm!AC26/AC$5)*100,1),new_transmute,2,FALSE),
VLOOKUP(Midterm!AC26,new_transmute,2,FALSE)
),
IF(Info!$B$4="Board program",
IF(OR(AND(AC$5&gt;0,AC$5&gt;100),AND(AC$5&gt;0,AC$5&lt;100)),
VLOOKUP(FLOOR((Midterm!AC26/AC$5)*100,1),new_transmute,3,FALSE),
VLOOKUP(Midterm!AC26,new_transmute,3,FALSE)
),
IF(Info!$B$4="Board program (Medicine)",
IF(OR(AND(AC$5&gt;0,AC$5&gt;100),AND(AC$5&gt;0,AC$5&lt;100)),
VLOOKUP(FLOOR((Midterm!AC26/AC$5)*100,1),new_transmute,4,FALSE),
VLOOKUP(Midterm!AC26,new_transmute,4,FALSE)
),
""
)
)
)
)
)
)
)
)
))</f>
        <v/>
      </c>
      <c r="AD26" s="14" t="str">
        <f>IF($B26="","",
IF(AD$5="","",
IF(Midterm!AD26="",0,
IF(NOT(ISNUMBER(Midterm!AD26)),"NAN",
IF(Midterm!AD26&lt;0,"NEG",
IF(Midterm!AD26&gt;AD$5,"OVER",
IF(AND(AD$5&lt;=100,Midterm!AD26&gt;100),"ERR",
IF(Info!$B$4="Non-board program",
IF(OR(AND(AD$5&gt;0,AD$5&gt;100),AND(AD$5&gt;0,AD$5&lt;100)),
VLOOKUP(FLOOR((Midterm!AD26/AD$5)*100,1),new_transmute,2,FALSE),
VLOOKUP(Midterm!AD26,new_transmute,2,FALSE)
),
IF(Info!$B$4="Board program",
IF(OR(AND(AD$5&gt;0,AD$5&gt;100),AND(AD$5&gt;0,AD$5&lt;100)),
VLOOKUP(FLOOR((Midterm!AD26/AD$5)*100,1),new_transmute,3,FALSE),
VLOOKUP(Midterm!AD26,new_transmute,3,FALSE)
),
IF(Info!$B$4="Board program (Medicine)",
IF(OR(AND(AD$5&gt;0,AD$5&gt;100),AND(AD$5&gt;0,AD$5&lt;100)),
VLOOKUP(FLOOR((Midterm!AD26/AD$5)*100,1),new_transmute,4,FALSE),
VLOOKUP(Midterm!AD26,new_transmute,4,FALSE)
),
""
)
)
)
)
)
)
)
)
))</f>
        <v/>
      </c>
      <c r="AE26" s="58" t="str">
        <f t="shared" si="5"/>
        <v/>
      </c>
      <c r="AF26" s="14" t="str">
        <f>IF($B26="","",
IF(AF$5="","",
IF(Midterm!AF26="",0,
IF(NOT(ISNUMBER(Midterm!AF26)),"NAN",
IF(Midterm!AF26&lt;0,"NEG",
IF(Midterm!AF26&gt;AF$5,"OVER",
IF(AND(AF$5&lt;=100,Midterm!AF26&gt;100),"ERR",
IF(Info!$B$4="Non-board program",
IF(OR(AND(AF$5&gt;0,AF$5&gt;100),AND(AF$5&gt;0,AF$5&lt;100)),
VLOOKUP(FLOOR((Midterm!AF26/AF$5)*100,1),new_transmute,2,FALSE),
VLOOKUP(Midterm!AF26,new_transmute,2,FALSE)
),
IF(Info!$B$4="Board program",
IF(OR(AND(AF$5&gt;0,AF$5&gt;100),AND(AF$5&gt;0,AF$5&lt;100)),
VLOOKUP(FLOOR((Midterm!AF26/AF$5)*100,1),new_transmute,3,FALSE),
VLOOKUP(Midterm!AF26,new_transmute,3,FALSE)
),
IF(Info!$B$4="Board program (Medicine)",
IF(OR(AND(AF$5&gt;0,AF$5&gt;100),AND(AF$5&gt;0,AF$5&lt;100)),
VLOOKUP(FLOOR((Midterm!AF26/AF$5)*100,1),new_transmute,4,FALSE),
VLOOKUP(Midterm!AF26,new_transmute,4,FALSE)
),
""
)
)
)
)
)
)
)
)
))</f>
        <v/>
      </c>
      <c r="AG26" s="14" t="str">
        <f>IF($B26="","",
IF(AG$5="","",
IF(Midterm!AG26="",0,
IF(NOT(ISNUMBER(Midterm!AG26)),"NAN",
IF(Midterm!AG26&lt;0,"NEG",
IF(Midterm!AG26&gt;AG$5,"OVER",
IF(AND(AG$5&lt;=100,Midterm!AG26&gt;100),"ERR",
IF(Info!$B$4="Non-board program",
IF(OR(AND(AG$5&gt;0,AG$5&gt;100),AND(AG$5&gt;0,AG$5&lt;100)),
VLOOKUP(FLOOR((Midterm!AG26/AG$5)*100,1),new_transmute,2,FALSE),
VLOOKUP(Midterm!AG26,new_transmute,2,FALSE)
),
IF(Info!$B$4="Board program",
IF(OR(AND(AG$5&gt;0,AG$5&gt;100),AND(AG$5&gt;0,AG$5&lt;100)),
VLOOKUP(FLOOR((Midterm!AG26/AG$5)*100,1),new_transmute,3,FALSE),
VLOOKUP(Midterm!AG26,new_transmute,3,FALSE)
),
IF(Info!$B$4="Board program (Medicine)",
IF(OR(AND(AG$5&gt;0,AG$5&gt;100),AND(AG$5&gt;0,AG$5&lt;100)),
VLOOKUP(FLOOR((Midterm!AG26/AG$5)*100,1),new_transmute,4,FALSE),
VLOOKUP(Midterm!AG26,new_transmute,4,FALSE)
),
""
)
)
)
)
)
)
)
)
))</f>
        <v/>
      </c>
      <c r="AH26" s="14" t="str">
        <f>IF($B26="","",
IF(AH$5="","",
IF(Midterm!AH26="",0,
IF(NOT(ISNUMBER(Midterm!AH26)),"NAN",
IF(Midterm!AH26&lt;0,"NEG",
IF(Midterm!AH26&gt;AH$5,"OVER",
IF(AND(AH$5&lt;=100,Midterm!AH26&gt;100),"ERR",
IF(Info!$B$4="Non-board program",
IF(OR(AND(AH$5&gt;0,AH$5&gt;100),AND(AH$5&gt;0,AH$5&lt;100)),
VLOOKUP(FLOOR((Midterm!AH26/AH$5)*100,1),new_transmute,2,FALSE),
VLOOKUP(Midterm!AH26,new_transmute,2,FALSE)
),
IF(Info!$B$4="Board program",
IF(OR(AND(AH$5&gt;0,AH$5&gt;100),AND(AH$5&gt;0,AH$5&lt;100)),
VLOOKUP(FLOOR((Midterm!AH26/AH$5)*100,1),new_transmute,3,FALSE),
VLOOKUP(Midterm!AH26,new_transmute,3,FALSE)
),
IF(Info!$B$4="Board program (Medicine)",
IF(OR(AND(AH$5&gt;0,AH$5&gt;100),AND(AH$5&gt;0,AH$5&lt;100)),
VLOOKUP(FLOOR((Midterm!AH26/AH$5)*100,1),new_transmute,4,FALSE),
VLOOKUP(Midterm!AH26,new_transmute,4,FALSE)
),
""
)
)
)
)
)
)
)
)
))</f>
        <v/>
      </c>
      <c r="AI26" s="14" t="str">
        <f>IF($B26="","",
IF(AI$5="","",
IF(Midterm!AI26="",0,
IF(NOT(ISNUMBER(Midterm!AI26)),"NAN",
IF(Midterm!AI26&lt;0,"NEG",
IF(Midterm!AI26&gt;AI$5,"OVER",
IF(AND(AI$5&lt;=100,Midterm!AI26&gt;100),"ERR",
IF(Info!$B$4="Non-board program",
IF(OR(AND(AI$5&gt;0,AI$5&gt;100),AND(AI$5&gt;0,AI$5&lt;100)),
VLOOKUP(FLOOR((Midterm!AI26/AI$5)*100,1),new_transmute,2,FALSE),
VLOOKUP(Midterm!AI26,new_transmute,2,FALSE)
),
IF(Info!$B$4="Board program",
IF(OR(AND(AI$5&gt;0,AI$5&gt;100),AND(AI$5&gt;0,AI$5&lt;100)),
VLOOKUP(FLOOR((Midterm!AI26/AI$5)*100,1),new_transmute,3,FALSE),
VLOOKUP(Midterm!AI26,new_transmute,3,FALSE)
),
IF(Info!$B$4="Board program (Medicine)",
IF(OR(AND(AI$5&gt;0,AI$5&gt;100),AND(AI$5&gt;0,AI$5&lt;100)),
VLOOKUP(FLOOR((Midterm!AI26/AI$5)*100,1),new_transmute,4,FALSE),
VLOOKUP(Midterm!AI26,new_transmute,4,FALSE)
),
""
)
)
)
)
)
)
)
)
))</f>
        <v/>
      </c>
      <c r="AJ26" s="14" t="str">
        <f>IF($B26="","",
IF(AJ$5="","",
IF(Midterm!AJ26="",0,
IF(NOT(ISNUMBER(Midterm!AJ26)),"NAN",
IF(Midterm!AJ26&lt;0,"NEG",
IF(Midterm!AJ26&gt;AJ$5,"OVER",
IF(AND(AJ$5&lt;=100,Midterm!AJ26&gt;100),"ERR",
IF(Info!$B$4="Non-board program",
IF(OR(AND(AJ$5&gt;0,AJ$5&gt;100),AND(AJ$5&gt;0,AJ$5&lt;100)),
VLOOKUP(FLOOR((Midterm!AJ26/AJ$5)*100,1),new_transmute,2,FALSE),
VLOOKUP(Midterm!AJ26,new_transmute,2,FALSE)
),
IF(Info!$B$4="Board program",
IF(OR(AND(AJ$5&gt;0,AJ$5&gt;100),AND(AJ$5&gt;0,AJ$5&lt;100)),
VLOOKUP(FLOOR((Midterm!AJ26/AJ$5)*100,1),new_transmute,3,FALSE),
VLOOKUP(Midterm!AJ26,new_transmute,3,FALSE)
),
IF(Info!$B$4="Board program (Medicine)",
IF(OR(AND(AJ$5&gt;0,AJ$5&gt;100),AND(AJ$5&gt;0,AJ$5&lt;100)),
VLOOKUP(FLOOR((Midterm!AJ26/AJ$5)*100,1),new_transmute,4,FALSE),
VLOOKUP(Midterm!AJ26,new_transmute,4,FALSE)
),
""
)
)
)
)
)
)
)
)
))</f>
        <v/>
      </c>
      <c r="AK26" s="59" t="str">
        <f t="shared" si="6"/>
        <v/>
      </c>
      <c r="AL26" s="60" t="str">
        <f>IF(B26="", "",
    IF(OR(M26="OVER", S26="OVER", Y26="OVER", AE26="OVER", AK26="OVER"),
        "OVER",
        IF(Info!$B$4="Non-board program",
            VLOOKUP(IFERROR(FLOOR(SUM((M26*$M$4), (S26*$S$4), (Y26*$Y$4), (AE26*$AE$4), (AK26*$AK$4)) * (100 / 60), 1), 0), new_transmute, 2, FALSE),
            IF(Info!$B$4="Board program",
                VLOOKUP(IFERROR(FLOOR(SUM((M26*$M$4), (S26*$S$4), (Y26*$Y$4), (AE26*$AE$4), (AK26*$AK$4)) * (100 / 60), 1), 0), new_transmute, 3, FALSE),
                IF(Info!$B$4="Board program (Medicine)",
                    VLOOKUP(IFERROR(FLOOR(SUM((M26*$M$4), (S26*$S$4), (Y26*$Y$4), (AE26*$AE$4), (AK26*$AK$4)) * (100 / 60), 1), 0), new_transmute, 4, FALSE),
                    ""
                )
            )
        )
    )
)</f>
        <v/>
      </c>
      <c r="AM26" s="14" t="str">
        <f>IF($B26="","",
IF(AM$5="","",
IF(Midterm!AM26="",0,
IF(NOT(ISNUMBER(Midterm!AM26)),"NAN",
IF(Midterm!AM26&lt;0,"NEG",
IF(Midterm!AM26&gt;AM$5,"OVER",
IF(AND(AM$5&lt;=100,Midterm!AM26&gt;100),"ERR",
IF(Info!$B$4="Non-board program",
IF(OR(AND(AM$5&gt;0,AM$5&gt;100),AND(AM$5&gt;0,AM$5&lt;100)),
VLOOKUP(FLOOR((Midterm!AM26/AM$5)*100,1),new_transmute,2,FALSE),
VLOOKUP(Midterm!AM26,new_transmute,2,FALSE)
),
IF(Info!$B$4="Board program",
IF(OR(AND(AM$5&gt;0,AM$5&gt;100),AND(AM$5&gt;0,AM$5&lt;100)),
VLOOKUP(FLOOR((Midterm!AM26/AM$5)*100,1),new_transmute,3,FALSE),
VLOOKUP(Midterm!AM26,new_transmute,3,FALSE)
),
IF(Info!$B$4="Board program (Medicine)",
IF(OR(AND(AM$5&gt;0,AM$5&gt;100),AND(AM$5&gt;0,AM$5&lt;100)),
VLOOKUP(FLOOR((Midterm!AM26/AM$5)*100,1),new_transmute,4,FALSE),
VLOOKUP(Midterm!AM26,new_transmute,4,FALSE)
),
""
)
)
)
)
)
)
)
)
))</f>
        <v/>
      </c>
      <c r="AN26" s="14" t="str">
        <f>IF($B26="","",
IF(AN$5="","",
IF(Midterm!AN26="",0,
IF(NOT(ISNUMBER(Midterm!AN26)),"NAN",
IF(Midterm!AN26&lt;0,"NEG",
IF(Midterm!AN26&gt;AN$5,"OVER",
IF(AND(AN$5&lt;=100,Midterm!AN26&gt;100),"ERR",
IF(Info!$B$4="Non-board program",
IF(OR(AND(AN$5&gt;0,AN$5&gt;100),AND(AN$5&gt;0,AN$5&lt;100)),
VLOOKUP(FLOOR((Midterm!AN26/AN$5)*100,1),new_transmute,2,FALSE),
VLOOKUP(Midterm!AN26,new_transmute,2,FALSE)
),
IF(Info!$B$4="Board program",
IF(OR(AND(AN$5&gt;0,AN$5&gt;100),AND(AN$5&gt;0,AN$5&lt;100)),
VLOOKUP(FLOOR((Midterm!AN26/AN$5)*100,1),new_transmute,3,FALSE),
VLOOKUP(Midterm!AN26,new_transmute,3,FALSE)
),
IF(Info!$B$4="Board program (Medicine)",
IF(OR(AND(AN$5&gt;0,AN$5&gt;100),AND(AN$5&gt;0,AN$5&lt;100)),
VLOOKUP(FLOOR((Midterm!AN26/AN$5)*100,1),new_transmute,4,FALSE),
VLOOKUP(Midterm!AN26,new_transmute,4,FALSE)
),
""
)
)
)
)
)
)
)
)
))</f>
        <v/>
      </c>
      <c r="AO26" s="14" t="str">
        <f>IF($B26="","",
IF(AO$5="","",
IF(Midterm!AO26="",0,
IF(NOT(ISNUMBER(Midterm!AO26)),"NAN",
IF(Midterm!AO26&lt;0,"NEG",
IF(Midterm!AO26&gt;AO$5,"OVER",
IF(AND(AO$5&lt;=100,Midterm!AO26&gt;100),"ERR",
IF(Info!$B$4="Non-board program",
IF(OR(AND(AO$5&gt;0,AO$5&gt;100),AND(AO$5&gt;0,AO$5&lt;100)),
VLOOKUP(FLOOR((Midterm!AO26/AO$5)*100,1),new_transmute,2,FALSE),
VLOOKUP(Midterm!AO26,new_transmute,2,FALSE)
),
IF(Info!$B$4="Board program",
IF(OR(AND(AO$5&gt;0,AO$5&gt;100),AND(AO$5&gt;0,AO$5&lt;100)),
VLOOKUP(FLOOR((Midterm!AO26/AO$5)*100,1),new_transmute,3,FALSE),
VLOOKUP(Midterm!AO26,new_transmute,3,FALSE)
),
IF(Info!$B$4="Board program (Medicine)",
IF(OR(AND(AO$5&gt;0,AO$5&gt;100),AND(AO$5&gt;0,AO$5&lt;100)),
VLOOKUP(FLOOR((Midterm!AO26/AO$5)*100,1),new_transmute,4,FALSE),
VLOOKUP(Midterm!AO26,new_transmute,4,FALSE)
),
""
)
)
)
)
)
)
)
)
))</f>
        <v/>
      </c>
      <c r="AP26" s="14" t="str">
        <f>IF($B26="","",
IF(AP$5="","",
IF(Midterm!AP26="",0,
IF(NOT(ISNUMBER(Midterm!AP26)),"NAN",
IF(Midterm!AP26&lt;0,"NEG",
IF(Midterm!AP26&gt;AP$5,"OVER",
IF(AND(AP$5&lt;=100,Midterm!AP26&gt;100),"ERR",
IF(Info!$B$4="Non-board program",
IF(OR(AND(AP$5&gt;0,AP$5&gt;100),AND(AP$5&gt;0,AP$5&lt;100)),
VLOOKUP(FLOOR((Midterm!AP26/AP$5)*100,1),new_transmute,2,FALSE),
VLOOKUP(Midterm!AP26,new_transmute,2,FALSE)
),
IF(Info!$B$4="Board program",
IF(OR(AND(AP$5&gt;0,AP$5&gt;100),AND(AP$5&gt;0,AP$5&lt;100)),
VLOOKUP(FLOOR((Midterm!AP26/AP$5)*100,1),new_transmute,3,FALSE),
VLOOKUP(Midterm!AP26,new_transmute,3,FALSE)
),
IF(Info!$B$4="Board program (Medicine)",
IF(OR(AND(AP$5&gt;0,AP$5&gt;100),AND(AP$5&gt;0,AP$5&lt;100)),
VLOOKUP(FLOOR((Midterm!AP26/AP$5)*100,1),new_transmute,4,FALSE),
VLOOKUP(Midterm!AP26,new_transmute,4,FALSE)
),
""
)
)
)
)
)
)
)
)
))</f>
        <v/>
      </c>
      <c r="AQ26" s="61" t="str">
        <f t="shared" si="7"/>
        <v/>
      </c>
      <c r="AR26" s="48" t="str">
        <f>IF(Midterm!AR26="","",Midterm!AR26)</f>
        <v/>
      </c>
      <c r="AS26" s="165" t="str">
        <f t="shared" si="8"/>
        <v/>
      </c>
      <c r="AT26" s="14" t="str">
        <f t="shared" si="0"/>
        <v/>
      </c>
      <c r="AU26" s="14" t="str">
        <f>IF(B26="","",VLOOKUP(AT26,'New Grade Equivalent'!$B$3:$C$47,2,FALSE))</f>
        <v/>
      </c>
    </row>
    <row r="27" spans="1:47" x14ac:dyDescent="0.25">
      <c r="A27" s="8">
        <v>22</v>
      </c>
      <c r="B27" s="2" t="str">
        <f>IF('Student List'!C31="","",UPPER(LEFT('Student List'!C31,FIND(",",'Student List'!C31)-1)))</f>
        <v/>
      </c>
      <c r="C27" s="12" t="str">
        <f>IF('Student List'!C31="","",PROPER(MID('Student List'!C31, FIND(",", 'Student List'!C31) + 2, LEN('Student List'!C31) - FIND(",", 'Student List'!C31) - 1)))</f>
        <v/>
      </c>
      <c r="D27" s="127" t="str">
        <f>IF(B27="","",IF(Midterm!D27="", "NA", Midterm!D27))</f>
        <v/>
      </c>
      <c r="E27" s="8" t="str">
        <f>IF(B27="","",
  IF(Info!$B$5="First Year",
    IF(D27="Yes", "DRP",
      IF(D27="No", "WF", "")
    )
  )
)</f>
        <v/>
      </c>
      <c r="F27" s="14" t="str">
        <f>IF($B27="","",
IF(F$5="","",
IF(Midterm!F27="",0,
IF(NOT(ISNUMBER(Midterm!F27)),"NAN",
IF(Midterm!F27&lt;0,"NEG",
IF(Midterm!F27&gt;F$5,"OVER",
IF(AND(F$5&lt;=100,Midterm!F27&gt;100),"ERR",
IF(Info!$B$4="Non-board program",
IF(OR(AND(F$5&gt;0,F$5&gt;100),AND(F$5&gt;0,F$5&lt;100)),
VLOOKUP(FLOOR((Midterm!F27/F$5)*100,1),new_transmute,2,FALSE),
VLOOKUP(Midterm!F27,new_transmute,2,FALSE)
),
IF(Info!$B$4="Board program",
IF(OR(AND(F$5&gt;0,F$5&gt;100),AND(F$5&gt;0,F$5&lt;100)),
VLOOKUP(FLOOR((Midterm!F27/F$5)*100,1),new_transmute,3,FALSE),
VLOOKUP(Midterm!F27,new_transmute,3,FALSE)
),
IF(Info!$B$4="Board program (Medicine)",
IF(OR(AND(F$5&gt;0,F$5&gt;100),AND(F$5&gt;0,F$5&lt;100)),
VLOOKUP(FLOOR((Midterm!F27/F$5)*100,1),new_transmute,4,FALSE),
VLOOKUP(Midterm!F27,new_transmute,4,FALSE)
),
""
)
)
)
)
)
)
)
)
))</f>
        <v/>
      </c>
      <c r="G27" s="57" t="str">
        <f t="shared" si="1"/>
        <v/>
      </c>
      <c r="H27" s="14" t="str">
        <f>IF($B27="","",
IF(H$5="","",
IF(Midterm!H27="",0,
IF(NOT(ISNUMBER(Midterm!H27)),"NAN",
IF(Midterm!H27&lt;0,"NEG",
IF(Midterm!H27&gt;H$5,"OVER",
IF(AND(H$5&lt;=100,Midterm!H27&gt;100),"ERR",
IF(Info!$B$4="Non-board program",
IF(OR(AND(H$5&gt;0,H$5&gt;100),AND(H$5&gt;0,H$5&lt;100)),
VLOOKUP(FLOOR((Midterm!H27/H$5)*100,1),new_transmute,2,FALSE),
VLOOKUP(Midterm!H27,new_transmute,2,FALSE)
),
IF(Info!$B$4="Board program",
IF(OR(AND(H$5&gt;0,H$5&gt;100),AND(H$5&gt;0,H$5&lt;100)),
VLOOKUP(FLOOR((Midterm!H27/H$5)*100,1),new_transmute,3,FALSE),
VLOOKUP(Midterm!H27,new_transmute,3,FALSE)
),
IF(Info!$B$4="Board program (Medicine)",
IF(OR(AND(H$5&gt;0,H$5&gt;100),AND(H$5&gt;0,H$5&lt;100)),
VLOOKUP(FLOOR((Midterm!H27/H$5)*100,1),new_transmute,4,FALSE),
VLOOKUP(Midterm!H27,new_transmute,4,FALSE)
),
""
)
)
)
)
)
)
)
)
))</f>
        <v/>
      </c>
      <c r="I27" s="14" t="str">
        <f>IF($B27="","",
IF(I$5="","",
IF(Midterm!I27="",0,
IF(NOT(ISNUMBER(Midterm!I27)),"NAN",
IF(Midterm!I27&lt;0,"NEG",
IF(Midterm!I27&gt;I$5,"OVER",
IF(AND(I$5&lt;=100,Midterm!I27&gt;100),"ERR",
IF(Info!$B$4="Non-board program",
IF(OR(AND(I$5&gt;0,I$5&gt;100),AND(I$5&gt;0,I$5&lt;100)),
VLOOKUP(FLOOR((Midterm!I27/I$5)*100,1),new_transmute,2,FALSE),
VLOOKUP(Midterm!I27,new_transmute,2,FALSE)
),
IF(Info!$B$4="Board program",
IF(OR(AND(I$5&gt;0,I$5&gt;100),AND(I$5&gt;0,I$5&lt;100)),
VLOOKUP(FLOOR((Midterm!I27/I$5)*100,1),new_transmute,3,FALSE),
VLOOKUP(Midterm!I27,new_transmute,3,FALSE)
),
IF(Info!$B$4="Board program (Medicine)",
IF(OR(AND(I$5&gt;0,I$5&gt;100),AND(I$5&gt;0,I$5&lt;100)),
VLOOKUP(FLOOR((Midterm!I27/I$5)*100,1),new_transmute,4,FALSE),
VLOOKUP(Midterm!I27,new_transmute,4,FALSE)
),
""
)
)
)
)
)
)
)
)
))</f>
        <v/>
      </c>
      <c r="J27" s="14" t="str">
        <f>IF($B27="","",
IF(J$5="","",
IF(Midterm!J27="",0,
IF(NOT(ISNUMBER(Midterm!J27)),"NAN",
IF(Midterm!J27&lt;0,"NEG",
IF(Midterm!J27&gt;J$5,"OVER",
IF(AND(J$5&lt;=100,Midterm!J27&gt;100),"ERR",
IF(Info!$B$4="Non-board program",
IF(OR(AND(J$5&gt;0,J$5&gt;100),AND(J$5&gt;0,J$5&lt;100)),
VLOOKUP(FLOOR((Midterm!J27/J$5)*100,1),new_transmute,2,FALSE),
VLOOKUP(Midterm!J27,new_transmute,2,FALSE)
),
IF(Info!$B$4="Board program",
IF(OR(AND(J$5&gt;0,J$5&gt;100),AND(J$5&gt;0,J$5&lt;100)),
VLOOKUP(FLOOR((Midterm!J27/J$5)*100,1),new_transmute,3,FALSE),
VLOOKUP(Midterm!J27,new_transmute,3,FALSE)
),
IF(Info!$B$4="Board program (Medicine)",
IF(OR(AND(J$5&gt;0,J$5&gt;100),AND(J$5&gt;0,J$5&lt;100)),
VLOOKUP(FLOOR((Midterm!J27/J$5)*100,1),new_transmute,4,FALSE),
VLOOKUP(Midterm!J27,new_transmute,4,FALSE)
),
""
)
)
)
)
)
)
)
)
))</f>
        <v/>
      </c>
      <c r="K27" s="14" t="str">
        <f>IF($B27="","",
IF(K$5="","",
IF(Midterm!K27="",0,
IF(NOT(ISNUMBER(Midterm!K27)),"NAN",
IF(Midterm!K27&lt;0,"NEG",
IF(Midterm!K27&gt;K$5,"OVER",
IF(AND(K$5&lt;=100,Midterm!K27&gt;100),"ERR",
IF(Info!$B$4="Non-board program",
IF(OR(AND(K$5&gt;0,K$5&gt;100),AND(K$5&gt;0,K$5&lt;100)),
VLOOKUP(FLOOR((Midterm!K27/K$5)*100,1),new_transmute,2,FALSE),
VLOOKUP(Midterm!K27,new_transmute,2,FALSE)
),
IF(Info!$B$4="Board program",
IF(OR(AND(K$5&gt;0,K$5&gt;100),AND(K$5&gt;0,K$5&lt;100)),
VLOOKUP(FLOOR((Midterm!K27/K$5)*100,1),new_transmute,3,FALSE),
VLOOKUP(Midterm!K27,new_transmute,3,FALSE)
),
IF(Info!$B$4="Board program (Medicine)",
IF(OR(AND(K$5&gt;0,K$5&gt;100),AND(K$5&gt;0,K$5&lt;100)),
VLOOKUP(FLOOR((Midterm!K27/K$5)*100,1),new_transmute,4,FALSE),
VLOOKUP(Midterm!K27,new_transmute,4,FALSE)
),
""
)
)
)
)
)
)
)
)
))</f>
        <v/>
      </c>
      <c r="L27" s="14" t="str">
        <f>IF($B27="","",
IF(L$5="","",
IF(Midterm!L27="",0,
IF(NOT(ISNUMBER(Midterm!L27)),"NAN",
IF(Midterm!L27&lt;0,"NEG",
IF(Midterm!L27&gt;L$5,"OVER",
IF(AND(L$5&lt;=100,Midterm!L27&gt;100),"ERR",
IF(Info!$B$4="Non-board program",
IF(OR(AND(L$5&gt;0,L$5&gt;100),AND(L$5&gt;0,L$5&lt;100)),
VLOOKUP(FLOOR((Midterm!L27/L$5)*100,1),new_transmute,2,FALSE),
VLOOKUP(Midterm!L27,new_transmute,2,FALSE)
),
IF(Info!$B$4="Board program",
IF(OR(AND(L$5&gt;0,L$5&gt;100),AND(L$5&gt;0,L$5&lt;100)),
VLOOKUP(FLOOR((Midterm!L27/L$5)*100,1),new_transmute,3,FALSE),
VLOOKUP(Midterm!L27,new_transmute,3,FALSE)
),
IF(Info!$B$4="Board program (Medicine)",
IF(OR(AND(L$5&gt;0,L$5&gt;100),AND(L$5&gt;0,L$5&lt;100)),
VLOOKUP(FLOOR((Midterm!L27/L$5)*100,1),new_transmute,4,FALSE),
VLOOKUP(Midterm!L27,new_transmute,4,FALSE)
),
""
)
)
)
)
)
)
)
)
))</f>
        <v/>
      </c>
      <c r="M27" s="111" t="str">
        <f t="shared" si="2"/>
        <v/>
      </c>
      <c r="N27" s="14" t="str">
        <f>IF($B27="","",
IF(N$5="","",
IF(Midterm!N27="",0,
IF(NOT(ISNUMBER(Midterm!N27)),"NAN",
IF(Midterm!N27&lt;0,"NEG",
IF(Midterm!N27&gt;N$5,"OVER",
IF(AND(N$5&lt;=100,Midterm!N27&gt;100),"ERR",
IF(Info!$B$4="Non-board program",
IF(OR(AND(N$5&gt;0,N$5&gt;100),AND(N$5&gt;0,N$5&lt;100)),
VLOOKUP(FLOOR((Midterm!N27/N$5)*100,1),new_transmute,2,FALSE),
VLOOKUP(Midterm!N27,new_transmute,2,FALSE)
),
IF(Info!$B$4="Board program",
IF(OR(AND(N$5&gt;0,N$5&gt;100),AND(N$5&gt;0,N$5&lt;100)),
VLOOKUP(FLOOR((Midterm!N27/N$5)*100,1),new_transmute,3,FALSE),
VLOOKUP(Midterm!N27,new_transmute,3,FALSE)
),
IF(Info!$B$4="Board program (Medicine)",
IF(OR(AND(N$5&gt;0,N$5&gt;100),AND(N$5&gt;0,N$5&lt;100)),
VLOOKUP(FLOOR((Midterm!N27/N$5)*100,1),new_transmute,4,FALSE),
VLOOKUP(Midterm!N27,new_transmute,4,FALSE)
),
""
)
)
)
)
)
)
)
)
))</f>
        <v/>
      </c>
      <c r="O27" s="14" t="str">
        <f>IF($B27="","",
IF(O$5="","",
IF(Midterm!O27="",0,
IF(NOT(ISNUMBER(Midterm!O27)),"NAN",
IF(Midterm!O27&lt;0,"NEG",
IF(Midterm!O27&gt;O$5,"OVER",
IF(AND(O$5&lt;=100,Midterm!O27&gt;100),"ERR",
IF(Info!$B$4="Non-board program",
IF(OR(AND(O$5&gt;0,O$5&gt;100),AND(O$5&gt;0,O$5&lt;100)),
VLOOKUP(FLOOR((Midterm!O27/O$5)*100,1),new_transmute,2,FALSE),
VLOOKUP(Midterm!O27,new_transmute,2,FALSE)
),
IF(Info!$B$4="Board program",
IF(OR(AND(O$5&gt;0,O$5&gt;100),AND(O$5&gt;0,O$5&lt;100)),
VLOOKUP(FLOOR((Midterm!O27/O$5)*100,1),new_transmute,3,FALSE),
VLOOKUP(Midterm!O27,new_transmute,3,FALSE)
),
IF(Info!$B$4="Board program (Medicine)",
IF(OR(AND(O$5&gt;0,O$5&gt;100),AND(O$5&gt;0,O$5&lt;100)),
VLOOKUP(FLOOR((Midterm!O27/O$5)*100,1),new_transmute,4,FALSE),
VLOOKUP(Midterm!O27,new_transmute,4,FALSE)
),
""
)
)
)
)
)
)
)
)
))</f>
        <v/>
      </c>
      <c r="P27" s="14" t="str">
        <f>IF($B27="","",
IF(P$5="","",
IF(Midterm!P27="",0,
IF(NOT(ISNUMBER(Midterm!P27)),"NAN",
IF(Midterm!P27&lt;0,"NEG",
IF(Midterm!P27&gt;P$5,"OVER",
IF(AND(P$5&lt;=100,Midterm!P27&gt;100),"ERR",
IF(Info!$B$4="Non-board program",
IF(OR(AND(P$5&gt;0,P$5&gt;100),AND(P$5&gt;0,P$5&lt;100)),
VLOOKUP(FLOOR((Midterm!P27/P$5)*100,1),new_transmute,2,FALSE),
VLOOKUP(Midterm!P27,new_transmute,2,FALSE)
),
IF(Info!$B$4="Board program",
IF(OR(AND(P$5&gt;0,P$5&gt;100),AND(P$5&gt;0,P$5&lt;100)),
VLOOKUP(FLOOR((Midterm!P27/P$5)*100,1),new_transmute,3,FALSE),
VLOOKUP(Midterm!P27,new_transmute,3,FALSE)
),
IF(Info!$B$4="Board program (Medicine)",
IF(OR(AND(P$5&gt;0,P$5&gt;100),AND(P$5&gt;0,P$5&lt;100)),
VLOOKUP(FLOOR((Midterm!P27/P$5)*100,1),new_transmute,4,FALSE),
VLOOKUP(Midterm!P27,new_transmute,4,FALSE)
),
""
)
)
)
)
)
)
)
)
))</f>
        <v/>
      </c>
      <c r="Q27" s="14" t="str">
        <f>IF($B27="","",
IF(Q$5="","",
IF(Midterm!Q27="",0,
IF(NOT(ISNUMBER(Midterm!Q27)),"NAN",
IF(Midterm!Q27&lt;0,"NEG",
IF(Midterm!Q27&gt;Q$5,"OVER",
IF(AND(Q$5&lt;=100,Midterm!Q27&gt;100),"ERR",
IF(Info!$B$4="Non-board program",
IF(OR(AND(Q$5&gt;0,Q$5&gt;100),AND(Q$5&gt;0,Q$5&lt;100)),
VLOOKUP(FLOOR((Midterm!Q27/Q$5)*100,1),new_transmute,2,FALSE),
VLOOKUP(Midterm!Q27,new_transmute,2,FALSE)
),
IF(Info!$B$4="Board program",
IF(OR(AND(Q$5&gt;0,Q$5&gt;100),AND(Q$5&gt;0,Q$5&lt;100)),
VLOOKUP(FLOOR((Midterm!Q27/Q$5)*100,1),new_transmute,3,FALSE),
VLOOKUP(Midterm!Q27,new_transmute,3,FALSE)
),
IF(Info!$B$4="Board program (Medicine)",
IF(OR(AND(Q$5&gt;0,Q$5&gt;100),AND(Q$5&gt;0,Q$5&lt;100)),
VLOOKUP(FLOOR((Midterm!Q27/Q$5)*100,1),new_transmute,4,FALSE),
VLOOKUP(Midterm!Q27,new_transmute,4,FALSE)
),
""
)
)
)
)
)
)
)
)
))</f>
        <v/>
      </c>
      <c r="R27" s="14" t="str">
        <f>IF($B27="","",
IF(R$5="","",
IF(Midterm!R27="",0,
IF(NOT(ISNUMBER(Midterm!R27)),"NAN",
IF(Midterm!R27&lt;0,"NEG",
IF(Midterm!R27&gt;R$5,"OVER",
IF(AND(R$5&lt;=100,Midterm!R27&gt;100),"ERR",
IF(Info!$B$4="Non-board program",
IF(OR(AND(R$5&gt;0,R$5&gt;100),AND(R$5&gt;0,R$5&lt;100)),
VLOOKUP(FLOOR((Midterm!R27/R$5)*100,1),new_transmute,2,FALSE),
VLOOKUP(Midterm!R27,new_transmute,2,FALSE)
),
IF(Info!$B$4="Board program",
IF(OR(AND(R$5&gt;0,R$5&gt;100),AND(R$5&gt;0,R$5&lt;100)),
VLOOKUP(FLOOR((Midterm!R27/R$5)*100,1),new_transmute,3,FALSE),
VLOOKUP(Midterm!R27,new_transmute,3,FALSE)
),
IF(Info!$B$4="Board program (Medicine)",
IF(OR(AND(R$5&gt;0,R$5&gt;100),AND(R$5&gt;0,R$5&lt;100)),
VLOOKUP(FLOOR((Midterm!R27/R$5)*100,1),new_transmute,4,FALSE),
VLOOKUP(Midterm!R27,new_transmute,4,FALSE)
),
""
)
)
)
)
)
)
)
)
))</f>
        <v/>
      </c>
      <c r="S27" s="115" t="str">
        <f t="shared" si="3"/>
        <v/>
      </c>
      <c r="T27" s="14" t="str">
        <f>IF($B27="","",
IF(T$5="","",
IF(Midterm!T27="",0,
IF(NOT(ISNUMBER(Midterm!T27)),"NAN",
IF(Midterm!T27&lt;0,"NEG",
IF(Midterm!T27&gt;T$5,"OVER",
IF(AND(T$5&lt;=100,Midterm!T27&gt;100),"ERR",
IF(Info!$B$4="Non-board program",
IF(OR(AND(T$5&gt;0,T$5&gt;100),AND(T$5&gt;0,T$5&lt;100)),
VLOOKUP(FLOOR((Midterm!T27/T$5)*100,1),new_transmute,2,FALSE),
VLOOKUP(Midterm!T27,new_transmute,2,FALSE)
),
IF(Info!$B$4="Board program",
IF(OR(AND(T$5&gt;0,T$5&gt;100),AND(T$5&gt;0,T$5&lt;100)),
VLOOKUP(FLOOR((Midterm!T27/T$5)*100,1),new_transmute,3,FALSE),
VLOOKUP(Midterm!T27,new_transmute,3,FALSE)
),
IF(Info!$B$4="Board program (Medicine)",
IF(OR(AND(T$5&gt;0,T$5&gt;100),AND(T$5&gt;0,T$5&lt;100)),
VLOOKUP(FLOOR((Midterm!T27/T$5)*100,1),new_transmute,4,FALSE),
VLOOKUP(Midterm!T27,new_transmute,4,FALSE)
),
""
)
)
)
)
)
)
)
)
))</f>
        <v/>
      </c>
      <c r="U27" s="14" t="str">
        <f>IF($B27="","",
IF(U$5="","",
IF(Midterm!U27="",0,
IF(NOT(ISNUMBER(Midterm!U27)),"NAN",
IF(Midterm!U27&lt;0,"NEG",
IF(Midterm!U27&gt;U$5,"OVER",
IF(AND(U$5&lt;=100,Midterm!U27&gt;100),"ERR",
IF(Info!$B$4="Non-board program",
IF(OR(AND(U$5&gt;0,U$5&gt;100),AND(U$5&gt;0,U$5&lt;100)),
VLOOKUP(FLOOR((Midterm!U27/U$5)*100,1),new_transmute,2,FALSE),
VLOOKUP(Midterm!U27,new_transmute,2,FALSE)
),
IF(Info!$B$4="Board program",
IF(OR(AND(U$5&gt;0,U$5&gt;100),AND(U$5&gt;0,U$5&lt;100)),
VLOOKUP(FLOOR((Midterm!U27/U$5)*100,1),new_transmute,3,FALSE),
VLOOKUP(Midterm!U27,new_transmute,3,FALSE)
),
IF(Info!$B$4="Board program (Medicine)",
IF(OR(AND(U$5&gt;0,U$5&gt;100),AND(U$5&gt;0,U$5&lt;100)),
VLOOKUP(FLOOR((Midterm!U27/U$5)*100,1),new_transmute,4,FALSE),
VLOOKUP(Midterm!U27,new_transmute,4,FALSE)
),
""
)
)
)
)
)
)
)
)
))</f>
        <v/>
      </c>
      <c r="V27" s="14" t="str">
        <f>IF($B27="","",
IF(V$5="","",
IF(Midterm!V27="",0,
IF(NOT(ISNUMBER(Midterm!V27)),"NAN",
IF(Midterm!V27&lt;0,"NEG",
IF(Midterm!V27&gt;V$5,"OVER",
IF(AND(V$5&lt;=100,Midterm!V27&gt;100),"ERR",
IF(Info!$B$4="Non-board program",
IF(OR(AND(V$5&gt;0,V$5&gt;100),AND(V$5&gt;0,V$5&lt;100)),
VLOOKUP(FLOOR((Midterm!V27/V$5)*100,1),new_transmute,2,FALSE),
VLOOKUP(Midterm!V27,new_transmute,2,FALSE)
),
IF(Info!$B$4="Board program",
IF(OR(AND(V$5&gt;0,V$5&gt;100),AND(V$5&gt;0,V$5&lt;100)),
VLOOKUP(FLOOR((Midterm!V27/V$5)*100,1),new_transmute,3,FALSE),
VLOOKUP(Midterm!V27,new_transmute,3,FALSE)
),
IF(Info!$B$4="Board program (Medicine)",
IF(OR(AND(V$5&gt;0,V$5&gt;100),AND(V$5&gt;0,V$5&lt;100)),
VLOOKUP(FLOOR((Midterm!V27/V$5)*100,1),new_transmute,4,FALSE),
VLOOKUP(Midterm!V27,new_transmute,4,FALSE)
),
""
)
)
)
)
)
)
)
)
))</f>
        <v/>
      </c>
      <c r="W27" s="14" t="str">
        <f>IF($B27="","",
IF(W$5="","",
IF(Midterm!W27="",0,
IF(NOT(ISNUMBER(Midterm!W27)),"NAN",
IF(Midterm!W27&lt;0,"NEG",
IF(Midterm!W27&gt;W$5,"OVER",
IF(AND(W$5&lt;=100,Midterm!W27&gt;100),"ERR",
IF(Info!$B$4="Non-board program",
IF(OR(AND(W$5&gt;0,W$5&gt;100),AND(W$5&gt;0,W$5&lt;100)),
VLOOKUP(FLOOR((Midterm!W27/W$5)*100,1),new_transmute,2,FALSE),
VLOOKUP(Midterm!W27,new_transmute,2,FALSE)
),
IF(Info!$B$4="Board program",
IF(OR(AND(W$5&gt;0,W$5&gt;100),AND(W$5&gt;0,W$5&lt;100)),
VLOOKUP(FLOOR((Midterm!W27/W$5)*100,1),new_transmute,3,FALSE),
VLOOKUP(Midterm!W27,new_transmute,3,FALSE)
),
IF(Info!$B$4="Board program (Medicine)",
IF(OR(AND(W$5&gt;0,W$5&gt;100),AND(W$5&gt;0,W$5&lt;100)),
VLOOKUP(FLOOR((Midterm!W27/W$5)*100,1),new_transmute,4,FALSE),
VLOOKUP(Midterm!W27,new_transmute,4,FALSE)
),
""
)
)
)
)
)
)
)
)
))</f>
        <v/>
      </c>
      <c r="X27" s="14" t="str">
        <f>IF($B27="","",
IF(X$5="","",
IF(Midterm!X27="",0,
IF(NOT(ISNUMBER(Midterm!X27)),"NAN",
IF(Midterm!X27&lt;0,"NEG",
IF(Midterm!X27&gt;X$5,"OVER",
IF(AND(X$5&lt;=100,Midterm!X27&gt;100),"ERR",
IF(Info!$B$4="Non-board program",
IF(OR(AND(X$5&gt;0,X$5&gt;100),AND(X$5&gt;0,X$5&lt;100)),
VLOOKUP(FLOOR((Midterm!X27/X$5)*100,1),new_transmute,2,FALSE),
VLOOKUP(Midterm!X27,new_transmute,2,FALSE)
),
IF(Info!$B$4="Board program",
IF(OR(AND(X$5&gt;0,X$5&gt;100),AND(X$5&gt;0,X$5&lt;100)),
VLOOKUP(FLOOR((Midterm!X27/X$5)*100,1),new_transmute,3,FALSE),
VLOOKUP(Midterm!X27,new_transmute,3,FALSE)
),
IF(Info!$B$4="Board program (Medicine)",
IF(OR(AND(X$5&gt;0,X$5&gt;100),AND(X$5&gt;0,X$5&lt;100)),
VLOOKUP(FLOOR((Midterm!X27/X$5)*100,1),new_transmute,4,FALSE),
VLOOKUP(Midterm!X27,new_transmute,4,FALSE)
),
""
)
)
)
)
)
)
)
)
))</f>
        <v/>
      </c>
      <c r="Y27" s="112" t="str">
        <f t="shared" si="4"/>
        <v/>
      </c>
      <c r="Z27" s="14" t="str">
        <f>IF($B27="","",
IF(Z$5="","",
IF(Midterm!Z27="",0,
IF(NOT(ISNUMBER(Midterm!Z27)),"NAN",
IF(Midterm!Z27&lt;0,"NEG",
IF(Midterm!Z27&gt;Z$5,"OVER",
IF(AND(Z$5&lt;=100,Midterm!Z27&gt;100),"ERR",
IF(Info!$B$4="Non-board program",
IF(OR(AND(Z$5&gt;0,Z$5&gt;100),AND(Z$5&gt;0,Z$5&lt;100)),
VLOOKUP(FLOOR((Midterm!Z27/Z$5)*100,1),new_transmute,2,FALSE),
VLOOKUP(Midterm!Z27,new_transmute,2,FALSE)
),
IF(Info!$B$4="Board program",
IF(OR(AND(Z$5&gt;0,Z$5&gt;100),AND(Z$5&gt;0,Z$5&lt;100)),
VLOOKUP(FLOOR((Midterm!Z27/Z$5)*100,1),new_transmute,3,FALSE),
VLOOKUP(Midterm!Z27,new_transmute,3,FALSE)
),
IF(Info!$B$4="Board program (Medicine)",
IF(OR(AND(Z$5&gt;0,Z$5&gt;100),AND(Z$5&gt;0,Z$5&lt;100)),
VLOOKUP(FLOOR((Midterm!Z27/Z$5)*100,1),new_transmute,4,FALSE),
VLOOKUP(Midterm!Z27,new_transmute,4,FALSE)
),
""
)
)
)
)
)
)
)
)
))</f>
        <v/>
      </c>
      <c r="AA27" s="14" t="str">
        <f>IF($B27="","",
IF(AA$5="","",
IF(Midterm!AA27="",0,
IF(NOT(ISNUMBER(Midterm!AA27)),"NAN",
IF(Midterm!AA27&lt;0,"NEG",
IF(Midterm!AA27&gt;AA$5,"OVER",
IF(AND(AA$5&lt;=100,Midterm!AA27&gt;100),"ERR",
IF(Info!$B$4="Non-board program",
IF(OR(AND(AA$5&gt;0,AA$5&gt;100),AND(AA$5&gt;0,AA$5&lt;100)),
VLOOKUP(FLOOR((Midterm!AA27/AA$5)*100,1),new_transmute,2,FALSE),
VLOOKUP(Midterm!AA27,new_transmute,2,FALSE)
),
IF(Info!$B$4="Board program",
IF(OR(AND(AA$5&gt;0,AA$5&gt;100),AND(AA$5&gt;0,AA$5&lt;100)),
VLOOKUP(FLOOR((Midterm!AA27/AA$5)*100,1),new_transmute,3,FALSE),
VLOOKUP(Midterm!AA27,new_transmute,3,FALSE)
),
IF(Info!$B$4="Board program (Medicine)",
IF(OR(AND(AA$5&gt;0,AA$5&gt;100),AND(AA$5&gt;0,AA$5&lt;100)),
VLOOKUP(FLOOR((Midterm!AA27/AA$5)*100,1),new_transmute,4,FALSE),
VLOOKUP(Midterm!AA27,new_transmute,4,FALSE)
),
""
)
)
)
)
)
)
)
)
))</f>
        <v/>
      </c>
      <c r="AB27" s="14" t="str">
        <f>IF($B27="","",
IF(AB$5="","",
IF(Midterm!AB27="",0,
IF(NOT(ISNUMBER(Midterm!AB27)),"NAN",
IF(Midterm!AB27&lt;0,"NEG",
IF(Midterm!AB27&gt;AB$5,"OVER",
IF(AND(AB$5&lt;=100,Midterm!AB27&gt;100),"ERR",
IF(Info!$B$4="Non-board program",
IF(OR(AND(AB$5&gt;0,AB$5&gt;100),AND(AB$5&gt;0,AB$5&lt;100)),
VLOOKUP(FLOOR((Midterm!AB27/AB$5)*100,1),new_transmute,2,FALSE),
VLOOKUP(Midterm!AB27,new_transmute,2,FALSE)
),
IF(Info!$B$4="Board program",
IF(OR(AND(AB$5&gt;0,AB$5&gt;100),AND(AB$5&gt;0,AB$5&lt;100)),
VLOOKUP(FLOOR((Midterm!AB27/AB$5)*100,1),new_transmute,3,FALSE),
VLOOKUP(Midterm!AB27,new_transmute,3,FALSE)
),
IF(Info!$B$4="Board program (Medicine)",
IF(OR(AND(AB$5&gt;0,AB$5&gt;100),AND(AB$5&gt;0,AB$5&lt;100)),
VLOOKUP(FLOOR((Midterm!AB27/AB$5)*100,1),new_transmute,4,FALSE),
VLOOKUP(Midterm!AB27,new_transmute,4,FALSE)
),
""
)
)
)
)
)
)
)
)
))</f>
        <v/>
      </c>
      <c r="AC27" s="14" t="str">
        <f>IF($B27="","",
IF(AC$5="","",
IF(Midterm!AC27="",0,
IF(NOT(ISNUMBER(Midterm!AC27)),"NAN",
IF(Midterm!AC27&lt;0,"NEG",
IF(Midterm!AC27&gt;AC$5,"OVER",
IF(AND(AC$5&lt;=100,Midterm!AC27&gt;100),"ERR",
IF(Info!$B$4="Non-board program",
IF(OR(AND(AC$5&gt;0,AC$5&gt;100),AND(AC$5&gt;0,AC$5&lt;100)),
VLOOKUP(FLOOR((Midterm!AC27/AC$5)*100,1),new_transmute,2,FALSE),
VLOOKUP(Midterm!AC27,new_transmute,2,FALSE)
),
IF(Info!$B$4="Board program",
IF(OR(AND(AC$5&gt;0,AC$5&gt;100),AND(AC$5&gt;0,AC$5&lt;100)),
VLOOKUP(FLOOR((Midterm!AC27/AC$5)*100,1),new_transmute,3,FALSE),
VLOOKUP(Midterm!AC27,new_transmute,3,FALSE)
),
IF(Info!$B$4="Board program (Medicine)",
IF(OR(AND(AC$5&gt;0,AC$5&gt;100),AND(AC$5&gt;0,AC$5&lt;100)),
VLOOKUP(FLOOR((Midterm!AC27/AC$5)*100,1),new_transmute,4,FALSE),
VLOOKUP(Midterm!AC27,new_transmute,4,FALSE)
),
""
)
)
)
)
)
)
)
)
))</f>
        <v/>
      </c>
      <c r="AD27" s="14" t="str">
        <f>IF($B27="","",
IF(AD$5="","",
IF(Midterm!AD27="",0,
IF(NOT(ISNUMBER(Midterm!AD27)),"NAN",
IF(Midterm!AD27&lt;0,"NEG",
IF(Midterm!AD27&gt;AD$5,"OVER",
IF(AND(AD$5&lt;=100,Midterm!AD27&gt;100),"ERR",
IF(Info!$B$4="Non-board program",
IF(OR(AND(AD$5&gt;0,AD$5&gt;100),AND(AD$5&gt;0,AD$5&lt;100)),
VLOOKUP(FLOOR((Midterm!AD27/AD$5)*100,1),new_transmute,2,FALSE),
VLOOKUP(Midterm!AD27,new_transmute,2,FALSE)
),
IF(Info!$B$4="Board program",
IF(OR(AND(AD$5&gt;0,AD$5&gt;100),AND(AD$5&gt;0,AD$5&lt;100)),
VLOOKUP(FLOOR((Midterm!AD27/AD$5)*100,1),new_transmute,3,FALSE),
VLOOKUP(Midterm!AD27,new_transmute,3,FALSE)
),
IF(Info!$B$4="Board program (Medicine)",
IF(OR(AND(AD$5&gt;0,AD$5&gt;100),AND(AD$5&gt;0,AD$5&lt;100)),
VLOOKUP(FLOOR((Midterm!AD27/AD$5)*100,1),new_transmute,4,FALSE),
VLOOKUP(Midterm!AD27,new_transmute,4,FALSE)
),
""
)
)
)
)
)
)
)
)
))</f>
        <v/>
      </c>
      <c r="AE27" s="58" t="str">
        <f t="shared" si="5"/>
        <v/>
      </c>
      <c r="AF27" s="14" t="str">
        <f>IF($B27="","",
IF(AF$5="","",
IF(Midterm!AF27="",0,
IF(NOT(ISNUMBER(Midterm!AF27)),"NAN",
IF(Midterm!AF27&lt;0,"NEG",
IF(Midterm!AF27&gt;AF$5,"OVER",
IF(AND(AF$5&lt;=100,Midterm!AF27&gt;100),"ERR",
IF(Info!$B$4="Non-board program",
IF(OR(AND(AF$5&gt;0,AF$5&gt;100),AND(AF$5&gt;0,AF$5&lt;100)),
VLOOKUP(FLOOR((Midterm!AF27/AF$5)*100,1),new_transmute,2,FALSE),
VLOOKUP(Midterm!AF27,new_transmute,2,FALSE)
),
IF(Info!$B$4="Board program",
IF(OR(AND(AF$5&gt;0,AF$5&gt;100),AND(AF$5&gt;0,AF$5&lt;100)),
VLOOKUP(FLOOR((Midterm!AF27/AF$5)*100,1),new_transmute,3,FALSE),
VLOOKUP(Midterm!AF27,new_transmute,3,FALSE)
),
IF(Info!$B$4="Board program (Medicine)",
IF(OR(AND(AF$5&gt;0,AF$5&gt;100),AND(AF$5&gt;0,AF$5&lt;100)),
VLOOKUP(FLOOR((Midterm!AF27/AF$5)*100,1),new_transmute,4,FALSE),
VLOOKUP(Midterm!AF27,new_transmute,4,FALSE)
),
""
)
)
)
)
)
)
)
)
))</f>
        <v/>
      </c>
      <c r="AG27" s="14" t="str">
        <f>IF($B27="","",
IF(AG$5="","",
IF(Midterm!AG27="",0,
IF(NOT(ISNUMBER(Midterm!AG27)),"NAN",
IF(Midterm!AG27&lt;0,"NEG",
IF(Midterm!AG27&gt;AG$5,"OVER",
IF(AND(AG$5&lt;=100,Midterm!AG27&gt;100),"ERR",
IF(Info!$B$4="Non-board program",
IF(OR(AND(AG$5&gt;0,AG$5&gt;100),AND(AG$5&gt;0,AG$5&lt;100)),
VLOOKUP(FLOOR((Midterm!AG27/AG$5)*100,1),new_transmute,2,FALSE),
VLOOKUP(Midterm!AG27,new_transmute,2,FALSE)
),
IF(Info!$B$4="Board program",
IF(OR(AND(AG$5&gt;0,AG$5&gt;100),AND(AG$5&gt;0,AG$5&lt;100)),
VLOOKUP(FLOOR((Midterm!AG27/AG$5)*100,1),new_transmute,3,FALSE),
VLOOKUP(Midterm!AG27,new_transmute,3,FALSE)
),
IF(Info!$B$4="Board program (Medicine)",
IF(OR(AND(AG$5&gt;0,AG$5&gt;100),AND(AG$5&gt;0,AG$5&lt;100)),
VLOOKUP(FLOOR((Midterm!AG27/AG$5)*100,1),new_transmute,4,FALSE),
VLOOKUP(Midterm!AG27,new_transmute,4,FALSE)
),
""
)
)
)
)
)
)
)
)
))</f>
        <v/>
      </c>
      <c r="AH27" s="14" t="str">
        <f>IF($B27="","",
IF(AH$5="","",
IF(Midterm!AH27="",0,
IF(NOT(ISNUMBER(Midterm!AH27)),"NAN",
IF(Midterm!AH27&lt;0,"NEG",
IF(Midterm!AH27&gt;AH$5,"OVER",
IF(AND(AH$5&lt;=100,Midterm!AH27&gt;100),"ERR",
IF(Info!$B$4="Non-board program",
IF(OR(AND(AH$5&gt;0,AH$5&gt;100),AND(AH$5&gt;0,AH$5&lt;100)),
VLOOKUP(FLOOR((Midterm!AH27/AH$5)*100,1),new_transmute,2,FALSE),
VLOOKUP(Midterm!AH27,new_transmute,2,FALSE)
),
IF(Info!$B$4="Board program",
IF(OR(AND(AH$5&gt;0,AH$5&gt;100),AND(AH$5&gt;0,AH$5&lt;100)),
VLOOKUP(FLOOR((Midterm!AH27/AH$5)*100,1),new_transmute,3,FALSE),
VLOOKUP(Midterm!AH27,new_transmute,3,FALSE)
),
IF(Info!$B$4="Board program (Medicine)",
IF(OR(AND(AH$5&gt;0,AH$5&gt;100),AND(AH$5&gt;0,AH$5&lt;100)),
VLOOKUP(FLOOR((Midterm!AH27/AH$5)*100,1),new_transmute,4,FALSE),
VLOOKUP(Midterm!AH27,new_transmute,4,FALSE)
),
""
)
)
)
)
)
)
)
)
))</f>
        <v/>
      </c>
      <c r="AI27" s="14" t="str">
        <f>IF($B27="","",
IF(AI$5="","",
IF(Midterm!AI27="",0,
IF(NOT(ISNUMBER(Midterm!AI27)),"NAN",
IF(Midterm!AI27&lt;0,"NEG",
IF(Midterm!AI27&gt;AI$5,"OVER",
IF(AND(AI$5&lt;=100,Midterm!AI27&gt;100),"ERR",
IF(Info!$B$4="Non-board program",
IF(OR(AND(AI$5&gt;0,AI$5&gt;100),AND(AI$5&gt;0,AI$5&lt;100)),
VLOOKUP(FLOOR((Midterm!AI27/AI$5)*100,1),new_transmute,2,FALSE),
VLOOKUP(Midterm!AI27,new_transmute,2,FALSE)
),
IF(Info!$B$4="Board program",
IF(OR(AND(AI$5&gt;0,AI$5&gt;100),AND(AI$5&gt;0,AI$5&lt;100)),
VLOOKUP(FLOOR((Midterm!AI27/AI$5)*100,1),new_transmute,3,FALSE),
VLOOKUP(Midterm!AI27,new_transmute,3,FALSE)
),
IF(Info!$B$4="Board program (Medicine)",
IF(OR(AND(AI$5&gt;0,AI$5&gt;100),AND(AI$5&gt;0,AI$5&lt;100)),
VLOOKUP(FLOOR((Midterm!AI27/AI$5)*100,1),new_transmute,4,FALSE),
VLOOKUP(Midterm!AI27,new_transmute,4,FALSE)
),
""
)
)
)
)
)
)
)
)
))</f>
        <v/>
      </c>
      <c r="AJ27" s="14" t="str">
        <f>IF($B27="","",
IF(AJ$5="","",
IF(Midterm!AJ27="",0,
IF(NOT(ISNUMBER(Midterm!AJ27)),"NAN",
IF(Midterm!AJ27&lt;0,"NEG",
IF(Midterm!AJ27&gt;AJ$5,"OVER",
IF(AND(AJ$5&lt;=100,Midterm!AJ27&gt;100),"ERR",
IF(Info!$B$4="Non-board program",
IF(OR(AND(AJ$5&gt;0,AJ$5&gt;100),AND(AJ$5&gt;0,AJ$5&lt;100)),
VLOOKUP(FLOOR((Midterm!AJ27/AJ$5)*100,1),new_transmute,2,FALSE),
VLOOKUP(Midterm!AJ27,new_transmute,2,FALSE)
),
IF(Info!$B$4="Board program",
IF(OR(AND(AJ$5&gt;0,AJ$5&gt;100),AND(AJ$5&gt;0,AJ$5&lt;100)),
VLOOKUP(FLOOR((Midterm!AJ27/AJ$5)*100,1),new_transmute,3,FALSE),
VLOOKUP(Midterm!AJ27,new_transmute,3,FALSE)
),
IF(Info!$B$4="Board program (Medicine)",
IF(OR(AND(AJ$5&gt;0,AJ$5&gt;100),AND(AJ$5&gt;0,AJ$5&lt;100)),
VLOOKUP(FLOOR((Midterm!AJ27/AJ$5)*100,1),new_transmute,4,FALSE),
VLOOKUP(Midterm!AJ27,new_transmute,4,FALSE)
),
""
)
)
)
)
)
)
)
)
))</f>
        <v/>
      </c>
      <c r="AK27" s="59" t="str">
        <f t="shared" si="6"/>
        <v/>
      </c>
      <c r="AL27" s="60" t="str">
        <f>IF(B27="", "",
    IF(OR(M27="OVER", S27="OVER", Y27="OVER", AE27="OVER", AK27="OVER"),
        "OVER",
        IF(Info!$B$4="Non-board program",
            VLOOKUP(IFERROR(FLOOR(SUM((M27*$M$4), (S27*$S$4), (Y27*$Y$4), (AE27*$AE$4), (AK27*$AK$4)) * (100 / 60), 1), 0), new_transmute, 2, FALSE),
            IF(Info!$B$4="Board program",
                VLOOKUP(IFERROR(FLOOR(SUM((M27*$M$4), (S27*$S$4), (Y27*$Y$4), (AE27*$AE$4), (AK27*$AK$4)) * (100 / 60), 1), 0), new_transmute, 3, FALSE),
                IF(Info!$B$4="Board program (Medicine)",
                    VLOOKUP(IFERROR(FLOOR(SUM((M27*$M$4), (S27*$S$4), (Y27*$Y$4), (AE27*$AE$4), (AK27*$AK$4)) * (100 / 60), 1), 0), new_transmute, 4, FALSE),
                    ""
                )
            )
        )
    )
)</f>
        <v/>
      </c>
      <c r="AM27" s="14" t="str">
        <f>IF($B27="","",
IF(AM$5="","",
IF(Midterm!AM27="",0,
IF(NOT(ISNUMBER(Midterm!AM27)),"NAN",
IF(Midterm!AM27&lt;0,"NEG",
IF(Midterm!AM27&gt;AM$5,"OVER",
IF(AND(AM$5&lt;=100,Midterm!AM27&gt;100),"ERR",
IF(Info!$B$4="Non-board program",
IF(OR(AND(AM$5&gt;0,AM$5&gt;100),AND(AM$5&gt;0,AM$5&lt;100)),
VLOOKUP(FLOOR((Midterm!AM27/AM$5)*100,1),new_transmute,2,FALSE),
VLOOKUP(Midterm!AM27,new_transmute,2,FALSE)
),
IF(Info!$B$4="Board program",
IF(OR(AND(AM$5&gt;0,AM$5&gt;100),AND(AM$5&gt;0,AM$5&lt;100)),
VLOOKUP(FLOOR((Midterm!AM27/AM$5)*100,1),new_transmute,3,FALSE),
VLOOKUP(Midterm!AM27,new_transmute,3,FALSE)
),
IF(Info!$B$4="Board program (Medicine)",
IF(OR(AND(AM$5&gt;0,AM$5&gt;100),AND(AM$5&gt;0,AM$5&lt;100)),
VLOOKUP(FLOOR((Midterm!AM27/AM$5)*100,1),new_transmute,4,FALSE),
VLOOKUP(Midterm!AM27,new_transmute,4,FALSE)
),
""
)
)
)
)
)
)
)
)
))</f>
        <v/>
      </c>
      <c r="AN27" s="14" t="str">
        <f>IF($B27="","",
IF(AN$5="","",
IF(Midterm!AN27="",0,
IF(NOT(ISNUMBER(Midterm!AN27)),"NAN",
IF(Midterm!AN27&lt;0,"NEG",
IF(Midterm!AN27&gt;AN$5,"OVER",
IF(AND(AN$5&lt;=100,Midterm!AN27&gt;100),"ERR",
IF(Info!$B$4="Non-board program",
IF(OR(AND(AN$5&gt;0,AN$5&gt;100),AND(AN$5&gt;0,AN$5&lt;100)),
VLOOKUP(FLOOR((Midterm!AN27/AN$5)*100,1),new_transmute,2,FALSE),
VLOOKUP(Midterm!AN27,new_transmute,2,FALSE)
),
IF(Info!$B$4="Board program",
IF(OR(AND(AN$5&gt;0,AN$5&gt;100),AND(AN$5&gt;0,AN$5&lt;100)),
VLOOKUP(FLOOR((Midterm!AN27/AN$5)*100,1),new_transmute,3,FALSE),
VLOOKUP(Midterm!AN27,new_transmute,3,FALSE)
),
IF(Info!$B$4="Board program (Medicine)",
IF(OR(AND(AN$5&gt;0,AN$5&gt;100),AND(AN$5&gt;0,AN$5&lt;100)),
VLOOKUP(FLOOR((Midterm!AN27/AN$5)*100,1),new_transmute,4,FALSE),
VLOOKUP(Midterm!AN27,new_transmute,4,FALSE)
),
""
)
)
)
)
)
)
)
)
))</f>
        <v/>
      </c>
      <c r="AO27" s="14" t="str">
        <f>IF($B27="","",
IF(AO$5="","",
IF(Midterm!AO27="",0,
IF(NOT(ISNUMBER(Midterm!AO27)),"NAN",
IF(Midterm!AO27&lt;0,"NEG",
IF(Midterm!AO27&gt;AO$5,"OVER",
IF(AND(AO$5&lt;=100,Midterm!AO27&gt;100),"ERR",
IF(Info!$B$4="Non-board program",
IF(OR(AND(AO$5&gt;0,AO$5&gt;100),AND(AO$5&gt;0,AO$5&lt;100)),
VLOOKUP(FLOOR((Midterm!AO27/AO$5)*100,1),new_transmute,2,FALSE),
VLOOKUP(Midterm!AO27,new_transmute,2,FALSE)
),
IF(Info!$B$4="Board program",
IF(OR(AND(AO$5&gt;0,AO$5&gt;100),AND(AO$5&gt;0,AO$5&lt;100)),
VLOOKUP(FLOOR((Midterm!AO27/AO$5)*100,1),new_transmute,3,FALSE),
VLOOKUP(Midterm!AO27,new_transmute,3,FALSE)
),
IF(Info!$B$4="Board program (Medicine)",
IF(OR(AND(AO$5&gt;0,AO$5&gt;100),AND(AO$5&gt;0,AO$5&lt;100)),
VLOOKUP(FLOOR((Midterm!AO27/AO$5)*100,1),new_transmute,4,FALSE),
VLOOKUP(Midterm!AO27,new_transmute,4,FALSE)
),
""
)
)
)
)
)
)
)
)
))</f>
        <v/>
      </c>
      <c r="AP27" s="14" t="str">
        <f>IF($B27="","",
IF(AP$5="","",
IF(Midterm!AP27="",0,
IF(NOT(ISNUMBER(Midterm!AP27)),"NAN",
IF(Midterm!AP27&lt;0,"NEG",
IF(Midterm!AP27&gt;AP$5,"OVER",
IF(AND(AP$5&lt;=100,Midterm!AP27&gt;100),"ERR",
IF(Info!$B$4="Non-board program",
IF(OR(AND(AP$5&gt;0,AP$5&gt;100),AND(AP$5&gt;0,AP$5&lt;100)),
VLOOKUP(FLOOR((Midterm!AP27/AP$5)*100,1),new_transmute,2,FALSE),
VLOOKUP(Midterm!AP27,new_transmute,2,FALSE)
),
IF(Info!$B$4="Board program",
IF(OR(AND(AP$5&gt;0,AP$5&gt;100),AND(AP$5&gt;0,AP$5&lt;100)),
VLOOKUP(FLOOR((Midterm!AP27/AP$5)*100,1),new_transmute,3,FALSE),
VLOOKUP(Midterm!AP27,new_transmute,3,FALSE)
),
IF(Info!$B$4="Board program (Medicine)",
IF(OR(AND(AP$5&gt;0,AP$5&gt;100),AND(AP$5&gt;0,AP$5&lt;100)),
VLOOKUP(FLOOR((Midterm!AP27/AP$5)*100,1),new_transmute,4,FALSE),
VLOOKUP(Midterm!AP27,new_transmute,4,FALSE)
),
""
)
)
)
)
)
)
)
)
))</f>
        <v/>
      </c>
      <c r="AQ27" s="61" t="str">
        <f t="shared" si="7"/>
        <v/>
      </c>
      <c r="AR27" s="48" t="str">
        <f>IF(Midterm!AR27="","",Midterm!AR27)</f>
        <v/>
      </c>
      <c r="AS27" s="165" t="str">
        <f t="shared" si="8"/>
        <v/>
      </c>
      <c r="AT27" s="14" t="str">
        <f t="shared" si="0"/>
        <v/>
      </c>
      <c r="AU27" s="14" t="str">
        <f>IF(B27="","",VLOOKUP(AT27,'New Grade Equivalent'!$B$3:$C$47,2,FALSE))</f>
        <v/>
      </c>
    </row>
    <row r="28" spans="1:47" x14ac:dyDescent="0.25">
      <c r="A28" s="8">
        <v>23</v>
      </c>
      <c r="B28" s="2" t="str">
        <f>IF('Student List'!C32="","",UPPER(LEFT('Student List'!C32,FIND(",",'Student List'!C32)-1)))</f>
        <v/>
      </c>
      <c r="C28" s="12" t="str">
        <f>IF('Student List'!C32="","",PROPER(MID('Student List'!C32, FIND(",", 'Student List'!C32) + 2, LEN('Student List'!C32) - FIND(",", 'Student List'!C32) - 1)))</f>
        <v/>
      </c>
      <c r="D28" s="127" t="str">
        <f>IF(B28="","",IF(Midterm!D28="", "NA", Midterm!D28))</f>
        <v/>
      </c>
      <c r="E28" s="8" t="str">
        <f>IF(B28="","",
  IF(Info!$B$5="First Year",
    IF(D28="Yes", "DRP",
      IF(D28="No", "WF", "")
    )
  )
)</f>
        <v/>
      </c>
      <c r="F28" s="14" t="str">
        <f>IF($B28="","",
IF(F$5="","",
IF(Midterm!F28="",0,
IF(NOT(ISNUMBER(Midterm!F28)),"NAN",
IF(Midterm!F28&lt;0,"NEG",
IF(Midterm!F28&gt;F$5,"OVER",
IF(AND(F$5&lt;=100,Midterm!F28&gt;100),"ERR",
IF(Info!$B$4="Non-board program",
IF(OR(AND(F$5&gt;0,F$5&gt;100),AND(F$5&gt;0,F$5&lt;100)),
VLOOKUP(FLOOR((Midterm!F28/F$5)*100,1),new_transmute,2,FALSE),
VLOOKUP(Midterm!F28,new_transmute,2,FALSE)
),
IF(Info!$B$4="Board program",
IF(OR(AND(F$5&gt;0,F$5&gt;100),AND(F$5&gt;0,F$5&lt;100)),
VLOOKUP(FLOOR((Midterm!F28/F$5)*100,1),new_transmute,3,FALSE),
VLOOKUP(Midterm!F28,new_transmute,3,FALSE)
),
IF(Info!$B$4="Board program (Medicine)",
IF(OR(AND(F$5&gt;0,F$5&gt;100),AND(F$5&gt;0,F$5&lt;100)),
VLOOKUP(FLOOR((Midterm!F28/F$5)*100,1),new_transmute,4,FALSE),
VLOOKUP(Midterm!F28,new_transmute,4,FALSE)
),
""
)
)
)
)
)
)
)
)
))</f>
        <v/>
      </c>
      <c r="G28" s="57" t="str">
        <f t="shared" si="1"/>
        <v/>
      </c>
      <c r="H28" s="14" t="str">
        <f>IF($B28="","",
IF(H$5="","",
IF(Midterm!H28="",0,
IF(NOT(ISNUMBER(Midterm!H28)),"NAN",
IF(Midterm!H28&lt;0,"NEG",
IF(Midterm!H28&gt;H$5,"OVER",
IF(AND(H$5&lt;=100,Midterm!H28&gt;100),"ERR",
IF(Info!$B$4="Non-board program",
IF(OR(AND(H$5&gt;0,H$5&gt;100),AND(H$5&gt;0,H$5&lt;100)),
VLOOKUP(FLOOR((Midterm!H28/H$5)*100,1),new_transmute,2,FALSE),
VLOOKUP(Midterm!H28,new_transmute,2,FALSE)
),
IF(Info!$B$4="Board program",
IF(OR(AND(H$5&gt;0,H$5&gt;100),AND(H$5&gt;0,H$5&lt;100)),
VLOOKUP(FLOOR((Midterm!H28/H$5)*100,1),new_transmute,3,FALSE),
VLOOKUP(Midterm!H28,new_transmute,3,FALSE)
),
IF(Info!$B$4="Board program (Medicine)",
IF(OR(AND(H$5&gt;0,H$5&gt;100),AND(H$5&gt;0,H$5&lt;100)),
VLOOKUP(FLOOR((Midterm!H28/H$5)*100,1),new_transmute,4,FALSE),
VLOOKUP(Midterm!H28,new_transmute,4,FALSE)
),
""
)
)
)
)
)
)
)
)
))</f>
        <v/>
      </c>
      <c r="I28" s="14" t="str">
        <f>IF($B28="","",
IF(I$5="","",
IF(Midterm!I28="",0,
IF(NOT(ISNUMBER(Midterm!I28)),"NAN",
IF(Midterm!I28&lt;0,"NEG",
IF(Midterm!I28&gt;I$5,"OVER",
IF(AND(I$5&lt;=100,Midterm!I28&gt;100),"ERR",
IF(Info!$B$4="Non-board program",
IF(OR(AND(I$5&gt;0,I$5&gt;100),AND(I$5&gt;0,I$5&lt;100)),
VLOOKUP(FLOOR((Midterm!I28/I$5)*100,1),new_transmute,2,FALSE),
VLOOKUP(Midterm!I28,new_transmute,2,FALSE)
),
IF(Info!$B$4="Board program",
IF(OR(AND(I$5&gt;0,I$5&gt;100),AND(I$5&gt;0,I$5&lt;100)),
VLOOKUP(FLOOR((Midterm!I28/I$5)*100,1),new_transmute,3,FALSE),
VLOOKUP(Midterm!I28,new_transmute,3,FALSE)
),
IF(Info!$B$4="Board program (Medicine)",
IF(OR(AND(I$5&gt;0,I$5&gt;100),AND(I$5&gt;0,I$5&lt;100)),
VLOOKUP(FLOOR((Midterm!I28/I$5)*100,1),new_transmute,4,FALSE),
VLOOKUP(Midterm!I28,new_transmute,4,FALSE)
),
""
)
)
)
)
)
)
)
)
))</f>
        <v/>
      </c>
      <c r="J28" s="14" t="str">
        <f>IF($B28="","",
IF(J$5="","",
IF(Midterm!J28="",0,
IF(NOT(ISNUMBER(Midterm!J28)),"NAN",
IF(Midterm!J28&lt;0,"NEG",
IF(Midterm!J28&gt;J$5,"OVER",
IF(AND(J$5&lt;=100,Midterm!J28&gt;100),"ERR",
IF(Info!$B$4="Non-board program",
IF(OR(AND(J$5&gt;0,J$5&gt;100),AND(J$5&gt;0,J$5&lt;100)),
VLOOKUP(FLOOR((Midterm!J28/J$5)*100,1),new_transmute,2,FALSE),
VLOOKUP(Midterm!J28,new_transmute,2,FALSE)
),
IF(Info!$B$4="Board program",
IF(OR(AND(J$5&gt;0,J$5&gt;100),AND(J$5&gt;0,J$5&lt;100)),
VLOOKUP(FLOOR((Midterm!J28/J$5)*100,1),new_transmute,3,FALSE),
VLOOKUP(Midterm!J28,new_transmute,3,FALSE)
),
IF(Info!$B$4="Board program (Medicine)",
IF(OR(AND(J$5&gt;0,J$5&gt;100),AND(J$5&gt;0,J$5&lt;100)),
VLOOKUP(FLOOR((Midterm!J28/J$5)*100,1),new_transmute,4,FALSE),
VLOOKUP(Midterm!J28,new_transmute,4,FALSE)
),
""
)
)
)
)
)
)
)
)
))</f>
        <v/>
      </c>
      <c r="K28" s="14" t="str">
        <f>IF($B28="","",
IF(K$5="","",
IF(Midterm!K28="",0,
IF(NOT(ISNUMBER(Midterm!K28)),"NAN",
IF(Midterm!K28&lt;0,"NEG",
IF(Midterm!K28&gt;K$5,"OVER",
IF(AND(K$5&lt;=100,Midterm!K28&gt;100),"ERR",
IF(Info!$B$4="Non-board program",
IF(OR(AND(K$5&gt;0,K$5&gt;100),AND(K$5&gt;0,K$5&lt;100)),
VLOOKUP(FLOOR((Midterm!K28/K$5)*100,1),new_transmute,2,FALSE),
VLOOKUP(Midterm!K28,new_transmute,2,FALSE)
),
IF(Info!$B$4="Board program",
IF(OR(AND(K$5&gt;0,K$5&gt;100),AND(K$5&gt;0,K$5&lt;100)),
VLOOKUP(FLOOR((Midterm!K28/K$5)*100,1),new_transmute,3,FALSE),
VLOOKUP(Midterm!K28,new_transmute,3,FALSE)
),
IF(Info!$B$4="Board program (Medicine)",
IF(OR(AND(K$5&gt;0,K$5&gt;100),AND(K$5&gt;0,K$5&lt;100)),
VLOOKUP(FLOOR((Midterm!K28/K$5)*100,1),new_transmute,4,FALSE),
VLOOKUP(Midterm!K28,new_transmute,4,FALSE)
),
""
)
)
)
)
)
)
)
)
))</f>
        <v/>
      </c>
      <c r="L28" s="14" t="str">
        <f>IF($B28="","",
IF(L$5="","",
IF(Midterm!L28="",0,
IF(NOT(ISNUMBER(Midterm!L28)),"NAN",
IF(Midterm!L28&lt;0,"NEG",
IF(Midterm!L28&gt;L$5,"OVER",
IF(AND(L$5&lt;=100,Midterm!L28&gt;100),"ERR",
IF(Info!$B$4="Non-board program",
IF(OR(AND(L$5&gt;0,L$5&gt;100),AND(L$5&gt;0,L$5&lt;100)),
VLOOKUP(FLOOR((Midterm!L28/L$5)*100,1),new_transmute,2,FALSE),
VLOOKUP(Midterm!L28,new_transmute,2,FALSE)
),
IF(Info!$B$4="Board program",
IF(OR(AND(L$5&gt;0,L$5&gt;100),AND(L$5&gt;0,L$5&lt;100)),
VLOOKUP(FLOOR((Midterm!L28/L$5)*100,1),new_transmute,3,FALSE),
VLOOKUP(Midterm!L28,new_transmute,3,FALSE)
),
IF(Info!$B$4="Board program (Medicine)",
IF(OR(AND(L$5&gt;0,L$5&gt;100),AND(L$5&gt;0,L$5&lt;100)),
VLOOKUP(FLOOR((Midterm!L28/L$5)*100,1),new_transmute,4,FALSE),
VLOOKUP(Midterm!L28,new_transmute,4,FALSE)
),
""
)
)
)
)
)
)
)
)
))</f>
        <v/>
      </c>
      <c r="M28" s="111" t="str">
        <f t="shared" si="2"/>
        <v/>
      </c>
      <c r="N28" s="14" t="str">
        <f>IF($B28="","",
IF(N$5="","",
IF(Midterm!N28="",0,
IF(NOT(ISNUMBER(Midterm!N28)),"NAN",
IF(Midterm!N28&lt;0,"NEG",
IF(Midterm!N28&gt;N$5,"OVER",
IF(AND(N$5&lt;=100,Midterm!N28&gt;100),"ERR",
IF(Info!$B$4="Non-board program",
IF(OR(AND(N$5&gt;0,N$5&gt;100),AND(N$5&gt;0,N$5&lt;100)),
VLOOKUP(FLOOR((Midterm!N28/N$5)*100,1),new_transmute,2,FALSE),
VLOOKUP(Midterm!N28,new_transmute,2,FALSE)
),
IF(Info!$B$4="Board program",
IF(OR(AND(N$5&gt;0,N$5&gt;100),AND(N$5&gt;0,N$5&lt;100)),
VLOOKUP(FLOOR((Midterm!N28/N$5)*100,1),new_transmute,3,FALSE),
VLOOKUP(Midterm!N28,new_transmute,3,FALSE)
),
IF(Info!$B$4="Board program (Medicine)",
IF(OR(AND(N$5&gt;0,N$5&gt;100),AND(N$5&gt;0,N$5&lt;100)),
VLOOKUP(FLOOR((Midterm!N28/N$5)*100,1),new_transmute,4,FALSE),
VLOOKUP(Midterm!N28,new_transmute,4,FALSE)
),
""
)
)
)
)
)
)
)
)
))</f>
        <v/>
      </c>
      <c r="O28" s="14" t="str">
        <f>IF($B28="","",
IF(O$5="","",
IF(Midterm!O28="",0,
IF(NOT(ISNUMBER(Midterm!O28)),"NAN",
IF(Midterm!O28&lt;0,"NEG",
IF(Midterm!O28&gt;O$5,"OVER",
IF(AND(O$5&lt;=100,Midterm!O28&gt;100),"ERR",
IF(Info!$B$4="Non-board program",
IF(OR(AND(O$5&gt;0,O$5&gt;100),AND(O$5&gt;0,O$5&lt;100)),
VLOOKUP(FLOOR((Midterm!O28/O$5)*100,1),new_transmute,2,FALSE),
VLOOKUP(Midterm!O28,new_transmute,2,FALSE)
),
IF(Info!$B$4="Board program",
IF(OR(AND(O$5&gt;0,O$5&gt;100),AND(O$5&gt;0,O$5&lt;100)),
VLOOKUP(FLOOR((Midterm!O28/O$5)*100,1),new_transmute,3,FALSE),
VLOOKUP(Midterm!O28,new_transmute,3,FALSE)
),
IF(Info!$B$4="Board program (Medicine)",
IF(OR(AND(O$5&gt;0,O$5&gt;100),AND(O$5&gt;0,O$5&lt;100)),
VLOOKUP(FLOOR((Midterm!O28/O$5)*100,1),new_transmute,4,FALSE),
VLOOKUP(Midterm!O28,new_transmute,4,FALSE)
),
""
)
)
)
)
)
)
)
)
))</f>
        <v/>
      </c>
      <c r="P28" s="14" t="str">
        <f>IF($B28="","",
IF(P$5="","",
IF(Midterm!P28="",0,
IF(NOT(ISNUMBER(Midterm!P28)),"NAN",
IF(Midterm!P28&lt;0,"NEG",
IF(Midterm!P28&gt;P$5,"OVER",
IF(AND(P$5&lt;=100,Midterm!P28&gt;100),"ERR",
IF(Info!$B$4="Non-board program",
IF(OR(AND(P$5&gt;0,P$5&gt;100),AND(P$5&gt;0,P$5&lt;100)),
VLOOKUP(FLOOR((Midterm!P28/P$5)*100,1),new_transmute,2,FALSE),
VLOOKUP(Midterm!P28,new_transmute,2,FALSE)
),
IF(Info!$B$4="Board program",
IF(OR(AND(P$5&gt;0,P$5&gt;100),AND(P$5&gt;0,P$5&lt;100)),
VLOOKUP(FLOOR((Midterm!P28/P$5)*100,1),new_transmute,3,FALSE),
VLOOKUP(Midterm!P28,new_transmute,3,FALSE)
),
IF(Info!$B$4="Board program (Medicine)",
IF(OR(AND(P$5&gt;0,P$5&gt;100),AND(P$5&gt;0,P$5&lt;100)),
VLOOKUP(FLOOR((Midterm!P28/P$5)*100,1),new_transmute,4,FALSE),
VLOOKUP(Midterm!P28,new_transmute,4,FALSE)
),
""
)
)
)
)
)
)
)
)
))</f>
        <v/>
      </c>
      <c r="Q28" s="14" t="str">
        <f>IF($B28="","",
IF(Q$5="","",
IF(Midterm!Q28="",0,
IF(NOT(ISNUMBER(Midterm!Q28)),"NAN",
IF(Midterm!Q28&lt;0,"NEG",
IF(Midterm!Q28&gt;Q$5,"OVER",
IF(AND(Q$5&lt;=100,Midterm!Q28&gt;100),"ERR",
IF(Info!$B$4="Non-board program",
IF(OR(AND(Q$5&gt;0,Q$5&gt;100),AND(Q$5&gt;0,Q$5&lt;100)),
VLOOKUP(FLOOR((Midterm!Q28/Q$5)*100,1),new_transmute,2,FALSE),
VLOOKUP(Midterm!Q28,new_transmute,2,FALSE)
),
IF(Info!$B$4="Board program",
IF(OR(AND(Q$5&gt;0,Q$5&gt;100),AND(Q$5&gt;0,Q$5&lt;100)),
VLOOKUP(FLOOR((Midterm!Q28/Q$5)*100,1),new_transmute,3,FALSE),
VLOOKUP(Midterm!Q28,new_transmute,3,FALSE)
),
IF(Info!$B$4="Board program (Medicine)",
IF(OR(AND(Q$5&gt;0,Q$5&gt;100),AND(Q$5&gt;0,Q$5&lt;100)),
VLOOKUP(FLOOR((Midterm!Q28/Q$5)*100,1),new_transmute,4,FALSE),
VLOOKUP(Midterm!Q28,new_transmute,4,FALSE)
),
""
)
)
)
)
)
)
)
)
))</f>
        <v/>
      </c>
      <c r="R28" s="14" t="str">
        <f>IF($B28="","",
IF(R$5="","",
IF(Midterm!R28="",0,
IF(NOT(ISNUMBER(Midterm!R28)),"NAN",
IF(Midterm!R28&lt;0,"NEG",
IF(Midterm!R28&gt;R$5,"OVER",
IF(AND(R$5&lt;=100,Midterm!R28&gt;100),"ERR",
IF(Info!$B$4="Non-board program",
IF(OR(AND(R$5&gt;0,R$5&gt;100),AND(R$5&gt;0,R$5&lt;100)),
VLOOKUP(FLOOR((Midterm!R28/R$5)*100,1),new_transmute,2,FALSE),
VLOOKUP(Midterm!R28,new_transmute,2,FALSE)
),
IF(Info!$B$4="Board program",
IF(OR(AND(R$5&gt;0,R$5&gt;100),AND(R$5&gt;0,R$5&lt;100)),
VLOOKUP(FLOOR((Midterm!R28/R$5)*100,1),new_transmute,3,FALSE),
VLOOKUP(Midterm!R28,new_transmute,3,FALSE)
),
IF(Info!$B$4="Board program (Medicine)",
IF(OR(AND(R$5&gt;0,R$5&gt;100),AND(R$5&gt;0,R$5&lt;100)),
VLOOKUP(FLOOR((Midterm!R28/R$5)*100,1),new_transmute,4,FALSE),
VLOOKUP(Midterm!R28,new_transmute,4,FALSE)
),
""
)
)
)
)
)
)
)
)
))</f>
        <v/>
      </c>
      <c r="S28" s="115" t="str">
        <f t="shared" si="3"/>
        <v/>
      </c>
      <c r="T28" s="14" t="str">
        <f>IF($B28="","",
IF(T$5="","",
IF(Midterm!T28="",0,
IF(NOT(ISNUMBER(Midterm!T28)),"NAN",
IF(Midterm!T28&lt;0,"NEG",
IF(Midterm!T28&gt;T$5,"OVER",
IF(AND(T$5&lt;=100,Midterm!T28&gt;100),"ERR",
IF(Info!$B$4="Non-board program",
IF(OR(AND(T$5&gt;0,T$5&gt;100),AND(T$5&gt;0,T$5&lt;100)),
VLOOKUP(FLOOR((Midterm!T28/T$5)*100,1),new_transmute,2,FALSE),
VLOOKUP(Midterm!T28,new_transmute,2,FALSE)
),
IF(Info!$B$4="Board program",
IF(OR(AND(T$5&gt;0,T$5&gt;100),AND(T$5&gt;0,T$5&lt;100)),
VLOOKUP(FLOOR((Midterm!T28/T$5)*100,1),new_transmute,3,FALSE),
VLOOKUP(Midterm!T28,new_transmute,3,FALSE)
),
IF(Info!$B$4="Board program (Medicine)",
IF(OR(AND(T$5&gt;0,T$5&gt;100),AND(T$5&gt;0,T$5&lt;100)),
VLOOKUP(FLOOR((Midterm!T28/T$5)*100,1),new_transmute,4,FALSE),
VLOOKUP(Midterm!T28,new_transmute,4,FALSE)
),
""
)
)
)
)
)
)
)
)
))</f>
        <v/>
      </c>
      <c r="U28" s="14" t="str">
        <f>IF($B28="","",
IF(U$5="","",
IF(Midterm!U28="",0,
IF(NOT(ISNUMBER(Midterm!U28)),"NAN",
IF(Midterm!U28&lt;0,"NEG",
IF(Midterm!U28&gt;U$5,"OVER",
IF(AND(U$5&lt;=100,Midterm!U28&gt;100),"ERR",
IF(Info!$B$4="Non-board program",
IF(OR(AND(U$5&gt;0,U$5&gt;100),AND(U$5&gt;0,U$5&lt;100)),
VLOOKUP(FLOOR((Midterm!U28/U$5)*100,1),new_transmute,2,FALSE),
VLOOKUP(Midterm!U28,new_transmute,2,FALSE)
),
IF(Info!$B$4="Board program",
IF(OR(AND(U$5&gt;0,U$5&gt;100),AND(U$5&gt;0,U$5&lt;100)),
VLOOKUP(FLOOR((Midterm!U28/U$5)*100,1),new_transmute,3,FALSE),
VLOOKUP(Midterm!U28,new_transmute,3,FALSE)
),
IF(Info!$B$4="Board program (Medicine)",
IF(OR(AND(U$5&gt;0,U$5&gt;100),AND(U$5&gt;0,U$5&lt;100)),
VLOOKUP(FLOOR((Midterm!U28/U$5)*100,1),new_transmute,4,FALSE),
VLOOKUP(Midterm!U28,new_transmute,4,FALSE)
),
""
)
)
)
)
)
)
)
)
))</f>
        <v/>
      </c>
      <c r="V28" s="14" t="str">
        <f>IF($B28="","",
IF(V$5="","",
IF(Midterm!V28="",0,
IF(NOT(ISNUMBER(Midterm!V28)),"NAN",
IF(Midterm!V28&lt;0,"NEG",
IF(Midterm!V28&gt;V$5,"OVER",
IF(AND(V$5&lt;=100,Midterm!V28&gt;100),"ERR",
IF(Info!$B$4="Non-board program",
IF(OR(AND(V$5&gt;0,V$5&gt;100),AND(V$5&gt;0,V$5&lt;100)),
VLOOKUP(FLOOR((Midterm!V28/V$5)*100,1),new_transmute,2,FALSE),
VLOOKUP(Midterm!V28,new_transmute,2,FALSE)
),
IF(Info!$B$4="Board program",
IF(OR(AND(V$5&gt;0,V$5&gt;100),AND(V$5&gt;0,V$5&lt;100)),
VLOOKUP(FLOOR((Midterm!V28/V$5)*100,1),new_transmute,3,FALSE),
VLOOKUP(Midterm!V28,new_transmute,3,FALSE)
),
IF(Info!$B$4="Board program (Medicine)",
IF(OR(AND(V$5&gt;0,V$5&gt;100),AND(V$5&gt;0,V$5&lt;100)),
VLOOKUP(FLOOR((Midterm!V28/V$5)*100,1),new_transmute,4,FALSE),
VLOOKUP(Midterm!V28,new_transmute,4,FALSE)
),
""
)
)
)
)
)
)
)
)
))</f>
        <v/>
      </c>
      <c r="W28" s="14" t="str">
        <f>IF($B28="","",
IF(W$5="","",
IF(Midterm!W28="",0,
IF(NOT(ISNUMBER(Midterm!W28)),"NAN",
IF(Midterm!W28&lt;0,"NEG",
IF(Midterm!W28&gt;W$5,"OVER",
IF(AND(W$5&lt;=100,Midterm!W28&gt;100),"ERR",
IF(Info!$B$4="Non-board program",
IF(OR(AND(W$5&gt;0,W$5&gt;100),AND(W$5&gt;0,W$5&lt;100)),
VLOOKUP(FLOOR((Midterm!W28/W$5)*100,1),new_transmute,2,FALSE),
VLOOKUP(Midterm!W28,new_transmute,2,FALSE)
),
IF(Info!$B$4="Board program",
IF(OR(AND(W$5&gt;0,W$5&gt;100),AND(W$5&gt;0,W$5&lt;100)),
VLOOKUP(FLOOR((Midterm!W28/W$5)*100,1),new_transmute,3,FALSE),
VLOOKUP(Midterm!W28,new_transmute,3,FALSE)
),
IF(Info!$B$4="Board program (Medicine)",
IF(OR(AND(W$5&gt;0,W$5&gt;100),AND(W$5&gt;0,W$5&lt;100)),
VLOOKUP(FLOOR((Midterm!W28/W$5)*100,1),new_transmute,4,FALSE),
VLOOKUP(Midterm!W28,new_transmute,4,FALSE)
),
""
)
)
)
)
)
)
)
)
))</f>
        <v/>
      </c>
      <c r="X28" s="14" t="str">
        <f>IF($B28="","",
IF(X$5="","",
IF(Midterm!X28="",0,
IF(NOT(ISNUMBER(Midterm!X28)),"NAN",
IF(Midterm!X28&lt;0,"NEG",
IF(Midterm!X28&gt;X$5,"OVER",
IF(AND(X$5&lt;=100,Midterm!X28&gt;100),"ERR",
IF(Info!$B$4="Non-board program",
IF(OR(AND(X$5&gt;0,X$5&gt;100),AND(X$5&gt;0,X$5&lt;100)),
VLOOKUP(FLOOR((Midterm!X28/X$5)*100,1),new_transmute,2,FALSE),
VLOOKUP(Midterm!X28,new_transmute,2,FALSE)
),
IF(Info!$B$4="Board program",
IF(OR(AND(X$5&gt;0,X$5&gt;100),AND(X$5&gt;0,X$5&lt;100)),
VLOOKUP(FLOOR((Midterm!X28/X$5)*100,1),new_transmute,3,FALSE),
VLOOKUP(Midterm!X28,new_transmute,3,FALSE)
),
IF(Info!$B$4="Board program (Medicine)",
IF(OR(AND(X$5&gt;0,X$5&gt;100),AND(X$5&gt;0,X$5&lt;100)),
VLOOKUP(FLOOR((Midterm!X28/X$5)*100,1),new_transmute,4,FALSE),
VLOOKUP(Midterm!X28,new_transmute,4,FALSE)
),
""
)
)
)
)
)
)
)
)
))</f>
        <v/>
      </c>
      <c r="Y28" s="112" t="str">
        <f t="shared" si="4"/>
        <v/>
      </c>
      <c r="Z28" s="14" t="str">
        <f>IF($B28="","",
IF(Z$5="","",
IF(Midterm!Z28="",0,
IF(NOT(ISNUMBER(Midterm!Z28)),"NAN",
IF(Midterm!Z28&lt;0,"NEG",
IF(Midterm!Z28&gt;Z$5,"OVER",
IF(AND(Z$5&lt;=100,Midterm!Z28&gt;100),"ERR",
IF(Info!$B$4="Non-board program",
IF(OR(AND(Z$5&gt;0,Z$5&gt;100),AND(Z$5&gt;0,Z$5&lt;100)),
VLOOKUP(FLOOR((Midterm!Z28/Z$5)*100,1),new_transmute,2,FALSE),
VLOOKUP(Midterm!Z28,new_transmute,2,FALSE)
),
IF(Info!$B$4="Board program",
IF(OR(AND(Z$5&gt;0,Z$5&gt;100),AND(Z$5&gt;0,Z$5&lt;100)),
VLOOKUP(FLOOR((Midterm!Z28/Z$5)*100,1),new_transmute,3,FALSE),
VLOOKUP(Midterm!Z28,new_transmute,3,FALSE)
),
IF(Info!$B$4="Board program (Medicine)",
IF(OR(AND(Z$5&gt;0,Z$5&gt;100),AND(Z$5&gt;0,Z$5&lt;100)),
VLOOKUP(FLOOR((Midterm!Z28/Z$5)*100,1),new_transmute,4,FALSE),
VLOOKUP(Midterm!Z28,new_transmute,4,FALSE)
),
""
)
)
)
)
)
)
)
)
))</f>
        <v/>
      </c>
      <c r="AA28" s="14" t="str">
        <f>IF($B28="","",
IF(AA$5="","",
IF(Midterm!AA28="",0,
IF(NOT(ISNUMBER(Midterm!AA28)),"NAN",
IF(Midterm!AA28&lt;0,"NEG",
IF(Midterm!AA28&gt;AA$5,"OVER",
IF(AND(AA$5&lt;=100,Midterm!AA28&gt;100),"ERR",
IF(Info!$B$4="Non-board program",
IF(OR(AND(AA$5&gt;0,AA$5&gt;100),AND(AA$5&gt;0,AA$5&lt;100)),
VLOOKUP(FLOOR((Midterm!AA28/AA$5)*100,1),new_transmute,2,FALSE),
VLOOKUP(Midterm!AA28,new_transmute,2,FALSE)
),
IF(Info!$B$4="Board program",
IF(OR(AND(AA$5&gt;0,AA$5&gt;100),AND(AA$5&gt;0,AA$5&lt;100)),
VLOOKUP(FLOOR((Midterm!AA28/AA$5)*100,1),new_transmute,3,FALSE),
VLOOKUP(Midterm!AA28,new_transmute,3,FALSE)
),
IF(Info!$B$4="Board program (Medicine)",
IF(OR(AND(AA$5&gt;0,AA$5&gt;100),AND(AA$5&gt;0,AA$5&lt;100)),
VLOOKUP(FLOOR((Midterm!AA28/AA$5)*100,1),new_transmute,4,FALSE),
VLOOKUP(Midterm!AA28,new_transmute,4,FALSE)
),
""
)
)
)
)
)
)
)
)
))</f>
        <v/>
      </c>
      <c r="AB28" s="14" t="str">
        <f>IF($B28="","",
IF(AB$5="","",
IF(Midterm!AB28="",0,
IF(NOT(ISNUMBER(Midterm!AB28)),"NAN",
IF(Midterm!AB28&lt;0,"NEG",
IF(Midterm!AB28&gt;AB$5,"OVER",
IF(AND(AB$5&lt;=100,Midterm!AB28&gt;100),"ERR",
IF(Info!$B$4="Non-board program",
IF(OR(AND(AB$5&gt;0,AB$5&gt;100),AND(AB$5&gt;0,AB$5&lt;100)),
VLOOKUP(FLOOR((Midterm!AB28/AB$5)*100,1),new_transmute,2,FALSE),
VLOOKUP(Midterm!AB28,new_transmute,2,FALSE)
),
IF(Info!$B$4="Board program",
IF(OR(AND(AB$5&gt;0,AB$5&gt;100),AND(AB$5&gt;0,AB$5&lt;100)),
VLOOKUP(FLOOR((Midterm!AB28/AB$5)*100,1),new_transmute,3,FALSE),
VLOOKUP(Midterm!AB28,new_transmute,3,FALSE)
),
IF(Info!$B$4="Board program (Medicine)",
IF(OR(AND(AB$5&gt;0,AB$5&gt;100),AND(AB$5&gt;0,AB$5&lt;100)),
VLOOKUP(FLOOR((Midterm!AB28/AB$5)*100,1),new_transmute,4,FALSE),
VLOOKUP(Midterm!AB28,new_transmute,4,FALSE)
),
""
)
)
)
)
)
)
)
)
))</f>
        <v/>
      </c>
      <c r="AC28" s="14" t="str">
        <f>IF($B28="","",
IF(AC$5="","",
IF(Midterm!AC28="",0,
IF(NOT(ISNUMBER(Midterm!AC28)),"NAN",
IF(Midterm!AC28&lt;0,"NEG",
IF(Midterm!AC28&gt;AC$5,"OVER",
IF(AND(AC$5&lt;=100,Midterm!AC28&gt;100),"ERR",
IF(Info!$B$4="Non-board program",
IF(OR(AND(AC$5&gt;0,AC$5&gt;100),AND(AC$5&gt;0,AC$5&lt;100)),
VLOOKUP(FLOOR((Midterm!AC28/AC$5)*100,1),new_transmute,2,FALSE),
VLOOKUP(Midterm!AC28,new_transmute,2,FALSE)
),
IF(Info!$B$4="Board program",
IF(OR(AND(AC$5&gt;0,AC$5&gt;100),AND(AC$5&gt;0,AC$5&lt;100)),
VLOOKUP(FLOOR((Midterm!AC28/AC$5)*100,1),new_transmute,3,FALSE),
VLOOKUP(Midterm!AC28,new_transmute,3,FALSE)
),
IF(Info!$B$4="Board program (Medicine)",
IF(OR(AND(AC$5&gt;0,AC$5&gt;100),AND(AC$5&gt;0,AC$5&lt;100)),
VLOOKUP(FLOOR((Midterm!AC28/AC$5)*100,1),new_transmute,4,FALSE),
VLOOKUP(Midterm!AC28,new_transmute,4,FALSE)
),
""
)
)
)
)
)
)
)
)
))</f>
        <v/>
      </c>
      <c r="AD28" s="14" t="str">
        <f>IF($B28="","",
IF(AD$5="","",
IF(Midterm!AD28="",0,
IF(NOT(ISNUMBER(Midterm!AD28)),"NAN",
IF(Midterm!AD28&lt;0,"NEG",
IF(Midterm!AD28&gt;AD$5,"OVER",
IF(AND(AD$5&lt;=100,Midterm!AD28&gt;100),"ERR",
IF(Info!$B$4="Non-board program",
IF(OR(AND(AD$5&gt;0,AD$5&gt;100),AND(AD$5&gt;0,AD$5&lt;100)),
VLOOKUP(FLOOR((Midterm!AD28/AD$5)*100,1),new_transmute,2,FALSE),
VLOOKUP(Midterm!AD28,new_transmute,2,FALSE)
),
IF(Info!$B$4="Board program",
IF(OR(AND(AD$5&gt;0,AD$5&gt;100),AND(AD$5&gt;0,AD$5&lt;100)),
VLOOKUP(FLOOR((Midterm!AD28/AD$5)*100,1),new_transmute,3,FALSE),
VLOOKUP(Midterm!AD28,new_transmute,3,FALSE)
),
IF(Info!$B$4="Board program (Medicine)",
IF(OR(AND(AD$5&gt;0,AD$5&gt;100),AND(AD$5&gt;0,AD$5&lt;100)),
VLOOKUP(FLOOR((Midterm!AD28/AD$5)*100,1),new_transmute,4,FALSE),
VLOOKUP(Midterm!AD28,new_transmute,4,FALSE)
),
""
)
)
)
)
)
)
)
)
))</f>
        <v/>
      </c>
      <c r="AE28" s="58" t="str">
        <f t="shared" si="5"/>
        <v/>
      </c>
      <c r="AF28" s="14" t="str">
        <f>IF($B28="","",
IF(AF$5="","",
IF(Midterm!AF28="",0,
IF(NOT(ISNUMBER(Midterm!AF28)),"NAN",
IF(Midterm!AF28&lt;0,"NEG",
IF(Midterm!AF28&gt;AF$5,"OVER",
IF(AND(AF$5&lt;=100,Midterm!AF28&gt;100),"ERR",
IF(Info!$B$4="Non-board program",
IF(OR(AND(AF$5&gt;0,AF$5&gt;100),AND(AF$5&gt;0,AF$5&lt;100)),
VLOOKUP(FLOOR((Midterm!AF28/AF$5)*100,1),new_transmute,2,FALSE),
VLOOKUP(Midterm!AF28,new_transmute,2,FALSE)
),
IF(Info!$B$4="Board program",
IF(OR(AND(AF$5&gt;0,AF$5&gt;100),AND(AF$5&gt;0,AF$5&lt;100)),
VLOOKUP(FLOOR((Midterm!AF28/AF$5)*100,1),new_transmute,3,FALSE),
VLOOKUP(Midterm!AF28,new_transmute,3,FALSE)
),
IF(Info!$B$4="Board program (Medicine)",
IF(OR(AND(AF$5&gt;0,AF$5&gt;100),AND(AF$5&gt;0,AF$5&lt;100)),
VLOOKUP(FLOOR((Midterm!AF28/AF$5)*100,1),new_transmute,4,FALSE),
VLOOKUP(Midterm!AF28,new_transmute,4,FALSE)
),
""
)
)
)
)
)
)
)
)
))</f>
        <v/>
      </c>
      <c r="AG28" s="14" t="str">
        <f>IF($B28="","",
IF(AG$5="","",
IF(Midterm!AG28="",0,
IF(NOT(ISNUMBER(Midterm!AG28)),"NAN",
IF(Midterm!AG28&lt;0,"NEG",
IF(Midterm!AG28&gt;AG$5,"OVER",
IF(AND(AG$5&lt;=100,Midterm!AG28&gt;100),"ERR",
IF(Info!$B$4="Non-board program",
IF(OR(AND(AG$5&gt;0,AG$5&gt;100),AND(AG$5&gt;0,AG$5&lt;100)),
VLOOKUP(FLOOR((Midterm!AG28/AG$5)*100,1),new_transmute,2,FALSE),
VLOOKUP(Midterm!AG28,new_transmute,2,FALSE)
),
IF(Info!$B$4="Board program",
IF(OR(AND(AG$5&gt;0,AG$5&gt;100),AND(AG$5&gt;0,AG$5&lt;100)),
VLOOKUP(FLOOR((Midterm!AG28/AG$5)*100,1),new_transmute,3,FALSE),
VLOOKUP(Midterm!AG28,new_transmute,3,FALSE)
),
IF(Info!$B$4="Board program (Medicine)",
IF(OR(AND(AG$5&gt;0,AG$5&gt;100),AND(AG$5&gt;0,AG$5&lt;100)),
VLOOKUP(FLOOR((Midterm!AG28/AG$5)*100,1),new_transmute,4,FALSE),
VLOOKUP(Midterm!AG28,new_transmute,4,FALSE)
),
""
)
)
)
)
)
)
)
)
))</f>
        <v/>
      </c>
      <c r="AH28" s="14" t="str">
        <f>IF($B28="","",
IF(AH$5="","",
IF(Midterm!AH28="",0,
IF(NOT(ISNUMBER(Midterm!AH28)),"NAN",
IF(Midterm!AH28&lt;0,"NEG",
IF(Midterm!AH28&gt;AH$5,"OVER",
IF(AND(AH$5&lt;=100,Midterm!AH28&gt;100),"ERR",
IF(Info!$B$4="Non-board program",
IF(OR(AND(AH$5&gt;0,AH$5&gt;100),AND(AH$5&gt;0,AH$5&lt;100)),
VLOOKUP(FLOOR((Midterm!AH28/AH$5)*100,1),new_transmute,2,FALSE),
VLOOKUP(Midterm!AH28,new_transmute,2,FALSE)
),
IF(Info!$B$4="Board program",
IF(OR(AND(AH$5&gt;0,AH$5&gt;100),AND(AH$5&gt;0,AH$5&lt;100)),
VLOOKUP(FLOOR((Midterm!AH28/AH$5)*100,1),new_transmute,3,FALSE),
VLOOKUP(Midterm!AH28,new_transmute,3,FALSE)
),
IF(Info!$B$4="Board program (Medicine)",
IF(OR(AND(AH$5&gt;0,AH$5&gt;100),AND(AH$5&gt;0,AH$5&lt;100)),
VLOOKUP(FLOOR((Midterm!AH28/AH$5)*100,1),new_transmute,4,FALSE),
VLOOKUP(Midterm!AH28,new_transmute,4,FALSE)
),
""
)
)
)
)
)
)
)
)
))</f>
        <v/>
      </c>
      <c r="AI28" s="14" t="str">
        <f>IF($B28="","",
IF(AI$5="","",
IF(Midterm!AI28="",0,
IF(NOT(ISNUMBER(Midterm!AI28)),"NAN",
IF(Midterm!AI28&lt;0,"NEG",
IF(Midterm!AI28&gt;AI$5,"OVER",
IF(AND(AI$5&lt;=100,Midterm!AI28&gt;100),"ERR",
IF(Info!$B$4="Non-board program",
IF(OR(AND(AI$5&gt;0,AI$5&gt;100),AND(AI$5&gt;0,AI$5&lt;100)),
VLOOKUP(FLOOR((Midterm!AI28/AI$5)*100,1),new_transmute,2,FALSE),
VLOOKUP(Midterm!AI28,new_transmute,2,FALSE)
),
IF(Info!$B$4="Board program",
IF(OR(AND(AI$5&gt;0,AI$5&gt;100),AND(AI$5&gt;0,AI$5&lt;100)),
VLOOKUP(FLOOR((Midterm!AI28/AI$5)*100,1),new_transmute,3,FALSE),
VLOOKUP(Midterm!AI28,new_transmute,3,FALSE)
),
IF(Info!$B$4="Board program (Medicine)",
IF(OR(AND(AI$5&gt;0,AI$5&gt;100),AND(AI$5&gt;0,AI$5&lt;100)),
VLOOKUP(FLOOR((Midterm!AI28/AI$5)*100,1),new_transmute,4,FALSE),
VLOOKUP(Midterm!AI28,new_transmute,4,FALSE)
),
""
)
)
)
)
)
)
)
)
))</f>
        <v/>
      </c>
      <c r="AJ28" s="14" t="str">
        <f>IF($B28="","",
IF(AJ$5="","",
IF(Midterm!AJ28="",0,
IF(NOT(ISNUMBER(Midterm!AJ28)),"NAN",
IF(Midterm!AJ28&lt;0,"NEG",
IF(Midterm!AJ28&gt;AJ$5,"OVER",
IF(AND(AJ$5&lt;=100,Midterm!AJ28&gt;100),"ERR",
IF(Info!$B$4="Non-board program",
IF(OR(AND(AJ$5&gt;0,AJ$5&gt;100),AND(AJ$5&gt;0,AJ$5&lt;100)),
VLOOKUP(FLOOR((Midterm!AJ28/AJ$5)*100,1),new_transmute,2,FALSE),
VLOOKUP(Midterm!AJ28,new_transmute,2,FALSE)
),
IF(Info!$B$4="Board program",
IF(OR(AND(AJ$5&gt;0,AJ$5&gt;100),AND(AJ$5&gt;0,AJ$5&lt;100)),
VLOOKUP(FLOOR((Midterm!AJ28/AJ$5)*100,1),new_transmute,3,FALSE),
VLOOKUP(Midterm!AJ28,new_transmute,3,FALSE)
),
IF(Info!$B$4="Board program (Medicine)",
IF(OR(AND(AJ$5&gt;0,AJ$5&gt;100),AND(AJ$5&gt;0,AJ$5&lt;100)),
VLOOKUP(FLOOR((Midterm!AJ28/AJ$5)*100,1),new_transmute,4,FALSE),
VLOOKUP(Midterm!AJ28,new_transmute,4,FALSE)
),
""
)
)
)
)
)
)
)
)
))</f>
        <v/>
      </c>
      <c r="AK28" s="59" t="str">
        <f t="shared" si="6"/>
        <v/>
      </c>
      <c r="AL28" s="60" t="str">
        <f>IF(B28="", "",
    IF(OR(M28="OVER", S28="OVER", Y28="OVER", AE28="OVER", AK28="OVER"),
        "OVER",
        IF(Info!$B$4="Non-board program",
            VLOOKUP(IFERROR(FLOOR(SUM((M28*$M$4), (S28*$S$4), (Y28*$Y$4), (AE28*$AE$4), (AK28*$AK$4)) * (100 / 60), 1), 0), new_transmute, 2, FALSE),
            IF(Info!$B$4="Board program",
                VLOOKUP(IFERROR(FLOOR(SUM((M28*$M$4), (S28*$S$4), (Y28*$Y$4), (AE28*$AE$4), (AK28*$AK$4)) * (100 / 60), 1), 0), new_transmute, 3, FALSE),
                IF(Info!$B$4="Board program (Medicine)",
                    VLOOKUP(IFERROR(FLOOR(SUM((M28*$M$4), (S28*$S$4), (Y28*$Y$4), (AE28*$AE$4), (AK28*$AK$4)) * (100 / 60), 1), 0), new_transmute, 4, FALSE),
                    ""
                )
            )
        )
    )
)</f>
        <v/>
      </c>
      <c r="AM28" s="14" t="str">
        <f>IF($B28="","",
IF(AM$5="","",
IF(Midterm!AM28="",0,
IF(NOT(ISNUMBER(Midterm!AM28)),"NAN",
IF(Midterm!AM28&lt;0,"NEG",
IF(Midterm!AM28&gt;AM$5,"OVER",
IF(AND(AM$5&lt;=100,Midterm!AM28&gt;100),"ERR",
IF(Info!$B$4="Non-board program",
IF(OR(AND(AM$5&gt;0,AM$5&gt;100),AND(AM$5&gt;0,AM$5&lt;100)),
VLOOKUP(FLOOR((Midterm!AM28/AM$5)*100,1),new_transmute,2,FALSE),
VLOOKUP(Midterm!AM28,new_transmute,2,FALSE)
),
IF(Info!$B$4="Board program",
IF(OR(AND(AM$5&gt;0,AM$5&gt;100),AND(AM$5&gt;0,AM$5&lt;100)),
VLOOKUP(FLOOR((Midterm!AM28/AM$5)*100,1),new_transmute,3,FALSE),
VLOOKUP(Midterm!AM28,new_transmute,3,FALSE)
),
IF(Info!$B$4="Board program (Medicine)",
IF(OR(AND(AM$5&gt;0,AM$5&gt;100),AND(AM$5&gt;0,AM$5&lt;100)),
VLOOKUP(FLOOR((Midterm!AM28/AM$5)*100,1),new_transmute,4,FALSE),
VLOOKUP(Midterm!AM28,new_transmute,4,FALSE)
),
""
)
)
)
)
)
)
)
)
))</f>
        <v/>
      </c>
      <c r="AN28" s="14" t="str">
        <f>IF($B28="","",
IF(AN$5="","",
IF(Midterm!AN28="",0,
IF(NOT(ISNUMBER(Midterm!AN28)),"NAN",
IF(Midterm!AN28&lt;0,"NEG",
IF(Midterm!AN28&gt;AN$5,"OVER",
IF(AND(AN$5&lt;=100,Midterm!AN28&gt;100),"ERR",
IF(Info!$B$4="Non-board program",
IF(OR(AND(AN$5&gt;0,AN$5&gt;100),AND(AN$5&gt;0,AN$5&lt;100)),
VLOOKUP(FLOOR((Midterm!AN28/AN$5)*100,1),new_transmute,2,FALSE),
VLOOKUP(Midterm!AN28,new_transmute,2,FALSE)
),
IF(Info!$B$4="Board program",
IF(OR(AND(AN$5&gt;0,AN$5&gt;100),AND(AN$5&gt;0,AN$5&lt;100)),
VLOOKUP(FLOOR((Midterm!AN28/AN$5)*100,1),new_transmute,3,FALSE),
VLOOKUP(Midterm!AN28,new_transmute,3,FALSE)
),
IF(Info!$B$4="Board program (Medicine)",
IF(OR(AND(AN$5&gt;0,AN$5&gt;100),AND(AN$5&gt;0,AN$5&lt;100)),
VLOOKUP(FLOOR((Midterm!AN28/AN$5)*100,1),new_transmute,4,FALSE),
VLOOKUP(Midterm!AN28,new_transmute,4,FALSE)
),
""
)
)
)
)
)
)
)
)
))</f>
        <v/>
      </c>
      <c r="AO28" s="14" t="str">
        <f>IF($B28="","",
IF(AO$5="","",
IF(Midterm!AO28="",0,
IF(NOT(ISNUMBER(Midterm!AO28)),"NAN",
IF(Midterm!AO28&lt;0,"NEG",
IF(Midterm!AO28&gt;AO$5,"OVER",
IF(AND(AO$5&lt;=100,Midterm!AO28&gt;100),"ERR",
IF(Info!$B$4="Non-board program",
IF(OR(AND(AO$5&gt;0,AO$5&gt;100),AND(AO$5&gt;0,AO$5&lt;100)),
VLOOKUP(FLOOR((Midterm!AO28/AO$5)*100,1),new_transmute,2,FALSE),
VLOOKUP(Midterm!AO28,new_transmute,2,FALSE)
),
IF(Info!$B$4="Board program",
IF(OR(AND(AO$5&gt;0,AO$5&gt;100),AND(AO$5&gt;0,AO$5&lt;100)),
VLOOKUP(FLOOR((Midterm!AO28/AO$5)*100,1),new_transmute,3,FALSE),
VLOOKUP(Midterm!AO28,new_transmute,3,FALSE)
),
IF(Info!$B$4="Board program (Medicine)",
IF(OR(AND(AO$5&gt;0,AO$5&gt;100),AND(AO$5&gt;0,AO$5&lt;100)),
VLOOKUP(FLOOR((Midterm!AO28/AO$5)*100,1),new_transmute,4,FALSE),
VLOOKUP(Midterm!AO28,new_transmute,4,FALSE)
),
""
)
)
)
)
)
)
)
)
))</f>
        <v/>
      </c>
      <c r="AP28" s="14" t="str">
        <f>IF($B28="","",
IF(AP$5="","",
IF(Midterm!AP28="",0,
IF(NOT(ISNUMBER(Midterm!AP28)),"NAN",
IF(Midterm!AP28&lt;0,"NEG",
IF(Midterm!AP28&gt;AP$5,"OVER",
IF(AND(AP$5&lt;=100,Midterm!AP28&gt;100),"ERR",
IF(Info!$B$4="Non-board program",
IF(OR(AND(AP$5&gt;0,AP$5&gt;100),AND(AP$5&gt;0,AP$5&lt;100)),
VLOOKUP(FLOOR((Midterm!AP28/AP$5)*100,1),new_transmute,2,FALSE),
VLOOKUP(Midterm!AP28,new_transmute,2,FALSE)
),
IF(Info!$B$4="Board program",
IF(OR(AND(AP$5&gt;0,AP$5&gt;100),AND(AP$5&gt;0,AP$5&lt;100)),
VLOOKUP(FLOOR((Midterm!AP28/AP$5)*100,1),new_transmute,3,FALSE),
VLOOKUP(Midterm!AP28,new_transmute,3,FALSE)
),
IF(Info!$B$4="Board program (Medicine)",
IF(OR(AND(AP$5&gt;0,AP$5&gt;100),AND(AP$5&gt;0,AP$5&lt;100)),
VLOOKUP(FLOOR((Midterm!AP28/AP$5)*100,1),new_transmute,4,FALSE),
VLOOKUP(Midterm!AP28,new_transmute,4,FALSE)
),
""
)
)
)
)
)
)
)
)
))</f>
        <v/>
      </c>
      <c r="AQ28" s="61" t="str">
        <f t="shared" si="7"/>
        <v/>
      </c>
      <c r="AR28" s="48" t="str">
        <f>IF(Midterm!AR28="","",Midterm!AR28)</f>
        <v/>
      </c>
      <c r="AS28" s="165" t="str">
        <f t="shared" si="8"/>
        <v/>
      </c>
      <c r="AT28" s="14" t="str">
        <f t="shared" si="0"/>
        <v/>
      </c>
      <c r="AU28" s="14" t="str">
        <f>IF(B28="","",VLOOKUP(AT28,'New Grade Equivalent'!$B$3:$C$47,2,FALSE))</f>
        <v/>
      </c>
    </row>
    <row r="29" spans="1:47" x14ac:dyDescent="0.25">
      <c r="A29" s="8">
        <v>24</v>
      </c>
      <c r="B29" s="2" t="str">
        <f>IF('Student List'!C33="","",UPPER(LEFT('Student List'!C33,FIND(",",'Student List'!C33)-1)))</f>
        <v/>
      </c>
      <c r="C29" s="12" t="str">
        <f>IF('Student List'!C33="","",PROPER(MID('Student List'!C33, FIND(",", 'Student List'!C33) + 2, LEN('Student List'!C33) - FIND(",", 'Student List'!C33) - 1)))</f>
        <v/>
      </c>
      <c r="D29" s="127" t="str">
        <f>IF(B29="","",IF(Midterm!D29="", "NA", Midterm!D29))</f>
        <v/>
      </c>
      <c r="E29" s="8" t="str">
        <f>IF(B29="","",
  IF(Info!$B$5="First Year",
    IF(D29="Yes", "DRP",
      IF(D29="No", "WF", "")
    )
  )
)</f>
        <v/>
      </c>
      <c r="F29" s="14" t="str">
        <f>IF($B29="","",
IF(F$5="","",
IF(Midterm!F29="",0,
IF(NOT(ISNUMBER(Midterm!F29)),"NAN",
IF(Midterm!F29&lt;0,"NEG",
IF(Midterm!F29&gt;F$5,"OVER",
IF(AND(F$5&lt;=100,Midterm!F29&gt;100),"ERR",
IF(Info!$B$4="Non-board program",
IF(OR(AND(F$5&gt;0,F$5&gt;100),AND(F$5&gt;0,F$5&lt;100)),
VLOOKUP(FLOOR((Midterm!F29/F$5)*100,1),new_transmute,2,FALSE),
VLOOKUP(Midterm!F29,new_transmute,2,FALSE)
),
IF(Info!$B$4="Board program",
IF(OR(AND(F$5&gt;0,F$5&gt;100),AND(F$5&gt;0,F$5&lt;100)),
VLOOKUP(FLOOR((Midterm!F29/F$5)*100,1),new_transmute,3,FALSE),
VLOOKUP(Midterm!F29,new_transmute,3,FALSE)
),
IF(Info!$B$4="Board program (Medicine)",
IF(OR(AND(F$5&gt;0,F$5&gt;100),AND(F$5&gt;0,F$5&lt;100)),
VLOOKUP(FLOOR((Midterm!F29/F$5)*100,1),new_transmute,4,FALSE),
VLOOKUP(Midterm!F29,new_transmute,4,FALSE)
),
""
)
)
)
)
)
)
)
)
))</f>
        <v/>
      </c>
      <c r="G29" s="57" t="str">
        <f t="shared" si="1"/>
        <v/>
      </c>
      <c r="H29" s="14" t="str">
        <f>IF($B29="","",
IF(H$5="","",
IF(Midterm!H29="",0,
IF(NOT(ISNUMBER(Midterm!H29)),"NAN",
IF(Midterm!H29&lt;0,"NEG",
IF(Midterm!H29&gt;H$5,"OVER",
IF(AND(H$5&lt;=100,Midterm!H29&gt;100),"ERR",
IF(Info!$B$4="Non-board program",
IF(OR(AND(H$5&gt;0,H$5&gt;100),AND(H$5&gt;0,H$5&lt;100)),
VLOOKUP(FLOOR((Midterm!H29/H$5)*100,1),new_transmute,2,FALSE),
VLOOKUP(Midterm!H29,new_transmute,2,FALSE)
),
IF(Info!$B$4="Board program",
IF(OR(AND(H$5&gt;0,H$5&gt;100),AND(H$5&gt;0,H$5&lt;100)),
VLOOKUP(FLOOR((Midterm!H29/H$5)*100,1),new_transmute,3,FALSE),
VLOOKUP(Midterm!H29,new_transmute,3,FALSE)
),
IF(Info!$B$4="Board program (Medicine)",
IF(OR(AND(H$5&gt;0,H$5&gt;100),AND(H$5&gt;0,H$5&lt;100)),
VLOOKUP(FLOOR((Midterm!H29/H$5)*100,1),new_transmute,4,FALSE),
VLOOKUP(Midterm!H29,new_transmute,4,FALSE)
),
""
)
)
)
)
)
)
)
)
))</f>
        <v/>
      </c>
      <c r="I29" s="14" t="str">
        <f>IF($B29="","",
IF(I$5="","",
IF(Midterm!I29="",0,
IF(NOT(ISNUMBER(Midterm!I29)),"NAN",
IF(Midterm!I29&lt;0,"NEG",
IF(Midterm!I29&gt;I$5,"OVER",
IF(AND(I$5&lt;=100,Midterm!I29&gt;100),"ERR",
IF(Info!$B$4="Non-board program",
IF(OR(AND(I$5&gt;0,I$5&gt;100),AND(I$5&gt;0,I$5&lt;100)),
VLOOKUP(FLOOR((Midterm!I29/I$5)*100,1),new_transmute,2,FALSE),
VLOOKUP(Midterm!I29,new_transmute,2,FALSE)
),
IF(Info!$B$4="Board program",
IF(OR(AND(I$5&gt;0,I$5&gt;100),AND(I$5&gt;0,I$5&lt;100)),
VLOOKUP(FLOOR((Midterm!I29/I$5)*100,1),new_transmute,3,FALSE),
VLOOKUP(Midterm!I29,new_transmute,3,FALSE)
),
IF(Info!$B$4="Board program (Medicine)",
IF(OR(AND(I$5&gt;0,I$5&gt;100),AND(I$5&gt;0,I$5&lt;100)),
VLOOKUP(FLOOR((Midterm!I29/I$5)*100,1),new_transmute,4,FALSE),
VLOOKUP(Midterm!I29,new_transmute,4,FALSE)
),
""
)
)
)
)
)
)
)
)
))</f>
        <v/>
      </c>
      <c r="J29" s="14" t="str">
        <f>IF($B29="","",
IF(J$5="","",
IF(Midterm!J29="",0,
IF(NOT(ISNUMBER(Midterm!J29)),"NAN",
IF(Midterm!J29&lt;0,"NEG",
IF(Midterm!J29&gt;J$5,"OVER",
IF(AND(J$5&lt;=100,Midterm!J29&gt;100),"ERR",
IF(Info!$B$4="Non-board program",
IF(OR(AND(J$5&gt;0,J$5&gt;100),AND(J$5&gt;0,J$5&lt;100)),
VLOOKUP(FLOOR((Midterm!J29/J$5)*100,1),new_transmute,2,FALSE),
VLOOKUP(Midterm!J29,new_transmute,2,FALSE)
),
IF(Info!$B$4="Board program",
IF(OR(AND(J$5&gt;0,J$5&gt;100),AND(J$5&gt;0,J$5&lt;100)),
VLOOKUP(FLOOR((Midterm!J29/J$5)*100,1),new_transmute,3,FALSE),
VLOOKUP(Midterm!J29,new_transmute,3,FALSE)
),
IF(Info!$B$4="Board program (Medicine)",
IF(OR(AND(J$5&gt;0,J$5&gt;100),AND(J$5&gt;0,J$5&lt;100)),
VLOOKUP(FLOOR((Midterm!J29/J$5)*100,1),new_transmute,4,FALSE),
VLOOKUP(Midterm!J29,new_transmute,4,FALSE)
),
""
)
)
)
)
)
)
)
)
))</f>
        <v/>
      </c>
      <c r="K29" s="14" t="str">
        <f>IF($B29="","",
IF(K$5="","",
IF(Midterm!K29="",0,
IF(NOT(ISNUMBER(Midterm!K29)),"NAN",
IF(Midterm!K29&lt;0,"NEG",
IF(Midterm!K29&gt;K$5,"OVER",
IF(AND(K$5&lt;=100,Midterm!K29&gt;100),"ERR",
IF(Info!$B$4="Non-board program",
IF(OR(AND(K$5&gt;0,K$5&gt;100),AND(K$5&gt;0,K$5&lt;100)),
VLOOKUP(FLOOR((Midterm!K29/K$5)*100,1),new_transmute,2,FALSE),
VLOOKUP(Midterm!K29,new_transmute,2,FALSE)
),
IF(Info!$B$4="Board program",
IF(OR(AND(K$5&gt;0,K$5&gt;100),AND(K$5&gt;0,K$5&lt;100)),
VLOOKUP(FLOOR((Midterm!K29/K$5)*100,1),new_transmute,3,FALSE),
VLOOKUP(Midterm!K29,new_transmute,3,FALSE)
),
IF(Info!$B$4="Board program (Medicine)",
IF(OR(AND(K$5&gt;0,K$5&gt;100),AND(K$5&gt;0,K$5&lt;100)),
VLOOKUP(FLOOR((Midterm!K29/K$5)*100,1),new_transmute,4,FALSE),
VLOOKUP(Midterm!K29,new_transmute,4,FALSE)
),
""
)
)
)
)
)
)
)
)
))</f>
        <v/>
      </c>
      <c r="L29" s="14" t="str">
        <f>IF($B29="","",
IF(L$5="","",
IF(Midterm!L29="",0,
IF(NOT(ISNUMBER(Midterm!L29)),"NAN",
IF(Midterm!L29&lt;0,"NEG",
IF(Midterm!L29&gt;L$5,"OVER",
IF(AND(L$5&lt;=100,Midterm!L29&gt;100),"ERR",
IF(Info!$B$4="Non-board program",
IF(OR(AND(L$5&gt;0,L$5&gt;100),AND(L$5&gt;0,L$5&lt;100)),
VLOOKUP(FLOOR((Midterm!L29/L$5)*100,1),new_transmute,2,FALSE),
VLOOKUP(Midterm!L29,new_transmute,2,FALSE)
),
IF(Info!$B$4="Board program",
IF(OR(AND(L$5&gt;0,L$5&gt;100),AND(L$5&gt;0,L$5&lt;100)),
VLOOKUP(FLOOR((Midterm!L29/L$5)*100,1),new_transmute,3,FALSE),
VLOOKUP(Midterm!L29,new_transmute,3,FALSE)
),
IF(Info!$B$4="Board program (Medicine)",
IF(OR(AND(L$5&gt;0,L$5&gt;100),AND(L$5&gt;0,L$5&lt;100)),
VLOOKUP(FLOOR((Midterm!L29/L$5)*100,1),new_transmute,4,FALSE),
VLOOKUP(Midterm!L29,new_transmute,4,FALSE)
),
""
)
)
)
)
)
)
)
)
))</f>
        <v/>
      </c>
      <c r="M29" s="111" t="str">
        <f t="shared" si="2"/>
        <v/>
      </c>
      <c r="N29" s="14" t="str">
        <f>IF($B29="","",
IF(N$5="","",
IF(Midterm!N29="",0,
IF(NOT(ISNUMBER(Midterm!N29)),"NAN",
IF(Midterm!N29&lt;0,"NEG",
IF(Midterm!N29&gt;N$5,"OVER",
IF(AND(N$5&lt;=100,Midterm!N29&gt;100),"ERR",
IF(Info!$B$4="Non-board program",
IF(OR(AND(N$5&gt;0,N$5&gt;100),AND(N$5&gt;0,N$5&lt;100)),
VLOOKUP(FLOOR((Midterm!N29/N$5)*100,1),new_transmute,2,FALSE),
VLOOKUP(Midterm!N29,new_transmute,2,FALSE)
),
IF(Info!$B$4="Board program",
IF(OR(AND(N$5&gt;0,N$5&gt;100),AND(N$5&gt;0,N$5&lt;100)),
VLOOKUP(FLOOR((Midterm!N29/N$5)*100,1),new_transmute,3,FALSE),
VLOOKUP(Midterm!N29,new_transmute,3,FALSE)
),
IF(Info!$B$4="Board program (Medicine)",
IF(OR(AND(N$5&gt;0,N$5&gt;100),AND(N$5&gt;0,N$5&lt;100)),
VLOOKUP(FLOOR((Midterm!N29/N$5)*100,1),new_transmute,4,FALSE),
VLOOKUP(Midterm!N29,new_transmute,4,FALSE)
),
""
)
)
)
)
)
)
)
)
))</f>
        <v/>
      </c>
      <c r="O29" s="14" t="str">
        <f>IF($B29="","",
IF(O$5="","",
IF(Midterm!O29="",0,
IF(NOT(ISNUMBER(Midterm!O29)),"NAN",
IF(Midterm!O29&lt;0,"NEG",
IF(Midterm!O29&gt;O$5,"OVER",
IF(AND(O$5&lt;=100,Midterm!O29&gt;100),"ERR",
IF(Info!$B$4="Non-board program",
IF(OR(AND(O$5&gt;0,O$5&gt;100),AND(O$5&gt;0,O$5&lt;100)),
VLOOKUP(FLOOR((Midterm!O29/O$5)*100,1),new_transmute,2,FALSE),
VLOOKUP(Midterm!O29,new_transmute,2,FALSE)
),
IF(Info!$B$4="Board program",
IF(OR(AND(O$5&gt;0,O$5&gt;100),AND(O$5&gt;0,O$5&lt;100)),
VLOOKUP(FLOOR((Midterm!O29/O$5)*100,1),new_transmute,3,FALSE),
VLOOKUP(Midterm!O29,new_transmute,3,FALSE)
),
IF(Info!$B$4="Board program (Medicine)",
IF(OR(AND(O$5&gt;0,O$5&gt;100),AND(O$5&gt;0,O$5&lt;100)),
VLOOKUP(FLOOR((Midterm!O29/O$5)*100,1),new_transmute,4,FALSE),
VLOOKUP(Midterm!O29,new_transmute,4,FALSE)
),
""
)
)
)
)
)
)
)
)
))</f>
        <v/>
      </c>
      <c r="P29" s="14" t="str">
        <f>IF($B29="","",
IF(P$5="","",
IF(Midterm!P29="",0,
IF(NOT(ISNUMBER(Midterm!P29)),"NAN",
IF(Midterm!P29&lt;0,"NEG",
IF(Midterm!P29&gt;P$5,"OVER",
IF(AND(P$5&lt;=100,Midterm!P29&gt;100),"ERR",
IF(Info!$B$4="Non-board program",
IF(OR(AND(P$5&gt;0,P$5&gt;100),AND(P$5&gt;0,P$5&lt;100)),
VLOOKUP(FLOOR((Midterm!P29/P$5)*100,1),new_transmute,2,FALSE),
VLOOKUP(Midterm!P29,new_transmute,2,FALSE)
),
IF(Info!$B$4="Board program",
IF(OR(AND(P$5&gt;0,P$5&gt;100),AND(P$5&gt;0,P$5&lt;100)),
VLOOKUP(FLOOR((Midterm!P29/P$5)*100,1),new_transmute,3,FALSE),
VLOOKUP(Midterm!P29,new_transmute,3,FALSE)
),
IF(Info!$B$4="Board program (Medicine)",
IF(OR(AND(P$5&gt;0,P$5&gt;100),AND(P$5&gt;0,P$5&lt;100)),
VLOOKUP(FLOOR((Midterm!P29/P$5)*100,1),new_transmute,4,FALSE),
VLOOKUP(Midterm!P29,new_transmute,4,FALSE)
),
""
)
)
)
)
)
)
)
)
))</f>
        <v/>
      </c>
      <c r="Q29" s="14" t="str">
        <f>IF($B29="","",
IF(Q$5="","",
IF(Midterm!Q29="",0,
IF(NOT(ISNUMBER(Midterm!Q29)),"NAN",
IF(Midterm!Q29&lt;0,"NEG",
IF(Midterm!Q29&gt;Q$5,"OVER",
IF(AND(Q$5&lt;=100,Midterm!Q29&gt;100),"ERR",
IF(Info!$B$4="Non-board program",
IF(OR(AND(Q$5&gt;0,Q$5&gt;100),AND(Q$5&gt;0,Q$5&lt;100)),
VLOOKUP(FLOOR((Midterm!Q29/Q$5)*100,1),new_transmute,2,FALSE),
VLOOKUP(Midterm!Q29,new_transmute,2,FALSE)
),
IF(Info!$B$4="Board program",
IF(OR(AND(Q$5&gt;0,Q$5&gt;100),AND(Q$5&gt;0,Q$5&lt;100)),
VLOOKUP(FLOOR((Midterm!Q29/Q$5)*100,1),new_transmute,3,FALSE),
VLOOKUP(Midterm!Q29,new_transmute,3,FALSE)
),
IF(Info!$B$4="Board program (Medicine)",
IF(OR(AND(Q$5&gt;0,Q$5&gt;100),AND(Q$5&gt;0,Q$5&lt;100)),
VLOOKUP(FLOOR((Midterm!Q29/Q$5)*100,1),new_transmute,4,FALSE),
VLOOKUP(Midterm!Q29,new_transmute,4,FALSE)
),
""
)
)
)
)
)
)
)
)
))</f>
        <v/>
      </c>
      <c r="R29" s="14" t="str">
        <f>IF($B29="","",
IF(R$5="","",
IF(Midterm!R29="",0,
IF(NOT(ISNUMBER(Midterm!R29)),"NAN",
IF(Midterm!R29&lt;0,"NEG",
IF(Midterm!R29&gt;R$5,"OVER",
IF(AND(R$5&lt;=100,Midterm!R29&gt;100),"ERR",
IF(Info!$B$4="Non-board program",
IF(OR(AND(R$5&gt;0,R$5&gt;100),AND(R$5&gt;0,R$5&lt;100)),
VLOOKUP(FLOOR((Midterm!R29/R$5)*100,1),new_transmute,2,FALSE),
VLOOKUP(Midterm!R29,new_transmute,2,FALSE)
),
IF(Info!$B$4="Board program",
IF(OR(AND(R$5&gt;0,R$5&gt;100),AND(R$5&gt;0,R$5&lt;100)),
VLOOKUP(FLOOR((Midterm!R29/R$5)*100,1),new_transmute,3,FALSE),
VLOOKUP(Midterm!R29,new_transmute,3,FALSE)
),
IF(Info!$B$4="Board program (Medicine)",
IF(OR(AND(R$5&gt;0,R$5&gt;100),AND(R$5&gt;0,R$5&lt;100)),
VLOOKUP(FLOOR((Midterm!R29/R$5)*100,1),new_transmute,4,FALSE),
VLOOKUP(Midterm!R29,new_transmute,4,FALSE)
),
""
)
)
)
)
)
)
)
)
))</f>
        <v/>
      </c>
      <c r="S29" s="115" t="str">
        <f t="shared" si="3"/>
        <v/>
      </c>
      <c r="T29" s="14" t="str">
        <f>IF($B29="","",
IF(T$5="","",
IF(Midterm!T29="",0,
IF(NOT(ISNUMBER(Midterm!T29)),"NAN",
IF(Midterm!T29&lt;0,"NEG",
IF(Midterm!T29&gt;T$5,"OVER",
IF(AND(T$5&lt;=100,Midterm!T29&gt;100),"ERR",
IF(Info!$B$4="Non-board program",
IF(OR(AND(T$5&gt;0,T$5&gt;100),AND(T$5&gt;0,T$5&lt;100)),
VLOOKUP(FLOOR((Midterm!T29/T$5)*100,1),new_transmute,2,FALSE),
VLOOKUP(Midterm!T29,new_transmute,2,FALSE)
),
IF(Info!$B$4="Board program",
IF(OR(AND(T$5&gt;0,T$5&gt;100),AND(T$5&gt;0,T$5&lt;100)),
VLOOKUP(FLOOR((Midterm!T29/T$5)*100,1),new_transmute,3,FALSE),
VLOOKUP(Midterm!T29,new_transmute,3,FALSE)
),
IF(Info!$B$4="Board program (Medicine)",
IF(OR(AND(T$5&gt;0,T$5&gt;100),AND(T$5&gt;0,T$5&lt;100)),
VLOOKUP(FLOOR((Midterm!T29/T$5)*100,1),new_transmute,4,FALSE),
VLOOKUP(Midterm!T29,new_transmute,4,FALSE)
),
""
)
)
)
)
)
)
)
)
))</f>
        <v/>
      </c>
      <c r="U29" s="14" t="str">
        <f>IF($B29="","",
IF(U$5="","",
IF(Midterm!U29="",0,
IF(NOT(ISNUMBER(Midterm!U29)),"NAN",
IF(Midterm!U29&lt;0,"NEG",
IF(Midterm!U29&gt;U$5,"OVER",
IF(AND(U$5&lt;=100,Midterm!U29&gt;100),"ERR",
IF(Info!$B$4="Non-board program",
IF(OR(AND(U$5&gt;0,U$5&gt;100),AND(U$5&gt;0,U$5&lt;100)),
VLOOKUP(FLOOR((Midterm!U29/U$5)*100,1),new_transmute,2,FALSE),
VLOOKUP(Midterm!U29,new_transmute,2,FALSE)
),
IF(Info!$B$4="Board program",
IF(OR(AND(U$5&gt;0,U$5&gt;100),AND(U$5&gt;0,U$5&lt;100)),
VLOOKUP(FLOOR((Midterm!U29/U$5)*100,1),new_transmute,3,FALSE),
VLOOKUP(Midterm!U29,new_transmute,3,FALSE)
),
IF(Info!$B$4="Board program (Medicine)",
IF(OR(AND(U$5&gt;0,U$5&gt;100),AND(U$5&gt;0,U$5&lt;100)),
VLOOKUP(FLOOR((Midterm!U29/U$5)*100,1),new_transmute,4,FALSE),
VLOOKUP(Midterm!U29,new_transmute,4,FALSE)
),
""
)
)
)
)
)
)
)
)
))</f>
        <v/>
      </c>
      <c r="V29" s="14" t="str">
        <f>IF($B29="","",
IF(V$5="","",
IF(Midterm!V29="",0,
IF(NOT(ISNUMBER(Midterm!V29)),"NAN",
IF(Midterm!V29&lt;0,"NEG",
IF(Midterm!V29&gt;V$5,"OVER",
IF(AND(V$5&lt;=100,Midterm!V29&gt;100),"ERR",
IF(Info!$B$4="Non-board program",
IF(OR(AND(V$5&gt;0,V$5&gt;100),AND(V$5&gt;0,V$5&lt;100)),
VLOOKUP(FLOOR((Midterm!V29/V$5)*100,1),new_transmute,2,FALSE),
VLOOKUP(Midterm!V29,new_transmute,2,FALSE)
),
IF(Info!$B$4="Board program",
IF(OR(AND(V$5&gt;0,V$5&gt;100),AND(V$5&gt;0,V$5&lt;100)),
VLOOKUP(FLOOR((Midterm!V29/V$5)*100,1),new_transmute,3,FALSE),
VLOOKUP(Midterm!V29,new_transmute,3,FALSE)
),
IF(Info!$B$4="Board program (Medicine)",
IF(OR(AND(V$5&gt;0,V$5&gt;100),AND(V$5&gt;0,V$5&lt;100)),
VLOOKUP(FLOOR((Midterm!V29/V$5)*100,1),new_transmute,4,FALSE),
VLOOKUP(Midterm!V29,new_transmute,4,FALSE)
),
""
)
)
)
)
)
)
)
)
))</f>
        <v/>
      </c>
      <c r="W29" s="14" t="str">
        <f>IF($B29="","",
IF(W$5="","",
IF(Midterm!W29="",0,
IF(NOT(ISNUMBER(Midterm!W29)),"NAN",
IF(Midterm!W29&lt;0,"NEG",
IF(Midterm!W29&gt;W$5,"OVER",
IF(AND(W$5&lt;=100,Midterm!W29&gt;100),"ERR",
IF(Info!$B$4="Non-board program",
IF(OR(AND(W$5&gt;0,W$5&gt;100),AND(W$5&gt;0,W$5&lt;100)),
VLOOKUP(FLOOR((Midterm!W29/W$5)*100,1),new_transmute,2,FALSE),
VLOOKUP(Midterm!W29,new_transmute,2,FALSE)
),
IF(Info!$B$4="Board program",
IF(OR(AND(W$5&gt;0,W$5&gt;100),AND(W$5&gt;0,W$5&lt;100)),
VLOOKUP(FLOOR((Midterm!W29/W$5)*100,1),new_transmute,3,FALSE),
VLOOKUP(Midterm!W29,new_transmute,3,FALSE)
),
IF(Info!$B$4="Board program (Medicine)",
IF(OR(AND(W$5&gt;0,W$5&gt;100),AND(W$5&gt;0,W$5&lt;100)),
VLOOKUP(FLOOR((Midterm!W29/W$5)*100,1),new_transmute,4,FALSE),
VLOOKUP(Midterm!W29,new_transmute,4,FALSE)
),
""
)
)
)
)
)
)
)
)
))</f>
        <v/>
      </c>
      <c r="X29" s="14" t="str">
        <f>IF($B29="","",
IF(X$5="","",
IF(Midterm!X29="",0,
IF(NOT(ISNUMBER(Midterm!X29)),"NAN",
IF(Midterm!X29&lt;0,"NEG",
IF(Midterm!X29&gt;X$5,"OVER",
IF(AND(X$5&lt;=100,Midterm!X29&gt;100),"ERR",
IF(Info!$B$4="Non-board program",
IF(OR(AND(X$5&gt;0,X$5&gt;100),AND(X$5&gt;0,X$5&lt;100)),
VLOOKUP(FLOOR((Midterm!X29/X$5)*100,1),new_transmute,2,FALSE),
VLOOKUP(Midterm!X29,new_transmute,2,FALSE)
),
IF(Info!$B$4="Board program",
IF(OR(AND(X$5&gt;0,X$5&gt;100),AND(X$5&gt;0,X$5&lt;100)),
VLOOKUP(FLOOR((Midterm!X29/X$5)*100,1),new_transmute,3,FALSE),
VLOOKUP(Midterm!X29,new_transmute,3,FALSE)
),
IF(Info!$B$4="Board program (Medicine)",
IF(OR(AND(X$5&gt;0,X$5&gt;100),AND(X$5&gt;0,X$5&lt;100)),
VLOOKUP(FLOOR((Midterm!X29/X$5)*100,1),new_transmute,4,FALSE),
VLOOKUP(Midterm!X29,new_transmute,4,FALSE)
),
""
)
)
)
)
)
)
)
)
))</f>
        <v/>
      </c>
      <c r="Y29" s="112" t="str">
        <f t="shared" si="4"/>
        <v/>
      </c>
      <c r="Z29" s="14" t="str">
        <f>IF($B29="","",
IF(Z$5="","",
IF(Midterm!Z29="",0,
IF(NOT(ISNUMBER(Midterm!Z29)),"NAN",
IF(Midterm!Z29&lt;0,"NEG",
IF(Midterm!Z29&gt;Z$5,"OVER",
IF(AND(Z$5&lt;=100,Midterm!Z29&gt;100),"ERR",
IF(Info!$B$4="Non-board program",
IF(OR(AND(Z$5&gt;0,Z$5&gt;100),AND(Z$5&gt;0,Z$5&lt;100)),
VLOOKUP(FLOOR((Midterm!Z29/Z$5)*100,1),new_transmute,2,FALSE),
VLOOKUP(Midterm!Z29,new_transmute,2,FALSE)
),
IF(Info!$B$4="Board program",
IF(OR(AND(Z$5&gt;0,Z$5&gt;100),AND(Z$5&gt;0,Z$5&lt;100)),
VLOOKUP(FLOOR((Midterm!Z29/Z$5)*100,1),new_transmute,3,FALSE),
VLOOKUP(Midterm!Z29,new_transmute,3,FALSE)
),
IF(Info!$B$4="Board program (Medicine)",
IF(OR(AND(Z$5&gt;0,Z$5&gt;100),AND(Z$5&gt;0,Z$5&lt;100)),
VLOOKUP(FLOOR((Midterm!Z29/Z$5)*100,1),new_transmute,4,FALSE),
VLOOKUP(Midterm!Z29,new_transmute,4,FALSE)
),
""
)
)
)
)
)
)
)
)
))</f>
        <v/>
      </c>
      <c r="AA29" s="14" t="str">
        <f>IF($B29="","",
IF(AA$5="","",
IF(Midterm!AA29="",0,
IF(NOT(ISNUMBER(Midterm!AA29)),"NAN",
IF(Midterm!AA29&lt;0,"NEG",
IF(Midterm!AA29&gt;AA$5,"OVER",
IF(AND(AA$5&lt;=100,Midterm!AA29&gt;100),"ERR",
IF(Info!$B$4="Non-board program",
IF(OR(AND(AA$5&gt;0,AA$5&gt;100),AND(AA$5&gt;0,AA$5&lt;100)),
VLOOKUP(FLOOR((Midterm!AA29/AA$5)*100,1),new_transmute,2,FALSE),
VLOOKUP(Midterm!AA29,new_transmute,2,FALSE)
),
IF(Info!$B$4="Board program",
IF(OR(AND(AA$5&gt;0,AA$5&gt;100),AND(AA$5&gt;0,AA$5&lt;100)),
VLOOKUP(FLOOR((Midterm!AA29/AA$5)*100,1),new_transmute,3,FALSE),
VLOOKUP(Midterm!AA29,new_transmute,3,FALSE)
),
IF(Info!$B$4="Board program (Medicine)",
IF(OR(AND(AA$5&gt;0,AA$5&gt;100),AND(AA$5&gt;0,AA$5&lt;100)),
VLOOKUP(FLOOR((Midterm!AA29/AA$5)*100,1),new_transmute,4,FALSE),
VLOOKUP(Midterm!AA29,new_transmute,4,FALSE)
),
""
)
)
)
)
)
)
)
)
))</f>
        <v/>
      </c>
      <c r="AB29" s="14" t="str">
        <f>IF($B29="","",
IF(AB$5="","",
IF(Midterm!AB29="",0,
IF(NOT(ISNUMBER(Midterm!AB29)),"NAN",
IF(Midterm!AB29&lt;0,"NEG",
IF(Midterm!AB29&gt;AB$5,"OVER",
IF(AND(AB$5&lt;=100,Midterm!AB29&gt;100),"ERR",
IF(Info!$B$4="Non-board program",
IF(OR(AND(AB$5&gt;0,AB$5&gt;100),AND(AB$5&gt;0,AB$5&lt;100)),
VLOOKUP(FLOOR((Midterm!AB29/AB$5)*100,1),new_transmute,2,FALSE),
VLOOKUP(Midterm!AB29,new_transmute,2,FALSE)
),
IF(Info!$B$4="Board program",
IF(OR(AND(AB$5&gt;0,AB$5&gt;100),AND(AB$5&gt;0,AB$5&lt;100)),
VLOOKUP(FLOOR((Midterm!AB29/AB$5)*100,1),new_transmute,3,FALSE),
VLOOKUP(Midterm!AB29,new_transmute,3,FALSE)
),
IF(Info!$B$4="Board program (Medicine)",
IF(OR(AND(AB$5&gt;0,AB$5&gt;100),AND(AB$5&gt;0,AB$5&lt;100)),
VLOOKUP(FLOOR((Midterm!AB29/AB$5)*100,1),new_transmute,4,FALSE),
VLOOKUP(Midterm!AB29,new_transmute,4,FALSE)
),
""
)
)
)
)
)
)
)
)
))</f>
        <v/>
      </c>
      <c r="AC29" s="14" t="str">
        <f>IF($B29="","",
IF(AC$5="","",
IF(Midterm!AC29="",0,
IF(NOT(ISNUMBER(Midterm!AC29)),"NAN",
IF(Midterm!AC29&lt;0,"NEG",
IF(Midterm!AC29&gt;AC$5,"OVER",
IF(AND(AC$5&lt;=100,Midterm!AC29&gt;100),"ERR",
IF(Info!$B$4="Non-board program",
IF(OR(AND(AC$5&gt;0,AC$5&gt;100),AND(AC$5&gt;0,AC$5&lt;100)),
VLOOKUP(FLOOR((Midterm!AC29/AC$5)*100,1),new_transmute,2,FALSE),
VLOOKUP(Midterm!AC29,new_transmute,2,FALSE)
),
IF(Info!$B$4="Board program",
IF(OR(AND(AC$5&gt;0,AC$5&gt;100),AND(AC$5&gt;0,AC$5&lt;100)),
VLOOKUP(FLOOR((Midterm!AC29/AC$5)*100,1),new_transmute,3,FALSE),
VLOOKUP(Midterm!AC29,new_transmute,3,FALSE)
),
IF(Info!$B$4="Board program (Medicine)",
IF(OR(AND(AC$5&gt;0,AC$5&gt;100),AND(AC$5&gt;0,AC$5&lt;100)),
VLOOKUP(FLOOR((Midterm!AC29/AC$5)*100,1),new_transmute,4,FALSE),
VLOOKUP(Midterm!AC29,new_transmute,4,FALSE)
),
""
)
)
)
)
)
)
)
)
))</f>
        <v/>
      </c>
      <c r="AD29" s="14" t="str">
        <f>IF($B29="","",
IF(AD$5="","",
IF(Midterm!AD29="",0,
IF(NOT(ISNUMBER(Midterm!AD29)),"NAN",
IF(Midterm!AD29&lt;0,"NEG",
IF(Midterm!AD29&gt;AD$5,"OVER",
IF(AND(AD$5&lt;=100,Midterm!AD29&gt;100),"ERR",
IF(Info!$B$4="Non-board program",
IF(OR(AND(AD$5&gt;0,AD$5&gt;100),AND(AD$5&gt;0,AD$5&lt;100)),
VLOOKUP(FLOOR((Midterm!AD29/AD$5)*100,1),new_transmute,2,FALSE),
VLOOKUP(Midterm!AD29,new_transmute,2,FALSE)
),
IF(Info!$B$4="Board program",
IF(OR(AND(AD$5&gt;0,AD$5&gt;100),AND(AD$5&gt;0,AD$5&lt;100)),
VLOOKUP(FLOOR((Midterm!AD29/AD$5)*100,1),new_transmute,3,FALSE),
VLOOKUP(Midterm!AD29,new_transmute,3,FALSE)
),
IF(Info!$B$4="Board program (Medicine)",
IF(OR(AND(AD$5&gt;0,AD$5&gt;100),AND(AD$5&gt;0,AD$5&lt;100)),
VLOOKUP(FLOOR((Midterm!AD29/AD$5)*100,1),new_transmute,4,FALSE),
VLOOKUP(Midterm!AD29,new_transmute,4,FALSE)
),
""
)
)
)
)
)
)
)
)
))</f>
        <v/>
      </c>
      <c r="AE29" s="58" t="str">
        <f t="shared" si="5"/>
        <v/>
      </c>
      <c r="AF29" s="14" t="str">
        <f>IF($B29="","",
IF(AF$5="","",
IF(Midterm!AF29="",0,
IF(NOT(ISNUMBER(Midterm!AF29)),"NAN",
IF(Midterm!AF29&lt;0,"NEG",
IF(Midterm!AF29&gt;AF$5,"OVER",
IF(AND(AF$5&lt;=100,Midterm!AF29&gt;100),"ERR",
IF(Info!$B$4="Non-board program",
IF(OR(AND(AF$5&gt;0,AF$5&gt;100),AND(AF$5&gt;0,AF$5&lt;100)),
VLOOKUP(FLOOR((Midterm!AF29/AF$5)*100,1),new_transmute,2,FALSE),
VLOOKUP(Midterm!AF29,new_transmute,2,FALSE)
),
IF(Info!$B$4="Board program",
IF(OR(AND(AF$5&gt;0,AF$5&gt;100),AND(AF$5&gt;0,AF$5&lt;100)),
VLOOKUP(FLOOR((Midterm!AF29/AF$5)*100,1),new_transmute,3,FALSE),
VLOOKUP(Midterm!AF29,new_transmute,3,FALSE)
),
IF(Info!$B$4="Board program (Medicine)",
IF(OR(AND(AF$5&gt;0,AF$5&gt;100),AND(AF$5&gt;0,AF$5&lt;100)),
VLOOKUP(FLOOR((Midterm!AF29/AF$5)*100,1),new_transmute,4,FALSE),
VLOOKUP(Midterm!AF29,new_transmute,4,FALSE)
),
""
)
)
)
)
)
)
)
)
))</f>
        <v/>
      </c>
      <c r="AG29" s="14" t="str">
        <f>IF($B29="","",
IF(AG$5="","",
IF(Midterm!AG29="",0,
IF(NOT(ISNUMBER(Midterm!AG29)),"NAN",
IF(Midterm!AG29&lt;0,"NEG",
IF(Midterm!AG29&gt;AG$5,"OVER",
IF(AND(AG$5&lt;=100,Midterm!AG29&gt;100),"ERR",
IF(Info!$B$4="Non-board program",
IF(OR(AND(AG$5&gt;0,AG$5&gt;100),AND(AG$5&gt;0,AG$5&lt;100)),
VLOOKUP(FLOOR((Midterm!AG29/AG$5)*100,1),new_transmute,2,FALSE),
VLOOKUP(Midterm!AG29,new_transmute,2,FALSE)
),
IF(Info!$B$4="Board program",
IF(OR(AND(AG$5&gt;0,AG$5&gt;100),AND(AG$5&gt;0,AG$5&lt;100)),
VLOOKUP(FLOOR((Midterm!AG29/AG$5)*100,1),new_transmute,3,FALSE),
VLOOKUP(Midterm!AG29,new_transmute,3,FALSE)
),
IF(Info!$B$4="Board program (Medicine)",
IF(OR(AND(AG$5&gt;0,AG$5&gt;100),AND(AG$5&gt;0,AG$5&lt;100)),
VLOOKUP(FLOOR((Midterm!AG29/AG$5)*100,1),new_transmute,4,FALSE),
VLOOKUP(Midterm!AG29,new_transmute,4,FALSE)
),
""
)
)
)
)
)
)
)
)
))</f>
        <v/>
      </c>
      <c r="AH29" s="14" t="str">
        <f>IF($B29="","",
IF(AH$5="","",
IF(Midterm!AH29="",0,
IF(NOT(ISNUMBER(Midterm!AH29)),"NAN",
IF(Midterm!AH29&lt;0,"NEG",
IF(Midterm!AH29&gt;AH$5,"OVER",
IF(AND(AH$5&lt;=100,Midterm!AH29&gt;100),"ERR",
IF(Info!$B$4="Non-board program",
IF(OR(AND(AH$5&gt;0,AH$5&gt;100),AND(AH$5&gt;0,AH$5&lt;100)),
VLOOKUP(FLOOR((Midterm!AH29/AH$5)*100,1),new_transmute,2,FALSE),
VLOOKUP(Midterm!AH29,new_transmute,2,FALSE)
),
IF(Info!$B$4="Board program",
IF(OR(AND(AH$5&gt;0,AH$5&gt;100),AND(AH$5&gt;0,AH$5&lt;100)),
VLOOKUP(FLOOR((Midterm!AH29/AH$5)*100,1),new_transmute,3,FALSE),
VLOOKUP(Midterm!AH29,new_transmute,3,FALSE)
),
IF(Info!$B$4="Board program (Medicine)",
IF(OR(AND(AH$5&gt;0,AH$5&gt;100),AND(AH$5&gt;0,AH$5&lt;100)),
VLOOKUP(FLOOR((Midterm!AH29/AH$5)*100,1),new_transmute,4,FALSE),
VLOOKUP(Midterm!AH29,new_transmute,4,FALSE)
),
""
)
)
)
)
)
)
)
)
))</f>
        <v/>
      </c>
      <c r="AI29" s="14" t="str">
        <f>IF($B29="","",
IF(AI$5="","",
IF(Midterm!AI29="",0,
IF(NOT(ISNUMBER(Midterm!AI29)),"NAN",
IF(Midterm!AI29&lt;0,"NEG",
IF(Midterm!AI29&gt;AI$5,"OVER",
IF(AND(AI$5&lt;=100,Midterm!AI29&gt;100),"ERR",
IF(Info!$B$4="Non-board program",
IF(OR(AND(AI$5&gt;0,AI$5&gt;100),AND(AI$5&gt;0,AI$5&lt;100)),
VLOOKUP(FLOOR((Midterm!AI29/AI$5)*100,1),new_transmute,2,FALSE),
VLOOKUP(Midterm!AI29,new_transmute,2,FALSE)
),
IF(Info!$B$4="Board program",
IF(OR(AND(AI$5&gt;0,AI$5&gt;100),AND(AI$5&gt;0,AI$5&lt;100)),
VLOOKUP(FLOOR((Midterm!AI29/AI$5)*100,1),new_transmute,3,FALSE),
VLOOKUP(Midterm!AI29,new_transmute,3,FALSE)
),
IF(Info!$B$4="Board program (Medicine)",
IF(OR(AND(AI$5&gt;0,AI$5&gt;100),AND(AI$5&gt;0,AI$5&lt;100)),
VLOOKUP(FLOOR((Midterm!AI29/AI$5)*100,1),new_transmute,4,FALSE),
VLOOKUP(Midterm!AI29,new_transmute,4,FALSE)
),
""
)
)
)
)
)
)
)
)
))</f>
        <v/>
      </c>
      <c r="AJ29" s="14" t="str">
        <f>IF($B29="","",
IF(AJ$5="","",
IF(Midterm!AJ29="",0,
IF(NOT(ISNUMBER(Midterm!AJ29)),"NAN",
IF(Midterm!AJ29&lt;0,"NEG",
IF(Midterm!AJ29&gt;AJ$5,"OVER",
IF(AND(AJ$5&lt;=100,Midterm!AJ29&gt;100),"ERR",
IF(Info!$B$4="Non-board program",
IF(OR(AND(AJ$5&gt;0,AJ$5&gt;100),AND(AJ$5&gt;0,AJ$5&lt;100)),
VLOOKUP(FLOOR((Midterm!AJ29/AJ$5)*100,1),new_transmute,2,FALSE),
VLOOKUP(Midterm!AJ29,new_transmute,2,FALSE)
),
IF(Info!$B$4="Board program",
IF(OR(AND(AJ$5&gt;0,AJ$5&gt;100),AND(AJ$5&gt;0,AJ$5&lt;100)),
VLOOKUP(FLOOR((Midterm!AJ29/AJ$5)*100,1),new_transmute,3,FALSE),
VLOOKUP(Midterm!AJ29,new_transmute,3,FALSE)
),
IF(Info!$B$4="Board program (Medicine)",
IF(OR(AND(AJ$5&gt;0,AJ$5&gt;100),AND(AJ$5&gt;0,AJ$5&lt;100)),
VLOOKUP(FLOOR((Midterm!AJ29/AJ$5)*100,1),new_transmute,4,FALSE),
VLOOKUP(Midterm!AJ29,new_transmute,4,FALSE)
),
""
)
)
)
)
)
)
)
)
))</f>
        <v/>
      </c>
      <c r="AK29" s="59" t="str">
        <f t="shared" si="6"/>
        <v/>
      </c>
      <c r="AL29" s="60" t="str">
        <f>IF(B29="", "",
    IF(OR(M29="OVER", S29="OVER", Y29="OVER", AE29="OVER", AK29="OVER"),
        "OVER",
        IF(Info!$B$4="Non-board program",
            VLOOKUP(IFERROR(FLOOR(SUM((M29*$M$4), (S29*$S$4), (Y29*$Y$4), (AE29*$AE$4), (AK29*$AK$4)) * (100 / 60), 1), 0), new_transmute, 2, FALSE),
            IF(Info!$B$4="Board program",
                VLOOKUP(IFERROR(FLOOR(SUM((M29*$M$4), (S29*$S$4), (Y29*$Y$4), (AE29*$AE$4), (AK29*$AK$4)) * (100 / 60), 1), 0), new_transmute, 3, FALSE),
                IF(Info!$B$4="Board program (Medicine)",
                    VLOOKUP(IFERROR(FLOOR(SUM((M29*$M$4), (S29*$S$4), (Y29*$Y$4), (AE29*$AE$4), (AK29*$AK$4)) * (100 / 60), 1), 0), new_transmute, 4, FALSE),
                    ""
                )
            )
        )
    )
)</f>
        <v/>
      </c>
      <c r="AM29" s="14" t="str">
        <f>IF($B29="","",
IF(AM$5="","",
IF(Midterm!AM29="",0,
IF(NOT(ISNUMBER(Midterm!AM29)),"NAN",
IF(Midterm!AM29&lt;0,"NEG",
IF(Midterm!AM29&gt;AM$5,"OVER",
IF(AND(AM$5&lt;=100,Midterm!AM29&gt;100),"ERR",
IF(Info!$B$4="Non-board program",
IF(OR(AND(AM$5&gt;0,AM$5&gt;100),AND(AM$5&gt;0,AM$5&lt;100)),
VLOOKUP(FLOOR((Midterm!AM29/AM$5)*100,1),new_transmute,2,FALSE),
VLOOKUP(Midterm!AM29,new_transmute,2,FALSE)
),
IF(Info!$B$4="Board program",
IF(OR(AND(AM$5&gt;0,AM$5&gt;100),AND(AM$5&gt;0,AM$5&lt;100)),
VLOOKUP(FLOOR((Midterm!AM29/AM$5)*100,1),new_transmute,3,FALSE),
VLOOKUP(Midterm!AM29,new_transmute,3,FALSE)
),
IF(Info!$B$4="Board program (Medicine)",
IF(OR(AND(AM$5&gt;0,AM$5&gt;100),AND(AM$5&gt;0,AM$5&lt;100)),
VLOOKUP(FLOOR((Midterm!AM29/AM$5)*100,1),new_transmute,4,FALSE),
VLOOKUP(Midterm!AM29,new_transmute,4,FALSE)
),
""
)
)
)
)
)
)
)
)
))</f>
        <v/>
      </c>
      <c r="AN29" s="14" t="str">
        <f>IF($B29="","",
IF(AN$5="","",
IF(Midterm!AN29="",0,
IF(NOT(ISNUMBER(Midterm!AN29)),"NAN",
IF(Midterm!AN29&lt;0,"NEG",
IF(Midterm!AN29&gt;AN$5,"OVER",
IF(AND(AN$5&lt;=100,Midterm!AN29&gt;100),"ERR",
IF(Info!$B$4="Non-board program",
IF(OR(AND(AN$5&gt;0,AN$5&gt;100),AND(AN$5&gt;0,AN$5&lt;100)),
VLOOKUP(FLOOR((Midterm!AN29/AN$5)*100,1),new_transmute,2,FALSE),
VLOOKUP(Midterm!AN29,new_transmute,2,FALSE)
),
IF(Info!$B$4="Board program",
IF(OR(AND(AN$5&gt;0,AN$5&gt;100),AND(AN$5&gt;0,AN$5&lt;100)),
VLOOKUP(FLOOR((Midterm!AN29/AN$5)*100,1),new_transmute,3,FALSE),
VLOOKUP(Midterm!AN29,new_transmute,3,FALSE)
),
IF(Info!$B$4="Board program (Medicine)",
IF(OR(AND(AN$5&gt;0,AN$5&gt;100),AND(AN$5&gt;0,AN$5&lt;100)),
VLOOKUP(FLOOR((Midterm!AN29/AN$5)*100,1),new_transmute,4,FALSE),
VLOOKUP(Midterm!AN29,new_transmute,4,FALSE)
),
""
)
)
)
)
)
)
)
)
))</f>
        <v/>
      </c>
      <c r="AO29" s="14" t="str">
        <f>IF($B29="","",
IF(AO$5="","",
IF(Midterm!AO29="",0,
IF(NOT(ISNUMBER(Midterm!AO29)),"NAN",
IF(Midterm!AO29&lt;0,"NEG",
IF(Midterm!AO29&gt;AO$5,"OVER",
IF(AND(AO$5&lt;=100,Midterm!AO29&gt;100),"ERR",
IF(Info!$B$4="Non-board program",
IF(OR(AND(AO$5&gt;0,AO$5&gt;100),AND(AO$5&gt;0,AO$5&lt;100)),
VLOOKUP(FLOOR((Midterm!AO29/AO$5)*100,1),new_transmute,2,FALSE),
VLOOKUP(Midterm!AO29,new_transmute,2,FALSE)
),
IF(Info!$B$4="Board program",
IF(OR(AND(AO$5&gt;0,AO$5&gt;100),AND(AO$5&gt;0,AO$5&lt;100)),
VLOOKUP(FLOOR((Midterm!AO29/AO$5)*100,1),new_transmute,3,FALSE),
VLOOKUP(Midterm!AO29,new_transmute,3,FALSE)
),
IF(Info!$B$4="Board program (Medicine)",
IF(OR(AND(AO$5&gt;0,AO$5&gt;100),AND(AO$5&gt;0,AO$5&lt;100)),
VLOOKUP(FLOOR((Midterm!AO29/AO$5)*100,1),new_transmute,4,FALSE),
VLOOKUP(Midterm!AO29,new_transmute,4,FALSE)
),
""
)
)
)
)
)
)
)
)
))</f>
        <v/>
      </c>
      <c r="AP29" s="14" t="str">
        <f>IF($B29="","",
IF(AP$5="","",
IF(Midterm!AP29="",0,
IF(NOT(ISNUMBER(Midterm!AP29)),"NAN",
IF(Midterm!AP29&lt;0,"NEG",
IF(Midterm!AP29&gt;AP$5,"OVER",
IF(AND(AP$5&lt;=100,Midterm!AP29&gt;100),"ERR",
IF(Info!$B$4="Non-board program",
IF(OR(AND(AP$5&gt;0,AP$5&gt;100),AND(AP$5&gt;0,AP$5&lt;100)),
VLOOKUP(FLOOR((Midterm!AP29/AP$5)*100,1),new_transmute,2,FALSE),
VLOOKUP(Midterm!AP29,new_transmute,2,FALSE)
),
IF(Info!$B$4="Board program",
IF(OR(AND(AP$5&gt;0,AP$5&gt;100),AND(AP$5&gt;0,AP$5&lt;100)),
VLOOKUP(FLOOR((Midterm!AP29/AP$5)*100,1),new_transmute,3,FALSE),
VLOOKUP(Midterm!AP29,new_transmute,3,FALSE)
),
IF(Info!$B$4="Board program (Medicine)",
IF(OR(AND(AP$5&gt;0,AP$5&gt;100),AND(AP$5&gt;0,AP$5&lt;100)),
VLOOKUP(FLOOR((Midterm!AP29/AP$5)*100,1),new_transmute,4,FALSE),
VLOOKUP(Midterm!AP29,new_transmute,4,FALSE)
),
""
)
)
)
)
)
)
)
)
))</f>
        <v/>
      </c>
      <c r="AQ29" s="61" t="str">
        <f t="shared" si="7"/>
        <v/>
      </c>
      <c r="AR29" s="48" t="str">
        <f>IF(Midterm!AR29="","",Midterm!AR29)</f>
        <v/>
      </c>
      <c r="AS29" s="165" t="str">
        <f t="shared" si="8"/>
        <v/>
      </c>
      <c r="AT29" s="14" t="str">
        <f t="shared" si="0"/>
        <v/>
      </c>
      <c r="AU29" s="14" t="str">
        <f>IF(B29="","",VLOOKUP(AT29,'New Grade Equivalent'!$B$3:$C$47,2,FALSE))</f>
        <v/>
      </c>
    </row>
    <row r="30" spans="1:47" x14ac:dyDescent="0.25">
      <c r="A30" s="8">
        <v>25</v>
      </c>
      <c r="B30" s="2" t="str">
        <f>IF('Student List'!C34="","",UPPER(LEFT('Student List'!C34,FIND(",",'Student List'!C34)-1)))</f>
        <v/>
      </c>
      <c r="C30" s="12" t="str">
        <f>IF('Student List'!C34="","",PROPER(MID('Student List'!C34, FIND(",", 'Student List'!C34) + 2, LEN('Student List'!C34) - FIND(",", 'Student List'!C34) - 1)))</f>
        <v/>
      </c>
      <c r="D30" s="127" t="str">
        <f>IF(B30="","",IF(Midterm!D30="", "NA", Midterm!D30))</f>
        <v/>
      </c>
      <c r="E30" s="8" t="str">
        <f>IF(B30="","",
  IF(Info!$B$5="First Year",
    IF(D30="Yes", "DRP",
      IF(D30="No", "WF", "")
    )
  )
)</f>
        <v/>
      </c>
      <c r="F30" s="14" t="str">
        <f>IF($B30="","",
IF(F$5="","",
IF(Midterm!F30="",0,
IF(NOT(ISNUMBER(Midterm!F30)),"NAN",
IF(Midterm!F30&lt;0,"NEG",
IF(Midterm!F30&gt;F$5,"OVER",
IF(AND(F$5&lt;=100,Midterm!F30&gt;100),"ERR",
IF(Info!$B$4="Non-board program",
IF(OR(AND(F$5&gt;0,F$5&gt;100),AND(F$5&gt;0,F$5&lt;100)),
VLOOKUP(FLOOR((Midterm!F30/F$5)*100,1),new_transmute,2,FALSE),
VLOOKUP(Midterm!F30,new_transmute,2,FALSE)
),
IF(Info!$B$4="Board program",
IF(OR(AND(F$5&gt;0,F$5&gt;100),AND(F$5&gt;0,F$5&lt;100)),
VLOOKUP(FLOOR((Midterm!F30/F$5)*100,1),new_transmute,3,FALSE),
VLOOKUP(Midterm!F30,new_transmute,3,FALSE)
),
IF(Info!$B$4="Board program (Medicine)",
IF(OR(AND(F$5&gt;0,F$5&gt;100),AND(F$5&gt;0,F$5&lt;100)),
VLOOKUP(FLOOR((Midterm!F30/F$5)*100,1),new_transmute,4,FALSE),
VLOOKUP(Midterm!F30,new_transmute,4,FALSE)
),
""
)
)
)
)
)
)
)
)
))</f>
        <v/>
      </c>
      <c r="G30" s="57" t="str">
        <f t="shared" si="1"/>
        <v/>
      </c>
      <c r="H30" s="14" t="str">
        <f>IF($B30="","",
IF(H$5="","",
IF(Midterm!H30="",0,
IF(NOT(ISNUMBER(Midterm!H30)),"NAN",
IF(Midterm!H30&lt;0,"NEG",
IF(Midterm!H30&gt;H$5,"OVER",
IF(AND(H$5&lt;=100,Midterm!H30&gt;100),"ERR",
IF(Info!$B$4="Non-board program",
IF(OR(AND(H$5&gt;0,H$5&gt;100),AND(H$5&gt;0,H$5&lt;100)),
VLOOKUP(FLOOR((Midterm!H30/H$5)*100,1),new_transmute,2,FALSE),
VLOOKUP(Midterm!H30,new_transmute,2,FALSE)
),
IF(Info!$B$4="Board program",
IF(OR(AND(H$5&gt;0,H$5&gt;100),AND(H$5&gt;0,H$5&lt;100)),
VLOOKUP(FLOOR((Midterm!H30/H$5)*100,1),new_transmute,3,FALSE),
VLOOKUP(Midterm!H30,new_transmute,3,FALSE)
),
IF(Info!$B$4="Board program (Medicine)",
IF(OR(AND(H$5&gt;0,H$5&gt;100),AND(H$5&gt;0,H$5&lt;100)),
VLOOKUP(FLOOR((Midterm!H30/H$5)*100,1),new_transmute,4,FALSE),
VLOOKUP(Midterm!H30,new_transmute,4,FALSE)
),
""
)
)
)
)
)
)
)
)
))</f>
        <v/>
      </c>
      <c r="I30" s="14" t="str">
        <f>IF($B30="","",
IF(I$5="","",
IF(Midterm!I30="",0,
IF(NOT(ISNUMBER(Midterm!I30)),"NAN",
IF(Midterm!I30&lt;0,"NEG",
IF(Midterm!I30&gt;I$5,"OVER",
IF(AND(I$5&lt;=100,Midterm!I30&gt;100),"ERR",
IF(Info!$B$4="Non-board program",
IF(OR(AND(I$5&gt;0,I$5&gt;100),AND(I$5&gt;0,I$5&lt;100)),
VLOOKUP(FLOOR((Midterm!I30/I$5)*100,1),new_transmute,2,FALSE),
VLOOKUP(Midterm!I30,new_transmute,2,FALSE)
),
IF(Info!$B$4="Board program",
IF(OR(AND(I$5&gt;0,I$5&gt;100),AND(I$5&gt;0,I$5&lt;100)),
VLOOKUP(FLOOR((Midterm!I30/I$5)*100,1),new_transmute,3,FALSE),
VLOOKUP(Midterm!I30,new_transmute,3,FALSE)
),
IF(Info!$B$4="Board program (Medicine)",
IF(OR(AND(I$5&gt;0,I$5&gt;100),AND(I$5&gt;0,I$5&lt;100)),
VLOOKUP(FLOOR((Midterm!I30/I$5)*100,1),new_transmute,4,FALSE),
VLOOKUP(Midterm!I30,new_transmute,4,FALSE)
),
""
)
)
)
)
)
)
)
)
))</f>
        <v/>
      </c>
      <c r="J30" s="14" t="str">
        <f>IF($B30="","",
IF(J$5="","",
IF(Midterm!J30="",0,
IF(NOT(ISNUMBER(Midterm!J30)),"NAN",
IF(Midterm!J30&lt;0,"NEG",
IF(Midterm!J30&gt;J$5,"OVER",
IF(AND(J$5&lt;=100,Midterm!J30&gt;100),"ERR",
IF(Info!$B$4="Non-board program",
IF(OR(AND(J$5&gt;0,J$5&gt;100),AND(J$5&gt;0,J$5&lt;100)),
VLOOKUP(FLOOR((Midterm!J30/J$5)*100,1),new_transmute,2,FALSE),
VLOOKUP(Midterm!J30,new_transmute,2,FALSE)
),
IF(Info!$B$4="Board program",
IF(OR(AND(J$5&gt;0,J$5&gt;100),AND(J$5&gt;0,J$5&lt;100)),
VLOOKUP(FLOOR((Midterm!J30/J$5)*100,1),new_transmute,3,FALSE),
VLOOKUP(Midterm!J30,new_transmute,3,FALSE)
),
IF(Info!$B$4="Board program (Medicine)",
IF(OR(AND(J$5&gt;0,J$5&gt;100),AND(J$5&gt;0,J$5&lt;100)),
VLOOKUP(FLOOR((Midterm!J30/J$5)*100,1),new_transmute,4,FALSE),
VLOOKUP(Midterm!J30,new_transmute,4,FALSE)
),
""
)
)
)
)
)
)
)
)
))</f>
        <v/>
      </c>
      <c r="K30" s="14" t="str">
        <f>IF($B30="","",
IF(K$5="","",
IF(Midterm!K30="",0,
IF(NOT(ISNUMBER(Midterm!K30)),"NAN",
IF(Midterm!K30&lt;0,"NEG",
IF(Midterm!K30&gt;K$5,"OVER",
IF(AND(K$5&lt;=100,Midterm!K30&gt;100),"ERR",
IF(Info!$B$4="Non-board program",
IF(OR(AND(K$5&gt;0,K$5&gt;100),AND(K$5&gt;0,K$5&lt;100)),
VLOOKUP(FLOOR((Midterm!K30/K$5)*100,1),new_transmute,2,FALSE),
VLOOKUP(Midterm!K30,new_transmute,2,FALSE)
),
IF(Info!$B$4="Board program",
IF(OR(AND(K$5&gt;0,K$5&gt;100),AND(K$5&gt;0,K$5&lt;100)),
VLOOKUP(FLOOR((Midterm!K30/K$5)*100,1),new_transmute,3,FALSE),
VLOOKUP(Midterm!K30,new_transmute,3,FALSE)
),
IF(Info!$B$4="Board program (Medicine)",
IF(OR(AND(K$5&gt;0,K$5&gt;100),AND(K$5&gt;0,K$5&lt;100)),
VLOOKUP(FLOOR((Midterm!K30/K$5)*100,1),new_transmute,4,FALSE),
VLOOKUP(Midterm!K30,new_transmute,4,FALSE)
),
""
)
)
)
)
)
)
)
)
))</f>
        <v/>
      </c>
      <c r="L30" s="14" t="str">
        <f>IF($B30="","",
IF(L$5="","",
IF(Midterm!L30="",0,
IF(NOT(ISNUMBER(Midterm!L30)),"NAN",
IF(Midterm!L30&lt;0,"NEG",
IF(Midterm!L30&gt;L$5,"OVER",
IF(AND(L$5&lt;=100,Midterm!L30&gt;100),"ERR",
IF(Info!$B$4="Non-board program",
IF(OR(AND(L$5&gt;0,L$5&gt;100),AND(L$5&gt;0,L$5&lt;100)),
VLOOKUP(FLOOR((Midterm!L30/L$5)*100,1),new_transmute,2,FALSE),
VLOOKUP(Midterm!L30,new_transmute,2,FALSE)
),
IF(Info!$B$4="Board program",
IF(OR(AND(L$5&gt;0,L$5&gt;100),AND(L$5&gt;0,L$5&lt;100)),
VLOOKUP(FLOOR((Midterm!L30/L$5)*100,1),new_transmute,3,FALSE),
VLOOKUP(Midterm!L30,new_transmute,3,FALSE)
),
IF(Info!$B$4="Board program (Medicine)",
IF(OR(AND(L$5&gt;0,L$5&gt;100),AND(L$5&gt;0,L$5&lt;100)),
VLOOKUP(FLOOR((Midterm!L30/L$5)*100,1),new_transmute,4,FALSE),
VLOOKUP(Midterm!L30,new_transmute,4,FALSE)
),
""
)
)
)
)
)
)
)
)
))</f>
        <v/>
      </c>
      <c r="M30" s="111" t="str">
        <f t="shared" si="2"/>
        <v/>
      </c>
      <c r="N30" s="14" t="str">
        <f>IF($B30="","",
IF(N$5="","",
IF(Midterm!N30="",0,
IF(NOT(ISNUMBER(Midterm!N30)),"NAN",
IF(Midterm!N30&lt;0,"NEG",
IF(Midterm!N30&gt;N$5,"OVER",
IF(AND(N$5&lt;=100,Midterm!N30&gt;100),"ERR",
IF(Info!$B$4="Non-board program",
IF(OR(AND(N$5&gt;0,N$5&gt;100),AND(N$5&gt;0,N$5&lt;100)),
VLOOKUP(FLOOR((Midterm!N30/N$5)*100,1),new_transmute,2,FALSE),
VLOOKUP(Midterm!N30,new_transmute,2,FALSE)
),
IF(Info!$B$4="Board program",
IF(OR(AND(N$5&gt;0,N$5&gt;100),AND(N$5&gt;0,N$5&lt;100)),
VLOOKUP(FLOOR((Midterm!N30/N$5)*100,1),new_transmute,3,FALSE),
VLOOKUP(Midterm!N30,new_transmute,3,FALSE)
),
IF(Info!$B$4="Board program (Medicine)",
IF(OR(AND(N$5&gt;0,N$5&gt;100),AND(N$5&gt;0,N$5&lt;100)),
VLOOKUP(FLOOR((Midterm!N30/N$5)*100,1),new_transmute,4,FALSE),
VLOOKUP(Midterm!N30,new_transmute,4,FALSE)
),
""
)
)
)
)
)
)
)
)
))</f>
        <v/>
      </c>
      <c r="O30" s="14" t="str">
        <f>IF($B30="","",
IF(O$5="","",
IF(Midterm!O30="",0,
IF(NOT(ISNUMBER(Midterm!O30)),"NAN",
IF(Midterm!O30&lt;0,"NEG",
IF(Midterm!O30&gt;O$5,"OVER",
IF(AND(O$5&lt;=100,Midterm!O30&gt;100),"ERR",
IF(Info!$B$4="Non-board program",
IF(OR(AND(O$5&gt;0,O$5&gt;100),AND(O$5&gt;0,O$5&lt;100)),
VLOOKUP(FLOOR((Midterm!O30/O$5)*100,1),new_transmute,2,FALSE),
VLOOKUP(Midterm!O30,new_transmute,2,FALSE)
),
IF(Info!$B$4="Board program",
IF(OR(AND(O$5&gt;0,O$5&gt;100),AND(O$5&gt;0,O$5&lt;100)),
VLOOKUP(FLOOR((Midterm!O30/O$5)*100,1),new_transmute,3,FALSE),
VLOOKUP(Midterm!O30,new_transmute,3,FALSE)
),
IF(Info!$B$4="Board program (Medicine)",
IF(OR(AND(O$5&gt;0,O$5&gt;100),AND(O$5&gt;0,O$5&lt;100)),
VLOOKUP(FLOOR((Midterm!O30/O$5)*100,1),new_transmute,4,FALSE),
VLOOKUP(Midterm!O30,new_transmute,4,FALSE)
),
""
)
)
)
)
)
)
)
)
))</f>
        <v/>
      </c>
      <c r="P30" s="14" t="str">
        <f>IF($B30="","",
IF(P$5="","",
IF(Midterm!P30="",0,
IF(NOT(ISNUMBER(Midterm!P30)),"NAN",
IF(Midterm!P30&lt;0,"NEG",
IF(Midterm!P30&gt;P$5,"OVER",
IF(AND(P$5&lt;=100,Midterm!P30&gt;100),"ERR",
IF(Info!$B$4="Non-board program",
IF(OR(AND(P$5&gt;0,P$5&gt;100),AND(P$5&gt;0,P$5&lt;100)),
VLOOKUP(FLOOR((Midterm!P30/P$5)*100,1),new_transmute,2,FALSE),
VLOOKUP(Midterm!P30,new_transmute,2,FALSE)
),
IF(Info!$B$4="Board program",
IF(OR(AND(P$5&gt;0,P$5&gt;100),AND(P$5&gt;0,P$5&lt;100)),
VLOOKUP(FLOOR((Midterm!P30/P$5)*100,1),new_transmute,3,FALSE),
VLOOKUP(Midterm!P30,new_transmute,3,FALSE)
),
IF(Info!$B$4="Board program (Medicine)",
IF(OR(AND(P$5&gt;0,P$5&gt;100),AND(P$5&gt;0,P$5&lt;100)),
VLOOKUP(FLOOR((Midterm!P30/P$5)*100,1),new_transmute,4,FALSE),
VLOOKUP(Midterm!P30,new_transmute,4,FALSE)
),
""
)
)
)
)
)
)
)
)
))</f>
        <v/>
      </c>
      <c r="Q30" s="14" t="str">
        <f>IF($B30="","",
IF(Q$5="","",
IF(Midterm!Q30="",0,
IF(NOT(ISNUMBER(Midterm!Q30)),"NAN",
IF(Midterm!Q30&lt;0,"NEG",
IF(Midterm!Q30&gt;Q$5,"OVER",
IF(AND(Q$5&lt;=100,Midterm!Q30&gt;100),"ERR",
IF(Info!$B$4="Non-board program",
IF(OR(AND(Q$5&gt;0,Q$5&gt;100),AND(Q$5&gt;0,Q$5&lt;100)),
VLOOKUP(FLOOR((Midterm!Q30/Q$5)*100,1),new_transmute,2,FALSE),
VLOOKUP(Midterm!Q30,new_transmute,2,FALSE)
),
IF(Info!$B$4="Board program",
IF(OR(AND(Q$5&gt;0,Q$5&gt;100),AND(Q$5&gt;0,Q$5&lt;100)),
VLOOKUP(FLOOR((Midterm!Q30/Q$5)*100,1),new_transmute,3,FALSE),
VLOOKUP(Midterm!Q30,new_transmute,3,FALSE)
),
IF(Info!$B$4="Board program (Medicine)",
IF(OR(AND(Q$5&gt;0,Q$5&gt;100),AND(Q$5&gt;0,Q$5&lt;100)),
VLOOKUP(FLOOR((Midterm!Q30/Q$5)*100,1),new_transmute,4,FALSE),
VLOOKUP(Midterm!Q30,new_transmute,4,FALSE)
),
""
)
)
)
)
)
)
)
)
))</f>
        <v/>
      </c>
      <c r="R30" s="14" t="str">
        <f>IF($B30="","",
IF(R$5="","",
IF(Midterm!R30="",0,
IF(NOT(ISNUMBER(Midterm!R30)),"NAN",
IF(Midterm!R30&lt;0,"NEG",
IF(Midterm!R30&gt;R$5,"OVER",
IF(AND(R$5&lt;=100,Midterm!R30&gt;100),"ERR",
IF(Info!$B$4="Non-board program",
IF(OR(AND(R$5&gt;0,R$5&gt;100),AND(R$5&gt;0,R$5&lt;100)),
VLOOKUP(FLOOR((Midterm!R30/R$5)*100,1),new_transmute,2,FALSE),
VLOOKUP(Midterm!R30,new_transmute,2,FALSE)
),
IF(Info!$B$4="Board program",
IF(OR(AND(R$5&gt;0,R$5&gt;100),AND(R$5&gt;0,R$5&lt;100)),
VLOOKUP(FLOOR((Midterm!R30/R$5)*100,1),new_transmute,3,FALSE),
VLOOKUP(Midterm!R30,new_transmute,3,FALSE)
),
IF(Info!$B$4="Board program (Medicine)",
IF(OR(AND(R$5&gt;0,R$5&gt;100),AND(R$5&gt;0,R$5&lt;100)),
VLOOKUP(FLOOR((Midterm!R30/R$5)*100,1),new_transmute,4,FALSE),
VLOOKUP(Midterm!R30,new_transmute,4,FALSE)
),
""
)
)
)
)
)
)
)
)
))</f>
        <v/>
      </c>
      <c r="S30" s="115" t="str">
        <f t="shared" si="3"/>
        <v/>
      </c>
      <c r="T30" s="14" t="str">
        <f>IF($B30="","",
IF(T$5="","",
IF(Midterm!T30="",0,
IF(NOT(ISNUMBER(Midterm!T30)),"NAN",
IF(Midterm!T30&lt;0,"NEG",
IF(Midterm!T30&gt;T$5,"OVER",
IF(AND(T$5&lt;=100,Midterm!T30&gt;100),"ERR",
IF(Info!$B$4="Non-board program",
IF(OR(AND(T$5&gt;0,T$5&gt;100),AND(T$5&gt;0,T$5&lt;100)),
VLOOKUP(FLOOR((Midterm!T30/T$5)*100,1),new_transmute,2,FALSE),
VLOOKUP(Midterm!T30,new_transmute,2,FALSE)
),
IF(Info!$B$4="Board program",
IF(OR(AND(T$5&gt;0,T$5&gt;100),AND(T$5&gt;0,T$5&lt;100)),
VLOOKUP(FLOOR((Midterm!T30/T$5)*100,1),new_transmute,3,FALSE),
VLOOKUP(Midterm!T30,new_transmute,3,FALSE)
),
IF(Info!$B$4="Board program (Medicine)",
IF(OR(AND(T$5&gt;0,T$5&gt;100),AND(T$5&gt;0,T$5&lt;100)),
VLOOKUP(FLOOR((Midterm!T30/T$5)*100,1),new_transmute,4,FALSE),
VLOOKUP(Midterm!T30,new_transmute,4,FALSE)
),
""
)
)
)
)
)
)
)
)
))</f>
        <v/>
      </c>
      <c r="U30" s="14" t="str">
        <f>IF($B30="","",
IF(U$5="","",
IF(Midterm!U30="",0,
IF(NOT(ISNUMBER(Midterm!U30)),"NAN",
IF(Midterm!U30&lt;0,"NEG",
IF(Midterm!U30&gt;U$5,"OVER",
IF(AND(U$5&lt;=100,Midterm!U30&gt;100),"ERR",
IF(Info!$B$4="Non-board program",
IF(OR(AND(U$5&gt;0,U$5&gt;100),AND(U$5&gt;0,U$5&lt;100)),
VLOOKUP(FLOOR((Midterm!U30/U$5)*100,1),new_transmute,2,FALSE),
VLOOKUP(Midterm!U30,new_transmute,2,FALSE)
),
IF(Info!$B$4="Board program",
IF(OR(AND(U$5&gt;0,U$5&gt;100),AND(U$5&gt;0,U$5&lt;100)),
VLOOKUP(FLOOR((Midterm!U30/U$5)*100,1),new_transmute,3,FALSE),
VLOOKUP(Midterm!U30,new_transmute,3,FALSE)
),
IF(Info!$B$4="Board program (Medicine)",
IF(OR(AND(U$5&gt;0,U$5&gt;100),AND(U$5&gt;0,U$5&lt;100)),
VLOOKUP(FLOOR((Midterm!U30/U$5)*100,1),new_transmute,4,FALSE),
VLOOKUP(Midterm!U30,new_transmute,4,FALSE)
),
""
)
)
)
)
)
)
)
)
))</f>
        <v/>
      </c>
      <c r="V30" s="14" t="str">
        <f>IF($B30="","",
IF(V$5="","",
IF(Midterm!V30="",0,
IF(NOT(ISNUMBER(Midterm!V30)),"NAN",
IF(Midterm!V30&lt;0,"NEG",
IF(Midterm!V30&gt;V$5,"OVER",
IF(AND(V$5&lt;=100,Midterm!V30&gt;100),"ERR",
IF(Info!$B$4="Non-board program",
IF(OR(AND(V$5&gt;0,V$5&gt;100),AND(V$5&gt;0,V$5&lt;100)),
VLOOKUP(FLOOR((Midterm!V30/V$5)*100,1),new_transmute,2,FALSE),
VLOOKUP(Midterm!V30,new_transmute,2,FALSE)
),
IF(Info!$B$4="Board program",
IF(OR(AND(V$5&gt;0,V$5&gt;100),AND(V$5&gt;0,V$5&lt;100)),
VLOOKUP(FLOOR((Midterm!V30/V$5)*100,1),new_transmute,3,FALSE),
VLOOKUP(Midterm!V30,new_transmute,3,FALSE)
),
IF(Info!$B$4="Board program (Medicine)",
IF(OR(AND(V$5&gt;0,V$5&gt;100),AND(V$5&gt;0,V$5&lt;100)),
VLOOKUP(FLOOR((Midterm!V30/V$5)*100,1),new_transmute,4,FALSE),
VLOOKUP(Midterm!V30,new_transmute,4,FALSE)
),
""
)
)
)
)
)
)
)
)
))</f>
        <v/>
      </c>
      <c r="W30" s="14" t="str">
        <f>IF($B30="","",
IF(W$5="","",
IF(Midterm!W30="",0,
IF(NOT(ISNUMBER(Midterm!W30)),"NAN",
IF(Midterm!W30&lt;0,"NEG",
IF(Midterm!W30&gt;W$5,"OVER",
IF(AND(W$5&lt;=100,Midterm!W30&gt;100),"ERR",
IF(Info!$B$4="Non-board program",
IF(OR(AND(W$5&gt;0,W$5&gt;100),AND(W$5&gt;0,W$5&lt;100)),
VLOOKUP(FLOOR((Midterm!W30/W$5)*100,1),new_transmute,2,FALSE),
VLOOKUP(Midterm!W30,new_transmute,2,FALSE)
),
IF(Info!$B$4="Board program",
IF(OR(AND(W$5&gt;0,W$5&gt;100),AND(W$5&gt;0,W$5&lt;100)),
VLOOKUP(FLOOR((Midterm!W30/W$5)*100,1),new_transmute,3,FALSE),
VLOOKUP(Midterm!W30,new_transmute,3,FALSE)
),
IF(Info!$B$4="Board program (Medicine)",
IF(OR(AND(W$5&gt;0,W$5&gt;100),AND(W$5&gt;0,W$5&lt;100)),
VLOOKUP(FLOOR((Midterm!W30/W$5)*100,1),new_transmute,4,FALSE),
VLOOKUP(Midterm!W30,new_transmute,4,FALSE)
),
""
)
)
)
)
)
)
)
)
))</f>
        <v/>
      </c>
      <c r="X30" s="14" t="str">
        <f>IF($B30="","",
IF(X$5="","",
IF(Midterm!X30="",0,
IF(NOT(ISNUMBER(Midterm!X30)),"NAN",
IF(Midterm!X30&lt;0,"NEG",
IF(Midterm!X30&gt;X$5,"OVER",
IF(AND(X$5&lt;=100,Midterm!X30&gt;100),"ERR",
IF(Info!$B$4="Non-board program",
IF(OR(AND(X$5&gt;0,X$5&gt;100),AND(X$5&gt;0,X$5&lt;100)),
VLOOKUP(FLOOR((Midterm!X30/X$5)*100,1),new_transmute,2,FALSE),
VLOOKUP(Midterm!X30,new_transmute,2,FALSE)
),
IF(Info!$B$4="Board program",
IF(OR(AND(X$5&gt;0,X$5&gt;100),AND(X$5&gt;0,X$5&lt;100)),
VLOOKUP(FLOOR((Midterm!X30/X$5)*100,1),new_transmute,3,FALSE),
VLOOKUP(Midterm!X30,new_transmute,3,FALSE)
),
IF(Info!$B$4="Board program (Medicine)",
IF(OR(AND(X$5&gt;0,X$5&gt;100),AND(X$5&gt;0,X$5&lt;100)),
VLOOKUP(FLOOR((Midterm!X30/X$5)*100,1),new_transmute,4,FALSE),
VLOOKUP(Midterm!X30,new_transmute,4,FALSE)
),
""
)
)
)
)
)
)
)
)
))</f>
        <v/>
      </c>
      <c r="Y30" s="112" t="str">
        <f t="shared" si="4"/>
        <v/>
      </c>
      <c r="Z30" s="14" t="str">
        <f>IF($B30="","",
IF(Z$5="","",
IF(Midterm!Z30="",0,
IF(NOT(ISNUMBER(Midterm!Z30)),"NAN",
IF(Midterm!Z30&lt;0,"NEG",
IF(Midterm!Z30&gt;Z$5,"OVER",
IF(AND(Z$5&lt;=100,Midterm!Z30&gt;100),"ERR",
IF(Info!$B$4="Non-board program",
IF(OR(AND(Z$5&gt;0,Z$5&gt;100),AND(Z$5&gt;0,Z$5&lt;100)),
VLOOKUP(FLOOR((Midterm!Z30/Z$5)*100,1),new_transmute,2,FALSE),
VLOOKUP(Midterm!Z30,new_transmute,2,FALSE)
),
IF(Info!$B$4="Board program",
IF(OR(AND(Z$5&gt;0,Z$5&gt;100),AND(Z$5&gt;0,Z$5&lt;100)),
VLOOKUP(FLOOR((Midterm!Z30/Z$5)*100,1),new_transmute,3,FALSE),
VLOOKUP(Midterm!Z30,new_transmute,3,FALSE)
),
IF(Info!$B$4="Board program (Medicine)",
IF(OR(AND(Z$5&gt;0,Z$5&gt;100),AND(Z$5&gt;0,Z$5&lt;100)),
VLOOKUP(FLOOR((Midterm!Z30/Z$5)*100,1),new_transmute,4,FALSE),
VLOOKUP(Midterm!Z30,new_transmute,4,FALSE)
),
""
)
)
)
)
)
)
)
)
))</f>
        <v/>
      </c>
      <c r="AA30" s="14" t="str">
        <f>IF($B30="","",
IF(AA$5="","",
IF(Midterm!AA30="",0,
IF(NOT(ISNUMBER(Midterm!AA30)),"NAN",
IF(Midterm!AA30&lt;0,"NEG",
IF(Midterm!AA30&gt;AA$5,"OVER",
IF(AND(AA$5&lt;=100,Midterm!AA30&gt;100),"ERR",
IF(Info!$B$4="Non-board program",
IF(OR(AND(AA$5&gt;0,AA$5&gt;100),AND(AA$5&gt;0,AA$5&lt;100)),
VLOOKUP(FLOOR((Midterm!AA30/AA$5)*100,1),new_transmute,2,FALSE),
VLOOKUP(Midterm!AA30,new_transmute,2,FALSE)
),
IF(Info!$B$4="Board program",
IF(OR(AND(AA$5&gt;0,AA$5&gt;100),AND(AA$5&gt;0,AA$5&lt;100)),
VLOOKUP(FLOOR((Midterm!AA30/AA$5)*100,1),new_transmute,3,FALSE),
VLOOKUP(Midterm!AA30,new_transmute,3,FALSE)
),
IF(Info!$B$4="Board program (Medicine)",
IF(OR(AND(AA$5&gt;0,AA$5&gt;100),AND(AA$5&gt;0,AA$5&lt;100)),
VLOOKUP(FLOOR((Midterm!AA30/AA$5)*100,1),new_transmute,4,FALSE),
VLOOKUP(Midterm!AA30,new_transmute,4,FALSE)
),
""
)
)
)
)
)
)
)
)
))</f>
        <v/>
      </c>
      <c r="AB30" s="14" t="str">
        <f>IF($B30="","",
IF(AB$5="","",
IF(Midterm!AB30="",0,
IF(NOT(ISNUMBER(Midterm!AB30)),"NAN",
IF(Midterm!AB30&lt;0,"NEG",
IF(Midterm!AB30&gt;AB$5,"OVER",
IF(AND(AB$5&lt;=100,Midterm!AB30&gt;100),"ERR",
IF(Info!$B$4="Non-board program",
IF(OR(AND(AB$5&gt;0,AB$5&gt;100),AND(AB$5&gt;0,AB$5&lt;100)),
VLOOKUP(FLOOR((Midterm!AB30/AB$5)*100,1),new_transmute,2,FALSE),
VLOOKUP(Midterm!AB30,new_transmute,2,FALSE)
),
IF(Info!$B$4="Board program",
IF(OR(AND(AB$5&gt;0,AB$5&gt;100),AND(AB$5&gt;0,AB$5&lt;100)),
VLOOKUP(FLOOR((Midterm!AB30/AB$5)*100,1),new_transmute,3,FALSE),
VLOOKUP(Midterm!AB30,new_transmute,3,FALSE)
),
IF(Info!$B$4="Board program (Medicine)",
IF(OR(AND(AB$5&gt;0,AB$5&gt;100),AND(AB$5&gt;0,AB$5&lt;100)),
VLOOKUP(FLOOR((Midterm!AB30/AB$5)*100,1),new_transmute,4,FALSE),
VLOOKUP(Midterm!AB30,new_transmute,4,FALSE)
),
""
)
)
)
)
)
)
)
)
))</f>
        <v/>
      </c>
      <c r="AC30" s="14" t="str">
        <f>IF($B30="","",
IF(AC$5="","",
IF(Midterm!AC30="",0,
IF(NOT(ISNUMBER(Midterm!AC30)),"NAN",
IF(Midterm!AC30&lt;0,"NEG",
IF(Midterm!AC30&gt;AC$5,"OVER",
IF(AND(AC$5&lt;=100,Midterm!AC30&gt;100),"ERR",
IF(Info!$B$4="Non-board program",
IF(OR(AND(AC$5&gt;0,AC$5&gt;100),AND(AC$5&gt;0,AC$5&lt;100)),
VLOOKUP(FLOOR((Midterm!AC30/AC$5)*100,1),new_transmute,2,FALSE),
VLOOKUP(Midterm!AC30,new_transmute,2,FALSE)
),
IF(Info!$B$4="Board program",
IF(OR(AND(AC$5&gt;0,AC$5&gt;100),AND(AC$5&gt;0,AC$5&lt;100)),
VLOOKUP(FLOOR((Midterm!AC30/AC$5)*100,1),new_transmute,3,FALSE),
VLOOKUP(Midterm!AC30,new_transmute,3,FALSE)
),
IF(Info!$B$4="Board program (Medicine)",
IF(OR(AND(AC$5&gt;0,AC$5&gt;100),AND(AC$5&gt;0,AC$5&lt;100)),
VLOOKUP(FLOOR((Midterm!AC30/AC$5)*100,1),new_transmute,4,FALSE),
VLOOKUP(Midterm!AC30,new_transmute,4,FALSE)
),
""
)
)
)
)
)
)
)
)
))</f>
        <v/>
      </c>
      <c r="AD30" s="14" t="str">
        <f>IF($B30="","",
IF(AD$5="","",
IF(Midterm!AD30="",0,
IF(NOT(ISNUMBER(Midterm!AD30)),"NAN",
IF(Midterm!AD30&lt;0,"NEG",
IF(Midterm!AD30&gt;AD$5,"OVER",
IF(AND(AD$5&lt;=100,Midterm!AD30&gt;100),"ERR",
IF(Info!$B$4="Non-board program",
IF(OR(AND(AD$5&gt;0,AD$5&gt;100),AND(AD$5&gt;0,AD$5&lt;100)),
VLOOKUP(FLOOR((Midterm!AD30/AD$5)*100,1),new_transmute,2,FALSE),
VLOOKUP(Midterm!AD30,new_transmute,2,FALSE)
),
IF(Info!$B$4="Board program",
IF(OR(AND(AD$5&gt;0,AD$5&gt;100),AND(AD$5&gt;0,AD$5&lt;100)),
VLOOKUP(FLOOR((Midterm!AD30/AD$5)*100,1),new_transmute,3,FALSE),
VLOOKUP(Midterm!AD30,new_transmute,3,FALSE)
),
IF(Info!$B$4="Board program (Medicine)",
IF(OR(AND(AD$5&gt;0,AD$5&gt;100),AND(AD$5&gt;0,AD$5&lt;100)),
VLOOKUP(FLOOR((Midterm!AD30/AD$5)*100,1),new_transmute,4,FALSE),
VLOOKUP(Midterm!AD30,new_transmute,4,FALSE)
),
""
)
)
)
)
)
)
)
)
))</f>
        <v/>
      </c>
      <c r="AE30" s="58" t="str">
        <f t="shared" si="5"/>
        <v/>
      </c>
      <c r="AF30" s="14" t="str">
        <f>IF($B30="","",
IF(AF$5="","",
IF(Midterm!AF30="",0,
IF(NOT(ISNUMBER(Midterm!AF30)),"NAN",
IF(Midterm!AF30&lt;0,"NEG",
IF(Midterm!AF30&gt;AF$5,"OVER",
IF(AND(AF$5&lt;=100,Midterm!AF30&gt;100),"ERR",
IF(Info!$B$4="Non-board program",
IF(OR(AND(AF$5&gt;0,AF$5&gt;100),AND(AF$5&gt;0,AF$5&lt;100)),
VLOOKUP(FLOOR((Midterm!AF30/AF$5)*100,1),new_transmute,2,FALSE),
VLOOKUP(Midterm!AF30,new_transmute,2,FALSE)
),
IF(Info!$B$4="Board program",
IF(OR(AND(AF$5&gt;0,AF$5&gt;100),AND(AF$5&gt;0,AF$5&lt;100)),
VLOOKUP(FLOOR((Midterm!AF30/AF$5)*100,1),new_transmute,3,FALSE),
VLOOKUP(Midterm!AF30,new_transmute,3,FALSE)
),
IF(Info!$B$4="Board program (Medicine)",
IF(OR(AND(AF$5&gt;0,AF$5&gt;100),AND(AF$5&gt;0,AF$5&lt;100)),
VLOOKUP(FLOOR((Midterm!AF30/AF$5)*100,1),new_transmute,4,FALSE),
VLOOKUP(Midterm!AF30,new_transmute,4,FALSE)
),
""
)
)
)
)
)
)
)
)
))</f>
        <v/>
      </c>
      <c r="AG30" s="14" t="str">
        <f>IF($B30="","",
IF(AG$5="","",
IF(Midterm!AG30="",0,
IF(NOT(ISNUMBER(Midterm!AG30)),"NAN",
IF(Midterm!AG30&lt;0,"NEG",
IF(Midterm!AG30&gt;AG$5,"OVER",
IF(AND(AG$5&lt;=100,Midterm!AG30&gt;100),"ERR",
IF(Info!$B$4="Non-board program",
IF(OR(AND(AG$5&gt;0,AG$5&gt;100),AND(AG$5&gt;0,AG$5&lt;100)),
VLOOKUP(FLOOR((Midterm!AG30/AG$5)*100,1),new_transmute,2,FALSE),
VLOOKUP(Midterm!AG30,new_transmute,2,FALSE)
),
IF(Info!$B$4="Board program",
IF(OR(AND(AG$5&gt;0,AG$5&gt;100),AND(AG$5&gt;0,AG$5&lt;100)),
VLOOKUP(FLOOR((Midterm!AG30/AG$5)*100,1),new_transmute,3,FALSE),
VLOOKUP(Midterm!AG30,new_transmute,3,FALSE)
),
IF(Info!$B$4="Board program (Medicine)",
IF(OR(AND(AG$5&gt;0,AG$5&gt;100),AND(AG$5&gt;0,AG$5&lt;100)),
VLOOKUP(FLOOR((Midterm!AG30/AG$5)*100,1),new_transmute,4,FALSE),
VLOOKUP(Midterm!AG30,new_transmute,4,FALSE)
),
""
)
)
)
)
)
)
)
)
))</f>
        <v/>
      </c>
      <c r="AH30" s="14" t="str">
        <f>IF($B30="","",
IF(AH$5="","",
IF(Midterm!AH30="",0,
IF(NOT(ISNUMBER(Midterm!AH30)),"NAN",
IF(Midterm!AH30&lt;0,"NEG",
IF(Midterm!AH30&gt;AH$5,"OVER",
IF(AND(AH$5&lt;=100,Midterm!AH30&gt;100),"ERR",
IF(Info!$B$4="Non-board program",
IF(OR(AND(AH$5&gt;0,AH$5&gt;100),AND(AH$5&gt;0,AH$5&lt;100)),
VLOOKUP(FLOOR((Midterm!AH30/AH$5)*100,1),new_transmute,2,FALSE),
VLOOKUP(Midterm!AH30,new_transmute,2,FALSE)
),
IF(Info!$B$4="Board program",
IF(OR(AND(AH$5&gt;0,AH$5&gt;100),AND(AH$5&gt;0,AH$5&lt;100)),
VLOOKUP(FLOOR((Midterm!AH30/AH$5)*100,1),new_transmute,3,FALSE),
VLOOKUP(Midterm!AH30,new_transmute,3,FALSE)
),
IF(Info!$B$4="Board program (Medicine)",
IF(OR(AND(AH$5&gt;0,AH$5&gt;100),AND(AH$5&gt;0,AH$5&lt;100)),
VLOOKUP(FLOOR((Midterm!AH30/AH$5)*100,1),new_transmute,4,FALSE),
VLOOKUP(Midterm!AH30,new_transmute,4,FALSE)
),
""
)
)
)
)
)
)
)
)
))</f>
        <v/>
      </c>
      <c r="AI30" s="14" t="str">
        <f>IF($B30="","",
IF(AI$5="","",
IF(Midterm!AI30="",0,
IF(NOT(ISNUMBER(Midterm!AI30)),"NAN",
IF(Midterm!AI30&lt;0,"NEG",
IF(Midterm!AI30&gt;AI$5,"OVER",
IF(AND(AI$5&lt;=100,Midterm!AI30&gt;100),"ERR",
IF(Info!$B$4="Non-board program",
IF(OR(AND(AI$5&gt;0,AI$5&gt;100),AND(AI$5&gt;0,AI$5&lt;100)),
VLOOKUP(FLOOR((Midterm!AI30/AI$5)*100,1),new_transmute,2,FALSE),
VLOOKUP(Midterm!AI30,new_transmute,2,FALSE)
),
IF(Info!$B$4="Board program",
IF(OR(AND(AI$5&gt;0,AI$5&gt;100),AND(AI$5&gt;0,AI$5&lt;100)),
VLOOKUP(FLOOR((Midterm!AI30/AI$5)*100,1),new_transmute,3,FALSE),
VLOOKUP(Midterm!AI30,new_transmute,3,FALSE)
),
IF(Info!$B$4="Board program (Medicine)",
IF(OR(AND(AI$5&gt;0,AI$5&gt;100),AND(AI$5&gt;0,AI$5&lt;100)),
VLOOKUP(FLOOR((Midterm!AI30/AI$5)*100,1),new_transmute,4,FALSE),
VLOOKUP(Midterm!AI30,new_transmute,4,FALSE)
),
""
)
)
)
)
)
)
)
)
))</f>
        <v/>
      </c>
      <c r="AJ30" s="14" t="str">
        <f>IF($B30="","",
IF(AJ$5="","",
IF(Midterm!AJ30="",0,
IF(NOT(ISNUMBER(Midterm!AJ30)),"NAN",
IF(Midterm!AJ30&lt;0,"NEG",
IF(Midterm!AJ30&gt;AJ$5,"OVER",
IF(AND(AJ$5&lt;=100,Midterm!AJ30&gt;100),"ERR",
IF(Info!$B$4="Non-board program",
IF(OR(AND(AJ$5&gt;0,AJ$5&gt;100),AND(AJ$5&gt;0,AJ$5&lt;100)),
VLOOKUP(FLOOR((Midterm!AJ30/AJ$5)*100,1),new_transmute,2,FALSE),
VLOOKUP(Midterm!AJ30,new_transmute,2,FALSE)
),
IF(Info!$B$4="Board program",
IF(OR(AND(AJ$5&gt;0,AJ$5&gt;100),AND(AJ$5&gt;0,AJ$5&lt;100)),
VLOOKUP(FLOOR((Midterm!AJ30/AJ$5)*100,1),new_transmute,3,FALSE),
VLOOKUP(Midterm!AJ30,new_transmute,3,FALSE)
),
IF(Info!$B$4="Board program (Medicine)",
IF(OR(AND(AJ$5&gt;0,AJ$5&gt;100),AND(AJ$5&gt;0,AJ$5&lt;100)),
VLOOKUP(FLOOR((Midterm!AJ30/AJ$5)*100,1),new_transmute,4,FALSE),
VLOOKUP(Midterm!AJ30,new_transmute,4,FALSE)
),
""
)
)
)
)
)
)
)
)
))</f>
        <v/>
      </c>
      <c r="AK30" s="59" t="str">
        <f t="shared" si="6"/>
        <v/>
      </c>
      <c r="AL30" s="60" t="str">
        <f>IF(B30="", "",
    IF(OR(M30="OVER", S30="OVER", Y30="OVER", AE30="OVER", AK30="OVER"),
        "OVER",
        IF(Info!$B$4="Non-board program",
            VLOOKUP(IFERROR(FLOOR(SUM((M30*$M$4), (S30*$S$4), (Y30*$Y$4), (AE30*$AE$4), (AK30*$AK$4)) * (100 / 60), 1), 0), new_transmute, 2, FALSE),
            IF(Info!$B$4="Board program",
                VLOOKUP(IFERROR(FLOOR(SUM((M30*$M$4), (S30*$S$4), (Y30*$Y$4), (AE30*$AE$4), (AK30*$AK$4)) * (100 / 60), 1), 0), new_transmute, 3, FALSE),
                IF(Info!$B$4="Board program (Medicine)",
                    VLOOKUP(IFERROR(FLOOR(SUM((M30*$M$4), (S30*$S$4), (Y30*$Y$4), (AE30*$AE$4), (AK30*$AK$4)) * (100 / 60), 1), 0), new_transmute, 4, FALSE),
                    ""
                )
            )
        )
    )
)</f>
        <v/>
      </c>
      <c r="AM30" s="14" t="str">
        <f>IF($B30="","",
IF(AM$5="","",
IF(Midterm!AM30="",0,
IF(NOT(ISNUMBER(Midterm!AM30)),"NAN",
IF(Midterm!AM30&lt;0,"NEG",
IF(Midterm!AM30&gt;AM$5,"OVER",
IF(AND(AM$5&lt;=100,Midterm!AM30&gt;100),"ERR",
IF(Info!$B$4="Non-board program",
IF(OR(AND(AM$5&gt;0,AM$5&gt;100),AND(AM$5&gt;0,AM$5&lt;100)),
VLOOKUP(FLOOR((Midterm!AM30/AM$5)*100,1),new_transmute,2,FALSE),
VLOOKUP(Midterm!AM30,new_transmute,2,FALSE)
),
IF(Info!$B$4="Board program",
IF(OR(AND(AM$5&gt;0,AM$5&gt;100),AND(AM$5&gt;0,AM$5&lt;100)),
VLOOKUP(FLOOR((Midterm!AM30/AM$5)*100,1),new_transmute,3,FALSE),
VLOOKUP(Midterm!AM30,new_transmute,3,FALSE)
),
IF(Info!$B$4="Board program (Medicine)",
IF(OR(AND(AM$5&gt;0,AM$5&gt;100),AND(AM$5&gt;0,AM$5&lt;100)),
VLOOKUP(FLOOR((Midterm!AM30/AM$5)*100,1),new_transmute,4,FALSE),
VLOOKUP(Midterm!AM30,new_transmute,4,FALSE)
),
""
)
)
)
)
)
)
)
)
))</f>
        <v/>
      </c>
      <c r="AN30" s="14" t="str">
        <f>IF($B30="","",
IF(AN$5="","",
IF(Midterm!AN30="",0,
IF(NOT(ISNUMBER(Midterm!AN30)),"NAN",
IF(Midterm!AN30&lt;0,"NEG",
IF(Midterm!AN30&gt;AN$5,"OVER",
IF(AND(AN$5&lt;=100,Midterm!AN30&gt;100),"ERR",
IF(Info!$B$4="Non-board program",
IF(OR(AND(AN$5&gt;0,AN$5&gt;100),AND(AN$5&gt;0,AN$5&lt;100)),
VLOOKUP(FLOOR((Midterm!AN30/AN$5)*100,1),new_transmute,2,FALSE),
VLOOKUP(Midterm!AN30,new_transmute,2,FALSE)
),
IF(Info!$B$4="Board program",
IF(OR(AND(AN$5&gt;0,AN$5&gt;100),AND(AN$5&gt;0,AN$5&lt;100)),
VLOOKUP(FLOOR((Midterm!AN30/AN$5)*100,1),new_transmute,3,FALSE),
VLOOKUP(Midterm!AN30,new_transmute,3,FALSE)
),
IF(Info!$B$4="Board program (Medicine)",
IF(OR(AND(AN$5&gt;0,AN$5&gt;100),AND(AN$5&gt;0,AN$5&lt;100)),
VLOOKUP(FLOOR((Midterm!AN30/AN$5)*100,1),new_transmute,4,FALSE),
VLOOKUP(Midterm!AN30,new_transmute,4,FALSE)
),
""
)
)
)
)
)
)
)
)
))</f>
        <v/>
      </c>
      <c r="AO30" s="14" t="str">
        <f>IF($B30="","",
IF(AO$5="","",
IF(Midterm!AO30="",0,
IF(NOT(ISNUMBER(Midterm!AO30)),"NAN",
IF(Midterm!AO30&lt;0,"NEG",
IF(Midterm!AO30&gt;AO$5,"OVER",
IF(AND(AO$5&lt;=100,Midterm!AO30&gt;100),"ERR",
IF(Info!$B$4="Non-board program",
IF(OR(AND(AO$5&gt;0,AO$5&gt;100),AND(AO$5&gt;0,AO$5&lt;100)),
VLOOKUP(FLOOR((Midterm!AO30/AO$5)*100,1),new_transmute,2,FALSE),
VLOOKUP(Midterm!AO30,new_transmute,2,FALSE)
),
IF(Info!$B$4="Board program",
IF(OR(AND(AO$5&gt;0,AO$5&gt;100),AND(AO$5&gt;0,AO$5&lt;100)),
VLOOKUP(FLOOR((Midterm!AO30/AO$5)*100,1),new_transmute,3,FALSE),
VLOOKUP(Midterm!AO30,new_transmute,3,FALSE)
),
IF(Info!$B$4="Board program (Medicine)",
IF(OR(AND(AO$5&gt;0,AO$5&gt;100),AND(AO$5&gt;0,AO$5&lt;100)),
VLOOKUP(FLOOR((Midterm!AO30/AO$5)*100,1),new_transmute,4,FALSE),
VLOOKUP(Midterm!AO30,new_transmute,4,FALSE)
),
""
)
)
)
)
)
)
)
)
))</f>
        <v/>
      </c>
      <c r="AP30" s="14" t="str">
        <f>IF($B30="","",
IF(AP$5="","",
IF(Midterm!AP30="",0,
IF(NOT(ISNUMBER(Midterm!AP30)),"NAN",
IF(Midterm!AP30&lt;0,"NEG",
IF(Midterm!AP30&gt;AP$5,"OVER",
IF(AND(AP$5&lt;=100,Midterm!AP30&gt;100),"ERR",
IF(Info!$B$4="Non-board program",
IF(OR(AND(AP$5&gt;0,AP$5&gt;100),AND(AP$5&gt;0,AP$5&lt;100)),
VLOOKUP(FLOOR((Midterm!AP30/AP$5)*100,1),new_transmute,2,FALSE),
VLOOKUP(Midterm!AP30,new_transmute,2,FALSE)
),
IF(Info!$B$4="Board program",
IF(OR(AND(AP$5&gt;0,AP$5&gt;100),AND(AP$5&gt;0,AP$5&lt;100)),
VLOOKUP(FLOOR((Midterm!AP30/AP$5)*100,1),new_transmute,3,FALSE),
VLOOKUP(Midterm!AP30,new_transmute,3,FALSE)
),
IF(Info!$B$4="Board program (Medicine)",
IF(OR(AND(AP$5&gt;0,AP$5&gt;100),AND(AP$5&gt;0,AP$5&lt;100)),
VLOOKUP(FLOOR((Midterm!AP30/AP$5)*100,1),new_transmute,4,FALSE),
VLOOKUP(Midterm!AP30,new_transmute,4,FALSE)
),
""
)
)
)
)
)
)
)
)
))</f>
        <v/>
      </c>
      <c r="AQ30" s="61" t="str">
        <f t="shared" si="7"/>
        <v/>
      </c>
      <c r="AR30" s="48" t="str">
        <f>IF(Midterm!AR30="","",Midterm!AR30)</f>
        <v/>
      </c>
      <c r="AS30" s="165" t="str">
        <f t="shared" si="8"/>
        <v/>
      </c>
      <c r="AT30" s="14" t="str">
        <f t="shared" si="0"/>
        <v/>
      </c>
      <c r="AU30" s="14" t="str">
        <f>IF(B30="","",VLOOKUP(AT30,'New Grade Equivalent'!$B$3:$C$47,2,FALSE))</f>
        <v/>
      </c>
    </row>
    <row r="31" spans="1:47" x14ac:dyDescent="0.25">
      <c r="A31" s="8">
        <v>26</v>
      </c>
      <c r="B31" s="2" t="str">
        <f>IF('Student List'!C35="","",UPPER(LEFT('Student List'!C35,FIND(",",'Student List'!C35)-1)))</f>
        <v/>
      </c>
      <c r="C31" s="12" t="str">
        <f>IF('Student List'!C35="","",PROPER(MID('Student List'!C35, FIND(",", 'Student List'!C35) + 2, LEN('Student List'!C35) - FIND(",", 'Student List'!C35) - 1)))</f>
        <v/>
      </c>
      <c r="D31" s="127" t="str">
        <f>IF(B31="","",IF(Midterm!D31="", "NA", Midterm!D31))</f>
        <v/>
      </c>
      <c r="E31" s="8" t="str">
        <f>IF(B31="","",
  IF(Info!$B$5="First Year",
    IF(D31="Yes", "DRP",
      IF(D31="No", "WF", "")
    )
  )
)</f>
        <v/>
      </c>
      <c r="F31" s="14" t="str">
        <f>IF($B31="","",
IF(F$5="","",
IF(Midterm!F31="",0,
IF(NOT(ISNUMBER(Midterm!F31)),"NAN",
IF(Midterm!F31&lt;0,"NEG",
IF(Midterm!F31&gt;F$5,"OVER",
IF(AND(F$5&lt;=100,Midterm!F31&gt;100),"ERR",
IF(Info!$B$4="Non-board program",
IF(OR(AND(F$5&gt;0,F$5&gt;100),AND(F$5&gt;0,F$5&lt;100)),
VLOOKUP(FLOOR((Midterm!F31/F$5)*100,1),new_transmute,2,FALSE),
VLOOKUP(Midterm!F31,new_transmute,2,FALSE)
),
IF(Info!$B$4="Board program",
IF(OR(AND(F$5&gt;0,F$5&gt;100),AND(F$5&gt;0,F$5&lt;100)),
VLOOKUP(FLOOR((Midterm!F31/F$5)*100,1),new_transmute,3,FALSE),
VLOOKUP(Midterm!F31,new_transmute,3,FALSE)
),
IF(Info!$B$4="Board program (Medicine)",
IF(OR(AND(F$5&gt;0,F$5&gt;100),AND(F$5&gt;0,F$5&lt;100)),
VLOOKUP(FLOOR((Midterm!F31/F$5)*100,1),new_transmute,4,FALSE),
VLOOKUP(Midterm!F31,new_transmute,4,FALSE)
),
""
)
)
)
)
)
)
)
)
))</f>
        <v/>
      </c>
      <c r="G31" s="57" t="str">
        <f t="shared" si="1"/>
        <v/>
      </c>
      <c r="H31" s="14" t="str">
        <f>IF($B31="","",
IF(H$5="","",
IF(Midterm!H31="",0,
IF(NOT(ISNUMBER(Midterm!H31)),"NAN",
IF(Midterm!H31&lt;0,"NEG",
IF(Midterm!H31&gt;H$5,"OVER",
IF(AND(H$5&lt;=100,Midterm!H31&gt;100),"ERR",
IF(Info!$B$4="Non-board program",
IF(OR(AND(H$5&gt;0,H$5&gt;100),AND(H$5&gt;0,H$5&lt;100)),
VLOOKUP(FLOOR((Midterm!H31/H$5)*100,1),new_transmute,2,FALSE),
VLOOKUP(Midterm!H31,new_transmute,2,FALSE)
),
IF(Info!$B$4="Board program",
IF(OR(AND(H$5&gt;0,H$5&gt;100),AND(H$5&gt;0,H$5&lt;100)),
VLOOKUP(FLOOR((Midterm!H31/H$5)*100,1),new_transmute,3,FALSE),
VLOOKUP(Midterm!H31,new_transmute,3,FALSE)
),
IF(Info!$B$4="Board program (Medicine)",
IF(OR(AND(H$5&gt;0,H$5&gt;100),AND(H$5&gt;0,H$5&lt;100)),
VLOOKUP(FLOOR((Midterm!H31/H$5)*100,1),new_transmute,4,FALSE),
VLOOKUP(Midterm!H31,new_transmute,4,FALSE)
),
""
)
)
)
)
)
)
)
)
))</f>
        <v/>
      </c>
      <c r="I31" s="14" t="str">
        <f>IF($B31="","",
IF(I$5="","",
IF(Midterm!I31="",0,
IF(NOT(ISNUMBER(Midterm!I31)),"NAN",
IF(Midterm!I31&lt;0,"NEG",
IF(Midterm!I31&gt;I$5,"OVER",
IF(AND(I$5&lt;=100,Midterm!I31&gt;100),"ERR",
IF(Info!$B$4="Non-board program",
IF(OR(AND(I$5&gt;0,I$5&gt;100),AND(I$5&gt;0,I$5&lt;100)),
VLOOKUP(FLOOR((Midterm!I31/I$5)*100,1),new_transmute,2,FALSE),
VLOOKUP(Midterm!I31,new_transmute,2,FALSE)
),
IF(Info!$B$4="Board program",
IF(OR(AND(I$5&gt;0,I$5&gt;100),AND(I$5&gt;0,I$5&lt;100)),
VLOOKUP(FLOOR((Midterm!I31/I$5)*100,1),new_transmute,3,FALSE),
VLOOKUP(Midterm!I31,new_transmute,3,FALSE)
),
IF(Info!$B$4="Board program (Medicine)",
IF(OR(AND(I$5&gt;0,I$5&gt;100),AND(I$5&gt;0,I$5&lt;100)),
VLOOKUP(FLOOR((Midterm!I31/I$5)*100,1),new_transmute,4,FALSE),
VLOOKUP(Midterm!I31,new_transmute,4,FALSE)
),
""
)
)
)
)
)
)
)
)
))</f>
        <v/>
      </c>
      <c r="J31" s="14" t="str">
        <f>IF($B31="","",
IF(J$5="","",
IF(Midterm!J31="",0,
IF(NOT(ISNUMBER(Midterm!J31)),"NAN",
IF(Midterm!J31&lt;0,"NEG",
IF(Midterm!J31&gt;J$5,"OVER",
IF(AND(J$5&lt;=100,Midterm!J31&gt;100),"ERR",
IF(Info!$B$4="Non-board program",
IF(OR(AND(J$5&gt;0,J$5&gt;100),AND(J$5&gt;0,J$5&lt;100)),
VLOOKUP(FLOOR((Midterm!J31/J$5)*100,1),new_transmute,2,FALSE),
VLOOKUP(Midterm!J31,new_transmute,2,FALSE)
),
IF(Info!$B$4="Board program",
IF(OR(AND(J$5&gt;0,J$5&gt;100),AND(J$5&gt;0,J$5&lt;100)),
VLOOKUP(FLOOR((Midterm!J31/J$5)*100,1),new_transmute,3,FALSE),
VLOOKUP(Midterm!J31,new_transmute,3,FALSE)
),
IF(Info!$B$4="Board program (Medicine)",
IF(OR(AND(J$5&gt;0,J$5&gt;100),AND(J$5&gt;0,J$5&lt;100)),
VLOOKUP(FLOOR((Midterm!J31/J$5)*100,1),new_transmute,4,FALSE),
VLOOKUP(Midterm!J31,new_transmute,4,FALSE)
),
""
)
)
)
)
)
)
)
)
))</f>
        <v/>
      </c>
      <c r="K31" s="14" t="str">
        <f>IF($B31="","",
IF(K$5="","",
IF(Midterm!K31="",0,
IF(NOT(ISNUMBER(Midterm!K31)),"NAN",
IF(Midterm!K31&lt;0,"NEG",
IF(Midterm!K31&gt;K$5,"OVER",
IF(AND(K$5&lt;=100,Midterm!K31&gt;100),"ERR",
IF(Info!$B$4="Non-board program",
IF(OR(AND(K$5&gt;0,K$5&gt;100),AND(K$5&gt;0,K$5&lt;100)),
VLOOKUP(FLOOR((Midterm!K31/K$5)*100,1),new_transmute,2,FALSE),
VLOOKUP(Midterm!K31,new_transmute,2,FALSE)
),
IF(Info!$B$4="Board program",
IF(OR(AND(K$5&gt;0,K$5&gt;100),AND(K$5&gt;0,K$5&lt;100)),
VLOOKUP(FLOOR((Midterm!K31/K$5)*100,1),new_transmute,3,FALSE),
VLOOKUP(Midterm!K31,new_transmute,3,FALSE)
),
IF(Info!$B$4="Board program (Medicine)",
IF(OR(AND(K$5&gt;0,K$5&gt;100),AND(K$5&gt;0,K$5&lt;100)),
VLOOKUP(FLOOR((Midterm!K31/K$5)*100,1),new_transmute,4,FALSE),
VLOOKUP(Midterm!K31,new_transmute,4,FALSE)
),
""
)
)
)
)
)
)
)
)
))</f>
        <v/>
      </c>
      <c r="L31" s="14" t="str">
        <f>IF($B31="","",
IF(L$5="","",
IF(Midterm!L31="",0,
IF(NOT(ISNUMBER(Midterm!L31)),"NAN",
IF(Midterm!L31&lt;0,"NEG",
IF(Midterm!L31&gt;L$5,"OVER",
IF(AND(L$5&lt;=100,Midterm!L31&gt;100),"ERR",
IF(Info!$B$4="Non-board program",
IF(OR(AND(L$5&gt;0,L$5&gt;100),AND(L$5&gt;0,L$5&lt;100)),
VLOOKUP(FLOOR((Midterm!L31/L$5)*100,1),new_transmute,2,FALSE),
VLOOKUP(Midterm!L31,new_transmute,2,FALSE)
),
IF(Info!$B$4="Board program",
IF(OR(AND(L$5&gt;0,L$5&gt;100),AND(L$5&gt;0,L$5&lt;100)),
VLOOKUP(FLOOR((Midterm!L31/L$5)*100,1),new_transmute,3,FALSE),
VLOOKUP(Midterm!L31,new_transmute,3,FALSE)
),
IF(Info!$B$4="Board program (Medicine)",
IF(OR(AND(L$5&gt;0,L$5&gt;100),AND(L$5&gt;0,L$5&lt;100)),
VLOOKUP(FLOOR((Midterm!L31/L$5)*100,1),new_transmute,4,FALSE),
VLOOKUP(Midterm!L31,new_transmute,4,FALSE)
),
""
)
)
)
)
)
)
)
)
))</f>
        <v/>
      </c>
      <c r="M31" s="111" t="str">
        <f t="shared" si="2"/>
        <v/>
      </c>
      <c r="N31" s="14" t="str">
        <f>IF($B31="","",
IF(N$5="","",
IF(Midterm!N31="",0,
IF(NOT(ISNUMBER(Midterm!N31)),"NAN",
IF(Midterm!N31&lt;0,"NEG",
IF(Midterm!N31&gt;N$5,"OVER",
IF(AND(N$5&lt;=100,Midterm!N31&gt;100),"ERR",
IF(Info!$B$4="Non-board program",
IF(OR(AND(N$5&gt;0,N$5&gt;100),AND(N$5&gt;0,N$5&lt;100)),
VLOOKUP(FLOOR((Midterm!N31/N$5)*100,1),new_transmute,2,FALSE),
VLOOKUP(Midterm!N31,new_transmute,2,FALSE)
),
IF(Info!$B$4="Board program",
IF(OR(AND(N$5&gt;0,N$5&gt;100),AND(N$5&gt;0,N$5&lt;100)),
VLOOKUP(FLOOR((Midterm!N31/N$5)*100,1),new_transmute,3,FALSE),
VLOOKUP(Midterm!N31,new_transmute,3,FALSE)
),
IF(Info!$B$4="Board program (Medicine)",
IF(OR(AND(N$5&gt;0,N$5&gt;100),AND(N$5&gt;0,N$5&lt;100)),
VLOOKUP(FLOOR((Midterm!N31/N$5)*100,1),new_transmute,4,FALSE),
VLOOKUP(Midterm!N31,new_transmute,4,FALSE)
),
""
)
)
)
)
)
)
)
)
))</f>
        <v/>
      </c>
      <c r="O31" s="14" t="str">
        <f>IF($B31="","",
IF(O$5="","",
IF(Midterm!O31="",0,
IF(NOT(ISNUMBER(Midterm!O31)),"NAN",
IF(Midterm!O31&lt;0,"NEG",
IF(Midterm!O31&gt;O$5,"OVER",
IF(AND(O$5&lt;=100,Midterm!O31&gt;100),"ERR",
IF(Info!$B$4="Non-board program",
IF(OR(AND(O$5&gt;0,O$5&gt;100),AND(O$5&gt;0,O$5&lt;100)),
VLOOKUP(FLOOR((Midterm!O31/O$5)*100,1),new_transmute,2,FALSE),
VLOOKUP(Midterm!O31,new_transmute,2,FALSE)
),
IF(Info!$B$4="Board program",
IF(OR(AND(O$5&gt;0,O$5&gt;100),AND(O$5&gt;0,O$5&lt;100)),
VLOOKUP(FLOOR((Midterm!O31/O$5)*100,1),new_transmute,3,FALSE),
VLOOKUP(Midterm!O31,new_transmute,3,FALSE)
),
IF(Info!$B$4="Board program (Medicine)",
IF(OR(AND(O$5&gt;0,O$5&gt;100),AND(O$5&gt;0,O$5&lt;100)),
VLOOKUP(FLOOR((Midterm!O31/O$5)*100,1),new_transmute,4,FALSE),
VLOOKUP(Midterm!O31,new_transmute,4,FALSE)
),
""
)
)
)
)
)
)
)
)
))</f>
        <v/>
      </c>
      <c r="P31" s="14" t="str">
        <f>IF($B31="","",
IF(P$5="","",
IF(Midterm!P31="",0,
IF(NOT(ISNUMBER(Midterm!P31)),"NAN",
IF(Midterm!P31&lt;0,"NEG",
IF(Midterm!P31&gt;P$5,"OVER",
IF(AND(P$5&lt;=100,Midterm!P31&gt;100),"ERR",
IF(Info!$B$4="Non-board program",
IF(OR(AND(P$5&gt;0,P$5&gt;100),AND(P$5&gt;0,P$5&lt;100)),
VLOOKUP(FLOOR((Midterm!P31/P$5)*100,1),new_transmute,2,FALSE),
VLOOKUP(Midterm!P31,new_transmute,2,FALSE)
),
IF(Info!$B$4="Board program",
IF(OR(AND(P$5&gt;0,P$5&gt;100),AND(P$5&gt;0,P$5&lt;100)),
VLOOKUP(FLOOR((Midterm!P31/P$5)*100,1),new_transmute,3,FALSE),
VLOOKUP(Midterm!P31,new_transmute,3,FALSE)
),
IF(Info!$B$4="Board program (Medicine)",
IF(OR(AND(P$5&gt;0,P$5&gt;100),AND(P$5&gt;0,P$5&lt;100)),
VLOOKUP(FLOOR((Midterm!P31/P$5)*100,1),new_transmute,4,FALSE),
VLOOKUP(Midterm!P31,new_transmute,4,FALSE)
),
""
)
)
)
)
)
)
)
)
))</f>
        <v/>
      </c>
      <c r="Q31" s="14" t="str">
        <f>IF($B31="","",
IF(Q$5="","",
IF(Midterm!Q31="",0,
IF(NOT(ISNUMBER(Midterm!Q31)),"NAN",
IF(Midterm!Q31&lt;0,"NEG",
IF(Midterm!Q31&gt;Q$5,"OVER",
IF(AND(Q$5&lt;=100,Midterm!Q31&gt;100),"ERR",
IF(Info!$B$4="Non-board program",
IF(OR(AND(Q$5&gt;0,Q$5&gt;100),AND(Q$5&gt;0,Q$5&lt;100)),
VLOOKUP(FLOOR((Midterm!Q31/Q$5)*100,1),new_transmute,2,FALSE),
VLOOKUP(Midterm!Q31,new_transmute,2,FALSE)
),
IF(Info!$B$4="Board program",
IF(OR(AND(Q$5&gt;0,Q$5&gt;100),AND(Q$5&gt;0,Q$5&lt;100)),
VLOOKUP(FLOOR((Midterm!Q31/Q$5)*100,1),new_transmute,3,FALSE),
VLOOKUP(Midterm!Q31,new_transmute,3,FALSE)
),
IF(Info!$B$4="Board program (Medicine)",
IF(OR(AND(Q$5&gt;0,Q$5&gt;100),AND(Q$5&gt;0,Q$5&lt;100)),
VLOOKUP(FLOOR((Midterm!Q31/Q$5)*100,1),new_transmute,4,FALSE),
VLOOKUP(Midterm!Q31,new_transmute,4,FALSE)
),
""
)
)
)
)
)
)
)
)
))</f>
        <v/>
      </c>
      <c r="R31" s="14" t="str">
        <f>IF($B31="","",
IF(R$5="","",
IF(Midterm!R31="",0,
IF(NOT(ISNUMBER(Midterm!R31)),"NAN",
IF(Midterm!R31&lt;0,"NEG",
IF(Midterm!R31&gt;R$5,"OVER",
IF(AND(R$5&lt;=100,Midterm!R31&gt;100),"ERR",
IF(Info!$B$4="Non-board program",
IF(OR(AND(R$5&gt;0,R$5&gt;100),AND(R$5&gt;0,R$5&lt;100)),
VLOOKUP(FLOOR((Midterm!R31/R$5)*100,1),new_transmute,2,FALSE),
VLOOKUP(Midterm!R31,new_transmute,2,FALSE)
),
IF(Info!$B$4="Board program",
IF(OR(AND(R$5&gt;0,R$5&gt;100),AND(R$5&gt;0,R$5&lt;100)),
VLOOKUP(FLOOR((Midterm!R31/R$5)*100,1),new_transmute,3,FALSE),
VLOOKUP(Midterm!R31,new_transmute,3,FALSE)
),
IF(Info!$B$4="Board program (Medicine)",
IF(OR(AND(R$5&gt;0,R$5&gt;100),AND(R$5&gt;0,R$5&lt;100)),
VLOOKUP(FLOOR((Midterm!R31/R$5)*100,1),new_transmute,4,FALSE),
VLOOKUP(Midterm!R31,new_transmute,4,FALSE)
),
""
)
)
)
)
)
)
)
)
))</f>
        <v/>
      </c>
      <c r="S31" s="115" t="str">
        <f t="shared" si="3"/>
        <v/>
      </c>
      <c r="T31" s="14" t="str">
        <f>IF($B31="","",
IF(T$5="","",
IF(Midterm!T31="",0,
IF(NOT(ISNUMBER(Midterm!T31)),"NAN",
IF(Midterm!T31&lt;0,"NEG",
IF(Midterm!T31&gt;T$5,"OVER",
IF(AND(T$5&lt;=100,Midterm!T31&gt;100),"ERR",
IF(Info!$B$4="Non-board program",
IF(OR(AND(T$5&gt;0,T$5&gt;100),AND(T$5&gt;0,T$5&lt;100)),
VLOOKUP(FLOOR((Midterm!T31/T$5)*100,1),new_transmute,2,FALSE),
VLOOKUP(Midterm!T31,new_transmute,2,FALSE)
),
IF(Info!$B$4="Board program",
IF(OR(AND(T$5&gt;0,T$5&gt;100),AND(T$5&gt;0,T$5&lt;100)),
VLOOKUP(FLOOR((Midterm!T31/T$5)*100,1),new_transmute,3,FALSE),
VLOOKUP(Midterm!T31,new_transmute,3,FALSE)
),
IF(Info!$B$4="Board program (Medicine)",
IF(OR(AND(T$5&gt;0,T$5&gt;100),AND(T$5&gt;0,T$5&lt;100)),
VLOOKUP(FLOOR((Midterm!T31/T$5)*100,1),new_transmute,4,FALSE),
VLOOKUP(Midterm!T31,new_transmute,4,FALSE)
),
""
)
)
)
)
)
)
)
)
))</f>
        <v/>
      </c>
      <c r="U31" s="14" t="str">
        <f>IF($B31="","",
IF(U$5="","",
IF(Midterm!U31="",0,
IF(NOT(ISNUMBER(Midterm!U31)),"NAN",
IF(Midterm!U31&lt;0,"NEG",
IF(Midterm!U31&gt;U$5,"OVER",
IF(AND(U$5&lt;=100,Midterm!U31&gt;100),"ERR",
IF(Info!$B$4="Non-board program",
IF(OR(AND(U$5&gt;0,U$5&gt;100),AND(U$5&gt;0,U$5&lt;100)),
VLOOKUP(FLOOR((Midterm!U31/U$5)*100,1),new_transmute,2,FALSE),
VLOOKUP(Midterm!U31,new_transmute,2,FALSE)
),
IF(Info!$B$4="Board program",
IF(OR(AND(U$5&gt;0,U$5&gt;100),AND(U$5&gt;0,U$5&lt;100)),
VLOOKUP(FLOOR((Midterm!U31/U$5)*100,1),new_transmute,3,FALSE),
VLOOKUP(Midterm!U31,new_transmute,3,FALSE)
),
IF(Info!$B$4="Board program (Medicine)",
IF(OR(AND(U$5&gt;0,U$5&gt;100),AND(U$5&gt;0,U$5&lt;100)),
VLOOKUP(FLOOR((Midterm!U31/U$5)*100,1),new_transmute,4,FALSE),
VLOOKUP(Midterm!U31,new_transmute,4,FALSE)
),
""
)
)
)
)
)
)
)
)
))</f>
        <v/>
      </c>
      <c r="V31" s="14" t="str">
        <f>IF($B31="","",
IF(V$5="","",
IF(Midterm!V31="",0,
IF(NOT(ISNUMBER(Midterm!V31)),"NAN",
IF(Midterm!V31&lt;0,"NEG",
IF(Midterm!V31&gt;V$5,"OVER",
IF(AND(V$5&lt;=100,Midterm!V31&gt;100),"ERR",
IF(Info!$B$4="Non-board program",
IF(OR(AND(V$5&gt;0,V$5&gt;100),AND(V$5&gt;0,V$5&lt;100)),
VLOOKUP(FLOOR((Midterm!V31/V$5)*100,1),new_transmute,2,FALSE),
VLOOKUP(Midterm!V31,new_transmute,2,FALSE)
),
IF(Info!$B$4="Board program",
IF(OR(AND(V$5&gt;0,V$5&gt;100),AND(V$5&gt;0,V$5&lt;100)),
VLOOKUP(FLOOR((Midterm!V31/V$5)*100,1),new_transmute,3,FALSE),
VLOOKUP(Midterm!V31,new_transmute,3,FALSE)
),
IF(Info!$B$4="Board program (Medicine)",
IF(OR(AND(V$5&gt;0,V$5&gt;100),AND(V$5&gt;0,V$5&lt;100)),
VLOOKUP(FLOOR((Midterm!V31/V$5)*100,1),new_transmute,4,FALSE),
VLOOKUP(Midterm!V31,new_transmute,4,FALSE)
),
""
)
)
)
)
)
)
)
)
))</f>
        <v/>
      </c>
      <c r="W31" s="14" t="str">
        <f>IF($B31="","",
IF(W$5="","",
IF(Midterm!W31="",0,
IF(NOT(ISNUMBER(Midterm!W31)),"NAN",
IF(Midterm!W31&lt;0,"NEG",
IF(Midterm!W31&gt;W$5,"OVER",
IF(AND(W$5&lt;=100,Midterm!W31&gt;100),"ERR",
IF(Info!$B$4="Non-board program",
IF(OR(AND(W$5&gt;0,W$5&gt;100),AND(W$5&gt;0,W$5&lt;100)),
VLOOKUP(FLOOR((Midterm!W31/W$5)*100,1),new_transmute,2,FALSE),
VLOOKUP(Midterm!W31,new_transmute,2,FALSE)
),
IF(Info!$B$4="Board program",
IF(OR(AND(W$5&gt;0,W$5&gt;100),AND(W$5&gt;0,W$5&lt;100)),
VLOOKUP(FLOOR((Midterm!W31/W$5)*100,1),new_transmute,3,FALSE),
VLOOKUP(Midterm!W31,new_transmute,3,FALSE)
),
IF(Info!$B$4="Board program (Medicine)",
IF(OR(AND(W$5&gt;0,W$5&gt;100),AND(W$5&gt;0,W$5&lt;100)),
VLOOKUP(FLOOR((Midterm!W31/W$5)*100,1),new_transmute,4,FALSE),
VLOOKUP(Midterm!W31,new_transmute,4,FALSE)
),
""
)
)
)
)
)
)
)
)
))</f>
        <v/>
      </c>
      <c r="X31" s="14" t="str">
        <f>IF($B31="","",
IF(X$5="","",
IF(Midterm!X31="",0,
IF(NOT(ISNUMBER(Midterm!X31)),"NAN",
IF(Midterm!X31&lt;0,"NEG",
IF(Midterm!X31&gt;X$5,"OVER",
IF(AND(X$5&lt;=100,Midterm!X31&gt;100),"ERR",
IF(Info!$B$4="Non-board program",
IF(OR(AND(X$5&gt;0,X$5&gt;100),AND(X$5&gt;0,X$5&lt;100)),
VLOOKUP(FLOOR((Midterm!X31/X$5)*100,1),new_transmute,2,FALSE),
VLOOKUP(Midterm!X31,new_transmute,2,FALSE)
),
IF(Info!$B$4="Board program",
IF(OR(AND(X$5&gt;0,X$5&gt;100),AND(X$5&gt;0,X$5&lt;100)),
VLOOKUP(FLOOR((Midterm!X31/X$5)*100,1),new_transmute,3,FALSE),
VLOOKUP(Midterm!X31,new_transmute,3,FALSE)
),
IF(Info!$B$4="Board program (Medicine)",
IF(OR(AND(X$5&gt;0,X$5&gt;100),AND(X$5&gt;0,X$5&lt;100)),
VLOOKUP(FLOOR((Midterm!X31/X$5)*100,1),new_transmute,4,FALSE),
VLOOKUP(Midterm!X31,new_transmute,4,FALSE)
),
""
)
)
)
)
)
)
)
)
))</f>
        <v/>
      </c>
      <c r="Y31" s="112" t="str">
        <f t="shared" si="4"/>
        <v/>
      </c>
      <c r="Z31" s="14" t="str">
        <f>IF($B31="","",
IF(Z$5="","",
IF(Midterm!Z31="",0,
IF(NOT(ISNUMBER(Midterm!Z31)),"NAN",
IF(Midterm!Z31&lt;0,"NEG",
IF(Midterm!Z31&gt;Z$5,"OVER",
IF(AND(Z$5&lt;=100,Midterm!Z31&gt;100),"ERR",
IF(Info!$B$4="Non-board program",
IF(OR(AND(Z$5&gt;0,Z$5&gt;100),AND(Z$5&gt;0,Z$5&lt;100)),
VLOOKUP(FLOOR((Midterm!Z31/Z$5)*100,1),new_transmute,2,FALSE),
VLOOKUP(Midterm!Z31,new_transmute,2,FALSE)
),
IF(Info!$B$4="Board program",
IF(OR(AND(Z$5&gt;0,Z$5&gt;100),AND(Z$5&gt;0,Z$5&lt;100)),
VLOOKUP(FLOOR((Midterm!Z31/Z$5)*100,1),new_transmute,3,FALSE),
VLOOKUP(Midterm!Z31,new_transmute,3,FALSE)
),
IF(Info!$B$4="Board program (Medicine)",
IF(OR(AND(Z$5&gt;0,Z$5&gt;100),AND(Z$5&gt;0,Z$5&lt;100)),
VLOOKUP(FLOOR((Midterm!Z31/Z$5)*100,1),new_transmute,4,FALSE),
VLOOKUP(Midterm!Z31,new_transmute,4,FALSE)
),
""
)
)
)
)
)
)
)
)
))</f>
        <v/>
      </c>
      <c r="AA31" s="14" t="str">
        <f>IF($B31="","",
IF(AA$5="","",
IF(Midterm!AA31="",0,
IF(NOT(ISNUMBER(Midterm!AA31)),"NAN",
IF(Midterm!AA31&lt;0,"NEG",
IF(Midterm!AA31&gt;AA$5,"OVER",
IF(AND(AA$5&lt;=100,Midterm!AA31&gt;100),"ERR",
IF(Info!$B$4="Non-board program",
IF(OR(AND(AA$5&gt;0,AA$5&gt;100),AND(AA$5&gt;0,AA$5&lt;100)),
VLOOKUP(FLOOR((Midterm!AA31/AA$5)*100,1),new_transmute,2,FALSE),
VLOOKUP(Midterm!AA31,new_transmute,2,FALSE)
),
IF(Info!$B$4="Board program",
IF(OR(AND(AA$5&gt;0,AA$5&gt;100),AND(AA$5&gt;0,AA$5&lt;100)),
VLOOKUP(FLOOR((Midterm!AA31/AA$5)*100,1),new_transmute,3,FALSE),
VLOOKUP(Midterm!AA31,new_transmute,3,FALSE)
),
IF(Info!$B$4="Board program (Medicine)",
IF(OR(AND(AA$5&gt;0,AA$5&gt;100),AND(AA$5&gt;0,AA$5&lt;100)),
VLOOKUP(FLOOR((Midterm!AA31/AA$5)*100,1),new_transmute,4,FALSE),
VLOOKUP(Midterm!AA31,new_transmute,4,FALSE)
),
""
)
)
)
)
)
)
)
)
))</f>
        <v/>
      </c>
      <c r="AB31" s="14" t="str">
        <f>IF($B31="","",
IF(AB$5="","",
IF(Midterm!AB31="",0,
IF(NOT(ISNUMBER(Midterm!AB31)),"NAN",
IF(Midterm!AB31&lt;0,"NEG",
IF(Midterm!AB31&gt;AB$5,"OVER",
IF(AND(AB$5&lt;=100,Midterm!AB31&gt;100),"ERR",
IF(Info!$B$4="Non-board program",
IF(OR(AND(AB$5&gt;0,AB$5&gt;100),AND(AB$5&gt;0,AB$5&lt;100)),
VLOOKUP(FLOOR((Midterm!AB31/AB$5)*100,1),new_transmute,2,FALSE),
VLOOKUP(Midterm!AB31,new_transmute,2,FALSE)
),
IF(Info!$B$4="Board program",
IF(OR(AND(AB$5&gt;0,AB$5&gt;100),AND(AB$5&gt;0,AB$5&lt;100)),
VLOOKUP(FLOOR((Midterm!AB31/AB$5)*100,1),new_transmute,3,FALSE),
VLOOKUP(Midterm!AB31,new_transmute,3,FALSE)
),
IF(Info!$B$4="Board program (Medicine)",
IF(OR(AND(AB$5&gt;0,AB$5&gt;100),AND(AB$5&gt;0,AB$5&lt;100)),
VLOOKUP(FLOOR((Midterm!AB31/AB$5)*100,1),new_transmute,4,FALSE),
VLOOKUP(Midterm!AB31,new_transmute,4,FALSE)
),
""
)
)
)
)
)
)
)
)
))</f>
        <v/>
      </c>
      <c r="AC31" s="14" t="str">
        <f>IF($B31="","",
IF(AC$5="","",
IF(Midterm!AC31="",0,
IF(NOT(ISNUMBER(Midterm!AC31)),"NAN",
IF(Midterm!AC31&lt;0,"NEG",
IF(Midterm!AC31&gt;AC$5,"OVER",
IF(AND(AC$5&lt;=100,Midterm!AC31&gt;100),"ERR",
IF(Info!$B$4="Non-board program",
IF(OR(AND(AC$5&gt;0,AC$5&gt;100),AND(AC$5&gt;0,AC$5&lt;100)),
VLOOKUP(FLOOR((Midterm!AC31/AC$5)*100,1),new_transmute,2,FALSE),
VLOOKUP(Midterm!AC31,new_transmute,2,FALSE)
),
IF(Info!$B$4="Board program",
IF(OR(AND(AC$5&gt;0,AC$5&gt;100),AND(AC$5&gt;0,AC$5&lt;100)),
VLOOKUP(FLOOR((Midterm!AC31/AC$5)*100,1),new_transmute,3,FALSE),
VLOOKUP(Midterm!AC31,new_transmute,3,FALSE)
),
IF(Info!$B$4="Board program (Medicine)",
IF(OR(AND(AC$5&gt;0,AC$5&gt;100),AND(AC$5&gt;0,AC$5&lt;100)),
VLOOKUP(FLOOR((Midterm!AC31/AC$5)*100,1),new_transmute,4,FALSE),
VLOOKUP(Midterm!AC31,new_transmute,4,FALSE)
),
""
)
)
)
)
)
)
)
)
))</f>
        <v/>
      </c>
      <c r="AD31" s="14" t="str">
        <f>IF($B31="","",
IF(AD$5="","",
IF(Midterm!AD31="",0,
IF(NOT(ISNUMBER(Midterm!AD31)),"NAN",
IF(Midterm!AD31&lt;0,"NEG",
IF(Midterm!AD31&gt;AD$5,"OVER",
IF(AND(AD$5&lt;=100,Midterm!AD31&gt;100),"ERR",
IF(Info!$B$4="Non-board program",
IF(OR(AND(AD$5&gt;0,AD$5&gt;100),AND(AD$5&gt;0,AD$5&lt;100)),
VLOOKUP(FLOOR((Midterm!AD31/AD$5)*100,1),new_transmute,2,FALSE),
VLOOKUP(Midterm!AD31,new_transmute,2,FALSE)
),
IF(Info!$B$4="Board program",
IF(OR(AND(AD$5&gt;0,AD$5&gt;100),AND(AD$5&gt;0,AD$5&lt;100)),
VLOOKUP(FLOOR((Midterm!AD31/AD$5)*100,1),new_transmute,3,FALSE),
VLOOKUP(Midterm!AD31,new_transmute,3,FALSE)
),
IF(Info!$B$4="Board program (Medicine)",
IF(OR(AND(AD$5&gt;0,AD$5&gt;100),AND(AD$5&gt;0,AD$5&lt;100)),
VLOOKUP(FLOOR((Midterm!AD31/AD$5)*100,1),new_transmute,4,FALSE),
VLOOKUP(Midterm!AD31,new_transmute,4,FALSE)
),
""
)
)
)
)
)
)
)
)
))</f>
        <v/>
      </c>
      <c r="AE31" s="58" t="str">
        <f t="shared" si="5"/>
        <v/>
      </c>
      <c r="AF31" s="14" t="str">
        <f>IF($B31="","",
IF(AF$5="","",
IF(Midterm!AF31="",0,
IF(NOT(ISNUMBER(Midterm!AF31)),"NAN",
IF(Midterm!AF31&lt;0,"NEG",
IF(Midterm!AF31&gt;AF$5,"OVER",
IF(AND(AF$5&lt;=100,Midterm!AF31&gt;100),"ERR",
IF(Info!$B$4="Non-board program",
IF(OR(AND(AF$5&gt;0,AF$5&gt;100),AND(AF$5&gt;0,AF$5&lt;100)),
VLOOKUP(FLOOR((Midterm!AF31/AF$5)*100,1),new_transmute,2,FALSE),
VLOOKUP(Midterm!AF31,new_transmute,2,FALSE)
),
IF(Info!$B$4="Board program",
IF(OR(AND(AF$5&gt;0,AF$5&gt;100),AND(AF$5&gt;0,AF$5&lt;100)),
VLOOKUP(FLOOR((Midterm!AF31/AF$5)*100,1),new_transmute,3,FALSE),
VLOOKUP(Midterm!AF31,new_transmute,3,FALSE)
),
IF(Info!$B$4="Board program (Medicine)",
IF(OR(AND(AF$5&gt;0,AF$5&gt;100),AND(AF$5&gt;0,AF$5&lt;100)),
VLOOKUP(FLOOR((Midterm!AF31/AF$5)*100,1),new_transmute,4,FALSE),
VLOOKUP(Midterm!AF31,new_transmute,4,FALSE)
),
""
)
)
)
)
)
)
)
)
))</f>
        <v/>
      </c>
      <c r="AG31" s="14" t="str">
        <f>IF($B31="","",
IF(AG$5="","",
IF(Midterm!AG31="",0,
IF(NOT(ISNUMBER(Midterm!AG31)),"NAN",
IF(Midterm!AG31&lt;0,"NEG",
IF(Midterm!AG31&gt;AG$5,"OVER",
IF(AND(AG$5&lt;=100,Midterm!AG31&gt;100),"ERR",
IF(Info!$B$4="Non-board program",
IF(OR(AND(AG$5&gt;0,AG$5&gt;100),AND(AG$5&gt;0,AG$5&lt;100)),
VLOOKUP(FLOOR((Midterm!AG31/AG$5)*100,1),new_transmute,2,FALSE),
VLOOKUP(Midterm!AG31,new_transmute,2,FALSE)
),
IF(Info!$B$4="Board program",
IF(OR(AND(AG$5&gt;0,AG$5&gt;100),AND(AG$5&gt;0,AG$5&lt;100)),
VLOOKUP(FLOOR((Midterm!AG31/AG$5)*100,1),new_transmute,3,FALSE),
VLOOKUP(Midterm!AG31,new_transmute,3,FALSE)
),
IF(Info!$B$4="Board program (Medicine)",
IF(OR(AND(AG$5&gt;0,AG$5&gt;100),AND(AG$5&gt;0,AG$5&lt;100)),
VLOOKUP(FLOOR((Midterm!AG31/AG$5)*100,1),new_transmute,4,FALSE),
VLOOKUP(Midterm!AG31,new_transmute,4,FALSE)
),
""
)
)
)
)
)
)
)
)
))</f>
        <v/>
      </c>
      <c r="AH31" s="14" t="str">
        <f>IF($B31="","",
IF(AH$5="","",
IF(Midterm!AH31="",0,
IF(NOT(ISNUMBER(Midterm!AH31)),"NAN",
IF(Midterm!AH31&lt;0,"NEG",
IF(Midterm!AH31&gt;AH$5,"OVER",
IF(AND(AH$5&lt;=100,Midterm!AH31&gt;100),"ERR",
IF(Info!$B$4="Non-board program",
IF(OR(AND(AH$5&gt;0,AH$5&gt;100),AND(AH$5&gt;0,AH$5&lt;100)),
VLOOKUP(FLOOR((Midterm!AH31/AH$5)*100,1),new_transmute,2,FALSE),
VLOOKUP(Midterm!AH31,new_transmute,2,FALSE)
),
IF(Info!$B$4="Board program",
IF(OR(AND(AH$5&gt;0,AH$5&gt;100),AND(AH$5&gt;0,AH$5&lt;100)),
VLOOKUP(FLOOR((Midterm!AH31/AH$5)*100,1),new_transmute,3,FALSE),
VLOOKUP(Midterm!AH31,new_transmute,3,FALSE)
),
IF(Info!$B$4="Board program (Medicine)",
IF(OR(AND(AH$5&gt;0,AH$5&gt;100),AND(AH$5&gt;0,AH$5&lt;100)),
VLOOKUP(FLOOR((Midterm!AH31/AH$5)*100,1),new_transmute,4,FALSE),
VLOOKUP(Midterm!AH31,new_transmute,4,FALSE)
),
""
)
)
)
)
)
)
)
)
))</f>
        <v/>
      </c>
      <c r="AI31" s="14" t="str">
        <f>IF($B31="","",
IF(AI$5="","",
IF(Midterm!AI31="",0,
IF(NOT(ISNUMBER(Midterm!AI31)),"NAN",
IF(Midterm!AI31&lt;0,"NEG",
IF(Midterm!AI31&gt;AI$5,"OVER",
IF(AND(AI$5&lt;=100,Midterm!AI31&gt;100),"ERR",
IF(Info!$B$4="Non-board program",
IF(OR(AND(AI$5&gt;0,AI$5&gt;100),AND(AI$5&gt;0,AI$5&lt;100)),
VLOOKUP(FLOOR((Midterm!AI31/AI$5)*100,1),new_transmute,2,FALSE),
VLOOKUP(Midterm!AI31,new_transmute,2,FALSE)
),
IF(Info!$B$4="Board program",
IF(OR(AND(AI$5&gt;0,AI$5&gt;100),AND(AI$5&gt;0,AI$5&lt;100)),
VLOOKUP(FLOOR((Midterm!AI31/AI$5)*100,1),new_transmute,3,FALSE),
VLOOKUP(Midterm!AI31,new_transmute,3,FALSE)
),
IF(Info!$B$4="Board program (Medicine)",
IF(OR(AND(AI$5&gt;0,AI$5&gt;100),AND(AI$5&gt;0,AI$5&lt;100)),
VLOOKUP(FLOOR((Midterm!AI31/AI$5)*100,1),new_transmute,4,FALSE),
VLOOKUP(Midterm!AI31,new_transmute,4,FALSE)
),
""
)
)
)
)
)
)
)
)
))</f>
        <v/>
      </c>
      <c r="AJ31" s="14" t="str">
        <f>IF($B31="","",
IF(AJ$5="","",
IF(Midterm!AJ31="",0,
IF(NOT(ISNUMBER(Midterm!AJ31)),"NAN",
IF(Midterm!AJ31&lt;0,"NEG",
IF(Midterm!AJ31&gt;AJ$5,"OVER",
IF(AND(AJ$5&lt;=100,Midterm!AJ31&gt;100),"ERR",
IF(Info!$B$4="Non-board program",
IF(OR(AND(AJ$5&gt;0,AJ$5&gt;100),AND(AJ$5&gt;0,AJ$5&lt;100)),
VLOOKUP(FLOOR((Midterm!AJ31/AJ$5)*100,1),new_transmute,2,FALSE),
VLOOKUP(Midterm!AJ31,new_transmute,2,FALSE)
),
IF(Info!$B$4="Board program",
IF(OR(AND(AJ$5&gt;0,AJ$5&gt;100),AND(AJ$5&gt;0,AJ$5&lt;100)),
VLOOKUP(FLOOR((Midterm!AJ31/AJ$5)*100,1),new_transmute,3,FALSE),
VLOOKUP(Midterm!AJ31,new_transmute,3,FALSE)
),
IF(Info!$B$4="Board program (Medicine)",
IF(OR(AND(AJ$5&gt;0,AJ$5&gt;100),AND(AJ$5&gt;0,AJ$5&lt;100)),
VLOOKUP(FLOOR((Midterm!AJ31/AJ$5)*100,1),new_transmute,4,FALSE),
VLOOKUP(Midterm!AJ31,new_transmute,4,FALSE)
),
""
)
)
)
)
)
)
)
)
))</f>
        <v/>
      </c>
      <c r="AK31" s="59" t="str">
        <f t="shared" si="6"/>
        <v/>
      </c>
      <c r="AL31" s="60" t="str">
        <f>IF(B31="", "",
    IF(OR(M31="OVER", S31="OVER", Y31="OVER", AE31="OVER", AK31="OVER"),
        "OVER",
        IF(Info!$B$4="Non-board program",
            VLOOKUP(IFERROR(FLOOR(SUM((M31*$M$4), (S31*$S$4), (Y31*$Y$4), (AE31*$AE$4), (AK31*$AK$4)) * (100 / 60), 1), 0), new_transmute, 2, FALSE),
            IF(Info!$B$4="Board program",
                VLOOKUP(IFERROR(FLOOR(SUM((M31*$M$4), (S31*$S$4), (Y31*$Y$4), (AE31*$AE$4), (AK31*$AK$4)) * (100 / 60), 1), 0), new_transmute, 3, FALSE),
                IF(Info!$B$4="Board program (Medicine)",
                    VLOOKUP(IFERROR(FLOOR(SUM((M31*$M$4), (S31*$S$4), (Y31*$Y$4), (AE31*$AE$4), (AK31*$AK$4)) * (100 / 60), 1), 0), new_transmute, 4, FALSE),
                    ""
                )
            )
        )
    )
)</f>
        <v/>
      </c>
      <c r="AM31" s="14" t="str">
        <f>IF($B31="","",
IF(AM$5="","",
IF(Midterm!AM31="",0,
IF(NOT(ISNUMBER(Midterm!AM31)),"NAN",
IF(Midterm!AM31&lt;0,"NEG",
IF(Midterm!AM31&gt;AM$5,"OVER",
IF(AND(AM$5&lt;=100,Midterm!AM31&gt;100),"ERR",
IF(Info!$B$4="Non-board program",
IF(OR(AND(AM$5&gt;0,AM$5&gt;100),AND(AM$5&gt;0,AM$5&lt;100)),
VLOOKUP(FLOOR((Midterm!AM31/AM$5)*100,1),new_transmute,2,FALSE),
VLOOKUP(Midterm!AM31,new_transmute,2,FALSE)
),
IF(Info!$B$4="Board program",
IF(OR(AND(AM$5&gt;0,AM$5&gt;100),AND(AM$5&gt;0,AM$5&lt;100)),
VLOOKUP(FLOOR((Midterm!AM31/AM$5)*100,1),new_transmute,3,FALSE),
VLOOKUP(Midterm!AM31,new_transmute,3,FALSE)
),
IF(Info!$B$4="Board program (Medicine)",
IF(OR(AND(AM$5&gt;0,AM$5&gt;100),AND(AM$5&gt;0,AM$5&lt;100)),
VLOOKUP(FLOOR((Midterm!AM31/AM$5)*100,1),new_transmute,4,FALSE),
VLOOKUP(Midterm!AM31,new_transmute,4,FALSE)
),
""
)
)
)
)
)
)
)
)
))</f>
        <v/>
      </c>
      <c r="AN31" s="14" t="str">
        <f>IF($B31="","",
IF(AN$5="","",
IF(Midterm!AN31="",0,
IF(NOT(ISNUMBER(Midterm!AN31)),"NAN",
IF(Midterm!AN31&lt;0,"NEG",
IF(Midterm!AN31&gt;AN$5,"OVER",
IF(AND(AN$5&lt;=100,Midterm!AN31&gt;100),"ERR",
IF(Info!$B$4="Non-board program",
IF(OR(AND(AN$5&gt;0,AN$5&gt;100),AND(AN$5&gt;0,AN$5&lt;100)),
VLOOKUP(FLOOR((Midterm!AN31/AN$5)*100,1),new_transmute,2,FALSE),
VLOOKUP(Midterm!AN31,new_transmute,2,FALSE)
),
IF(Info!$B$4="Board program",
IF(OR(AND(AN$5&gt;0,AN$5&gt;100),AND(AN$5&gt;0,AN$5&lt;100)),
VLOOKUP(FLOOR((Midterm!AN31/AN$5)*100,1),new_transmute,3,FALSE),
VLOOKUP(Midterm!AN31,new_transmute,3,FALSE)
),
IF(Info!$B$4="Board program (Medicine)",
IF(OR(AND(AN$5&gt;0,AN$5&gt;100),AND(AN$5&gt;0,AN$5&lt;100)),
VLOOKUP(FLOOR((Midterm!AN31/AN$5)*100,1),new_transmute,4,FALSE),
VLOOKUP(Midterm!AN31,new_transmute,4,FALSE)
),
""
)
)
)
)
)
)
)
)
))</f>
        <v/>
      </c>
      <c r="AO31" s="14" t="str">
        <f>IF($B31="","",
IF(AO$5="","",
IF(Midterm!AO31="",0,
IF(NOT(ISNUMBER(Midterm!AO31)),"NAN",
IF(Midterm!AO31&lt;0,"NEG",
IF(Midterm!AO31&gt;AO$5,"OVER",
IF(AND(AO$5&lt;=100,Midterm!AO31&gt;100),"ERR",
IF(Info!$B$4="Non-board program",
IF(OR(AND(AO$5&gt;0,AO$5&gt;100),AND(AO$5&gt;0,AO$5&lt;100)),
VLOOKUP(FLOOR((Midterm!AO31/AO$5)*100,1),new_transmute,2,FALSE),
VLOOKUP(Midterm!AO31,new_transmute,2,FALSE)
),
IF(Info!$B$4="Board program",
IF(OR(AND(AO$5&gt;0,AO$5&gt;100),AND(AO$5&gt;0,AO$5&lt;100)),
VLOOKUP(FLOOR((Midterm!AO31/AO$5)*100,1),new_transmute,3,FALSE),
VLOOKUP(Midterm!AO31,new_transmute,3,FALSE)
),
IF(Info!$B$4="Board program (Medicine)",
IF(OR(AND(AO$5&gt;0,AO$5&gt;100),AND(AO$5&gt;0,AO$5&lt;100)),
VLOOKUP(FLOOR((Midterm!AO31/AO$5)*100,1),new_transmute,4,FALSE),
VLOOKUP(Midterm!AO31,new_transmute,4,FALSE)
),
""
)
)
)
)
)
)
)
)
))</f>
        <v/>
      </c>
      <c r="AP31" s="14" t="str">
        <f>IF($B31="","",
IF(AP$5="","",
IF(Midterm!AP31="",0,
IF(NOT(ISNUMBER(Midterm!AP31)),"NAN",
IF(Midterm!AP31&lt;0,"NEG",
IF(Midterm!AP31&gt;AP$5,"OVER",
IF(AND(AP$5&lt;=100,Midterm!AP31&gt;100),"ERR",
IF(Info!$B$4="Non-board program",
IF(OR(AND(AP$5&gt;0,AP$5&gt;100),AND(AP$5&gt;0,AP$5&lt;100)),
VLOOKUP(FLOOR((Midterm!AP31/AP$5)*100,1),new_transmute,2,FALSE),
VLOOKUP(Midterm!AP31,new_transmute,2,FALSE)
),
IF(Info!$B$4="Board program",
IF(OR(AND(AP$5&gt;0,AP$5&gt;100),AND(AP$5&gt;0,AP$5&lt;100)),
VLOOKUP(FLOOR((Midterm!AP31/AP$5)*100,1),new_transmute,3,FALSE),
VLOOKUP(Midterm!AP31,new_transmute,3,FALSE)
),
IF(Info!$B$4="Board program (Medicine)",
IF(OR(AND(AP$5&gt;0,AP$5&gt;100),AND(AP$5&gt;0,AP$5&lt;100)),
VLOOKUP(FLOOR((Midterm!AP31/AP$5)*100,1),new_transmute,4,FALSE),
VLOOKUP(Midterm!AP31,new_transmute,4,FALSE)
),
""
)
)
)
)
)
)
)
)
))</f>
        <v/>
      </c>
      <c r="AQ31" s="61" t="str">
        <f t="shared" si="7"/>
        <v/>
      </c>
      <c r="AR31" s="48" t="str">
        <f>IF(Midterm!AR31="","",Midterm!AR31)</f>
        <v/>
      </c>
      <c r="AS31" s="165" t="str">
        <f t="shared" si="8"/>
        <v/>
      </c>
      <c r="AT31" s="14" t="str">
        <f t="shared" si="0"/>
        <v/>
      </c>
      <c r="AU31" s="14" t="str">
        <f>IF(B31="","",VLOOKUP(AT31,'New Grade Equivalent'!$B$3:$C$47,2,FALSE))</f>
        <v/>
      </c>
    </row>
    <row r="32" spans="1:47" x14ac:dyDescent="0.25">
      <c r="A32" s="8">
        <v>27</v>
      </c>
      <c r="B32" s="2" t="str">
        <f>IF('Student List'!C36="","",UPPER(LEFT('Student List'!C36,FIND(",",'Student List'!C36)-1)))</f>
        <v/>
      </c>
      <c r="C32" s="12" t="str">
        <f>IF('Student List'!C36="","",PROPER(MID('Student List'!C36, FIND(",", 'Student List'!C36) + 2, LEN('Student List'!C36) - FIND(",", 'Student List'!C36) - 1)))</f>
        <v/>
      </c>
      <c r="D32" s="127" t="str">
        <f>IF(B32="","",IF(Midterm!D32="", "NA", Midterm!D32))</f>
        <v/>
      </c>
      <c r="E32" s="8" t="str">
        <f>IF(B32="","",
  IF(Info!$B$5="First Year",
    IF(D32="Yes", "DRP",
      IF(D32="No", "WF", "")
    )
  )
)</f>
        <v/>
      </c>
      <c r="F32" s="14" t="str">
        <f>IF($B32="","",
IF(F$5="","",
IF(Midterm!F32="",0,
IF(NOT(ISNUMBER(Midterm!F32)),"NAN",
IF(Midterm!F32&lt;0,"NEG",
IF(Midterm!F32&gt;F$5,"OVER",
IF(AND(F$5&lt;=100,Midterm!F32&gt;100),"ERR",
IF(Info!$B$4="Non-board program",
IF(OR(AND(F$5&gt;0,F$5&gt;100),AND(F$5&gt;0,F$5&lt;100)),
VLOOKUP(FLOOR((Midterm!F32/F$5)*100,1),new_transmute,2,FALSE),
VLOOKUP(Midterm!F32,new_transmute,2,FALSE)
),
IF(Info!$B$4="Board program",
IF(OR(AND(F$5&gt;0,F$5&gt;100),AND(F$5&gt;0,F$5&lt;100)),
VLOOKUP(FLOOR((Midterm!F32/F$5)*100,1),new_transmute,3,FALSE),
VLOOKUP(Midterm!F32,new_transmute,3,FALSE)
),
IF(Info!$B$4="Board program (Medicine)",
IF(OR(AND(F$5&gt;0,F$5&gt;100),AND(F$5&gt;0,F$5&lt;100)),
VLOOKUP(FLOOR((Midterm!F32/F$5)*100,1),new_transmute,4,FALSE),
VLOOKUP(Midterm!F32,new_transmute,4,FALSE)
),
""
)
)
)
)
)
)
)
)
))</f>
        <v/>
      </c>
      <c r="G32" s="57" t="str">
        <f t="shared" si="1"/>
        <v/>
      </c>
      <c r="H32" s="14" t="str">
        <f>IF($B32="","",
IF(H$5="","",
IF(Midterm!H32="",0,
IF(NOT(ISNUMBER(Midterm!H32)),"NAN",
IF(Midterm!H32&lt;0,"NEG",
IF(Midterm!H32&gt;H$5,"OVER",
IF(AND(H$5&lt;=100,Midterm!H32&gt;100),"ERR",
IF(Info!$B$4="Non-board program",
IF(OR(AND(H$5&gt;0,H$5&gt;100),AND(H$5&gt;0,H$5&lt;100)),
VLOOKUP(FLOOR((Midterm!H32/H$5)*100,1),new_transmute,2,FALSE),
VLOOKUP(Midterm!H32,new_transmute,2,FALSE)
),
IF(Info!$B$4="Board program",
IF(OR(AND(H$5&gt;0,H$5&gt;100),AND(H$5&gt;0,H$5&lt;100)),
VLOOKUP(FLOOR((Midterm!H32/H$5)*100,1),new_transmute,3,FALSE),
VLOOKUP(Midterm!H32,new_transmute,3,FALSE)
),
IF(Info!$B$4="Board program (Medicine)",
IF(OR(AND(H$5&gt;0,H$5&gt;100),AND(H$5&gt;0,H$5&lt;100)),
VLOOKUP(FLOOR((Midterm!H32/H$5)*100,1),new_transmute,4,FALSE),
VLOOKUP(Midterm!H32,new_transmute,4,FALSE)
),
""
)
)
)
)
)
)
)
)
))</f>
        <v/>
      </c>
      <c r="I32" s="14" t="str">
        <f>IF($B32="","",
IF(I$5="","",
IF(Midterm!I32="",0,
IF(NOT(ISNUMBER(Midterm!I32)),"NAN",
IF(Midterm!I32&lt;0,"NEG",
IF(Midterm!I32&gt;I$5,"OVER",
IF(AND(I$5&lt;=100,Midterm!I32&gt;100),"ERR",
IF(Info!$B$4="Non-board program",
IF(OR(AND(I$5&gt;0,I$5&gt;100),AND(I$5&gt;0,I$5&lt;100)),
VLOOKUP(FLOOR((Midterm!I32/I$5)*100,1),new_transmute,2,FALSE),
VLOOKUP(Midterm!I32,new_transmute,2,FALSE)
),
IF(Info!$B$4="Board program",
IF(OR(AND(I$5&gt;0,I$5&gt;100),AND(I$5&gt;0,I$5&lt;100)),
VLOOKUP(FLOOR((Midterm!I32/I$5)*100,1),new_transmute,3,FALSE),
VLOOKUP(Midterm!I32,new_transmute,3,FALSE)
),
IF(Info!$B$4="Board program (Medicine)",
IF(OR(AND(I$5&gt;0,I$5&gt;100),AND(I$5&gt;0,I$5&lt;100)),
VLOOKUP(FLOOR((Midterm!I32/I$5)*100,1),new_transmute,4,FALSE),
VLOOKUP(Midterm!I32,new_transmute,4,FALSE)
),
""
)
)
)
)
)
)
)
)
))</f>
        <v/>
      </c>
      <c r="J32" s="14" t="str">
        <f>IF($B32="","",
IF(J$5="","",
IF(Midterm!J32="",0,
IF(NOT(ISNUMBER(Midterm!J32)),"NAN",
IF(Midterm!J32&lt;0,"NEG",
IF(Midterm!J32&gt;J$5,"OVER",
IF(AND(J$5&lt;=100,Midterm!J32&gt;100),"ERR",
IF(Info!$B$4="Non-board program",
IF(OR(AND(J$5&gt;0,J$5&gt;100),AND(J$5&gt;0,J$5&lt;100)),
VLOOKUP(FLOOR((Midterm!J32/J$5)*100,1),new_transmute,2,FALSE),
VLOOKUP(Midterm!J32,new_transmute,2,FALSE)
),
IF(Info!$B$4="Board program",
IF(OR(AND(J$5&gt;0,J$5&gt;100),AND(J$5&gt;0,J$5&lt;100)),
VLOOKUP(FLOOR((Midterm!J32/J$5)*100,1),new_transmute,3,FALSE),
VLOOKUP(Midterm!J32,new_transmute,3,FALSE)
),
IF(Info!$B$4="Board program (Medicine)",
IF(OR(AND(J$5&gt;0,J$5&gt;100),AND(J$5&gt;0,J$5&lt;100)),
VLOOKUP(FLOOR((Midterm!J32/J$5)*100,1),new_transmute,4,FALSE),
VLOOKUP(Midterm!J32,new_transmute,4,FALSE)
),
""
)
)
)
)
)
)
)
)
))</f>
        <v/>
      </c>
      <c r="K32" s="14" t="str">
        <f>IF($B32="","",
IF(K$5="","",
IF(Midterm!K32="",0,
IF(NOT(ISNUMBER(Midterm!K32)),"NAN",
IF(Midterm!K32&lt;0,"NEG",
IF(Midterm!K32&gt;K$5,"OVER",
IF(AND(K$5&lt;=100,Midterm!K32&gt;100),"ERR",
IF(Info!$B$4="Non-board program",
IF(OR(AND(K$5&gt;0,K$5&gt;100),AND(K$5&gt;0,K$5&lt;100)),
VLOOKUP(FLOOR((Midterm!K32/K$5)*100,1),new_transmute,2,FALSE),
VLOOKUP(Midterm!K32,new_transmute,2,FALSE)
),
IF(Info!$B$4="Board program",
IF(OR(AND(K$5&gt;0,K$5&gt;100),AND(K$5&gt;0,K$5&lt;100)),
VLOOKUP(FLOOR((Midterm!K32/K$5)*100,1),new_transmute,3,FALSE),
VLOOKUP(Midterm!K32,new_transmute,3,FALSE)
),
IF(Info!$B$4="Board program (Medicine)",
IF(OR(AND(K$5&gt;0,K$5&gt;100),AND(K$5&gt;0,K$5&lt;100)),
VLOOKUP(FLOOR((Midterm!K32/K$5)*100,1),new_transmute,4,FALSE),
VLOOKUP(Midterm!K32,new_transmute,4,FALSE)
),
""
)
)
)
)
)
)
)
)
))</f>
        <v/>
      </c>
      <c r="L32" s="14" t="str">
        <f>IF($B32="","",
IF(L$5="","",
IF(Midterm!L32="",0,
IF(NOT(ISNUMBER(Midterm!L32)),"NAN",
IF(Midterm!L32&lt;0,"NEG",
IF(Midterm!L32&gt;L$5,"OVER",
IF(AND(L$5&lt;=100,Midterm!L32&gt;100),"ERR",
IF(Info!$B$4="Non-board program",
IF(OR(AND(L$5&gt;0,L$5&gt;100),AND(L$5&gt;0,L$5&lt;100)),
VLOOKUP(FLOOR((Midterm!L32/L$5)*100,1),new_transmute,2,FALSE),
VLOOKUP(Midterm!L32,new_transmute,2,FALSE)
),
IF(Info!$B$4="Board program",
IF(OR(AND(L$5&gt;0,L$5&gt;100),AND(L$5&gt;0,L$5&lt;100)),
VLOOKUP(FLOOR((Midterm!L32/L$5)*100,1),new_transmute,3,FALSE),
VLOOKUP(Midterm!L32,new_transmute,3,FALSE)
),
IF(Info!$B$4="Board program (Medicine)",
IF(OR(AND(L$5&gt;0,L$5&gt;100),AND(L$5&gt;0,L$5&lt;100)),
VLOOKUP(FLOOR((Midterm!L32/L$5)*100,1),new_transmute,4,FALSE),
VLOOKUP(Midterm!L32,new_transmute,4,FALSE)
),
""
)
)
)
)
)
)
)
)
))</f>
        <v/>
      </c>
      <c r="M32" s="111" t="str">
        <f t="shared" si="2"/>
        <v/>
      </c>
      <c r="N32" s="14" t="str">
        <f>IF($B32="","",
IF(N$5="","",
IF(Midterm!N32="",0,
IF(NOT(ISNUMBER(Midterm!N32)),"NAN",
IF(Midterm!N32&lt;0,"NEG",
IF(Midterm!N32&gt;N$5,"OVER",
IF(AND(N$5&lt;=100,Midterm!N32&gt;100),"ERR",
IF(Info!$B$4="Non-board program",
IF(OR(AND(N$5&gt;0,N$5&gt;100),AND(N$5&gt;0,N$5&lt;100)),
VLOOKUP(FLOOR((Midterm!N32/N$5)*100,1),new_transmute,2,FALSE),
VLOOKUP(Midterm!N32,new_transmute,2,FALSE)
),
IF(Info!$B$4="Board program",
IF(OR(AND(N$5&gt;0,N$5&gt;100),AND(N$5&gt;0,N$5&lt;100)),
VLOOKUP(FLOOR((Midterm!N32/N$5)*100,1),new_transmute,3,FALSE),
VLOOKUP(Midterm!N32,new_transmute,3,FALSE)
),
IF(Info!$B$4="Board program (Medicine)",
IF(OR(AND(N$5&gt;0,N$5&gt;100),AND(N$5&gt;0,N$5&lt;100)),
VLOOKUP(FLOOR((Midterm!N32/N$5)*100,1),new_transmute,4,FALSE),
VLOOKUP(Midterm!N32,new_transmute,4,FALSE)
),
""
)
)
)
)
)
)
)
)
))</f>
        <v/>
      </c>
      <c r="O32" s="14" t="str">
        <f>IF($B32="","",
IF(O$5="","",
IF(Midterm!O32="",0,
IF(NOT(ISNUMBER(Midterm!O32)),"NAN",
IF(Midterm!O32&lt;0,"NEG",
IF(Midterm!O32&gt;O$5,"OVER",
IF(AND(O$5&lt;=100,Midterm!O32&gt;100),"ERR",
IF(Info!$B$4="Non-board program",
IF(OR(AND(O$5&gt;0,O$5&gt;100),AND(O$5&gt;0,O$5&lt;100)),
VLOOKUP(FLOOR((Midterm!O32/O$5)*100,1),new_transmute,2,FALSE),
VLOOKUP(Midterm!O32,new_transmute,2,FALSE)
),
IF(Info!$B$4="Board program",
IF(OR(AND(O$5&gt;0,O$5&gt;100),AND(O$5&gt;0,O$5&lt;100)),
VLOOKUP(FLOOR((Midterm!O32/O$5)*100,1),new_transmute,3,FALSE),
VLOOKUP(Midterm!O32,new_transmute,3,FALSE)
),
IF(Info!$B$4="Board program (Medicine)",
IF(OR(AND(O$5&gt;0,O$5&gt;100),AND(O$5&gt;0,O$5&lt;100)),
VLOOKUP(FLOOR((Midterm!O32/O$5)*100,1),new_transmute,4,FALSE),
VLOOKUP(Midterm!O32,new_transmute,4,FALSE)
),
""
)
)
)
)
)
)
)
)
))</f>
        <v/>
      </c>
      <c r="P32" s="14" t="str">
        <f>IF($B32="","",
IF(P$5="","",
IF(Midterm!P32="",0,
IF(NOT(ISNUMBER(Midterm!P32)),"NAN",
IF(Midterm!P32&lt;0,"NEG",
IF(Midterm!P32&gt;P$5,"OVER",
IF(AND(P$5&lt;=100,Midterm!P32&gt;100),"ERR",
IF(Info!$B$4="Non-board program",
IF(OR(AND(P$5&gt;0,P$5&gt;100),AND(P$5&gt;0,P$5&lt;100)),
VLOOKUP(FLOOR((Midterm!P32/P$5)*100,1),new_transmute,2,FALSE),
VLOOKUP(Midterm!P32,new_transmute,2,FALSE)
),
IF(Info!$B$4="Board program",
IF(OR(AND(P$5&gt;0,P$5&gt;100),AND(P$5&gt;0,P$5&lt;100)),
VLOOKUP(FLOOR((Midterm!P32/P$5)*100,1),new_transmute,3,FALSE),
VLOOKUP(Midterm!P32,new_transmute,3,FALSE)
),
IF(Info!$B$4="Board program (Medicine)",
IF(OR(AND(P$5&gt;0,P$5&gt;100),AND(P$5&gt;0,P$5&lt;100)),
VLOOKUP(FLOOR((Midterm!P32/P$5)*100,1),new_transmute,4,FALSE),
VLOOKUP(Midterm!P32,new_transmute,4,FALSE)
),
""
)
)
)
)
)
)
)
)
))</f>
        <v/>
      </c>
      <c r="Q32" s="14" t="str">
        <f>IF($B32="","",
IF(Q$5="","",
IF(Midterm!Q32="",0,
IF(NOT(ISNUMBER(Midterm!Q32)),"NAN",
IF(Midterm!Q32&lt;0,"NEG",
IF(Midterm!Q32&gt;Q$5,"OVER",
IF(AND(Q$5&lt;=100,Midterm!Q32&gt;100),"ERR",
IF(Info!$B$4="Non-board program",
IF(OR(AND(Q$5&gt;0,Q$5&gt;100),AND(Q$5&gt;0,Q$5&lt;100)),
VLOOKUP(FLOOR((Midterm!Q32/Q$5)*100,1),new_transmute,2,FALSE),
VLOOKUP(Midterm!Q32,new_transmute,2,FALSE)
),
IF(Info!$B$4="Board program",
IF(OR(AND(Q$5&gt;0,Q$5&gt;100),AND(Q$5&gt;0,Q$5&lt;100)),
VLOOKUP(FLOOR((Midterm!Q32/Q$5)*100,1),new_transmute,3,FALSE),
VLOOKUP(Midterm!Q32,new_transmute,3,FALSE)
),
IF(Info!$B$4="Board program (Medicine)",
IF(OR(AND(Q$5&gt;0,Q$5&gt;100),AND(Q$5&gt;0,Q$5&lt;100)),
VLOOKUP(FLOOR((Midterm!Q32/Q$5)*100,1),new_transmute,4,FALSE),
VLOOKUP(Midterm!Q32,new_transmute,4,FALSE)
),
""
)
)
)
)
)
)
)
)
))</f>
        <v/>
      </c>
      <c r="R32" s="14" t="str">
        <f>IF($B32="","",
IF(R$5="","",
IF(Midterm!R32="",0,
IF(NOT(ISNUMBER(Midterm!R32)),"NAN",
IF(Midterm!R32&lt;0,"NEG",
IF(Midterm!R32&gt;R$5,"OVER",
IF(AND(R$5&lt;=100,Midterm!R32&gt;100),"ERR",
IF(Info!$B$4="Non-board program",
IF(OR(AND(R$5&gt;0,R$5&gt;100),AND(R$5&gt;0,R$5&lt;100)),
VLOOKUP(FLOOR((Midterm!R32/R$5)*100,1),new_transmute,2,FALSE),
VLOOKUP(Midterm!R32,new_transmute,2,FALSE)
),
IF(Info!$B$4="Board program",
IF(OR(AND(R$5&gt;0,R$5&gt;100),AND(R$5&gt;0,R$5&lt;100)),
VLOOKUP(FLOOR((Midterm!R32/R$5)*100,1),new_transmute,3,FALSE),
VLOOKUP(Midterm!R32,new_transmute,3,FALSE)
),
IF(Info!$B$4="Board program (Medicine)",
IF(OR(AND(R$5&gt;0,R$5&gt;100),AND(R$5&gt;0,R$5&lt;100)),
VLOOKUP(FLOOR((Midterm!R32/R$5)*100,1),new_transmute,4,FALSE),
VLOOKUP(Midterm!R32,new_transmute,4,FALSE)
),
""
)
)
)
)
)
)
)
)
))</f>
        <v/>
      </c>
      <c r="S32" s="115" t="str">
        <f t="shared" si="3"/>
        <v/>
      </c>
      <c r="T32" s="14" t="str">
        <f>IF($B32="","",
IF(T$5="","",
IF(Midterm!T32="",0,
IF(NOT(ISNUMBER(Midterm!T32)),"NAN",
IF(Midterm!T32&lt;0,"NEG",
IF(Midterm!T32&gt;T$5,"OVER",
IF(AND(T$5&lt;=100,Midterm!T32&gt;100),"ERR",
IF(Info!$B$4="Non-board program",
IF(OR(AND(T$5&gt;0,T$5&gt;100),AND(T$5&gt;0,T$5&lt;100)),
VLOOKUP(FLOOR((Midterm!T32/T$5)*100,1),new_transmute,2,FALSE),
VLOOKUP(Midterm!T32,new_transmute,2,FALSE)
),
IF(Info!$B$4="Board program",
IF(OR(AND(T$5&gt;0,T$5&gt;100),AND(T$5&gt;0,T$5&lt;100)),
VLOOKUP(FLOOR((Midterm!T32/T$5)*100,1),new_transmute,3,FALSE),
VLOOKUP(Midterm!T32,new_transmute,3,FALSE)
),
IF(Info!$B$4="Board program (Medicine)",
IF(OR(AND(T$5&gt;0,T$5&gt;100),AND(T$5&gt;0,T$5&lt;100)),
VLOOKUP(FLOOR((Midterm!T32/T$5)*100,1),new_transmute,4,FALSE),
VLOOKUP(Midterm!T32,new_transmute,4,FALSE)
),
""
)
)
)
)
)
)
)
)
))</f>
        <v/>
      </c>
      <c r="U32" s="14" t="str">
        <f>IF($B32="","",
IF(U$5="","",
IF(Midterm!U32="",0,
IF(NOT(ISNUMBER(Midterm!U32)),"NAN",
IF(Midterm!U32&lt;0,"NEG",
IF(Midterm!U32&gt;U$5,"OVER",
IF(AND(U$5&lt;=100,Midterm!U32&gt;100),"ERR",
IF(Info!$B$4="Non-board program",
IF(OR(AND(U$5&gt;0,U$5&gt;100),AND(U$5&gt;0,U$5&lt;100)),
VLOOKUP(FLOOR((Midterm!U32/U$5)*100,1),new_transmute,2,FALSE),
VLOOKUP(Midterm!U32,new_transmute,2,FALSE)
),
IF(Info!$B$4="Board program",
IF(OR(AND(U$5&gt;0,U$5&gt;100),AND(U$5&gt;0,U$5&lt;100)),
VLOOKUP(FLOOR((Midterm!U32/U$5)*100,1),new_transmute,3,FALSE),
VLOOKUP(Midterm!U32,new_transmute,3,FALSE)
),
IF(Info!$B$4="Board program (Medicine)",
IF(OR(AND(U$5&gt;0,U$5&gt;100),AND(U$5&gt;0,U$5&lt;100)),
VLOOKUP(FLOOR((Midterm!U32/U$5)*100,1),new_transmute,4,FALSE),
VLOOKUP(Midterm!U32,new_transmute,4,FALSE)
),
""
)
)
)
)
)
)
)
)
))</f>
        <v/>
      </c>
      <c r="V32" s="14" t="str">
        <f>IF($B32="","",
IF(V$5="","",
IF(Midterm!V32="",0,
IF(NOT(ISNUMBER(Midterm!V32)),"NAN",
IF(Midterm!V32&lt;0,"NEG",
IF(Midterm!V32&gt;V$5,"OVER",
IF(AND(V$5&lt;=100,Midterm!V32&gt;100),"ERR",
IF(Info!$B$4="Non-board program",
IF(OR(AND(V$5&gt;0,V$5&gt;100),AND(V$5&gt;0,V$5&lt;100)),
VLOOKUP(FLOOR((Midterm!V32/V$5)*100,1),new_transmute,2,FALSE),
VLOOKUP(Midterm!V32,new_transmute,2,FALSE)
),
IF(Info!$B$4="Board program",
IF(OR(AND(V$5&gt;0,V$5&gt;100),AND(V$5&gt;0,V$5&lt;100)),
VLOOKUP(FLOOR((Midterm!V32/V$5)*100,1),new_transmute,3,FALSE),
VLOOKUP(Midterm!V32,new_transmute,3,FALSE)
),
IF(Info!$B$4="Board program (Medicine)",
IF(OR(AND(V$5&gt;0,V$5&gt;100),AND(V$5&gt;0,V$5&lt;100)),
VLOOKUP(FLOOR((Midterm!V32/V$5)*100,1),new_transmute,4,FALSE),
VLOOKUP(Midterm!V32,new_transmute,4,FALSE)
),
""
)
)
)
)
)
)
)
)
))</f>
        <v/>
      </c>
      <c r="W32" s="14" t="str">
        <f>IF($B32="","",
IF(W$5="","",
IF(Midterm!W32="",0,
IF(NOT(ISNUMBER(Midterm!W32)),"NAN",
IF(Midterm!W32&lt;0,"NEG",
IF(Midterm!W32&gt;W$5,"OVER",
IF(AND(W$5&lt;=100,Midterm!W32&gt;100),"ERR",
IF(Info!$B$4="Non-board program",
IF(OR(AND(W$5&gt;0,W$5&gt;100),AND(W$5&gt;0,W$5&lt;100)),
VLOOKUP(FLOOR((Midterm!W32/W$5)*100,1),new_transmute,2,FALSE),
VLOOKUP(Midterm!W32,new_transmute,2,FALSE)
),
IF(Info!$B$4="Board program",
IF(OR(AND(W$5&gt;0,W$5&gt;100),AND(W$5&gt;0,W$5&lt;100)),
VLOOKUP(FLOOR((Midterm!W32/W$5)*100,1),new_transmute,3,FALSE),
VLOOKUP(Midterm!W32,new_transmute,3,FALSE)
),
IF(Info!$B$4="Board program (Medicine)",
IF(OR(AND(W$5&gt;0,W$5&gt;100),AND(W$5&gt;0,W$5&lt;100)),
VLOOKUP(FLOOR((Midterm!W32/W$5)*100,1),new_transmute,4,FALSE),
VLOOKUP(Midterm!W32,new_transmute,4,FALSE)
),
""
)
)
)
)
)
)
)
)
))</f>
        <v/>
      </c>
      <c r="X32" s="14" t="str">
        <f>IF($B32="","",
IF(X$5="","",
IF(Midterm!X32="",0,
IF(NOT(ISNUMBER(Midterm!X32)),"NAN",
IF(Midterm!X32&lt;0,"NEG",
IF(Midterm!X32&gt;X$5,"OVER",
IF(AND(X$5&lt;=100,Midterm!X32&gt;100),"ERR",
IF(Info!$B$4="Non-board program",
IF(OR(AND(X$5&gt;0,X$5&gt;100),AND(X$5&gt;0,X$5&lt;100)),
VLOOKUP(FLOOR((Midterm!X32/X$5)*100,1),new_transmute,2,FALSE),
VLOOKUP(Midterm!X32,new_transmute,2,FALSE)
),
IF(Info!$B$4="Board program",
IF(OR(AND(X$5&gt;0,X$5&gt;100),AND(X$5&gt;0,X$5&lt;100)),
VLOOKUP(FLOOR((Midterm!X32/X$5)*100,1),new_transmute,3,FALSE),
VLOOKUP(Midterm!X32,new_transmute,3,FALSE)
),
IF(Info!$B$4="Board program (Medicine)",
IF(OR(AND(X$5&gt;0,X$5&gt;100),AND(X$5&gt;0,X$5&lt;100)),
VLOOKUP(FLOOR((Midterm!X32/X$5)*100,1),new_transmute,4,FALSE),
VLOOKUP(Midterm!X32,new_transmute,4,FALSE)
),
""
)
)
)
)
)
)
)
)
))</f>
        <v/>
      </c>
      <c r="Y32" s="112" t="str">
        <f t="shared" si="4"/>
        <v/>
      </c>
      <c r="Z32" s="14" t="str">
        <f>IF($B32="","",
IF(Z$5="","",
IF(Midterm!Z32="",0,
IF(NOT(ISNUMBER(Midterm!Z32)),"NAN",
IF(Midterm!Z32&lt;0,"NEG",
IF(Midterm!Z32&gt;Z$5,"OVER",
IF(AND(Z$5&lt;=100,Midterm!Z32&gt;100),"ERR",
IF(Info!$B$4="Non-board program",
IF(OR(AND(Z$5&gt;0,Z$5&gt;100),AND(Z$5&gt;0,Z$5&lt;100)),
VLOOKUP(FLOOR((Midterm!Z32/Z$5)*100,1),new_transmute,2,FALSE),
VLOOKUP(Midterm!Z32,new_transmute,2,FALSE)
),
IF(Info!$B$4="Board program",
IF(OR(AND(Z$5&gt;0,Z$5&gt;100),AND(Z$5&gt;0,Z$5&lt;100)),
VLOOKUP(FLOOR((Midterm!Z32/Z$5)*100,1),new_transmute,3,FALSE),
VLOOKUP(Midterm!Z32,new_transmute,3,FALSE)
),
IF(Info!$B$4="Board program (Medicine)",
IF(OR(AND(Z$5&gt;0,Z$5&gt;100),AND(Z$5&gt;0,Z$5&lt;100)),
VLOOKUP(FLOOR((Midterm!Z32/Z$5)*100,1),new_transmute,4,FALSE),
VLOOKUP(Midterm!Z32,new_transmute,4,FALSE)
),
""
)
)
)
)
)
)
)
)
))</f>
        <v/>
      </c>
      <c r="AA32" s="14" t="str">
        <f>IF($B32="","",
IF(AA$5="","",
IF(Midterm!AA32="",0,
IF(NOT(ISNUMBER(Midterm!AA32)),"NAN",
IF(Midterm!AA32&lt;0,"NEG",
IF(Midterm!AA32&gt;AA$5,"OVER",
IF(AND(AA$5&lt;=100,Midterm!AA32&gt;100),"ERR",
IF(Info!$B$4="Non-board program",
IF(OR(AND(AA$5&gt;0,AA$5&gt;100),AND(AA$5&gt;0,AA$5&lt;100)),
VLOOKUP(FLOOR((Midterm!AA32/AA$5)*100,1),new_transmute,2,FALSE),
VLOOKUP(Midterm!AA32,new_transmute,2,FALSE)
),
IF(Info!$B$4="Board program",
IF(OR(AND(AA$5&gt;0,AA$5&gt;100),AND(AA$5&gt;0,AA$5&lt;100)),
VLOOKUP(FLOOR((Midterm!AA32/AA$5)*100,1),new_transmute,3,FALSE),
VLOOKUP(Midterm!AA32,new_transmute,3,FALSE)
),
IF(Info!$B$4="Board program (Medicine)",
IF(OR(AND(AA$5&gt;0,AA$5&gt;100),AND(AA$5&gt;0,AA$5&lt;100)),
VLOOKUP(FLOOR((Midterm!AA32/AA$5)*100,1),new_transmute,4,FALSE),
VLOOKUP(Midterm!AA32,new_transmute,4,FALSE)
),
""
)
)
)
)
)
)
)
)
))</f>
        <v/>
      </c>
      <c r="AB32" s="14" t="str">
        <f>IF($B32="","",
IF(AB$5="","",
IF(Midterm!AB32="",0,
IF(NOT(ISNUMBER(Midterm!AB32)),"NAN",
IF(Midterm!AB32&lt;0,"NEG",
IF(Midterm!AB32&gt;AB$5,"OVER",
IF(AND(AB$5&lt;=100,Midterm!AB32&gt;100),"ERR",
IF(Info!$B$4="Non-board program",
IF(OR(AND(AB$5&gt;0,AB$5&gt;100),AND(AB$5&gt;0,AB$5&lt;100)),
VLOOKUP(FLOOR((Midterm!AB32/AB$5)*100,1),new_transmute,2,FALSE),
VLOOKUP(Midterm!AB32,new_transmute,2,FALSE)
),
IF(Info!$B$4="Board program",
IF(OR(AND(AB$5&gt;0,AB$5&gt;100),AND(AB$5&gt;0,AB$5&lt;100)),
VLOOKUP(FLOOR((Midterm!AB32/AB$5)*100,1),new_transmute,3,FALSE),
VLOOKUP(Midterm!AB32,new_transmute,3,FALSE)
),
IF(Info!$B$4="Board program (Medicine)",
IF(OR(AND(AB$5&gt;0,AB$5&gt;100),AND(AB$5&gt;0,AB$5&lt;100)),
VLOOKUP(FLOOR((Midterm!AB32/AB$5)*100,1),new_transmute,4,FALSE),
VLOOKUP(Midterm!AB32,new_transmute,4,FALSE)
),
""
)
)
)
)
)
)
)
)
))</f>
        <v/>
      </c>
      <c r="AC32" s="14" t="str">
        <f>IF($B32="","",
IF(AC$5="","",
IF(Midterm!AC32="",0,
IF(NOT(ISNUMBER(Midterm!AC32)),"NAN",
IF(Midterm!AC32&lt;0,"NEG",
IF(Midterm!AC32&gt;AC$5,"OVER",
IF(AND(AC$5&lt;=100,Midterm!AC32&gt;100),"ERR",
IF(Info!$B$4="Non-board program",
IF(OR(AND(AC$5&gt;0,AC$5&gt;100),AND(AC$5&gt;0,AC$5&lt;100)),
VLOOKUP(FLOOR((Midterm!AC32/AC$5)*100,1),new_transmute,2,FALSE),
VLOOKUP(Midterm!AC32,new_transmute,2,FALSE)
),
IF(Info!$B$4="Board program",
IF(OR(AND(AC$5&gt;0,AC$5&gt;100),AND(AC$5&gt;0,AC$5&lt;100)),
VLOOKUP(FLOOR((Midterm!AC32/AC$5)*100,1),new_transmute,3,FALSE),
VLOOKUP(Midterm!AC32,new_transmute,3,FALSE)
),
IF(Info!$B$4="Board program (Medicine)",
IF(OR(AND(AC$5&gt;0,AC$5&gt;100),AND(AC$5&gt;0,AC$5&lt;100)),
VLOOKUP(FLOOR((Midterm!AC32/AC$5)*100,1),new_transmute,4,FALSE),
VLOOKUP(Midterm!AC32,new_transmute,4,FALSE)
),
""
)
)
)
)
)
)
)
)
))</f>
        <v/>
      </c>
      <c r="AD32" s="14" t="str">
        <f>IF($B32="","",
IF(AD$5="","",
IF(Midterm!AD32="",0,
IF(NOT(ISNUMBER(Midterm!AD32)),"NAN",
IF(Midterm!AD32&lt;0,"NEG",
IF(Midterm!AD32&gt;AD$5,"OVER",
IF(AND(AD$5&lt;=100,Midterm!AD32&gt;100),"ERR",
IF(Info!$B$4="Non-board program",
IF(OR(AND(AD$5&gt;0,AD$5&gt;100),AND(AD$5&gt;0,AD$5&lt;100)),
VLOOKUP(FLOOR((Midterm!AD32/AD$5)*100,1),new_transmute,2,FALSE),
VLOOKUP(Midterm!AD32,new_transmute,2,FALSE)
),
IF(Info!$B$4="Board program",
IF(OR(AND(AD$5&gt;0,AD$5&gt;100),AND(AD$5&gt;0,AD$5&lt;100)),
VLOOKUP(FLOOR((Midterm!AD32/AD$5)*100,1),new_transmute,3,FALSE),
VLOOKUP(Midterm!AD32,new_transmute,3,FALSE)
),
IF(Info!$B$4="Board program (Medicine)",
IF(OR(AND(AD$5&gt;0,AD$5&gt;100),AND(AD$5&gt;0,AD$5&lt;100)),
VLOOKUP(FLOOR((Midterm!AD32/AD$5)*100,1),new_transmute,4,FALSE),
VLOOKUP(Midterm!AD32,new_transmute,4,FALSE)
),
""
)
)
)
)
)
)
)
)
))</f>
        <v/>
      </c>
      <c r="AE32" s="58" t="str">
        <f t="shared" si="5"/>
        <v/>
      </c>
      <c r="AF32" s="14" t="str">
        <f>IF($B32="","",
IF(AF$5="","",
IF(Midterm!AF32="",0,
IF(NOT(ISNUMBER(Midterm!AF32)),"NAN",
IF(Midterm!AF32&lt;0,"NEG",
IF(Midterm!AF32&gt;AF$5,"OVER",
IF(AND(AF$5&lt;=100,Midterm!AF32&gt;100),"ERR",
IF(Info!$B$4="Non-board program",
IF(OR(AND(AF$5&gt;0,AF$5&gt;100),AND(AF$5&gt;0,AF$5&lt;100)),
VLOOKUP(FLOOR((Midterm!AF32/AF$5)*100,1),new_transmute,2,FALSE),
VLOOKUP(Midterm!AF32,new_transmute,2,FALSE)
),
IF(Info!$B$4="Board program",
IF(OR(AND(AF$5&gt;0,AF$5&gt;100),AND(AF$5&gt;0,AF$5&lt;100)),
VLOOKUP(FLOOR((Midterm!AF32/AF$5)*100,1),new_transmute,3,FALSE),
VLOOKUP(Midterm!AF32,new_transmute,3,FALSE)
),
IF(Info!$B$4="Board program (Medicine)",
IF(OR(AND(AF$5&gt;0,AF$5&gt;100),AND(AF$5&gt;0,AF$5&lt;100)),
VLOOKUP(FLOOR((Midterm!AF32/AF$5)*100,1),new_transmute,4,FALSE),
VLOOKUP(Midterm!AF32,new_transmute,4,FALSE)
),
""
)
)
)
)
)
)
)
)
))</f>
        <v/>
      </c>
      <c r="AG32" s="14" t="str">
        <f>IF($B32="","",
IF(AG$5="","",
IF(Midterm!AG32="",0,
IF(NOT(ISNUMBER(Midterm!AG32)),"NAN",
IF(Midterm!AG32&lt;0,"NEG",
IF(Midterm!AG32&gt;AG$5,"OVER",
IF(AND(AG$5&lt;=100,Midterm!AG32&gt;100),"ERR",
IF(Info!$B$4="Non-board program",
IF(OR(AND(AG$5&gt;0,AG$5&gt;100),AND(AG$5&gt;0,AG$5&lt;100)),
VLOOKUP(FLOOR((Midterm!AG32/AG$5)*100,1),new_transmute,2,FALSE),
VLOOKUP(Midterm!AG32,new_transmute,2,FALSE)
),
IF(Info!$B$4="Board program",
IF(OR(AND(AG$5&gt;0,AG$5&gt;100),AND(AG$5&gt;0,AG$5&lt;100)),
VLOOKUP(FLOOR((Midterm!AG32/AG$5)*100,1),new_transmute,3,FALSE),
VLOOKUP(Midterm!AG32,new_transmute,3,FALSE)
),
IF(Info!$B$4="Board program (Medicine)",
IF(OR(AND(AG$5&gt;0,AG$5&gt;100),AND(AG$5&gt;0,AG$5&lt;100)),
VLOOKUP(FLOOR((Midterm!AG32/AG$5)*100,1),new_transmute,4,FALSE),
VLOOKUP(Midterm!AG32,new_transmute,4,FALSE)
),
""
)
)
)
)
)
)
)
)
))</f>
        <v/>
      </c>
      <c r="AH32" s="14" t="str">
        <f>IF($B32="","",
IF(AH$5="","",
IF(Midterm!AH32="",0,
IF(NOT(ISNUMBER(Midterm!AH32)),"NAN",
IF(Midterm!AH32&lt;0,"NEG",
IF(Midterm!AH32&gt;AH$5,"OVER",
IF(AND(AH$5&lt;=100,Midterm!AH32&gt;100),"ERR",
IF(Info!$B$4="Non-board program",
IF(OR(AND(AH$5&gt;0,AH$5&gt;100),AND(AH$5&gt;0,AH$5&lt;100)),
VLOOKUP(FLOOR((Midterm!AH32/AH$5)*100,1),new_transmute,2,FALSE),
VLOOKUP(Midterm!AH32,new_transmute,2,FALSE)
),
IF(Info!$B$4="Board program",
IF(OR(AND(AH$5&gt;0,AH$5&gt;100),AND(AH$5&gt;0,AH$5&lt;100)),
VLOOKUP(FLOOR((Midterm!AH32/AH$5)*100,1),new_transmute,3,FALSE),
VLOOKUP(Midterm!AH32,new_transmute,3,FALSE)
),
IF(Info!$B$4="Board program (Medicine)",
IF(OR(AND(AH$5&gt;0,AH$5&gt;100),AND(AH$5&gt;0,AH$5&lt;100)),
VLOOKUP(FLOOR((Midterm!AH32/AH$5)*100,1),new_transmute,4,FALSE),
VLOOKUP(Midterm!AH32,new_transmute,4,FALSE)
),
""
)
)
)
)
)
)
)
)
))</f>
        <v/>
      </c>
      <c r="AI32" s="14" t="str">
        <f>IF($B32="","",
IF(AI$5="","",
IF(Midterm!AI32="",0,
IF(NOT(ISNUMBER(Midterm!AI32)),"NAN",
IF(Midterm!AI32&lt;0,"NEG",
IF(Midterm!AI32&gt;AI$5,"OVER",
IF(AND(AI$5&lt;=100,Midterm!AI32&gt;100),"ERR",
IF(Info!$B$4="Non-board program",
IF(OR(AND(AI$5&gt;0,AI$5&gt;100),AND(AI$5&gt;0,AI$5&lt;100)),
VLOOKUP(FLOOR((Midterm!AI32/AI$5)*100,1),new_transmute,2,FALSE),
VLOOKUP(Midterm!AI32,new_transmute,2,FALSE)
),
IF(Info!$B$4="Board program",
IF(OR(AND(AI$5&gt;0,AI$5&gt;100),AND(AI$5&gt;0,AI$5&lt;100)),
VLOOKUP(FLOOR((Midterm!AI32/AI$5)*100,1),new_transmute,3,FALSE),
VLOOKUP(Midterm!AI32,new_transmute,3,FALSE)
),
IF(Info!$B$4="Board program (Medicine)",
IF(OR(AND(AI$5&gt;0,AI$5&gt;100),AND(AI$5&gt;0,AI$5&lt;100)),
VLOOKUP(FLOOR((Midterm!AI32/AI$5)*100,1),new_transmute,4,FALSE),
VLOOKUP(Midterm!AI32,new_transmute,4,FALSE)
),
""
)
)
)
)
)
)
)
)
))</f>
        <v/>
      </c>
      <c r="AJ32" s="14" t="str">
        <f>IF($B32="","",
IF(AJ$5="","",
IF(Midterm!AJ32="",0,
IF(NOT(ISNUMBER(Midterm!AJ32)),"NAN",
IF(Midterm!AJ32&lt;0,"NEG",
IF(Midterm!AJ32&gt;AJ$5,"OVER",
IF(AND(AJ$5&lt;=100,Midterm!AJ32&gt;100),"ERR",
IF(Info!$B$4="Non-board program",
IF(OR(AND(AJ$5&gt;0,AJ$5&gt;100),AND(AJ$5&gt;0,AJ$5&lt;100)),
VLOOKUP(FLOOR((Midterm!AJ32/AJ$5)*100,1),new_transmute,2,FALSE),
VLOOKUP(Midterm!AJ32,new_transmute,2,FALSE)
),
IF(Info!$B$4="Board program",
IF(OR(AND(AJ$5&gt;0,AJ$5&gt;100),AND(AJ$5&gt;0,AJ$5&lt;100)),
VLOOKUP(FLOOR((Midterm!AJ32/AJ$5)*100,1),new_transmute,3,FALSE),
VLOOKUP(Midterm!AJ32,new_transmute,3,FALSE)
),
IF(Info!$B$4="Board program (Medicine)",
IF(OR(AND(AJ$5&gt;0,AJ$5&gt;100),AND(AJ$5&gt;0,AJ$5&lt;100)),
VLOOKUP(FLOOR((Midterm!AJ32/AJ$5)*100,1),new_transmute,4,FALSE),
VLOOKUP(Midterm!AJ32,new_transmute,4,FALSE)
),
""
)
)
)
)
)
)
)
)
))</f>
        <v/>
      </c>
      <c r="AK32" s="59" t="str">
        <f t="shared" si="6"/>
        <v/>
      </c>
      <c r="AL32" s="60" t="str">
        <f>IF(B32="", "",
    IF(OR(M32="OVER", S32="OVER", Y32="OVER", AE32="OVER", AK32="OVER"),
        "OVER",
        IF(Info!$B$4="Non-board program",
            VLOOKUP(IFERROR(FLOOR(SUM((M32*$M$4), (S32*$S$4), (Y32*$Y$4), (AE32*$AE$4), (AK32*$AK$4)) * (100 / 60), 1), 0), new_transmute, 2, FALSE),
            IF(Info!$B$4="Board program",
                VLOOKUP(IFERROR(FLOOR(SUM((M32*$M$4), (S32*$S$4), (Y32*$Y$4), (AE32*$AE$4), (AK32*$AK$4)) * (100 / 60), 1), 0), new_transmute, 3, FALSE),
                IF(Info!$B$4="Board program (Medicine)",
                    VLOOKUP(IFERROR(FLOOR(SUM((M32*$M$4), (S32*$S$4), (Y32*$Y$4), (AE32*$AE$4), (AK32*$AK$4)) * (100 / 60), 1), 0), new_transmute, 4, FALSE),
                    ""
                )
            )
        )
    )
)</f>
        <v/>
      </c>
      <c r="AM32" s="14" t="str">
        <f>IF($B32="","",
IF(AM$5="","",
IF(Midterm!AM32="",0,
IF(NOT(ISNUMBER(Midterm!AM32)),"NAN",
IF(Midterm!AM32&lt;0,"NEG",
IF(Midterm!AM32&gt;AM$5,"OVER",
IF(AND(AM$5&lt;=100,Midterm!AM32&gt;100),"ERR",
IF(Info!$B$4="Non-board program",
IF(OR(AND(AM$5&gt;0,AM$5&gt;100),AND(AM$5&gt;0,AM$5&lt;100)),
VLOOKUP(FLOOR((Midterm!AM32/AM$5)*100,1),new_transmute,2,FALSE),
VLOOKUP(Midterm!AM32,new_transmute,2,FALSE)
),
IF(Info!$B$4="Board program",
IF(OR(AND(AM$5&gt;0,AM$5&gt;100),AND(AM$5&gt;0,AM$5&lt;100)),
VLOOKUP(FLOOR((Midterm!AM32/AM$5)*100,1),new_transmute,3,FALSE),
VLOOKUP(Midterm!AM32,new_transmute,3,FALSE)
),
IF(Info!$B$4="Board program (Medicine)",
IF(OR(AND(AM$5&gt;0,AM$5&gt;100),AND(AM$5&gt;0,AM$5&lt;100)),
VLOOKUP(FLOOR((Midterm!AM32/AM$5)*100,1),new_transmute,4,FALSE),
VLOOKUP(Midterm!AM32,new_transmute,4,FALSE)
),
""
)
)
)
)
)
)
)
)
))</f>
        <v/>
      </c>
      <c r="AN32" s="14" t="str">
        <f>IF($B32="","",
IF(AN$5="","",
IF(Midterm!AN32="",0,
IF(NOT(ISNUMBER(Midterm!AN32)),"NAN",
IF(Midterm!AN32&lt;0,"NEG",
IF(Midterm!AN32&gt;AN$5,"OVER",
IF(AND(AN$5&lt;=100,Midterm!AN32&gt;100),"ERR",
IF(Info!$B$4="Non-board program",
IF(OR(AND(AN$5&gt;0,AN$5&gt;100),AND(AN$5&gt;0,AN$5&lt;100)),
VLOOKUP(FLOOR((Midterm!AN32/AN$5)*100,1),new_transmute,2,FALSE),
VLOOKUP(Midterm!AN32,new_transmute,2,FALSE)
),
IF(Info!$B$4="Board program",
IF(OR(AND(AN$5&gt;0,AN$5&gt;100),AND(AN$5&gt;0,AN$5&lt;100)),
VLOOKUP(FLOOR((Midterm!AN32/AN$5)*100,1),new_transmute,3,FALSE),
VLOOKUP(Midterm!AN32,new_transmute,3,FALSE)
),
IF(Info!$B$4="Board program (Medicine)",
IF(OR(AND(AN$5&gt;0,AN$5&gt;100),AND(AN$5&gt;0,AN$5&lt;100)),
VLOOKUP(FLOOR((Midterm!AN32/AN$5)*100,1),new_transmute,4,FALSE),
VLOOKUP(Midterm!AN32,new_transmute,4,FALSE)
),
""
)
)
)
)
)
)
)
)
))</f>
        <v/>
      </c>
      <c r="AO32" s="14" t="str">
        <f>IF($B32="","",
IF(AO$5="","",
IF(Midterm!AO32="",0,
IF(NOT(ISNUMBER(Midterm!AO32)),"NAN",
IF(Midterm!AO32&lt;0,"NEG",
IF(Midterm!AO32&gt;AO$5,"OVER",
IF(AND(AO$5&lt;=100,Midterm!AO32&gt;100),"ERR",
IF(Info!$B$4="Non-board program",
IF(OR(AND(AO$5&gt;0,AO$5&gt;100),AND(AO$5&gt;0,AO$5&lt;100)),
VLOOKUP(FLOOR((Midterm!AO32/AO$5)*100,1),new_transmute,2,FALSE),
VLOOKUP(Midterm!AO32,new_transmute,2,FALSE)
),
IF(Info!$B$4="Board program",
IF(OR(AND(AO$5&gt;0,AO$5&gt;100),AND(AO$5&gt;0,AO$5&lt;100)),
VLOOKUP(FLOOR((Midterm!AO32/AO$5)*100,1),new_transmute,3,FALSE),
VLOOKUP(Midterm!AO32,new_transmute,3,FALSE)
),
IF(Info!$B$4="Board program (Medicine)",
IF(OR(AND(AO$5&gt;0,AO$5&gt;100),AND(AO$5&gt;0,AO$5&lt;100)),
VLOOKUP(FLOOR((Midterm!AO32/AO$5)*100,1),new_transmute,4,FALSE),
VLOOKUP(Midterm!AO32,new_transmute,4,FALSE)
),
""
)
)
)
)
)
)
)
)
))</f>
        <v/>
      </c>
      <c r="AP32" s="14" t="str">
        <f>IF($B32="","",
IF(AP$5="","",
IF(Midterm!AP32="",0,
IF(NOT(ISNUMBER(Midterm!AP32)),"NAN",
IF(Midterm!AP32&lt;0,"NEG",
IF(Midterm!AP32&gt;AP$5,"OVER",
IF(AND(AP$5&lt;=100,Midterm!AP32&gt;100),"ERR",
IF(Info!$B$4="Non-board program",
IF(OR(AND(AP$5&gt;0,AP$5&gt;100),AND(AP$5&gt;0,AP$5&lt;100)),
VLOOKUP(FLOOR((Midterm!AP32/AP$5)*100,1),new_transmute,2,FALSE),
VLOOKUP(Midterm!AP32,new_transmute,2,FALSE)
),
IF(Info!$B$4="Board program",
IF(OR(AND(AP$5&gt;0,AP$5&gt;100),AND(AP$5&gt;0,AP$5&lt;100)),
VLOOKUP(FLOOR((Midterm!AP32/AP$5)*100,1),new_transmute,3,FALSE),
VLOOKUP(Midterm!AP32,new_transmute,3,FALSE)
),
IF(Info!$B$4="Board program (Medicine)",
IF(OR(AND(AP$5&gt;0,AP$5&gt;100),AND(AP$5&gt;0,AP$5&lt;100)),
VLOOKUP(FLOOR((Midterm!AP32/AP$5)*100,1),new_transmute,4,FALSE),
VLOOKUP(Midterm!AP32,new_transmute,4,FALSE)
),
""
)
)
)
)
)
)
)
)
))</f>
        <v/>
      </c>
      <c r="AQ32" s="61" t="str">
        <f t="shared" si="7"/>
        <v/>
      </c>
      <c r="AR32" s="48" t="str">
        <f>IF(Midterm!AR32="","",Midterm!AR32)</f>
        <v/>
      </c>
      <c r="AS32" s="165" t="str">
        <f t="shared" si="8"/>
        <v/>
      </c>
      <c r="AT32" s="14" t="str">
        <f t="shared" si="0"/>
        <v/>
      </c>
      <c r="AU32" s="14" t="str">
        <f>IF(B32="","",VLOOKUP(AT32,'New Grade Equivalent'!$B$3:$C$47,2,FALSE))</f>
        <v/>
      </c>
    </row>
    <row r="33" spans="1:47" x14ac:dyDescent="0.25">
      <c r="A33" s="8">
        <v>28</v>
      </c>
      <c r="B33" s="2" t="str">
        <f>IF('Student List'!C37="","",UPPER(LEFT('Student List'!C37,FIND(",",'Student List'!C37)-1)))</f>
        <v/>
      </c>
      <c r="C33" s="12" t="str">
        <f>IF('Student List'!C37="","",PROPER(MID('Student List'!C37, FIND(",", 'Student List'!C37) + 2, LEN('Student List'!C37) - FIND(",", 'Student List'!C37) - 1)))</f>
        <v/>
      </c>
      <c r="D33" s="127" t="str">
        <f>IF(B33="","",IF(Midterm!D33="", "NA", Midterm!D33))</f>
        <v/>
      </c>
      <c r="E33" s="8" t="str">
        <f>IF(B33="","",
  IF(Info!$B$5="First Year",
    IF(D33="Yes", "DRP",
      IF(D33="No", "WF", "")
    )
  )
)</f>
        <v/>
      </c>
      <c r="F33" s="14" t="str">
        <f>IF($B33="","",
IF(F$5="","",
IF(Midterm!F33="",0,
IF(NOT(ISNUMBER(Midterm!F33)),"NAN",
IF(Midterm!F33&lt;0,"NEG",
IF(Midterm!F33&gt;F$5,"OVER",
IF(AND(F$5&lt;=100,Midterm!F33&gt;100),"ERR",
IF(Info!$B$4="Non-board program",
IF(OR(AND(F$5&gt;0,F$5&gt;100),AND(F$5&gt;0,F$5&lt;100)),
VLOOKUP(FLOOR((Midterm!F33/F$5)*100,1),new_transmute,2,FALSE),
VLOOKUP(Midterm!F33,new_transmute,2,FALSE)
),
IF(Info!$B$4="Board program",
IF(OR(AND(F$5&gt;0,F$5&gt;100),AND(F$5&gt;0,F$5&lt;100)),
VLOOKUP(FLOOR((Midterm!F33/F$5)*100,1),new_transmute,3,FALSE),
VLOOKUP(Midterm!F33,new_transmute,3,FALSE)
),
IF(Info!$B$4="Board program (Medicine)",
IF(OR(AND(F$5&gt;0,F$5&gt;100),AND(F$5&gt;0,F$5&lt;100)),
VLOOKUP(FLOOR((Midterm!F33/F$5)*100,1),new_transmute,4,FALSE),
VLOOKUP(Midterm!F33,new_transmute,4,FALSE)
),
""
)
)
)
)
)
)
)
)
))</f>
        <v/>
      </c>
      <c r="G33" s="57" t="str">
        <f t="shared" si="1"/>
        <v/>
      </c>
      <c r="H33" s="14" t="str">
        <f>IF($B33="","",
IF(H$5="","",
IF(Midterm!H33="",0,
IF(NOT(ISNUMBER(Midterm!H33)),"NAN",
IF(Midterm!H33&lt;0,"NEG",
IF(Midterm!H33&gt;H$5,"OVER",
IF(AND(H$5&lt;=100,Midterm!H33&gt;100),"ERR",
IF(Info!$B$4="Non-board program",
IF(OR(AND(H$5&gt;0,H$5&gt;100),AND(H$5&gt;0,H$5&lt;100)),
VLOOKUP(FLOOR((Midterm!H33/H$5)*100,1),new_transmute,2,FALSE),
VLOOKUP(Midterm!H33,new_transmute,2,FALSE)
),
IF(Info!$B$4="Board program",
IF(OR(AND(H$5&gt;0,H$5&gt;100),AND(H$5&gt;0,H$5&lt;100)),
VLOOKUP(FLOOR((Midterm!H33/H$5)*100,1),new_transmute,3,FALSE),
VLOOKUP(Midterm!H33,new_transmute,3,FALSE)
),
IF(Info!$B$4="Board program (Medicine)",
IF(OR(AND(H$5&gt;0,H$5&gt;100),AND(H$5&gt;0,H$5&lt;100)),
VLOOKUP(FLOOR((Midterm!H33/H$5)*100,1),new_transmute,4,FALSE),
VLOOKUP(Midterm!H33,new_transmute,4,FALSE)
),
""
)
)
)
)
)
)
)
)
))</f>
        <v/>
      </c>
      <c r="I33" s="14" t="str">
        <f>IF($B33="","",
IF(I$5="","",
IF(Midterm!I33="",0,
IF(NOT(ISNUMBER(Midterm!I33)),"NAN",
IF(Midterm!I33&lt;0,"NEG",
IF(Midterm!I33&gt;I$5,"OVER",
IF(AND(I$5&lt;=100,Midterm!I33&gt;100),"ERR",
IF(Info!$B$4="Non-board program",
IF(OR(AND(I$5&gt;0,I$5&gt;100),AND(I$5&gt;0,I$5&lt;100)),
VLOOKUP(FLOOR((Midterm!I33/I$5)*100,1),new_transmute,2,FALSE),
VLOOKUP(Midterm!I33,new_transmute,2,FALSE)
),
IF(Info!$B$4="Board program",
IF(OR(AND(I$5&gt;0,I$5&gt;100),AND(I$5&gt;0,I$5&lt;100)),
VLOOKUP(FLOOR((Midterm!I33/I$5)*100,1),new_transmute,3,FALSE),
VLOOKUP(Midterm!I33,new_transmute,3,FALSE)
),
IF(Info!$B$4="Board program (Medicine)",
IF(OR(AND(I$5&gt;0,I$5&gt;100),AND(I$5&gt;0,I$5&lt;100)),
VLOOKUP(FLOOR((Midterm!I33/I$5)*100,1),new_transmute,4,FALSE),
VLOOKUP(Midterm!I33,new_transmute,4,FALSE)
),
""
)
)
)
)
)
)
)
)
))</f>
        <v/>
      </c>
      <c r="J33" s="14" t="str">
        <f>IF($B33="","",
IF(J$5="","",
IF(Midterm!J33="",0,
IF(NOT(ISNUMBER(Midterm!J33)),"NAN",
IF(Midterm!J33&lt;0,"NEG",
IF(Midterm!J33&gt;J$5,"OVER",
IF(AND(J$5&lt;=100,Midterm!J33&gt;100),"ERR",
IF(Info!$B$4="Non-board program",
IF(OR(AND(J$5&gt;0,J$5&gt;100),AND(J$5&gt;0,J$5&lt;100)),
VLOOKUP(FLOOR((Midterm!J33/J$5)*100,1),new_transmute,2,FALSE),
VLOOKUP(Midterm!J33,new_transmute,2,FALSE)
),
IF(Info!$B$4="Board program",
IF(OR(AND(J$5&gt;0,J$5&gt;100),AND(J$5&gt;0,J$5&lt;100)),
VLOOKUP(FLOOR((Midterm!J33/J$5)*100,1),new_transmute,3,FALSE),
VLOOKUP(Midterm!J33,new_transmute,3,FALSE)
),
IF(Info!$B$4="Board program (Medicine)",
IF(OR(AND(J$5&gt;0,J$5&gt;100),AND(J$5&gt;0,J$5&lt;100)),
VLOOKUP(FLOOR((Midterm!J33/J$5)*100,1),new_transmute,4,FALSE),
VLOOKUP(Midterm!J33,new_transmute,4,FALSE)
),
""
)
)
)
)
)
)
)
)
))</f>
        <v/>
      </c>
      <c r="K33" s="14" t="str">
        <f>IF($B33="","",
IF(K$5="","",
IF(Midterm!K33="",0,
IF(NOT(ISNUMBER(Midterm!K33)),"NAN",
IF(Midterm!K33&lt;0,"NEG",
IF(Midterm!K33&gt;K$5,"OVER",
IF(AND(K$5&lt;=100,Midterm!K33&gt;100),"ERR",
IF(Info!$B$4="Non-board program",
IF(OR(AND(K$5&gt;0,K$5&gt;100),AND(K$5&gt;0,K$5&lt;100)),
VLOOKUP(FLOOR((Midterm!K33/K$5)*100,1),new_transmute,2,FALSE),
VLOOKUP(Midterm!K33,new_transmute,2,FALSE)
),
IF(Info!$B$4="Board program",
IF(OR(AND(K$5&gt;0,K$5&gt;100),AND(K$5&gt;0,K$5&lt;100)),
VLOOKUP(FLOOR((Midterm!K33/K$5)*100,1),new_transmute,3,FALSE),
VLOOKUP(Midterm!K33,new_transmute,3,FALSE)
),
IF(Info!$B$4="Board program (Medicine)",
IF(OR(AND(K$5&gt;0,K$5&gt;100),AND(K$5&gt;0,K$5&lt;100)),
VLOOKUP(FLOOR((Midterm!K33/K$5)*100,1),new_transmute,4,FALSE),
VLOOKUP(Midterm!K33,new_transmute,4,FALSE)
),
""
)
)
)
)
)
)
)
)
))</f>
        <v/>
      </c>
      <c r="L33" s="14" t="str">
        <f>IF($B33="","",
IF(L$5="","",
IF(Midterm!L33="",0,
IF(NOT(ISNUMBER(Midterm!L33)),"NAN",
IF(Midterm!L33&lt;0,"NEG",
IF(Midterm!L33&gt;L$5,"OVER",
IF(AND(L$5&lt;=100,Midterm!L33&gt;100),"ERR",
IF(Info!$B$4="Non-board program",
IF(OR(AND(L$5&gt;0,L$5&gt;100),AND(L$5&gt;0,L$5&lt;100)),
VLOOKUP(FLOOR((Midterm!L33/L$5)*100,1),new_transmute,2,FALSE),
VLOOKUP(Midterm!L33,new_transmute,2,FALSE)
),
IF(Info!$B$4="Board program",
IF(OR(AND(L$5&gt;0,L$5&gt;100),AND(L$5&gt;0,L$5&lt;100)),
VLOOKUP(FLOOR((Midterm!L33/L$5)*100,1),new_transmute,3,FALSE),
VLOOKUP(Midterm!L33,new_transmute,3,FALSE)
),
IF(Info!$B$4="Board program (Medicine)",
IF(OR(AND(L$5&gt;0,L$5&gt;100),AND(L$5&gt;0,L$5&lt;100)),
VLOOKUP(FLOOR((Midterm!L33/L$5)*100,1),new_transmute,4,FALSE),
VLOOKUP(Midterm!L33,new_transmute,4,FALSE)
),
""
)
)
)
)
)
)
)
)
))</f>
        <v/>
      </c>
      <c r="M33" s="111" t="str">
        <f t="shared" si="2"/>
        <v/>
      </c>
      <c r="N33" s="14" t="str">
        <f>IF($B33="","",
IF(N$5="","",
IF(Midterm!N33="",0,
IF(NOT(ISNUMBER(Midterm!N33)),"NAN",
IF(Midterm!N33&lt;0,"NEG",
IF(Midterm!N33&gt;N$5,"OVER",
IF(AND(N$5&lt;=100,Midterm!N33&gt;100),"ERR",
IF(Info!$B$4="Non-board program",
IF(OR(AND(N$5&gt;0,N$5&gt;100),AND(N$5&gt;0,N$5&lt;100)),
VLOOKUP(FLOOR((Midterm!N33/N$5)*100,1),new_transmute,2,FALSE),
VLOOKUP(Midterm!N33,new_transmute,2,FALSE)
),
IF(Info!$B$4="Board program",
IF(OR(AND(N$5&gt;0,N$5&gt;100),AND(N$5&gt;0,N$5&lt;100)),
VLOOKUP(FLOOR((Midterm!N33/N$5)*100,1),new_transmute,3,FALSE),
VLOOKUP(Midterm!N33,new_transmute,3,FALSE)
),
IF(Info!$B$4="Board program (Medicine)",
IF(OR(AND(N$5&gt;0,N$5&gt;100),AND(N$5&gt;0,N$5&lt;100)),
VLOOKUP(FLOOR((Midterm!N33/N$5)*100,1),new_transmute,4,FALSE),
VLOOKUP(Midterm!N33,new_transmute,4,FALSE)
),
""
)
)
)
)
)
)
)
)
))</f>
        <v/>
      </c>
      <c r="O33" s="14" t="str">
        <f>IF($B33="","",
IF(O$5="","",
IF(Midterm!O33="",0,
IF(NOT(ISNUMBER(Midterm!O33)),"NAN",
IF(Midterm!O33&lt;0,"NEG",
IF(Midterm!O33&gt;O$5,"OVER",
IF(AND(O$5&lt;=100,Midterm!O33&gt;100),"ERR",
IF(Info!$B$4="Non-board program",
IF(OR(AND(O$5&gt;0,O$5&gt;100),AND(O$5&gt;0,O$5&lt;100)),
VLOOKUP(FLOOR((Midterm!O33/O$5)*100,1),new_transmute,2,FALSE),
VLOOKUP(Midterm!O33,new_transmute,2,FALSE)
),
IF(Info!$B$4="Board program",
IF(OR(AND(O$5&gt;0,O$5&gt;100),AND(O$5&gt;0,O$5&lt;100)),
VLOOKUP(FLOOR((Midterm!O33/O$5)*100,1),new_transmute,3,FALSE),
VLOOKUP(Midterm!O33,new_transmute,3,FALSE)
),
IF(Info!$B$4="Board program (Medicine)",
IF(OR(AND(O$5&gt;0,O$5&gt;100),AND(O$5&gt;0,O$5&lt;100)),
VLOOKUP(FLOOR((Midterm!O33/O$5)*100,1),new_transmute,4,FALSE),
VLOOKUP(Midterm!O33,new_transmute,4,FALSE)
),
""
)
)
)
)
)
)
)
)
))</f>
        <v/>
      </c>
      <c r="P33" s="14" t="str">
        <f>IF($B33="","",
IF(P$5="","",
IF(Midterm!P33="",0,
IF(NOT(ISNUMBER(Midterm!P33)),"NAN",
IF(Midterm!P33&lt;0,"NEG",
IF(Midterm!P33&gt;P$5,"OVER",
IF(AND(P$5&lt;=100,Midterm!P33&gt;100),"ERR",
IF(Info!$B$4="Non-board program",
IF(OR(AND(P$5&gt;0,P$5&gt;100),AND(P$5&gt;0,P$5&lt;100)),
VLOOKUP(FLOOR((Midterm!P33/P$5)*100,1),new_transmute,2,FALSE),
VLOOKUP(Midterm!P33,new_transmute,2,FALSE)
),
IF(Info!$B$4="Board program",
IF(OR(AND(P$5&gt;0,P$5&gt;100),AND(P$5&gt;0,P$5&lt;100)),
VLOOKUP(FLOOR((Midterm!P33/P$5)*100,1),new_transmute,3,FALSE),
VLOOKUP(Midterm!P33,new_transmute,3,FALSE)
),
IF(Info!$B$4="Board program (Medicine)",
IF(OR(AND(P$5&gt;0,P$5&gt;100),AND(P$5&gt;0,P$5&lt;100)),
VLOOKUP(FLOOR((Midterm!P33/P$5)*100,1),new_transmute,4,FALSE),
VLOOKUP(Midterm!P33,new_transmute,4,FALSE)
),
""
)
)
)
)
)
)
)
)
))</f>
        <v/>
      </c>
      <c r="Q33" s="14" t="str">
        <f>IF($B33="","",
IF(Q$5="","",
IF(Midterm!Q33="",0,
IF(NOT(ISNUMBER(Midterm!Q33)),"NAN",
IF(Midterm!Q33&lt;0,"NEG",
IF(Midterm!Q33&gt;Q$5,"OVER",
IF(AND(Q$5&lt;=100,Midterm!Q33&gt;100),"ERR",
IF(Info!$B$4="Non-board program",
IF(OR(AND(Q$5&gt;0,Q$5&gt;100),AND(Q$5&gt;0,Q$5&lt;100)),
VLOOKUP(FLOOR((Midterm!Q33/Q$5)*100,1),new_transmute,2,FALSE),
VLOOKUP(Midterm!Q33,new_transmute,2,FALSE)
),
IF(Info!$B$4="Board program",
IF(OR(AND(Q$5&gt;0,Q$5&gt;100),AND(Q$5&gt;0,Q$5&lt;100)),
VLOOKUP(FLOOR((Midterm!Q33/Q$5)*100,1),new_transmute,3,FALSE),
VLOOKUP(Midterm!Q33,new_transmute,3,FALSE)
),
IF(Info!$B$4="Board program (Medicine)",
IF(OR(AND(Q$5&gt;0,Q$5&gt;100),AND(Q$5&gt;0,Q$5&lt;100)),
VLOOKUP(FLOOR((Midterm!Q33/Q$5)*100,1),new_transmute,4,FALSE),
VLOOKUP(Midterm!Q33,new_transmute,4,FALSE)
),
""
)
)
)
)
)
)
)
)
))</f>
        <v/>
      </c>
      <c r="R33" s="14" t="str">
        <f>IF($B33="","",
IF(R$5="","",
IF(Midterm!R33="",0,
IF(NOT(ISNUMBER(Midterm!R33)),"NAN",
IF(Midterm!R33&lt;0,"NEG",
IF(Midterm!R33&gt;R$5,"OVER",
IF(AND(R$5&lt;=100,Midterm!R33&gt;100),"ERR",
IF(Info!$B$4="Non-board program",
IF(OR(AND(R$5&gt;0,R$5&gt;100),AND(R$5&gt;0,R$5&lt;100)),
VLOOKUP(FLOOR((Midterm!R33/R$5)*100,1),new_transmute,2,FALSE),
VLOOKUP(Midterm!R33,new_transmute,2,FALSE)
),
IF(Info!$B$4="Board program",
IF(OR(AND(R$5&gt;0,R$5&gt;100),AND(R$5&gt;0,R$5&lt;100)),
VLOOKUP(FLOOR((Midterm!R33/R$5)*100,1),new_transmute,3,FALSE),
VLOOKUP(Midterm!R33,new_transmute,3,FALSE)
),
IF(Info!$B$4="Board program (Medicine)",
IF(OR(AND(R$5&gt;0,R$5&gt;100),AND(R$5&gt;0,R$5&lt;100)),
VLOOKUP(FLOOR((Midterm!R33/R$5)*100,1),new_transmute,4,FALSE),
VLOOKUP(Midterm!R33,new_transmute,4,FALSE)
),
""
)
)
)
)
)
)
)
)
))</f>
        <v/>
      </c>
      <c r="S33" s="115" t="str">
        <f t="shared" si="3"/>
        <v/>
      </c>
      <c r="T33" s="14" t="str">
        <f>IF($B33="","",
IF(T$5="","",
IF(Midterm!T33="",0,
IF(NOT(ISNUMBER(Midterm!T33)),"NAN",
IF(Midterm!T33&lt;0,"NEG",
IF(Midterm!T33&gt;T$5,"OVER",
IF(AND(T$5&lt;=100,Midterm!T33&gt;100),"ERR",
IF(Info!$B$4="Non-board program",
IF(OR(AND(T$5&gt;0,T$5&gt;100),AND(T$5&gt;0,T$5&lt;100)),
VLOOKUP(FLOOR((Midterm!T33/T$5)*100,1),new_transmute,2,FALSE),
VLOOKUP(Midterm!T33,new_transmute,2,FALSE)
),
IF(Info!$B$4="Board program",
IF(OR(AND(T$5&gt;0,T$5&gt;100),AND(T$5&gt;0,T$5&lt;100)),
VLOOKUP(FLOOR((Midterm!T33/T$5)*100,1),new_transmute,3,FALSE),
VLOOKUP(Midterm!T33,new_transmute,3,FALSE)
),
IF(Info!$B$4="Board program (Medicine)",
IF(OR(AND(T$5&gt;0,T$5&gt;100),AND(T$5&gt;0,T$5&lt;100)),
VLOOKUP(FLOOR((Midterm!T33/T$5)*100,1),new_transmute,4,FALSE),
VLOOKUP(Midterm!T33,new_transmute,4,FALSE)
),
""
)
)
)
)
)
)
)
)
))</f>
        <v/>
      </c>
      <c r="U33" s="14" t="str">
        <f>IF($B33="","",
IF(U$5="","",
IF(Midterm!U33="",0,
IF(NOT(ISNUMBER(Midterm!U33)),"NAN",
IF(Midterm!U33&lt;0,"NEG",
IF(Midterm!U33&gt;U$5,"OVER",
IF(AND(U$5&lt;=100,Midterm!U33&gt;100),"ERR",
IF(Info!$B$4="Non-board program",
IF(OR(AND(U$5&gt;0,U$5&gt;100),AND(U$5&gt;0,U$5&lt;100)),
VLOOKUP(FLOOR((Midterm!U33/U$5)*100,1),new_transmute,2,FALSE),
VLOOKUP(Midterm!U33,new_transmute,2,FALSE)
),
IF(Info!$B$4="Board program",
IF(OR(AND(U$5&gt;0,U$5&gt;100),AND(U$5&gt;0,U$5&lt;100)),
VLOOKUP(FLOOR((Midterm!U33/U$5)*100,1),new_transmute,3,FALSE),
VLOOKUP(Midterm!U33,new_transmute,3,FALSE)
),
IF(Info!$B$4="Board program (Medicine)",
IF(OR(AND(U$5&gt;0,U$5&gt;100),AND(U$5&gt;0,U$5&lt;100)),
VLOOKUP(FLOOR((Midterm!U33/U$5)*100,1),new_transmute,4,FALSE),
VLOOKUP(Midterm!U33,new_transmute,4,FALSE)
),
""
)
)
)
)
)
)
)
)
))</f>
        <v/>
      </c>
      <c r="V33" s="14" t="str">
        <f>IF($B33="","",
IF(V$5="","",
IF(Midterm!V33="",0,
IF(NOT(ISNUMBER(Midterm!V33)),"NAN",
IF(Midterm!V33&lt;0,"NEG",
IF(Midterm!V33&gt;V$5,"OVER",
IF(AND(V$5&lt;=100,Midterm!V33&gt;100),"ERR",
IF(Info!$B$4="Non-board program",
IF(OR(AND(V$5&gt;0,V$5&gt;100),AND(V$5&gt;0,V$5&lt;100)),
VLOOKUP(FLOOR((Midterm!V33/V$5)*100,1),new_transmute,2,FALSE),
VLOOKUP(Midterm!V33,new_transmute,2,FALSE)
),
IF(Info!$B$4="Board program",
IF(OR(AND(V$5&gt;0,V$5&gt;100),AND(V$5&gt;0,V$5&lt;100)),
VLOOKUP(FLOOR((Midterm!V33/V$5)*100,1),new_transmute,3,FALSE),
VLOOKUP(Midterm!V33,new_transmute,3,FALSE)
),
IF(Info!$B$4="Board program (Medicine)",
IF(OR(AND(V$5&gt;0,V$5&gt;100),AND(V$5&gt;0,V$5&lt;100)),
VLOOKUP(FLOOR((Midterm!V33/V$5)*100,1),new_transmute,4,FALSE),
VLOOKUP(Midterm!V33,new_transmute,4,FALSE)
),
""
)
)
)
)
)
)
)
)
))</f>
        <v/>
      </c>
      <c r="W33" s="14" t="str">
        <f>IF($B33="","",
IF(W$5="","",
IF(Midterm!W33="",0,
IF(NOT(ISNUMBER(Midterm!W33)),"NAN",
IF(Midterm!W33&lt;0,"NEG",
IF(Midterm!W33&gt;W$5,"OVER",
IF(AND(W$5&lt;=100,Midterm!W33&gt;100),"ERR",
IF(Info!$B$4="Non-board program",
IF(OR(AND(W$5&gt;0,W$5&gt;100),AND(W$5&gt;0,W$5&lt;100)),
VLOOKUP(FLOOR((Midterm!W33/W$5)*100,1),new_transmute,2,FALSE),
VLOOKUP(Midterm!W33,new_transmute,2,FALSE)
),
IF(Info!$B$4="Board program",
IF(OR(AND(W$5&gt;0,W$5&gt;100),AND(W$5&gt;0,W$5&lt;100)),
VLOOKUP(FLOOR((Midterm!W33/W$5)*100,1),new_transmute,3,FALSE),
VLOOKUP(Midterm!W33,new_transmute,3,FALSE)
),
IF(Info!$B$4="Board program (Medicine)",
IF(OR(AND(W$5&gt;0,W$5&gt;100),AND(W$5&gt;0,W$5&lt;100)),
VLOOKUP(FLOOR((Midterm!W33/W$5)*100,1),new_transmute,4,FALSE),
VLOOKUP(Midterm!W33,new_transmute,4,FALSE)
),
""
)
)
)
)
)
)
)
)
))</f>
        <v/>
      </c>
      <c r="X33" s="14" t="str">
        <f>IF($B33="","",
IF(X$5="","",
IF(Midterm!X33="",0,
IF(NOT(ISNUMBER(Midterm!X33)),"NAN",
IF(Midterm!X33&lt;0,"NEG",
IF(Midterm!X33&gt;X$5,"OVER",
IF(AND(X$5&lt;=100,Midterm!X33&gt;100),"ERR",
IF(Info!$B$4="Non-board program",
IF(OR(AND(X$5&gt;0,X$5&gt;100),AND(X$5&gt;0,X$5&lt;100)),
VLOOKUP(FLOOR((Midterm!X33/X$5)*100,1),new_transmute,2,FALSE),
VLOOKUP(Midterm!X33,new_transmute,2,FALSE)
),
IF(Info!$B$4="Board program",
IF(OR(AND(X$5&gt;0,X$5&gt;100),AND(X$5&gt;0,X$5&lt;100)),
VLOOKUP(FLOOR((Midterm!X33/X$5)*100,1),new_transmute,3,FALSE),
VLOOKUP(Midterm!X33,new_transmute,3,FALSE)
),
IF(Info!$B$4="Board program (Medicine)",
IF(OR(AND(X$5&gt;0,X$5&gt;100),AND(X$5&gt;0,X$5&lt;100)),
VLOOKUP(FLOOR((Midterm!X33/X$5)*100,1),new_transmute,4,FALSE),
VLOOKUP(Midterm!X33,new_transmute,4,FALSE)
),
""
)
)
)
)
)
)
)
)
))</f>
        <v/>
      </c>
      <c r="Y33" s="112" t="str">
        <f t="shared" si="4"/>
        <v/>
      </c>
      <c r="Z33" s="14" t="str">
        <f>IF($B33="","",
IF(Z$5="","",
IF(Midterm!Z33="",0,
IF(NOT(ISNUMBER(Midterm!Z33)),"NAN",
IF(Midterm!Z33&lt;0,"NEG",
IF(Midterm!Z33&gt;Z$5,"OVER",
IF(AND(Z$5&lt;=100,Midterm!Z33&gt;100),"ERR",
IF(Info!$B$4="Non-board program",
IF(OR(AND(Z$5&gt;0,Z$5&gt;100),AND(Z$5&gt;0,Z$5&lt;100)),
VLOOKUP(FLOOR((Midterm!Z33/Z$5)*100,1),new_transmute,2,FALSE),
VLOOKUP(Midterm!Z33,new_transmute,2,FALSE)
),
IF(Info!$B$4="Board program",
IF(OR(AND(Z$5&gt;0,Z$5&gt;100),AND(Z$5&gt;0,Z$5&lt;100)),
VLOOKUP(FLOOR((Midterm!Z33/Z$5)*100,1),new_transmute,3,FALSE),
VLOOKUP(Midterm!Z33,new_transmute,3,FALSE)
),
IF(Info!$B$4="Board program (Medicine)",
IF(OR(AND(Z$5&gt;0,Z$5&gt;100),AND(Z$5&gt;0,Z$5&lt;100)),
VLOOKUP(FLOOR((Midterm!Z33/Z$5)*100,1),new_transmute,4,FALSE),
VLOOKUP(Midterm!Z33,new_transmute,4,FALSE)
),
""
)
)
)
)
)
)
)
)
))</f>
        <v/>
      </c>
      <c r="AA33" s="14" t="str">
        <f>IF($B33="","",
IF(AA$5="","",
IF(Midterm!AA33="",0,
IF(NOT(ISNUMBER(Midterm!AA33)),"NAN",
IF(Midterm!AA33&lt;0,"NEG",
IF(Midterm!AA33&gt;AA$5,"OVER",
IF(AND(AA$5&lt;=100,Midterm!AA33&gt;100),"ERR",
IF(Info!$B$4="Non-board program",
IF(OR(AND(AA$5&gt;0,AA$5&gt;100),AND(AA$5&gt;0,AA$5&lt;100)),
VLOOKUP(FLOOR((Midterm!AA33/AA$5)*100,1),new_transmute,2,FALSE),
VLOOKUP(Midterm!AA33,new_transmute,2,FALSE)
),
IF(Info!$B$4="Board program",
IF(OR(AND(AA$5&gt;0,AA$5&gt;100),AND(AA$5&gt;0,AA$5&lt;100)),
VLOOKUP(FLOOR((Midterm!AA33/AA$5)*100,1),new_transmute,3,FALSE),
VLOOKUP(Midterm!AA33,new_transmute,3,FALSE)
),
IF(Info!$B$4="Board program (Medicine)",
IF(OR(AND(AA$5&gt;0,AA$5&gt;100),AND(AA$5&gt;0,AA$5&lt;100)),
VLOOKUP(FLOOR((Midterm!AA33/AA$5)*100,1),new_transmute,4,FALSE),
VLOOKUP(Midterm!AA33,new_transmute,4,FALSE)
),
""
)
)
)
)
)
)
)
)
))</f>
        <v/>
      </c>
      <c r="AB33" s="14" t="str">
        <f>IF($B33="","",
IF(AB$5="","",
IF(Midterm!AB33="",0,
IF(NOT(ISNUMBER(Midterm!AB33)),"NAN",
IF(Midterm!AB33&lt;0,"NEG",
IF(Midterm!AB33&gt;AB$5,"OVER",
IF(AND(AB$5&lt;=100,Midterm!AB33&gt;100),"ERR",
IF(Info!$B$4="Non-board program",
IF(OR(AND(AB$5&gt;0,AB$5&gt;100),AND(AB$5&gt;0,AB$5&lt;100)),
VLOOKUP(FLOOR((Midterm!AB33/AB$5)*100,1),new_transmute,2,FALSE),
VLOOKUP(Midterm!AB33,new_transmute,2,FALSE)
),
IF(Info!$B$4="Board program",
IF(OR(AND(AB$5&gt;0,AB$5&gt;100),AND(AB$5&gt;0,AB$5&lt;100)),
VLOOKUP(FLOOR((Midterm!AB33/AB$5)*100,1),new_transmute,3,FALSE),
VLOOKUP(Midterm!AB33,new_transmute,3,FALSE)
),
IF(Info!$B$4="Board program (Medicine)",
IF(OR(AND(AB$5&gt;0,AB$5&gt;100),AND(AB$5&gt;0,AB$5&lt;100)),
VLOOKUP(FLOOR((Midterm!AB33/AB$5)*100,1),new_transmute,4,FALSE),
VLOOKUP(Midterm!AB33,new_transmute,4,FALSE)
),
""
)
)
)
)
)
)
)
)
))</f>
        <v/>
      </c>
      <c r="AC33" s="14" t="str">
        <f>IF($B33="","",
IF(AC$5="","",
IF(Midterm!AC33="",0,
IF(NOT(ISNUMBER(Midterm!AC33)),"NAN",
IF(Midterm!AC33&lt;0,"NEG",
IF(Midterm!AC33&gt;AC$5,"OVER",
IF(AND(AC$5&lt;=100,Midterm!AC33&gt;100),"ERR",
IF(Info!$B$4="Non-board program",
IF(OR(AND(AC$5&gt;0,AC$5&gt;100),AND(AC$5&gt;0,AC$5&lt;100)),
VLOOKUP(FLOOR((Midterm!AC33/AC$5)*100,1),new_transmute,2,FALSE),
VLOOKUP(Midterm!AC33,new_transmute,2,FALSE)
),
IF(Info!$B$4="Board program",
IF(OR(AND(AC$5&gt;0,AC$5&gt;100),AND(AC$5&gt;0,AC$5&lt;100)),
VLOOKUP(FLOOR((Midterm!AC33/AC$5)*100,1),new_transmute,3,FALSE),
VLOOKUP(Midterm!AC33,new_transmute,3,FALSE)
),
IF(Info!$B$4="Board program (Medicine)",
IF(OR(AND(AC$5&gt;0,AC$5&gt;100),AND(AC$5&gt;0,AC$5&lt;100)),
VLOOKUP(FLOOR((Midterm!AC33/AC$5)*100,1),new_transmute,4,FALSE),
VLOOKUP(Midterm!AC33,new_transmute,4,FALSE)
),
""
)
)
)
)
)
)
)
)
))</f>
        <v/>
      </c>
      <c r="AD33" s="14" t="str">
        <f>IF($B33="","",
IF(AD$5="","",
IF(Midterm!AD33="",0,
IF(NOT(ISNUMBER(Midterm!AD33)),"NAN",
IF(Midterm!AD33&lt;0,"NEG",
IF(Midterm!AD33&gt;AD$5,"OVER",
IF(AND(AD$5&lt;=100,Midterm!AD33&gt;100),"ERR",
IF(Info!$B$4="Non-board program",
IF(OR(AND(AD$5&gt;0,AD$5&gt;100),AND(AD$5&gt;0,AD$5&lt;100)),
VLOOKUP(FLOOR((Midterm!AD33/AD$5)*100,1),new_transmute,2,FALSE),
VLOOKUP(Midterm!AD33,new_transmute,2,FALSE)
),
IF(Info!$B$4="Board program",
IF(OR(AND(AD$5&gt;0,AD$5&gt;100),AND(AD$5&gt;0,AD$5&lt;100)),
VLOOKUP(FLOOR((Midterm!AD33/AD$5)*100,1),new_transmute,3,FALSE),
VLOOKUP(Midterm!AD33,new_transmute,3,FALSE)
),
IF(Info!$B$4="Board program (Medicine)",
IF(OR(AND(AD$5&gt;0,AD$5&gt;100),AND(AD$5&gt;0,AD$5&lt;100)),
VLOOKUP(FLOOR((Midterm!AD33/AD$5)*100,1),new_transmute,4,FALSE),
VLOOKUP(Midterm!AD33,new_transmute,4,FALSE)
),
""
)
)
)
)
)
)
)
)
))</f>
        <v/>
      </c>
      <c r="AE33" s="58" t="str">
        <f t="shared" si="5"/>
        <v/>
      </c>
      <c r="AF33" s="14" t="str">
        <f>IF($B33="","",
IF(AF$5="","",
IF(Midterm!AF33="",0,
IF(NOT(ISNUMBER(Midterm!AF33)),"NAN",
IF(Midterm!AF33&lt;0,"NEG",
IF(Midterm!AF33&gt;AF$5,"OVER",
IF(AND(AF$5&lt;=100,Midterm!AF33&gt;100),"ERR",
IF(Info!$B$4="Non-board program",
IF(OR(AND(AF$5&gt;0,AF$5&gt;100),AND(AF$5&gt;0,AF$5&lt;100)),
VLOOKUP(FLOOR((Midterm!AF33/AF$5)*100,1),new_transmute,2,FALSE),
VLOOKUP(Midterm!AF33,new_transmute,2,FALSE)
),
IF(Info!$B$4="Board program",
IF(OR(AND(AF$5&gt;0,AF$5&gt;100),AND(AF$5&gt;0,AF$5&lt;100)),
VLOOKUP(FLOOR((Midterm!AF33/AF$5)*100,1),new_transmute,3,FALSE),
VLOOKUP(Midterm!AF33,new_transmute,3,FALSE)
),
IF(Info!$B$4="Board program (Medicine)",
IF(OR(AND(AF$5&gt;0,AF$5&gt;100),AND(AF$5&gt;0,AF$5&lt;100)),
VLOOKUP(FLOOR((Midterm!AF33/AF$5)*100,1),new_transmute,4,FALSE),
VLOOKUP(Midterm!AF33,new_transmute,4,FALSE)
),
""
)
)
)
)
)
)
)
)
))</f>
        <v/>
      </c>
      <c r="AG33" s="14" t="str">
        <f>IF($B33="","",
IF(AG$5="","",
IF(Midterm!AG33="",0,
IF(NOT(ISNUMBER(Midterm!AG33)),"NAN",
IF(Midterm!AG33&lt;0,"NEG",
IF(Midterm!AG33&gt;AG$5,"OVER",
IF(AND(AG$5&lt;=100,Midterm!AG33&gt;100),"ERR",
IF(Info!$B$4="Non-board program",
IF(OR(AND(AG$5&gt;0,AG$5&gt;100),AND(AG$5&gt;0,AG$5&lt;100)),
VLOOKUP(FLOOR((Midterm!AG33/AG$5)*100,1),new_transmute,2,FALSE),
VLOOKUP(Midterm!AG33,new_transmute,2,FALSE)
),
IF(Info!$B$4="Board program",
IF(OR(AND(AG$5&gt;0,AG$5&gt;100),AND(AG$5&gt;0,AG$5&lt;100)),
VLOOKUP(FLOOR((Midterm!AG33/AG$5)*100,1),new_transmute,3,FALSE),
VLOOKUP(Midterm!AG33,new_transmute,3,FALSE)
),
IF(Info!$B$4="Board program (Medicine)",
IF(OR(AND(AG$5&gt;0,AG$5&gt;100),AND(AG$5&gt;0,AG$5&lt;100)),
VLOOKUP(FLOOR((Midterm!AG33/AG$5)*100,1),new_transmute,4,FALSE),
VLOOKUP(Midterm!AG33,new_transmute,4,FALSE)
),
""
)
)
)
)
)
)
)
)
))</f>
        <v/>
      </c>
      <c r="AH33" s="14" t="str">
        <f>IF($B33="","",
IF(AH$5="","",
IF(Midterm!AH33="",0,
IF(NOT(ISNUMBER(Midterm!AH33)),"NAN",
IF(Midterm!AH33&lt;0,"NEG",
IF(Midterm!AH33&gt;AH$5,"OVER",
IF(AND(AH$5&lt;=100,Midterm!AH33&gt;100),"ERR",
IF(Info!$B$4="Non-board program",
IF(OR(AND(AH$5&gt;0,AH$5&gt;100),AND(AH$5&gt;0,AH$5&lt;100)),
VLOOKUP(FLOOR((Midterm!AH33/AH$5)*100,1),new_transmute,2,FALSE),
VLOOKUP(Midterm!AH33,new_transmute,2,FALSE)
),
IF(Info!$B$4="Board program",
IF(OR(AND(AH$5&gt;0,AH$5&gt;100),AND(AH$5&gt;0,AH$5&lt;100)),
VLOOKUP(FLOOR((Midterm!AH33/AH$5)*100,1),new_transmute,3,FALSE),
VLOOKUP(Midterm!AH33,new_transmute,3,FALSE)
),
IF(Info!$B$4="Board program (Medicine)",
IF(OR(AND(AH$5&gt;0,AH$5&gt;100),AND(AH$5&gt;0,AH$5&lt;100)),
VLOOKUP(FLOOR((Midterm!AH33/AH$5)*100,1),new_transmute,4,FALSE),
VLOOKUP(Midterm!AH33,new_transmute,4,FALSE)
),
""
)
)
)
)
)
)
)
)
))</f>
        <v/>
      </c>
      <c r="AI33" s="14" t="str">
        <f>IF($B33="","",
IF(AI$5="","",
IF(Midterm!AI33="",0,
IF(NOT(ISNUMBER(Midterm!AI33)),"NAN",
IF(Midterm!AI33&lt;0,"NEG",
IF(Midterm!AI33&gt;AI$5,"OVER",
IF(AND(AI$5&lt;=100,Midterm!AI33&gt;100),"ERR",
IF(Info!$B$4="Non-board program",
IF(OR(AND(AI$5&gt;0,AI$5&gt;100),AND(AI$5&gt;0,AI$5&lt;100)),
VLOOKUP(FLOOR((Midterm!AI33/AI$5)*100,1),new_transmute,2,FALSE),
VLOOKUP(Midterm!AI33,new_transmute,2,FALSE)
),
IF(Info!$B$4="Board program",
IF(OR(AND(AI$5&gt;0,AI$5&gt;100),AND(AI$5&gt;0,AI$5&lt;100)),
VLOOKUP(FLOOR((Midterm!AI33/AI$5)*100,1),new_transmute,3,FALSE),
VLOOKUP(Midterm!AI33,new_transmute,3,FALSE)
),
IF(Info!$B$4="Board program (Medicine)",
IF(OR(AND(AI$5&gt;0,AI$5&gt;100),AND(AI$5&gt;0,AI$5&lt;100)),
VLOOKUP(FLOOR((Midterm!AI33/AI$5)*100,1),new_transmute,4,FALSE),
VLOOKUP(Midterm!AI33,new_transmute,4,FALSE)
),
""
)
)
)
)
)
)
)
)
))</f>
        <v/>
      </c>
      <c r="AJ33" s="14" t="str">
        <f>IF($B33="","",
IF(AJ$5="","",
IF(Midterm!AJ33="",0,
IF(NOT(ISNUMBER(Midterm!AJ33)),"NAN",
IF(Midterm!AJ33&lt;0,"NEG",
IF(Midterm!AJ33&gt;AJ$5,"OVER",
IF(AND(AJ$5&lt;=100,Midterm!AJ33&gt;100),"ERR",
IF(Info!$B$4="Non-board program",
IF(OR(AND(AJ$5&gt;0,AJ$5&gt;100),AND(AJ$5&gt;0,AJ$5&lt;100)),
VLOOKUP(FLOOR((Midterm!AJ33/AJ$5)*100,1),new_transmute,2,FALSE),
VLOOKUP(Midterm!AJ33,new_transmute,2,FALSE)
),
IF(Info!$B$4="Board program",
IF(OR(AND(AJ$5&gt;0,AJ$5&gt;100),AND(AJ$5&gt;0,AJ$5&lt;100)),
VLOOKUP(FLOOR((Midterm!AJ33/AJ$5)*100,1),new_transmute,3,FALSE),
VLOOKUP(Midterm!AJ33,new_transmute,3,FALSE)
),
IF(Info!$B$4="Board program (Medicine)",
IF(OR(AND(AJ$5&gt;0,AJ$5&gt;100),AND(AJ$5&gt;0,AJ$5&lt;100)),
VLOOKUP(FLOOR((Midterm!AJ33/AJ$5)*100,1),new_transmute,4,FALSE),
VLOOKUP(Midterm!AJ33,new_transmute,4,FALSE)
),
""
)
)
)
)
)
)
)
)
))</f>
        <v/>
      </c>
      <c r="AK33" s="59" t="str">
        <f t="shared" si="6"/>
        <v/>
      </c>
      <c r="AL33" s="60" t="str">
        <f>IF(B33="", "",
    IF(OR(M33="OVER", S33="OVER", Y33="OVER", AE33="OVER", AK33="OVER"),
        "OVER",
        IF(Info!$B$4="Non-board program",
            VLOOKUP(IFERROR(FLOOR(SUM((M33*$M$4), (S33*$S$4), (Y33*$Y$4), (AE33*$AE$4), (AK33*$AK$4)) * (100 / 60), 1), 0), new_transmute, 2, FALSE),
            IF(Info!$B$4="Board program",
                VLOOKUP(IFERROR(FLOOR(SUM((M33*$M$4), (S33*$S$4), (Y33*$Y$4), (AE33*$AE$4), (AK33*$AK$4)) * (100 / 60), 1), 0), new_transmute, 3, FALSE),
                IF(Info!$B$4="Board program (Medicine)",
                    VLOOKUP(IFERROR(FLOOR(SUM((M33*$M$4), (S33*$S$4), (Y33*$Y$4), (AE33*$AE$4), (AK33*$AK$4)) * (100 / 60), 1), 0), new_transmute, 4, FALSE),
                    ""
                )
            )
        )
    )
)</f>
        <v/>
      </c>
      <c r="AM33" s="14" t="str">
        <f>IF($B33="","",
IF(AM$5="","",
IF(Midterm!AM33="",0,
IF(NOT(ISNUMBER(Midterm!AM33)),"NAN",
IF(Midterm!AM33&lt;0,"NEG",
IF(Midterm!AM33&gt;AM$5,"OVER",
IF(AND(AM$5&lt;=100,Midterm!AM33&gt;100),"ERR",
IF(Info!$B$4="Non-board program",
IF(OR(AND(AM$5&gt;0,AM$5&gt;100),AND(AM$5&gt;0,AM$5&lt;100)),
VLOOKUP(FLOOR((Midterm!AM33/AM$5)*100,1),new_transmute,2,FALSE),
VLOOKUP(Midterm!AM33,new_transmute,2,FALSE)
),
IF(Info!$B$4="Board program",
IF(OR(AND(AM$5&gt;0,AM$5&gt;100),AND(AM$5&gt;0,AM$5&lt;100)),
VLOOKUP(FLOOR((Midterm!AM33/AM$5)*100,1),new_transmute,3,FALSE),
VLOOKUP(Midterm!AM33,new_transmute,3,FALSE)
),
IF(Info!$B$4="Board program (Medicine)",
IF(OR(AND(AM$5&gt;0,AM$5&gt;100),AND(AM$5&gt;0,AM$5&lt;100)),
VLOOKUP(FLOOR((Midterm!AM33/AM$5)*100,1),new_transmute,4,FALSE),
VLOOKUP(Midterm!AM33,new_transmute,4,FALSE)
),
""
)
)
)
)
)
)
)
)
))</f>
        <v/>
      </c>
      <c r="AN33" s="14" t="str">
        <f>IF($B33="","",
IF(AN$5="","",
IF(Midterm!AN33="",0,
IF(NOT(ISNUMBER(Midterm!AN33)),"NAN",
IF(Midterm!AN33&lt;0,"NEG",
IF(Midterm!AN33&gt;AN$5,"OVER",
IF(AND(AN$5&lt;=100,Midterm!AN33&gt;100),"ERR",
IF(Info!$B$4="Non-board program",
IF(OR(AND(AN$5&gt;0,AN$5&gt;100),AND(AN$5&gt;0,AN$5&lt;100)),
VLOOKUP(FLOOR((Midterm!AN33/AN$5)*100,1),new_transmute,2,FALSE),
VLOOKUP(Midterm!AN33,new_transmute,2,FALSE)
),
IF(Info!$B$4="Board program",
IF(OR(AND(AN$5&gt;0,AN$5&gt;100),AND(AN$5&gt;0,AN$5&lt;100)),
VLOOKUP(FLOOR((Midterm!AN33/AN$5)*100,1),new_transmute,3,FALSE),
VLOOKUP(Midterm!AN33,new_transmute,3,FALSE)
),
IF(Info!$B$4="Board program (Medicine)",
IF(OR(AND(AN$5&gt;0,AN$5&gt;100),AND(AN$5&gt;0,AN$5&lt;100)),
VLOOKUP(FLOOR((Midterm!AN33/AN$5)*100,1),new_transmute,4,FALSE),
VLOOKUP(Midterm!AN33,new_transmute,4,FALSE)
),
""
)
)
)
)
)
)
)
)
))</f>
        <v/>
      </c>
      <c r="AO33" s="14" t="str">
        <f>IF($B33="","",
IF(AO$5="","",
IF(Midterm!AO33="",0,
IF(NOT(ISNUMBER(Midterm!AO33)),"NAN",
IF(Midterm!AO33&lt;0,"NEG",
IF(Midterm!AO33&gt;AO$5,"OVER",
IF(AND(AO$5&lt;=100,Midterm!AO33&gt;100),"ERR",
IF(Info!$B$4="Non-board program",
IF(OR(AND(AO$5&gt;0,AO$5&gt;100),AND(AO$5&gt;0,AO$5&lt;100)),
VLOOKUP(FLOOR((Midterm!AO33/AO$5)*100,1),new_transmute,2,FALSE),
VLOOKUP(Midterm!AO33,new_transmute,2,FALSE)
),
IF(Info!$B$4="Board program",
IF(OR(AND(AO$5&gt;0,AO$5&gt;100),AND(AO$5&gt;0,AO$5&lt;100)),
VLOOKUP(FLOOR((Midterm!AO33/AO$5)*100,1),new_transmute,3,FALSE),
VLOOKUP(Midterm!AO33,new_transmute,3,FALSE)
),
IF(Info!$B$4="Board program (Medicine)",
IF(OR(AND(AO$5&gt;0,AO$5&gt;100),AND(AO$5&gt;0,AO$5&lt;100)),
VLOOKUP(FLOOR((Midterm!AO33/AO$5)*100,1),new_transmute,4,FALSE),
VLOOKUP(Midterm!AO33,new_transmute,4,FALSE)
),
""
)
)
)
)
)
)
)
)
))</f>
        <v/>
      </c>
      <c r="AP33" s="14" t="str">
        <f>IF($B33="","",
IF(AP$5="","",
IF(Midterm!AP33="",0,
IF(NOT(ISNUMBER(Midterm!AP33)),"NAN",
IF(Midterm!AP33&lt;0,"NEG",
IF(Midterm!AP33&gt;AP$5,"OVER",
IF(AND(AP$5&lt;=100,Midterm!AP33&gt;100),"ERR",
IF(Info!$B$4="Non-board program",
IF(OR(AND(AP$5&gt;0,AP$5&gt;100),AND(AP$5&gt;0,AP$5&lt;100)),
VLOOKUP(FLOOR((Midterm!AP33/AP$5)*100,1),new_transmute,2,FALSE),
VLOOKUP(Midterm!AP33,new_transmute,2,FALSE)
),
IF(Info!$B$4="Board program",
IF(OR(AND(AP$5&gt;0,AP$5&gt;100),AND(AP$5&gt;0,AP$5&lt;100)),
VLOOKUP(FLOOR((Midterm!AP33/AP$5)*100,1),new_transmute,3,FALSE),
VLOOKUP(Midterm!AP33,new_transmute,3,FALSE)
),
IF(Info!$B$4="Board program (Medicine)",
IF(OR(AND(AP$5&gt;0,AP$5&gt;100),AND(AP$5&gt;0,AP$5&lt;100)),
VLOOKUP(FLOOR((Midterm!AP33/AP$5)*100,1),new_transmute,4,FALSE),
VLOOKUP(Midterm!AP33,new_transmute,4,FALSE)
),
""
)
)
)
)
)
)
)
)
))</f>
        <v/>
      </c>
      <c r="AQ33" s="61" t="str">
        <f t="shared" si="7"/>
        <v/>
      </c>
      <c r="AR33" s="48" t="str">
        <f>IF(Midterm!AR33="","",Midterm!AR33)</f>
        <v/>
      </c>
      <c r="AS33" s="165" t="str">
        <f t="shared" si="8"/>
        <v/>
      </c>
      <c r="AT33" s="14" t="str">
        <f t="shared" si="0"/>
        <v/>
      </c>
      <c r="AU33" s="14" t="str">
        <f>IF(B33="","",VLOOKUP(AT33,'New Grade Equivalent'!$B$3:$C$47,2,FALSE))</f>
        <v/>
      </c>
    </row>
    <row r="34" spans="1:47" x14ac:dyDescent="0.25">
      <c r="A34" s="8">
        <v>29</v>
      </c>
      <c r="B34" s="2" t="str">
        <f>IF('Student List'!C38="","",UPPER(LEFT('Student List'!C38,FIND(",",'Student List'!C38)-1)))</f>
        <v/>
      </c>
      <c r="C34" s="12" t="str">
        <f>IF('Student List'!C38="","",PROPER(MID('Student List'!C38, FIND(",", 'Student List'!C38) + 2, LEN('Student List'!C38) - FIND(",", 'Student List'!C38) - 1)))</f>
        <v/>
      </c>
      <c r="D34" s="127" t="str">
        <f>IF(B34="","",IF(Midterm!D34="", "NA", Midterm!D34))</f>
        <v/>
      </c>
      <c r="E34" s="8" t="str">
        <f>IF(B34="","",
  IF(Info!$B$5="First Year",
    IF(D34="Yes", "DRP",
      IF(D34="No", "WF", "")
    )
  )
)</f>
        <v/>
      </c>
      <c r="F34" s="14" t="str">
        <f>IF($B34="","",
IF(F$5="","",
IF(Midterm!F34="",0,
IF(NOT(ISNUMBER(Midterm!F34)),"NAN",
IF(Midterm!F34&lt;0,"NEG",
IF(Midterm!F34&gt;F$5,"OVER",
IF(AND(F$5&lt;=100,Midterm!F34&gt;100),"ERR",
IF(Info!$B$4="Non-board program",
IF(OR(AND(F$5&gt;0,F$5&gt;100),AND(F$5&gt;0,F$5&lt;100)),
VLOOKUP(FLOOR((Midterm!F34/F$5)*100,1),new_transmute,2,FALSE),
VLOOKUP(Midterm!F34,new_transmute,2,FALSE)
),
IF(Info!$B$4="Board program",
IF(OR(AND(F$5&gt;0,F$5&gt;100),AND(F$5&gt;0,F$5&lt;100)),
VLOOKUP(FLOOR((Midterm!F34/F$5)*100,1),new_transmute,3,FALSE),
VLOOKUP(Midterm!F34,new_transmute,3,FALSE)
),
IF(Info!$B$4="Board program (Medicine)",
IF(OR(AND(F$5&gt;0,F$5&gt;100),AND(F$5&gt;0,F$5&lt;100)),
VLOOKUP(FLOOR((Midterm!F34/F$5)*100,1),new_transmute,4,FALSE),
VLOOKUP(Midterm!F34,new_transmute,4,FALSE)
),
""
)
)
)
)
)
)
)
)
))</f>
        <v/>
      </c>
      <c r="G34" s="57" t="str">
        <f t="shared" si="1"/>
        <v/>
      </c>
      <c r="H34" s="14" t="str">
        <f>IF($B34="","",
IF(H$5="","",
IF(Midterm!H34="",0,
IF(NOT(ISNUMBER(Midterm!H34)),"NAN",
IF(Midterm!H34&lt;0,"NEG",
IF(Midterm!H34&gt;H$5,"OVER",
IF(AND(H$5&lt;=100,Midterm!H34&gt;100),"ERR",
IF(Info!$B$4="Non-board program",
IF(OR(AND(H$5&gt;0,H$5&gt;100),AND(H$5&gt;0,H$5&lt;100)),
VLOOKUP(FLOOR((Midterm!H34/H$5)*100,1),new_transmute,2,FALSE),
VLOOKUP(Midterm!H34,new_transmute,2,FALSE)
),
IF(Info!$B$4="Board program",
IF(OR(AND(H$5&gt;0,H$5&gt;100),AND(H$5&gt;0,H$5&lt;100)),
VLOOKUP(FLOOR((Midterm!H34/H$5)*100,1),new_transmute,3,FALSE),
VLOOKUP(Midterm!H34,new_transmute,3,FALSE)
),
IF(Info!$B$4="Board program (Medicine)",
IF(OR(AND(H$5&gt;0,H$5&gt;100),AND(H$5&gt;0,H$5&lt;100)),
VLOOKUP(FLOOR((Midterm!H34/H$5)*100,1),new_transmute,4,FALSE),
VLOOKUP(Midterm!H34,new_transmute,4,FALSE)
),
""
)
)
)
)
)
)
)
)
))</f>
        <v/>
      </c>
      <c r="I34" s="14" t="str">
        <f>IF($B34="","",
IF(I$5="","",
IF(Midterm!I34="",0,
IF(NOT(ISNUMBER(Midterm!I34)),"NAN",
IF(Midterm!I34&lt;0,"NEG",
IF(Midterm!I34&gt;I$5,"OVER",
IF(AND(I$5&lt;=100,Midterm!I34&gt;100),"ERR",
IF(Info!$B$4="Non-board program",
IF(OR(AND(I$5&gt;0,I$5&gt;100),AND(I$5&gt;0,I$5&lt;100)),
VLOOKUP(FLOOR((Midterm!I34/I$5)*100,1),new_transmute,2,FALSE),
VLOOKUP(Midterm!I34,new_transmute,2,FALSE)
),
IF(Info!$B$4="Board program",
IF(OR(AND(I$5&gt;0,I$5&gt;100),AND(I$5&gt;0,I$5&lt;100)),
VLOOKUP(FLOOR((Midterm!I34/I$5)*100,1),new_transmute,3,FALSE),
VLOOKUP(Midterm!I34,new_transmute,3,FALSE)
),
IF(Info!$B$4="Board program (Medicine)",
IF(OR(AND(I$5&gt;0,I$5&gt;100),AND(I$5&gt;0,I$5&lt;100)),
VLOOKUP(FLOOR((Midterm!I34/I$5)*100,1),new_transmute,4,FALSE),
VLOOKUP(Midterm!I34,new_transmute,4,FALSE)
),
""
)
)
)
)
)
)
)
)
))</f>
        <v/>
      </c>
      <c r="J34" s="14" t="str">
        <f>IF($B34="","",
IF(J$5="","",
IF(Midterm!J34="",0,
IF(NOT(ISNUMBER(Midterm!J34)),"NAN",
IF(Midterm!J34&lt;0,"NEG",
IF(Midterm!J34&gt;J$5,"OVER",
IF(AND(J$5&lt;=100,Midterm!J34&gt;100),"ERR",
IF(Info!$B$4="Non-board program",
IF(OR(AND(J$5&gt;0,J$5&gt;100),AND(J$5&gt;0,J$5&lt;100)),
VLOOKUP(FLOOR((Midterm!J34/J$5)*100,1),new_transmute,2,FALSE),
VLOOKUP(Midterm!J34,new_transmute,2,FALSE)
),
IF(Info!$B$4="Board program",
IF(OR(AND(J$5&gt;0,J$5&gt;100),AND(J$5&gt;0,J$5&lt;100)),
VLOOKUP(FLOOR((Midterm!J34/J$5)*100,1),new_transmute,3,FALSE),
VLOOKUP(Midterm!J34,new_transmute,3,FALSE)
),
IF(Info!$B$4="Board program (Medicine)",
IF(OR(AND(J$5&gt;0,J$5&gt;100),AND(J$5&gt;0,J$5&lt;100)),
VLOOKUP(FLOOR((Midterm!J34/J$5)*100,1),new_transmute,4,FALSE),
VLOOKUP(Midterm!J34,new_transmute,4,FALSE)
),
""
)
)
)
)
)
)
)
)
))</f>
        <v/>
      </c>
      <c r="K34" s="14" t="str">
        <f>IF($B34="","",
IF(K$5="","",
IF(Midterm!K34="",0,
IF(NOT(ISNUMBER(Midterm!K34)),"NAN",
IF(Midterm!K34&lt;0,"NEG",
IF(Midterm!K34&gt;K$5,"OVER",
IF(AND(K$5&lt;=100,Midterm!K34&gt;100),"ERR",
IF(Info!$B$4="Non-board program",
IF(OR(AND(K$5&gt;0,K$5&gt;100),AND(K$5&gt;0,K$5&lt;100)),
VLOOKUP(FLOOR((Midterm!K34/K$5)*100,1),new_transmute,2,FALSE),
VLOOKUP(Midterm!K34,new_transmute,2,FALSE)
),
IF(Info!$B$4="Board program",
IF(OR(AND(K$5&gt;0,K$5&gt;100),AND(K$5&gt;0,K$5&lt;100)),
VLOOKUP(FLOOR((Midterm!K34/K$5)*100,1),new_transmute,3,FALSE),
VLOOKUP(Midterm!K34,new_transmute,3,FALSE)
),
IF(Info!$B$4="Board program (Medicine)",
IF(OR(AND(K$5&gt;0,K$5&gt;100),AND(K$5&gt;0,K$5&lt;100)),
VLOOKUP(FLOOR((Midterm!K34/K$5)*100,1),new_transmute,4,FALSE),
VLOOKUP(Midterm!K34,new_transmute,4,FALSE)
),
""
)
)
)
)
)
)
)
)
))</f>
        <v/>
      </c>
      <c r="L34" s="14" t="str">
        <f>IF($B34="","",
IF(L$5="","",
IF(Midterm!L34="",0,
IF(NOT(ISNUMBER(Midterm!L34)),"NAN",
IF(Midterm!L34&lt;0,"NEG",
IF(Midterm!L34&gt;L$5,"OVER",
IF(AND(L$5&lt;=100,Midterm!L34&gt;100),"ERR",
IF(Info!$B$4="Non-board program",
IF(OR(AND(L$5&gt;0,L$5&gt;100),AND(L$5&gt;0,L$5&lt;100)),
VLOOKUP(FLOOR((Midterm!L34/L$5)*100,1),new_transmute,2,FALSE),
VLOOKUP(Midterm!L34,new_transmute,2,FALSE)
),
IF(Info!$B$4="Board program",
IF(OR(AND(L$5&gt;0,L$5&gt;100),AND(L$5&gt;0,L$5&lt;100)),
VLOOKUP(FLOOR((Midterm!L34/L$5)*100,1),new_transmute,3,FALSE),
VLOOKUP(Midterm!L34,new_transmute,3,FALSE)
),
IF(Info!$B$4="Board program (Medicine)",
IF(OR(AND(L$5&gt;0,L$5&gt;100),AND(L$5&gt;0,L$5&lt;100)),
VLOOKUP(FLOOR((Midterm!L34/L$5)*100,1),new_transmute,4,FALSE),
VLOOKUP(Midterm!L34,new_transmute,4,FALSE)
),
""
)
)
)
)
)
)
)
)
))</f>
        <v/>
      </c>
      <c r="M34" s="111" t="str">
        <f t="shared" si="2"/>
        <v/>
      </c>
      <c r="N34" s="14" t="str">
        <f>IF($B34="","",
IF(N$5="","",
IF(Midterm!N34="",0,
IF(NOT(ISNUMBER(Midterm!N34)),"NAN",
IF(Midterm!N34&lt;0,"NEG",
IF(Midterm!N34&gt;N$5,"OVER",
IF(AND(N$5&lt;=100,Midterm!N34&gt;100),"ERR",
IF(Info!$B$4="Non-board program",
IF(OR(AND(N$5&gt;0,N$5&gt;100),AND(N$5&gt;0,N$5&lt;100)),
VLOOKUP(FLOOR((Midterm!N34/N$5)*100,1),new_transmute,2,FALSE),
VLOOKUP(Midterm!N34,new_transmute,2,FALSE)
),
IF(Info!$B$4="Board program",
IF(OR(AND(N$5&gt;0,N$5&gt;100),AND(N$5&gt;0,N$5&lt;100)),
VLOOKUP(FLOOR((Midterm!N34/N$5)*100,1),new_transmute,3,FALSE),
VLOOKUP(Midterm!N34,new_transmute,3,FALSE)
),
IF(Info!$B$4="Board program (Medicine)",
IF(OR(AND(N$5&gt;0,N$5&gt;100),AND(N$5&gt;0,N$5&lt;100)),
VLOOKUP(FLOOR((Midterm!N34/N$5)*100,1),new_transmute,4,FALSE),
VLOOKUP(Midterm!N34,new_transmute,4,FALSE)
),
""
)
)
)
)
)
)
)
)
))</f>
        <v/>
      </c>
      <c r="O34" s="14" t="str">
        <f>IF($B34="","",
IF(O$5="","",
IF(Midterm!O34="",0,
IF(NOT(ISNUMBER(Midterm!O34)),"NAN",
IF(Midterm!O34&lt;0,"NEG",
IF(Midterm!O34&gt;O$5,"OVER",
IF(AND(O$5&lt;=100,Midterm!O34&gt;100),"ERR",
IF(Info!$B$4="Non-board program",
IF(OR(AND(O$5&gt;0,O$5&gt;100),AND(O$5&gt;0,O$5&lt;100)),
VLOOKUP(FLOOR((Midterm!O34/O$5)*100,1),new_transmute,2,FALSE),
VLOOKUP(Midterm!O34,new_transmute,2,FALSE)
),
IF(Info!$B$4="Board program",
IF(OR(AND(O$5&gt;0,O$5&gt;100),AND(O$5&gt;0,O$5&lt;100)),
VLOOKUP(FLOOR((Midterm!O34/O$5)*100,1),new_transmute,3,FALSE),
VLOOKUP(Midterm!O34,new_transmute,3,FALSE)
),
IF(Info!$B$4="Board program (Medicine)",
IF(OR(AND(O$5&gt;0,O$5&gt;100),AND(O$5&gt;0,O$5&lt;100)),
VLOOKUP(FLOOR((Midterm!O34/O$5)*100,1),new_transmute,4,FALSE),
VLOOKUP(Midterm!O34,new_transmute,4,FALSE)
),
""
)
)
)
)
)
)
)
)
))</f>
        <v/>
      </c>
      <c r="P34" s="14" t="str">
        <f>IF($B34="","",
IF(P$5="","",
IF(Midterm!P34="",0,
IF(NOT(ISNUMBER(Midterm!P34)),"NAN",
IF(Midterm!P34&lt;0,"NEG",
IF(Midterm!P34&gt;P$5,"OVER",
IF(AND(P$5&lt;=100,Midterm!P34&gt;100),"ERR",
IF(Info!$B$4="Non-board program",
IF(OR(AND(P$5&gt;0,P$5&gt;100),AND(P$5&gt;0,P$5&lt;100)),
VLOOKUP(FLOOR((Midterm!P34/P$5)*100,1),new_transmute,2,FALSE),
VLOOKUP(Midterm!P34,new_transmute,2,FALSE)
),
IF(Info!$B$4="Board program",
IF(OR(AND(P$5&gt;0,P$5&gt;100),AND(P$5&gt;0,P$5&lt;100)),
VLOOKUP(FLOOR((Midterm!P34/P$5)*100,1),new_transmute,3,FALSE),
VLOOKUP(Midterm!P34,new_transmute,3,FALSE)
),
IF(Info!$B$4="Board program (Medicine)",
IF(OR(AND(P$5&gt;0,P$5&gt;100),AND(P$5&gt;0,P$5&lt;100)),
VLOOKUP(FLOOR((Midterm!P34/P$5)*100,1),new_transmute,4,FALSE),
VLOOKUP(Midterm!P34,new_transmute,4,FALSE)
),
""
)
)
)
)
)
)
)
)
))</f>
        <v/>
      </c>
      <c r="Q34" s="14" t="str">
        <f>IF($B34="","",
IF(Q$5="","",
IF(Midterm!Q34="",0,
IF(NOT(ISNUMBER(Midterm!Q34)),"NAN",
IF(Midterm!Q34&lt;0,"NEG",
IF(Midterm!Q34&gt;Q$5,"OVER",
IF(AND(Q$5&lt;=100,Midterm!Q34&gt;100),"ERR",
IF(Info!$B$4="Non-board program",
IF(OR(AND(Q$5&gt;0,Q$5&gt;100),AND(Q$5&gt;0,Q$5&lt;100)),
VLOOKUP(FLOOR((Midterm!Q34/Q$5)*100,1),new_transmute,2,FALSE),
VLOOKUP(Midterm!Q34,new_transmute,2,FALSE)
),
IF(Info!$B$4="Board program",
IF(OR(AND(Q$5&gt;0,Q$5&gt;100),AND(Q$5&gt;0,Q$5&lt;100)),
VLOOKUP(FLOOR((Midterm!Q34/Q$5)*100,1),new_transmute,3,FALSE),
VLOOKUP(Midterm!Q34,new_transmute,3,FALSE)
),
IF(Info!$B$4="Board program (Medicine)",
IF(OR(AND(Q$5&gt;0,Q$5&gt;100),AND(Q$5&gt;0,Q$5&lt;100)),
VLOOKUP(FLOOR((Midterm!Q34/Q$5)*100,1),new_transmute,4,FALSE),
VLOOKUP(Midterm!Q34,new_transmute,4,FALSE)
),
""
)
)
)
)
)
)
)
)
))</f>
        <v/>
      </c>
      <c r="R34" s="14" t="str">
        <f>IF($B34="","",
IF(R$5="","",
IF(Midterm!R34="",0,
IF(NOT(ISNUMBER(Midterm!R34)),"NAN",
IF(Midterm!R34&lt;0,"NEG",
IF(Midterm!R34&gt;R$5,"OVER",
IF(AND(R$5&lt;=100,Midterm!R34&gt;100),"ERR",
IF(Info!$B$4="Non-board program",
IF(OR(AND(R$5&gt;0,R$5&gt;100),AND(R$5&gt;0,R$5&lt;100)),
VLOOKUP(FLOOR((Midterm!R34/R$5)*100,1),new_transmute,2,FALSE),
VLOOKUP(Midterm!R34,new_transmute,2,FALSE)
),
IF(Info!$B$4="Board program",
IF(OR(AND(R$5&gt;0,R$5&gt;100),AND(R$5&gt;0,R$5&lt;100)),
VLOOKUP(FLOOR((Midterm!R34/R$5)*100,1),new_transmute,3,FALSE),
VLOOKUP(Midterm!R34,new_transmute,3,FALSE)
),
IF(Info!$B$4="Board program (Medicine)",
IF(OR(AND(R$5&gt;0,R$5&gt;100),AND(R$5&gt;0,R$5&lt;100)),
VLOOKUP(FLOOR((Midterm!R34/R$5)*100,1),new_transmute,4,FALSE),
VLOOKUP(Midterm!R34,new_transmute,4,FALSE)
),
""
)
)
)
)
)
)
)
)
))</f>
        <v/>
      </c>
      <c r="S34" s="115" t="str">
        <f t="shared" si="3"/>
        <v/>
      </c>
      <c r="T34" s="14" t="str">
        <f>IF($B34="","",
IF(T$5="","",
IF(Midterm!T34="",0,
IF(NOT(ISNUMBER(Midterm!T34)),"NAN",
IF(Midterm!T34&lt;0,"NEG",
IF(Midterm!T34&gt;T$5,"OVER",
IF(AND(T$5&lt;=100,Midterm!T34&gt;100),"ERR",
IF(Info!$B$4="Non-board program",
IF(OR(AND(T$5&gt;0,T$5&gt;100),AND(T$5&gt;0,T$5&lt;100)),
VLOOKUP(FLOOR((Midterm!T34/T$5)*100,1),new_transmute,2,FALSE),
VLOOKUP(Midterm!T34,new_transmute,2,FALSE)
),
IF(Info!$B$4="Board program",
IF(OR(AND(T$5&gt;0,T$5&gt;100),AND(T$5&gt;0,T$5&lt;100)),
VLOOKUP(FLOOR((Midterm!T34/T$5)*100,1),new_transmute,3,FALSE),
VLOOKUP(Midterm!T34,new_transmute,3,FALSE)
),
IF(Info!$B$4="Board program (Medicine)",
IF(OR(AND(T$5&gt;0,T$5&gt;100),AND(T$5&gt;0,T$5&lt;100)),
VLOOKUP(FLOOR((Midterm!T34/T$5)*100,1),new_transmute,4,FALSE),
VLOOKUP(Midterm!T34,new_transmute,4,FALSE)
),
""
)
)
)
)
)
)
)
)
))</f>
        <v/>
      </c>
      <c r="U34" s="14" t="str">
        <f>IF($B34="","",
IF(U$5="","",
IF(Midterm!U34="",0,
IF(NOT(ISNUMBER(Midterm!U34)),"NAN",
IF(Midterm!U34&lt;0,"NEG",
IF(Midterm!U34&gt;U$5,"OVER",
IF(AND(U$5&lt;=100,Midterm!U34&gt;100),"ERR",
IF(Info!$B$4="Non-board program",
IF(OR(AND(U$5&gt;0,U$5&gt;100),AND(U$5&gt;0,U$5&lt;100)),
VLOOKUP(FLOOR((Midterm!U34/U$5)*100,1),new_transmute,2,FALSE),
VLOOKUP(Midterm!U34,new_transmute,2,FALSE)
),
IF(Info!$B$4="Board program",
IF(OR(AND(U$5&gt;0,U$5&gt;100),AND(U$5&gt;0,U$5&lt;100)),
VLOOKUP(FLOOR((Midterm!U34/U$5)*100,1),new_transmute,3,FALSE),
VLOOKUP(Midterm!U34,new_transmute,3,FALSE)
),
IF(Info!$B$4="Board program (Medicine)",
IF(OR(AND(U$5&gt;0,U$5&gt;100),AND(U$5&gt;0,U$5&lt;100)),
VLOOKUP(FLOOR((Midterm!U34/U$5)*100,1),new_transmute,4,FALSE),
VLOOKUP(Midterm!U34,new_transmute,4,FALSE)
),
""
)
)
)
)
)
)
)
)
))</f>
        <v/>
      </c>
      <c r="V34" s="14" t="str">
        <f>IF($B34="","",
IF(V$5="","",
IF(Midterm!V34="",0,
IF(NOT(ISNUMBER(Midterm!V34)),"NAN",
IF(Midterm!V34&lt;0,"NEG",
IF(Midterm!V34&gt;V$5,"OVER",
IF(AND(V$5&lt;=100,Midterm!V34&gt;100),"ERR",
IF(Info!$B$4="Non-board program",
IF(OR(AND(V$5&gt;0,V$5&gt;100),AND(V$5&gt;0,V$5&lt;100)),
VLOOKUP(FLOOR((Midterm!V34/V$5)*100,1),new_transmute,2,FALSE),
VLOOKUP(Midterm!V34,new_transmute,2,FALSE)
),
IF(Info!$B$4="Board program",
IF(OR(AND(V$5&gt;0,V$5&gt;100),AND(V$5&gt;0,V$5&lt;100)),
VLOOKUP(FLOOR((Midterm!V34/V$5)*100,1),new_transmute,3,FALSE),
VLOOKUP(Midterm!V34,new_transmute,3,FALSE)
),
IF(Info!$B$4="Board program (Medicine)",
IF(OR(AND(V$5&gt;0,V$5&gt;100),AND(V$5&gt;0,V$5&lt;100)),
VLOOKUP(FLOOR((Midterm!V34/V$5)*100,1),new_transmute,4,FALSE),
VLOOKUP(Midterm!V34,new_transmute,4,FALSE)
),
""
)
)
)
)
)
)
)
)
))</f>
        <v/>
      </c>
      <c r="W34" s="14" t="str">
        <f>IF($B34="","",
IF(W$5="","",
IF(Midterm!W34="",0,
IF(NOT(ISNUMBER(Midterm!W34)),"NAN",
IF(Midterm!W34&lt;0,"NEG",
IF(Midterm!W34&gt;W$5,"OVER",
IF(AND(W$5&lt;=100,Midterm!W34&gt;100),"ERR",
IF(Info!$B$4="Non-board program",
IF(OR(AND(W$5&gt;0,W$5&gt;100),AND(W$5&gt;0,W$5&lt;100)),
VLOOKUP(FLOOR((Midterm!W34/W$5)*100,1),new_transmute,2,FALSE),
VLOOKUP(Midterm!W34,new_transmute,2,FALSE)
),
IF(Info!$B$4="Board program",
IF(OR(AND(W$5&gt;0,W$5&gt;100),AND(W$5&gt;0,W$5&lt;100)),
VLOOKUP(FLOOR((Midterm!W34/W$5)*100,1),new_transmute,3,FALSE),
VLOOKUP(Midterm!W34,new_transmute,3,FALSE)
),
IF(Info!$B$4="Board program (Medicine)",
IF(OR(AND(W$5&gt;0,W$5&gt;100),AND(W$5&gt;0,W$5&lt;100)),
VLOOKUP(FLOOR((Midterm!W34/W$5)*100,1),new_transmute,4,FALSE),
VLOOKUP(Midterm!W34,new_transmute,4,FALSE)
),
""
)
)
)
)
)
)
)
)
))</f>
        <v/>
      </c>
      <c r="X34" s="14" t="str">
        <f>IF($B34="","",
IF(X$5="","",
IF(Midterm!X34="",0,
IF(NOT(ISNUMBER(Midterm!X34)),"NAN",
IF(Midterm!X34&lt;0,"NEG",
IF(Midterm!X34&gt;X$5,"OVER",
IF(AND(X$5&lt;=100,Midterm!X34&gt;100),"ERR",
IF(Info!$B$4="Non-board program",
IF(OR(AND(X$5&gt;0,X$5&gt;100),AND(X$5&gt;0,X$5&lt;100)),
VLOOKUP(FLOOR((Midterm!X34/X$5)*100,1),new_transmute,2,FALSE),
VLOOKUP(Midterm!X34,new_transmute,2,FALSE)
),
IF(Info!$B$4="Board program",
IF(OR(AND(X$5&gt;0,X$5&gt;100),AND(X$5&gt;0,X$5&lt;100)),
VLOOKUP(FLOOR((Midterm!X34/X$5)*100,1),new_transmute,3,FALSE),
VLOOKUP(Midterm!X34,new_transmute,3,FALSE)
),
IF(Info!$B$4="Board program (Medicine)",
IF(OR(AND(X$5&gt;0,X$5&gt;100),AND(X$5&gt;0,X$5&lt;100)),
VLOOKUP(FLOOR((Midterm!X34/X$5)*100,1),new_transmute,4,FALSE),
VLOOKUP(Midterm!X34,new_transmute,4,FALSE)
),
""
)
)
)
)
)
)
)
)
))</f>
        <v/>
      </c>
      <c r="Y34" s="112" t="str">
        <f t="shared" si="4"/>
        <v/>
      </c>
      <c r="Z34" s="14" t="str">
        <f>IF($B34="","",
IF(Z$5="","",
IF(Midterm!Z34="",0,
IF(NOT(ISNUMBER(Midterm!Z34)),"NAN",
IF(Midterm!Z34&lt;0,"NEG",
IF(Midterm!Z34&gt;Z$5,"OVER",
IF(AND(Z$5&lt;=100,Midterm!Z34&gt;100),"ERR",
IF(Info!$B$4="Non-board program",
IF(OR(AND(Z$5&gt;0,Z$5&gt;100),AND(Z$5&gt;0,Z$5&lt;100)),
VLOOKUP(FLOOR((Midterm!Z34/Z$5)*100,1),new_transmute,2,FALSE),
VLOOKUP(Midterm!Z34,new_transmute,2,FALSE)
),
IF(Info!$B$4="Board program",
IF(OR(AND(Z$5&gt;0,Z$5&gt;100),AND(Z$5&gt;0,Z$5&lt;100)),
VLOOKUP(FLOOR((Midterm!Z34/Z$5)*100,1),new_transmute,3,FALSE),
VLOOKUP(Midterm!Z34,new_transmute,3,FALSE)
),
IF(Info!$B$4="Board program (Medicine)",
IF(OR(AND(Z$5&gt;0,Z$5&gt;100),AND(Z$5&gt;0,Z$5&lt;100)),
VLOOKUP(FLOOR((Midterm!Z34/Z$5)*100,1),new_transmute,4,FALSE),
VLOOKUP(Midterm!Z34,new_transmute,4,FALSE)
),
""
)
)
)
)
)
)
)
)
))</f>
        <v/>
      </c>
      <c r="AA34" s="14" t="str">
        <f>IF($B34="","",
IF(AA$5="","",
IF(Midterm!AA34="",0,
IF(NOT(ISNUMBER(Midterm!AA34)),"NAN",
IF(Midterm!AA34&lt;0,"NEG",
IF(Midterm!AA34&gt;AA$5,"OVER",
IF(AND(AA$5&lt;=100,Midterm!AA34&gt;100),"ERR",
IF(Info!$B$4="Non-board program",
IF(OR(AND(AA$5&gt;0,AA$5&gt;100),AND(AA$5&gt;0,AA$5&lt;100)),
VLOOKUP(FLOOR((Midterm!AA34/AA$5)*100,1),new_transmute,2,FALSE),
VLOOKUP(Midterm!AA34,new_transmute,2,FALSE)
),
IF(Info!$B$4="Board program",
IF(OR(AND(AA$5&gt;0,AA$5&gt;100),AND(AA$5&gt;0,AA$5&lt;100)),
VLOOKUP(FLOOR((Midterm!AA34/AA$5)*100,1),new_transmute,3,FALSE),
VLOOKUP(Midterm!AA34,new_transmute,3,FALSE)
),
IF(Info!$B$4="Board program (Medicine)",
IF(OR(AND(AA$5&gt;0,AA$5&gt;100),AND(AA$5&gt;0,AA$5&lt;100)),
VLOOKUP(FLOOR((Midterm!AA34/AA$5)*100,1),new_transmute,4,FALSE),
VLOOKUP(Midterm!AA34,new_transmute,4,FALSE)
),
""
)
)
)
)
)
)
)
)
))</f>
        <v/>
      </c>
      <c r="AB34" s="14" t="str">
        <f>IF($B34="","",
IF(AB$5="","",
IF(Midterm!AB34="",0,
IF(NOT(ISNUMBER(Midterm!AB34)),"NAN",
IF(Midterm!AB34&lt;0,"NEG",
IF(Midterm!AB34&gt;AB$5,"OVER",
IF(AND(AB$5&lt;=100,Midterm!AB34&gt;100),"ERR",
IF(Info!$B$4="Non-board program",
IF(OR(AND(AB$5&gt;0,AB$5&gt;100),AND(AB$5&gt;0,AB$5&lt;100)),
VLOOKUP(FLOOR((Midterm!AB34/AB$5)*100,1),new_transmute,2,FALSE),
VLOOKUP(Midterm!AB34,new_transmute,2,FALSE)
),
IF(Info!$B$4="Board program",
IF(OR(AND(AB$5&gt;0,AB$5&gt;100),AND(AB$5&gt;0,AB$5&lt;100)),
VLOOKUP(FLOOR((Midterm!AB34/AB$5)*100,1),new_transmute,3,FALSE),
VLOOKUP(Midterm!AB34,new_transmute,3,FALSE)
),
IF(Info!$B$4="Board program (Medicine)",
IF(OR(AND(AB$5&gt;0,AB$5&gt;100),AND(AB$5&gt;0,AB$5&lt;100)),
VLOOKUP(FLOOR((Midterm!AB34/AB$5)*100,1),new_transmute,4,FALSE),
VLOOKUP(Midterm!AB34,new_transmute,4,FALSE)
),
""
)
)
)
)
)
)
)
)
))</f>
        <v/>
      </c>
      <c r="AC34" s="14" t="str">
        <f>IF($B34="","",
IF(AC$5="","",
IF(Midterm!AC34="",0,
IF(NOT(ISNUMBER(Midterm!AC34)),"NAN",
IF(Midterm!AC34&lt;0,"NEG",
IF(Midterm!AC34&gt;AC$5,"OVER",
IF(AND(AC$5&lt;=100,Midterm!AC34&gt;100),"ERR",
IF(Info!$B$4="Non-board program",
IF(OR(AND(AC$5&gt;0,AC$5&gt;100),AND(AC$5&gt;0,AC$5&lt;100)),
VLOOKUP(FLOOR((Midterm!AC34/AC$5)*100,1),new_transmute,2,FALSE),
VLOOKUP(Midterm!AC34,new_transmute,2,FALSE)
),
IF(Info!$B$4="Board program",
IF(OR(AND(AC$5&gt;0,AC$5&gt;100),AND(AC$5&gt;0,AC$5&lt;100)),
VLOOKUP(FLOOR((Midterm!AC34/AC$5)*100,1),new_transmute,3,FALSE),
VLOOKUP(Midterm!AC34,new_transmute,3,FALSE)
),
IF(Info!$B$4="Board program (Medicine)",
IF(OR(AND(AC$5&gt;0,AC$5&gt;100),AND(AC$5&gt;0,AC$5&lt;100)),
VLOOKUP(FLOOR((Midterm!AC34/AC$5)*100,1),new_transmute,4,FALSE),
VLOOKUP(Midterm!AC34,new_transmute,4,FALSE)
),
""
)
)
)
)
)
)
)
)
))</f>
        <v/>
      </c>
      <c r="AD34" s="14" t="str">
        <f>IF($B34="","",
IF(AD$5="","",
IF(Midterm!AD34="",0,
IF(NOT(ISNUMBER(Midterm!AD34)),"NAN",
IF(Midterm!AD34&lt;0,"NEG",
IF(Midterm!AD34&gt;AD$5,"OVER",
IF(AND(AD$5&lt;=100,Midterm!AD34&gt;100),"ERR",
IF(Info!$B$4="Non-board program",
IF(OR(AND(AD$5&gt;0,AD$5&gt;100),AND(AD$5&gt;0,AD$5&lt;100)),
VLOOKUP(FLOOR((Midterm!AD34/AD$5)*100,1),new_transmute,2,FALSE),
VLOOKUP(Midterm!AD34,new_transmute,2,FALSE)
),
IF(Info!$B$4="Board program",
IF(OR(AND(AD$5&gt;0,AD$5&gt;100),AND(AD$5&gt;0,AD$5&lt;100)),
VLOOKUP(FLOOR((Midterm!AD34/AD$5)*100,1),new_transmute,3,FALSE),
VLOOKUP(Midterm!AD34,new_transmute,3,FALSE)
),
IF(Info!$B$4="Board program (Medicine)",
IF(OR(AND(AD$5&gt;0,AD$5&gt;100),AND(AD$5&gt;0,AD$5&lt;100)),
VLOOKUP(FLOOR((Midterm!AD34/AD$5)*100,1),new_transmute,4,FALSE),
VLOOKUP(Midterm!AD34,new_transmute,4,FALSE)
),
""
)
)
)
)
)
)
)
)
))</f>
        <v/>
      </c>
      <c r="AE34" s="58" t="str">
        <f t="shared" si="5"/>
        <v/>
      </c>
      <c r="AF34" s="14" t="str">
        <f>IF($B34="","",
IF(AF$5="","",
IF(Midterm!AF34="",0,
IF(NOT(ISNUMBER(Midterm!AF34)),"NAN",
IF(Midterm!AF34&lt;0,"NEG",
IF(Midterm!AF34&gt;AF$5,"OVER",
IF(AND(AF$5&lt;=100,Midterm!AF34&gt;100),"ERR",
IF(Info!$B$4="Non-board program",
IF(OR(AND(AF$5&gt;0,AF$5&gt;100),AND(AF$5&gt;0,AF$5&lt;100)),
VLOOKUP(FLOOR((Midterm!AF34/AF$5)*100,1),new_transmute,2,FALSE),
VLOOKUP(Midterm!AF34,new_transmute,2,FALSE)
),
IF(Info!$B$4="Board program",
IF(OR(AND(AF$5&gt;0,AF$5&gt;100),AND(AF$5&gt;0,AF$5&lt;100)),
VLOOKUP(FLOOR((Midterm!AF34/AF$5)*100,1),new_transmute,3,FALSE),
VLOOKUP(Midterm!AF34,new_transmute,3,FALSE)
),
IF(Info!$B$4="Board program (Medicine)",
IF(OR(AND(AF$5&gt;0,AF$5&gt;100),AND(AF$5&gt;0,AF$5&lt;100)),
VLOOKUP(FLOOR((Midterm!AF34/AF$5)*100,1),new_transmute,4,FALSE),
VLOOKUP(Midterm!AF34,new_transmute,4,FALSE)
),
""
)
)
)
)
)
)
)
)
))</f>
        <v/>
      </c>
      <c r="AG34" s="14" t="str">
        <f>IF($B34="","",
IF(AG$5="","",
IF(Midterm!AG34="",0,
IF(NOT(ISNUMBER(Midterm!AG34)),"NAN",
IF(Midterm!AG34&lt;0,"NEG",
IF(Midterm!AG34&gt;AG$5,"OVER",
IF(AND(AG$5&lt;=100,Midterm!AG34&gt;100),"ERR",
IF(Info!$B$4="Non-board program",
IF(OR(AND(AG$5&gt;0,AG$5&gt;100),AND(AG$5&gt;0,AG$5&lt;100)),
VLOOKUP(FLOOR((Midterm!AG34/AG$5)*100,1),new_transmute,2,FALSE),
VLOOKUP(Midterm!AG34,new_transmute,2,FALSE)
),
IF(Info!$B$4="Board program",
IF(OR(AND(AG$5&gt;0,AG$5&gt;100),AND(AG$5&gt;0,AG$5&lt;100)),
VLOOKUP(FLOOR((Midterm!AG34/AG$5)*100,1),new_transmute,3,FALSE),
VLOOKUP(Midterm!AG34,new_transmute,3,FALSE)
),
IF(Info!$B$4="Board program (Medicine)",
IF(OR(AND(AG$5&gt;0,AG$5&gt;100),AND(AG$5&gt;0,AG$5&lt;100)),
VLOOKUP(FLOOR((Midterm!AG34/AG$5)*100,1),new_transmute,4,FALSE),
VLOOKUP(Midterm!AG34,new_transmute,4,FALSE)
),
""
)
)
)
)
)
)
)
)
))</f>
        <v/>
      </c>
      <c r="AH34" s="14" t="str">
        <f>IF($B34="","",
IF(AH$5="","",
IF(Midterm!AH34="",0,
IF(NOT(ISNUMBER(Midterm!AH34)),"NAN",
IF(Midterm!AH34&lt;0,"NEG",
IF(Midterm!AH34&gt;AH$5,"OVER",
IF(AND(AH$5&lt;=100,Midterm!AH34&gt;100),"ERR",
IF(Info!$B$4="Non-board program",
IF(OR(AND(AH$5&gt;0,AH$5&gt;100),AND(AH$5&gt;0,AH$5&lt;100)),
VLOOKUP(FLOOR((Midterm!AH34/AH$5)*100,1),new_transmute,2,FALSE),
VLOOKUP(Midterm!AH34,new_transmute,2,FALSE)
),
IF(Info!$B$4="Board program",
IF(OR(AND(AH$5&gt;0,AH$5&gt;100),AND(AH$5&gt;0,AH$5&lt;100)),
VLOOKUP(FLOOR((Midterm!AH34/AH$5)*100,1),new_transmute,3,FALSE),
VLOOKUP(Midterm!AH34,new_transmute,3,FALSE)
),
IF(Info!$B$4="Board program (Medicine)",
IF(OR(AND(AH$5&gt;0,AH$5&gt;100),AND(AH$5&gt;0,AH$5&lt;100)),
VLOOKUP(FLOOR((Midterm!AH34/AH$5)*100,1),new_transmute,4,FALSE),
VLOOKUP(Midterm!AH34,new_transmute,4,FALSE)
),
""
)
)
)
)
)
)
)
)
))</f>
        <v/>
      </c>
      <c r="AI34" s="14" t="str">
        <f>IF($B34="","",
IF(AI$5="","",
IF(Midterm!AI34="",0,
IF(NOT(ISNUMBER(Midterm!AI34)),"NAN",
IF(Midterm!AI34&lt;0,"NEG",
IF(Midterm!AI34&gt;AI$5,"OVER",
IF(AND(AI$5&lt;=100,Midterm!AI34&gt;100),"ERR",
IF(Info!$B$4="Non-board program",
IF(OR(AND(AI$5&gt;0,AI$5&gt;100),AND(AI$5&gt;0,AI$5&lt;100)),
VLOOKUP(FLOOR((Midterm!AI34/AI$5)*100,1),new_transmute,2,FALSE),
VLOOKUP(Midterm!AI34,new_transmute,2,FALSE)
),
IF(Info!$B$4="Board program",
IF(OR(AND(AI$5&gt;0,AI$5&gt;100),AND(AI$5&gt;0,AI$5&lt;100)),
VLOOKUP(FLOOR((Midterm!AI34/AI$5)*100,1),new_transmute,3,FALSE),
VLOOKUP(Midterm!AI34,new_transmute,3,FALSE)
),
IF(Info!$B$4="Board program (Medicine)",
IF(OR(AND(AI$5&gt;0,AI$5&gt;100),AND(AI$5&gt;0,AI$5&lt;100)),
VLOOKUP(FLOOR((Midterm!AI34/AI$5)*100,1),new_transmute,4,FALSE),
VLOOKUP(Midterm!AI34,new_transmute,4,FALSE)
),
""
)
)
)
)
)
)
)
)
))</f>
        <v/>
      </c>
      <c r="AJ34" s="14" t="str">
        <f>IF($B34="","",
IF(AJ$5="","",
IF(Midterm!AJ34="",0,
IF(NOT(ISNUMBER(Midterm!AJ34)),"NAN",
IF(Midterm!AJ34&lt;0,"NEG",
IF(Midterm!AJ34&gt;AJ$5,"OVER",
IF(AND(AJ$5&lt;=100,Midterm!AJ34&gt;100),"ERR",
IF(Info!$B$4="Non-board program",
IF(OR(AND(AJ$5&gt;0,AJ$5&gt;100),AND(AJ$5&gt;0,AJ$5&lt;100)),
VLOOKUP(FLOOR((Midterm!AJ34/AJ$5)*100,1),new_transmute,2,FALSE),
VLOOKUP(Midterm!AJ34,new_transmute,2,FALSE)
),
IF(Info!$B$4="Board program",
IF(OR(AND(AJ$5&gt;0,AJ$5&gt;100),AND(AJ$5&gt;0,AJ$5&lt;100)),
VLOOKUP(FLOOR((Midterm!AJ34/AJ$5)*100,1),new_transmute,3,FALSE),
VLOOKUP(Midterm!AJ34,new_transmute,3,FALSE)
),
IF(Info!$B$4="Board program (Medicine)",
IF(OR(AND(AJ$5&gt;0,AJ$5&gt;100),AND(AJ$5&gt;0,AJ$5&lt;100)),
VLOOKUP(FLOOR((Midterm!AJ34/AJ$5)*100,1),new_transmute,4,FALSE),
VLOOKUP(Midterm!AJ34,new_transmute,4,FALSE)
),
""
)
)
)
)
)
)
)
)
))</f>
        <v/>
      </c>
      <c r="AK34" s="59" t="str">
        <f t="shared" si="6"/>
        <v/>
      </c>
      <c r="AL34" s="60" t="str">
        <f>IF(B34="", "",
    IF(OR(M34="OVER", S34="OVER", Y34="OVER", AE34="OVER", AK34="OVER"),
        "OVER",
        IF(Info!$B$4="Non-board program",
            VLOOKUP(IFERROR(FLOOR(SUM((M34*$M$4), (S34*$S$4), (Y34*$Y$4), (AE34*$AE$4), (AK34*$AK$4)) * (100 / 60), 1), 0), new_transmute, 2, FALSE),
            IF(Info!$B$4="Board program",
                VLOOKUP(IFERROR(FLOOR(SUM((M34*$M$4), (S34*$S$4), (Y34*$Y$4), (AE34*$AE$4), (AK34*$AK$4)) * (100 / 60), 1), 0), new_transmute, 3, FALSE),
                IF(Info!$B$4="Board program (Medicine)",
                    VLOOKUP(IFERROR(FLOOR(SUM((M34*$M$4), (S34*$S$4), (Y34*$Y$4), (AE34*$AE$4), (AK34*$AK$4)) * (100 / 60), 1), 0), new_transmute, 4, FALSE),
                    ""
                )
            )
        )
    )
)</f>
        <v/>
      </c>
      <c r="AM34" s="14" t="str">
        <f>IF($B34="","",
IF(AM$5="","",
IF(Midterm!AM34="",0,
IF(NOT(ISNUMBER(Midterm!AM34)),"NAN",
IF(Midterm!AM34&lt;0,"NEG",
IF(Midterm!AM34&gt;AM$5,"OVER",
IF(AND(AM$5&lt;=100,Midterm!AM34&gt;100),"ERR",
IF(Info!$B$4="Non-board program",
IF(OR(AND(AM$5&gt;0,AM$5&gt;100),AND(AM$5&gt;0,AM$5&lt;100)),
VLOOKUP(FLOOR((Midterm!AM34/AM$5)*100,1),new_transmute,2,FALSE),
VLOOKUP(Midterm!AM34,new_transmute,2,FALSE)
),
IF(Info!$B$4="Board program",
IF(OR(AND(AM$5&gt;0,AM$5&gt;100),AND(AM$5&gt;0,AM$5&lt;100)),
VLOOKUP(FLOOR((Midterm!AM34/AM$5)*100,1),new_transmute,3,FALSE),
VLOOKUP(Midterm!AM34,new_transmute,3,FALSE)
),
IF(Info!$B$4="Board program (Medicine)",
IF(OR(AND(AM$5&gt;0,AM$5&gt;100),AND(AM$5&gt;0,AM$5&lt;100)),
VLOOKUP(FLOOR((Midterm!AM34/AM$5)*100,1),new_transmute,4,FALSE),
VLOOKUP(Midterm!AM34,new_transmute,4,FALSE)
),
""
)
)
)
)
)
)
)
)
))</f>
        <v/>
      </c>
      <c r="AN34" s="14" t="str">
        <f>IF($B34="","",
IF(AN$5="","",
IF(Midterm!AN34="",0,
IF(NOT(ISNUMBER(Midterm!AN34)),"NAN",
IF(Midterm!AN34&lt;0,"NEG",
IF(Midterm!AN34&gt;AN$5,"OVER",
IF(AND(AN$5&lt;=100,Midterm!AN34&gt;100),"ERR",
IF(Info!$B$4="Non-board program",
IF(OR(AND(AN$5&gt;0,AN$5&gt;100),AND(AN$5&gt;0,AN$5&lt;100)),
VLOOKUP(FLOOR((Midterm!AN34/AN$5)*100,1),new_transmute,2,FALSE),
VLOOKUP(Midterm!AN34,new_transmute,2,FALSE)
),
IF(Info!$B$4="Board program",
IF(OR(AND(AN$5&gt;0,AN$5&gt;100),AND(AN$5&gt;0,AN$5&lt;100)),
VLOOKUP(FLOOR((Midterm!AN34/AN$5)*100,1),new_transmute,3,FALSE),
VLOOKUP(Midterm!AN34,new_transmute,3,FALSE)
),
IF(Info!$B$4="Board program (Medicine)",
IF(OR(AND(AN$5&gt;0,AN$5&gt;100),AND(AN$5&gt;0,AN$5&lt;100)),
VLOOKUP(FLOOR((Midterm!AN34/AN$5)*100,1),new_transmute,4,FALSE),
VLOOKUP(Midterm!AN34,new_transmute,4,FALSE)
),
""
)
)
)
)
)
)
)
)
))</f>
        <v/>
      </c>
      <c r="AO34" s="14" t="str">
        <f>IF($B34="","",
IF(AO$5="","",
IF(Midterm!AO34="",0,
IF(NOT(ISNUMBER(Midterm!AO34)),"NAN",
IF(Midterm!AO34&lt;0,"NEG",
IF(Midterm!AO34&gt;AO$5,"OVER",
IF(AND(AO$5&lt;=100,Midterm!AO34&gt;100),"ERR",
IF(Info!$B$4="Non-board program",
IF(OR(AND(AO$5&gt;0,AO$5&gt;100),AND(AO$5&gt;0,AO$5&lt;100)),
VLOOKUP(FLOOR((Midterm!AO34/AO$5)*100,1),new_transmute,2,FALSE),
VLOOKUP(Midterm!AO34,new_transmute,2,FALSE)
),
IF(Info!$B$4="Board program",
IF(OR(AND(AO$5&gt;0,AO$5&gt;100),AND(AO$5&gt;0,AO$5&lt;100)),
VLOOKUP(FLOOR((Midterm!AO34/AO$5)*100,1),new_transmute,3,FALSE),
VLOOKUP(Midterm!AO34,new_transmute,3,FALSE)
),
IF(Info!$B$4="Board program (Medicine)",
IF(OR(AND(AO$5&gt;0,AO$5&gt;100),AND(AO$5&gt;0,AO$5&lt;100)),
VLOOKUP(FLOOR((Midterm!AO34/AO$5)*100,1),new_transmute,4,FALSE),
VLOOKUP(Midterm!AO34,new_transmute,4,FALSE)
),
""
)
)
)
)
)
)
)
)
))</f>
        <v/>
      </c>
      <c r="AP34" s="14" t="str">
        <f>IF($B34="","",
IF(AP$5="","",
IF(Midterm!AP34="",0,
IF(NOT(ISNUMBER(Midterm!AP34)),"NAN",
IF(Midterm!AP34&lt;0,"NEG",
IF(Midterm!AP34&gt;AP$5,"OVER",
IF(AND(AP$5&lt;=100,Midterm!AP34&gt;100),"ERR",
IF(Info!$B$4="Non-board program",
IF(OR(AND(AP$5&gt;0,AP$5&gt;100),AND(AP$5&gt;0,AP$5&lt;100)),
VLOOKUP(FLOOR((Midterm!AP34/AP$5)*100,1),new_transmute,2,FALSE),
VLOOKUP(Midterm!AP34,new_transmute,2,FALSE)
),
IF(Info!$B$4="Board program",
IF(OR(AND(AP$5&gt;0,AP$5&gt;100),AND(AP$5&gt;0,AP$5&lt;100)),
VLOOKUP(FLOOR((Midterm!AP34/AP$5)*100,1),new_transmute,3,FALSE),
VLOOKUP(Midterm!AP34,new_transmute,3,FALSE)
),
IF(Info!$B$4="Board program (Medicine)",
IF(OR(AND(AP$5&gt;0,AP$5&gt;100),AND(AP$5&gt;0,AP$5&lt;100)),
VLOOKUP(FLOOR((Midterm!AP34/AP$5)*100,1),new_transmute,4,FALSE),
VLOOKUP(Midterm!AP34,new_transmute,4,FALSE)
),
""
)
)
)
)
)
)
)
)
))</f>
        <v/>
      </c>
      <c r="AQ34" s="61" t="str">
        <f t="shared" si="7"/>
        <v/>
      </c>
      <c r="AR34" s="48" t="str">
        <f>IF(Midterm!AR34="","",Midterm!AR34)</f>
        <v/>
      </c>
      <c r="AS34" s="165" t="str">
        <f t="shared" si="8"/>
        <v/>
      </c>
      <c r="AT34" s="14" t="str">
        <f t="shared" si="0"/>
        <v/>
      </c>
      <c r="AU34" s="14" t="str">
        <f>IF(B34="","",VLOOKUP(AT34,'New Grade Equivalent'!$B$3:$C$47,2,FALSE))</f>
        <v/>
      </c>
    </row>
    <row r="35" spans="1:47" x14ac:dyDescent="0.25">
      <c r="A35" s="8">
        <v>30</v>
      </c>
      <c r="B35" s="2" t="str">
        <f>IF('Student List'!C39="","",UPPER(LEFT('Student List'!C39,FIND(",",'Student List'!C39)-1)))</f>
        <v/>
      </c>
      <c r="C35" s="12" t="str">
        <f>IF('Student List'!C39="","",PROPER(MID('Student List'!C39, FIND(",", 'Student List'!C39) + 2, LEN('Student List'!C39) - FIND(",", 'Student List'!C39) - 1)))</f>
        <v/>
      </c>
      <c r="D35" s="127" t="str">
        <f>IF(B35="","",IF(Midterm!D35="", "NA", Midterm!D35))</f>
        <v/>
      </c>
      <c r="E35" s="8" t="str">
        <f>IF(B35="","",
  IF(Info!$B$5="First Year",
    IF(D35="Yes", "DRP",
      IF(D35="No", "WF", "")
    )
  )
)</f>
        <v/>
      </c>
      <c r="F35" s="14" t="str">
        <f>IF($B35="","",
IF(F$5="","",
IF(Midterm!F35="",0,
IF(NOT(ISNUMBER(Midterm!F35)),"NAN",
IF(Midterm!F35&lt;0,"NEG",
IF(Midterm!F35&gt;F$5,"OVER",
IF(AND(F$5&lt;=100,Midterm!F35&gt;100),"ERR",
IF(Info!$B$4="Non-board program",
IF(OR(AND(F$5&gt;0,F$5&gt;100),AND(F$5&gt;0,F$5&lt;100)),
VLOOKUP(FLOOR((Midterm!F35/F$5)*100,1),new_transmute,2,FALSE),
VLOOKUP(Midterm!F35,new_transmute,2,FALSE)
),
IF(Info!$B$4="Board program",
IF(OR(AND(F$5&gt;0,F$5&gt;100),AND(F$5&gt;0,F$5&lt;100)),
VLOOKUP(FLOOR((Midterm!F35/F$5)*100,1),new_transmute,3,FALSE),
VLOOKUP(Midterm!F35,new_transmute,3,FALSE)
),
IF(Info!$B$4="Board program (Medicine)",
IF(OR(AND(F$5&gt;0,F$5&gt;100),AND(F$5&gt;0,F$5&lt;100)),
VLOOKUP(FLOOR((Midterm!F35/F$5)*100,1),new_transmute,4,FALSE),
VLOOKUP(Midterm!F35,new_transmute,4,FALSE)
),
""
)
)
)
)
)
)
)
)
))</f>
        <v/>
      </c>
      <c r="G35" s="57" t="str">
        <f t="shared" si="1"/>
        <v/>
      </c>
      <c r="H35" s="14" t="str">
        <f>IF($B35="","",
IF(H$5="","",
IF(Midterm!H35="",0,
IF(NOT(ISNUMBER(Midterm!H35)),"NAN",
IF(Midterm!H35&lt;0,"NEG",
IF(Midterm!H35&gt;H$5,"OVER",
IF(AND(H$5&lt;=100,Midterm!H35&gt;100),"ERR",
IF(Info!$B$4="Non-board program",
IF(OR(AND(H$5&gt;0,H$5&gt;100),AND(H$5&gt;0,H$5&lt;100)),
VLOOKUP(FLOOR((Midterm!H35/H$5)*100,1),new_transmute,2,FALSE),
VLOOKUP(Midterm!H35,new_transmute,2,FALSE)
),
IF(Info!$B$4="Board program",
IF(OR(AND(H$5&gt;0,H$5&gt;100),AND(H$5&gt;0,H$5&lt;100)),
VLOOKUP(FLOOR((Midterm!H35/H$5)*100,1),new_transmute,3,FALSE),
VLOOKUP(Midterm!H35,new_transmute,3,FALSE)
),
IF(Info!$B$4="Board program (Medicine)",
IF(OR(AND(H$5&gt;0,H$5&gt;100),AND(H$5&gt;0,H$5&lt;100)),
VLOOKUP(FLOOR((Midterm!H35/H$5)*100,1),new_transmute,4,FALSE),
VLOOKUP(Midterm!H35,new_transmute,4,FALSE)
),
""
)
)
)
)
)
)
)
)
))</f>
        <v/>
      </c>
      <c r="I35" s="14" t="str">
        <f>IF($B35="","",
IF(I$5="","",
IF(Midterm!I35="",0,
IF(NOT(ISNUMBER(Midterm!I35)),"NAN",
IF(Midterm!I35&lt;0,"NEG",
IF(Midterm!I35&gt;I$5,"OVER",
IF(AND(I$5&lt;=100,Midterm!I35&gt;100),"ERR",
IF(Info!$B$4="Non-board program",
IF(OR(AND(I$5&gt;0,I$5&gt;100),AND(I$5&gt;0,I$5&lt;100)),
VLOOKUP(FLOOR((Midterm!I35/I$5)*100,1),new_transmute,2,FALSE),
VLOOKUP(Midterm!I35,new_transmute,2,FALSE)
),
IF(Info!$B$4="Board program",
IF(OR(AND(I$5&gt;0,I$5&gt;100),AND(I$5&gt;0,I$5&lt;100)),
VLOOKUP(FLOOR((Midterm!I35/I$5)*100,1),new_transmute,3,FALSE),
VLOOKUP(Midterm!I35,new_transmute,3,FALSE)
),
IF(Info!$B$4="Board program (Medicine)",
IF(OR(AND(I$5&gt;0,I$5&gt;100),AND(I$5&gt;0,I$5&lt;100)),
VLOOKUP(FLOOR((Midterm!I35/I$5)*100,1),new_transmute,4,FALSE),
VLOOKUP(Midterm!I35,new_transmute,4,FALSE)
),
""
)
)
)
)
)
)
)
)
))</f>
        <v/>
      </c>
      <c r="J35" s="14" t="str">
        <f>IF($B35="","",
IF(J$5="","",
IF(Midterm!J35="",0,
IF(NOT(ISNUMBER(Midterm!J35)),"NAN",
IF(Midterm!J35&lt;0,"NEG",
IF(Midterm!J35&gt;J$5,"OVER",
IF(AND(J$5&lt;=100,Midterm!J35&gt;100),"ERR",
IF(Info!$B$4="Non-board program",
IF(OR(AND(J$5&gt;0,J$5&gt;100),AND(J$5&gt;0,J$5&lt;100)),
VLOOKUP(FLOOR((Midterm!J35/J$5)*100,1),new_transmute,2,FALSE),
VLOOKUP(Midterm!J35,new_transmute,2,FALSE)
),
IF(Info!$B$4="Board program",
IF(OR(AND(J$5&gt;0,J$5&gt;100),AND(J$5&gt;0,J$5&lt;100)),
VLOOKUP(FLOOR((Midterm!J35/J$5)*100,1),new_transmute,3,FALSE),
VLOOKUP(Midterm!J35,new_transmute,3,FALSE)
),
IF(Info!$B$4="Board program (Medicine)",
IF(OR(AND(J$5&gt;0,J$5&gt;100),AND(J$5&gt;0,J$5&lt;100)),
VLOOKUP(FLOOR((Midterm!J35/J$5)*100,1),new_transmute,4,FALSE),
VLOOKUP(Midterm!J35,new_transmute,4,FALSE)
),
""
)
)
)
)
)
)
)
)
))</f>
        <v/>
      </c>
      <c r="K35" s="14" t="str">
        <f>IF($B35="","",
IF(K$5="","",
IF(Midterm!K35="",0,
IF(NOT(ISNUMBER(Midterm!K35)),"NAN",
IF(Midterm!K35&lt;0,"NEG",
IF(Midterm!K35&gt;K$5,"OVER",
IF(AND(K$5&lt;=100,Midterm!K35&gt;100),"ERR",
IF(Info!$B$4="Non-board program",
IF(OR(AND(K$5&gt;0,K$5&gt;100),AND(K$5&gt;0,K$5&lt;100)),
VLOOKUP(FLOOR((Midterm!K35/K$5)*100,1),new_transmute,2,FALSE),
VLOOKUP(Midterm!K35,new_transmute,2,FALSE)
),
IF(Info!$B$4="Board program",
IF(OR(AND(K$5&gt;0,K$5&gt;100),AND(K$5&gt;0,K$5&lt;100)),
VLOOKUP(FLOOR((Midterm!K35/K$5)*100,1),new_transmute,3,FALSE),
VLOOKUP(Midterm!K35,new_transmute,3,FALSE)
),
IF(Info!$B$4="Board program (Medicine)",
IF(OR(AND(K$5&gt;0,K$5&gt;100),AND(K$5&gt;0,K$5&lt;100)),
VLOOKUP(FLOOR((Midterm!K35/K$5)*100,1),new_transmute,4,FALSE),
VLOOKUP(Midterm!K35,new_transmute,4,FALSE)
),
""
)
)
)
)
)
)
)
)
))</f>
        <v/>
      </c>
      <c r="L35" s="14" t="str">
        <f>IF($B35="","",
IF(L$5="","",
IF(Midterm!L35="",0,
IF(NOT(ISNUMBER(Midterm!L35)),"NAN",
IF(Midterm!L35&lt;0,"NEG",
IF(Midterm!L35&gt;L$5,"OVER",
IF(AND(L$5&lt;=100,Midterm!L35&gt;100),"ERR",
IF(Info!$B$4="Non-board program",
IF(OR(AND(L$5&gt;0,L$5&gt;100),AND(L$5&gt;0,L$5&lt;100)),
VLOOKUP(FLOOR((Midterm!L35/L$5)*100,1),new_transmute,2,FALSE),
VLOOKUP(Midterm!L35,new_transmute,2,FALSE)
),
IF(Info!$B$4="Board program",
IF(OR(AND(L$5&gt;0,L$5&gt;100),AND(L$5&gt;0,L$5&lt;100)),
VLOOKUP(FLOOR((Midterm!L35/L$5)*100,1),new_transmute,3,FALSE),
VLOOKUP(Midterm!L35,new_transmute,3,FALSE)
),
IF(Info!$B$4="Board program (Medicine)",
IF(OR(AND(L$5&gt;0,L$5&gt;100),AND(L$5&gt;0,L$5&lt;100)),
VLOOKUP(FLOOR((Midterm!L35/L$5)*100,1),new_transmute,4,FALSE),
VLOOKUP(Midterm!L35,new_transmute,4,FALSE)
),
""
)
)
)
)
)
)
)
)
))</f>
        <v/>
      </c>
      <c r="M35" s="111" t="str">
        <f t="shared" si="2"/>
        <v/>
      </c>
      <c r="N35" s="14" t="str">
        <f>IF($B35="","",
IF(N$5="","",
IF(Midterm!N35="",0,
IF(NOT(ISNUMBER(Midterm!N35)),"NAN",
IF(Midterm!N35&lt;0,"NEG",
IF(Midterm!N35&gt;N$5,"OVER",
IF(AND(N$5&lt;=100,Midterm!N35&gt;100),"ERR",
IF(Info!$B$4="Non-board program",
IF(OR(AND(N$5&gt;0,N$5&gt;100),AND(N$5&gt;0,N$5&lt;100)),
VLOOKUP(FLOOR((Midterm!N35/N$5)*100,1),new_transmute,2,FALSE),
VLOOKUP(Midterm!N35,new_transmute,2,FALSE)
),
IF(Info!$B$4="Board program",
IF(OR(AND(N$5&gt;0,N$5&gt;100),AND(N$5&gt;0,N$5&lt;100)),
VLOOKUP(FLOOR((Midterm!N35/N$5)*100,1),new_transmute,3,FALSE),
VLOOKUP(Midterm!N35,new_transmute,3,FALSE)
),
IF(Info!$B$4="Board program (Medicine)",
IF(OR(AND(N$5&gt;0,N$5&gt;100),AND(N$5&gt;0,N$5&lt;100)),
VLOOKUP(FLOOR((Midterm!N35/N$5)*100,1),new_transmute,4,FALSE),
VLOOKUP(Midterm!N35,new_transmute,4,FALSE)
),
""
)
)
)
)
)
)
)
)
))</f>
        <v/>
      </c>
      <c r="O35" s="14" t="str">
        <f>IF($B35="","",
IF(O$5="","",
IF(Midterm!O35="",0,
IF(NOT(ISNUMBER(Midterm!O35)),"NAN",
IF(Midterm!O35&lt;0,"NEG",
IF(Midterm!O35&gt;O$5,"OVER",
IF(AND(O$5&lt;=100,Midterm!O35&gt;100),"ERR",
IF(Info!$B$4="Non-board program",
IF(OR(AND(O$5&gt;0,O$5&gt;100),AND(O$5&gt;0,O$5&lt;100)),
VLOOKUP(FLOOR((Midterm!O35/O$5)*100,1),new_transmute,2,FALSE),
VLOOKUP(Midterm!O35,new_transmute,2,FALSE)
),
IF(Info!$B$4="Board program",
IF(OR(AND(O$5&gt;0,O$5&gt;100),AND(O$5&gt;0,O$5&lt;100)),
VLOOKUP(FLOOR((Midterm!O35/O$5)*100,1),new_transmute,3,FALSE),
VLOOKUP(Midterm!O35,new_transmute,3,FALSE)
),
IF(Info!$B$4="Board program (Medicine)",
IF(OR(AND(O$5&gt;0,O$5&gt;100),AND(O$5&gt;0,O$5&lt;100)),
VLOOKUP(FLOOR((Midterm!O35/O$5)*100,1),new_transmute,4,FALSE),
VLOOKUP(Midterm!O35,new_transmute,4,FALSE)
),
""
)
)
)
)
)
)
)
)
))</f>
        <v/>
      </c>
      <c r="P35" s="14" t="str">
        <f>IF($B35="","",
IF(P$5="","",
IF(Midterm!P35="",0,
IF(NOT(ISNUMBER(Midterm!P35)),"NAN",
IF(Midterm!P35&lt;0,"NEG",
IF(Midterm!P35&gt;P$5,"OVER",
IF(AND(P$5&lt;=100,Midterm!P35&gt;100),"ERR",
IF(Info!$B$4="Non-board program",
IF(OR(AND(P$5&gt;0,P$5&gt;100),AND(P$5&gt;0,P$5&lt;100)),
VLOOKUP(FLOOR((Midterm!P35/P$5)*100,1),new_transmute,2,FALSE),
VLOOKUP(Midterm!P35,new_transmute,2,FALSE)
),
IF(Info!$B$4="Board program",
IF(OR(AND(P$5&gt;0,P$5&gt;100),AND(P$5&gt;0,P$5&lt;100)),
VLOOKUP(FLOOR((Midterm!P35/P$5)*100,1),new_transmute,3,FALSE),
VLOOKUP(Midterm!P35,new_transmute,3,FALSE)
),
IF(Info!$B$4="Board program (Medicine)",
IF(OR(AND(P$5&gt;0,P$5&gt;100),AND(P$5&gt;0,P$5&lt;100)),
VLOOKUP(FLOOR((Midterm!P35/P$5)*100,1),new_transmute,4,FALSE),
VLOOKUP(Midterm!P35,new_transmute,4,FALSE)
),
""
)
)
)
)
)
)
)
)
))</f>
        <v/>
      </c>
      <c r="Q35" s="14" t="str">
        <f>IF($B35="","",
IF(Q$5="","",
IF(Midterm!Q35="",0,
IF(NOT(ISNUMBER(Midterm!Q35)),"NAN",
IF(Midterm!Q35&lt;0,"NEG",
IF(Midterm!Q35&gt;Q$5,"OVER",
IF(AND(Q$5&lt;=100,Midterm!Q35&gt;100),"ERR",
IF(Info!$B$4="Non-board program",
IF(OR(AND(Q$5&gt;0,Q$5&gt;100),AND(Q$5&gt;0,Q$5&lt;100)),
VLOOKUP(FLOOR((Midterm!Q35/Q$5)*100,1),new_transmute,2,FALSE),
VLOOKUP(Midterm!Q35,new_transmute,2,FALSE)
),
IF(Info!$B$4="Board program",
IF(OR(AND(Q$5&gt;0,Q$5&gt;100),AND(Q$5&gt;0,Q$5&lt;100)),
VLOOKUP(FLOOR((Midterm!Q35/Q$5)*100,1),new_transmute,3,FALSE),
VLOOKUP(Midterm!Q35,new_transmute,3,FALSE)
),
IF(Info!$B$4="Board program (Medicine)",
IF(OR(AND(Q$5&gt;0,Q$5&gt;100),AND(Q$5&gt;0,Q$5&lt;100)),
VLOOKUP(FLOOR((Midterm!Q35/Q$5)*100,1),new_transmute,4,FALSE),
VLOOKUP(Midterm!Q35,new_transmute,4,FALSE)
),
""
)
)
)
)
)
)
)
)
))</f>
        <v/>
      </c>
      <c r="R35" s="14" t="str">
        <f>IF($B35="","",
IF(R$5="","",
IF(Midterm!R35="",0,
IF(NOT(ISNUMBER(Midterm!R35)),"NAN",
IF(Midterm!R35&lt;0,"NEG",
IF(Midterm!R35&gt;R$5,"OVER",
IF(AND(R$5&lt;=100,Midterm!R35&gt;100),"ERR",
IF(Info!$B$4="Non-board program",
IF(OR(AND(R$5&gt;0,R$5&gt;100),AND(R$5&gt;0,R$5&lt;100)),
VLOOKUP(FLOOR((Midterm!R35/R$5)*100,1),new_transmute,2,FALSE),
VLOOKUP(Midterm!R35,new_transmute,2,FALSE)
),
IF(Info!$B$4="Board program",
IF(OR(AND(R$5&gt;0,R$5&gt;100),AND(R$5&gt;0,R$5&lt;100)),
VLOOKUP(FLOOR((Midterm!R35/R$5)*100,1),new_transmute,3,FALSE),
VLOOKUP(Midterm!R35,new_transmute,3,FALSE)
),
IF(Info!$B$4="Board program (Medicine)",
IF(OR(AND(R$5&gt;0,R$5&gt;100),AND(R$5&gt;0,R$5&lt;100)),
VLOOKUP(FLOOR((Midterm!R35/R$5)*100,1),new_transmute,4,FALSE),
VLOOKUP(Midterm!R35,new_transmute,4,FALSE)
),
""
)
)
)
)
)
)
)
)
))</f>
        <v/>
      </c>
      <c r="S35" s="115" t="str">
        <f t="shared" si="3"/>
        <v/>
      </c>
      <c r="T35" s="14" t="str">
        <f>IF($B35="","",
IF(T$5="","",
IF(Midterm!T35="",0,
IF(NOT(ISNUMBER(Midterm!T35)),"NAN",
IF(Midterm!T35&lt;0,"NEG",
IF(Midterm!T35&gt;T$5,"OVER",
IF(AND(T$5&lt;=100,Midterm!T35&gt;100),"ERR",
IF(Info!$B$4="Non-board program",
IF(OR(AND(T$5&gt;0,T$5&gt;100),AND(T$5&gt;0,T$5&lt;100)),
VLOOKUP(FLOOR((Midterm!T35/T$5)*100,1),new_transmute,2,FALSE),
VLOOKUP(Midterm!T35,new_transmute,2,FALSE)
),
IF(Info!$B$4="Board program",
IF(OR(AND(T$5&gt;0,T$5&gt;100),AND(T$5&gt;0,T$5&lt;100)),
VLOOKUP(FLOOR((Midterm!T35/T$5)*100,1),new_transmute,3,FALSE),
VLOOKUP(Midterm!T35,new_transmute,3,FALSE)
),
IF(Info!$B$4="Board program (Medicine)",
IF(OR(AND(T$5&gt;0,T$5&gt;100),AND(T$5&gt;0,T$5&lt;100)),
VLOOKUP(FLOOR((Midterm!T35/T$5)*100,1),new_transmute,4,FALSE),
VLOOKUP(Midterm!T35,new_transmute,4,FALSE)
),
""
)
)
)
)
)
)
)
)
))</f>
        <v/>
      </c>
      <c r="U35" s="14" t="str">
        <f>IF($B35="","",
IF(U$5="","",
IF(Midterm!U35="",0,
IF(NOT(ISNUMBER(Midterm!U35)),"NAN",
IF(Midterm!U35&lt;0,"NEG",
IF(Midterm!U35&gt;U$5,"OVER",
IF(AND(U$5&lt;=100,Midterm!U35&gt;100),"ERR",
IF(Info!$B$4="Non-board program",
IF(OR(AND(U$5&gt;0,U$5&gt;100),AND(U$5&gt;0,U$5&lt;100)),
VLOOKUP(FLOOR((Midterm!U35/U$5)*100,1),new_transmute,2,FALSE),
VLOOKUP(Midterm!U35,new_transmute,2,FALSE)
),
IF(Info!$B$4="Board program",
IF(OR(AND(U$5&gt;0,U$5&gt;100),AND(U$5&gt;0,U$5&lt;100)),
VLOOKUP(FLOOR((Midterm!U35/U$5)*100,1),new_transmute,3,FALSE),
VLOOKUP(Midterm!U35,new_transmute,3,FALSE)
),
IF(Info!$B$4="Board program (Medicine)",
IF(OR(AND(U$5&gt;0,U$5&gt;100),AND(U$5&gt;0,U$5&lt;100)),
VLOOKUP(FLOOR((Midterm!U35/U$5)*100,1),new_transmute,4,FALSE),
VLOOKUP(Midterm!U35,new_transmute,4,FALSE)
),
""
)
)
)
)
)
)
)
)
))</f>
        <v/>
      </c>
      <c r="V35" s="14" t="str">
        <f>IF($B35="","",
IF(V$5="","",
IF(Midterm!V35="",0,
IF(NOT(ISNUMBER(Midterm!V35)),"NAN",
IF(Midterm!V35&lt;0,"NEG",
IF(Midterm!V35&gt;V$5,"OVER",
IF(AND(V$5&lt;=100,Midterm!V35&gt;100),"ERR",
IF(Info!$B$4="Non-board program",
IF(OR(AND(V$5&gt;0,V$5&gt;100),AND(V$5&gt;0,V$5&lt;100)),
VLOOKUP(FLOOR((Midterm!V35/V$5)*100,1),new_transmute,2,FALSE),
VLOOKUP(Midterm!V35,new_transmute,2,FALSE)
),
IF(Info!$B$4="Board program",
IF(OR(AND(V$5&gt;0,V$5&gt;100),AND(V$5&gt;0,V$5&lt;100)),
VLOOKUP(FLOOR((Midterm!V35/V$5)*100,1),new_transmute,3,FALSE),
VLOOKUP(Midterm!V35,new_transmute,3,FALSE)
),
IF(Info!$B$4="Board program (Medicine)",
IF(OR(AND(V$5&gt;0,V$5&gt;100),AND(V$5&gt;0,V$5&lt;100)),
VLOOKUP(FLOOR((Midterm!V35/V$5)*100,1),new_transmute,4,FALSE),
VLOOKUP(Midterm!V35,new_transmute,4,FALSE)
),
""
)
)
)
)
)
)
)
)
))</f>
        <v/>
      </c>
      <c r="W35" s="14" t="str">
        <f>IF($B35="","",
IF(W$5="","",
IF(Midterm!W35="",0,
IF(NOT(ISNUMBER(Midterm!W35)),"NAN",
IF(Midterm!W35&lt;0,"NEG",
IF(Midterm!W35&gt;W$5,"OVER",
IF(AND(W$5&lt;=100,Midterm!W35&gt;100),"ERR",
IF(Info!$B$4="Non-board program",
IF(OR(AND(W$5&gt;0,W$5&gt;100),AND(W$5&gt;0,W$5&lt;100)),
VLOOKUP(FLOOR((Midterm!W35/W$5)*100,1),new_transmute,2,FALSE),
VLOOKUP(Midterm!W35,new_transmute,2,FALSE)
),
IF(Info!$B$4="Board program",
IF(OR(AND(W$5&gt;0,W$5&gt;100),AND(W$5&gt;0,W$5&lt;100)),
VLOOKUP(FLOOR((Midterm!W35/W$5)*100,1),new_transmute,3,FALSE),
VLOOKUP(Midterm!W35,new_transmute,3,FALSE)
),
IF(Info!$B$4="Board program (Medicine)",
IF(OR(AND(W$5&gt;0,W$5&gt;100),AND(W$5&gt;0,W$5&lt;100)),
VLOOKUP(FLOOR((Midterm!W35/W$5)*100,1),new_transmute,4,FALSE),
VLOOKUP(Midterm!W35,new_transmute,4,FALSE)
),
""
)
)
)
)
)
)
)
)
))</f>
        <v/>
      </c>
      <c r="X35" s="14" t="str">
        <f>IF($B35="","",
IF(X$5="","",
IF(Midterm!X35="",0,
IF(NOT(ISNUMBER(Midterm!X35)),"NAN",
IF(Midterm!X35&lt;0,"NEG",
IF(Midterm!X35&gt;X$5,"OVER",
IF(AND(X$5&lt;=100,Midterm!X35&gt;100),"ERR",
IF(Info!$B$4="Non-board program",
IF(OR(AND(X$5&gt;0,X$5&gt;100),AND(X$5&gt;0,X$5&lt;100)),
VLOOKUP(FLOOR((Midterm!X35/X$5)*100,1),new_transmute,2,FALSE),
VLOOKUP(Midterm!X35,new_transmute,2,FALSE)
),
IF(Info!$B$4="Board program",
IF(OR(AND(X$5&gt;0,X$5&gt;100),AND(X$5&gt;0,X$5&lt;100)),
VLOOKUP(FLOOR((Midterm!X35/X$5)*100,1),new_transmute,3,FALSE),
VLOOKUP(Midterm!X35,new_transmute,3,FALSE)
),
IF(Info!$B$4="Board program (Medicine)",
IF(OR(AND(X$5&gt;0,X$5&gt;100),AND(X$5&gt;0,X$5&lt;100)),
VLOOKUP(FLOOR((Midterm!X35/X$5)*100,1),new_transmute,4,FALSE),
VLOOKUP(Midterm!X35,new_transmute,4,FALSE)
),
""
)
)
)
)
)
)
)
)
))</f>
        <v/>
      </c>
      <c r="Y35" s="112" t="str">
        <f t="shared" si="4"/>
        <v/>
      </c>
      <c r="Z35" s="14" t="str">
        <f>IF($B35="","",
IF(Z$5="","",
IF(Midterm!Z35="",0,
IF(NOT(ISNUMBER(Midterm!Z35)),"NAN",
IF(Midterm!Z35&lt;0,"NEG",
IF(Midterm!Z35&gt;Z$5,"OVER",
IF(AND(Z$5&lt;=100,Midterm!Z35&gt;100),"ERR",
IF(Info!$B$4="Non-board program",
IF(OR(AND(Z$5&gt;0,Z$5&gt;100),AND(Z$5&gt;0,Z$5&lt;100)),
VLOOKUP(FLOOR((Midterm!Z35/Z$5)*100,1),new_transmute,2,FALSE),
VLOOKUP(Midterm!Z35,new_transmute,2,FALSE)
),
IF(Info!$B$4="Board program",
IF(OR(AND(Z$5&gt;0,Z$5&gt;100),AND(Z$5&gt;0,Z$5&lt;100)),
VLOOKUP(FLOOR((Midterm!Z35/Z$5)*100,1),new_transmute,3,FALSE),
VLOOKUP(Midterm!Z35,new_transmute,3,FALSE)
),
IF(Info!$B$4="Board program (Medicine)",
IF(OR(AND(Z$5&gt;0,Z$5&gt;100),AND(Z$5&gt;0,Z$5&lt;100)),
VLOOKUP(FLOOR((Midterm!Z35/Z$5)*100,1),new_transmute,4,FALSE),
VLOOKUP(Midterm!Z35,new_transmute,4,FALSE)
),
""
)
)
)
)
)
)
)
)
))</f>
        <v/>
      </c>
      <c r="AA35" s="14" t="str">
        <f>IF($B35="","",
IF(AA$5="","",
IF(Midterm!AA35="",0,
IF(NOT(ISNUMBER(Midterm!AA35)),"NAN",
IF(Midterm!AA35&lt;0,"NEG",
IF(Midterm!AA35&gt;AA$5,"OVER",
IF(AND(AA$5&lt;=100,Midterm!AA35&gt;100),"ERR",
IF(Info!$B$4="Non-board program",
IF(OR(AND(AA$5&gt;0,AA$5&gt;100),AND(AA$5&gt;0,AA$5&lt;100)),
VLOOKUP(FLOOR((Midterm!AA35/AA$5)*100,1),new_transmute,2,FALSE),
VLOOKUP(Midterm!AA35,new_transmute,2,FALSE)
),
IF(Info!$B$4="Board program",
IF(OR(AND(AA$5&gt;0,AA$5&gt;100),AND(AA$5&gt;0,AA$5&lt;100)),
VLOOKUP(FLOOR((Midterm!AA35/AA$5)*100,1),new_transmute,3,FALSE),
VLOOKUP(Midterm!AA35,new_transmute,3,FALSE)
),
IF(Info!$B$4="Board program (Medicine)",
IF(OR(AND(AA$5&gt;0,AA$5&gt;100),AND(AA$5&gt;0,AA$5&lt;100)),
VLOOKUP(FLOOR((Midterm!AA35/AA$5)*100,1),new_transmute,4,FALSE),
VLOOKUP(Midterm!AA35,new_transmute,4,FALSE)
),
""
)
)
)
)
)
)
)
)
))</f>
        <v/>
      </c>
      <c r="AB35" s="14" t="str">
        <f>IF($B35="","",
IF(AB$5="","",
IF(Midterm!AB35="",0,
IF(NOT(ISNUMBER(Midterm!AB35)),"NAN",
IF(Midterm!AB35&lt;0,"NEG",
IF(Midterm!AB35&gt;AB$5,"OVER",
IF(AND(AB$5&lt;=100,Midterm!AB35&gt;100),"ERR",
IF(Info!$B$4="Non-board program",
IF(OR(AND(AB$5&gt;0,AB$5&gt;100),AND(AB$5&gt;0,AB$5&lt;100)),
VLOOKUP(FLOOR((Midterm!AB35/AB$5)*100,1),new_transmute,2,FALSE),
VLOOKUP(Midterm!AB35,new_transmute,2,FALSE)
),
IF(Info!$B$4="Board program",
IF(OR(AND(AB$5&gt;0,AB$5&gt;100),AND(AB$5&gt;0,AB$5&lt;100)),
VLOOKUP(FLOOR((Midterm!AB35/AB$5)*100,1),new_transmute,3,FALSE),
VLOOKUP(Midterm!AB35,new_transmute,3,FALSE)
),
IF(Info!$B$4="Board program (Medicine)",
IF(OR(AND(AB$5&gt;0,AB$5&gt;100),AND(AB$5&gt;0,AB$5&lt;100)),
VLOOKUP(FLOOR((Midterm!AB35/AB$5)*100,1),new_transmute,4,FALSE),
VLOOKUP(Midterm!AB35,new_transmute,4,FALSE)
),
""
)
)
)
)
)
)
)
)
))</f>
        <v/>
      </c>
      <c r="AC35" s="14" t="str">
        <f>IF($B35="","",
IF(AC$5="","",
IF(Midterm!AC35="",0,
IF(NOT(ISNUMBER(Midterm!AC35)),"NAN",
IF(Midterm!AC35&lt;0,"NEG",
IF(Midterm!AC35&gt;AC$5,"OVER",
IF(AND(AC$5&lt;=100,Midterm!AC35&gt;100),"ERR",
IF(Info!$B$4="Non-board program",
IF(OR(AND(AC$5&gt;0,AC$5&gt;100),AND(AC$5&gt;0,AC$5&lt;100)),
VLOOKUP(FLOOR((Midterm!AC35/AC$5)*100,1),new_transmute,2,FALSE),
VLOOKUP(Midterm!AC35,new_transmute,2,FALSE)
),
IF(Info!$B$4="Board program",
IF(OR(AND(AC$5&gt;0,AC$5&gt;100),AND(AC$5&gt;0,AC$5&lt;100)),
VLOOKUP(FLOOR((Midterm!AC35/AC$5)*100,1),new_transmute,3,FALSE),
VLOOKUP(Midterm!AC35,new_transmute,3,FALSE)
),
IF(Info!$B$4="Board program (Medicine)",
IF(OR(AND(AC$5&gt;0,AC$5&gt;100),AND(AC$5&gt;0,AC$5&lt;100)),
VLOOKUP(FLOOR((Midterm!AC35/AC$5)*100,1),new_transmute,4,FALSE),
VLOOKUP(Midterm!AC35,new_transmute,4,FALSE)
),
""
)
)
)
)
)
)
)
)
))</f>
        <v/>
      </c>
      <c r="AD35" s="14" t="str">
        <f>IF($B35="","",
IF(AD$5="","",
IF(Midterm!AD35="",0,
IF(NOT(ISNUMBER(Midterm!AD35)),"NAN",
IF(Midterm!AD35&lt;0,"NEG",
IF(Midterm!AD35&gt;AD$5,"OVER",
IF(AND(AD$5&lt;=100,Midterm!AD35&gt;100),"ERR",
IF(Info!$B$4="Non-board program",
IF(OR(AND(AD$5&gt;0,AD$5&gt;100),AND(AD$5&gt;0,AD$5&lt;100)),
VLOOKUP(FLOOR((Midterm!AD35/AD$5)*100,1),new_transmute,2,FALSE),
VLOOKUP(Midterm!AD35,new_transmute,2,FALSE)
),
IF(Info!$B$4="Board program",
IF(OR(AND(AD$5&gt;0,AD$5&gt;100),AND(AD$5&gt;0,AD$5&lt;100)),
VLOOKUP(FLOOR((Midterm!AD35/AD$5)*100,1),new_transmute,3,FALSE),
VLOOKUP(Midterm!AD35,new_transmute,3,FALSE)
),
IF(Info!$B$4="Board program (Medicine)",
IF(OR(AND(AD$5&gt;0,AD$5&gt;100),AND(AD$5&gt;0,AD$5&lt;100)),
VLOOKUP(FLOOR((Midterm!AD35/AD$5)*100,1),new_transmute,4,FALSE),
VLOOKUP(Midterm!AD35,new_transmute,4,FALSE)
),
""
)
)
)
)
)
)
)
)
))</f>
        <v/>
      </c>
      <c r="AE35" s="58" t="str">
        <f t="shared" si="5"/>
        <v/>
      </c>
      <c r="AF35" s="14" t="str">
        <f>IF($B35="","",
IF(AF$5="","",
IF(Midterm!AF35="",0,
IF(NOT(ISNUMBER(Midterm!AF35)),"NAN",
IF(Midterm!AF35&lt;0,"NEG",
IF(Midterm!AF35&gt;AF$5,"OVER",
IF(AND(AF$5&lt;=100,Midterm!AF35&gt;100),"ERR",
IF(Info!$B$4="Non-board program",
IF(OR(AND(AF$5&gt;0,AF$5&gt;100),AND(AF$5&gt;0,AF$5&lt;100)),
VLOOKUP(FLOOR((Midterm!AF35/AF$5)*100,1),new_transmute,2,FALSE),
VLOOKUP(Midterm!AF35,new_transmute,2,FALSE)
),
IF(Info!$B$4="Board program",
IF(OR(AND(AF$5&gt;0,AF$5&gt;100),AND(AF$5&gt;0,AF$5&lt;100)),
VLOOKUP(FLOOR((Midterm!AF35/AF$5)*100,1),new_transmute,3,FALSE),
VLOOKUP(Midterm!AF35,new_transmute,3,FALSE)
),
IF(Info!$B$4="Board program (Medicine)",
IF(OR(AND(AF$5&gt;0,AF$5&gt;100),AND(AF$5&gt;0,AF$5&lt;100)),
VLOOKUP(FLOOR((Midterm!AF35/AF$5)*100,1),new_transmute,4,FALSE),
VLOOKUP(Midterm!AF35,new_transmute,4,FALSE)
),
""
)
)
)
)
)
)
)
)
))</f>
        <v/>
      </c>
      <c r="AG35" s="14" t="str">
        <f>IF($B35="","",
IF(AG$5="","",
IF(Midterm!AG35="",0,
IF(NOT(ISNUMBER(Midterm!AG35)),"NAN",
IF(Midterm!AG35&lt;0,"NEG",
IF(Midterm!AG35&gt;AG$5,"OVER",
IF(AND(AG$5&lt;=100,Midterm!AG35&gt;100),"ERR",
IF(Info!$B$4="Non-board program",
IF(OR(AND(AG$5&gt;0,AG$5&gt;100),AND(AG$5&gt;0,AG$5&lt;100)),
VLOOKUP(FLOOR((Midterm!AG35/AG$5)*100,1),new_transmute,2,FALSE),
VLOOKUP(Midterm!AG35,new_transmute,2,FALSE)
),
IF(Info!$B$4="Board program",
IF(OR(AND(AG$5&gt;0,AG$5&gt;100),AND(AG$5&gt;0,AG$5&lt;100)),
VLOOKUP(FLOOR((Midterm!AG35/AG$5)*100,1),new_transmute,3,FALSE),
VLOOKUP(Midterm!AG35,new_transmute,3,FALSE)
),
IF(Info!$B$4="Board program (Medicine)",
IF(OR(AND(AG$5&gt;0,AG$5&gt;100),AND(AG$5&gt;0,AG$5&lt;100)),
VLOOKUP(FLOOR((Midterm!AG35/AG$5)*100,1),new_transmute,4,FALSE),
VLOOKUP(Midterm!AG35,new_transmute,4,FALSE)
),
""
)
)
)
)
)
)
)
)
))</f>
        <v/>
      </c>
      <c r="AH35" s="14" t="str">
        <f>IF($B35="","",
IF(AH$5="","",
IF(Midterm!AH35="",0,
IF(NOT(ISNUMBER(Midterm!AH35)),"NAN",
IF(Midterm!AH35&lt;0,"NEG",
IF(Midterm!AH35&gt;AH$5,"OVER",
IF(AND(AH$5&lt;=100,Midterm!AH35&gt;100),"ERR",
IF(Info!$B$4="Non-board program",
IF(OR(AND(AH$5&gt;0,AH$5&gt;100),AND(AH$5&gt;0,AH$5&lt;100)),
VLOOKUP(FLOOR((Midterm!AH35/AH$5)*100,1),new_transmute,2,FALSE),
VLOOKUP(Midterm!AH35,new_transmute,2,FALSE)
),
IF(Info!$B$4="Board program",
IF(OR(AND(AH$5&gt;0,AH$5&gt;100),AND(AH$5&gt;0,AH$5&lt;100)),
VLOOKUP(FLOOR((Midterm!AH35/AH$5)*100,1),new_transmute,3,FALSE),
VLOOKUP(Midterm!AH35,new_transmute,3,FALSE)
),
IF(Info!$B$4="Board program (Medicine)",
IF(OR(AND(AH$5&gt;0,AH$5&gt;100),AND(AH$5&gt;0,AH$5&lt;100)),
VLOOKUP(FLOOR((Midterm!AH35/AH$5)*100,1),new_transmute,4,FALSE),
VLOOKUP(Midterm!AH35,new_transmute,4,FALSE)
),
""
)
)
)
)
)
)
)
)
))</f>
        <v/>
      </c>
      <c r="AI35" s="14" t="str">
        <f>IF($B35="","",
IF(AI$5="","",
IF(Midterm!AI35="",0,
IF(NOT(ISNUMBER(Midterm!AI35)),"NAN",
IF(Midterm!AI35&lt;0,"NEG",
IF(Midterm!AI35&gt;AI$5,"OVER",
IF(AND(AI$5&lt;=100,Midterm!AI35&gt;100),"ERR",
IF(Info!$B$4="Non-board program",
IF(OR(AND(AI$5&gt;0,AI$5&gt;100),AND(AI$5&gt;0,AI$5&lt;100)),
VLOOKUP(FLOOR((Midterm!AI35/AI$5)*100,1),new_transmute,2,FALSE),
VLOOKUP(Midterm!AI35,new_transmute,2,FALSE)
),
IF(Info!$B$4="Board program",
IF(OR(AND(AI$5&gt;0,AI$5&gt;100),AND(AI$5&gt;0,AI$5&lt;100)),
VLOOKUP(FLOOR((Midterm!AI35/AI$5)*100,1),new_transmute,3,FALSE),
VLOOKUP(Midterm!AI35,new_transmute,3,FALSE)
),
IF(Info!$B$4="Board program (Medicine)",
IF(OR(AND(AI$5&gt;0,AI$5&gt;100),AND(AI$5&gt;0,AI$5&lt;100)),
VLOOKUP(FLOOR((Midterm!AI35/AI$5)*100,1),new_transmute,4,FALSE),
VLOOKUP(Midterm!AI35,new_transmute,4,FALSE)
),
""
)
)
)
)
)
)
)
)
))</f>
        <v/>
      </c>
      <c r="AJ35" s="14" t="str">
        <f>IF($B35="","",
IF(AJ$5="","",
IF(Midterm!AJ35="",0,
IF(NOT(ISNUMBER(Midterm!AJ35)),"NAN",
IF(Midterm!AJ35&lt;0,"NEG",
IF(Midterm!AJ35&gt;AJ$5,"OVER",
IF(AND(AJ$5&lt;=100,Midterm!AJ35&gt;100),"ERR",
IF(Info!$B$4="Non-board program",
IF(OR(AND(AJ$5&gt;0,AJ$5&gt;100),AND(AJ$5&gt;0,AJ$5&lt;100)),
VLOOKUP(FLOOR((Midterm!AJ35/AJ$5)*100,1),new_transmute,2,FALSE),
VLOOKUP(Midterm!AJ35,new_transmute,2,FALSE)
),
IF(Info!$B$4="Board program",
IF(OR(AND(AJ$5&gt;0,AJ$5&gt;100),AND(AJ$5&gt;0,AJ$5&lt;100)),
VLOOKUP(FLOOR((Midterm!AJ35/AJ$5)*100,1),new_transmute,3,FALSE),
VLOOKUP(Midterm!AJ35,new_transmute,3,FALSE)
),
IF(Info!$B$4="Board program (Medicine)",
IF(OR(AND(AJ$5&gt;0,AJ$5&gt;100),AND(AJ$5&gt;0,AJ$5&lt;100)),
VLOOKUP(FLOOR((Midterm!AJ35/AJ$5)*100,1),new_transmute,4,FALSE),
VLOOKUP(Midterm!AJ35,new_transmute,4,FALSE)
),
""
)
)
)
)
)
)
)
)
))</f>
        <v/>
      </c>
      <c r="AK35" s="59" t="str">
        <f t="shared" si="6"/>
        <v/>
      </c>
      <c r="AL35" s="60" t="str">
        <f>IF(B35="", "",
    IF(OR(M35="OVER", S35="OVER", Y35="OVER", AE35="OVER", AK35="OVER"),
        "OVER",
        IF(Info!$B$4="Non-board program",
            VLOOKUP(IFERROR(FLOOR(SUM((M35*$M$4), (S35*$S$4), (Y35*$Y$4), (AE35*$AE$4), (AK35*$AK$4)) * (100 / 60), 1), 0), new_transmute, 2, FALSE),
            IF(Info!$B$4="Board program",
                VLOOKUP(IFERROR(FLOOR(SUM((M35*$M$4), (S35*$S$4), (Y35*$Y$4), (AE35*$AE$4), (AK35*$AK$4)) * (100 / 60), 1), 0), new_transmute, 3, FALSE),
                IF(Info!$B$4="Board program (Medicine)",
                    VLOOKUP(IFERROR(FLOOR(SUM((M35*$M$4), (S35*$S$4), (Y35*$Y$4), (AE35*$AE$4), (AK35*$AK$4)) * (100 / 60), 1), 0), new_transmute, 4, FALSE),
                    ""
                )
            )
        )
    )
)</f>
        <v/>
      </c>
      <c r="AM35" s="14" t="str">
        <f>IF($B35="","",
IF(AM$5="","",
IF(Midterm!AM35="",0,
IF(NOT(ISNUMBER(Midterm!AM35)),"NAN",
IF(Midterm!AM35&lt;0,"NEG",
IF(Midterm!AM35&gt;AM$5,"OVER",
IF(AND(AM$5&lt;=100,Midterm!AM35&gt;100),"ERR",
IF(Info!$B$4="Non-board program",
IF(OR(AND(AM$5&gt;0,AM$5&gt;100),AND(AM$5&gt;0,AM$5&lt;100)),
VLOOKUP(FLOOR((Midterm!AM35/AM$5)*100,1),new_transmute,2,FALSE),
VLOOKUP(Midterm!AM35,new_transmute,2,FALSE)
),
IF(Info!$B$4="Board program",
IF(OR(AND(AM$5&gt;0,AM$5&gt;100),AND(AM$5&gt;0,AM$5&lt;100)),
VLOOKUP(FLOOR((Midterm!AM35/AM$5)*100,1),new_transmute,3,FALSE),
VLOOKUP(Midterm!AM35,new_transmute,3,FALSE)
),
IF(Info!$B$4="Board program (Medicine)",
IF(OR(AND(AM$5&gt;0,AM$5&gt;100),AND(AM$5&gt;0,AM$5&lt;100)),
VLOOKUP(FLOOR((Midterm!AM35/AM$5)*100,1),new_transmute,4,FALSE),
VLOOKUP(Midterm!AM35,new_transmute,4,FALSE)
),
""
)
)
)
)
)
)
)
)
))</f>
        <v/>
      </c>
      <c r="AN35" s="14" t="str">
        <f>IF($B35="","",
IF(AN$5="","",
IF(Midterm!AN35="",0,
IF(NOT(ISNUMBER(Midterm!AN35)),"NAN",
IF(Midterm!AN35&lt;0,"NEG",
IF(Midterm!AN35&gt;AN$5,"OVER",
IF(AND(AN$5&lt;=100,Midterm!AN35&gt;100),"ERR",
IF(Info!$B$4="Non-board program",
IF(OR(AND(AN$5&gt;0,AN$5&gt;100),AND(AN$5&gt;0,AN$5&lt;100)),
VLOOKUP(FLOOR((Midterm!AN35/AN$5)*100,1),new_transmute,2,FALSE),
VLOOKUP(Midterm!AN35,new_transmute,2,FALSE)
),
IF(Info!$B$4="Board program",
IF(OR(AND(AN$5&gt;0,AN$5&gt;100),AND(AN$5&gt;0,AN$5&lt;100)),
VLOOKUP(FLOOR((Midterm!AN35/AN$5)*100,1),new_transmute,3,FALSE),
VLOOKUP(Midterm!AN35,new_transmute,3,FALSE)
),
IF(Info!$B$4="Board program (Medicine)",
IF(OR(AND(AN$5&gt;0,AN$5&gt;100),AND(AN$5&gt;0,AN$5&lt;100)),
VLOOKUP(FLOOR((Midterm!AN35/AN$5)*100,1),new_transmute,4,FALSE),
VLOOKUP(Midterm!AN35,new_transmute,4,FALSE)
),
""
)
)
)
)
)
)
)
)
))</f>
        <v/>
      </c>
      <c r="AO35" s="14" t="str">
        <f>IF($B35="","",
IF(AO$5="","",
IF(Midterm!AO35="",0,
IF(NOT(ISNUMBER(Midterm!AO35)),"NAN",
IF(Midterm!AO35&lt;0,"NEG",
IF(Midterm!AO35&gt;AO$5,"OVER",
IF(AND(AO$5&lt;=100,Midterm!AO35&gt;100),"ERR",
IF(Info!$B$4="Non-board program",
IF(OR(AND(AO$5&gt;0,AO$5&gt;100),AND(AO$5&gt;0,AO$5&lt;100)),
VLOOKUP(FLOOR((Midterm!AO35/AO$5)*100,1),new_transmute,2,FALSE),
VLOOKUP(Midterm!AO35,new_transmute,2,FALSE)
),
IF(Info!$B$4="Board program",
IF(OR(AND(AO$5&gt;0,AO$5&gt;100),AND(AO$5&gt;0,AO$5&lt;100)),
VLOOKUP(FLOOR((Midterm!AO35/AO$5)*100,1),new_transmute,3,FALSE),
VLOOKUP(Midterm!AO35,new_transmute,3,FALSE)
),
IF(Info!$B$4="Board program (Medicine)",
IF(OR(AND(AO$5&gt;0,AO$5&gt;100),AND(AO$5&gt;0,AO$5&lt;100)),
VLOOKUP(FLOOR((Midterm!AO35/AO$5)*100,1),new_transmute,4,FALSE),
VLOOKUP(Midterm!AO35,new_transmute,4,FALSE)
),
""
)
)
)
)
)
)
)
)
))</f>
        <v/>
      </c>
      <c r="AP35" s="14" t="str">
        <f>IF($B35="","",
IF(AP$5="","",
IF(Midterm!AP35="",0,
IF(NOT(ISNUMBER(Midterm!AP35)),"NAN",
IF(Midterm!AP35&lt;0,"NEG",
IF(Midterm!AP35&gt;AP$5,"OVER",
IF(AND(AP$5&lt;=100,Midterm!AP35&gt;100),"ERR",
IF(Info!$B$4="Non-board program",
IF(OR(AND(AP$5&gt;0,AP$5&gt;100),AND(AP$5&gt;0,AP$5&lt;100)),
VLOOKUP(FLOOR((Midterm!AP35/AP$5)*100,1),new_transmute,2,FALSE),
VLOOKUP(Midterm!AP35,new_transmute,2,FALSE)
),
IF(Info!$B$4="Board program",
IF(OR(AND(AP$5&gt;0,AP$5&gt;100),AND(AP$5&gt;0,AP$5&lt;100)),
VLOOKUP(FLOOR((Midterm!AP35/AP$5)*100,1),new_transmute,3,FALSE),
VLOOKUP(Midterm!AP35,new_transmute,3,FALSE)
),
IF(Info!$B$4="Board program (Medicine)",
IF(OR(AND(AP$5&gt;0,AP$5&gt;100),AND(AP$5&gt;0,AP$5&lt;100)),
VLOOKUP(FLOOR((Midterm!AP35/AP$5)*100,1),new_transmute,4,FALSE),
VLOOKUP(Midterm!AP35,new_transmute,4,FALSE)
),
""
)
)
)
)
)
)
)
)
))</f>
        <v/>
      </c>
      <c r="AQ35" s="61" t="str">
        <f t="shared" si="7"/>
        <v/>
      </c>
      <c r="AR35" s="48" t="str">
        <f>IF(Midterm!AR35="","",Midterm!AR35)</f>
        <v/>
      </c>
      <c r="AS35" s="165" t="str">
        <f t="shared" si="8"/>
        <v/>
      </c>
      <c r="AT35" s="14" t="str">
        <f t="shared" si="0"/>
        <v/>
      </c>
      <c r="AU35" s="14" t="str">
        <f>IF(B35="","",VLOOKUP(AT35,'New Grade Equivalent'!$B$3:$C$47,2,FALSE))</f>
        <v/>
      </c>
    </row>
    <row r="36" spans="1:47" x14ac:dyDescent="0.25">
      <c r="A36" s="8">
        <v>31</v>
      </c>
      <c r="B36" s="2" t="str">
        <f>IF('Student List'!C40="","",UPPER(LEFT('Student List'!C40,FIND(",",'Student List'!C40)-1)))</f>
        <v/>
      </c>
      <c r="C36" s="12" t="str">
        <f>IF('Student List'!C40="","",PROPER(MID('Student List'!C40, FIND(",", 'Student List'!C40) + 2, LEN('Student List'!C40) - FIND(",", 'Student List'!C40) - 1)))</f>
        <v/>
      </c>
      <c r="D36" s="127" t="str">
        <f>IF(B36="","",IF(Midterm!D36="", "NA", Midterm!D36))</f>
        <v/>
      </c>
      <c r="E36" s="8" t="str">
        <f>IF(B36="","",
  IF(Info!$B$5="First Year",
    IF(D36="Yes", "DRP",
      IF(D36="No", "WF", "")
    )
  )
)</f>
        <v/>
      </c>
      <c r="F36" s="14" t="str">
        <f>IF($B36="","",
IF(F$5="","",
IF(Midterm!F36="",0,
IF(NOT(ISNUMBER(Midterm!F36)),"NAN",
IF(Midterm!F36&lt;0,"NEG",
IF(Midterm!F36&gt;F$5,"OVER",
IF(AND(F$5&lt;=100,Midterm!F36&gt;100),"ERR",
IF(Info!$B$4="Non-board program",
IF(OR(AND(F$5&gt;0,F$5&gt;100),AND(F$5&gt;0,F$5&lt;100)),
VLOOKUP(FLOOR((Midterm!F36/F$5)*100,1),new_transmute,2,FALSE),
VLOOKUP(Midterm!F36,new_transmute,2,FALSE)
),
IF(Info!$B$4="Board program",
IF(OR(AND(F$5&gt;0,F$5&gt;100),AND(F$5&gt;0,F$5&lt;100)),
VLOOKUP(FLOOR((Midterm!F36/F$5)*100,1),new_transmute,3,FALSE),
VLOOKUP(Midterm!F36,new_transmute,3,FALSE)
),
IF(Info!$B$4="Board program (Medicine)",
IF(OR(AND(F$5&gt;0,F$5&gt;100),AND(F$5&gt;0,F$5&lt;100)),
VLOOKUP(FLOOR((Midterm!F36/F$5)*100,1),new_transmute,4,FALSE),
VLOOKUP(Midterm!F36,new_transmute,4,FALSE)
),
""
)
)
)
)
)
)
)
)
))</f>
        <v/>
      </c>
      <c r="G36" s="57" t="str">
        <f t="shared" si="1"/>
        <v/>
      </c>
      <c r="H36" s="14" t="str">
        <f>IF($B36="","",
IF(H$5="","",
IF(Midterm!H36="",0,
IF(NOT(ISNUMBER(Midterm!H36)),"NAN",
IF(Midterm!H36&lt;0,"NEG",
IF(Midterm!H36&gt;H$5,"OVER",
IF(AND(H$5&lt;=100,Midterm!H36&gt;100),"ERR",
IF(Info!$B$4="Non-board program",
IF(OR(AND(H$5&gt;0,H$5&gt;100),AND(H$5&gt;0,H$5&lt;100)),
VLOOKUP(FLOOR((Midterm!H36/H$5)*100,1),new_transmute,2,FALSE),
VLOOKUP(Midterm!H36,new_transmute,2,FALSE)
),
IF(Info!$B$4="Board program",
IF(OR(AND(H$5&gt;0,H$5&gt;100),AND(H$5&gt;0,H$5&lt;100)),
VLOOKUP(FLOOR((Midterm!H36/H$5)*100,1),new_transmute,3,FALSE),
VLOOKUP(Midterm!H36,new_transmute,3,FALSE)
),
IF(Info!$B$4="Board program (Medicine)",
IF(OR(AND(H$5&gt;0,H$5&gt;100),AND(H$5&gt;0,H$5&lt;100)),
VLOOKUP(FLOOR((Midterm!H36/H$5)*100,1),new_transmute,4,FALSE),
VLOOKUP(Midterm!H36,new_transmute,4,FALSE)
),
""
)
)
)
)
)
)
)
)
))</f>
        <v/>
      </c>
      <c r="I36" s="14" t="str">
        <f>IF($B36="","",
IF(I$5="","",
IF(Midterm!I36="",0,
IF(NOT(ISNUMBER(Midterm!I36)),"NAN",
IF(Midterm!I36&lt;0,"NEG",
IF(Midterm!I36&gt;I$5,"OVER",
IF(AND(I$5&lt;=100,Midterm!I36&gt;100),"ERR",
IF(Info!$B$4="Non-board program",
IF(OR(AND(I$5&gt;0,I$5&gt;100),AND(I$5&gt;0,I$5&lt;100)),
VLOOKUP(FLOOR((Midterm!I36/I$5)*100,1),new_transmute,2,FALSE),
VLOOKUP(Midterm!I36,new_transmute,2,FALSE)
),
IF(Info!$B$4="Board program",
IF(OR(AND(I$5&gt;0,I$5&gt;100),AND(I$5&gt;0,I$5&lt;100)),
VLOOKUP(FLOOR((Midterm!I36/I$5)*100,1),new_transmute,3,FALSE),
VLOOKUP(Midterm!I36,new_transmute,3,FALSE)
),
IF(Info!$B$4="Board program (Medicine)",
IF(OR(AND(I$5&gt;0,I$5&gt;100),AND(I$5&gt;0,I$5&lt;100)),
VLOOKUP(FLOOR((Midterm!I36/I$5)*100,1),new_transmute,4,FALSE),
VLOOKUP(Midterm!I36,new_transmute,4,FALSE)
),
""
)
)
)
)
)
)
)
)
))</f>
        <v/>
      </c>
      <c r="J36" s="14" t="str">
        <f>IF($B36="","",
IF(J$5="","",
IF(Midterm!J36="",0,
IF(NOT(ISNUMBER(Midterm!J36)),"NAN",
IF(Midterm!J36&lt;0,"NEG",
IF(Midterm!J36&gt;J$5,"OVER",
IF(AND(J$5&lt;=100,Midterm!J36&gt;100),"ERR",
IF(Info!$B$4="Non-board program",
IF(OR(AND(J$5&gt;0,J$5&gt;100),AND(J$5&gt;0,J$5&lt;100)),
VLOOKUP(FLOOR((Midterm!J36/J$5)*100,1),new_transmute,2,FALSE),
VLOOKUP(Midterm!J36,new_transmute,2,FALSE)
),
IF(Info!$B$4="Board program",
IF(OR(AND(J$5&gt;0,J$5&gt;100),AND(J$5&gt;0,J$5&lt;100)),
VLOOKUP(FLOOR((Midterm!J36/J$5)*100,1),new_transmute,3,FALSE),
VLOOKUP(Midterm!J36,new_transmute,3,FALSE)
),
IF(Info!$B$4="Board program (Medicine)",
IF(OR(AND(J$5&gt;0,J$5&gt;100),AND(J$5&gt;0,J$5&lt;100)),
VLOOKUP(FLOOR((Midterm!J36/J$5)*100,1),new_transmute,4,FALSE),
VLOOKUP(Midterm!J36,new_transmute,4,FALSE)
),
""
)
)
)
)
)
)
)
)
))</f>
        <v/>
      </c>
      <c r="K36" s="14" t="str">
        <f>IF($B36="","",
IF(K$5="","",
IF(Midterm!K36="",0,
IF(NOT(ISNUMBER(Midterm!K36)),"NAN",
IF(Midterm!K36&lt;0,"NEG",
IF(Midterm!K36&gt;K$5,"OVER",
IF(AND(K$5&lt;=100,Midterm!K36&gt;100),"ERR",
IF(Info!$B$4="Non-board program",
IF(OR(AND(K$5&gt;0,K$5&gt;100),AND(K$5&gt;0,K$5&lt;100)),
VLOOKUP(FLOOR((Midterm!K36/K$5)*100,1),new_transmute,2,FALSE),
VLOOKUP(Midterm!K36,new_transmute,2,FALSE)
),
IF(Info!$B$4="Board program",
IF(OR(AND(K$5&gt;0,K$5&gt;100),AND(K$5&gt;0,K$5&lt;100)),
VLOOKUP(FLOOR((Midterm!K36/K$5)*100,1),new_transmute,3,FALSE),
VLOOKUP(Midterm!K36,new_transmute,3,FALSE)
),
IF(Info!$B$4="Board program (Medicine)",
IF(OR(AND(K$5&gt;0,K$5&gt;100),AND(K$5&gt;0,K$5&lt;100)),
VLOOKUP(FLOOR((Midterm!K36/K$5)*100,1),new_transmute,4,FALSE),
VLOOKUP(Midterm!K36,new_transmute,4,FALSE)
),
""
)
)
)
)
)
)
)
)
))</f>
        <v/>
      </c>
      <c r="L36" s="14" t="str">
        <f>IF($B36="","",
IF(L$5="","",
IF(Midterm!L36="",0,
IF(NOT(ISNUMBER(Midterm!L36)),"NAN",
IF(Midterm!L36&lt;0,"NEG",
IF(Midterm!L36&gt;L$5,"OVER",
IF(AND(L$5&lt;=100,Midterm!L36&gt;100),"ERR",
IF(Info!$B$4="Non-board program",
IF(OR(AND(L$5&gt;0,L$5&gt;100),AND(L$5&gt;0,L$5&lt;100)),
VLOOKUP(FLOOR((Midterm!L36/L$5)*100,1),new_transmute,2,FALSE),
VLOOKUP(Midterm!L36,new_transmute,2,FALSE)
),
IF(Info!$B$4="Board program",
IF(OR(AND(L$5&gt;0,L$5&gt;100),AND(L$5&gt;0,L$5&lt;100)),
VLOOKUP(FLOOR((Midterm!L36/L$5)*100,1),new_transmute,3,FALSE),
VLOOKUP(Midterm!L36,new_transmute,3,FALSE)
),
IF(Info!$B$4="Board program (Medicine)",
IF(OR(AND(L$5&gt;0,L$5&gt;100),AND(L$5&gt;0,L$5&lt;100)),
VLOOKUP(FLOOR((Midterm!L36/L$5)*100,1),new_transmute,4,FALSE),
VLOOKUP(Midterm!L36,new_transmute,4,FALSE)
),
""
)
)
)
)
)
)
)
)
))</f>
        <v/>
      </c>
      <c r="M36" s="111" t="str">
        <f t="shared" si="2"/>
        <v/>
      </c>
      <c r="N36" s="14" t="str">
        <f>IF($B36="","",
IF(N$5="","",
IF(Midterm!N36="",0,
IF(NOT(ISNUMBER(Midterm!N36)),"NAN",
IF(Midterm!N36&lt;0,"NEG",
IF(Midterm!N36&gt;N$5,"OVER",
IF(AND(N$5&lt;=100,Midterm!N36&gt;100),"ERR",
IF(Info!$B$4="Non-board program",
IF(OR(AND(N$5&gt;0,N$5&gt;100),AND(N$5&gt;0,N$5&lt;100)),
VLOOKUP(FLOOR((Midterm!N36/N$5)*100,1),new_transmute,2,FALSE),
VLOOKUP(Midterm!N36,new_transmute,2,FALSE)
),
IF(Info!$B$4="Board program",
IF(OR(AND(N$5&gt;0,N$5&gt;100),AND(N$5&gt;0,N$5&lt;100)),
VLOOKUP(FLOOR((Midterm!N36/N$5)*100,1),new_transmute,3,FALSE),
VLOOKUP(Midterm!N36,new_transmute,3,FALSE)
),
IF(Info!$B$4="Board program (Medicine)",
IF(OR(AND(N$5&gt;0,N$5&gt;100),AND(N$5&gt;0,N$5&lt;100)),
VLOOKUP(FLOOR((Midterm!N36/N$5)*100,1),new_transmute,4,FALSE),
VLOOKUP(Midterm!N36,new_transmute,4,FALSE)
),
""
)
)
)
)
)
)
)
)
))</f>
        <v/>
      </c>
      <c r="O36" s="14" t="str">
        <f>IF($B36="","",
IF(O$5="","",
IF(Midterm!O36="",0,
IF(NOT(ISNUMBER(Midterm!O36)),"NAN",
IF(Midterm!O36&lt;0,"NEG",
IF(Midterm!O36&gt;O$5,"OVER",
IF(AND(O$5&lt;=100,Midterm!O36&gt;100),"ERR",
IF(Info!$B$4="Non-board program",
IF(OR(AND(O$5&gt;0,O$5&gt;100),AND(O$5&gt;0,O$5&lt;100)),
VLOOKUP(FLOOR((Midterm!O36/O$5)*100,1),new_transmute,2,FALSE),
VLOOKUP(Midterm!O36,new_transmute,2,FALSE)
),
IF(Info!$B$4="Board program",
IF(OR(AND(O$5&gt;0,O$5&gt;100),AND(O$5&gt;0,O$5&lt;100)),
VLOOKUP(FLOOR((Midterm!O36/O$5)*100,1),new_transmute,3,FALSE),
VLOOKUP(Midterm!O36,new_transmute,3,FALSE)
),
IF(Info!$B$4="Board program (Medicine)",
IF(OR(AND(O$5&gt;0,O$5&gt;100),AND(O$5&gt;0,O$5&lt;100)),
VLOOKUP(FLOOR((Midterm!O36/O$5)*100,1),new_transmute,4,FALSE),
VLOOKUP(Midterm!O36,new_transmute,4,FALSE)
),
""
)
)
)
)
)
)
)
)
))</f>
        <v/>
      </c>
      <c r="P36" s="14" t="str">
        <f>IF($B36="","",
IF(P$5="","",
IF(Midterm!P36="",0,
IF(NOT(ISNUMBER(Midterm!P36)),"NAN",
IF(Midterm!P36&lt;0,"NEG",
IF(Midterm!P36&gt;P$5,"OVER",
IF(AND(P$5&lt;=100,Midterm!P36&gt;100),"ERR",
IF(Info!$B$4="Non-board program",
IF(OR(AND(P$5&gt;0,P$5&gt;100),AND(P$5&gt;0,P$5&lt;100)),
VLOOKUP(FLOOR((Midterm!P36/P$5)*100,1),new_transmute,2,FALSE),
VLOOKUP(Midterm!P36,new_transmute,2,FALSE)
),
IF(Info!$B$4="Board program",
IF(OR(AND(P$5&gt;0,P$5&gt;100),AND(P$5&gt;0,P$5&lt;100)),
VLOOKUP(FLOOR((Midterm!P36/P$5)*100,1),new_transmute,3,FALSE),
VLOOKUP(Midterm!P36,new_transmute,3,FALSE)
),
IF(Info!$B$4="Board program (Medicine)",
IF(OR(AND(P$5&gt;0,P$5&gt;100),AND(P$5&gt;0,P$5&lt;100)),
VLOOKUP(FLOOR((Midterm!P36/P$5)*100,1),new_transmute,4,FALSE),
VLOOKUP(Midterm!P36,new_transmute,4,FALSE)
),
""
)
)
)
)
)
)
)
)
))</f>
        <v/>
      </c>
      <c r="Q36" s="14" t="str">
        <f>IF($B36="","",
IF(Q$5="","",
IF(Midterm!Q36="",0,
IF(NOT(ISNUMBER(Midterm!Q36)),"NAN",
IF(Midterm!Q36&lt;0,"NEG",
IF(Midterm!Q36&gt;Q$5,"OVER",
IF(AND(Q$5&lt;=100,Midterm!Q36&gt;100),"ERR",
IF(Info!$B$4="Non-board program",
IF(OR(AND(Q$5&gt;0,Q$5&gt;100),AND(Q$5&gt;0,Q$5&lt;100)),
VLOOKUP(FLOOR((Midterm!Q36/Q$5)*100,1),new_transmute,2,FALSE),
VLOOKUP(Midterm!Q36,new_transmute,2,FALSE)
),
IF(Info!$B$4="Board program",
IF(OR(AND(Q$5&gt;0,Q$5&gt;100),AND(Q$5&gt;0,Q$5&lt;100)),
VLOOKUP(FLOOR((Midterm!Q36/Q$5)*100,1),new_transmute,3,FALSE),
VLOOKUP(Midterm!Q36,new_transmute,3,FALSE)
),
IF(Info!$B$4="Board program (Medicine)",
IF(OR(AND(Q$5&gt;0,Q$5&gt;100),AND(Q$5&gt;0,Q$5&lt;100)),
VLOOKUP(FLOOR((Midterm!Q36/Q$5)*100,1),new_transmute,4,FALSE),
VLOOKUP(Midterm!Q36,new_transmute,4,FALSE)
),
""
)
)
)
)
)
)
)
)
))</f>
        <v/>
      </c>
      <c r="R36" s="14" t="str">
        <f>IF($B36="","",
IF(R$5="","",
IF(Midterm!R36="",0,
IF(NOT(ISNUMBER(Midterm!R36)),"NAN",
IF(Midterm!R36&lt;0,"NEG",
IF(Midterm!R36&gt;R$5,"OVER",
IF(AND(R$5&lt;=100,Midterm!R36&gt;100),"ERR",
IF(Info!$B$4="Non-board program",
IF(OR(AND(R$5&gt;0,R$5&gt;100),AND(R$5&gt;0,R$5&lt;100)),
VLOOKUP(FLOOR((Midterm!R36/R$5)*100,1),new_transmute,2,FALSE),
VLOOKUP(Midterm!R36,new_transmute,2,FALSE)
),
IF(Info!$B$4="Board program",
IF(OR(AND(R$5&gt;0,R$5&gt;100),AND(R$5&gt;0,R$5&lt;100)),
VLOOKUP(FLOOR((Midterm!R36/R$5)*100,1),new_transmute,3,FALSE),
VLOOKUP(Midterm!R36,new_transmute,3,FALSE)
),
IF(Info!$B$4="Board program (Medicine)",
IF(OR(AND(R$5&gt;0,R$5&gt;100),AND(R$5&gt;0,R$5&lt;100)),
VLOOKUP(FLOOR((Midterm!R36/R$5)*100,1),new_transmute,4,FALSE),
VLOOKUP(Midterm!R36,new_transmute,4,FALSE)
),
""
)
)
)
)
)
)
)
)
))</f>
        <v/>
      </c>
      <c r="S36" s="115" t="str">
        <f t="shared" si="3"/>
        <v/>
      </c>
      <c r="T36" s="14" t="str">
        <f>IF($B36="","",
IF(T$5="","",
IF(Midterm!T36="",0,
IF(NOT(ISNUMBER(Midterm!T36)),"NAN",
IF(Midterm!T36&lt;0,"NEG",
IF(Midterm!T36&gt;T$5,"OVER",
IF(AND(T$5&lt;=100,Midterm!T36&gt;100),"ERR",
IF(Info!$B$4="Non-board program",
IF(OR(AND(T$5&gt;0,T$5&gt;100),AND(T$5&gt;0,T$5&lt;100)),
VLOOKUP(FLOOR((Midterm!T36/T$5)*100,1),new_transmute,2,FALSE),
VLOOKUP(Midterm!T36,new_transmute,2,FALSE)
),
IF(Info!$B$4="Board program",
IF(OR(AND(T$5&gt;0,T$5&gt;100),AND(T$5&gt;0,T$5&lt;100)),
VLOOKUP(FLOOR((Midterm!T36/T$5)*100,1),new_transmute,3,FALSE),
VLOOKUP(Midterm!T36,new_transmute,3,FALSE)
),
IF(Info!$B$4="Board program (Medicine)",
IF(OR(AND(T$5&gt;0,T$5&gt;100),AND(T$5&gt;0,T$5&lt;100)),
VLOOKUP(FLOOR((Midterm!T36/T$5)*100,1),new_transmute,4,FALSE),
VLOOKUP(Midterm!T36,new_transmute,4,FALSE)
),
""
)
)
)
)
)
)
)
)
))</f>
        <v/>
      </c>
      <c r="U36" s="14" t="str">
        <f>IF($B36="","",
IF(U$5="","",
IF(Midterm!U36="",0,
IF(NOT(ISNUMBER(Midterm!U36)),"NAN",
IF(Midterm!U36&lt;0,"NEG",
IF(Midterm!U36&gt;U$5,"OVER",
IF(AND(U$5&lt;=100,Midterm!U36&gt;100),"ERR",
IF(Info!$B$4="Non-board program",
IF(OR(AND(U$5&gt;0,U$5&gt;100),AND(U$5&gt;0,U$5&lt;100)),
VLOOKUP(FLOOR((Midterm!U36/U$5)*100,1),new_transmute,2,FALSE),
VLOOKUP(Midterm!U36,new_transmute,2,FALSE)
),
IF(Info!$B$4="Board program",
IF(OR(AND(U$5&gt;0,U$5&gt;100),AND(U$5&gt;0,U$5&lt;100)),
VLOOKUP(FLOOR((Midterm!U36/U$5)*100,1),new_transmute,3,FALSE),
VLOOKUP(Midterm!U36,new_transmute,3,FALSE)
),
IF(Info!$B$4="Board program (Medicine)",
IF(OR(AND(U$5&gt;0,U$5&gt;100),AND(U$5&gt;0,U$5&lt;100)),
VLOOKUP(FLOOR((Midterm!U36/U$5)*100,1),new_transmute,4,FALSE),
VLOOKUP(Midterm!U36,new_transmute,4,FALSE)
),
""
)
)
)
)
)
)
)
)
))</f>
        <v/>
      </c>
      <c r="V36" s="14" t="str">
        <f>IF($B36="","",
IF(V$5="","",
IF(Midterm!V36="",0,
IF(NOT(ISNUMBER(Midterm!V36)),"NAN",
IF(Midterm!V36&lt;0,"NEG",
IF(Midterm!V36&gt;V$5,"OVER",
IF(AND(V$5&lt;=100,Midterm!V36&gt;100),"ERR",
IF(Info!$B$4="Non-board program",
IF(OR(AND(V$5&gt;0,V$5&gt;100),AND(V$5&gt;0,V$5&lt;100)),
VLOOKUP(FLOOR((Midterm!V36/V$5)*100,1),new_transmute,2,FALSE),
VLOOKUP(Midterm!V36,new_transmute,2,FALSE)
),
IF(Info!$B$4="Board program",
IF(OR(AND(V$5&gt;0,V$5&gt;100),AND(V$5&gt;0,V$5&lt;100)),
VLOOKUP(FLOOR((Midterm!V36/V$5)*100,1),new_transmute,3,FALSE),
VLOOKUP(Midterm!V36,new_transmute,3,FALSE)
),
IF(Info!$B$4="Board program (Medicine)",
IF(OR(AND(V$5&gt;0,V$5&gt;100),AND(V$5&gt;0,V$5&lt;100)),
VLOOKUP(FLOOR((Midterm!V36/V$5)*100,1),new_transmute,4,FALSE),
VLOOKUP(Midterm!V36,new_transmute,4,FALSE)
),
""
)
)
)
)
)
)
)
)
))</f>
        <v/>
      </c>
      <c r="W36" s="14" t="str">
        <f>IF($B36="","",
IF(W$5="","",
IF(Midterm!W36="",0,
IF(NOT(ISNUMBER(Midterm!W36)),"NAN",
IF(Midterm!W36&lt;0,"NEG",
IF(Midterm!W36&gt;W$5,"OVER",
IF(AND(W$5&lt;=100,Midterm!W36&gt;100),"ERR",
IF(Info!$B$4="Non-board program",
IF(OR(AND(W$5&gt;0,W$5&gt;100),AND(W$5&gt;0,W$5&lt;100)),
VLOOKUP(FLOOR((Midterm!W36/W$5)*100,1),new_transmute,2,FALSE),
VLOOKUP(Midterm!W36,new_transmute,2,FALSE)
),
IF(Info!$B$4="Board program",
IF(OR(AND(W$5&gt;0,W$5&gt;100),AND(W$5&gt;0,W$5&lt;100)),
VLOOKUP(FLOOR((Midterm!W36/W$5)*100,1),new_transmute,3,FALSE),
VLOOKUP(Midterm!W36,new_transmute,3,FALSE)
),
IF(Info!$B$4="Board program (Medicine)",
IF(OR(AND(W$5&gt;0,W$5&gt;100),AND(W$5&gt;0,W$5&lt;100)),
VLOOKUP(FLOOR((Midterm!W36/W$5)*100,1),new_transmute,4,FALSE),
VLOOKUP(Midterm!W36,new_transmute,4,FALSE)
),
""
)
)
)
)
)
)
)
)
))</f>
        <v/>
      </c>
      <c r="X36" s="14" t="str">
        <f>IF($B36="","",
IF(X$5="","",
IF(Midterm!X36="",0,
IF(NOT(ISNUMBER(Midterm!X36)),"NAN",
IF(Midterm!X36&lt;0,"NEG",
IF(Midterm!X36&gt;X$5,"OVER",
IF(AND(X$5&lt;=100,Midterm!X36&gt;100),"ERR",
IF(Info!$B$4="Non-board program",
IF(OR(AND(X$5&gt;0,X$5&gt;100),AND(X$5&gt;0,X$5&lt;100)),
VLOOKUP(FLOOR((Midterm!X36/X$5)*100,1),new_transmute,2,FALSE),
VLOOKUP(Midterm!X36,new_transmute,2,FALSE)
),
IF(Info!$B$4="Board program",
IF(OR(AND(X$5&gt;0,X$5&gt;100),AND(X$5&gt;0,X$5&lt;100)),
VLOOKUP(FLOOR((Midterm!X36/X$5)*100,1),new_transmute,3,FALSE),
VLOOKUP(Midterm!X36,new_transmute,3,FALSE)
),
IF(Info!$B$4="Board program (Medicine)",
IF(OR(AND(X$5&gt;0,X$5&gt;100),AND(X$5&gt;0,X$5&lt;100)),
VLOOKUP(FLOOR((Midterm!X36/X$5)*100,1),new_transmute,4,FALSE),
VLOOKUP(Midterm!X36,new_transmute,4,FALSE)
),
""
)
)
)
)
)
)
)
)
))</f>
        <v/>
      </c>
      <c r="Y36" s="112" t="str">
        <f t="shared" si="4"/>
        <v/>
      </c>
      <c r="Z36" s="14" t="str">
        <f>IF($B36="","",
IF(Z$5="","",
IF(Midterm!Z36="",0,
IF(NOT(ISNUMBER(Midterm!Z36)),"NAN",
IF(Midterm!Z36&lt;0,"NEG",
IF(Midterm!Z36&gt;Z$5,"OVER",
IF(AND(Z$5&lt;=100,Midterm!Z36&gt;100),"ERR",
IF(Info!$B$4="Non-board program",
IF(OR(AND(Z$5&gt;0,Z$5&gt;100),AND(Z$5&gt;0,Z$5&lt;100)),
VLOOKUP(FLOOR((Midterm!Z36/Z$5)*100,1),new_transmute,2,FALSE),
VLOOKUP(Midterm!Z36,new_transmute,2,FALSE)
),
IF(Info!$B$4="Board program",
IF(OR(AND(Z$5&gt;0,Z$5&gt;100),AND(Z$5&gt;0,Z$5&lt;100)),
VLOOKUP(FLOOR((Midterm!Z36/Z$5)*100,1),new_transmute,3,FALSE),
VLOOKUP(Midterm!Z36,new_transmute,3,FALSE)
),
IF(Info!$B$4="Board program (Medicine)",
IF(OR(AND(Z$5&gt;0,Z$5&gt;100),AND(Z$5&gt;0,Z$5&lt;100)),
VLOOKUP(FLOOR((Midterm!Z36/Z$5)*100,1),new_transmute,4,FALSE),
VLOOKUP(Midterm!Z36,new_transmute,4,FALSE)
),
""
)
)
)
)
)
)
)
)
))</f>
        <v/>
      </c>
      <c r="AA36" s="14" t="str">
        <f>IF($B36="","",
IF(AA$5="","",
IF(Midterm!AA36="",0,
IF(NOT(ISNUMBER(Midterm!AA36)),"NAN",
IF(Midterm!AA36&lt;0,"NEG",
IF(Midterm!AA36&gt;AA$5,"OVER",
IF(AND(AA$5&lt;=100,Midterm!AA36&gt;100),"ERR",
IF(Info!$B$4="Non-board program",
IF(OR(AND(AA$5&gt;0,AA$5&gt;100),AND(AA$5&gt;0,AA$5&lt;100)),
VLOOKUP(FLOOR((Midterm!AA36/AA$5)*100,1),new_transmute,2,FALSE),
VLOOKUP(Midterm!AA36,new_transmute,2,FALSE)
),
IF(Info!$B$4="Board program",
IF(OR(AND(AA$5&gt;0,AA$5&gt;100),AND(AA$5&gt;0,AA$5&lt;100)),
VLOOKUP(FLOOR((Midterm!AA36/AA$5)*100,1),new_transmute,3,FALSE),
VLOOKUP(Midterm!AA36,new_transmute,3,FALSE)
),
IF(Info!$B$4="Board program (Medicine)",
IF(OR(AND(AA$5&gt;0,AA$5&gt;100),AND(AA$5&gt;0,AA$5&lt;100)),
VLOOKUP(FLOOR((Midterm!AA36/AA$5)*100,1),new_transmute,4,FALSE),
VLOOKUP(Midterm!AA36,new_transmute,4,FALSE)
),
""
)
)
)
)
)
)
)
)
))</f>
        <v/>
      </c>
      <c r="AB36" s="14" t="str">
        <f>IF($B36="","",
IF(AB$5="","",
IF(Midterm!AB36="",0,
IF(NOT(ISNUMBER(Midterm!AB36)),"NAN",
IF(Midterm!AB36&lt;0,"NEG",
IF(Midterm!AB36&gt;AB$5,"OVER",
IF(AND(AB$5&lt;=100,Midterm!AB36&gt;100),"ERR",
IF(Info!$B$4="Non-board program",
IF(OR(AND(AB$5&gt;0,AB$5&gt;100),AND(AB$5&gt;0,AB$5&lt;100)),
VLOOKUP(FLOOR((Midterm!AB36/AB$5)*100,1),new_transmute,2,FALSE),
VLOOKUP(Midterm!AB36,new_transmute,2,FALSE)
),
IF(Info!$B$4="Board program",
IF(OR(AND(AB$5&gt;0,AB$5&gt;100),AND(AB$5&gt;0,AB$5&lt;100)),
VLOOKUP(FLOOR((Midterm!AB36/AB$5)*100,1),new_transmute,3,FALSE),
VLOOKUP(Midterm!AB36,new_transmute,3,FALSE)
),
IF(Info!$B$4="Board program (Medicine)",
IF(OR(AND(AB$5&gt;0,AB$5&gt;100),AND(AB$5&gt;0,AB$5&lt;100)),
VLOOKUP(FLOOR((Midterm!AB36/AB$5)*100,1),new_transmute,4,FALSE),
VLOOKUP(Midterm!AB36,new_transmute,4,FALSE)
),
""
)
)
)
)
)
)
)
)
))</f>
        <v/>
      </c>
      <c r="AC36" s="14" t="str">
        <f>IF($B36="","",
IF(AC$5="","",
IF(Midterm!AC36="",0,
IF(NOT(ISNUMBER(Midterm!AC36)),"NAN",
IF(Midterm!AC36&lt;0,"NEG",
IF(Midterm!AC36&gt;AC$5,"OVER",
IF(AND(AC$5&lt;=100,Midterm!AC36&gt;100),"ERR",
IF(Info!$B$4="Non-board program",
IF(OR(AND(AC$5&gt;0,AC$5&gt;100),AND(AC$5&gt;0,AC$5&lt;100)),
VLOOKUP(FLOOR((Midterm!AC36/AC$5)*100,1),new_transmute,2,FALSE),
VLOOKUP(Midterm!AC36,new_transmute,2,FALSE)
),
IF(Info!$B$4="Board program",
IF(OR(AND(AC$5&gt;0,AC$5&gt;100),AND(AC$5&gt;0,AC$5&lt;100)),
VLOOKUP(FLOOR((Midterm!AC36/AC$5)*100,1),new_transmute,3,FALSE),
VLOOKUP(Midterm!AC36,new_transmute,3,FALSE)
),
IF(Info!$B$4="Board program (Medicine)",
IF(OR(AND(AC$5&gt;0,AC$5&gt;100),AND(AC$5&gt;0,AC$5&lt;100)),
VLOOKUP(FLOOR((Midterm!AC36/AC$5)*100,1),new_transmute,4,FALSE),
VLOOKUP(Midterm!AC36,new_transmute,4,FALSE)
),
""
)
)
)
)
)
)
)
)
))</f>
        <v/>
      </c>
      <c r="AD36" s="14" t="str">
        <f>IF($B36="","",
IF(AD$5="","",
IF(Midterm!AD36="",0,
IF(NOT(ISNUMBER(Midterm!AD36)),"NAN",
IF(Midterm!AD36&lt;0,"NEG",
IF(Midterm!AD36&gt;AD$5,"OVER",
IF(AND(AD$5&lt;=100,Midterm!AD36&gt;100),"ERR",
IF(Info!$B$4="Non-board program",
IF(OR(AND(AD$5&gt;0,AD$5&gt;100),AND(AD$5&gt;0,AD$5&lt;100)),
VLOOKUP(FLOOR((Midterm!AD36/AD$5)*100,1),new_transmute,2,FALSE),
VLOOKUP(Midterm!AD36,new_transmute,2,FALSE)
),
IF(Info!$B$4="Board program",
IF(OR(AND(AD$5&gt;0,AD$5&gt;100),AND(AD$5&gt;0,AD$5&lt;100)),
VLOOKUP(FLOOR((Midterm!AD36/AD$5)*100,1),new_transmute,3,FALSE),
VLOOKUP(Midterm!AD36,new_transmute,3,FALSE)
),
IF(Info!$B$4="Board program (Medicine)",
IF(OR(AND(AD$5&gt;0,AD$5&gt;100),AND(AD$5&gt;0,AD$5&lt;100)),
VLOOKUP(FLOOR((Midterm!AD36/AD$5)*100,1),new_transmute,4,FALSE),
VLOOKUP(Midterm!AD36,new_transmute,4,FALSE)
),
""
)
)
)
)
)
)
)
)
))</f>
        <v/>
      </c>
      <c r="AE36" s="58" t="str">
        <f t="shared" si="5"/>
        <v/>
      </c>
      <c r="AF36" s="14" t="str">
        <f>IF($B36="","",
IF(AF$5="","",
IF(Midterm!AF36="",0,
IF(NOT(ISNUMBER(Midterm!AF36)),"NAN",
IF(Midterm!AF36&lt;0,"NEG",
IF(Midterm!AF36&gt;AF$5,"OVER",
IF(AND(AF$5&lt;=100,Midterm!AF36&gt;100),"ERR",
IF(Info!$B$4="Non-board program",
IF(OR(AND(AF$5&gt;0,AF$5&gt;100),AND(AF$5&gt;0,AF$5&lt;100)),
VLOOKUP(FLOOR((Midterm!AF36/AF$5)*100,1),new_transmute,2,FALSE),
VLOOKUP(Midterm!AF36,new_transmute,2,FALSE)
),
IF(Info!$B$4="Board program",
IF(OR(AND(AF$5&gt;0,AF$5&gt;100),AND(AF$5&gt;0,AF$5&lt;100)),
VLOOKUP(FLOOR((Midterm!AF36/AF$5)*100,1),new_transmute,3,FALSE),
VLOOKUP(Midterm!AF36,new_transmute,3,FALSE)
),
IF(Info!$B$4="Board program (Medicine)",
IF(OR(AND(AF$5&gt;0,AF$5&gt;100),AND(AF$5&gt;0,AF$5&lt;100)),
VLOOKUP(FLOOR((Midterm!AF36/AF$5)*100,1),new_transmute,4,FALSE),
VLOOKUP(Midterm!AF36,new_transmute,4,FALSE)
),
""
)
)
)
)
)
)
)
)
))</f>
        <v/>
      </c>
      <c r="AG36" s="14" t="str">
        <f>IF($B36="","",
IF(AG$5="","",
IF(Midterm!AG36="",0,
IF(NOT(ISNUMBER(Midterm!AG36)),"NAN",
IF(Midterm!AG36&lt;0,"NEG",
IF(Midterm!AG36&gt;AG$5,"OVER",
IF(AND(AG$5&lt;=100,Midterm!AG36&gt;100),"ERR",
IF(Info!$B$4="Non-board program",
IF(OR(AND(AG$5&gt;0,AG$5&gt;100),AND(AG$5&gt;0,AG$5&lt;100)),
VLOOKUP(FLOOR((Midterm!AG36/AG$5)*100,1),new_transmute,2,FALSE),
VLOOKUP(Midterm!AG36,new_transmute,2,FALSE)
),
IF(Info!$B$4="Board program",
IF(OR(AND(AG$5&gt;0,AG$5&gt;100),AND(AG$5&gt;0,AG$5&lt;100)),
VLOOKUP(FLOOR((Midterm!AG36/AG$5)*100,1),new_transmute,3,FALSE),
VLOOKUP(Midterm!AG36,new_transmute,3,FALSE)
),
IF(Info!$B$4="Board program (Medicine)",
IF(OR(AND(AG$5&gt;0,AG$5&gt;100),AND(AG$5&gt;0,AG$5&lt;100)),
VLOOKUP(FLOOR((Midterm!AG36/AG$5)*100,1),new_transmute,4,FALSE),
VLOOKUP(Midterm!AG36,new_transmute,4,FALSE)
),
""
)
)
)
)
)
)
)
)
))</f>
        <v/>
      </c>
      <c r="AH36" s="14" t="str">
        <f>IF($B36="","",
IF(AH$5="","",
IF(Midterm!AH36="",0,
IF(NOT(ISNUMBER(Midterm!AH36)),"NAN",
IF(Midterm!AH36&lt;0,"NEG",
IF(Midterm!AH36&gt;AH$5,"OVER",
IF(AND(AH$5&lt;=100,Midterm!AH36&gt;100),"ERR",
IF(Info!$B$4="Non-board program",
IF(OR(AND(AH$5&gt;0,AH$5&gt;100),AND(AH$5&gt;0,AH$5&lt;100)),
VLOOKUP(FLOOR((Midterm!AH36/AH$5)*100,1),new_transmute,2,FALSE),
VLOOKUP(Midterm!AH36,new_transmute,2,FALSE)
),
IF(Info!$B$4="Board program",
IF(OR(AND(AH$5&gt;0,AH$5&gt;100),AND(AH$5&gt;0,AH$5&lt;100)),
VLOOKUP(FLOOR((Midterm!AH36/AH$5)*100,1),new_transmute,3,FALSE),
VLOOKUP(Midterm!AH36,new_transmute,3,FALSE)
),
IF(Info!$B$4="Board program (Medicine)",
IF(OR(AND(AH$5&gt;0,AH$5&gt;100),AND(AH$5&gt;0,AH$5&lt;100)),
VLOOKUP(FLOOR((Midterm!AH36/AH$5)*100,1),new_transmute,4,FALSE),
VLOOKUP(Midterm!AH36,new_transmute,4,FALSE)
),
""
)
)
)
)
)
)
)
)
))</f>
        <v/>
      </c>
      <c r="AI36" s="14" t="str">
        <f>IF($B36="","",
IF(AI$5="","",
IF(Midterm!AI36="",0,
IF(NOT(ISNUMBER(Midterm!AI36)),"NAN",
IF(Midterm!AI36&lt;0,"NEG",
IF(Midterm!AI36&gt;AI$5,"OVER",
IF(AND(AI$5&lt;=100,Midterm!AI36&gt;100),"ERR",
IF(Info!$B$4="Non-board program",
IF(OR(AND(AI$5&gt;0,AI$5&gt;100),AND(AI$5&gt;0,AI$5&lt;100)),
VLOOKUP(FLOOR((Midterm!AI36/AI$5)*100,1),new_transmute,2,FALSE),
VLOOKUP(Midterm!AI36,new_transmute,2,FALSE)
),
IF(Info!$B$4="Board program",
IF(OR(AND(AI$5&gt;0,AI$5&gt;100),AND(AI$5&gt;0,AI$5&lt;100)),
VLOOKUP(FLOOR((Midterm!AI36/AI$5)*100,1),new_transmute,3,FALSE),
VLOOKUP(Midterm!AI36,new_transmute,3,FALSE)
),
IF(Info!$B$4="Board program (Medicine)",
IF(OR(AND(AI$5&gt;0,AI$5&gt;100),AND(AI$5&gt;0,AI$5&lt;100)),
VLOOKUP(FLOOR((Midterm!AI36/AI$5)*100,1),new_transmute,4,FALSE),
VLOOKUP(Midterm!AI36,new_transmute,4,FALSE)
),
""
)
)
)
)
)
)
)
)
))</f>
        <v/>
      </c>
      <c r="AJ36" s="14" t="str">
        <f>IF($B36="","",
IF(AJ$5="","",
IF(Midterm!AJ36="",0,
IF(NOT(ISNUMBER(Midterm!AJ36)),"NAN",
IF(Midterm!AJ36&lt;0,"NEG",
IF(Midterm!AJ36&gt;AJ$5,"OVER",
IF(AND(AJ$5&lt;=100,Midterm!AJ36&gt;100),"ERR",
IF(Info!$B$4="Non-board program",
IF(OR(AND(AJ$5&gt;0,AJ$5&gt;100),AND(AJ$5&gt;0,AJ$5&lt;100)),
VLOOKUP(FLOOR((Midterm!AJ36/AJ$5)*100,1),new_transmute,2,FALSE),
VLOOKUP(Midterm!AJ36,new_transmute,2,FALSE)
),
IF(Info!$B$4="Board program",
IF(OR(AND(AJ$5&gt;0,AJ$5&gt;100),AND(AJ$5&gt;0,AJ$5&lt;100)),
VLOOKUP(FLOOR((Midterm!AJ36/AJ$5)*100,1),new_transmute,3,FALSE),
VLOOKUP(Midterm!AJ36,new_transmute,3,FALSE)
),
IF(Info!$B$4="Board program (Medicine)",
IF(OR(AND(AJ$5&gt;0,AJ$5&gt;100),AND(AJ$5&gt;0,AJ$5&lt;100)),
VLOOKUP(FLOOR((Midterm!AJ36/AJ$5)*100,1),new_transmute,4,FALSE),
VLOOKUP(Midterm!AJ36,new_transmute,4,FALSE)
),
""
)
)
)
)
)
)
)
)
))</f>
        <v/>
      </c>
      <c r="AK36" s="59" t="str">
        <f t="shared" si="6"/>
        <v/>
      </c>
      <c r="AL36" s="60" t="str">
        <f>IF(B36="", "",
    IF(OR(M36="OVER", S36="OVER", Y36="OVER", AE36="OVER", AK36="OVER"),
        "OVER",
        IF(Info!$B$4="Non-board program",
            VLOOKUP(IFERROR(FLOOR(SUM((M36*$M$4), (S36*$S$4), (Y36*$Y$4), (AE36*$AE$4), (AK36*$AK$4)) * (100 / 60), 1), 0), new_transmute, 2, FALSE),
            IF(Info!$B$4="Board program",
                VLOOKUP(IFERROR(FLOOR(SUM((M36*$M$4), (S36*$S$4), (Y36*$Y$4), (AE36*$AE$4), (AK36*$AK$4)) * (100 / 60), 1), 0), new_transmute, 3, FALSE),
                IF(Info!$B$4="Board program (Medicine)",
                    VLOOKUP(IFERROR(FLOOR(SUM((M36*$M$4), (S36*$S$4), (Y36*$Y$4), (AE36*$AE$4), (AK36*$AK$4)) * (100 / 60), 1), 0), new_transmute, 4, FALSE),
                    ""
                )
            )
        )
    )
)</f>
        <v/>
      </c>
      <c r="AM36" s="14" t="str">
        <f>IF($B36="","",
IF(AM$5="","",
IF(Midterm!AM36="",0,
IF(NOT(ISNUMBER(Midterm!AM36)),"NAN",
IF(Midterm!AM36&lt;0,"NEG",
IF(Midterm!AM36&gt;AM$5,"OVER",
IF(AND(AM$5&lt;=100,Midterm!AM36&gt;100),"ERR",
IF(Info!$B$4="Non-board program",
IF(OR(AND(AM$5&gt;0,AM$5&gt;100),AND(AM$5&gt;0,AM$5&lt;100)),
VLOOKUP(FLOOR((Midterm!AM36/AM$5)*100,1),new_transmute,2,FALSE),
VLOOKUP(Midterm!AM36,new_transmute,2,FALSE)
),
IF(Info!$B$4="Board program",
IF(OR(AND(AM$5&gt;0,AM$5&gt;100),AND(AM$5&gt;0,AM$5&lt;100)),
VLOOKUP(FLOOR((Midterm!AM36/AM$5)*100,1),new_transmute,3,FALSE),
VLOOKUP(Midterm!AM36,new_transmute,3,FALSE)
),
IF(Info!$B$4="Board program (Medicine)",
IF(OR(AND(AM$5&gt;0,AM$5&gt;100),AND(AM$5&gt;0,AM$5&lt;100)),
VLOOKUP(FLOOR((Midterm!AM36/AM$5)*100,1),new_transmute,4,FALSE),
VLOOKUP(Midterm!AM36,new_transmute,4,FALSE)
),
""
)
)
)
)
)
)
)
)
))</f>
        <v/>
      </c>
      <c r="AN36" s="14" t="str">
        <f>IF($B36="","",
IF(AN$5="","",
IF(Midterm!AN36="",0,
IF(NOT(ISNUMBER(Midterm!AN36)),"NAN",
IF(Midterm!AN36&lt;0,"NEG",
IF(Midterm!AN36&gt;AN$5,"OVER",
IF(AND(AN$5&lt;=100,Midterm!AN36&gt;100),"ERR",
IF(Info!$B$4="Non-board program",
IF(OR(AND(AN$5&gt;0,AN$5&gt;100),AND(AN$5&gt;0,AN$5&lt;100)),
VLOOKUP(FLOOR((Midterm!AN36/AN$5)*100,1),new_transmute,2,FALSE),
VLOOKUP(Midterm!AN36,new_transmute,2,FALSE)
),
IF(Info!$B$4="Board program",
IF(OR(AND(AN$5&gt;0,AN$5&gt;100),AND(AN$5&gt;0,AN$5&lt;100)),
VLOOKUP(FLOOR((Midterm!AN36/AN$5)*100,1),new_transmute,3,FALSE),
VLOOKUP(Midterm!AN36,new_transmute,3,FALSE)
),
IF(Info!$B$4="Board program (Medicine)",
IF(OR(AND(AN$5&gt;0,AN$5&gt;100),AND(AN$5&gt;0,AN$5&lt;100)),
VLOOKUP(FLOOR((Midterm!AN36/AN$5)*100,1),new_transmute,4,FALSE),
VLOOKUP(Midterm!AN36,new_transmute,4,FALSE)
),
""
)
)
)
)
)
)
)
)
))</f>
        <v/>
      </c>
      <c r="AO36" s="14" t="str">
        <f>IF($B36="","",
IF(AO$5="","",
IF(Midterm!AO36="",0,
IF(NOT(ISNUMBER(Midterm!AO36)),"NAN",
IF(Midterm!AO36&lt;0,"NEG",
IF(Midterm!AO36&gt;AO$5,"OVER",
IF(AND(AO$5&lt;=100,Midterm!AO36&gt;100),"ERR",
IF(Info!$B$4="Non-board program",
IF(OR(AND(AO$5&gt;0,AO$5&gt;100),AND(AO$5&gt;0,AO$5&lt;100)),
VLOOKUP(FLOOR((Midterm!AO36/AO$5)*100,1),new_transmute,2,FALSE),
VLOOKUP(Midterm!AO36,new_transmute,2,FALSE)
),
IF(Info!$B$4="Board program",
IF(OR(AND(AO$5&gt;0,AO$5&gt;100),AND(AO$5&gt;0,AO$5&lt;100)),
VLOOKUP(FLOOR((Midterm!AO36/AO$5)*100,1),new_transmute,3,FALSE),
VLOOKUP(Midterm!AO36,new_transmute,3,FALSE)
),
IF(Info!$B$4="Board program (Medicine)",
IF(OR(AND(AO$5&gt;0,AO$5&gt;100),AND(AO$5&gt;0,AO$5&lt;100)),
VLOOKUP(FLOOR((Midterm!AO36/AO$5)*100,1),new_transmute,4,FALSE),
VLOOKUP(Midterm!AO36,new_transmute,4,FALSE)
),
""
)
)
)
)
)
)
)
)
))</f>
        <v/>
      </c>
      <c r="AP36" s="14" t="str">
        <f>IF($B36="","",
IF(AP$5="","",
IF(Midterm!AP36="",0,
IF(NOT(ISNUMBER(Midterm!AP36)),"NAN",
IF(Midterm!AP36&lt;0,"NEG",
IF(Midterm!AP36&gt;AP$5,"OVER",
IF(AND(AP$5&lt;=100,Midterm!AP36&gt;100),"ERR",
IF(Info!$B$4="Non-board program",
IF(OR(AND(AP$5&gt;0,AP$5&gt;100),AND(AP$5&gt;0,AP$5&lt;100)),
VLOOKUP(FLOOR((Midterm!AP36/AP$5)*100,1),new_transmute,2,FALSE),
VLOOKUP(Midterm!AP36,new_transmute,2,FALSE)
),
IF(Info!$B$4="Board program",
IF(OR(AND(AP$5&gt;0,AP$5&gt;100),AND(AP$5&gt;0,AP$5&lt;100)),
VLOOKUP(FLOOR((Midterm!AP36/AP$5)*100,1),new_transmute,3,FALSE),
VLOOKUP(Midterm!AP36,new_transmute,3,FALSE)
),
IF(Info!$B$4="Board program (Medicine)",
IF(OR(AND(AP$5&gt;0,AP$5&gt;100),AND(AP$5&gt;0,AP$5&lt;100)),
VLOOKUP(FLOOR((Midterm!AP36/AP$5)*100,1),new_transmute,4,FALSE),
VLOOKUP(Midterm!AP36,new_transmute,4,FALSE)
),
""
)
)
)
)
)
)
)
)
))</f>
        <v/>
      </c>
      <c r="AQ36" s="61" t="str">
        <f t="shared" si="7"/>
        <v/>
      </c>
      <c r="AR36" s="48" t="str">
        <f>IF(Midterm!AR36="","",Midterm!AR36)</f>
        <v/>
      </c>
      <c r="AS36" s="165" t="str">
        <f t="shared" si="8"/>
        <v/>
      </c>
      <c r="AT36" s="14" t="str">
        <f t="shared" si="0"/>
        <v/>
      </c>
      <c r="AU36" s="14" t="str">
        <f>IF(B36="","",VLOOKUP(AT36,'New Grade Equivalent'!$B$3:$C$47,2,FALSE))</f>
        <v/>
      </c>
    </row>
    <row r="37" spans="1:47" x14ac:dyDescent="0.25">
      <c r="A37" s="8">
        <v>32</v>
      </c>
      <c r="B37" s="2" t="str">
        <f>IF('Student List'!C41="","",UPPER(LEFT('Student List'!C41,FIND(",",'Student List'!C41)-1)))</f>
        <v/>
      </c>
      <c r="C37" s="12" t="str">
        <f>IF('Student List'!C41="","",PROPER(MID('Student List'!C41, FIND(",", 'Student List'!C41) + 2, LEN('Student List'!C41) - FIND(",", 'Student List'!C41) - 1)))</f>
        <v/>
      </c>
      <c r="D37" s="127" t="str">
        <f>IF(B37="","",IF(Midterm!D37="", "NA", Midterm!D37))</f>
        <v/>
      </c>
      <c r="E37" s="8" t="str">
        <f>IF(B37="","",
  IF(Info!$B$5="First Year",
    IF(D37="Yes", "DRP",
      IF(D37="No", "WF", "")
    )
  )
)</f>
        <v/>
      </c>
      <c r="F37" s="14" t="str">
        <f>IF($B37="","",
IF(F$5="","",
IF(Midterm!F37="",0,
IF(NOT(ISNUMBER(Midterm!F37)),"NAN",
IF(Midterm!F37&lt;0,"NEG",
IF(Midterm!F37&gt;F$5,"OVER",
IF(AND(F$5&lt;=100,Midterm!F37&gt;100),"ERR",
IF(Info!$B$4="Non-board program",
IF(OR(AND(F$5&gt;0,F$5&gt;100),AND(F$5&gt;0,F$5&lt;100)),
VLOOKUP(FLOOR((Midterm!F37/F$5)*100,1),new_transmute,2,FALSE),
VLOOKUP(Midterm!F37,new_transmute,2,FALSE)
),
IF(Info!$B$4="Board program",
IF(OR(AND(F$5&gt;0,F$5&gt;100),AND(F$5&gt;0,F$5&lt;100)),
VLOOKUP(FLOOR((Midterm!F37/F$5)*100,1),new_transmute,3,FALSE),
VLOOKUP(Midterm!F37,new_transmute,3,FALSE)
),
IF(Info!$B$4="Board program (Medicine)",
IF(OR(AND(F$5&gt;0,F$5&gt;100),AND(F$5&gt;0,F$5&lt;100)),
VLOOKUP(FLOOR((Midterm!F37/F$5)*100,1),new_transmute,4,FALSE),
VLOOKUP(Midterm!F37,new_transmute,4,FALSE)
),
""
)
)
)
)
)
)
)
)
))</f>
        <v/>
      </c>
      <c r="G37" s="57" t="str">
        <f t="shared" si="1"/>
        <v/>
      </c>
      <c r="H37" s="14" t="str">
        <f>IF($B37="","",
IF(H$5="","",
IF(Midterm!H37="",0,
IF(NOT(ISNUMBER(Midterm!H37)),"NAN",
IF(Midterm!H37&lt;0,"NEG",
IF(Midterm!H37&gt;H$5,"OVER",
IF(AND(H$5&lt;=100,Midterm!H37&gt;100),"ERR",
IF(Info!$B$4="Non-board program",
IF(OR(AND(H$5&gt;0,H$5&gt;100),AND(H$5&gt;0,H$5&lt;100)),
VLOOKUP(FLOOR((Midterm!H37/H$5)*100,1),new_transmute,2,FALSE),
VLOOKUP(Midterm!H37,new_transmute,2,FALSE)
),
IF(Info!$B$4="Board program",
IF(OR(AND(H$5&gt;0,H$5&gt;100),AND(H$5&gt;0,H$5&lt;100)),
VLOOKUP(FLOOR((Midterm!H37/H$5)*100,1),new_transmute,3,FALSE),
VLOOKUP(Midterm!H37,new_transmute,3,FALSE)
),
IF(Info!$B$4="Board program (Medicine)",
IF(OR(AND(H$5&gt;0,H$5&gt;100),AND(H$5&gt;0,H$5&lt;100)),
VLOOKUP(FLOOR((Midterm!H37/H$5)*100,1),new_transmute,4,FALSE),
VLOOKUP(Midterm!H37,new_transmute,4,FALSE)
),
""
)
)
)
)
)
)
)
)
))</f>
        <v/>
      </c>
      <c r="I37" s="14" t="str">
        <f>IF($B37="","",
IF(I$5="","",
IF(Midterm!I37="",0,
IF(NOT(ISNUMBER(Midterm!I37)),"NAN",
IF(Midterm!I37&lt;0,"NEG",
IF(Midterm!I37&gt;I$5,"OVER",
IF(AND(I$5&lt;=100,Midterm!I37&gt;100),"ERR",
IF(Info!$B$4="Non-board program",
IF(OR(AND(I$5&gt;0,I$5&gt;100),AND(I$5&gt;0,I$5&lt;100)),
VLOOKUP(FLOOR((Midterm!I37/I$5)*100,1),new_transmute,2,FALSE),
VLOOKUP(Midterm!I37,new_transmute,2,FALSE)
),
IF(Info!$B$4="Board program",
IF(OR(AND(I$5&gt;0,I$5&gt;100),AND(I$5&gt;0,I$5&lt;100)),
VLOOKUP(FLOOR((Midterm!I37/I$5)*100,1),new_transmute,3,FALSE),
VLOOKUP(Midterm!I37,new_transmute,3,FALSE)
),
IF(Info!$B$4="Board program (Medicine)",
IF(OR(AND(I$5&gt;0,I$5&gt;100),AND(I$5&gt;0,I$5&lt;100)),
VLOOKUP(FLOOR((Midterm!I37/I$5)*100,1),new_transmute,4,FALSE),
VLOOKUP(Midterm!I37,new_transmute,4,FALSE)
),
""
)
)
)
)
)
)
)
)
))</f>
        <v/>
      </c>
      <c r="J37" s="14" t="str">
        <f>IF($B37="","",
IF(J$5="","",
IF(Midterm!J37="",0,
IF(NOT(ISNUMBER(Midterm!J37)),"NAN",
IF(Midterm!J37&lt;0,"NEG",
IF(Midterm!J37&gt;J$5,"OVER",
IF(AND(J$5&lt;=100,Midterm!J37&gt;100),"ERR",
IF(Info!$B$4="Non-board program",
IF(OR(AND(J$5&gt;0,J$5&gt;100),AND(J$5&gt;0,J$5&lt;100)),
VLOOKUP(FLOOR((Midterm!J37/J$5)*100,1),new_transmute,2,FALSE),
VLOOKUP(Midterm!J37,new_transmute,2,FALSE)
),
IF(Info!$B$4="Board program",
IF(OR(AND(J$5&gt;0,J$5&gt;100),AND(J$5&gt;0,J$5&lt;100)),
VLOOKUP(FLOOR((Midterm!J37/J$5)*100,1),new_transmute,3,FALSE),
VLOOKUP(Midterm!J37,new_transmute,3,FALSE)
),
IF(Info!$B$4="Board program (Medicine)",
IF(OR(AND(J$5&gt;0,J$5&gt;100),AND(J$5&gt;0,J$5&lt;100)),
VLOOKUP(FLOOR((Midterm!J37/J$5)*100,1),new_transmute,4,FALSE),
VLOOKUP(Midterm!J37,new_transmute,4,FALSE)
),
""
)
)
)
)
)
)
)
)
))</f>
        <v/>
      </c>
      <c r="K37" s="14" t="str">
        <f>IF($B37="","",
IF(K$5="","",
IF(Midterm!K37="",0,
IF(NOT(ISNUMBER(Midterm!K37)),"NAN",
IF(Midterm!K37&lt;0,"NEG",
IF(Midterm!K37&gt;K$5,"OVER",
IF(AND(K$5&lt;=100,Midterm!K37&gt;100),"ERR",
IF(Info!$B$4="Non-board program",
IF(OR(AND(K$5&gt;0,K$5&gt;100),AND(K$5&gt;0,K$5&lt;100)),
VLOOKUP(FLOOR((Midterm!K37/K$5)*100,1),new_transmute,2,FALSE),
VLOOKUP(Midterm!K37,new_transmute,2,FALSE)
),
IF(Info!$B$4="Board program",
IF(OR(AND(K$5&gt;0,K$5&gt;100),AND(K$5&gt;0,K$5&lt;100)),
VLOOKUP(FLOOR((Midterm!K37/K$5)*100,1),new_transmute,3,FALSE),
VLOOKUP(Midterm!K37,new_transmute,3,FALSE)
),
IF(Info!$B$4="Board program (Medicine)",
IF(OR(AND(K$5&gt;0,K$5&gt;100),AND(K$5&gt;0,K$5&lt;100)),
VLOOKUP(FLOOR((Midterm!K37/K$5)*100,1),new_transmute,4,FALSE),
VLOOKUP(Midterm!K37,new_transmute,4,FALSE)
),
""
)
)
)
)
)
)
)
)
))</f>
        <v/>
      </c>
      <c r="L37" s="14" t="str">
        <f>IF($B37="","",
IF(L$5="","",
IF(Midterm!L37="",0,
IF(NOT(ISNUMBER(Midterm!L37)),"NAN",
IF(Midterm!L37&lt;0,"NEG",
IF(Midterm!L37&gt;L$5,"OVER",
IF(AND(L$5&lt;=100,Midterm!L37&gt;100),"ERR",
IF(Info!$B$4="Non-board program",
IF(OR(AND(L$5&gt;0,L$5&gt;100),AND(L$5&gt;0,L$5&lt;100)),
VLOOKUP(FLOOR((Midterm!L37/L$5)*100,1),new_transmute,2,FALSE),
VLOOKUP(Midterm!L37,new_transmute,2,FALSE)
),
IF(Info!$B$4="Board program",
IF(OR(AND(L$5&gt;0,L$5&gt;100),AND(L$5&gt;0,L$5&lt;100)),
VLOOKUP(FLOOR((Midterm!L37/L$5)*100,1),new_transmute,3,FALSE),
VLOOKUP(Midterm!L37,new_transmute,3,FALSE)
),
IF(Info!$B$4="Board program (Medicine)",
IF(OR(AND(L$5&gt;0,L$5&gt;100),AND(L$5&gt;0,L$5&lt;100)),
VLOOKUP(FLOOR((Midterm!L37/L$5)*100,1),new_transmute,4,FALSE),
VLOOKUP(Midterm!L37,new_transmute,4,FALSE)
),
""
)
)
)
)
)
)
)
)
))</f>
        <v/>
      </c>
      <c r="M37" s="111" t="str">
        <f t="shared" si="2"/>
        <v/>
      </c>
      <c r="N37" s="14" t="str">
        <f>IF($B37="","",
IF(N$5="","",
IF(Midterm!N37="",0,
IF(NOT(ISNUMBER(Midterm!N37)),"NAN",
IF(Midterm!N37&lt;0,"NEG",
IF(Midterm!N37&gt;N$5,"OVER",
IF(AND(N$5&lt;=100,Midterm!N37&gt;100),"ERR",
IF(Info!$B$4="Non-board program",
IF(OR(AND(N$5&gt;0,N$5&gt;100),AND(N$5&gt;0,N$5&lt;100)),
VLOOKUP(FLOOR((Midterm!N37/N$5)*100,1),new_transmute,2,FALSE),
VLOOKUP(Midterm!N37,new_transmute,2,FALSE)
),
IF(Info!$B$4="Board program",
IF(OR(AND(N$5&gt;0,N$5&gt;100),AND(N$5&gt;0,N$5&lt;100)),
VLOOKUP(FLOOR((Midterm!N37/N$5)*100,1),new_transmute,3,FALSE),
VLOOKUP(Midterm!N37,new_transmute,3,FALSE)
),
IF(Info!$B$4="Board program (Medicine)",
IF(OR(AND(N$5&gt;0,N$5&gt;100),AND(N$5&gt;0,N$5&lt;100)),
VLOOKUP(FLOOR((Midterm!N37/N$5)*100,1),new_transmute,4,FALSE),
VLOOKUP(Midterm!N37,new_transmute,4,FALSE)
),
""
)
)
)
)
)
)
)
)
))</f>
        <v/>
      </c>
      <c r="O37" s="14" t="str">
        <f>IF($B37="","",
IF(O$5="","",
IF(Midterm!O37="",0,
IF(NOT(ISNUMBER(Midterm!O37)),"NAN",
IF(Midterm!O37&lt;0,"NEG",
IF(Midterm!O37&gt;O$5,"OVER",
IF(AND(O$5&lt;=100,Midterm!O37&gt;100),"ERR",
IF(Info!$B$4="Non-board program",
IF(OR(AND(O$5&gt;0,O$5&gt;100),AND(O$5&gt;0,O$5&lt;100)),
VLOOKUP(FLOOR((Midterm!O37/O$5)*100,1),new_transmute,2,FALSE),
VLOOKUP(Midterm!O37,new_transmute,2,FALSE)
),
IF(Info!$B$4="Board program",
IF(OR(AND(O$5&gt;0,O$5&gt;100),AND(O$5&gt;0,O$5&lt;100)),
VLOOKUP(FLOOR((Midterm!O37/O$5)*100,1),new_transmute,3,FALSE),
VLOOKUP(Midterm!O37,new_transmute,3,FALSE)
),
IF(Info!$B$4="Board program (Medicine)",
IF(OR(AND(O$5&gt;0,O$5&gt;100),AND(O$5&gt;0,O$5&lt;100)),
VLOOKUP(FLOOR((Midterm!O37/O$5)*100,1),new_transmute,4,FALSE),
VLOOKUP(Midterm!O37,new_transmute,4,FALSE)
),
""
)
)
)
)
)
)
)
)
))</f>
        <v/>
      </c>
      <c r="P37" s="14" t="str">
        <f>IF($B37="","",
IF(P$5="","",
IF(Midterm!P37="",0,
IF(NOT(ISNUMBER(Midterm!P37)),"NAN",
IF(Midterm!P37&lt;0,"NEG",
IF(Midterm!P37&gt;P$5,"OVER",
IF(AND(P$5&lt;=100,Midterm!P37&gt;100),"ERR",
IF(Info!$B$4="Non-board program",
IF(OR(AND(P$5&gt;0,P$5&gt;100),AND(P$5&gt;0,P$5&lt;100)),
VLOOKUP(FLOOR((Midterm!P37/P$5)*100,1),new_transmute,2,FALSE),
VLOOKUP(Midterm!P37,new_transmute,2,FALSE)
),
IF(Info!$B$4="Board program",
IF(OR(AND(P$5&gt;0,P$5&gt;100),AND(P$5&gt;0,P$5&lt;100)),
VLOOKUP(FLOOR((Midterm!P37/P$5)*100,1),new_transmute,3,FALSE),
VLOOKUP(Midterm!P37,new_transmute,3,FALSE)
),
IF(Info!$B$4="Board program (Medicine)",
IF(OR(AND(P$5&gt;0,P$5&gt;100),AND(P$5&gt;0,P$5&lt;100)),
VLOOKUP(FLOOR((Midterm!P37/P$5)*100,1),new_transmute,4,FALSE),
VLOOKUP(Midterm!P37,new_transmute,4,FALSE)
),
""
)
)
)
)
)
)
)
)
))</f>
        <v/>
      </c>
      <c r="Q37" s="14" t="str">
        <f>IF($B37="","",
IF(Q$5="","",
IF(Midterm!Q37="",0,
IF(NOT(ISNUMBER(Midterm!Q37)),"NAN",
IF(Midterm!Q37&lt;0,"NEG",
IF(Midterm!Q37&gt;Q$5,"OVER",
IF(AND(Q$5&lt;=100,Midterm!Q37&gt;100),"ERR",
IF(Info!$B$4="Non-board program",
IF(OR(AND(Q$5&gt;0,Q$5&gt;100),AND(Q$5&gt;0,Q$5&lt;100)),
VLOOKUP(FLOOR((Midterm!Q37/Q$5)*100,1),new_transmute,2,FALSE),
VLOOKUP(Midterm!Q37,new_transmute,2,FALSE)
),
IF(Info!$B$4="Board program",
IF(OR(AND(Q$5&gt;0,Q$5&gt;100),AND(Q$5&gt;0,Q$5&lt;100)),
VLOOKUP(FLOOR((Midterm!Q37/Q$5)*100,1),new_transmute,3,FALSE),
VLOOKUP(Midterm!Q37,new_transmute,3,FALSE)
),
IF(Info!$B$4="Board program (Medicine)",
IF(OR(AND(Q$5&gt;0,Q$5&gt;100),AND(Q$5&gt;0,Q$5&lt;100)),
VLOOKUP(FLOOR((Midterm!Q37/Q$5)*100,1),new_transmute,4,FALSE),
VLOOKUP(Midterm!Q37,new_transmute,4,FALSE)
),
""
)
)
)
)
)
)
)
)
))</f>
        <v/>
      </c>
      <c r="R37" s="14" t="str">
        <f>IF($B37="","",
IF(R$5="","",
IF(Midterm!R37="",0,
IF(NOT(ISNUMBER(Midterm!R37)),"NAN",
IF(Midterm!R37&lt;0,"NEG",
IF(Midterm!R37&gt;R$5,"OVER",
IF(AND(R$5&lt;=100,Midterm!R37&gt;100),"ERR",
IF(Info!$B$4="Non-board program",
IF(OR(AND(R$5&gt;0,R$5&gt;100),AND(R$5&gt;0,R$5&lt;100)),
VLOOKUP(FLOOR((Midterm!R37/R$5)*100,1),new_transmute,2,FALSE),
VLOOKUP(Midterm!R37,new_transmute,2,FALSE)
),
IF(Info!$B$4="Board program",
IF(OR(AND(R$5&gt;0,R$5&gt;100),AND(R$5&gt;0,R$5&lt;100)),
VLOOKUP(FLOOR((Midterm!R37/R$5)*100,1),new_transmute,3,FALSE),
VLOOKUP(Midterm!R37,new_transmute,3,FALSE)
),
IF(Info!$B$4="Board program (Medicine)",
IF(OR(AND(R$5&gt;0,R$5&gt;100),AND(R$5&gt;0,R$5&lt;100)),
VLOOKUP(FLOOR((Midterm!R37/R$5)*100,1),new_transmute,4,FALSE),
VLOOKUP(Midterm!R37,new_transmute,4,FALSE)
),
""
)
)
)
)
)
)
)
)
))</f>
        <v/>
      </c>
      <c r="S37" s="115" t="str">
        <f t="shared" si="3"/>
        <v/>
      </c>
      <c r="T37" s="14" t="str">
        <f>IF($B37="","",
IF(T$5="","",
IF(Midterm!T37="",0,
IF(NOT(ISNUMBER(Midterm!T37)),"NAN",
IF(Midterm!T37&lt;0,"NEG",
IF(Midterm!T37&gt;T$5,"OVER",
IF(AND(T$5&lt;=100,Midterm!T37&gt;100),"ERR",
IF(Info!$B$4="Non-board program",
IF(OR(AND(T$5&gt;0,T$5&gt;100),AND(T$5&gt;0,T$5&lt;100)),
VLOOKUP(FLOOR((Midterm!T37/T$5)*100,1),new_transmute,2,FALSE),
VLOOKUP(Midterm!T37,new_transmute,2,FALSE)
),
IF(Info!$B$4="Board program",
IF(OR(AND(T$5&gt;0,T$5&gt;100),AND(T$5&gt;0,T$5&lt;100)),
VLOOKUP(FLOOR((Midterm!T37/T$5)*100,1),new_transmute,3,FALSE),
VLOOKUP(Midterm!T37,new_transmute,3,FALSE)
),
IF(Info!$B$4="Board program (Medicine)",
IF(OR(AND(T$5&gt;0,T$5&gt;100),AND(T$5&gt;0,T$5&lt;100)),
VLOOKUP(FLOOR((Midterm!T37/T$5)*100,1),new_transmute,4,FALSE),
VLOOKUP(Midterm!T37,new_transmute,4,FALSE)
),
""
)
)
)
)
)
)
)
)
))</f>
        <v/>
      </c>
      <c r="U37" s="14" t="str">
        <f>IF($B37="","",
IF(U$5="","",
IF(Midterm!U37="",0,
IF(NOT(ISNUMBER(Midterm!U37)),"NAN",
IF(Midterm!U37&lt;0,"NEG",
IF(Midterm!U37&gt;U$5,"OVER",
IF(AND(U$5&lt;=100,Midterm!U37&gt;100),"ERR",
IF(Info!$B$4="Non-board program",
IF(OR(AND(U$5&gt;0,U$5&gt;100),AND(U$5&gt;0,U$5&lt;100)),
VLOOKUP(FLOOR((Midterm!U37/U$5)*100,1),new_transmute,2,FALSE),
VLOOKUP(Midterm!U37,new_transmute,2,FALSE)
),
IF(Info!$B$4="Board program",
IF(OR(AND(U$5&gt;0,U$5&gt;100),AND(U$5&gt;0,U$5&lt;100)),
VLOOKUP(FLOOR((Midterm!U37/U$5)*100,1),new_transmute,3,FALSE),
VLOOKUP(Midterm!U37,new_transmute,3,FALSE)
),
IF(Info!$B$4="Board program (Medicine)",
IF(OR(AND(U$5&gt;0,U$5&gt;100),AND(U$5&gt;0,U$5&lt;100)),
VLOOKUP(FLOOR((Midterm!U37/U$5)*100,1),new_transmute,4,FALSE),
VLOOKUP(Midterm!U37,new_transmute,4,FALSE)
),
""
)
)
)
)
)
)
)
)
))</f>
        <v/>
      </c>
      <c r="V37" s="14" t="str">
        <f>IF($B37="","",
IF(V$5="","",
IF(Midterm!V37="",0,
IF(NOT(ISNUMBER(Midterm!V37)),"NAN",
IF(Midterm!V37&lt;0,"NEG",
IF(Midterm!V37&gt;V$5,"OVER",
IF(AND(V$5&lt;=100,Midterm!V37&gt;100),"ERR",
IF(Info!$B$4="Non-board program",
IF(OR(AND(V$5&gt;0,V$5&gt;100),AND(V$5&gt;0,V$5&lt;100)),
VLOOKUP(FLOOR((Midterm!V37/V$5)*100,1),new_transmute,2,FALSE),
VLOOKUP(Midterm!V37,new_transmute,2,FALSE)
),
IF(Info!$B$4="Board program",
IF(OR(AND(V$5&gt;0,V$5&gt;100),AND(V$5&gt;0,V$5&lt;100)),
VLOOKUP(FLOOR((Midterm!V37/V$5)*100,1),new_transmute,3,FALSE),
VLOOKUP(Midterm!V37,new_transmute,3,FALSE)
),
IF(Info!$B$4="Board program (Medicine)",
IF(OR(AND(V$5&gt;0,V$5&gt;100),AND(V$5&gt;0,V$5&lt;100)),
VLOOKUP(FLOOR((Midterm!V37/V$5)*100,1),new_transmute,4,FALSE),
VLOOKUP(Midterm!V37,new_transmute,4,FALSE)
),
""
)
)
)
)
)
)
)
)
))</f>
        <v/>
      </c>
      <c r="W37" s="14" t="str">
        <f>IF($B37="","",
IF(W$5="","",
IF(Midterm!W37="",0,
IF(NOT(ISNUMBER(Midterm!W37)),"NAN",
IF(Midterm!W37&lt;0,"NEG",
IF(Midterm!W37&gt;W$5,"OVER",
IF(AND(W$5&lt;=100,Midterm!W37&gt;100),"ERR",
IF(Info!$B$4="Non-board program",
IF(OR(AND(W$5&gt;0,W$5&gt;100),AND(W$5&gt;0,W$5&lt;100)),
VLOOKUP(FLOOR((Midterm!W37/W$5)*100,1),new_transmute,2,FALSE),
VLOOKUP(Midterm!W37,new_transmute,2,FALSE)
),
IF(Info!$B$4="Board program",
IF(OR(AND(W$5&gt;0,W$5&gt;100),AND(W$5&gt;0,W$5&lt;100)),
VLOOKUP(FLOOR((Midterm!W37/W$5)*100,1),new_transmute,3,FALSE),
VLOOKUP(Midterm!W37,new_transmute,3,FALSE)
),
IF(Info!$B$4="Board program (Medicine)",
IF(OR(AND(W$5&gt;0,W$5&gt;100),AND(W$5&gt;0,W$5&lt;100)),
VLOOKUP(FLOOR((Midterm!W37/W$5)*100,1),new_transmute,4,FALSE),
VLOOKUP(Midterm!W37,new_transmute,4,FALSE)
),
""
)
)
)
)
)
)
)
)
))</f>
        <v/>
      </c>
      <c r="X37" s="14" t="str">
        <f>IF($B37="","",
IF(X$5="","",
IF(Midterm!X37="",0,
IF(NOT(ISNUMBER(Midterm!X37)),"NAN",
IF(Midterm!X37&lt;0,"NEG",
IF(Midterm!X37&gt;X$5,"OVER",
IF(AND(X$5&lt;=100,Midterm!X37&gt;100),"ERR",
IF(Info!$B$4="Non-board program",
IF(OR(AND(X$5&gt;0,X$5&gt;100),AND(X$5&gt;0,X$5&lt;100)),
VLOOKUP(FLOOR((Midterm!X37/X$5)*100,1),new_transmute,2,FALSE),
VLOOKUP(Midterm!X37,new_transmute,2,FALSE)
),
IF(Info!$B$4="Board program",
IF(OR(AND(X$5&gt;0,X$5&gt;100),AND(X$5&gt;0,X$5&lt;100)),
VLOOKUP(FLOOR((Midterm!X37/X$5)*100,1),new_transmute,3,FALSE),
VLOOKUP(Midterm!X37,new_transmute,3,FALSE)
),
IF(Info!$B$4="Board program (Medicine)",
IF(OR(AND(X$5&gt;0,X$5&gt;100),AND(X$5&gt;0,X$5&lt;100)),
VLOOKUP(FLOOR((Midterm!X37/X$5)*100,1),new_transmute,4,FALSE),
VLOOKUP(Midterm!X37,new_transmute,4,FALSE)
),
""
)
)
)
)
)
)
)
)
))</f>
        <v/>
      </c>
      <c r="Y37" s="112" t="str">
        <f t="shared" si="4"/>
        <v/>
      </c>
      <c r="Z37" s="14" t="str">
        <f>IF($B37="","",
IF(Z$5="","",
IF(Midterm!Z37="",0,
IF(NOT(ISNUMBER(Midterm!Z37)),"NAN",
IF(Midterm!Z37&lt;0,"NEG",
IF(Midterm!Z37&gt;Z$5,"OVER",
IF(AND(Z$5&lt;=100,Midterm!Z37&gt;100),"ERR",
IF(Info!$B$4="Non-board program",
IF(OR(AND(Z$5&gt;0,Z$5&gt;100),AND(Z$5&gt;0,Z$5&lt;100)),
VLOOKUP(FLOOR((Midterm!Z37/Z$5)*100,1),new_transmute,2,FALSE),
VLOOKUP(Midterm!Z37,new_transmute,2,FALSE)
),
IF(Info!$B$4="Board program",
IF(OR(AND(Z$5&gt;0,Z$5&gt;100),AND(Z$5&gt;0,Z$5&lt;100)),
VLOOKUP(FLOOR((Midterm!Z37/Z$5)*100,1),new_transmute,3,FALSE),
VLOOKUP(Midterm!Z37,new_transmute,3,FALSE)
),
IF(Info!$B$4="Board program (Medicine)",
IF(OR(AND(Z$5&gt;0,Z$5&gt;100),AND(Z$5&gt;0,Z$5&lt;100)),
VLOOKUP(FLOOR((Midterm!Z37/Z$5)*100,1),new_transmute,4,FALSE),
VLOOKUP(Midterm!Z37,new_transmute,4,FALSE)
),
""
)
)
)
)
)
)
)
)
))</f>
        <v/>
      </c>
      <c r="AA37" s="14" t="str">
        <f>IF($B37="","",
IF(AA$5="","",
IF(Midterm!AA37="",0,
IF(NOT(ISNUMBER(Midterm!AA37)),"NAN",
IF(Midterm!AA37&lt;0,"NEG",
IF(Midterm!AA37&gt;AA$5,"OVER",
IF(AND(AA$5&lt;=100,Midterm!AA37&gt;100),"ERR",
IF(Info!$B$4="Non-board program",
IF(OR(AND(AA$5&gt;0,AA$5&gt;100),AND(AA$5&gt;0,AA$5&lt;100)),
VLOOKUP(FLOOR((Midterm!AA37/AA$5)*100,1),new_transmute,2,FALSE),
VLOOKUP(Midterm!AA37,new_transmute,2,FALSE)
),
IF(Info!$B$4="Board program",
IF(OR(AND(AA$5&gt;0,AA$5&gt;100),AND(AA$5&gt;0,AA$5&lt;100)),
VLOOKUP(FLOOR((Midterm!AA37/AA$5)*100,1),new_transmute,3,FALSE),
VLOOKUP(Midterm!AA37,new_transmute,3,FALSE)
),
IF(Info!$B$4="Board program (Medicine)",
IF(OR(AND(AA$5&gt;0,AA$5&gt;100),AND(AA$5&gt;0,AA$5&lt;100)),
VLOOKUP(FLOOR((Midterm!AA37/AA$5)*100,1),new_transmute,4,FALSE),
VLOOKUP(Midterm!AA37,new_transmute,4,FALSE)
),
""
)
)
)
)
)
)
)
)
))</f>
        <v/>
      </c>
      <c r="AB37" s="14" t="str">
        <f>IF($B37="","",
IF(AB$5="","",
IF(Midterm!AB37="",0,
IF(NOT(ISNUMBER(Midterm!AB37)),"NAN",
IF(Midterm!AB37&lt;0,"NEG",
IF(Midterm!AB37&gt;AB$5,"OVER",
IF(AND(AB$5&lt;=100,Midterm!AB37&gt;100),"ERR",
IF(Info!$B$4="Non-board program",
IF(OR(AND(AB$5&gt;0,AB$5&gt;100),AND(AB$5&gt;0,AB$5&lt;100)),
VLOOKUP(FLOOR((Midterm!AB37/AB$5)*100,1),new_transmute,2,FALSE),
VLOOKUP(Midterm!AB37,new_transmute,2,FALSE)
),
IF(Info!$B$4="Board program",
IF(OR(AND(AB$5&gt;0,AB$5&gt;100),AND(AB$5&gt;0,AB$5&lt;100)),
VLOOKUP(FLOOR((Midterm!AB37/AB$5)*100,1),new_transmute,3,FALSE),
VLOOKUP(Midterm!AB37,new_transmute,3,FALSE)
),
IF(Info!$B$4="Board program (Medicine)",
IF(OR(AND(AB$5&gt;0,AB$5&gt;100),AND(AB$5&gt;0,AB$5&lt;100)),
VLOOKUP(FLOOR((Midterm!AB37/AB$5)*100,1),new_transmute,4,FALSE),
VLOOKUP(Midterm!AB37,new_transmute,4,FALSE)
),
""
)
)
)
)
)
)
)
)
))</f>
        <v/>
      </c>
      <c r="AC37" s="14" t="str">
        <f>IF($B37="","",
IF(AC$5="","",
IF(Midterm!AC37="",0,
IF(NOT(ISNUMBER(Midterm!AC37)),"NAN",
IF(Midterm!AC37&lt;0,"NEG",
IF(Midterm!AC37&gt;AC$5,"OVER",
IF(AND(AC$5&lt;=100,Midterm!AC37&gt;100),"ERR",
IF(Info!$B$4="Non-board program",
IF(OR(AND(AC$5&gt;0,AC$5&gt;100),AND(AC$5&gt;0,AC$5&lt;100)),
VLOOKUP(FLOOR((Midterm!AC37/AC$5)*100,1),new_transmute,2,FALSE),
VLOOKUP(Midterm!AC37,new_transmute,2,FALSE)
),
IF(Info!$B$4="Board program",
IF(OR(AND(AC$5&gt;0,AC$5&gt;100),AND(AC$5&gt;0,AC$5&lt;100)),
VLOOKUP(FLOOR((Midterm!AC37/AC$5)*100,1),new_transmute,3,FALSE),
VLOOKUP(Midterm!AC37,new_transmute,3,FALSE)
),
IF(Info!$B$4="Board program (Medicine)",
IF(OR(AND(AC$5&gt;0,AC$5&gt;100),AND(AC$5&gt;0,AC$5&lt;100)),
VLOOKUP(FLOOR((Midterm!AC37/AC$5)*100,1),new_transmute,4,FALSE),
VLOOKUP(Midterm!AC37,new_transmute,4,FALSE)
),
""
)
)
)
)
)
)
)
)
))</f>
        <v/>
      </c>
      <c r="AD37" s="14" t="str">
        <f>IF($B37="","",
IF(AD$5="","",
IF(Midterm!AD37="",0,
IF(NOT(ISNUMBER(Midterm!AD37)),"NAN",
IF(Midterm!AD37&lt;0,"NEG",
IF(Midterm!AD37&gt;AD$5,"OVER",
IF(AND(AD$5&lt;=100,Midterm!AD37&gt;100),"ERR",
IF(Info!$B$4="Non-board program",
IF(OR(AND(AD$5&gt;0,AD$5&gt;100),AND(AD$5&gt;0,AD$5&lt;100)),
VLOOKUP(FLOOR((Midterm!AD37/AD$5)*100,1),new_transmute,2,FALSE),
VLOOKUP(Midterm!AD37,new_transmute,2,FALSE)
),
IF(Info!$B$4="Board program",
IF(OR(AND(AD$5&gt;0,AD$5&gt;100),AND(AD$5&gt;0,AD$5&lt;100)),
VLOOKUP(FLOOR((Midterm!AD37/AD$5)*100,1),new_transmute,3,FALSE),
VLOOKUP(Midterm!AD37,new_transmute,3,FALSE)
),
IF(Info!$B$4="Board program (Medicine)",
IF(OR(AND(AD$5&gt;0,AD$5&gt;100),AND(AD$5&gt;0,AD$5&lt;100)),
VLOOKUP(FLOOR((Midterm!AD37/AD$5)*100,1),new_transmute,4,FALSE),
VLOOKUP(Midterm!AD37,new_transmute,4,FALSE)
),
""
)
)
)
)
)
)
)
)
))</f>
        <v/>
      </c>
      <c r="AE37" s="58" t="str">
        <f t="shared" si="5"/>
        <v/>
      </c>
      <c r="AF37" s="14" t="str">
        <f>IF($B37="","",
IF(AF$5="","",
IF(Midterm!AF37="",0,
IF(NOT(ISNUMBER(Midterm!AF37)),"NAN",
IF(Midterm!AF37&lt;0,"NEG",
IF(Midterm!AF37&gt;AF$5,"OVER",
IF(AND(AF$5&lt;=100,Midterm!AF37&gt;100),"ERR",
IF(Info!$B$4="Non-board program",
IF(OR(AND(AF$5&gt;0,AF$5&gt;100),AND(AF$5&gt;0,AF$5&lt;100)),
VLOOKUP(FLOOR((Midterm!AF37/AF$5)*100,1),new_transmute,2,FALSE),
VLOOKUP(Midterm!AF37,new_transmute,2,FALSE)
),
IF(Info!$B$4="Board program",
IF(OR(AND(AF$5&gt;0,AF$5&gt;100),AND(AF$5&gt;0,AF$5&lt;100)),
VLOOKUP(FLOOR((Midterm!AF37/AF$5)*100,1),new_transmute,3,FALSE),
VLOOKUP(Midterm!AF37,new_transmute,3,FALSE)
),
IF(Info!$B$4="Board program (Medicine)",
IF(OR(AND(AF$5&gt;0,AF$5&gt;100),AND(AF$5&gt;0,AF$5&lt;100)),
VLOOKUP(FLOOR((Midterm!AF37/AF$5)*100,1),new_transmute,4,FALSE),
VLOOKUP(Midterm!AF37,new_transmute,4,FALSE)
),
""
)
)
)
)
)
)
)
)
))</f>
        <v/>
      </c>
      <c r="AG37" s="14" t="str">
        <f>IF($B37="","",
IF(AG$5="","",
IF(Midterm!AG37="",0,
IF(NOT(ISNUMBER(Midterm!AG37)),"NAN",
IF(Midterm!AG37&lt;0,"NEG",
IF(Midterm!AG37&gt;AG$5,"OVER",
IF(AND(AG$5&lt;=100,Midterm!AG37&gt;100),"ERR",
IF(Info!$B$4="Non-board program",
IF(OR(AND(AG$5&gt;0,AG$5&gt;100),AND(AG$5&gt;0,AG$5&lt;100)),
VLOOKUP(FLOOR((Midterm!AG37/AG$5)*100,1),new_transmute,2,FALSE),
VLOOKUP(Midterm!AG37,new_transmute,2,FALSE)
),
IF(Info!$B$4="Board program",
IF(OR(AND(AG$5&gt;0,AG$5&gt;100),AND(AG$5&gt;0,AG$5&lt;100)),
VLOOKUP(FLOOR((Midterm!AG37/AG$5)*100,1),new_transmute,3,FALSE),
VLOOKUP(Midterm!AG37,new_transmute,3,FALSE)
),
IF(Info!$B$4="Board program (Medicine)",
IF(OR(AND(AG$5&gt;0,AG$5&gt;100),AND(AG$5&gt;0,AG$5&lt;100)),
VLOOKUP(FLOOR((Midterm!AG37/AG$5)*100,1),new_transmute,4,FALSE),
VLOOKUP(Midterm!AG37,new_transmute,4,FALSE)
),
""
)
)
)
)
)
)
)
)
))</f>
        <v/>
      </c>
      <c r="AH37" s="14" t="str">
        <f>IF($B37="","",
IF(AH$5="","",
IF(Midterm!AH37="",0,
IF(NOT(ISNUMBER(Midterm!AH37)),"NAN",
IF(Midterm!AH37&lt;0,"NEG",
IF(Midterm!AH37&gt;AH$5,"OVER",
IF(AND(AH$5&lt;=100,Midterm!AH37&gt;100),"ERR",
IF(Info!$B$4="Non-board program",
IF(OR(AND(AH$5&gt;0,AH$5&gt;100),AND(AH$5&gt;0,AH$5&lt;100)),
VLOOKUP(FLOOR((Midterm!AH37/AH$5)*100,1),new_transmute,2,FALSE),
VLOOKUP(Midterm!AH37,new_transmute,2,FALSE)
),
IF(Info!$B$4="Board program",
IF(OR(AND(AH$5&gt;0,AH$5&gt;100),AND(AH$5&gt;0,AH$5&lt;100)),
VLOOKUP(FLOOR((Midterm!AH37/AH$5)*100,1),new_transmute,3,FALSE),
VLOOKUP(Midterm!AH37,new_transmute,3,FALSE)
),
IF(Info!$B$4="Board program (Medicine)",
IF(OR(AND(AH$5&gt;0,AH$5&gt;100),AND(AH$5&gt;0,AH$5&lt;100)),
VLOOKUP(FLOOR((Midterm!AH37/AH$5)*100,1),new_transmute,4,FALSE),
VLOOKUP(Midterm!AH37,new_transmute,4,FALSE)
),
""
)
)
)
)
)
)
)
)
))</f>
        <v/>
      </c>
      <c r="AI37" s="14" t="str">
        <f>IF($B37="","",
IF(AI$5="","",
IF(Midterm!AI37="",0,
IF(NOT(ISNUMBER(Midterm!AI37)),"NAN",
IF(Midterm!AI37&lt;0,"NEG",
IF(Midterm!AI37&gt;AI$5,"OVER",
IF(AND(AI$5&lt;=100,Midterm!AI37&gt;100),"ERR",
IF(Info!$B$4="Non-board program",
IF(OR(AND(AI$5&gt;0,AI$5&gt;100),AND(AI$5&gt;0,AI$5&lt;100)),
VLOOKUP(FLOOR((Midterm!AI37/AI$5)*100,1),new_transmute,2,FALSE),
VLOOKUP(Midterm!AI37,new_transmute,2,FALSE)
),
IF(Info!$B$4="Board program",
IF(OR(AND(AI$5&gt;0,AI$5&gt;100),AND(AI$5&gt;0,AI$5&lt;100)),
VLOOKUP(FLOOR((Midterm!AI37/AI$5)*100,1),new_transmute,3,FALSE),
VLOOKUP(Midterm!AI37,new_transmute,3,FALSE)
),
IF(Info!$B$4="Board program (Medicine)",
IF(OR(AND(AI$5&gt;0,AI$5&gt;100),AND(AI$5&gt;0,AI$5&lt;100)),
VLOOKUP(FLOOR((Midterm!AI37/AI$5)*100,1),new_transmute,4,FALSE),
VLOOKUP(Midterm!AI37,new_transmute,4,FALSE)
),
""
)
)
)
)
)
)
)
)
))</f>
        <v/>
      </c>
      <c r="AJ37" s="14" t="str">
        <f>IF($B37="","",
IF(AJ$5="","",
IF(Midterm!AJ37="",0,
IF(NOT(ISNUMBER(Midterm!AJ37)),"NAN",
IF(Midterm!AJ37&lt;0,"NEG",
IF(Midterm!AJ37&gt;AJ$5,"OVER",
IF(AND(AJ$5&lt;=100,Midterm!AJ37&gt;100),"ERR",
IF(Info!$B$4="Non-board program",
IF(OR(AND(AJ$5&gt;0,AJ$5&gt;100),AND(AJ$5&gt;0,AJ$5&lt;100)),
VLOOKUP(FLOOR((Midterm!AJ37/AJ$5)*100,1),new_transmute,2,FALSE),
VLOOKUP(Midterm!AJ37,new_transmute,2,FALSE)
),
IF(Info!$B$4="Board program",
IF(OR(AND(AJ$5&gt;0,AJ$5&gt;100),AND(AJ$5&gt;0,AJ$5&lt;100)),
VLOOKUP(FLOOR((Midterm!AJ37/AJ$5)*100,1),new_transmute,3,FALSE),
VLOOKUP(Midterm!AJ37,new_transmute,3,FALSE)
),
IF(Info!$B$4="Board program (Medicine)",
IF(OR(AND(AJ$5&gt;0,AJ$5&gt;100),AND(AJ$5&gt;0,AJ$5&lt;100)),
VLOOKUP(FLOOR((Midterm!AJ37/AJ$5)*100,1),new_transmute,4,FALSE),
VLOOKUP(Midterm!AJ37,new_transmute,4,FALSE)
),
""
)
)
)
)
)
)
)
)
))</f>
        <v/>
      </c>
      <c r="AK37" s="59" t="str">
        <f t="shared" si="6"/>
        <v/>
      </c>
      <c r="AL37" s="60" t="str">
        <f>IF(B37="", "",
    IF(OR(M37="OVER", S37="OVER", Y37="OVER", AE37="OVER", AK37="OVER"),
        "OVER",
        IF(Info!$B$4="Non-board program",
            VLOOKUP(IFERROR(FLOOR(SUM((M37*$M$4), (S37*$S$4), (Y37*$Y$4), (AE37*$AE$4), (AK37*$AK$4)) * (100 / 60), 1), 0), new_transmute, 2, FALSE),
            IF(Info!$B$4="Board program",
                VLOOKUP(IFERROR(FLOOR(SUM((M37*$M$4), (S37*$S$4), (Y37*$Y$4), (AE37*$AE$4), (AK37*$AK$4)) * (100 / 60), 1), 0), new_transmute, 3, FALSE),
                IF(Info!$B$4="Board program (Medicine)",
                    VLOOKUP(IFERROR(FLOOR(SUM((M37*$M$4), (S37*$S$4), (Y37*$Y$4), (AE37*$AE$4), (AK37*$AK$4)) * (100 / 60), 1), 0), new_transmute, 4, FALSE),
                    ""
                )
            )
        )
    )
)</f>
        <v/>
      </c>
      <c r="AM37" s="14" t="str">
        <f>IF($B37="","",
IF(AM$5="","",
IF(Midterm!AM37="",0,
IF(NOT(ISNUMBER(Midterm!AM37)),"NAN",
IF(Midterm!AM37&lt;0,"NEG",
IF(Midterm!AM37&gt;AM$5,"OVER",
IF(AND(AM$5&lt;=100,Midterm!AM37&gt;100),"ERR",
IF(Info!$B$4="Non-board program",
IF(OR(AND(AM$5&gt;0,AM$5&gt;100),AND(AM$5&gt;0,AM$5&lt;100)),
VLOOKUP(FLOOR((Midterm!AM37/AM$5)*100,1),new_transmute,2,FALSE),
VLOOKUP(Midterm!AM37,new_transmute,2,FALSE)
),
IF(Info!$B$4="Board program",
IF(OR(AND(AM$5&gt;0,AM$5&gt;100),AND(AM$5&gt;0,AM$5&lt;100)),
VLOOKUP(FLOOR((Midterm!AM37/AM$5)*100,1),new_transmute,3,FALSE),
VLOOKUP(Midterm!AM37,new_transmute,3,FALSE)
),
IF(Info!$B$4="Board program (Medicine)",
IF(OR(AND(AM$5&gt;0,AM$5&gt;100),AND(AM$5&gt;0,AM$5&lt;100)),
VLOOKUP(FLOOR((Midterm!AM37/AM$5)*100,1),new_transmute,4,FALSE),
VLOOKUP(Midterm!AM37,new_transmute,4,FALSE)
),
""
)
)
)
)
)
)
)
)
))</f>
        <v/>
      </c>
      <c r="AN37" s="14" t="str">
        <f>IF($B37="","",
IF(AN$5="","",
IF(Midterm!AN37="",0,
IF(NOT(ISNUMBER(Midterm!AN37)),"NAN",
IF(Midterm!AN37&lt;0,"NEG",
IF(Midterm!AN37&gt;AN$5,"OVER",
IF(AND(AN$5&lt;=100,Midterm!AN37&gt;100),"ERR",
IF(Info!$B$4="Non-board program",
IF(OR(AND(AN$5&gt;0,AN$5&gt;100),AND(AN$5&gt;0,AN$5&lt;100)),
VLOOKUP(FLOOR((Midterm!AN37/AN$5)*100,1),new_transmute,2,FALSE),
VLOOKUP(Midterm!AN37,new_transmute,2,FALSE)
),
IF(Info!$B$4="Board program",
IF(OR(AND(AN$5&gt;0,AN$5&gt;100),AND(AN$5&gt;0,AN$5&lt;100)),
VLOOKUP(FLOOR((Midterm!AN37/AN$5)*100,1),new_transmute,3,FALSE),
VLOOKUP(Midterm!AN37,new_transmute,3,FALSE)
),
IF(Info!$B$4="Board program (Medicine)",
IF(OR(AND(AN$5&gt;0,AN$5&gt;100),AND(AN$5&gt;0,AN$5&lt;100)),
VLOOKUP(FLOOR((Midterm!AN37/AN$5)*100,1),new_transmute,4,FALSE),
VLOOKUP(Midterm!AN37,new_transmute,4,FALSE)
),
""
)
)
)
)
)
)
)
)
))</f>
        <v/>
      </c>
      <c r="AO37" s="14" t="str">
        <f>IF($B37="","",
IF(AO$5="","",
IF(Midterm!AO37="",0,
IF(NOT(ISNUMBER(Midterm!AO37)),"NAN",
IF(Midterm!AO37&lt;0,"NEG",
IF(Midterm!AO37&gt;AO$5,"OVER",
IF(AND(AO$5&lt;=100,Midterm!AO37&gt;100),"ERR",
IF(Info!$B$4="Non-board program",
IF(OR(AND(AO$5&gt;0,AO$5&gt;100),AND(AO$5&gt;0,AO$5&lt;100)),
VLOOKUP(FLOOR((Midterm!AO37/AO$5)*100,1),new_transmute,2,FALSE),
VLOOKUP(Midterm!AO37,new_transmute,2,FALSE)
),
IF(Info!$B$4="Board program",
IF(OR(AND(AO$5&gt;0,AO$5&gt;100),AND(AO$5&gt;0,AO$5&lt;100)),
VLOOKUP(FLOOR((Midterm!AO37/AO$5)*100,1),new_transmute,3,FALSE),
VLOOKUP(Midterm!AO37,new_transmute,3,FALSE)
),
IF(Info!$B$4="Board program (Medicine)",
IF(OR(AND(AO$5&gt;0,AO$5&gt;100),AND(AO$5&gt;0,AO$5&lt;100)),
VLOOKUP(FLOOR((Midterm!AO37/AO$5)*100,1),new_transmute,4,FALSE),
VLOOKUP(Midterm!AO37,new_transmute,4,FALSE)
),
""
)
)
)
)
)
)
)
)
))</f>
        <v/>
      </c>
      <c r="AP37" s="14" t="str">
        <f>IF($B37="","",
IF(AP$5="","",
IF(Midterm!AP37="",0,
IF(NOT(ISNUMBER(Midterm!AP37)),"NAN",
IF(Midterm!AP37&lt;0,"NEG",
IF(Midterm!AP37&gt;AP$5,"OVER",
IF(AND(AP$5&lt;=100,Midterm!AP37&gt;100),"ERR",
IF(Info!$B$4="Non-board program",
IF(OR(AND(AP$5&gt;0,AP$5&gt;100),AND(AP$5&gt;0,AP$5&lt;100)),
VLOOKUP(FLOOR((Midterm!AP37/AP$5)*100,1),new_transmute,2,FALSE),
VLOOKUP(Midterm!AP37,new_transmute,2,FALSE)
),
IF(Info!$B$4="Board program",
IF(OR(AND(AP$5&gt;0,AP$5&gt;100),AND(AP$5&gt;0,AP$5&lt;100)),
VLOOKUP(FLOOR((Midterm!AP37/AP$5)*100,1),new_transmute,3,FALSE),
VLOOKUP(Midterm!AP37,new_transmute,3,FALSE)
),
IF(Info!$B$4="Board program (Medicine)",
IF(OR(AND(AP$5&gt;0,AP$5&gt;100),AND(AP$5&gt;0,AP$5&lt;100)),
VLOOKUP(FLOOR((Midterm!AP37/AP$5)*100,1),new_transmute,4,FALSE),
VLOOKUP(Midterm!AP37,new_transmute,4,FALSE)
),
""
)
)
)
)
)
)
)
)
))</f>
        <v/>
      </c>
      <c r="AQ37" s="61" t="str">
        <f t="shared" si="7"/>
        <v/>
      </c>
      <c r="AR37" s="48" t="str">
        <f>IF(Midterm!AR37="","",Midterm!AR37)</f>
        <v/>
      </c>
      <c r="AS37" s="165" t="str">
        <f t="shared" si="8"/>
        <v/>
      </c>
      <c r="AT37" s="14" t="str">
        <f t="shared" si="0"/>
        <v/>
      </c>
      <c r="AU37" s="14" t="str">
        <f>IF(B37="","",VLOOKUP(AT37,'New Grade Equivalent'!$B$3:$C$47,2,FALSE))</f>
        <v/>
      </c>
    </row>
    <row r="38" spans="1:47" x14ac:dyDescent="0.25">
      <c r="A38" s="8">
        <v>33</v>
      </c>
      <c r="B38" s="2" t="str">
        <f>IF('Student List'!C42="","",UPPER(LEFT('Student List'!C42,FIND(",",'Student List'!C42)-1)))</f>
        <v/>
      </c>
      <c r="C38" s="12" t="str">
        <f>IF('Student List'!C42="","",PROPER(MID('Student List'!C42, FIND(",", 'Student List'!C42) + 2, LEN('Student List'!C42) - FIND(",", 'Student List'!C42) - 1)))</f>
        <v/>
      </c>
      <c r="D38" s="127" t="str">
        <f>IF(B38="","",IF(Midterm!D38="", "NA", Midterm!D38))</f>
        <v/>
      </c>
      <c r="E38" s="8" t="str">
        <f>IF(B38="","",
  IF(Info!$B$5="First Year",
    IF(D38="Yes", "DRP",
      IF(D38="No", "WF", "")
    )
  )
)</f>
        <v/>
      </c>
      <c r="F38" s="14" t="str">
        <f>IF($B38="","",
IF(F$5="","",
IF(Midterm!F38="",0,
IF(NOT(ISNUMBER(Midterm!F38)),"NAN",
IF(Midterm!F38&lt;0,"NEG",
IF(Midterm!F38&gt;F$5,"OVER",
IF(AND(F$5&lt;=100,Midterm!F38&gt;100),"ERR",
IF(Info!$B$4="Non-board program",
IF(OR(AND(F$5&gt;0,F$5&gt;100),AND(F$5&gt;0,F$5&lt;100)),
VLOOKUP(FLOOR((Midterm!F38/F$5)*100,1),new_transmute,2,FALSE),
VLOOKUP(Midterm!F38,new_transmute,2,FALSE)
),
IF(Info!$B$4="Board program",
IF(OR(AND(F$5&gt;0,F$5&gt;100),AND(F$5&gt;0,F$5&lt;100)),
VLOOKUP(FLOOR((Midterm!F38/F$5)*100,1),new_transmute,3,FALSE),
VLOOKUP(Midterm!F38,new_transmute,3,FALSE)
),
IF(Info!$B$4="Board program (Medicine)",
IF(OR(AND(F$5&gt;0,F$5&gt;100),AND(F$5&gt;0,F$5&lt;100)),
VLOOKUP(FLOOR((Midterm!F38/F$5)*100,1),new_transmute,4,FALSE),
VLOOKUP(Midterm!F38,new_transmute,4,FALSE)
),
""
)
)
)
)
)
)
)
)
))</f>
        <v/>
      </c>
      <c r="G38" s="57" t="str">
        <f t="shared" si="1"/>
        <v/>
      </c>
      <c r="H38" s="14" t="str">
        <f>IF($B38="","",
IF(H$5="","",
IF(Midterm!H38="",0,
IF(NOT(ISNUMBER(Midterm!H38)),"NAN",
IF(Midterm!H38&lt;0,"NEG",
IF(Midterm!H38&gt;H$5,"OVER",
IF(AND(H$5&lt;=100,Midterm!H38&gt;100),"ERR",
IF(Info!$B$4="Non-board program",
IF(OR(AND(H$5&gt;0,H$5&gt;100),AND(H$5&gt;0,H$5&lt;100)),
VLOOKUP(FLOOR((Midterm!H38/H$5)*100,1),new_transmute,2,FALSE),
VLOOKUP(Midterm!H38,new_transmute,2,FALSE)
),
IF(Info!$B$4="Board program",
IF(OR(AND(H$5&gt;0,H$5&gt;100),AND(H$5&gt;0,H$5&lt;100)),
VLOOKUP(FLOOR((Midterm!H38/H$5)*100,1),new_transmute,3,FALSE),
VLOOKUP(Midterm!H38,new_transmute,3,FALSE)
),
IF(Info!$B$4="Board program (Medicine)",
IF(OR(AND(H$5&gt;0,H$5&gt;100),AND(H$5&gt;0,H$5&lt;100)),
VLOOKUP(FLOOR((Midterm!H38/H$5)*100,1),new_transmute,4,FALSE),
VLOOKUP(Midterm!H38,new_transmute,4,FALSE)
),
""
)
)
)
)
)
)
)
)
))</f>
        <v/>
      </c>
      <c r="I38" s="14" t="str">
        <f>IF($B38="","",
IF(I$5="","",
IF(Midterm!I38="",0,
IF(NOT(ISNUMBER(Midterm!I38)),"NAN",
IF(Midterm!I38&lt;0,"NEG",
IF(Midterm!I38&gt;I$5,"OVER",
IF(AND(I$5&lt;=100,Midterm!I38&gt;100),"ERR",
IF(Info!$B$4="Non-board program",
IF(OR(AND(I$5&gt;0,I$5&gt;100),AND(I$5&gt;0,I$5&lt;100)),
VLOOKUP(FLOOR((Midterm!I38/I$5)*100,1),new_transmute,2,FALSE),
VLOOKUP(Midterm!I38,new_transmute,2,FALSE)
),
IF(Info!$B$4="Board program",
IF(OR(AND(I$5&gt;0,I$5&gt;100),AND(I$5&gt;0,I$5&lt;100)),
VLOOKUP(FLOOR((Midterm!I38/I$5)*100,1),new_transmute,3,FALSE),
VLOOKUP(Midterm!I38,new_transmute,3,FALSE)
),
IF(Info!$B$4="Board program (Medicine)",
IF(OR(AND(I$5&gt;0,I$5&gt;100),AND(I$5&gt;0,I$5&lt;100)),
VLOOKUP(FLOOR((Midterm!I38/I$5)*100,1),new_transmute,4,FALSE),
VLOOKUP(Midterm!I38,new_transmute,4,FALSE)
),
""
)
)
)
)
)
)
)
)
))</f>
        <v/>
      </c>
      <c r="J38" s="14" t="str">
        <f>IF($B38="","",
IF(J$5="","",
IF(Midterm!J38="",0,
IF(NOT(ISNUMBER(Midterm!J38)),"NAN",
IF(Midterm!J38&lt;0,"NEG",
IF(Midterm!J38&gt;J$5,"OVER",
IF(AND(J$5&lt;=100,Midterm!J38&gt;100),"ERR",
IF(Info!$B$4="Non-board program",
IF(OR(AND(J$5&gt;0,J$5&gt;100),AND(J$5&gt;0,J$5&lt;100)),
VLOOKUP(FLOOR((Midterm!J38/J$5)*100,1),new_transmute,2,FALSE),
VLOOKUP(Midterm!J38,new_transmute,2,FALSE)
),
IF(Info!$B$4="Board program",
IF(OR(AND(J$5&gt;0,J$5&gt;100),AND(J$5&gt;0,J$5&lt;100)),
VLOOKUP(FLOOR((Midterm!J38/J$5)*100,1),new_transmute,3,FALSE),
VLOOKUP(Midterm!J38,new_transmute,3,FALSE)
),
IF(Info!$B$4="Board program (Medicine)",
IF(OR(AND(J$5&gt;0,J$5&gt;100),AND(J$5&gt;0,J$5&lt;100)),
VLOOKUP(FLOOR((Midterm!J38/J$5)*100,1),new_transmute,4,FALSE),
VLOOKUP(Midterm!J38,new_transmute,4,FALSE)
),
""
)
)
)
)
)
)
)
)
))</f>
        <v/>
      </c>
      <c r="K38" s="14" t="str">
        <f>IF($B38="","",
IF(K$5="","",
IF(Midterm!K38="",0,
IF(NOT(ISNUMBER(Midterm!K38)),"NAN",
IF(Midterm!K38&lt;0,"NEG",
IF(Midterm!K38&gt;K$5,"OVER",
IF(AND(K$5&lt;=100,Midterm!K38&gt;100),"ERR",
IF(Info!$B$4="Non-board program",
IF(OR(AND(K$5&gt;0,K$5&gt;100),AND(K$5&gt;0,K$5&lt;100)),
VLOOKUP(FLOOR((Midterm!K38/K$5)*100,1),new_transmute,2,FALSE),
VLOOKUP(Midterm!K38,new_transmute,2,FALSE)
),
IF(Info!$B$4="Board program",
IF(OR(AND(K$5&gt;0,K$5&gt;100),AND(K$5&gt;0,K$5&lt;100)),
VLOOKUP(FLOOR((Midterm!K38/K$5)*100,1),new_transmute,3,FALSE),
VLOOKUP(Midterm!K38,new_transmute,3,FALSE)
),
IF(Info!$B$4="Board program (Medicine)",
IF(OR(AND(K$5&gt;0,K$5&gt;100),AND(K$5&gt;0,K$5&lt;100)),
VLOOKUP(FLOOR((Midterm!K38/K$5)*100,1),new_transmute,4,FALSE),
VLOOKUP(Midterm!K38,new_transmute,4,FALSE)
),
""
)
)
)
)
)
)
)
)
))</f>
        <v/>
      </c>
      <c r="L38" s="14" t="str">
        <f>IF($B38="","",
IF(L$5="","",
IF(Midterm!L38="",0,
IF(NOT(ISNUMBER(Midterm!L38)),"NAN",
IF(Midterm!L38&lt;0,"NEG",
IF(Midterm!L38&gt;L$5,"OVER",
IF(AND(L$5&lt;=100,Midterm!L38&gt;100),"ERR",
IF(Info!$B$4="Non-board program",
IF(OR(AND(L$5&gt;0,L$5&gt;100),AND(L$5&gt;0,L$5&lt;100)),
VLOOKUP(FLOOR((Midterm!L38/L$5)*100,1),new_transmute,2,FALSE),
VLOOKUP(Midterm!L38,new_transmute,2,FALSE)
),
IF(Info!$B$4="Board program",
IF(OR(AND(L$5&gt;0,L$5&gt;100),AND(L$5&gt;0,L$5&lt;100)),
VLOOKUP(FLOOR((Midterm!L38/L$5)*100,1),new_transmute,3,FALSE),
VLOOKUP(Midterm!L38,new_transmute,3,FALSE)
),
IF(Info!$B$4="Board program (Medicine)",
IF(OR(AND(L$5&gt;0,L$5&gt;100),AND(L$5&gt;0,L$5&lt;100)),
VLOOKUP(FLOOR((Midterm!L38/L$5)*100,1),new_transmute,4,FALSE),
VLOOKUP(Midterm!L38,new_transmute,4,FALSE)
),
""
)
)
)
)
)
)
)
)
))</f>
        <v/>
      </c>
      <c r="M38" s="111" t="str">
        <f t="shared" si="2"/>
        <v/>
      </c>
      <c r="N38" s="14" t="str">
        <f>IF($B38="","",
IF(N$5="","",
IF(Midterm!N38="",0,
IF(NOT(ISNUMBER(Midterm!N38)),"NAN",
IF(Midterm!N38&lt;0,"NEG",
IF(Midterm!N38&gt;N$5,"OVER",
IF(AND(N$5&lt;=100,Midterm!N38&gt;100),"ERR",
IF(Info!$B$4="Non-board program",
IF(OR(AND(N$5&gt;0,N$5&gt;100),AND(N$5&gt;0,N$5&lt;100)),
VLOOKUP(FLOOR((Midterm!N38/N$5)*100,1),new_transmute,2,FALSE),
VLOOKUP(Midterm!N38,new_transmute,2,FALSE)
),
IF(Info!$B$4="Board program",
IF(OR(AND(N$5&gt;0,N$5&gt;100),AND(N$5&gt;0,N$5&lt;100)),
VLOOKUP(FLOOR((Midterm!N38/N$5)*100,1),new_transmute,3,FALSE),
VLOOKUP(Midterm!N38,new_transmute,3,FALSE)
),
IF(Info!$B$4="Board program (Medicine)",
IF(OR(AND(N$5&gt;0,N$5&gt;100),AND(N$5&gt;0,N$5&lt;100)),
VLOOKUP(FLOOR((Midterm!N38/N$5)*100,1),new_transmute,4,FALSE),
VLOOKUP(Midterm!N38,new_transmute,4,FALSE)
),
""
)
)
)
)
)
)
)
)
))</f>
        <v/>
      </c>
      <c r="O38" s="14" t="str">
        <f>IF($B38="","",
IF(O$5="","",
IF(Midterm!O38="",0,
IF(NOT(ISNUMBER(Midterm!O38)),"NAN",
IF(Midterm!O38&lt;0,"NEG",
IF(Midterm!O38&gt;O$5,"OVER",
IF(AND(O$5&lt;=100,Midterm!O38&gt;100),"ERR",
IF(Info!$B$4="Non-board program",
IF(OR(AND(O$5&gt;0,O$5&gt;100),AND(O$5&gt;0,O$5&lt;100)),
VLOOKUP(FLOOR((Midterm!O38/O$5)*100,1),new_transmute,2,FALSE),
VLOOKUP(Midterm!O38,new_transmute,2,FALSE)
),
IF(Info!$B$4="Board program",
IF(OR(AND(O$5&gt;0,O$5&gt;100),AND(O$5&gt;0,O$5&lt;100)),
VLOOKUP(FLOOR((Midterm!O38/O$5)*100,1),new_transmute,3,FALSE),
VLOOKUP(Midterm!O38,new_transmute,3,FALSE)
),
IF(Info!$B$4="Board program (Medicine)",
IF(OR(AND(O$5&gt;0,O$5&gt;100),AND(O$5&gt;0,O$5&lt;100)),
VLOOKUP(FLOOR((Midterm!O38/O$5)*100,1),new_transmute,4,FALSE),
VLOOKUP(Midterm!O38,new_transmute,4,FALSE)
),
""
)
)
)
)
)
)
)
)
))</f>
        <v/>
      </c>
      <c r="P38" s="14" t="str">
        <f>IF($B38="","",
IF(P$5="","",
IF(Midterm!P38="",0,
IF(NOT(ISNUMBER(Midterm!P38)),"NAN",
IF(Midterm!P38&lt;0,"NEG",
IF(Midterm!P38&gt;P$5,"OVER",
IF(AND(P$5&lt;=100,Midterm!P38&gt;100),"ERR",
IF(Info!$B$4="Non-board program",
IF(OR(AND(P$5&gt;0,P$5&gt;100),AND(P$5&gt;0,P$5&lt;100)),
VLOOKUP(FLOOR((Midterm!P38/P$5)*100,1),new_transmute,2,FALSE),
VLOOKUP(Midterm!P38,new_transmute,2,FALSE)
),
IF(Info!$B$4="Board program",
IF(OR(AND(P$5&gt;0,P$5&gt;100),AND(P$5&gt;0,P$5&lt;100)),
VLOOKUP(FLOOR((Midterm!P38/P$5)*100,1),new_transmute,3,FALSE),
VLOOKUP(Midterm!P38,new_transmute,3,FALSE)
),
IF(Info!$B$4="Board program (Medicine)",
IF(OR(AND(P$5&gt;0,P$5&gt;100),AND(P$5&gt;0,P$5&lt;100)),
VLOOKUP(FLOOR((Midterm!P38/P$5)*100,1),new_transmute,4,FALSE),
VLOOKUP(Midterm!P38,new_transmute,4,FALSE)
),
""
)
)
)
)
)
)
)
)
))</f>
        <v/>
      </c>
      <c r="Q38" s="14" t="str">
        <f>IF($B38="","",
IF(Q$5="","",
IF(Midterm!Q38="",0,
IF(NOT(ISNUMBER(Midterm!Q38)),"NAN",
IF(Midterm!Q38&lt;0,"NEG",
IF(Midterm!Q38&gt;Q$5,"OVER",
IF(AND(Q$5&lt;=100,Midterm!Q38&gt;100),"ERR",
IF(Info!$B$4="Non-board program",
IF(OR(AND(Q$5&gt;0,Q$5&gt;100),AND(Q$5&gt;0,Q$5&lt;100)),
VLOOKUP(FLOOR((Midterm!Q38/Q$5)*100,1),new_transmute,2,FALSE),
VLOOKUP(Midterm!Q38,new_transmute,2,FALSE)
),
IF(Info!$B$4="Board program",
IF(OR(AND(Q$5&gt;0,Q$5&gt;100),AND(Q$5&gt;0,Q$5&lt;100)),
VLOOKUP(FLOOR((Midterm!Q38/Q$5)*100,1),new_transmute,3,FALSE),
VLOOKUP(Midterm!Q38,new_transmute,3,FALSE)
),
IF(Info!$B$4="Board program (Medicine)",
IF(OR(AND(Q$5&gt;0,Q$5&gt;100),AND(Q$5&gt;0,Q$5&lt;100)),
VLOOKUP(FLOOR((Midterm!Q38/Q$5)*100,1),new_transmute,4,FALSE),
VLOOKUP(Midterm!Q38,new_transmute,4,FALSE)
),
""
)
)
)
)
)
)
)
)
))</f>
        <v/>
      </c>
      <c r="R38" s="14" t="str">
        <f>IF($B38="","",
IF(R$5="","",
IF(Midterm!R38="",0,
IF(NOT(ISNUMBER(Midterm!R38)),"NAN",
IF(Midterm!R38&lt;0,"NEG",
IF(Midterm!R38&gt;R$5,"OVER",
IF(AND(R$5&lt;=100,Midterm!R38&gt;100),"ERR",
IF(Info!$B$4="Non-board program",
IF(OR(AND(R$5&gt;0,R$5&gt;100),AND(R$5&gt;0,R$5&lt;100)),
VLOOKUP(FLOOR((Midterm!R38/R$5)*100,1),new_transmute,2,FALSE),
VLOOKUP(Midterm!R38,new_transmute,2,FALSE)
),
IF(Info!$B$4="Board program",
IF(OR(AND(R$5&gt;0,R$5&gt;100),AND(R$5&gt;0,R$5&lt;100)),
VLOOKUP(FLOOR((Midterm!R38/R$5)*100,1),new_transmute,3,FALSE),
VLOOKUP(Midterm!R38,new_transmute,3,FALSE)
),
IF(Info!$B$4="Board program (Medicine)",
IF(OR(AND(R$5&gt;0,R$5&gt;100),AND(R$5&gt;0,R$5&lt;100)),
VLOOKUP(FLOOR((Midterm!R38/R$5)*100,1),new_transmute,4,FALSE),
VLOOKUP(Midterm!R38,new_transmute,4,FALSE)
),
""
)
)
)
)
)
)
)
)
))</f>
        <v/>
      </c>
      <c r="S38" s="115" t="str">
        <f t="shared" si="3"/>
        <v/>
      </c>
      <c r="T38" s="14" t="str">
        <f>IF($B38="","",
IF(T$5="","",
IF(Midterm!T38="",0,
IF(NOT(ISNUMBER(Midterm!T38)),"NAN",
IF(Midterm!T38&lt;0,"NEG",
IF(Midterm!T38&gt;T$5,"OVER",
IF(AND(T$5&lt;=100,Midterm!T38&gt;100),"ERR",
IF(Info!$B$4="Non-board program",
IF(OR(AND(T$5&gt;0,T$5&gt;100),AND(T$5&gt;0,T$5&lt;100)),
VLOOKUP(FLOOR((Midterm!T38/T$5)*100,1),new_transmute,2,FALSE),
VLOOKUP(Midterm!T38,new_transmute,2,FALSE)
),
IF(Info!$B$4="Board program",
IF(OR(AND(T$5&gt;0,T$5&gt;100),AND(T$5&gt;0,T$5&lt;100)),
VLOOKUP(FLOOR((Midterm!T38/T$5)*100,1),new_transmute,3,FALSE),
VLOOKUP(Midterm!T38,new_transmute,3,FALSE)
),
IF(Info!$B$4="Board program (Medicine)",
IF(OR(AND(T$5&gt;0,T$5&gt;100),AND(T$5&gt;0,T$5&lt;100)),
VLOOKUP(FLOOR((Midterm!T38/T$5)*100,1),new_transmute,4,FALSE),
VLOOKUP(Midterm!T38,new_transmute,4,FALSE)
),
""
)
)
)
)
)
)
)
)
))</f>
        <v/>
      </c>
      <c r="U38" s="14" t="str">
        <f>IF($B38="","",
IF(U$5="","",
IF(Midterm!U38="",0,
IF(NOT(ISNUMBER(Midterm!U38)),"NAN",
IF(Midterm!U38&lt;0,"NEG",
IF(Midterm!U38&gt;U$5,"OVER",
IF(AND(U$5&lt;=100,Midterm!U38&gt;100),"ERR",
IF(Info!$B$4="Non-board program",
IF(OR(AND(U$5&gt;0,U$5&gt;100),AND(U$5&gt;0,U$5&lt;100)),
VLOOKUP(FLOOR((Midterm!U38/U$5)*100,1),new_transmute,2,FALSE),
VLOOKUP(Midterm!U38,new_transmute,2,FALSE)
),
IF(Info!$B$4="Board program",
IF(OR(AND(U$5&gt;0,U$5&gt;100),AND(U$5&gt;0,U$5&lt;100)),
VLOOKUP(FLOOR((Midterm!U38/U$5)*100,1),new_transmute,3,FALSE),
VLOOKUP(Midterm!U38,new_transmute,3,FALSE)
),
IF(Info!$B$4="Board program (Medicine)",
IF(OR(AND(U$5&gt;0,U$5&gt;100),AND(U$5&gt;0,U$5&lt;100)),
VLOOKUP(FLOOR((Midterm!U38/U$5)*100,1),new_transmute,4,FALSE),
VLOOKUP(Midterm!U38,new_transmute,4,FALSE)
),
""
)
)
)
)
)
)
)
)
))</f>
        <v/>
      </c>
      <c r="V38" s="14" t="str">
        <f>IF($B38="","",
IF(V$5="","",
IF(Midterm!V38="",0,
IF(NOT(ISNUMBER(Midterm!V38)),"NAN",
IF(Midterm!V38&lt;0,"NEG",
IF(Midterm!V38&gt;V$5,"OVER",
IF(AND(V$5&lt;=100,Midterm!V38&gt;100),"ERR",
IF(Info!$B$4="Non-board program",
IF(OR(AND(V$5&gt;0,V$5&gt;100),AND(V$5&gt;0,V$5&lt;100)),
VLOOKUP(FLOOR((Midterm!V38/V$5)*100,1),new_transmute,2,FALSE),
VLOOKUP(Midterm!V38,new_transmute,2,FALSE)
),
IF(Info!$B$4="Board program",
IF(OR(AND(V$5&gt;0,V$5&gt;100),AND(V$5&gt;0,V$5&lt;100)),
VLOOKUP(FLOOR((Midterm!V38/V$5)*100,1),new_transmute,3,FALSE),
VLOOKUP(Midterm!V38,new_transmute,3,FALSE)
),
IF(Info!$B$4="Board program (Medicine)",
IF(OR(AND(V$5&gt;0,V$5&gt;100),AND(V$5&gt;0,V$5&lt;100)),
VLOOKUP(FLOOR((Midterm!V38/V$5)*100,1),new_transmute,4,FALSE),
VLOOKUP(Midterm!V38,new_transmute,4,FALSE)
),
""
)
)
)
)
)
)
)
)
))</f>
        <v/>
      </c>
      <c r="W38" s="14" t="str">
        <f>IF($B38="","",
IF(W$5="","",
IF(Midterm!W38="",0,
IF(NOT(ISNUMBER(Midterm!W38)),"NAN",
IF(Midterm!W38&lt;0,"NEG",
IF(Midterm!W38&gt;W$5,"OVER",
IF(AND(W$5&lt;=100,Midterm!W38&gt;100),"ERR",
IF(Info!$B$4="Non-board program",
IF(OR(AND(W$5&gt;0,W$5&gt;100),AND(W$5&gt;0,W$5&lt;100)),
VLOOKUP(FLOOR((Midterm!W38/W$5)*100,1),new_transmute,2,FALSE),
VLOOKUP(Midterm!W38,new_transmute,2,FALSE)
),
IF(Info!$B$4="Board program",
IF(OR(AND(W$5&gt;0,W$5&gt;100),AND(W$5&gt;0,W$5&lt;100)),
VLOOKUP(FLOOR((Midterm!W38/W$5)*100,1),new_transmute,3,FALSE),
VLOOKUP(Midterm!W38,new_transmute,3,FALSE)
),
IF(Info!$B$4="Board program (Medicine)",
IF(OR(AND(W$5&gt;0,W$5&gt;100),AND(W$5&gt;0,W$5&lt;100)),
VLOOKUP(FLOOR((Midterm!W38/W$5)*100,1),new_transmute,4,FALSE),
VLOOKUP(Midterm!W38,new_transmute,4,FALSE)
),
""
)
)
)
)
)
)
)
)
))</f>
        <v/>
      </c>
      <c r="X38" s="14" t="str">
        <f>IF($B38="","",
IF(X$5="","",
IF(Midterm!X38="",0,
IF(NOT(ISNUMBER(Midterm!X38)),"NAN",
IF(Midterm!X38&lt;0,"NEG",
IF(Midterm!X38&gt;X$5,"OVER",
IF(AND(X$5&lt;=100,Midterm!X38&gt;100),"ERR",
IF(Info!$B$4="Non-board program",
IF(OR(AND(X$5&gt;0,X$5&gt;100),AND(X$5&gt;0,X$5&lt;100)),
VLOOKUP(FLOOR((Midterm!X38/X$5)*100,1),new_transmute,2,FALSE),
VLOOKUP(Midterm!X38,new_transmute,2,FALSE)
),
IF(Info!$B$4="Board program",
IF(OR(AND(X$5&gt;0,X$5&gt;100),AND(X$5&gt;0,X$5&lt;100)),
VLOOKUP(FLOOR((Midterm!X38/X$5)*100,1),new_transmute,3,FALSE),
VLOOKUP(Midterm!X38,new_transmute,3,FALSE)
),
IF(Info!$B$4="Board program (Medicine)",
IF(OR(AND(X$5&gt;0,X$5&gt;100),AND(X$5&gt;0,X$5&lt;100)),
VLOOKUP(FLOOR((Midterm!X38/X$5)*100,1),new_transmute,4,FALSE),
VLOOKUP(Midterm!X38,new_transmute,4,FALSE)
),
""
)
)
)
)
)
)
)
)
))</f>
        <v/>
      </c>
      <c r="Y38" s="112" t="str">
        <f t="shared" si="4"/>
        <v/>
      </c>
      <c r="Z38" s="14" t="str">
        <f>IF($B38="","",
IF(Z$5="","",
IF(Midterm!Z38="",0,
IF(NOT(ISNUMBER(Midterm!Z38)),"NAN",
IF(Midterm!Z38&lt;0,"NEG",
IF(Midterm!Z38&gt;Z$5,"OVER",
IF(AND(Z$5&lt;=100,Midterm!Z38&gt;100),"ERR",
IF(Info!$B$4="Non-board program",
IF(OR(AND(Z$5&gt;0,Z$5&gt;100),AND(Z$5&gt;0,Z$5&lt;100)),
VLOOKUP(FLOOR((Midterm!Z38/Z$5)*100,1),new_transmute,2,FALSE),
VLOOKUP(Midterm!Z38,new_transmute,2,FALSE)
),
IF(Info!$B$4="Board program",
IF(OR(AND(Z$5&gt;0,Z$5&gt;100),AND(Z$5&gt;0,Z$5&lt;100)),
VLOOKUP(FLOOR((Midterm!Z38/Z$5)*100,1),new_transmute,3,FALSE),
VLOOKUP(Midterm!Z38,new_transmute,3,FALSE)
),
IF(Info!$B$4="Board program (Medicine)",
IF(OR(AND(Z$5&gt;0,Z$5&gt;100),AND(Z$5&gt;0,Z$5&lt;100)),
VLOOKUP(FLOOR((Midterm!Z38/Z$5)*100,1),new_transmute,4,FALSE),
VLOOKUP(Midterm!Z38,new_transmute,4,FALSE)
),
""
)
)
)
)
)
)
)
)
))</f>
        <v/>
      </c>
      <c r="AA38" s="14" t="str">
        <f>IF($B38="","",
IF(AA$5="","",
IF(Midterm!AA38="",0,
IF(NOT(ISNUMBER(Midterm!AA38)),"NAN",
IF(Midterm!AA38&lt;0,"NEG",
IF(Midterm!AA38&gt;AA$5,"OVER",
IF(AND(AA$5&lt;=100,Midterm!AA38&gt;100),"ERR",
IF(Info!$B$4="Non-board program",
IF(OR(AND(AA$5&gt;0,AA$5&gt;100),AND(AA$5&gt;0,AA$5&lt;100)),
VLOOKUP(FLOOR((Midterm!AA38/AA$5)*100,1),new_transmute,2,FALSE),
VLOOKUP(Midterm!AA38,new_transmute,2,FALSE)
),
IF(Info!$B$4="Board program",
IF(OR(AND(AA$5&gt;0,AA$5&gt;100),AND(AA$5&gt;0,AA$5&lt;100)),
VLOOKUP(FLOOR((Midterm!AA38/AA$5)*100,1),new_transmute,3,FALSE),
VLOOKUP(Midterm!AA38,new_transmute,3,FALSE)
),
IF(Info!$B$4="Board program (Medicine)",
IF(OR(AND(AA$5&gt;0,AA$5&gt;100),AND(AA$5&gt;0,AA$5&lt;100)),
VLOOKUP(FLOOR((Midterm!AA38/AA$5)*100,1),new_transmute,4,FALSE),
VLOOKUP(Midterm!AA38,new_transmute,4,FALSE)
),
""
)
)
)
)
)
)
)
)
))</f>
        <v/>
      </c>
      <c r="AB38" s="14" t="str">
        <f>IF($B38="","",
IF(AB$5="","",
IF(Midterm!AB38="",0,
IF(NOT(ISNUMBER(Midterm!AB38)),"NAN",
IF(Midterm!AB38&lt;0,"NEG",
IF(Midterm!AB38&gt;AB$5,"OVER",
IF(AND(AB$5&lt;=100,Midterm!AB38&gt;100),"ERR",
IF(Info!$B$4="Non-board program",
IF(OR(AND(AB$5&gt;0,AB$5&gt;100),AND(AB$5&gt;0,AB$5&lt;100)),
VLOOKUP(FLOOR((Midterm!AB38/AB$5)*100,1),new_transmute,2,FALSE),
VLOOKUP(Midterm!AB38,new_transmute,2,FALSE)
),
IF(Info!$B$4="Board program",
IF(OR(AND(AB$5&gt;0,AB$5&gt;100),AND(AB$5&gt;0,AB$5&lt;100)),
VLOOKUP(FLOOR((Midterm!AB38/AB$5)*100,1),new_transmute,3,FALSE),
VLOOKUP(Midterm!AB38,new_transmute,3,FALSE)
),
IF(Info!$B$4="Board program (Medicine)",
IF(OR(AND(AB$5&gt;0,AB$5&gt;100),AND(AB$5&gt;0,AB$5&lt;100)),
VLOOKUP(FLOOR((Midterm!AB38/AB$5)*100,1),new_transmute,4,FALSE),
VLOOKUP(Midterm!AB38,new_transmute,4,FALSE)
),
""
)
)
)
)
)
)
)
)
))</f>
        <v/>
      </c>
      <c r="AC38" s="14" t="str">
        <f>IF($B38="","",
IF(AC$5="","",
IF(Midterm!AC38="",0,
IF(NOT(ISNUMBER(Midterm!AC38)),"NAN",
IF(Midterm!AC38&lt;0,"NEG",
IF(Midterm!AC38&gt;AC$5,"OVER",
IF(AND(AC$5&lt;=100,Midterm!AC38&gt;100),"ERR",
IF(Info!$B$4="Non-board program",
IF(OR(AND(AC$5&gt;0,AC$5&gt;100),AND(AC$5&gt;0,AC$5&lt;100)),
VLOOKUP(FLOOR((Midterm!AC38/AC$5)*100,1),new_transmute,2,FALSE),
VLOOKUP(Midterm!AC38,new_transmute,2,FALSE)
),
IF(Info!$B$4="Board program",
IF(OR(AND(AC$5&gt;0,AC$5&gt;100),AND(AC$5&gt;0,AC$5&lt;100)),
VLOOKUP(FLOOR((Midterm!AC38/AC$5)*100,1),new_transmute,3,FALSE),
VLOOKUP(Midterm!AC38,new_transmute,3,FALSE)
),
IF(Info!$B$4="Board program (Medicine)",
IF(OR(AND(AC$5&gt;0,AC$5&gt;100),AND(AC$5&gt;0,AC$5&lt;100)),
VLOOKUP(FLOOR((Midterm!AC38/AC$5)*100,1),new_transmute,4,FALSE),
VLOOKUP(Midterm!AC38,new_transmute,4,FALSE)
),
""
)
)
)
)
)
)
)
)
))</f>
        <v/>
      </c>
      <c r="AD38" s="14" t="str">
        <f>IF($B38="","",
IF(AD$5="","",
IF(Midterm!AD38="",0,
IF(NOT(ISNUMBER(Midterm!AD38)),"NAN",
IF(Midterm!AD38&lt;0,"NEG",
IF(Midterm!AD38&gt;AD$5,"OVER",
IF(AND(AD$5&lt;=100,Midterm!AD38&gt;100),"ERR",
IF(Info!$B$4="Non-board program",
IF(OR(AND(AD$5&gt;0,AD$5&gt;100),AND(AD$5&gt;0,AD$5&lt;100)),
VLOOKUP(FLOOR((Midterm!AD38/AD$5)*100,1),new_transmute,2,FALSE),
VLOOKUP(Midterm!AD38,new_transmute,2,FALSE)
),
IF(Info!$B$4="Board program",
IF(OR(AND(AD$5&gt;0,AD$5&gt;100),AND(AD$5&gt;0,AD$5&lt;100)),
VLOOKUP(FLOOR((Midterm!AD38/AD$5)*100,1),new_transmute,3,FALSE),
VLOOKUP(Midterm!AD38,new_transmute,3,FALSE)
),
IF(Info!$B$4="Board program (Medicine)",
IF(OR(AND(AD$5&gt;0,AD$5&gt;100),AND(AD$5&gt;0,AD$5&lt;100)),
VLOOKUP(FLOOR((Midterm!AD38/AD$5)*100,1),new_transmute,4,FALSE),
VLOOKUP(Midterm!AD38,new_transmute,4,FALSE)
),
""
)
)
)
)
)
)
)
)
))</f>
        <v/>
      </c>
      <c r="AE38" s="58" t="str">
        <f t="shared" si="5"/>
        <v/>
      </c>
      <c r="AF38" s="14" t="str">
        <f>IF($B38="","",
IF(AF$5="","",
IF(Midterm!AF38="",0,
IF(NOT(ISNUMBER(Midterm!AF38)),"NAN",
IF(Midterm!AF38&lt;0,"NEG",
IF(Midterm!AF38&gt;AF$5,"OVER",
IF(AND(AF$5&lt;=100,Midterm!AF38&gt;100),"ERR",
IF(Info!$B$4="Non-board program",
IF(OR(AND(AF$5&gt;0,AF$5&gt;100),AND(AF$5&gt;0,AF$5&lt;100)),
VLOOKUP(FLOOR((Midterm!AF38/AF$5)*100,1),new_transmute,2,FALSE),
VLOOKUP(Midterm!AF38,new_transmute,2,FALSE)
),
IF(Info!$B$4="Board program",
IF(OR(AND(AF$5&gt;0,AF$5&gt;100),AND(AF$5&gt;0,AF$5&lt;100)),
VLOOKUP(FLOOR((Midterm!AF38/AF$5)*100,1),new_transmute,3,FALSE),
VLOOKUP(Midterm!AF38,new_transmute,3,FALSE)
),
IF(Info!$B$4="Board program (Medicine)",
IF(OR(AND(AF$5&gt;0,AF$5&gt;100),AND(AF$5&gt;0,AF$5&lt;100)),
VLOOKUP(FLOOR((Midterm!AF38/AF$5)*100,1),new_transmute,4,FALSE),
VLOOKUP(Midterm!AF38,new_transmute,4,FALSE)
),
""
)
)
)
)
)
)
)
)
))</f>
        <v/>
      </c>
      <c r="AG38" s="14" t="str">
        <f>IF($B38="","",
IF(AG$5="","",
IF(Midterm!AG38="",0,
IF(NOT(ISNUMBER(Midterm!AG38)),"NAN",
IF(Midterm!AG38&lt;0,"NEG",
IF(Midterm!AG38&gt;AG$5,"OVER",
IF(AND(AG$5&lt;=100,Midterm!AG38&gt;100),"ERR",
IF(Info!$B$4="Non-board program",
IF(OR(AND(AG$5&gt;0,AG$5&gt;100),AND(AG$5&gt;0,AG$5&lt;100)),
VLOOKUP(FLOOR((Midterm!AG38/AG$5)*100,1),new_transmute,2,FALSE),
VLOOKUP(Midterm!AG38,new_transmute,2,FALSE)
),
IF(Info!$B$4="Board program",
IF(OR(AND(AG$5&gt;0,AG$5&gt;100),AND(AG$5&gt;0,AG$5&lt;100)),
VLOOKUP(FLOOR((Midterm!AG38/AG$5)*100,1),new_transmute,3,FALSE),
VLOOKUP(Midterm!AG38,new_transmute,3,FALSE)
),
IF(Info!$B$4="Board program (Medicine)",
IF(OR(AND(AG$5&gt;0,AG$5&gt;100),AND(AG$5&gt;0,AG$5&lt;100)),
VLOOKUP(FLOOR((Midterm!AG38/AG$5)*100,1),new_transmute,4,FALSE),
VLOOKUP(Midterm!AG38,new_transmute,4,FALSE)
),
""
)
)
)
)
)
)
)
)
))</f>
        <v/>
      </c>
      <c r="AH38" s="14" t="str">
        <f>IF($B38="","",
IF(AH$5="","",
IF(Midterm!AH38="",0,
IF(NOT(ISNUMBER(Midterm!AH38)),"NAN",
IF(Midterm!AH38&lt;0,"NEG",
IF(Midterm!AH38&gt;AH$5,"OVER",
IF(AND(AH$5&lt;=100,Midterm!AH38&gt;100),"ERR",
IF(Info!$B$4="Non-board program",
IF(OR(AND(AH$5&gt;0,AH$5&gt;100),AND(AH$5&gt;0,AH$5&lt;100)),
VLOOKUP(FLOOR((Midterm!AH38/AH$5)*100,1),new_transmute,2,FALSE),
VLOOKUP(Midterm!AH38,new_transmute,2,FALSE)
),
IF(Info!$B$4="Board program",
IF(OR(AND(AH$5&gt;0,AH$5&gt;100),AND(AH$5&gt;0,AH$5&lt;100)),
VLOOKUP(FLOOR((Midterm!AH38/AH$5)*100,1),new_transmute,3,FALSE),
VLOOKUP(Midterm!AH38,new_transmute,3,FALSE)
),
IF(Info!$B$4="Board program (Medicine)",
IF(OR(AND(AH$5&gt;0,AH$5&gt;100),AND(AH$5&gt;0,AH$5&lt;100)),
VLOOKUP(FLOOR((Midterm!AH38/AH$5)*100,1),new_transmute,4,FALSE),
VLOOKUP(Midterm!AH38,new_transmute,4,FALSE)
),
""
)
)
)
)
)
)
)
)
))</f>
        <v/>
      </c>
      <c r="AI38" s="14" t="str">
        <f>IF($B38="","",
IF(AI$5="","",
IF(Midterm!AI38="",0,
IF(NOT(ISNUMBER(Midterm!AI38)),"NAN",
IF(Midterm!AI38&lt;0,"NEG",
IF(Midterm!AI38&gt;AI$5,"OVER",
IF(AND(AI$5&lt;=100,Midterm!AI38&gt;100),"ERR",
IF(Info!$B$4="Non-board program",
IF(OR(AND(AI$5&gt;0,AI$5&gt;100),AND(AI$5&gt;0,AI$5&lt;100)),
VLOOKUP(FLOOR((Midterm!AI38/AI$5)*100,1),new_transmute,2,FALSE),
VLOOKUP(Midterm!AI38,new_transmute,2,FALSE)
),
IF(Info!$B$4="Board program",
IF(OR(AND(AI$5&gt;0,AI$5&gt;100),AND(AI$5&gt;0,AI$5&lt;100)),
VLOOKUP(FLOOR((Midterm!AI38/AI$5)*100,1),new_transmute,3,FALSE),
VLOOKUP(Midterm!AI38,new_transmute,3,FALSE)
),
IF(Info!$B$4="Board program (Medicine)",
IF(OR(AND(AI$5&gt;0,AI$5&gt;100),AND(AI$5&gt;0,AI$5&lt;100)),
VLOOKUP(FLOOR((Midterm!AI38/AI$5)*100,1),new_transmute,4,FALSE),
VLOOKUP(Midterm!AI38,new_transmute,4,FALSE)
),
""
)
)
)
)
)
)
)
)
))</f>
        <v/>
      </c>
      <c r="AJ38" s="14" t="str">
        <f>IF($B38="","",
IF(AJ$5="","",
IF(Midterm!AJ38="",0,
IF(NOT(ISNUMBER(Midterm!AJ38)),"NAN",
IF(Midterm!AJ38&lt;0,"NEG",
IF(Midterm!AJ38&gt;AJ$5,"OVER",
IF(AND(AJ$5&lt;=100,Midterm!AJ38&gt;100),"ERR",
IF(Info!$B$4="Non-board program",
IF(OR(AND(AJ$5&gt;0,AJ$5&gt;100),AND(AJ$5&gt;0,AJ$5&lt;100)),
VLOOKUP(FLOOR((Midterm!AJ38/AJ$5)*100,1),new_transmute,2,FALSE),
VLOOKUP(Midterm!AJ38,new_transmute,2,FALSE)
),
IF(Info!$B$4="Board program",
IF(OR(AND(AJ$5&gt;0,AJ$5&gt;100),AND(AJ$5&gt;0,AJ$5&lt;100)),
VLOOKUP(FLOOR((Midterm!AJ38/AJ$5)*100,1),new_transmute,3,FALSE),
VLOOKUP(Midterm!AJ38,new_transmute,3,FALSE)
),
IF(Info!$B$4="Board program (Medicine)",
IF(OR(AND(AJ$5&gt;0,AJ$5&gt;100),AND(AJ$5&gt;0,AJ$5&lt;100)),
VLOOKUP(FLOOR((Midterm!AJ38/AJ$5)*100,1),new_transmute,4,FALSE),
VLOOKUP(Midterm!AJ38,new_transmute,4,FALSE)
),
""
)
)
)
)
)
)
)
)
))</f>
        <v/>
      </c>
      <c r="AK38" s="59" t="str">
        <f t="shared" si="6"/>
        <v/>
      </c>
      <c r="AL38" s="60" t="str">
        <f>IF(B38="", "",
    IF(OR(M38="OVER", S38="OVER", Y38="OVER", AE38="OVER", AK38="OVER"),
        "OVER",
        IF(Info!$B$4="Non-board program",
            VLOOKUP(IFERROR(FLOOR(SUM((M38*$M$4), (S38*$S$4), (Y38*$Y$4), (AE38*$AE$4), (AK38*$AK$4)) * (100 / 60), 1), 0), new_transmute, 2, FALSE),
            IF(Info!$B$4="Board program",
                VLOOKUP(IFERROR(FLOOR(SUM((M38*$M$4), (S38*$S$4), (Y38*$Y$4), (AE38*$AE$4), (AK38*$AK$4)) * (100 / 60), 1), 0), new_transmute, 3, FALSE),
                IF(Info!$B$4="Board program (Medicine)",
                    VLOOKUP(IFERROR(FLOOR(SUM((M38*$M$4), (S38*$S$4), (Y38*$Y$4), (AE38*$AE$4), (AK38*$AK$4)) * (100 / 60), 1), 0), new_transmute, 4, FALSE),
                    ""
                )
            )
        )
    )
)</f>
        <v/>
      </c>
      <c r="AM38" s="14" t="str">
        <f>IF($B38="","",
IF(AM$5="","",
IF(Midterm!AM38="",0,
IF(NOT(ISNUMBER(Midterm!AM38)),"NAN",
IF(Midterm!AM38&lt;0,"NEG",
IF(Midterm!AM38&gt;AM$5,"OVER",
IF(AND(AM$5&lt;=100,Midterm!AM38&gt;100),"ERR",
IF(Info!$B$4="Non-board program",
IF(OR(AND(AM$5&gt;0,AM$5&gt;100),AND(AM$5&gt;0,AM$5&lt;100)),
VLOOKUP(FLOOR((Midterm!AM38/AM$5)*100,1),new_transmute,2,FALSE),
VLOOKUP(Midterm!AM38,new_transmute,2,FALSE)
),
IF(Info!$B$4="Board program",
IF(OR(AND(AM$5&gt;0,AM$5&gt;100),AND(AM$5&gt;0,AM$5&lt;100)),
VLOOKUP(FLOOR((Midterm!AM38/AM$5)*100,1),new_transmute,3,FALSE),
VLOOKUP(Midterm!AM38,new_transmute,3,FALSE)
),
IF(Info!$B$4="Board program (Medicine)",
IF(OR(AND(AM$5&gt;0,AM$5&gt;100),AND(AM$5&gt;0,AM$5&lt;100)),
VLOOKUP(FLOOR((Midterm!AM38/AM$5)*100,1),new_transmute,4,FALSE),
VLOOKUP(Midterm!AM38,new_transmute,4,FALSE)
),
""
)
)
)
)
)
)
)
)
))</f>
        <v/>
      </c>
      <c r="AN38" s="14" t="str">
        <f>IF($B38="","",
IF(AN$5="","",
IF(Midterm!AN38="",0,
IF(NOT(ISNUMBER(Midterm!AN38)),"NAN",
IF(Midterm!AN38&lt;0,"NEG",
IF(Midterm!AN38&gt;AN$5,"OVER",
IF(AND(AN$5&lt;=100,Midterm!AN38&gt;100),"ERR",
IF(Info!$B$4="Non-board program",
IF(OR(AND(AN$5&gt;0,AN$5&gt;100),AND(AN$5&gt;0,AN$5&lt;100)),
VLOOKUP(FLOOR((Midterm!AN38/AN$5)*100,1),new_transmute,2,FALSE),
VLOOKUP(Midterm!AN38,new_transmute,2,FALSE)
),
IF(Info!$B$4="Board program",
IF(OR(AND(AN$5&gt;0,AN$5&gt;100),AND(AN$5&gt;0,AN$5&lt;100)),
VLOOKUP(FLOOR((Midterm!AN38/AN$5)*100,1),new_transmute,3,FALSE),
VLOOKUP(Midterm!AN38,new_transmute,3,FALSE)
),
IF(Info!$B$4="Board program (Medicine)",
IF(OR(AND(AN$5&gt;0,AN$5&gt;100),AND(AN$5&gt;0,AN$5&lt;100)),
VLOOKUP(FLOOR((Midterm!AN38/AN$5)*100,1),new_transmute,4,FALSE),
VLOOKUP(Midterm!AN38,new_transmute,4,FALSE)
),
""
)
)
)
)
)
)
)
)
))</f>
        <v/>
      </c>
      <c r="AO38" s="14" t="str">
        <f>IF($B38="","",
IF(AO$5="","",
IF(Midterm!AO38="",0,
IF(NOT(ISNUMBER(Midterm!AO38)),"NAN",
IF(Midterm!AO38&lt;0,"NEG",
IF(Midterm!AO38&gt;AO$5,"OVER",
IF(AND(AO$5&lt;=100,Midterm!AO38&gt;100),"ERR",
IF(Info!$B$4="Non-board program",
IF(OR(AND(AO$5&gt;0,AO$5&gt;100),AND(AO$5&gt;0,AO$5&lt;100)),
VLOOKUP(FLOOR((Midterm!AO38/AO$5)*100,1),new_transmute,2,FALSE),
VLOOKUP(Midterm!AO38,new_transmute,2,FALSE)
),
IF(Info!$B$4="Board program",
IF(OR(AND(AO$5&gt;0,AO$5&gt;100),AND(AO$5&gt;0,AO$5&lt;100)),
VLOOKUP(FLOOR((Midterm!AO38/AO$5)*100,1),new_transmute,3,FALSE),
VLOOKUP(Midterm!AO38,new_transmute,3,FALSE)
),
IF(Info!$B$4="Board program (Medicine)",
IF(OR(AND(AO$5&gt;0,AO$5&gt;100),AND(AO$5&gt;0,AO$5&lt;100)),
VLOOKUP(FLOOR((Midterm!AO38/AO$5)*100,1),new_transmute,4,FALSE),
VLOOKUP(Midterm!AO38,new_transmute,4,FALSE)
),
""
)
)
)
)
)
)
)
)
))</f>
        <v/>
      </c>
      <c r="AP38" s="14" t="str">
        <f>IF($B38="","",
IF(AP$5="","",
IF(Midterm!AP38="",0,
IF(NOT(ISNUMBER(Midterm!AP38)),"NAN",
IF(Midterm!AP38&lt;0,"NEG",
IF(Midterm!AP38&gt;AP$5,"OVER",
IF(AND(AP$5&lt;=100,Midterm!AP38&gt;100),"ERR",
IF(Info!$B$4="Non-board program",
IF(OR(AND(AP$5&gt;0,AP$5&gt;100),AND(AP$5&gt;0,AP$5&lt;100)),
VLOOKUP(FLOOR((Midterm!AP38/AP$5)*100,1),new_transmute,2,FALSE),
VLOOKUP(Midterm!AP38,new_transmute,2,FALSE)
),
IF(Info!$B$4="Board program",
IF(OR(AND(AP$5&gt;0,AP$5&gt;100),AND(AP$5&gt;0,AP$5&lt;100)),
VLOOKUP(FLOOR((Midterm!AP38/AP$5)*100,1),new_transmute,3,FALSE),
VLOOKUP(Midterm!AP38,new_transmute,3,FALSE)
),
IF(Info!$B$4="Board program (Medicine)",
IF(OR(AND(AP$5&gt;0,AP$5&gt;100),AND(AP$5&gt;0,AP$5&lt;100)),
VLOOKUP(FLOOR((Midterm!AP38/AP$5)*100,1),new_transmute,4,FALSE),
VLOOKUP(Midterm!AP38,new_transmute,4,FALSE)
),
""
)
)
)
)
)
)
)
)
))</f>
        <v/>
      </c>
      <c r="AQ38" s="61" t="str">
        <f t="shared" si="7"/>
        <v/>
      </c>
      <c r="AR38" s="48" t="str">
        <f>IF(Midterm!AR38="","",Midterm!AR38)</f>
        <v/>
      </c>
      <c r="AS38" s="165" t="str">
        <f t="shared" si="8"/>
        <v/>
      </c>
      <c r="AT38" s="14" t="str">
        <f t="shared" ref="AT38:AT69" si="9">IF(B38="", "",
    IF(AS38="ERR", "ERR",
        IF(AS38="DRP",
            VLOOKUP(AS38, Equivalent, 1, FALSE),
            IF(AS38="WF",
                VLOOKUP(AS38, Equivalent, 1, FALSE),
                IF(E38="FA",
                    VLOOKUP(E38, Equivalent, 1, FALSE),
                    IF(AS38&lt;60,
                        5,
                        VLOOKUP(FLOOR(AS38, 1), Equivalent, 2, FALSE)
                    )
                )
            )
        )
    )
)</f>
        <v/>
      </c>
      <c r="AU38" s="14" t="str">
        <f>IF(B38="","",VLOOKUP(AT38,'New Grade Equivalent'!$B$3:$C$47,2,FALSE))</f>
        <v/>
      </c>
    </row>
    <row r="39" spans="1:47" x14ac:dyDescent="0.25">
      <c r="A39" s="8">
        <v>34</v>
      </c>
      <c r="B39" s="2" t="str">
        <f>IF('Student List'!C43="","",UPPER(LEFT('Student List'!C43,FIND(",",'Student List'!C43)-1)))</f>
        <v/>
      </c>
      <c r="C39" s="12" t="str">
        <f>IF('Student List'!C43="","",PROPER(MID('Student List'!C43, FIND(",", 'Student List'!C43) + 2, LEN('Student List'!C43) - FIND(",", 'Student List'!C43) - 1)))</f>
        <v/>
      </c>
      <c r="D39" s="127" t="str">
        <f>IF(B39="","",IF(Midterm!D39="", "NA", Midterm!D39))</f>
        <v/>
      </c>
      <c r="E39" s="8" t="str">
        <f>IF(B39="","",
  IF(Info!$B$5="First Year",
    IF(D39="Yes", "DRP",
      IF(D39="No", "WF", "")
    )
  )
)</f>
        <v/>
      </c>
      <c r="F39" s="14" t="str">
        <f>IF($B39="","",
IF(F$5="","",
IF(Midterm!F39="",0,
IF(NOT(ISNUMBER(Midterm!F39)),"NAN",
IF(Midterm!F39&lt;0,"NEG",
IF(Midterm!F39&gt;F$5,"OVER",
IF(AND(F$5&lt;=100,Midterm!F39&gt;100),"ERR",
IF(Info!$B$4="Non-board program",
IF(OR(AND(F$5&gt;0,F$5&gt;100),AND(F$5&gt;0,F$5&lt;100)),
VLOOKUP(FLOOR((Midterm!F39/F$5)*100,1),new_transmute,2,FALSE),
VLOOKUP(Midterm!F39,new_transmute,2,FALSE)
),
IF(Info!$B$4="Board program",
IF(OR(AND(F$5&gt;0,F$5&gt;100),AND(F$5&gt;0,F$5&lt;100)),
VLOOKUP(FLOOR((Midterm!F39/F$5)*100,1),new_transmute,3,FALSE),
VLOOKUP(Midterm!F39,new_transmute,3,FALSE)
),
IF(Info!$B$4="Board program (Medicine)",
IF(OR(AND(F$5&gt;0,F$5&gt;100),AND(F$5&gt;0,F$5&lt;100)),
VLOOKUP(FLOOR((Midterm!F39/F$5)*100,1),new_transmute,4,FALSE),
VLOOKUP(Midterm!F39,new_transmute,4,FALSE)
),
""
)
)
)
)
)
)
)
)
))</f>
        <v/>
      </c>
      <c r="G39" s="57" t="str">
        <f t="shared" si="1"/>
        <v/>
      </c>
      <c r="H39" s="14" t="str">
        <f>IF($B39="","",
IF(H$5="","",
IF(Midterm!H39="",0,
IF(NOT(ISNUMBER(Midterm!H39)),"NAN",
IF(Midterm!H39&lt;0,"NEG",
IF(Midterm!H39&gt;H$5,"OVER",
IF(AND(H$5&lt;=100,Midterm!H39&gt;100),"ERR",
IF(Info!$B$4="Non-board program",
IF(OR(AND(H$5&gt;0,H$5&gt;100),AND(H$5&gt;0,H$5&lt;100)),
VLOOKUP(FLOOR((Midterm!H39/H$5)*100,1),new_transmute,2,FALSE),
VLOOKUP(Midterm!H39,new_transmute,2,FALSE)
),
IF(Info!$B$4="Board program",
IF(OR(AND(H$5&gt;0,H$5&gt;100),AND(H$5&gt;0,H$5&lt;100)),
VLOOKUP(FLOOR((Midterm!H39/H$5)*100,1),new_transmute,3,FALSE),
VLOOKUP(Midterm!H39,new_transmute,3,FALSE)
),
IF(Info!$B$4="Board program (Medicine)",
IF(OR(AND(H$5&gt;0,H$5&gt;100),AND(H$5&gt;0,H$5&lt;100)),
VLOOKUP(FLOOR((Midterm!H39/H$5)*100,1),new_transmute,4,FALSE),
VLOOKUP(Midterm!H39,new_transmute,4,FALSE)
),
""
)
)
)
)
)
)
)
)
))</f>
        <v/>
      </c>
      <c r="I39" s="14" t="str">
        <f>IF($B39="","",
IF(I$5="","",
IF(Midterm!I39="",0,
IF(NOT(ISNUMBER(Midterm!I39)),"NAN",
IF(Midterm!I39&lt;0,"NEG",
IF(Midterm!I39&gt;I$5,"OVER",
IF(AND(I$5&lt;=100,Midterm!I39&gt;100),"ERR",
IF(Info!$B$4="Non-board program",
IF(OR(AND(I$5&gt;0,I$5&gt;100),AND(I$5&gt;0,I$5&lt;100)),
VLOOKUP(FLOOR((Midterm!I39/I$5)*100,1),new_transmute,2,FALSE),
VLOOKUP(Midterm!I39,new_transmute,2,FALSE)
),
IF(Info!$B$4="Board program",
IF(OR(AND(I$5&gt;0,I$5&gt;100),AND(I$5&gt;0,I$5&lt;100)),
VLOOKUP(FLOOR((Midterm!I39/I$5)*100,1),new_transmute,3,FALSE),
VLOOKUP(Midterm!I39,new_transmute,3,FALSE)
),
IF(Info!$B$4="Board program (Medicine)",
IF(OR(AND(I$5&gt;0,I$5&gt;100),AND(I$5&gt;0,I$5&lt;100)),
VLOOKUP(FLOOR((Midterm!I39/I$5)*100,1),new_transmute,4,FALSE),
VLOOKUP(Midterm!I39,new_transmute,4,FALSE)
),
""
)
)
)
)
)
)
)
)
))</f>
        <v/>
      </c>
      <c r="J39" s="14" t="str">
        <f>IF($B39="","",
IF(J$5="","",
IF(Midterm!J39="",0,
IF(NOT(ISNUMBER(Midterm!J39)),"NAN",
IF(Midterm!J39&lt;0,"NEG",
IF(Midterm!J39&gt;J$5,"OVER",
IF(AND(J$5&lt;=100,Midterm!J39&gt;100),"ERR",
IF(Info!$B$4="Non-board program",
IF(OR(AND(J$5&gt;0,J$5&gt;100),AND(J$5&gt;0,J$5&lt;100)),
VLOOKUP(FLOOR((Midterm!J39/J$5)*100,1),new_transmute,2,FALSE),
VLOOKUP(Midterm!J39,new_transmute,2,FALSE)
),
IF(Info!$B$4="Board program",
IF(OR(AND(J$5&gt;0,J$5&gt;100),AND(J$5&gt;0,J$5&lt;100)),
VLOOKUP(FLOOR((Midterm!J39/J$5)*100,1),new_transmute,3,FALSE),
VLOOKUP(Midterm!J39,new_transmute,3,FALSE)
),
IF(Info!$B$4="Board program (Medicine)",
IF(OR(AND(J$5&gt;0,J$5&gt;100),AND(J$5&gt;0,J$5&lt;100)),
VLOOKUP(FLOOR((Midterm!J39/J$5)*100,1),new_transmute,4,FALSE),
VLOOKUP(Midterm!J39,new_transmute,4,FALSE)
),
""
)
)
)
)
)
)
)
)
))</f>
        <v/>
      </c>
      <c r="K39" s="14" t="str">
        <f>IF($B39="","",
IF(K$5="","",
IF(Midterm!K39="",0,
IF(NOT(ISNUMBER(Midterm!K39)),"NAN",
IF(Midterm!K39&lt;0,"NEG",
IF(Midterm!K39&gt;K$5,"OVER",
IF(AND(K$5&lt;=100,Midterm!K39&gt;100),"ERR",
IF(Info!$B$4="Non-board program",
IF(OR(AND(K$5&gt;0,K$5&gt;100),AND(K$5&gt;0,K$5&lt;100)),
VLOOKUP(FLOOR((Midterm!K39/K$5)*100,1),new_transmute,2,FALSE),
VLOOKUP(Midterm!K39,new_transmute,2,FALSE)
),
IF(Info!$B$4="Board program",
IF(OR(AND(K$5&gt;0,K$5&gt;100),AND(K$5&gt;0,K$5&lt;100)),
VLOOKUP(FLOOR((Midterm!K39/K$5)*100,1),new_transmute,3,FALSE),
VLOOKUP(Midterm!K39,new_transmute,3,FALSE)
),
IF(Info!$B$4="Board program (Medicine)",
IF(OR(AND(K$5&gt;0,K$5&gt;100),AND(K$5&gt;0,K$5&lt;100)),
VLOOKUP(FLOOR((Midterm!K39/K$5)*100,1),new_transmute,4,FALSE),
VLOOKUP(Midterm!K39,new_transmute,4,FALSE)
),
""
)
)
)
)
)
)
)
)
))</f>
        <v/>
      </c>
      <c r="L39" s="14" t="str">
        <f>IF($B39="","",
IF(L$5="","",
IF(Midterm!L39="",0,
IF(NOT(ISNUMBER(Midterm!L39)),"NAN",
IF(Midterm!L39&lt;0,"NEG",
IF(Midterm!L39&gt;L$5,"OVER",
IF(AND(L$5&lt;=100,Midterm!L39&gt;100),"ERR",
IF(Info!$B$4="Non-board program",
IF(OR(AND(L$5&gt;0,L$5&gt;100),AND(L$5&gt;0,L$5&lt;100)),
VLOOKUP(FLOOR((Midterm!L39/L$5)*100,1),new_transmute,2,FALSE),
VLOOKUP(Midterm!L39,new_transmute,2,FALSE)
),
IF(Info!$B$4="Board program",
IF(OR(AND(L$5&gt;0,L$5&gt;100),AND(L$5&gt;0,L$5&lt;100)),
VLOOKUP(FLOOR((Midterm!L39/L$5)*100,1),new_transmute,3,FALSE),
VLOOKUP(Midterm!L39,new_transmute,3,FALSE)
),
IF(Info!$B$4="Board program (Medicine)",
IF(OR(AND(L$5&gt;0,L$5&gt;100),AND(L$5&gt;0,L$5&lt;100)),
VLOOKUP(FLOOR((Midterm!L39/L$5)*100,1),new_transmute,4,FALSE),
VLOOKUP(Midterm!L39,new_transmute,4,FALSE)
),
""
)
)
)
)
)
)
)
)
))</f>
        <v/>
      </c>
      <c r="M39" s="111" t="str">
        <f t="shared" si="2"/>
        <v/>
      </c>
      <c r="N39" s="14" t="str">
        <f>IF($B39="","",
IF(N$5="","",
IF(Midterm!N39="",0,
IF(NOT(ISNUMBER(Midterm!N39)),"NAN",
IF(Midterm!N39&lt;0,"NEG",
IF(Midterm!N39&gt;N$5,"OVER",
IF(AND(N$5&lt;=100,Midterm!N39&gt;100),"ERR",
IF(Info!$B$4="Non-board program",
IF(OR(AND(N$5&gt;0,N$5&gt;100),AND(N$5&gt;0,N$5&lt;100)),
VLOOKUP(FLOOR((Midterm!N39/N$5)*100,1),new_transmute,2,FALSE),
VLOOKUP(Midterm!N39,new_transmute,2,FALSE)
),
IF(Info!$B$4="Board program",
IF(OR(AND(N$5&gt;0,N$5&gt;100),AND(N$5&gt;0,N$5&lt;100)),
VLOOKUP(FLOOR((Midterm!N39/N$5)*100,1),new_transmute,3,FALSE),
VLOOKUP(Midterm!N39,new_transmute,3,FALSE)
),
IF(Info!$B$4="Board program (Medicine)",
IF(OR(AND(N$5&gt;0,N$5&gt;100),AND(N$5&gt;0,N$5&lt;100)),
VLOOKUP(FLOOR((Midterm!N39/N$5)*100,1),new_transmute,4,FALSE),
VLOOKUP(Midterm!N39,new_transmute,4,FALSE)
),
""
)
)
)
)
)
)
)
)
))</f>
        <v/>
      </c>
      <c r="O39" s="14" t="str">
        <f>IF($B39="","",
IF(O$5="","",
IF(Midterm!O39="",0,
IF(NOT(ISNUMBER(Midterm!O39)),"NAN",
IF(Midterm!O39&lt;0,"NEG",
IF(Midterm!O39&gt;O$5,"OVER",
IF(AND(O$5&lt;=100,Midterm!O39&gt;100),"ERR",
IF(Info!$B$4="Non-board program",
IF(OR(AND(O$5&gt;0,O$5&gt;100),AND(O$5&gt;0,O$5&lt;100)),
VLOOKUP(FLOOR((Midterm!O39/O$5)*100,1),new_transmute,2,FALSE),
VLOOKUP(Midterm!O39,new_transmute,2,FALSE)
),
IF(Info!$B$4="Board program",
IF(OR(AND(O$5&gt;0,O$5&gt;100),AND(O$5&gt;0,O$5&lt;100)),
VLOOKUP(FLOOR((Midterm!O39/O$5)*100,1),new_transmute,3,FALSE),
VLOOKUP(Midterm!O39,new_transmute,3,FALSE)
),
IF(Info!$B$4="Board program (Medicine)",
IF(OR(AND(O$5&gt;0,O$5&gt;100),AND(O$5&gt;0,O$5&lt;100)),
VLOOKUP(FLOOR((Midterm!O39/O$5)*100,1),new_transmute,4,FALSE),
VLOOKUP(Midterm!O39,new_transmute,4,FALSE)
),
""
)
)
)
)
)
)
)
)
))</f>
        <v/>
      </c>
      <c r="P39" s="14" t="str">
        <f>IF($B39="","",
IF(P$5="","",
IF(Midterm!P39="",0,
IF(NOT(ISNUMBER(Midterm!P39)),"NAN",
IF(Midterm!P39&lt;0,"NEG",
IF(Midterm!P39&gt;P$5,"OVER",
IF(AND(P$5&lt;=100,Midterm!P39&gt;100),"ERR",
IF(Info!$B$4="Non-board program",
IF(OR(AND(P$5&gt;0,P$5&gt;100),AND(P$5&gt;0,P$5&lt;100)),
VLOOKUP(FLOOR((Midterm!P39/P$5)*100,1),new_transmute,2,FALSE),
VLOOKUP(Midterm!P39,new_transmute,2,FALSE)
),
IF(Info!$B$4="Board program",
IF(OR(AND(P$5&gt;0,P$5&gt;100),AND(P$5&gt;0,P$5&lt;100)),
VLOOKUP(FLOOR((Midterm!P39/P$5)*100,1),new_transmute,3,FALSE),
VLOOKUP(Midterm!P39,new_transmute,3,FALSE)
),
IF(Info!$B$4="Board program (Medicine)",
IF(OR(AND(P$5&gt;0,P$5&gt;100),AND(P$5&gt;0,P$5&lt;100)),
VLOOKUP(FLOOR((Midterm!P39/P$5)*100,1),new_transmute,4,FALSE),
VLOOKUP(Midterm!P39,new_transmute,4,FALSE)
),
""
)
)
)
)
)
)
)
)
))</f>
        <v/>
      </c>
      <c r="Q39" s="14" t="str">
        <f>IF($B39="","",
IF(Q$5="","",
IF(Midterm!Q39="",0,
IF(NOT(ISNUMBER(Midterm!Q39)),"NAN",
IF(Midterm!Q39&lt;0,"NEG",
IF(Midterm!Q39&gt;Q$5,"OVER",
IF(AND(Q$5&lt;=100,Midterm!Q39&gt;100),"ERR",
IF(Info!$B$4="Non-board program",
IF(OR(AND(Q$5&gt;0,Q$5&gt;100),AND(Q$5&gt;0,Q$5&lt;100)),
VLOOKUP(FLOOR((Midterm!Q39/Q$5)*100,1),new_transmute,2,FALSE),
VLOOKUP(Midterm!Q39,new_transmute,2,FALSE)
),
IF(Info!$B$4="Board program",
IF(OR(AND(Q$5&gt;0,Q$5&gt;100),AND(Q$5&gt;0,Q$5&lt;100)),
VLOOKUP(FLOOR((Midterm!Q39/Q$5)*100,1),new_transmute,3,FALSE),
VLOOKUP(Midterm!Q39,new_transmute,3,FALSE)
),
IF(Info!$B$4="Board program (Medicine)",
IF(OR(AND(Q$5&gt;0,Q$5&gt;100),AND(Q$5&gt;0,Q$5&lt;100)),
VLOOKUP(FLOOR((Midterm!Q39/Q$5)*100,1),new_transmute,4,FALSE),
VLOOKUP(Midterm!Q39,new_transmute,4,FALSE)
),
""
)
)
)
)
)
)
)
)
))</f>
        <v/>
      </c>
      <c r="R39" s="14" t="str">
        <f>IF($B39="","",
IF(R$5="","",
IF(Midterm!R39="",0,
IF(NOT(ISNUMBER(Midterm!R39)),"NAN",
IF(Midterm!R39&lt;0,"NEG",
IF(Midterm!R39&gt;R$5,"OVER",
IF(AND(R$5&lt;=100,Midterm!R39&gt;100),"ERR",
IF(Info!$B$4="Non-board program",
IF(OR(AND(R$5&gt;0,R$5&gt;100),AND(R$5&gt;0,R$5&lt;100)),
VLOOKUP(FLOOR((Midterm!R39/R$5)*100,1),new_transmute,2,FALSE),
VLOOKUP(Midterm!R39,new_transmute,2,FALSE)
),
IF(Info!$B$4="Board program",
IF(OR(AND(R$5&gt;0,R$5&gt;100),AND(R$5&gt;0,R$5&lt;100)),
VLOOKUP(FLOOR((Midterm!R39/R$5)*100,1),new_transmute,3,FALSE),
VLOOKUP(Midterm!R39,new_transmute,3,FALSE)
),
IF(Info!$B$4="Board program (Medicine)",
IF(OR(AND(R$5&gt;0,R$5&gt;100),AND(R$5&gt;0,R$5&lt;100)),
VLOOKUP(FLOOR((Midterm!R39/R$5)*100,1),new_transmute,4,FALSE),
VLOOKUP(Midterm!R39,new_transmute,4,FALSE)
),
""
)
)
)
)
)
)
)
)
))</f>
        <v/>
      </c>
      <c r="S39" s="115" t="str">
        <f t="shared" si="3"/>
        <v/>
      </c>
      <c r="T39" s="14" t="str">
        <f>IF($B39="","",
IF(T$5="","",
IF(Midterm!T39="",0,
IF(NOT(ISNUMBER(Midterm!T39)),"NAN",
IF(Midterm!T39&lt;0,"NEG",
IF(Midterm!T39&gt;T$5,"OVER",
IF(AND(T$5&lt;=100,Midterm!T39&gt;100),"ERR",
IF(Info!$B$4="Non-board program",
IF(OR(AND(T$5&gt;0,T$5&gt;100),AND(T$5&gt;0,T$5&lt;100)),
VLOOKUP(FLOOR((Midterm!T39/T$5)*100,1),new_transmute,2,FALSE),
VLOOKUP(Midterm!T39,new_transmute,2,FALSE)
),
IF(Info!$B$4="Board program",
IF(OR(AND(T$5&gt;0,T$5&gt;100),AND(T$5&gt;0,T$5&lt;100)),
VLOOKUP(FLOOR((Midterm!T39/T$5)*100,1),new_transmute,3,FALSE),
VLOOKUP(Midterm!T39,new_transmute,3,FALSE)
),
IF(Info!$B$4="Board program (Medicine)",
IF(OR(AND(T$5&gt;0,T$5&gt;100),AND(T$5&gt;0,T$5&lt;100)),
VLOOKUP(FLOOR((Midterm!T39/T$5)*100,1),new_transmute,4,FALSE),
VLOOKUP(Midterm!T39,new_transmute,4,FALSE)
),
""
)
)
)
)
)
)
)
)
))</f>
        <v/>
      </c>
      <c r="U39" s="14" t="str">
        <f>IF($B39="","",
IF(U$5="","",
IF(Midterm!U39="",0,
IF(NOT(ISNUMBER(Midterm!U39)),"NAN",
IF(Midterm!U39&lt;0,"NEG",
IF(Midterm!U39&gt;U$5,"OVER",
IF(AND(U$5&lt;=100,Midterm!U39&gt;100),"ERR",
IF(Info!$B$4="Non-board program",
IF(OR(AND(U$5&gt;0,U$5&gt;100),AND(U$5&gt;0,U$5&lt;100)),
VLOOKUP(FLOOR((Midterm!U39/U$5)*100,1),new_transmute,2,FALSE),
VLOOKUP(Midterm!U39,new_transmute,2,FALSE)
),
IF(Info!$B$4="Board program",
IF(OR(AND(U$5&gt;0,U$5&gt;100),AND(U$5&gt;0,U$5&lt;100)),
VLOOKUP(FLOOR((Midterm!U39/U$5)*100,1),new_transmute,3,FALSE),
VLOOKUP(Midterm!U39,new_transmute,3,FALSE)
),
IF(Info!$B$4="Board program (Medicine)",
IF(OR(AND(U$5&gt;0,U$5&gt;100),AND(U$5&gt;0,U$5&lt;100)),
VLOOKUP(FLOOR((Midterm!U39/U$5)*100,1),new_transmute,4,FALSE),
VLOOKUP(Midterm!U39,new_transmute,4,FALSE)
),
""
)
)
)
)
)
)
)
)
))</f>
        <v/>
      </c>
      <c r="V39" s="14" t="str">
        <f>IF($B39="","",
IF(V$5="","",
IF(Midterm!V39="",0,
IF(NOT(ISNUMBER(Midterm!V39)),"NAN",
IF(Midterm!V39&lt;0,"NEG",
IF(Midterm!V39&gt;V$5,"OVER",
IF(AND(V$5&lt;=100,Midterm!V39&gt;100),"ERR",
IF(Info!$B$4="Non-board program",
IF(OR(AND(V$5&gt;0,V$5&gt;100),AND(V$5&gt;0,V$5&lt;100)),
VLOOKUP(FLOOR((Midterm!V39/V$5)*100,1),new_transmute,2,FALSE),
VLOOKUP(Midterm!V39,new_transmute,2,FALSE)
),
IF(Info!$B$4="Board program",
IF(OR(AND(V$5&gt;0,V$5&gt;100),AND(V$5&gt;0,V$5&lt;100)),
VLOOKUP(FLOOR((Midterm!V39/V$5)*100,1),new_transmute,3,FALSE),
VLOOKUP(Midterm!V39,new_transmute,3,FALSE)
),
IF(Info!$B$4="Board program (Medicine)",
IF(OR(AND(V$5&gt;0,V$5&gt;100),AND(V$5&gt;0,V$5&lt;100)),
VLOOKUP(FLOOR((Midterm!V39/V$5)*100,1),new_transmute,4,FALSE),
VLOOKUP(Midterm!V39,new_transmute,4,FALSE)
),
""
)
)
)
)
)
)
)
)
))</f>
        <v/>
      </c>
      <c r="W39" s="14" t="str">
        <f>IF($B39="","",
IF(W$5="","",
IF(Midterm!W39="",0,
IF(NOT(ISNUMBER(Midterm!W39)),"NAN",
IF(Midterm!W39&lt;0,"NEG",
IF(Midterm!W39&gt;W$5,"OVER",
IF(AND(W$5&lt;=100,Midterm!W39&gt;100),"ERR",
IF(Info!$B$4="Non-board program",
IF(OR(AND(W$5&gt;0,W$5&gt;100),AND(W$5&gt;0,W$5&lt;100)),
VLOOKUP(FLOOR((Midterm!W39/W$5)*100,1),new_transmute,2,FALSE),
VLOOKUP(Midterm!W39,new_transmute,2,FALSE)
),
IF(Info!$B$4="Board program",
IF(OR(AND(W$5&gt;0,W$5&gt;100),AND(W$5&gt;0,W$5&lt;100)),
VLOOKUP(FLOOR((Midterm!W39/W$5)*100,1),new_transmute,3,FALSE),
VLOOKUP(Midterm!W39,new_transmute,3,FALSE)
),
IF(Info!$B$4="Board program (Medicine)",
IF(OR(AND(W$5&gt;0,W$5&gt;100),AND(W$5&gt;0,W$5&lt;100)),
VLOOKUP(FLOOR((Midterm!W39/W$5)*100,1),new_transmute,4,FALSE),
VLOOKUP(Midterm!W39,new_transmute,4,FALSE)
),
""
)
)
)
)
)
)
)
)
))</f>
        <v/>
      </c>
      <c r="X39" s="14" t="str">
        <f>IF($B39="","",
IF(X$5="","",
IF(Midterm!X39="",0,
IF(NOT(ISNUMBER(Midterm!X39)),"NAN",
IF(Midterm!X39&lt;0,"NEG",
IF(Midterm!X39&gt;X$5,"OVER",
IF(AND(X$5&lt;=100,Midterm!X39&gt;100),"ERR",
IF(Info!$B$4="Non-board program",
IF(OR(AND(X$5&gt;0,X$5&gt;100),AND(X$5&gt;0,X$5&lt;100)),
VLOOKUP(FLOOR((Midterm!X39/X$5)*100,1),new_transmute,2,FALSE),
VLOOKUP(Midterm!X39,new_transmute,2,FALSE)
),
IF(Info!$B$4="Board program",
IF(OR(AND(X$5&gt;0,X$5&gt;100),AND(X$5&gt;0,X$5&lt;100)),
VLOOKUP(FLOOR((Midterm!X39/X$5)*100,1),new_transmute,3,FALSE),
VLOOKUP(Midterm!X39,new_transmute,3,FALSE)
),
IF(Info!$B$4="Board program (Medicine)",
IF(OR(AND(X$5&gt;0,X$5&gt;100),AND(X$5&gt;0,X$5&lt;100)),
VLOOKUP(FLOOR((Midterm!X39/X$5)*100,1),new_transmute,4,FALSE),
VLOOKUP(Midterm!X39,new_transmute,4,FALSE)
),
""
)
)
)
)
)
)
)
)
))</f>
        <v/>
      </c>
      <c r="Y39" s="112" t="str">
        <f t="shared" si="4"/>
        <v/>
      </c>
      <c r="Z39" s="14" t="str">
        <f>IF($B39="","",
IF(Z$5="","",
IF(Midterm!Z39="",0,
IF(NOT(ISNUMBER(Midterm!Z39)),"NAN",
IF(Midterm!Z39&lt;0,"NEG",
IF(Midterm!Z39&gt;Z$5,"OVER",
IF(AND(Z$5&lt;=100,Midterm!Z39&gt;100),"ERR",
IF(Info!$B$4="Non-board program",
IF(OR(AND(Z$5&gt;0,Z$5&gt;100),AND(Z$5&gt;0,Z$5&lt;100)),
VLOOKUP(FLOOR((Midterm!Z39/Z$5)*100,1),new_transmute,2,FALSE),
VLOOKUP(Midterm!Z39,new_transmute,2,FALSE)
),
IF(Info!$B$4="Board program",
IF(OR(AND(Z$5&gt;0,Z$5&gt;100),AND(Z$5&gt;0,Z$5&lt;100)),
VLOOKUP(FLOOR((Midterm!Z39/Z$5)*100,1),new_transmute,3,FALSE),
VLOOKUP(Midterm!Z39,new_transmute,3,FALSE)
),
IF(Info!$B$4="Board program (Medicine)",
IF(OR(AND(Z$5&gt;0,Z$5&gt;100),AND(Z$5&gt;0,Z$5&lt;100)),
VLOOKUP(FLOOR((Midterm!Z39/Z$5)*100,1),new_transmute,4,FALSE),
VLOOKUP(Midterm!Z39,new_transmute,4,FALSE)
),
""
)
)
)
)
)
)
)
)
))</f>
        <v/>
      </c>
      <c r="AA39" s="14" t="str">
        <f>IF($B39="","",
IF(AA$5="","",
IF(Midterm!AA39="",0,
IF(NOT(ISNUMBER(Midterm!AA39)),"NAN",
IF(Midterm!AA39&lt;0,"NEG",
IF(Midterm!AA39&gt;AA$5,"OVER",
IF(AND(AA$5&lt;=100,Midterm!AA39&gt;100),"ERR",
IF(Info!$B$4="Non-board program",
IF(OR(AND(AA$5&gt;0,AA$5&gt;100),AND(AA$5&gt;0,AA$5&lt;100)),
VLOOKUP(FLOOR((Midterm!AA39/AA$5)*100,1),new_transmute,2,FALSE),
VLOOKUP(Midterm!AA39,new_transmute,2,FALSE)
),
IF(Info!$B$4="Board program",
IF(OR(AND(AA$5&gt;0,AA$5&gt;100),AND(AA$5&gt;0,AA$5&lt;100)),
VLOOKUP(FLOOR((Midterm!AA39/AA$5)*100,1),new_transmute,3,FALSE),
VLOOKUP(Midterm!AA39,new_transmute,3,FALSE)
),
IF(Info!$B$4="Board program (Medicine)",
IF(OR(AND(AA$5&gt;0,AA$5&gt;100),AND(AA$5&gt;0,AA$5&lt;100)),
VLOOKUP(FLOOR((Midterm!AA39/AA$5)*100,1),new_transmute,4,FALSE),
VLOOKUP(Midterm!AA39,new_transmute,4,FALSE)
),
""
)
)
)
)
)
)
)
)
))</f>
        <v/>
      </c>
      <c r="AB39" s="14" t="str">
        <f>IF($B39="","",
IF(AB$5="","",
IF(Midterm!AB39="",0,
IF(NOT(ISNUMBER(Midterm!AB39)),"NAN",
IF(Midterm!AB39&lt;0,"NEG",
IF(Midterm!AB39&gt;AB$5,"OVER",
IF(AND(AB$5&lt;=100,Midterm!AB39&gt;100),"ERR",
IF(Info!$B$4="Non-board program",
IF(OR(AND(AB$5&gt;0,AB$5&gt;100),AND(AB$5&gt;0,AB$5&lt;100)),
VLOOKUP(FLOOR((Midterm!AB39/AB$5)*100,1),new_transmute,2,FALSE),
VLOOKUP(Midterm!AB39,new_transmute,2,FALSE)
),
IF(Info!$B$4="Board program",
IF(OR(AND(AB$5&gt;0,AB$5&gt;100),AND(AB$5&gt;0,AB$5&lt;100)),
VLOOKUP(FLOOR((Midterm!AB39/AB$5)*100,1),new_transmute,3,FALSE),
VLOOKUP(Midterm!AB39,new_transmute,3,FALSE)
),
IF(Info!$B$4="Board program (Medicine)",
IF(OR(AND(AB$5&gt;0,AB$5&gt;100),AND(AB$5&gt;0,AB$5&lt;100)),
VLOOKUP(FLOOR((Midterm!AB39/AB$5)*100,1),new_transmute,4,FALSE),
VLOOKUP(Midterm!AB39,new_transmute,4,FALSE)
),
""
)
)
)
)
)
)
)
)
))</f>
        <v/>
      </c>
      <c r="AC39" s="14" t="str">
        <f>IF($B39="","",
IF(AC$5="","",
IF(Midterm!AC39="",0,
IF(NOT(ISNUMBER(Midterm!AC39)),"NAN",
IF(Midterm!AC39&lt;0,"NEG",
IF(Midterm!AC39&gt;AC$5,"OVER",
IF(AND(AC$5&lt;=100,Midterm!AC39&gt;100),"ERR",
IF(Info!$B$4="Non-board program",
IF(OR(AND(AC$5&gt;0,AC$5&gt;100),AND(AC$5&gt;0,AC$5&lt;100)),
VLOOKUP(FLOOR((Midterm!AC39/AC$5)*100,1),new_transmute,2,FALSE),
VLOOKUP(Midterm!AC39,new_transmute,2,FALSE)
),
IF(Info!$B$4="Board program",
IF(OR(AND(AC$5&gt;0,AC$5&gt;100),AND(AC$5&gt;0,AC$5&lt;100)),
VLOOKUP(FLOOR((Midterm!AC39/AC$5)*100,1),new_transmute,3,FALSE),
VLOOKUP(Midterm!AC39,new_transmute,3,FALSE)
),
IF(Info!$B$4="Board program (Medicine)",
IF(OR(AND(AC$5&gt;0,AC$5&gt;100),AND(AC$5&gt;0,AC$5&lt;100)),
VLOOKUP(FLOOR((Midterm!AC39/AC$5)*100,1),new_transmute,4,FALSE),
VLOOKUP(Midterm!AC39,new_transmute,4,FALSE)
),
""
)
)
)
)
)
)
)
)
))</f>
        <v/>
      </c>
      <c r="AD39" s="14" t="str">
        <f>IF($B39="","",
IF(AD$5="","",
IF(Midterm!AD39="",0,
IF(NOT(ISNUMBER(Midterm!AD39)),"NAN",
IF(Midterm!AD39&lt;0,"NEG",
IF(Midterm!AD39&gt;AD$5,"OVER",
IF(AND(AD$5&lt;=100,Midterm!AD39&gt;100),"ERR",
IF(Info!$B$4="Non-board program",
IF(OR(AND(AD$5&gt;0,AD$5&gt;100),AND(AD$5&gt;0,AD$5&lt;100)),
VLOOKUP(FLOOR((Midterm!AD39/AD$5)*100,1),new_transmute,2,FALSE),
VLOOKUP(Midterm!AD39,new_transmute,2,FALSE)
),
IF(Info!$B$4="Board program",
IF(OR(AND(AD$5&gt;0,AD$5&gt;100),AND(AD$5&gt;0,AD$5&lt;100)),
VLOOKUP(FLOOR((Midterm!AD39/AD$5)*100,1),new_transmute,3,FALSE),
VLOOKUP(Midterm!AD39,new_transmute,3,FALSE)
),
IF(Info!$B$4="Board program (Medicine)",
IF(OR(AND(AD$5&gt;0,AD$5&gt;100),AND(AD$5&gt;0,AD$5&lt;100)),
VLOOKUP(FLOOR((Midterm!AD39/AD$5)*100,1),new_transmute,4,FALSE),
VLOOKUP(Midterm!AD39,new_transmute,4,FALSE)
),
""
)
)
)
)
)
)
)
)
))</f>
        <v/>
      </c>
      <c r="AE39" s="58" t="str">
        <f t="shared" si="5"/>
        <v/>
      </c>
      <c r="AF39" s="14" t="str">
        <f>IF($B39="","",
IF(AF$5="","",
IF(Midterm!AF39="",0,
IF(NOT(ISNUMBER(Midterm!AF39)),"NAN",
IF(Midterm!AF39&lt;0,"NEG",
IF(Midterm!AF39&gt;AF$5,"OVER",
IF(AND(AF$5&lt;=100,Midterm!AF39&gt;100),"ERR",
IF(Info!$B$4="Non-board program",
IF(OR(AND(AF$5&gt;0,AF$5&gt;100),AND(AF$5&gt;0,AF$5&lt;100)),
VLOOKUP(FLOOR((Midterm!AF39/AF$5)*100,1),new_transmute,2,FALSE),
VLOOKUP(Midterm!AF39,new_transmute,2,FALSE)
),
IF(Info!$B$4="Board program",
IF(OR(AND(AF$5&gt;0,AF$5&gt;100),AND(AF$5&gt;0,AF$5&lt;100)),
VLOOKUP(FLOOR((Midterm!AF39/AF$5)*100,1),new_transmute,3,FALSE),
VLOOKUP(Midterm!AF39,new_transmute,3,FALSE)
),
IF(Info!$B$4="Board program (Medicine)",
IF(OR(AND(AF$5&gt;0,AF$5&gt;100),AND(AF$5&gt;0,AF$5&lt;100)),
VLOOKUP(FLOOR((Midterm!AF39/AF$5)*100,1),new_transmute,4,FALSE),
VLOOKUP(Midterm!AF39,new_transmute,4,FALSE)
),
""
)
)
)
)
)
)
)
)
))</f>
        <v/>
      </c>
      <c r="AG39" s="14" t="str">
        <f>IF($B39="","",
IF(AG$5="","",
IF(Midterm!AG39="",0,
IF(NOT(ISNUMBER(Midterm!AG39)),"NAN",
IF(Midterm!AG39&lt;0,"NEG",
IF(Midterm!AG39&gt;AG$5,"OVER",
IF(AND(AG$5&lt;=100,Midterm!AG39&gt;100),"ERR",
IF(Info!$B$4="Non-board program",
IF(OR(AND(AG$5&gt;0,AG$5&gt;100),AND(AG$5&gt;0,AG$5&lt;100)),
VLOOKUP(FLOOR((Midterm!AG39/AG$5)*100,1),new_transmute,2,FALSE),
VLOOKUP(Midterm!AG39,new_transmute,2,FALSE)
),
IF(Info!$B$4="Board program",
IF(OR(AND(AG$5&gt;0,AG$5&gt;100),AND(AG$5&gt;0,AG$5&lt;100)),
VLOOKUP(FLOOR((Midterm!AG39/AG$5)*100,1),new_transmute,3,FALSE),
VLOOKUP(Midterm!AG39,new_transmute,3,FALSE)
),
IF(Info!$B$4="Board program (Medicine)",
IF(OR(AND(AG$5&gt;0,AG$5&gt;100),AND(AG$5&gt;0,AG$5&lt;100)),
VLOOKUP(FLOOR((Midterm!AG39/AG$5)*100,1),new_transmute,4,FALSE),
VLOOKUP(Midterm!AG39,new_transmute,4,FALSE)
),
""
)
)
)
)
)
)
)
)
))</f>
        <v/>
      </c>
      <c r="AH39" s="14" t="str">
        <f>IF($B39="","",
IF(AH$5="","",
IF(Midterm!AH39="",0,
IF(NOT(ISNUMBER(Midterm!AH39)),"NAN",
IF(Midterm!AH39&lt;0,"NEG",
IF(Midterm!AH39&gt;AH$5,"OVER",
IF(AND(AH$5&lt;=100,Midterm!AH39&gt;100),"ERR",
IF(Info!$B$4="Non-board program",
IF(OR(AND(AH$5&gt;0,AH$5&gt;100),AND(AH$5&gt;0,AH$5&lt;100)),
VLOOKUP(FLOOR((Midterm!AH39/AH$5)*100,1),new_transmute,2,FALSE),
VLOOKUP(Midterm!AH39,new_transmute,2,FALSE)
),
IF(Info!$B$4="Board program",
IF(OR(AND(AH$5&gt;0,AH$5&gt;100),AND(AH$5&gt;0,AH$5&lt;100)),
VLOOKUP(FLOOR((Midterm!AH39/AH$5)*100,1),new_transmute,3,FALSE),
VLOOKUP(Midterm!AH39,new_transmute,3,FALSE)
),
IF(Info!$B$4="Board program (Medicine)",
IF(OR(AND(AH$5&gt;0,AH$5&gt;100),AND(AH$5&gt;0,AH$5&lt;100)),
VLOOKUP(FLOOR((Midterm!AH39/AH$5)*100,1),new_transmute,4,FALSE),
VLOOKUP(Midterm!AH39,new_transmute,4,FALSE)
),
""
)
)
)
)
)
)
)
)
))</f>
        <v/>
      </c>
      <c r="AI39" s="14" t="str">
        <f>IF($B39="","",
IF(AI$5="","",
IF(Midterm!AI39="",0,
IF(NOT(ISNUMBER(Midterm!AI39)),"NAN",
IF(Midterm!AI39&lt;0,"NEG",
IF(Midterm!AI39&gt;AI$5,"OVER",
IF(AND(AI$5&lt;=100,Midterm!AI39&gt;100),"ERR",
IF(Info!$B$4="Non-board program",
IF(OR(AND(AI$5&gt;0,AI$5&gt;100),AND(AI$5&gt;0,AI$5&lt;100)),
VLOOKUP(FLOOR((Midterm!AI39/AI$5)*100,1),new_transmute,2,FALSE),
VLOOKUP(Midterm!AI39,new_transmute,2,FALSE)
),
IF(Info!$B$4="Board program",
IF(OR(AND(AI$5&gt;0,AI$5&gt;100),AND(AI$5&gt;0,AI$5&lt;100)),
VLOOKUP(FLOOR((Midterm!AI39/AI$5)*100,1),new_transmute,3,FALSE),
VLOOKUP(Midterm!AI39,new_transmute,3,FALSE)
),
IF(Info!$B$4="Board program (Medicine)",
IF(OR(AND(AI$5&gt;0,AI$5&gt;100),AND(AI$5&gt;0,AI$5&lt;100)),
VLOOKUP(FLOOR((Midterm!AI39/AI$5)*100,1),new_transmute,4,FALSE),
VLOOKUP(Midterm!AI39,new_transmute,4,FALSE)
),
""
)
)
)
)
)
)
)
)
))</f>
        <v/>
      </c>
      <c r="AJ39" s="14" t="str">
        <f>IF($B39="","",
IF(AJ$5="","",
IF(Midterm!AJ39="",0,
IF(NOT(ISNUMBER(Midterm!AJ39)),"NAN",
IF(Midterm!AJ39&lt;0,"NEG",
IF(Midterm!AJ39&gt;AJ$5,"OVER",
IF(AND(AJ$5&lt;=100,Midterm!AJ39&gt;100),"ERR",
IF(Info!$B$4="Non-board program",
IF(OR(AND(AJ$5&gt;0,AJ$5&gt;100),AND(AJ$5&gt;0,AJ$5&lt;100)),
VLOOKUP(FLOOR((Midterm!AJ39/AJ$5)*100,1),new_transmute,2,FALSE),
VLOOKUP(Midterm!AJ39,new_transmute,2,FALSE)
),
IF(Info!$B$4="Board program",
IF(OR(AND(AJ$5&gt;0,AJ$5&gt;100),AND(AJ$5&gt;0,AJ$5&lt;100)),
VLOOKUP(FLOOR((Midterm!AJ39/AJ$5)*100,1),new_transmute,3,FALSE),
VLOOKUP(Midterm!AJ39,new_transmute,3,FALSE)
),
IF(Info!$B$4="Board program (Medicine)",
IF(OR(AND(AJ$5&gt;0,AJ$5&gt;100),AND(AJ$5&gt;0,AJ$5&lt;100)),
VLOOKUP(FLOOR((Midterm!AJ39/AJ$5)*100,1),new_transmute,4,FALSE),
VLOOKUP(Midterm!AJ39,new_transmute,4,FALSE)
),
""
)
)
)
)
)
)
)
)
))</f>
        <v/>
      </c>
      <c r="AK39" s="59" t="str">
        <f t="shared" si="6"/>
        <v/>
      </c>
      <c r="AL39" s="60" t="str">
        <f>IF(B39="", "",
    IF(OR(M39="OVER", S39="OVER", Y39="OVER", AE39="OVER", AK39="OVER"),
        "OVER",
        IF(Info!$B$4="Non-board program",
            VLOOKUP(IFERROR(FLOOR(SUM((M39*$M$4), (S39*$S$4), (Y39*$Y$4), (AE39*$AE$4), (AK39*$AK$4)) * (100 / 60), 1), 0), new_transmute, 2, FALSE),
            IF(Info!$B$4="Board program",
                VLOOKUP(IFERROR(FLOOR(SUM((M39*$M$4), (S39*$S$4), (Y39*$Y$4), (AE39*$AE$4), (AK39*$AK$4)) * (100 / 60), 1), 0), new_transmute, 3, FALSE),
                IF(Info!$B$4="Board program (Medicine)",
                    VLOOKUP(IFERROR(FLOOR(SUM((M39*$M$4), (S39*$S$4), (Y39*$Y$4), (AE39*$AE$4), (AK39*$AK$4)) * (100 / 60), 1), 0), new_transmute, 4, FALSE),
                    ""
                )
            )
        )
    )
)</f>
        <v/>
      </c>
      <c r="AM39" s="14" t="str">
        <f>IF($B39="","",
IF(AM$5="","",
IF(Midterm!AM39="",0,
IF(NOT(ISNUMBER(Midterm!AM39)),"NAN",
IF(Midterm!AM39&lt;0,"NEG",
IF(Midterm!AM39&gt;AM$5,"OVER",
IF(AND(AM$5&lt;=100,Midterm!AM39&gt;100),"ERR",
IF(Info!$B$4="Non-board program",
IF(OR(AND(AM$5&gt;0,AM$5&gt;100),AND(AM$5&gt;0,AM$5&lt;100)),
VLOOKUP(FLOOR((Midterm!AM39/AM$5)*100,1),new_transmute,2,FALSE),
VLOOKUP(Midterm!AM39,new_transmute,2,FALSE)
),
IF(Info!$B$4="Board program",
IF(OR(AND(AM$5&gt;0,AM$5&gt;100),AND(AM$5&gt;0,AM$5&lt;100)),
VLOOKUP(FLOOR((Midterm!AM39/AM$5)*100,1),new_transmute,3,FALSE),
VLOOKUP(Midterm!AM39,new_transmute,3,FALSE)
),
IF(Info!$B$4="Board program (Medicine)",
IF(OR(AND(AM$5&gt;0,AM$5&gt;100),AND(AM$5&gt;0,AM$5&lt;100)),
VLOOKUP(FLOOR((Midterm!AM39/AM$5)*100,1),new_transmute,4,FALSE),
VLOOKUP(Midterm!AM39,new_transmute,4,FALSE)
),
""
)
)
)
)
)
)
)
)
))</f>
        <v/>
      </c>
      <c r="AN39" s="14" t="str">
        <f>IF($B39="","",
IF(AN$5="","",
IF(Midterm!AN39="",0,
IF(NOT(ISNUMBER(Midterm!AN39)),"NAN",
IF(Midterm!AN39&lt;0,"NEG",
IF(Midterm!AN39&gt;AN$5,"OVER",
IF(AND(AN$5&lt;=100,Midterm!AN39&gt;100),"ERR",
IF(Info!$B$4="Non-board program",
IF(OR(AND(AN$5&gt;0,AN$5&gt;100),AND(AN$5&gt;0,AN$5&lt;100)),
VLOOKUP(FLOOR((Midterm!AN39/AN$5)*100,1),new_transmute,2,FALSE),
VLOOKUP(Midterm!AN39,new_transmute,2,FALSE)
),
IF(Info!$B$4="Board program",
IF(OR(AND(AN$5&gt;0,AN$5&gt;100),AND(AN$5&gt;0,AN$5&lt;100)),
VLOOKUP(FLOOR((Midterm!AN39/AN$5)*100,1),new_transmute,3,FALSE),
VLOOKUP(Midterm!AN39,new_transmute,3,FALSE)
),
IF(Info!$B$4="Board program (Medicine)",
IF(OR(AND(AN$5&gt;0,AN$5&gt;100),AND(AN$5&gt;0,AN$5&lt;100)),
VLOOKUP(FLOOR((Midterm!AN39/AN$5)*100,1),new_transmute,4,FALSE),
VLOOKUP(Midterm!AN39,new_transmute,4,FALSE)
),
""
)
)
)
)
)
)
)
)
))</f>
        <v/>
      </c>
      <c r="AO39" s="14" t="str">
        <f>IF($B39="","",
IF(AO$5="","",
IF(Midterm!AO39="",0,
IF(NOT(ISNUMBER(Midterm!AO39)),"NAN",
IF(Midterm!AO39&lt;0,"NEG",
IF(Midterm!AO39&gt;AO$5,"OVER",
IF(AND(AO$5&lt;=100,Midterm!AO39&gt;100),"ERR",
IF(Info!$B$4="Non-board program",
IF(OR(AND(AO$5&gt;0,AO$5&gt;100),AND(AO$5&gt;0,AO$5&lt;100)),
VLOOKUP(FLOOR((Midterm!AO39/AO$5)*100,1),new_transmute,2,FALSE),
VLOOKUP(Midterm!AO39,new_transmute,2,FALSE)
),
IF(Info!$B$4="Board program",
IF(OR(AND(AO$5&gt;0,AO$5&gt;100),AND(AO$5&gt;0,AO$5&lt;100)),
VLOOKUP(FLOOR((Midterm!AO39/AO$5)*100,1),new_transmute,3,FALSE),
VLOOKUP(Midterm!AO39,new_transmute,3,FALSE)
),
IF(Info!$B$4="Board program (Medicine)",
IF(OR(AND(AO$5&gt;0,AO$5&gt;100),AND(AO$5&gt;0,AO$5&lt;100)),
VLOOKUP(FLOOR((Midterm!AO39/AO$5)*100,1),new_transmute,4,FALSE),
VLOOKUP(Midterm!AO39,new_transmute,4,FALSE)
),
""
)
)
)
)
)
)
)
)
))</f>
        <v/>
      </c>
      <c r="AP39" s="14" t="str">
        <f>IF($B39="","",
IF(AP$5="","",
IF(Midterm!AP39="",0,
IF(NOT(ISNUMBER(Midterm!AP39)),"NAN",
IF(Midterm!AP39&lt;0,"NEG",
IF(Midterm!AP39&gt;AP$5,"OVER",
IF(AND(AP$5&lt;=100,Midterm!AP39&gt;100),"ERR",
IF(Info!$B$4="Non-board program",
IF(OR(AND(AP$5&gt;0,AP$5&gt;100),AND(AP$5&gt;0,AP$5&lt;100)),
VLOOKUP(FLOOR((Midterm!AP39/AP$5)*100,1),new_transmute,2,FALSE),
VLOOKUP(Midterm!AP39,new_transmute,2,FALSE)
),
IF(Info!$B$4="Board program",
IF(OR(AND(AP$5&gt;0,AP$5&gt;100),AND(AP$5&gt;0,AP$5&lt;100)),
VLOOKUP(FLOOR((Midterm!AP39/AP$5)*100,1),new_transmute,3,FALSE),
VLOOKUP(Midterm!AP39,new_transmute,3,FALSE)
),
IF(Info!$B$4="Board program (Medicine)",
IF(OR(AND(AP$5&gt;0,AP$5&gt;100),AND(AP$5&gt;0,AP$5&lt;100)),
VLOOKUP(FLOOR((Midterm!AP39/AP$5)*100,1),new_transmute,4,FALSE),
VLOOKUP(Midterm!AP39,new_transmute,4,FALSE)
),
""
)
)
)
)
)
)
)
)
))</f>
        <v/>
      </c>
      <c r="AQ39" s="61" t="str">
        <f t="shared" si="7"/>
        <v/>
      </c>
      <c r="AR39" s="48" t="str">
        <f>IF(Midterm!AR39="","",Midterm!AR39)</f>
        <v/>
      </c>
      <c r="AS39" s="165" t="str">
        <f t="shared" si="8"/>
        <v/>
      </c>
      <c r="AT39" s="14" t="str">
        <f t="shared" si="9"/>
        <v/>
      </c>
      <c r="AU39" s="14" t="str">
        <f>IF(B39="","",VLOOKUP(AT39,'New Grade Equivalent'!$B$3:$C$47,2,FALSE))</f>
        <v/>
      </c>
    </row>
    <row r="40" spans="1:47" x14ac:dyDescent="0.25">
      <c r="A40" s="8">
        <v>35</v>
      </c>
      <c r="B40" s="2" t="str">
        <f>IF('Student List'!C44="","",UPPER(LEFT('Student List'!C44,FIND(",",'Student List'!C44)-1)))</f>
        <v/>
      </c>
      <c r="C40" s="12" t="str">
        <f>IF('Student List'!C44="","",PROPER(MID('Student List'!C44, FIND(",", 'Student List'!C44) + 2, LEN('Student List'!C44) - FIND(",", 'Student List'!C44) - 1)))</f>
        <v/>
      </c>
      <c r="D40" s="127" t="str">
        <f>IF(B40="","",IF(Midterm!D40="", "NA", Midterm!D40))</f>
        <v/>
      </c>
      <c r="E40" s="8" t="str">
        <f>IF(B40="","",
  IF(Info!$B$5="First Year",
    IF(D40="Yes", "DRP",
      IF(D40="No", "WF", "")
    )
  )
)</f>
        <v/>
      </c>
      <c r="F40" s="14" t="str">
        <f>IF($B40="","",
IF(F$5="","",
IF(Midterm!F40="",0,
IF(NOT(ISNUMBER(Midterm!F40)),"NAN",
IF(Midterm!F40&lt;0,"NEG",
IF(Midterm!F40&gt;F$5,"OVER",
IF(AND(F$5&lt;=100,Midterm!F40&gt;100),"ERR",
IF(Info!$B$4="Non-board program",
IF(OR(AND(F$5&gt;0,F$5&gt;100),AND(F$5&gt;0,F$5&lt;100)),
VLOOKUP(FLOOR((Midterm!F40/F$5)*100,1),new_transmute,2,FALSE),
VLOOKUP(Midterm!F40,new_transmute,2,FALSE)
),
IF(Info!$B$4="Board program",
IF(OR(AND(F$5&gt;0,F$5&gt;100),AND(F$5&gt;0,F$5&lt;100)),
VLOOKUP(FLOOR((Midterm!F40/F$5)*100,1),new_transmute,3,FALSE),
VLOOKUP(Midterm!F40,new_transmute,3,FALSE)
),
IF(Info!$B$4="Board program (Medicine)",
IF(OR(AND(F$5&gt;0,F$5&gt;100),AND(F$5&gt;0,F$5&lt;100)),
VLOOKUP(FLOOR((Midterm!F40/F$5)*100,1),new_transmute,4,FALSE),
VLOOKUP(Midterm!F40,new_transmute,4,FALSE)
),
""
)
)
)
)
)
)
)
)
))</f>
        <v/>
      </c>
      <c r="G40" s="57" t="str">
        <f t="shared" si="1"/>
        <v/>
      </c>
      <c r="H40" s="14" t="str">
        <f>IF($B40="","",
IF(H$5="","",
IF(Midterm!H40="",0,
IF(NOT(ISNUMBER(Midterm!H40)),"NAN",
IF(Midterm!H40&lt;0,"NEG",
IF(Midterm!H40&gt;H$5,"OVER",
IF(AND(H$5&lt;=100,Midterm!H40&gt;100),"ERR",
IF(Info!$B$4="Non-board program",
IF(OR(AND(H$5&gt;0,H$5&gt;100),AND(H$5&gt;0,H$5&lt;100)),
VLOOKUP(FLOOR((Midterm!H40/H$5)*100,1),new_transmute,2,FALSE),
VLOOKUP(Midterm!H40,new_transmute,2,FALSE)
),
IF(Info!$B$4="Board program",
IF(OR(AND(H$5&gt;0,H$5&gt;100),AND(H$5&gt;0,H$5&lt;100)),
VLOOKUP(FLOOR((Midterm!H40/H$5)*100,1),new_transmute,3,FALSE),
VLOOKUP(Midterm!H40,new_transmute,3,FALSE)
),
IF(Info!$B$4="Board program (Medicine)",
IF(OR(AND(H$5&gt;0,H$5&gt;100),AND(H$5&gt;0,H$5&lt;100)),
VLOOKUP(FLOOR((Midterm!H40/H$5)*100,1),new_transmute,4,FALSE),
VLOOKUP(Midterm!H40,new_transmute,4,FALSE)
),
""
)
)
)
)
)
)
)
)
))</f>
        <v/>
      </c>
      <c r="I40" s="14" t="str">
        <f>IF($B40="","",
IF(I$5="","",
IF(Midterm!I40="",0,
IF(NOT(ISNUMBER(Midterm!I40)),"NAN",
IF(Midterm!I40&lt;0,"NEG",
IF(Midterm!I40&gt;I$5,"OVER",
IF(AND(I$5&lt;=100,Midterm!I40&gt;100),"ERR",
IF(Info!$B$4="Non-board program",
IF(OR(AND(I$5&gt;0,I$5&gt;100),AND(I$5&gt;0,I$5&lt;100)),
VLOOKUP(FLOOR((Midterm!I40/I$5)*100,1),new_transmute,2,FALSE),
VLOOKUP(Midterm!I40,new_transmute,2,FALSE)
),
IF(Info!$B$4="Board program",
IF(OR(AND(I$5&gt;0,I$5&gt;100),AND(I$5&gt;0,I$5&lt;100)),
VLOOKUP(FLOOR((Midterm!I40/I$5)*100,1),new_transmute,3,FALSE),
VLOOKUP(Midterm!I40,new_transmute,3,FALSE)
),
IF(Info!$B$4="Board program (Medicine)",
IF(OR(AND(I$5&gt;0,I$5&gt;100),AND(I$5&gt;0,I$5&lt;100)),
VLOOKUP(FLOOR((Midterm!I40/I$5)*100,1),new_transmute,4,FALSE),
VLOOKUP(Midterm!I40,new_transmute,4,FALSE)
),
""
)
)
)
)
)
)
)
)
))</f>
        <v/>
      </c>
      <c r="J40" s="14" t="str">
        <f>IF($B40="","",
IF(J$5="","",
IF(Midterm!J40="",0,
IF(NOT(ISNUMBER(Midterm!J40)),"NAN",
IF(Midterm!J40&lt;0,"NEG",
IF(Midterm!J40&gt;J$5,"OVER",
IF(AND(J$5&lt;=100,Midterm!J40&gt;100),"ERR",
IF(Info!$B$4="Non-board program",
IF(OR(AND(J$5&gt;0,J$5&gt;100),AND(J$5&gt;0,J$5&lt;100)),
VLOOKUP(FLOOR((Midterm!J40/J$5)*100,1),new_transmute,2,FALSE),
VLOOKUP(Midterm!J40,new_transmute,2,FALSE)
),
IF(Info!$B$4="Board program",
IF(OR(AND(J$5&gt;0,J$5&gt;100),AND(J$5&gt;0,J$5&lt;100)),
VLOOKUP(FLOOR((Midterm!J40/J$5)*100,1),new_transmute,3,FALSE),
VLOOKUP(Midterm!J40,new_transmute,3,FALSE)
),
IF(Info!$B$4="Board program (Medicine)",
IF(OR(AND(J$5&gt;0,J$5&gt;100),AND(J$5&gt;0,J$5&lt;100)),
VLOOKUP(FLOOR((Midterm!J40/J$5)*100,1),new_transmute,4,FALSE),
VLOOKUP(Midterm!J40,new_transmute,4,FALSE)
),
""
)
)
)
)
)
)
)
)
))</f>
        <v/>
      </c>
      <c r="K40" s="14" t="str">
        <f>IF($B40="","",
IF(K$5="","",
IF(Midterm!K40="",0,
IF(NOT(ISNUMBER(Midterm!K40)),"NAN",
IF(Midterm!K40&lt;0,"NEG",
IF(Midterm!K40&gt;K$5,"OVER",
IF(AND(K$5&lt;=100,Midterm!K40&gt;100),"ERR",
IF(Info!$B$4="Non-board program",
IF(OR(AND(K$5&gt;0,K$5&gt;100),AND(K$5&gt;0,K$5&lt;100)),
VLOOKUP(FLOOR((Midterm!K40/K$5)*100,1),new_transmute,2,FALSE),
VLOOKUP(Midterm!K40,new_transmute,2,FALSE)
),
IF(Info!$B$4="Board program",
IF(OR(AND(K$5&gt;0,K$5&gt;100),AND(K$5&gt;0,K$5&lt;100)),
VLOOKUP(FLOOR((Midterm!K40/K$5)*100,1),new_transmute,3,FALSE),
VLOOKUP(Midterm!K40,new_transmute,3,FALSE)
),
IF(Info!$B$4="Board program (Medicine)",
IF(OR(AND(K$5&gt;0,K$5&gt;100),AND(K$5&gt;0,K$5&lt;100)),
VLOOKUP(FLOOR((Midterm!K40/K$5)*100,1),new_transmute,4,FALSE),
VLOOKUP(Midterm!K40,new_transmute,4,FALSE)
),
""
)
)
)
)
)
)
)
)
))</f>
        <v/>
      </c>
      <c r="L40" s="14" t="str">
        <f>IF($B40="","",
IF(L$5="","",
IF(Midterm!L40="",0,
IF(NOT(ISNUMBER(Midterm!L40)),"NAN",
IF(Midterm!L40&lt;0,"NEG",
IF(Midterm!L40&gt;L$5,"OVER",
IF(AND(L$5&lt;=100,Midterm!L40&gt;100),"ERR",
IF(Info!$B$4="Non-board program",
IF(OR(AND(L$5&gt;0,L$5&gt;100),AND(L$5&gt;0,L$5&lt;100)),
VLOOKUP(FLOOR((Midterm!L40/L$5)*100,1),new_transmute,2,FALSE),
VLOOKUP(Midterm!L40,new_transmute,2,FALSE)
),
IF(Info!$B$4="Board program",
IF(OR(AND(L$5&gt;0,L$5&gt;100),AND(L$5&gt;0,L$5&lt;100)),
VLOOKUP(FLOOR((Midterm!L40/L$5)*100,1),new_transmute,3,FALSE),
VLOOKUP(Midterm!L40,new_transmute,3,FALSE)
),
IF(Info!$B$4="Board program (Medicine)",
IF(OR(AND(L$5&gt;0,L$5&gt;100),AND(L$5&gt;0,L$5&lt;100)),
VLOOKUP(FLOOR((Midterm!L40/L$5)*100,1),new_transmute,4,FALSE),
VLOOKUP(Midterm!L40,new_transmute,4,FALSE)
),
""
)
)
)
)
)
)
)
)
))</f>
        <v/>
      </c>
      <c r="M40" s="111" t="str">
        <f t="shared" si="2"/>
        <v/>
      </c>
      <c r="N40" s="14" t="str">
        <f>IF($B40="","",
IF(N$5="","",
IF(Midterm!N40="",0,
IF(NOT(ISNUMBER(Midterm!N40)),"NAN",
IF(Midterm!N40&lt;0,"NEG",
IF(Midterm!N40&gt;N$5,"OVER",
IF(AND(N$5&lt;=100,Midterm!N40&gt;100),"ERR",
IF(Info!$B$4="Non-board program",
IF(OR(AND(N$5&gt;0,N$5&gt;100),AND(N$5&gt;0,N$5&lt;100)),
VLOOKUP(FLOOR((Midterm!N40/N$5)*100,1),new_transmute,2,FALSE),
VLOOKUP(Midterm!N40,new_transmute,2,FALSE)
),
IF(Info!$B$4="Board program",
IF(OR(AND(N$5&gt;0,N$5&gt;100),AND(N$5&gt;0,N$5&lt;100)),
VLOOKUP(FLOOR((Midterm!N40/N$5)*100,1),new_transmute,3,FALSE),
VLOOKUP(Midterm!N40,new_transmute,3,FALSE)
),
IF(Info!$B$4="Board program (Medicine)",
IF(OR(AND(N$5&gt;0,N$5&gt;100),AND(N$5&gt;0,N$5&lt;100)),
VLOOKUP(FLOOR((Midterm!N40/N$5)*100,1),new_transmute,4,FALSE),
VLOOKUP(Midterm!N40,new_transmute,4,FALSE)
),
""
)
)
)
)
)
)
)
)
))</f>
        <v/>
      </c>
      <c r="O40" s="14" t="str">
        <f>IF($B40="","",
IF(O$5="","",
IF(Midterm!O40="",0,
IF(NOT(ISNUMBER(Midterm!O40)),"NAN",
IF(Midterm!O40&lt;0,"NEG",
IF(Midterm!O40&gt;O$5,"OVER",
IF(AND(O$5&lt;=100,Midterm!O40&gt;100),"ERR",
IF(Info!$B$4="Non-board program",
IF(OR(AND(O$5&gt;0,O$5&gt;100),AND(O$5&gt;0,O$5&lt;100)),
VLOOKUP(FLOOR((Midterm!O40/O$5)*100,1),new_transmute,2,FALSE),
VLOOKUP(Midterm!O40,new_transmute,2,FALSE)
),
IF(Info!$B$4="Board program",
IF(OR(AND(O$5&gt;0,O$5&gt;100),AND(O$5&gt;0,O$5&lt;100)),
VLOOKUP(FLOOR((Midterm!O40/O$5)*100,1),new_transmute,3,FALSE),
VLOOKUP(Midterm!O40,new_transmute,3,FALSE)
),
IF(Info!$B$4="Board program (Medicine)",
IF(OR(AND(O$5&gt;0,O$5&gt;100),AND(O$5&gt;0,O$5&lt;100)),
VLOOKUP(FLOOR((Midterm!O40/O$5)*100,1),new_transmute,4,FALSE),
VLOOKUP(Midterm!O40,new_transmute,4,FALSE)
),
""
)
)
)
)
)
)
)
)
))</f>
        <v/>
      </c>
      <c r="P40" s="14" t="str">
        <f>IF($B40="","",
IF(P$5="","",
IF(Midterm!P40="",0,
IF(NOT(ISNUMBER(Midterm!P40)),"NAN",
IF(Midterm!P40&lt;0,"NEG",
IF(Midterm!P40&gt;P$5,"OVER",
IF(AND(P$5&lt;=100,Midterm!P40&gt;100),"ERR",
IF(Info!$B$4="Non-board program",
IF(OR(AND(P$5&gt;0,P$5&gt;100),AND(P$5&gt;0,P$5&lt;100)),
VLOOKUP(FLOOR((Midterm!P40/P$5)*100,1),new_transmute,2,FALSE),
VLOOKUP(Midterm!P40,new_transmute,2,FALSE)
),
IF(Info!$B$4="Board program",
IF(OR(AND(P$5&gt;0,P$5&gt;100),AND(P$5&gt;0,P$5&lt;100)),
VLOOKUP(FLOOR((Midterm!P40/P$5)*100,1),new_transmute,3,FALSE),
VLOOKUP(Midterm!P40,new_transmute,3,FALSE)
),
IF(Info!$B$4="Board program (Medicine)",
IF(OR(AND(P$5&gt;0,P$5&gt;100),AND(P$5&gt;0,P$5&lt;100)),
VLOOKUP(FLOOR((Midterm!P40/P$5)*100,1),new_transmute,4,FALSE),
VLOOKUP(Midterm!P40,new_transmute,4,FALSE)
),
""
)
)
)
)
)
)
)
)
))</f>
        <v/>
      </c>
      <c r="Q40" s="14" t="str">
        <f>IF($B40="","",
IF(Q$5="","",
IF(Midterm!Q40="",0,
IF(NOT(ISNUMBER(Midterm!Q40)),"NAN",
IF(Midterm!Q40&lt;0,"NEG",
IF(Midterm!Q40&gt;Q$5,"OVER",
IF(AND(Q$5&lt;=100,Midterm!Q40&gt;100),"ERR",
IF(Info!$B$4="Non-board program",
IF(OR(AND(Q$5&gt;0,Q$5&gt;100),AND(Q$5&gt;0,Q$5&lt;100)),
VLOOKUP(FLOOR((Midterm!Q40/Q$5)*100,1),new_transmute,2,FALSE),
VLOOKUP(Midterm!Q40,new_transmute,2,FALSE)
),
IF(Info!$B$4="Board program",
IF(OR(AND(Q$5&gt;0,Q$5&gt;100),AND(Q$5&gt;0,Q$5&lt;100)),
VLOOKUP(FLOOR((Midterm!Q40/Q$5)*100,1),new_transmute,3,FALSE),
VLOOKUP(Midterm!Q40,new_transmute,3,FALSE)
),
IF(Info!$B$4="Board program (Medicine)",
IF(OR(AND(Q$5&gt;0,Q$5&gt;100),AND(Q$5&gt;0,Q$5&lt;100)),
VLOOKUP(FLOOR((Midterm!Q40/Q$5)*100,1),new_transmute,4,FALSE),
VLOOKUP(Midterm!Q40,new_transmute,4,FALSE)
),
""
)
)
)
)
)
)
)
)
))</f>
        <v/>
      </c>
      <c r="R40" s="14" t="str">
        <f>IF($B40="","",
IF(R$5="","",
IF(Midterm!R40="",0,
IF(NOT(ISNUMBER(Midterm!R40)),"NAN",
IF(Midterm!R40&lt;0,"NEG",
IF(Midterm!R40&gt;R$5,"OVER",
IF(AND(R$5&lt;=100,Midterm!R40&gt;100),"ERR",
IF(Info!$B$4="Non-board program",
IF(OR(AND(R$5&gt;0,R$5&gt;100),AND(R$5&gt;0,R$5&lt;100)),
VLOOKUP(FLOOR((Midterm!R40/R$5)*100,1),new_transmute,2,FALSE),
VLOOKUP(Midterm!R40,new_transmute,2,FALSE)
),
IF(Info!$B$4="Board program",
IF(OR(AND(R$5&gt;0,R$5&gt;100),AND(R$5&gt;0,R$5&lt;100)),
VLOOKUP(FLOOR((Midterm!R40/R$5)*100,1),new_transmute,3,FALSE),
VLOOKUP(Midterm!R40,new_transmute,3,FALSE)
),
IF(Info!$B$4="Board program (Medicine)",
IF(OR(AND(R$5&gt;0,R$5&gt;100),AND(R$5&gt;0,R$5&lt;100)),
VLOOKUP(FLOOR((Midterm!R40/R$5)*100,1),new_transmute,4,FALSE),
VLOOKUP(Midterm!R40,new_transmute,4,FALSE)
),
""
)
)
)
)
)
)
)
)
))</f>
        <v/>
      </c>
      <c r="S40" s="115" t="str">
        <f t="shared" si="3"/>
        <v/>
      </c>
      <c r="T40" s="14" t="str">
        <f>IF($B40="","",
IF(T$5="","",
IF(Midterm!T40="",0,
IF(NOT(ISNUMBER(Midterm!T40)),"NAN",
IF(Midterm!T40&lt;0,"NEG",
IF(Midterm!T40&gt;T$5,"OVER",
IF(AND(T$5&lt;=100,Midterm!T40&gt;100),"ERR",
IF(Info!$B$4="Non-board program",
IF(OR(AND(T$5&gt;0,T$5&gt;100),AND(T$5&gt;0,T$5&lt;100)),
VLOOKUP(FLOOR((Midterm!T40/T$5)*100,1),new_transmute,2,FALSE),
VLOOKUP(Midterm!T40,new_transmute,2,FALSE)
),
IF(Info!$B$4="Board program",
IF(OR(AND(T$5&gt;0,T$5&gt;100),AND(T$5&gt;0,T$5&lt;100)),
VLOOKUP(FLOOR((Midterm!T40/T$5)*100,1),new_transmute,3,FALSE),
VLOOKUP(Midterm!T40,new_transmute,3,FALSE)
),
IF(Info!$B$4="Board program (Medicine)",
IF(OR(AND(T$5&gt;0,T$5&gt;100),AND(T$5&gt;0,T$5&lt;100)),
VLOOKUP(FLOOR((Midterm!T40/T$5)*100,1),new_transmute,4,FALSE),
VLOOKUP(Midterm!T40,new_transmute,4,FALSE)
),
""
)
)
)
)
)
)
)
)
))</f>
        <v/>
      </c>
      <c r="U40" s="14" t="str">
        <f>IF($B40="","",
IF(U$5="","",
IF(Midterm!U40="",0,
IF(NOT(ISNUMBER(Midterm!U40)),"NAN",
IF(Midterm!U40&lt;0,"NEG",
IF(Midterm!U40&gt;U$5,"OVER",
IF(AND(U$5&lt;=100,Midterm!U40&gt;100),"ERR",
IF(Info!$B$4="Non-board program",
IF(OR(AND(U$5&gt;0,U$5&gt;100),AND(U$5&gt;0,U$5&lt;100)),
VLOOKUP(FLOOR((Midterm!U40/U$5)*100,1),new_transmute,2,FALSE),
VLOOKUP(Midterm!U40,new_transmute,2,FALSE)
),
IF(Info!$B$4="Board program",
IF(OR(AND(U$5&gt;0,U$5&gt;100),AND(U$5&gt;0,U$5&lt;100)),
VLOOKUP(FLOOR((Midterm!U40/U$5)*100,1),new_transmute,3,FALSE),
VLOOKUP(Midterm!U40,new_transmute,3,FALSE)
),
IF(Info!$B$4="Board program (Medicine)",
IF(OR(AND(U$5&gt;0,U$5&gt;100),AND(U$5&gt;0,U$5&lt;100)),
VLOOKUP(FLOOR((Midterm!U40/U$5)*100,1),new_transmute,4,FALSE),
VLOOKUP(Midterm!U40,new_transmute,4,FALSE)
),
""
)
)
)
)
)
)
)
)
))</f>
        <v/>
      </c>
      <c r="V40" s="14" t="str">
        <f>IF($B40="","",
IF(V$5="","",
IF(Midterm!V40="",0,
IF(NOT(ISNUMBER(Midterm!V40)),"NAN",
IF(Midterm!V40&lt;0,"NEG",
IF(Midterm!V40&gt;V$5,"OVER",
IF(AND(V$5&lt;=100,Midterm!V40&gt;100),"ERR",
IF(Info!$B$4="Non-board program",
IF(OR(AND(V$5&gt;0,V$5&gt;100),AND(V$5&gt;0,V$5&lt;100)),
VLOOKUP(FLOOR((Midterm!V40/V$5)*100,1),new_transmute,2,FALSE),
VLOOKUP(Midterm!V40,new_transmute,2,FALSE)
),
IF(Info!$B$4="Board program",
IF(OR(AND(V$5&gt;0,V$5&gt;100),AND(V$5&gt;0,V$5&lt;100)),
VLOOKUP(FLOOR((Midterm!V40/V$5)*100,1),new_transmute,3,FALSE),
VLOOKUP(Midterm!V40,new_transmute,3,FALSE)
),
IF(Info!$B$4="Board program (Medicine)",
IF(OR(AND(V$5&gt;0,V$5&gt;100),AND(V$5&gt;0,V$5&lt;100)),
VLOOKUP(FLOOR((Midterm!V40/V$5)*100,1),new_transmute,4,FALSE),
VLOOKUP(Midterm!V40,new_transmute,4,FALSE)
),
""
)
)
)
)
)
)
)
)
))</f>
        <v/>
      </c>
      <c r="W40" s="14" t="str">
        <f>IF($B40="","",
IF(W$5="","",
IF(Midterm!W40="",0,
IF(NOT(ISNUMBER(Midterm!W40)),"NAN",
IF(Midterm!W40&lt;0,"NEG",
IF(Midterm!W40&gt;W$5,"OVER",
IF(AND(W$5&lt;=100,Midterm!W40&gt;100),"ERR",
IF(Info!$B$4="Non-board program",
IF(OR(AND(W$5&gt;0,W$5&gt;100),AND(W$5&gt;0,W$5&lt;100)),
VLOOKUP(FLOOR((Midterm!W40/W$5)*100,1),new_transmute,2,FALSE),
VLOOKUP(Midterm!W40,new_transmute,2,FALSE)
),
IF(Info!$B$4="Board program",
IF(OR(AND(W$5&gt;0,W$5&gt;100),AND(W$5&gt;0,W$5&lt;100)),
VLOOKUP(FLOOR((Midterm!W40/W$5)*100,1),new_transmute,3,FALSE),
VLOOKUP(Midterm!W40,new_transmute,3,FALSE)
),
IF(Info!$B$4="Board program (Medicine)",
IF(OR(AND(W$5&gt;0,W$5&gt;100),AND(W$5&gt;0,W$5&lt;100)),
VLOOKUP(FLOOR((Midterm!W40/W$5)*100,1),new_transmute,4,FALSE),
VLOOKUP(Midterm!W40,new_transmute,4,FALSE)
),
""
)
)
)
)
)
)
)
)
))</f>
        <v/>
      </c>
      <c r="X40" s="14" t="str">
        <f>IF($B40="","",
IF(X$5="","",
IF(Midterm!X40="",0,
IF(NOT(ISNUMBER(Midterm!X40)),"NAN",
IF(Midterm!X40&lt;0,"NEG",
IF(Midterm!X40&gt;X$5,"OVER",
IF(AND(X$5&lt;=100,Midterm!X40&gt;100),"ERR",
IF(Info!$B$4="Non-board program",
IF(OR(AND(X$5&gt;0,X$5&gt;100),AND(X$5&gt;0,X$5&lt;100)),
VLOOKUP(FLOOR((Midterm!X40/X$5)*100,1),new_transmute,2,FALSE),
VLOOKUP(Midterm!X40,new_transmute,2,FALSE)
),
IF(Info!$B$4="Board program",
IF(OR(AND(X$5&gt;0,X$5&gt;100),AND(X$5&gt;0,X$5&lt;100)),
VLOOKUP(FLOOR((Midterm!X40/X$5)*100,1),new_transmute,3,FALSE),
VLOOKUP(Midterm!X40,new_transmute,3,FALSE)
),
IF(Info!$B$4="Board program (Medicine)",
IF(OR(AND(X$5&gt;0,X$5&gt;100),AND(X$5&gt;0,X$5&lt;100)),
VLOOKUP(FLOOR((Midterm!X40/X$5)*100,1),new_transmute,4,FALSE),
VLOOKUP(Midterm!X40,new_transmute,4,FALSE)
),
""
)
)
)
)
)
)
)
)
))</f>
        <v/>
      </c>
      <c r="Y40" s="112" t="str">
        <f t="shared" si="4"/>
        <v/>
      </c>
      <c r="Z40" s="14" t="str">
        <f>IF($B40="","",
IF(Z$5="","",
IF(Midterm!Z40="",0,
IF(NOT(ISNUMBER(Midterm!Z40)),"NAN",
IF(Midterm!Z40&lt;0,"NEG",
IF(Midterm!Z40&gt;Z$5,"OVER",
IF(AND(Z$5&lt;=100,Midterm!Z40&gt;100),"ERR",
IF(Info!$B$4="Non-board program",
IF(OR(AND(Z$5&gt;0,Z$5&gt;100),AND(Z$5&gt;0,Z$5&lt;100)),
VLOOKUP(FLOOR((Midterm!Z40/Z$5)*100,1),new_transmute,2,FALSE),
VLOOKUP(Midterm!Z40,new_transmute,2,FALSE)
),
IF(Info!$B$4="Board program",
IF(OR(AND(Z$5&gt;0,Z$5&gt;100),AND(Z$5&gt;0,Z$5&lt;100)),
VLOOKUP(FLOOR((Midterm!Z40/Z$5)*100,1),new_transmute,3,FALSE),
VLOOKUP(Midterm!Z40,new_transmute,3,FALSE)
),
IF(Info!$B$4="Board program (Medicine)",
IF(OR(AND(Z$5&gt;0,Z$5&gt;100),AND(Z$5&gt;0,Z$5&lt;100)),
VLOOKUP(FLOOR((Midterm!Z40/Z$5)*100,1),new_transmute,4,FALSE),
VLOOKUP(Midterm!Z40,new_transmute,4,FALSE)
),
""
)
)
)
)
)
)
)
)
))</f>
        <v/>
      </c>
      <c r="AA40" s="14" t="str">
        <f>IF($B40="","",
IF(AA$5="","",
IF(Midterm!AA40="",0,
IF(NOT(ISNUMBER(Midterm!AA40)),"NAN",
IF(Midterm!AA40&lt;0,"NEG",
IF(Midterm!AA40&gt;AA$5,"OVER",
IF(AND(AA$5&lt;=100,Midterm!AA40&gt;100),"ERR",
IF(Info!$B$4="Non-board program",
IF(OR(AND(AA$5&gt;0,AA$5&gt;100),AND(AA$5&gt;0,AA$5&lt;100)),
VLOOKUP(FLOOR((Midterm!AA40/AA$5)*100,1),new_transmute,2,FALSE),
VLOOKUP(Midterm!AA40,new_transmute,2,FALSE)
),
IF(Info!$B$4="Board program",
IF(OR(AND(AA$5&gt;0,AA$5&gt;100),AND(AA$5&gt;0,AA$5&lt;100)),
VLOOKUP(FLOOR((Midterm!AA40/AA$5)*100,1),new_transmute,3,FALSE),
VLOOKUP(Midterm!AA40,new_transmute,3,FALSE)
),
IF(Info!$B$4="Board program (Medicine)",
IF(OR(AND(AA$5&gt;0,AA$5&gt;100),AND(AA$5&gt;0,AA$5&lt;100)),
VLOOKUP(FLOOR((Midterm!AA40/AA$5)*100,1),new_transmute,4,FALSE),
VLOOKUP(Midterm!AA40,new_transmute,4,FALSE)
),
""
)
)
)
)
)
)
)
)
))</f>
        <v/>
      </c>
      <c r="AB40" s="14" t="str">
        <f>IF($B40="","",
IF(AB$5="","",
IF(Midterm!AB40="",0,
IF(NOT(ISNUMBER(Midterm!AB40)),"NAN",
IF(Midterm!AB40&lt;0,"NEG",
IF(Midterm!AB40&gt;AB$5,"OVER",
IF(AND(AB$5&lt;=100,Midterm!AB40&gt;100),"ERR",
IF(Info!$B$4="Non-board program",
IF(OR(AND(AB$5&gt;0,AB$5&gt;100),AND(AB$5&gt;0,AB$5&lt;100)),
VLOOKUP(FLOOR((Midterm!AB40/AB$5)*100,1),new_transmute,2,FALSE),
VLOOKUP(Midterm!AB40,new_transmute,2,FALSE)
),
IF(Info!$B$4="Board program",
IF(OR(AND(AB$5&gt;0,AB$5&gt;100),AND(AB$5&gt;0,AB$5&lt;100)),
VLOOKUP(FLOOR((Midterm!AB40/AB$5)*100,1),new_transmute,3,FALSE),
VLOOKUP(Midterm!AB40,new_transmute,3,FALSE)
),
IF(Info!$B$4="Board program (Medicine)",
IF(OR(AND(AB$5&gt;0,AB$5&gt;100),AND(AB$5&gt;0,AB$5&lt;100)),
VLOOKUP(FLOOR((Midterm!AB40/AB$5)*100,1),new_transmute,4,FALSE),
VLOOKUP(Midterm!AB40,new_transmute,4,FALSE)
),
""
)
)
)
)
)
)
)
)
))</f>
        <v/>
      </c>
      <c r="AC40" s="14" t="str">
        <f>IF($B40="","",
IF(AC$5="","",
IF(Midterm!AC40="",0,
IF(NOT(ISNUMBER(Midterm!AC40)),"NAN",
IF(Midterm!AC40&lt;0,"NEG",
IF(Midterm!AC40&gt;AC$5,"OVER",
IF(AND(AC$5&lt;=100,Midterm!AC40&gt;100),"ERR",
IF(Info!$B$4="Non-board program",
IF(OR(AND(AC$5&gt;0,AC$5&gt;100),AND(AC$5&gt;0,AC$5&lt;100)),
VLOOKUP(FLOOR((Midterm!AC40/AC$5)*100,1),new_transmute,2,FALSE),
VLOOKUP(Midterm!AC40,new_transmute,2,FALSE)
),
IF(Info!$B$4="Board program",
IF(OR(AND(AC$5&gt;0,AC$5&gt;100),AND(AC$5&gt;0,AC$5&lt;100)),
VLOOKUP(FLOOR((Midterm!AC40/AC$5)*100,1),new_transmute,3,FALSE),
VLOOKUP(Midterm!AC40,new_transmute,3,FALSE)
),
IF(Info!$B$4="Board program (Medicine)",
IF(OR(AND(AC$5&gt;0,AC$5&gt;100),AND(AC$5&gt;0,AC$5&lt;100)),
VLOOKUP(FLOOR((Midterm!AC40/AC$5)*100,1),new_transmute,4,FALSE),
VLOOKUP(Midterm!AC40,new_transmute,4,FALSE)
),
""
)
)
)
)
)
)
)
)
))</f>
        <v/>
      </c>
      <c r="AD40" s="14" t="str">
        <f>IF($B40="","",
IF(AD$5="","",
IF(Midterm!AD40="",0,
IF(NOT(ISNUMBER(Midterm!AD40)),"NAN",
IF(Midterm!AD40&lt;0,"NEG",
IF(Midterm!AD40&gt;AD$5,"OVER",
IF(AND(AD$5&lt;=100,Midterm!AD40&gt;100),"ERR",
IF(Info!$B$4="Non-board program",
IF(OR(AND(AD$5&gt;0,AD$5&gt;100),AND(AD$5&gt;0,AD$5&lt;100)),
VLOOKUP(FLOOR((Midterm!AD40/AD$5)*100,1),new_transmute,2,FALSE),
VLOOKUP(Midterm!AD40,new_transmute,2,FALSE)
),
IF(Info!$B$4="Board program",
IF(OR(AND(AD$5&gt;0,AD$5&gt;100),AND(AD$5&gt;0,AD$5&lt;100)),
VLOOKUP(FLOOR((Midterm!AD40/AD$5)*100,1),new_transmute,3,FALSE),
VLOOKUP(Midterm!AD40,new_transmute,3,FALSE)
),
IF(Info!$B$4="Board program (Medicine)",
IF(OR(AND(AD$5&gt;0,AD$5&gt;100),AND(AD$5&gt;0,AD$5&lt;100)),
VLOOKUP(FLOOR((Midterm!AD40/AD$5)*100,1),new_transmute,4,FALSE),
VLOOKUP(Midterm!AD40,new_transmute,4,FALSE)
),
""
)
)
)
)
)
)
)
)
))</f>
        <v/>
      </c>
      <c r="AE40" s="58" t="str">
        <f t="shared" si="5"/>
        <v/>
      </c>
      <c r="AF40" s="14" t="str">
        <f>IF($B40="","",
IF(AF$5="","",
IF(Midterm!AF40="",0,
IF(NOT(ISNUMBER(Midterm!AF40)),"NAN",
IF(Midterm!AF40&lt;0,"NEG",
IF(Midterm!AF40&gt;AF$5,"OVER",
IF(AND(AF$5&lt;=100,Midterm!AF40&gt;100),"ERR",
IF(Info!$B$4="Non-board program",
IF(OR(AND(AF$5&gt;0,AF$5&gt;100),AND(AF$5&gt;0,AF$5&lt;100)),
VLOOKUP(FLOOR((Midterm!AF40/AF$5)*100,1),new_transmute,2,FALSE),
VLOOKUP(Midterm!AF40,new_transmute,2,FALSE)
),
IF(Info!$B$4="Board program",
IF(OR(AND(AF$5&gt;0,AF$5&gt;100),AND(AF$5&gt;0,AF$5&lt;100)),
VLOOKUP(FLOOR((Midterm!AF40/AF$5)*100,1),new_transmute,3,FALSE),
VLOOKUP(Midterm!AF40,new_transmute,3,FALSE)
),
IF(Info!$B$4="Board program (Medicine)",
IF(OR(AND(AF$5&gt;0,AF$5&gt;100),AND(AF$5&gt;0,AF$5&lt;100)),
VLOOKUP(FLOOR((Midterm!AF40/AF$5)*100,1),new_transmute,4,FALSE),
VLOOKUP(Midterm!AF40,new_transmute,4,FALSE)
),
""
)
)
)
)
)
)
)
)
))</f>
        <v/>
      </c>
      <c r="AG40" s="14" t="str">
        <f>IF($B40="","",
IF(AG$5="","",
IF(Midterm!AG40="",0,
IF(NOT(ISNUMBER(Midterm!AG40)),"NAN",
IF(Midterm!AG40&lt;0,"NEG",
IF(Midterm!AG40&gt;AG$5,"OVER",
IF(AND(AG$5&lt;=100,Midterm!AG40&gt;100),"ERR",
IF(Info!$B$4="Non-board program",
IF(OR(AND(AG$5&gt;0,AG$5&gt;100),AND(AG$5&gt;0,AG$5&lt;100)),
VLOOKUP(FLOOR((Midterm!AG40/AG$5)*100,1),new_transmute,2,FALSE),
VLOOKUP(Midterm!AG40,new_transmute,2,FALSE)
),
IF(Info!$B$4="Board program",
IF(OR(AND(AG$5&gt;0,AG$5&gt;100),AND(AG$5&gt;0,AG$5&lt;100)),
VLOOKUP(FLOOR((Midterm!AG40/AG$5)*100,1),new_transmute,3,FALSE),
VLOOKUP(Midterm!AG40,new_transmute,3,FALSE)
),
IF(Info!$B$4="Board program (Medicine)",
IF(OR(AND(AG$5&gt;0,AG$5&gt;100),AND(AG$5&gt;0,AG$5&lt;100)),
VLOOKUP(FLOOR((Midterm!AG40/AG$5)*100,1),new_transmute,4,FALSE),
VLOOKUP(Midterm!AG40,new_transmute,4,FALSE)
),
""
)
)
)
)
)
)
)
)
))</f>
        <v/>
      </c>
      <c r="AH40" s="14" t="str">
        <f>IF($B40="","",
IF(AH$5="","",
IF(Midterm!AH40="",0,
IF(NOT(ISNUMBER(Midterm!AH40)),"NAN",
IF(Midterm!AH40&lt;0,"NEG",
IF(Midterm!AH40&gt;AH$5,"OVER",
IF(AND(AH$5&lt;=100,Midterm!AH40&gt;100),"ERR",
IF(Info!$B$4="Non-board program",
IF(OR(AND(AH$5&gt;0,AH$5&gt;100),AND(AH$5&gt;0,AH$5&lt;100)),
VLOOKUP(FLOOR((Midterm!AH40/AH$5)*100,1),new_transmute,2,FALSE),
VLOOKUP(Midterm!AH40,new_transmute,2,FALSE)
),
IF(Info!$B$4="Board program",
IF(OR(AND(AH$5&gt;0,AH$5&gt;100),AND(AH$5&gt;0,AH$5&lt;100)),
VLOOKUP(FLOOR((Midterm!AH40/AH$5)*100,1),new_transmute,3,FALSE),
VLOOKUP(Midterm!AH40,new_transmute,3,FALSE)
),
IF(Info!$B$4="Board program (Medicine)",
IF(OR(AND(AH$5&gt;0,AH$5&gt;100),AND(AH$5&gt;0,AH$5&lt;100)),
VLOOKUP(FLOOR((Midterm!AH40/AH$5)*100,1),new_transmute,4,FALSE),
VLOOKUP(Midterm!AH40,new_transmute,4,FALSE)
),
""
)
)
)
)
)
)
)
)
))</f>
        <v/>
      </c>
      <c r="AI40" s="14" t="str">
        <f>IF($B40="","",
IF(AI$5="","",
IF(Midterm!AI40="",0,
IF(NOT(ISNUMBER(Midterm!AI40)),"NAN",
IF(Midterm!AI40&lt;0,"NEG",
IF(Midterm!AI40&gt;AI$5,"OVER",
IF(AND(AI$5&lt;=100,Midterm!AI40&gt;100),"ERR",
IF(Info!$B$4="Non-board program",
IF(OR(AND(AI$5&gt;0,AI$5&gt;100),AND(AI$5&gt;0,AI$5&lt;100)),
VLOOKUP(FLOOR((Midterm!AI40/AI$5)*100,1),new_transmute,2,FALSE),
VLOOKUP(Midterm!AI40,new_transmute,2,FALSE)
),
IF(Info!$B$4="Board program",
IF(OR(AND(AI$5&gt;0,AI$5&gt;100),AND(AI$5&gt;0,AI$5&lt;100)),
VLOOKUP(FLOOR((Midterm!AI40/AI$5)*100,1),new_transmute,3,FALSE),
VLOOKUP(Midterm!AI40,new_transmute,3,FALSE)
),
IF(Info!$B$4="Board program (Medicine)",
IF(OR(AND(AI$5&gt;0,AI$5&gt;100),AND(AI$5&gt;0,AI$5&lt;100)),
VLOOKUP(FLOOR((Midterm!AI40/AI$5)*100,1),new_transmute,4,FALSE),
VLOOKUP(Midterm!AI40,new_transmute,4,FALSE)
),
""
)
)
)
)
)
)
)
)
))</f>
        <v/>
      </c>
      <c r="AJ40" s="14" t="str">
        <f>IF($B40="","",
IF(AJ$5="","",
IF(Midterm!AJ40="",0,
IF(NOT(ISNUMBER(Midterm!AJ40)),"NAN",
IF(Midterm!AJ40&lt;0,"NEG",
IF(Midterm!AJ40&gt;AJ$5,"OVER",
IF(AND(AJ$5&lt;=100,Midterm!AJ40&gt;100),"ERR",
IF(Info!$B$4="Non-board program",
IF(OR(AND(AJ$5&gt;0,AJ$5&gt;100),AND(AJ$5&gt;0,AJ$5&lt;100)),
VLOOKUP(FLOOR((Midterm!AJ40/AJ$5)*100,1),new_transmute,2,FALSE),
VLOOKUP(Midterm!AJ40,new_transmute,2,FALSE)
),
IF(Info!$B$4="Board program",
IF(OR(AND(AJ$5&gt;0,AJ$5&gt;100),AND(AJ$5&gt;0,AJ$5&lt;100)),
VLOOKUP(FLOOR((Midterm!AJ40/AJ$5)*100,1),new_transmute,3,FALSE),
VLOOKUP(Midterm!AJ40,new_transmute,3,FALSE)
),
IF(Info!$B$4="Board program (Medicine)",
IF(OR(AND(AJ$5&gt;0,AJ$5&gt;100),AND(AJ$5&gt;0,AJ$5&lt;100)),
VLOOKUP(FLOOR((Midterm!AJ40/AJ$5)*100,1),new_transmute,4,FALSE),
VLOOKUP(Midterm!AJ40,new_transmute,4,FALSE)
),
""
)
)
)
)
)
)
)
)
))</f>
        <v/>
      </c>
      <c r="AK40" s="59" t="str">
        <f t="shared" si="6"/>
        <v/>
      </c>
      <c r="AL40" s="60" t="str">
        <f>IF(B40="", "",
    IF(OR(M40="OVER", S40="OVER", Y40="OVER", AE40="OVER", AK40="OVER"),
        "OVER",
        IF(Info!$B$4="Non-board program",
            VLOOKUP(IFERROR(FLOOR(SUM((M40*$M$4), (S40*$S$4), (Y40*$Y$4), (AE40*$AE$4), (AK40*$AK$4)) * (100 / 60), 1), 0), new_transmute, 2, FALSE),
            IF(Info!$B$4="Board program",
                VLOOKUP(IFERROR(FLOOR(SUM((M40*$M$4), (S40*$S$4), (Y40*$Y$4), (AE40*$AE$4), (AK40*$AK$4)) * (100 / 60), 1), 0), new_transmute, 3, FALSE),
                IF(Info!$B$4="Board program (Medicine)",
                    VLOOKUP(IFERROR(FLOOR(SUM((M40*$M$4), (S40*$S$4), (Y40*$Y$4), (AE40*$AE$4), (AK40*$AK$4)) * (100 / 60), 1), 0), new_transmute, 4, FALSE),
                    ""
                )
            )
        )
    )
)</f>
        <v/>
      </c>
      <c r="AM40" s="14" t="str">
        <f>IF($B40="","",
IF(AM$5="","",
IF(Midterm!AM40="",0,
IF(NOT(ISNUMBER(Midterm!AM40)),"NAN",
IF(Midterm!AM40&lt;0,"NEG",
IF(Midterm!AM40&gt;AM$5,"OVER",
IF(AND(AM$5&lt;=100,Midterm!AM40&gt;100),"ERR",
IF(Info!$B$4="Non-board program",
IF(OR(AND(AM$5&gt;0,AM$5&gt;100),AND(AM$5&gt;0,AM$5&lt;100)),
VLOOKUP(FLOOR((Midterm!AM40/AM$5)*100,1),new_transmute,2,FALSE),
VLOOKUP(Midterm!AM40,new_transmute,2,FALSE)
),
IF(Info!$B$4="Board program",
IF(OR(AND(AM$5&gt;0,AM$5&gt;100),AND(AM$5&gt;0,AM$5&lt;100)),
VLOOKUP(FLOOR((Midterm!AM40/AM$5)*100,1),new_transmute,3,FALSE),
VLOOKUP(Midterm!AM40,new_transmute,3,FALSE)
),
IF(Info!$B$4="Board program (Medicine)",
IF(OR(AND(AM$5&gt;0,AM$5&gt;100),AND(AM$5&gt;0,AM$5&lt;100)),
VLOOKUP(FLOOR((Midterm!AM40/AM$5)*100,1),new_transmute,4,FALSE),
VLOOKUP(Midterm!AM40,new_transmute,4,FALSE)
),
""
)
)
)
)
)
)
)
)
))</f>
        <v/>
      </c>
      <c r="AN40" s="14" t="str">
        <f>IF($B40="","",
IF(AN$5="","",
IF(Midterm!AN40="",0,
IF(NOT(ISNUMBER(Midterm!AN40)),"NAN",
IF(Midterm!AN40&lt;0,"NEG",
IF(Midterm!AN40&gt;AN$5,"OVER",
IF(AND(AN$5&lt;=100,Midterm!AN40&gt;100),"ERR",
IF(Info!$B$4="Non-board program",
IF(OR(AND(AN$5&gt;0,AN$5&gt;100),AND(AN$5&gt;0,AN$5&lt;100)),
VLOOKUP(FLOOR((Midterm!AN40/AN$5)*100,1),new_transmute,2,FALSE),
VLOOKUP(Midterm!AN40,new_transmute,2,FALSE)
),
IF(Info!$B$4="Board program",
IF(OR(AND(AN$5&gt;0,AN$5&gt;100),AND(AN$5&gt;0,AN$5&lt;100)),
VLOOKUP(FLOOR((Midterm!AN40/AN$5)*100,1),new_transmute,3,FALSE),
VLOOKUP(Midterm!AN40,new_transmute,3,FALSE)
),
IF(Info!$B$4="Board program (Medicine)",
IF(OR(AND(AN$5&gt;0,AN$5&gt;100),AND(AN$5&gt;0,AN$5&lt;100)),
VLOOKUP(FLOOR((Midterm!AN40/AN$5)*100,1),new_transmute,4,FALSE),
VLOOKUP(Midterm!AN40,new_transmute,4,FALSE)
),
""
)
)
)
)
)
)
)
)
))</f>
        <v/>
      </c>
      <c r="AO40" s="14" t="str">
        <f>IF($B40="","",
IF(AO$5="","",
IF(Midterm!AO40="",0,
IF(NOT(ISNUMBER(Midterm!AO40)),"NAN",
IF(Midterm!AO40&lt;0,"NEG",
IF(Midterm!AO40&gt;AO$5,"OVER",
IF(AND(AO$5&lt;=100,Midterm!AO40&gt;100),"ERR",
IF(Info!$B$4="Non-board program",
IF(OR(AND(AO$5&gt;0,AO$5&gt;100),AND(AO$5&gt;0,AO$5&lt;100)),
VLOOKUP(FLOOR((Midterm!AO40/AO$5)*100,1),new_transmute,2,FALSE),
VLOOKUP(Midterm!AO40,new_transmute,2,FALSE)
),
IF(Info!$B$4="Board program",
IF(OR(AND(AO$5&gt;0,AO$5&gt;100),AND(AO$5&gt;0,AO$5&lt;100)),
VLOOKUP(FLOOR((Midterm!AO40/AO$5)*100,1),new_transmute,3,FALSE),
VLOOKUP(Midterm!AO40,new_transmute,3,FALSE)
),
IF(Info!$B$4="Board program (Medicine)",
IF(OR(AND(AO$5&gt;0,AO$5&gt;100),AND(AO$5&gt;0,AO$5&lt;100)),
VLOOKUP(FLOOR((Midterm!AO40/AO$5)*100,1),new_transmute,4,FALSE),
VLOOKUP(Midterm!AO40,new_transmute,4,FALSE)
),
""
)
)
)
)
)
)
)
)
))</f>
        <v/>
      </c>
      <c r="AP40" s="14" t="str">
        <f>IF($B40="","",
IF(AP$5="","",
IF(Midterm!AP40="",0,
IF(NOT(ISNUMBER(Midterm!AP40)),"NAN",
IF(Midterm!AP40&lt;0,"NEG",
IF(Midterm!AP40&gt;AP$5,"OVER",
IF(AND(AP$5&lt;=100,Midterm!AP40&gt;100),"ERR",
IF(Info!$B$4="Non-board program",
IF(OR(AND(AP$5&gt;0,AP$5&gt;100),AND(AP$5&gt;0,AP$5&lt;100)),
VLOOKUP(FLOOR((Midterm!AP40/AP$5)*100,1),new_transmute,2,FALSE),
VLOOKUP(Midterm!AP40,new_transmute,2,FALSE)
),
IF(Info!$B$4="Board program",
IF(OR(AND(AP$5&gt;0,AP$5&gt;100),AND(AP$5&gt;0,AP$5&lt;100)),
VLOOKUP(FLOOR((Midterm!AP40/AP$5)*100,1),new_transmute,3,FALSE),
VLOOKUP(Midterm!AP40,new_transmute,3,FALSE)
),
IF(Info!$B$4="Board program (Medicine)",
IF(OR(AND(AP$5&gt;0,AP$5&gt;100),AND(AP$5&gt;0,AP$5&lt;100)),
VLOOKUP(FLOOR((Midterm!AP40/AP$5)*100,1),new_transmute,4,FALSE),
VLOOKUP(Midterm!AP40,new_transmute,4,FALSE)
),
""
)
)
)
)
)
)
)
)
))</f>
        <v/>
      </c>
      <c r="AQ40" s="61" t="str">
        <f t="shared" si="7"/>
        <v/>
      </c>
      <c r="AR40" s="48">
        <f>IF(Midterm!AR40="","",Midterm!AR40)</f>
        <v>1</v>
      </c>
      <c r="AS40" s="165" t="str">
        <f t="shared" si="8"/>
        <v/>
      </c>
      <c r="AT40" s="14" t="str">
        <f t="shared" si="9"/>
        <v/>
      </c>
      <c r="AU40" s="14" t="str">
        <f>IF(B40="","",VLOOKUP(AT40,'New Grade Equivalent'!$B$3:$C$47,2,FALSE))</f>
        <v/>
      </c>
    </row>
    <row r="41" spans="1:47" x14ac:dyDescent="0.25">
      <c r="A41" s="8">
        <v>36</v>
      </c>
      <c r="B41" s="2" t="str">
        <f>IF('Student List'!C45="","",UPPER(LEFT('Student List'!C45,FIND(",",'Student List'!C45)-1)))</f>
        <v/>
      </c>
      <c r="C41" s="12" t="str">
        <f>IF('Student List'!C45="","",PROPER(MID('Student List'!C45, FIND(",", 'Student List'!C45) + 2, LEN('Student List'!C45) - FIND(",", 'Student List'!C45) - 1)))</f>
        <v/>
      </c>
      <c r="D41" s="127" t="str">
        <f>IF(B41="","",IF(Midterm!D41="", "NA", Midterm!D41))</f>
        <v/>
      </c>
      <c r="E41" s="8" t="str">
        <f>IF(B41="","",
  IF(Info!$B$5="First Year",
    IF(D41="Yes", "DRP",
      IF(D41="No", "WF", "")
    )
  )
)</f>
        <v/>
      </c>
      <c r="F41" s="14" t="str">
        <f>IF($B41="","",
IF(F$5="","",
IF(Midterm!F41="",0,
IF(NOT(ISNUMBER(Midterm!F41)),"NAN",
IF(Midterm!F41&lt;0,"NEG",
IF(Midterm!F41&gt;F$5,"OVER",
IF(AND(F$5&lt;=100,Midterm!F41&gt;100),"ERR",
IF(Info!$B$4="Non-board program",
IF(OR(AND(F$5&gt;0,F$5&gt;100),AND(F$5&gt;0,F$5&lt;100)),
VLOOKUP(FLOOR((Midterm!F41/F$5)*100,1),new_transmute,2,FALSE),
VLOOKUP(Midterm!F41,new_transmute,2,FALSE)
),
IF(Info!$B$4="Board program",
IF(OR(AND(F$5&gt;0,F$5&gt;100),AND(F$5&gt;0,F$5&lt;100)),
VLOOKUP(FLOOR((Midterm!F41/F$5)*100,1),new_transmute,3,FALSE),
VLOOKUP(Midterm!F41,new_transmute,3,FALSE)
),
IF(Info!$B$4="Board program (Medicine)",
IF(OR(AND(F$5&gt;0,F$5&gt;100),AND(F$5&gt;0,F$5&lt;100)),
VLOOKUP(FLOOR((Midterm!F41/F$5)*100,1),new_transmute,4,FALSE),
VLOOKUP(Midterm!F41,new_transmute,4,FALSE)
),
""
)
)
)
)
)
)
)
)
))</f>
        <v/>
      </c>
      <c r="G41" s="57" t="str">
        <f t="shared" si="1"/>
        <v/>
      </c>
      <c r="H41" s="14" t="str">
        <f>IF($B41="","",
IF(H$5="","",
IF(Midterm!H41="",0,
IF(NOT(ISNUMBER(Midterm!H41)),"NAN",
IF(Midterm!H41&lt;0,"NEG",
IF(Midterm!H41&gt;H$5,"OVER",
IF(AND(H$5&lt;=100,Midterm!H41&gt;100),"ERR",
IF(Info!$B$4="Non-board program",
IF(OR(AND(H$5&gt;0,H$5&gt;100),AND(H$5&gt;0,H$5&lt;100)),
VLOOKUP(FLOOR((Midterm!H41/H$5)*100,1),new_transmute,2,FALSE),
VLOOKUP(Midterm!H41,new_transmute,2,FALSE)
),
IF(Info!$B$4="Board program",
IF(OR(AND(H$5&gt;0,H$5&gt;100),AND(H$5&gt;0,H$5&lt;100)),
VLOOKUP(FLOOR((Midterm!H41/H$5)*100,1),new_transmute,3,FALSE),
VLOOKUP(Midterm!H41,new_transmute,3,FALSE)
),
IF(Info!$B$4="Board program (Medicine)",
IF(OR(AND(H$5&gt;0,H$5&gt;100),AND(H$5&gt;0,H$5&lt;100)),
VLOOKUP(FLOOR((Midterm!H41/H$5)*100,1),new_transmute,4,FALSE),
VLOOKUP(Midterm!H41,new_transmute,4,FALSE)
),
""
)
)
)
)
)
)
)
)
))</f>
        <v/>
      </c>
      <c r="I41" s="14" t="str">
        <f>IF($B41="","",
IF(I$5="","",
IF(Midterm!I41="",0,
IF(NOT(ISNUMBER(Midterm!I41)),"NAN",
IF(Midterm!I41&lt;0,"NEG",
IF(Midterm!I41&gt;I$5,"OVER",
IF(AND(I$5&lt;=100,Midterm!I41&gt;100),"ERR",
IF(Info!$B$4="Non-board program",
IF(OR(AND(I$5&gt;0,I$5&gt;100),AND(I$5&gt;0,I$5&lt;100)),
VLOOKUP(FLOOR((Midterm!I41/I$5)*100,1),new_transmute,2,FALSE),
VLOOKUP(Midterm!I41,new_transmute,2,FALSE)
),
IF(Info!$B$4="Board program",
IF(OR(AND(I$5&gt;0,I$5&gt;100),AND(I$5&gt;0,I$5&lt;100)),
VLOOKUP(FLOOR((Midterm!I41/I$5)*100,1),new_transmute,3,FALSE),
VLOOKUP(Midterm!I41,new_transmute,3,FALSE)
),
IF(Info!$B$4="Board program (Medicine)",
IF(OR(AND(I$5&gt;0,I$5&gt;100),AND(I$5&gt;0,I$5&lt;100)),
VLOOKUP(FLOOR((Midterm!I41/I$5)*100,1),new_transmute,4,FALSE),
VLOOKUP(Midterm!I41,new_transmute,4,FALSE)
),
""
)
)
)
)
)
)
)
)
))</f>
        <v/>
      </c>
      <c r="J41" s="14" t="str">
        <f>IF($B41="","",
IF(J$5="","",
IF(Midterm!J41="",0,
IF(NOT(ISNUMBER(Midterm!J41)),"NAN",
IF(Midterm!J41&lt;0,"NEG",
IF(Midterm!J41&gt;J$5,"OVER",
IF(AND(J$5&lt;=100,Midterm!J41&gt;100),"ERR",
IF(Info!$B$4="Non-board program",
IF(OR(AND(J$5&gt;0,J$5&gt;100),AND(J$5&gt;0,J$5&lt;100)),
VLOOKUP(FLOOR((Midterm!J41/J$5)*100,1),new_transmute,2,FALSE),
VLOOKUP(Midterm!J41,new_transmute,2,FALSE)
),
IF(Info!$B$4="Board program",
IF(OR(AND(J$5&gt;0,J$5&gt;100),AND(J$5&gt;0,J$5&lt;100)),
VLOOKUP(FLOOR((Midterm!J41/J$5)*100,1),new_transmute,3,FALSE),
VLOOKUP(Midterm!J41,new_transmute,3,FALSE)
),
IF(Info!$B$4="Board program (Medicine)",
IF(OR(AND(J$5&gt;0,J$5&gt;100),AND(J$5&gt;0,J$5&lt;100)),
VLOOKUP(FLOOR((Midterm!J41/J$5)*100,1),new_transmute,4,FALSE),
VLOOKUP(Midterm!J41,new_transmute,4,FALSE)
),
""
)
)
)
)
)
)
)
)
))</f>
        <v/>
      </c>
      <c r="K41" s="14" t="str">
        <f>IF($B41="","",
IF(K$5="","",
IF(Midterm!K41="",0,
IF(NOT(ISNUMBER(Midterm!K41)),"NAN",
IF(Midterm!K41&lt;0,"NEG",
IF(Midterm!K41&gt;K$5,"OVER",
IF(AND(K$5&lt;=100,Midterm!K41&gt;100),"ERR",
IF(Info!$B$4="Non-board program",
IF(OR(AND(K$5&gt;0,K$5&gt;100),AND(K$5&gt;0,K$5&lt;100)),
VLOOKUP(FLOOR((Midterm!K41/K$5)*100,1),new_transmute,2,FALSE),
VLOOKUP(Midterm!K41,new_transmute,2,FALSE)
),
IF(Info!$B$4="Board program",
IF(OR(AND(K$5&gt;0,K$5&gt;100),AND(K$5&gt;0,K$5&lt;100)),
VLOOKUP(FLOOR((Midterm!K41/K$5)*100,1),new_transmute,3,FALSE),
VLOOKUP(Midterm!K41,new_transmute,3,FALSE)
),
IF(Info!$B$4="Board program (Medicine)",
IF(OR(AND(K$5&gt;0,K$5&gt;100),AND(K$5&gt;0,K$5&lt;100)),
VLOOKUP(FLOOR((Midterm!K41/K$5)*100,1),new_transmute,4,FALSE),
VLOOKUP(Midterm!K41,new_transmute,4,FALSE)
),
""
)
)
)
)
)
)
)
)
))</f>
        <v/>
      </c>
      <c r="L41" s="14" t="str">
        <f>IF($B41="","",
IF(L$5="","",
IF(Midterm!L41="",0,
IF(NOT(ISNUMBER(Midterm!L41)),"NAN",
IF(Midterm!L41&lt;0,"NEG",
IF(Midterm!L41&gt;L$5,"OVER",
IF(AND(L$5&lt;=100,Midterm!L41&gt;100),"ERR",
IF(Info!$B$4="Non-board program",
IF(OR(AND(L$5&gt;0,L$5&gt;100),AND(L$5&gt;0,L$5&lt;100)),
VLOOKUP(FLOOR((Midterm!L41/L$5)*100,1),new_transmute,2,FALSE),
VLOOKUP(Midterm!L41,new_transmute,2,FALSE)
),
IF(Info!$B$4="Board program",
IF(OR(AND(L$5&gt;0,L$5&gt;100),AND(L$5&gt;0,L$5&lt;100)),
VLOOKUP(FLOOR((Midterm!L41/L$5)*100,1),new_transmute,3,FALSE),
VLOOKUP(Midterm!L41,new_transmute,3,FALSE)
),
IF(Info!$B$4="Board program (Medicine)",
IF(OR(AND(L$5&gt;0,L$5&gt;100),AND(L$5&gt;0,L$5&lt;100)),
VLOOKUP(FLOOR((Midterm!L41/L$5)*100,1),new_transmute,4,FALSE),
VLOOKUP(Midterm!L41,new_transmute,4,FALSE)
),
""
)
)
)
)
)
)
)
)
))</f>
        <v/>
      </c>
      <c r="M41" s="111" t="str">
        <f t="shared" si="2"/>
        <v/>
      </c>
      <c r="N41" s="14" t="str">
        <f>IF($B41="","",
IF(N$5="","",
IF(Midterm!N41="",0,
IF(NOT(ISNUMBER(Midterm!N41)),"NAN",
IF(Midterm!N41&lt;0,"NEG",
IF(Midterm!N41&gt;N$5,"OVER",
IF(AND(N$5&lt;=100,Midterm!N41&gt;100),"ERR",
IF(Info!$B$4="Non-board program",
IF(OR(AND(N$5&gt;0,N$5&gt;100),AND(N$5&gt;0,N$5&lt;100)),
VLOOKUP(FLOOR((Midterm!N41/N$5)*100,1),new_transmute,2,FALSE),
VLOOKUP(Midterm!N41,new_transmute,2,FALSE)
),
IF(Info!$B$4="Board program",
IF(OR(AND(N$5&gt;0,N$5&gt;100),AND(N$5&gt;0,N$5&lt;100)),
VLOOKUP(FLOOR((Midterm!N41/N$5)*100,1),new_transmute,3,FALSE),
VLOOKUP(Midterm!N41,new_transmute,3,FALSE)
),
IF(Info!$B$4="Board program (Medicine)",
IF(OR(AND(N$5&gt;0,N$5&gt;100),AND(N$5&gt;0,N$5&lt;100)),
VLOOKUP(FLOOR((Midterm!N41/N$5)*100,1),new_transmute,4,FALSE),
VLOOKUP(Midterm!N41,new_transmute,4,FALSE)
),
""
)
)
)
)
)
)
)
)
))</f>
        <v/>
      </c>
      <c r="O41" s="14" t="str">
        <f>IF($B41="","",
IF(O$5="","",
IF(Midterm!O41="",0,
IF(NOT(ISNUMBER(Midterm!O41)),"NAN",
IF(Midterm!O41&lt;0,"NEG",
IF(Midterm!O41&gt;O$5,"OVER",
IF(AND(O$5&lt;=100,Midterm!O41&gt;100),"ERR",
IF(Info!$B$4="Non-board program",
IF(OR(AND(O$5&gt;0,O$5&gt;100),AND(O$5&gt;0,O$5&lt;100)),
VLOOKUP(FLOOR((Midterm!O41/O$5)*100,1),new_transmute,2,FALSE),
VLOOKUP(Midterm!O41,new_transmute,2,FALSE)
),
IF(Info!$B$4="Board program",
IF(OR(AND(O$5&gt;0,O$5&gt;100),AND(O$5&gt;0,O$5&lt;100)),
VLOOKUP(FLOOR((Midterm!O41/O$5)*100,1),new_transmute,3,FALSE),
VLOOKUP(Midterm!O41,new_transmute,3,FALSE)
),
IF(Info!$B$4="Board program (Medicine)",
IF(OR(AND(O$5&gt;0,O$5&gt;100),AND(O$5&gt;0,O$5&lt;100)),
VLOOKUP(FLOOR((Midterm!O41/O$5)*100,1),new_transmute,4,FALSE),
VLOOKUP(Midterm!O41,new_transmute,4,FALSE)
),
""
)
)
)
)
)
)
)
)
))</f>
        <v/>
      </c>
      <c r="P41" s="14" t="str">
        <f>IF($B41="","",
IF(P$5="","",
IF(Midterm!P41="",0,
IF(NOT(ISNUMBER(Midterm!P41)),"NAN",
IF(Midterm!P41&lt;0,"NEG",
IF(Midterm!P41&gt;P$5,"OVER",
IF(AND(P$5&lt;=100,Midterm!P41&gt;100),"ERR",
IF(Info!$B$4="Non-board program",
IF(OR(AND(P$5&gt;0,P$5&gt;100),AND(P$5&gt;0,P$5&lt;100)),
VLOOKUP(FLOOR((Midterm!P41/P$5)*100,1),new_transmute,2,FALSE),
VLOOKUP(Midterm!P41,new_transmute,2,FALSE)
),
IF(Info!$B$4="Board program",
IF(OR(AND(P$5&gt;0,P$5&gt;100),AND(P$5&gt;0,P$5&lt;100)),
VLOOKUP(FLOOR((Midterm!P41/P$5)*100,1),new_transmute,3,FALSE),
VLOOKUP(Midterm!P41,new_transmute,3,FALSE)
),
IF(Info!$B$4="Board program (Medicine)",
IF(OR(AND(P$5&gt;0,P$5&gt;100),AND(P$5&gt;0,P$5&lt;100)),
VLOOKUP(FLOOR((Midterm!P41/P$5)*100,1),new_transmute,4,FALSE),
VLOOKUP(Midterm!P41,new_transmute,4,FALSE)
),
""
)
)
)
)
)
)
)
)
))</f>
        <v/>
      </c>
      <c r="Q41" s="14" t="str">
        <f>IF($B41="","",
IF(Q$5="","",
IF(Midterm!Q41="",0,
IF(NOT(ISNUMBER(Midterm!Q41)),"NAN",
IF(Midterm!Q41&lt;0,"NEG",
IF(Midterm!Q41&gt;Q$5,"OVER",
IF(AND(Q$5&lt;=100,Midterm!Q41&gt;100),"ERR",
IF(Info!$B$4="Non-board program",
IF(OR(AND(Q$5&gt;0,Q$5&gt;100),AND(Q$5&gt;0,Q$5&lt;100)),
VLOOKUP(FLOOR((Midterm!Q41/Q$5)*100,1),new_transmute,2,FALSE),
VLOOKUP(Midterm!Q41,new_transmute,2,FALSE)
),
IF(Info!$B$4="Board program",
IF(OR(AND(Q$5&gt;0,Q$5&gt;100),AND(Q$5&gt;0,Q$5&lt;100)),
VLOOKUP(FLOOR((Midterm!Q41/Q$5)*100,1),new_transmute,3,FALSE),
VLOOKUP(Midterm!Q41,new_transmute,3,FALSE)
),
IF(Info!$B$4="Board program (Medicine)",
IF(OR(AND(Q$5&gt;0,Q$5&gt;100),AND(Q$5&gt;0,Q$5&lt;100)),
VLOOKUP(FLOOR((Midterm!Q41/Q$5)*100,1),new_transmute,4,FALSE),
VLOOKUP(Midterm!Q41,new_transmute,4,FALSE)
),
""
)
)
)
)
)
)
)
)
))</f>
        <v/>
      </c>
      <c r="R41" s="14" t="str">
        <f>IF($B41="","",
IF(R$5="","",
IF(Midterm!R41="",0,
IF(NOT(ISNUMBER(Midterm!R41)),"NAN",
IF(Midterm!R41&lt;0,"NEG",
IF(Midterm!R41&gt;R$5,"OVER",
IF(AND(R$5&lt;=100,Midterm!R41&gt;100),"ERR",
IF(Info!$B$4="Non-board program",
IF(OR(AND(R$5&gt;0,R$5&gt;100),AND(R$5&gt;0,R$5&lt;100)),
VLOOKUP(FLOOR((Midterm!R41/R$5)*100,1),new_transmute,2,FALSE),
VLOOKUP(Midterm!R41,new_transmute,2,FALSE)
),
IF(Info!$B$4="Board program",
IF(OR(AND(R$5&gt;0,R$5&gt;100),AND(R$5&gt;0,R$5&lt;100)),
VLOOKUP(FLOOR((Midterm!R41/R$5)*100,1),new_transmute,3,FALSE),
VLOOKUP(Midterm!R41,new_transmute,3,FALSE)
),
IF(Info!$B$4="Board program (Medicine)",
IF(OR(AND(R$5&gt;0,R$5&gt;100),AND(R$5&gt;0,R$5&lt;100)),
VLOOKUP(FLOOR((Midterm!R41/R$5)*100,1),new_transmute,4,FALSE),
VLOOKUP(Midterm!R41,new_transmute,4,FALSE)
),
""
)
)
)
)
)
)
)
)
))</f>
        <v/>
      </c>
      <c r="S41" s="115" t="str">
        <f t="shared" si="3"/>
        <v/>
      </c>
      <c r="T41" s="14" t="str">
        <f>IF($B41="","",
IF(T$5="","",
IF(Midterm!T41="",0,
IF(NOT(ISNUMBER(Midterm!T41)),"NAN",
IF(Midterm!T41&lt;0,"NEG",
IF(Midterm!T41&gt;T$5,"OVER",
IF(AND(T$5&lt;=100,Midterm!T41&gt;100),"ERR",
IF(Info!$B$4="Non-board program",
IF(OR(AND(T$5&gt;0,T$5&gt;100),AND(T$5&gt;0,T$5&lt;100)),
VLOOKUP(FLOOR((Midterm!T41/T$5)*100,1),new_transmute,2,FALSE),
VLOOKUP(Midterm!T41,new_transmute,2,FALSE)
),
IF(Info!$B$4="Board program",
IF(OR(AND(T$5&gt;0,T$5&gt;100),AND(T$5&gt;0,T$5&lt;100)),
VLOOKUP(FLOOR((Midterm!T41/T$5)*100,1),new_transmute,3,FALSE),
VLOOKUP(Midterm!T41,new_transmute,3,FALSE)
),
IF(Info!$B$4="Board program (Medicine)",
IF(OR(AND(T$5&gt;0,T$5&gt;100),AND(T$5&gt;0,T$5&lt;100)),
VLOOKUP(FLOOR((Midterm!T41/T$5)*100,1),new_transmute,4,FALSE),
VLOOKUP(Midterm!T41,new_transmute,4,FALSE)
),
""
)
)
)
)
)
)
)
)
))</f>
        <v/>
      </c>
      <c r="U41" s="14" t="str">
        <f>IF($B41="","",
IF(U$5="","",
IF(Midterm!U41="",0,
IF(NOT(ISNUMBER(Midterm!U41)),"NAN",
IF(Midterm!U41&lt;0,"NEG",
IF(Midterm!U41&gt;U$5,"OVER",
IF(AND(U$5&lt;=100,Midterm!U41&gt;100),"ERR",
IF(Info!$B$4="Non-board program",
IF(OR(AND(U$5&gt;0,U$5&gt;100),AND(U$5&gt;0,U$5&lt;100)),
VLOOKUP(FLOOR((Midterm!U41/U$5)*100,1),new_transmute,2,FALSE),
VLOOKUP(Midterm!U41,new_transmute,2,FALSE)
),
IF(Info!$B$4="Board program",
IF(OR(AND(U$5&gt;0,U$5&gt;100),AND(U$5&gt;0,U$5&lt;100)),
VLOOKUP(FLOOR((Midterm!U41/U$5)*100,1),new_transmute,3,FALSE),
VLOOKUP(Midterm!U41,new_transmute,3,FALSE)
),
IF(Info!$B$4="Board program (Medicine)",
IF(OR(AND(U$5&gt;0,U$5&gt;100),AND(U$5&gt;0,U$5&lt;100)),
VLOOKUP(FLOOR((Midterm!U41/U$5)*100,1),new_transmute,4,FALSE),
VLOOKUP(Midterm!U41,new_transmute,4,FALSE)
),
""
)
)
)
)
)
)
)
)
))</f>
        <v/>
      </c>
      <c r="V41" s="14" t="str">
        <f>IF($B41="","",
IF(V$5="","",
IF(Midterm!V41="",0,
IF(NOT(ISNUMBER(Midterm!V41)),"NAN",
IF(Midterm!V41&lt;0,"NEG",
IF(Midterm!V41&gt;V$5,"OVER",
IF(AND(V$5&lt;=100,Midterm!V41&gt;100),"ERR",
IF(Info!$B$4="Non-board program",
IF(OR(AND(V$5&gt;0,V$5&gt;100),AND(V$5&gt;0,V$5&lt;100)),
VLOOKUP(FLOOR((Midterm!V41/V$5)*100,1),new_transmute,2,FALSE),
VLOOKUP(Midterm!V41,new_transmute,2,FALSE)
),
IF(Info!$B$4="Board program",
IF(OR(AND(V$5&gt;0,V$5&gt;100),AND(V$5&gt;0,V$5&lt;100)),
VLOOKUP(FLOOR((Midterm!V41/V$5)*100,1),new_transmute,3,FALSE),
VLOOKUP(Midterm!V41,new_transmute,3,FALSE)
),
IF(Info!$B$4="Board program (Medicine)",
IF(OR(AND(V$5&gt;0,V$5&gt;100),AND(V$5&gt;0,V$5&lt;100)),
VLOOKUP(FLOOR((Midterm!V41/V$5)*100,1),new_transmute,4,FALSE),
VLOOKUP(Midterm!V41,new_transmute,4,FALSE)
),
""
)
)
)
)
)
)
)
)
))</f>
        <v/>
      </c>
      <c r="W41" s="14" t="str">
        <f>IF($B41="","",
IF(W$5="","",
IF(Midterm!W41="",0,
IF(NOT(ISNUMBER(Midterm!W41)),"NAN",
IF(Midterm!W41&lt;0,"NEG",
IF(Midterm!W41&gt;W$5,"OVER",
IF(AND(W$5&lt;=100,Midterm!W41&gt;100),"ERR",
IF(Info!$B$4="Non-board program",
IF(OR(AND(W$5&gt;0,W$5&gt;100),AND(W$5&gt;0,W$5&lt;100)),
VLOOKUP(FLOOR((Midterm!W41/W$5)*100,1),new_transmute,2,FALSE),
VLOOKUP(Midterm!W41,new_transmute,2,FALSE)
),
IF(Info!$B$4="Board program",
IF(OR(AND(W$5&gt;0,W$5&gt;100),AND(W$5&gt;0,W$5&lt;100)),
VLOOKUP(FLOOR((Midterm!W41/W$5)*100,1),new_transmute,3,FALSE),
VLOOKUP(Midterm!W41,new_transmute,3,FALSE)
),
IF(Info!$B$4="Board program (Medicine)",
IF(OR(AND(W$5&gt;0,W$5&gt;100),AND(W$5&gt;0,W$5&lt;100)),
VLOOKUP(FLOOR((Midterm!W41/W$5)*100,1),new_transmute,4,FALSE),
VLOOKUP(Midterm!W41,new_transmute,4,FALSE)
),
""
)
)
)
)
)
)
)
)
))</f>
        <v/>
      </c>
      <c r="X41" s="14" t="str">
        <f>IF($B41="","",
IF(X$5="","",
IF(Midterm!X41="",0,
IF(NOT(ISNUMBER(Midterm!X41)),"NAN",
IF(Midterm!X41&lt;0,"NEG",
IF(Midterm!X41&gt;X$5,"OVER",
IF(AND(X$5&lt;=100,Midterm!X41&gt;100),"ERR",
IF(Info!$B$4="Non-board program",
IF(OR(AND(X$5&gt;0,X$5&gt;100),AND(X$5&gt;0,X$5&lt;100)),
VLOOKUP(FLOOR((Midterm!X41/X$5)*100,1),new_transmute,2,FALSE),
VLOOKUP(Midterm!X41,new_transmute,2,FALSE)
),
IF(Info!$B$4="Board program",
IF(OR(AND(X$5&gt;0,X$5&gt;100),AND(X$5&gt;0,X$5&lt;100)),
VLOOKUP(FLOOR((Midterm!X41/X$5)*100,1),new_transmute,3,FALSE),
VLOOKUP(Midterm!X41,new_transmute,3,FALSE)
),
IF(Info!$B$4="Board program (Medicine)",
IF(OR(AND(X$5&gt;0,X$5&gt;100),AND(X$5&gt;0,X$5&lt;100)),
VLOOKUP(FLOOR((Midterm!X41/X$5)*100,1),new_transmute,4,FALSE),
VLOOKUP(Midterm!X41,new_transmute,4,FALSE)
),
""
)
)
)
)
)
)
)
)
))</f>
        <v/>
      </c>
      <c r="Y41" s="112" t="str">
        <f t="shared" si="4"/>
        <v/>
      </c>
      <c r="Z41" s="14" t="str">
        <f>IF($B41="","",
IF(Z$5="","",
IF(Midterm!Z41="",0,
IF(NOT(ISNUMBER(Midterm!Z41)),"NAN",
IF(Midterm!Z41&lt;0,"NEG",
IF(Midterm!Z41&gt;Z$5,"OVER",
IF(AND(Z$5&lt;=100,Midterm!Z41&gt;100),"ERR",
IF(Info!$B$4="Non-board program",
IF(OR(AND(Z$5&gt;0,Z$5&gt;100),AND(Z$5&gt;0,Z$5&lt;100)),
VLOOKUP(FLOOR((Midterm!Z41/Z$5)*100,1),new_transmute,2,FALSE),
VLOOKUP(Midterm!Z41,new_transmute,2,FALSE)
),
IF(Info!$B$4="Board program",
IF(OR(AND(Z$5&gt;0,Z$5&gt;100),AND(Z$5&gt;0,Z$5&lt;100)),
VLOOKUP(FLOOR((Midterm!Z41/Z$5)*100,1),new_transmute,3,FALSE),
VLOOKUP(Midterm!Z41,new_transmute,3,FALSE)
),
IF(Info!$B$4="Board program (Medicine)",
IF(OR(AND(Z$5&gt;0,Z$5&gt;100),AND(Z$5&gt;0,Z$5&lt;100)),
VLOOKUP(FLOOR((Midterm!Z41/Z$5)*100,1),new_transmute,4,FALSE),
VLOOKUP(Midterm!Z41,new_transmute,4,FALSE)
),
""
)
)
)
)
)
)
)
)
))</f>
        <v/>
      </c>
      <c r="AA41" s="14" t="str">
        <f>IF($B41="","",
IF(AA$5="","",
IF(Midterm!AA41="",0,
IF(NOT(ISNUMBER(Midterm!AA41)),"NAN",
IF(Midterm!AA41&lt;0,"NEG",
IF(Midterm!AA41&gt;AA$5,"OVER",
IF(AND(AA$5&lt;=100,Midterm!AA41&gt;100),"ERR",
IF(Info!$B$4="Non-board program",
IF(OR(AND(AA$5&gt;0,AA$5&gt;100),AND(AA$5&gt;0,AA$5&lt;100)),
VLOOKUP(FLOOR((Midterm!AA41/AA$5)*100,1),new_transmute,2,FALSE),
VLOOKUP(Midterm!AA41,new_transmute,2,FALSE)
),
IF(Info!$B$4="Board program",
IF(OR(AND(AA$5&gt;0,AA$5&gt;100),AND(AA$5&gt;0,AA$5&lt;100)),
VLOOKUP(FLOOR((Midterm!AA41/AA$5)*100,1),new_transmute,3,FALSE),
VLOOKUP(Midterm!AA41,new_transmute,3,FALSE)
),
IF(Info!$B$4="Board program (Medicine)",
IF(OR(AND(AA$5&gt;0,AA$5&gt;100),AND(AA$5&gt;0,AA$5&lt;100)),
VLOOKUP(FLOOR((Midterm!AA41/AA$5)*100,1),new_transmute,4,FALSE),
VLOOKUP(Midterm!AA41,new_transmute,4,FALSE)
),
""
)
)
)
)
)
)
)
)
))</f>
        <v/>
      </c>
      <c r="AB41" s="14" t="str">
        <f>IF($B41="","",
IF(AB$5="","",
IF(Midterm!AB41="",0,
IF(NOT(ISNUMBER(Midterm!AB41)),"NAN",
IF(Midterm!AB41&lt;0,"NEG",
IF(Midterm!AB41&gt;AB$5,"OVER",
IF(AND(AB$5&lt;=100,Midterm!AB41&gt;100),"ERR",
IF(Info!$B$4="Non-board program",
IF(OR(AND(AB$5&gt;0,AB$5&gt;100),AND(AB$5&gt;0,AB$5&lt;100)),
VLOOKUP(FLOOR((Midterm!AB41/AB$5)*100,1),new_transmute,2,FALSE),
VLOOKUP(Midterm!AB41,new_transmute,2,FALSE)
),
IF(Info!$B$4="Board program",
IF(OR(AND(AB$5&gt;0,AB$5&gt;100),AND(AB$5&gt;0,AB$5&lt;100)),
VLOOKUP(FLOOR((Midterm!AB41/AB$5)*100,1),new_transmute,3,FALSE),
VLOOKUP(Midterm!AB41,new_transmute,3,FALSE)
),
IF(Info!$B$4="Board program (Medicine)",
IF(OR(AND(AB$5&gt;0,AB$5&gt;100),AND(AB$5&gt;0,AB$5&lt;100)),
VLOOKUP(FLOOR((Midterm!AB41/AB$5)*100,1),new_transmute,4,FALSE),
VLOOKUP(Midterm!AB41,new_transmute,4,FALSE)
),
""
)
)
)
)
)
)
)
)
))</f>
        <v/>
      </c>
      <c r="AC41" s="14" t="str">
        <f>IF($B41="","",
IF(AC$5="","",
IF(Midterm!AC41="",0,
IF(NOT(ISNUMBER(Midterm!AC41)),"NAN",
IF(Midterm!AC41&lt;0,"NEG",
IF(Midterm!AC41&gt;AC$5,"OVER",
IF(AND(AC$5&lt;=100,Midterm!AC41&gt;100),"ERR",
IF(Info!$B$4="Non-board program",
IF(OR(AND(AC$5&gt;0,AC$5&gt;100),AND(AC$5&gt;0,AC$5&lt;100)),
VLOOKUP(FLOOR((Midterm!AC41/AC$5)*100,1),new_transmute,2,FALSE),
VLOOKUP(Midterm!AC41,new_transmute,2,FALSE)
),
IF(Info!$B$4="Board program",
IF(OR(AND(AC$5&gt;0,AC$5&gt;100),AND(AC$5&gt;0,AC$5&lt;100)),
VLOOKUP(FLOOR((Midterm!AC41/AC$5)*100,1),new_transmute,3,FALSE),
VLOOKUP(Midterm!AC41,new_transmute,3,FALSE)
),
IF(Info!$B$4="Board program (Medicine)",
IF(OR(AND(AC$5&gt;0,AC$5&gt;100),AND(AC$5&gt;0,AC$5&lt;100)),
VLOOKUP(FLOOR((Midterm!AC41/AC$5)*100,1),new_transmute,4,FALSE),
VLOOKUP(Midterm!AC41,new_transmute,4,FALSE)
),
""
)
)
)
)
)
)
)
)
))</f>
        <v/>
      </c>
      <c r="AD41" s="14" t="str">
        <f>IF($B41="","",
IF(AD$5="","",
IF(Midterm!AD41="",0,
IF(NOT(ISNUMBER(Midterm!AD41)),"NAN",
IF(Midterm!AD41&lt;0,"NEG",
IF(Midterm!AD41&gt;AD$5,"OVER",
IF(AND(AD$5&lt;=100,Midterm!AD41&gt;100),"ERR",
IF(Info!$B$4="Non-board program",
IF(OR(AND(AD$5&gt;0,AD$5&gt;100),AND(AD$5&gt;0,AD$5&lt;100)),
VLOOKUP(FLOOR((Midterm!AD41/AD$5)*100,1),new_transmute,2,FALSE),
VLOOKUP(Midterm!AD41,new_transmute,2,FALSE)
),
IF(Info!$B$4="Board program",
IF(OR(AND(AD$5&gt;0,AD$5&gt;100),AND(AD$5&gt;0,AD$5&lt;100)),
VLOOKUP(FLOOR((Midterm!AD41/AD$5)*100,1),new_transmute,3,FALSE),
VLOOKUP(Midterm!AD41,new_transmute,3,FALSE)
),
IF(Info!$B$4="Board program (Medicine)",
IF(OR(AND(AD$5&gt;0,AD$5&gt;100),AND(AD$5&gt;0,AD$5&lt;100)),
VLOOKUP(FLOOR((Midterm!AD41/AD$5)*100,1),new_transmute,4,FALSE),
VLOOKUP(Midterm!AD41,new_transmute,4,FALSE)
),
""
)
)
)
)
)
)
)
)
))</f>
        <v/>
      </c>
      <c r="AE41" s="58" t="str">
        <f t="shared" si="5"/>
        <v/>
      </c>
      <c r="AF41" s="14" t="str">
        <f>IF($B41="","",
IF(AF$5="","",
IF(Midterm!AF41="",0,
IF(NOT(ISNUMBER(Midterm!AF41)),"NAN",
IF(Midterm!AF41&lt;0,"NEG",
IF(Midterm!AF41&gt;AF$5,"OVER",
IF(AND(AF$5&lt;=100,Midterm!AF41&gt;100),"ERR",
IF(Info!$B$4="Non-board program",
IF(OR(AND(AF$5&gt;0,AF$5&gt;100),AND(AF$5&gt;0,AF$5&lt;100)),
VLOOKUP(FLOOR((Midterm!AF41/AF$5)*100,1),new_transmute,2,FALSE),
VLOOKUP(Midterm!AF41,new_transmute,2,FALSE)
),
IF(Info!$B$4="Board program",
IF(OR(AND(AF$5&gt;0,AF$5&gt;100),AND(AF$5&gt;0,AF$5&lt;100)),
VLOOKUP(FLOOR((Midterm!AF41/AF$5)*100,1),new_transmute,3,FALSE),
VLOOKUP(Midterm!AF41,new_transmute,3,FALSE)
),
IF(Info!$B$4="Board program (Medicine)",
IF(OR(AND(AF$5&gt;0,AF$5&gt;100),AND(AF$5&gt;0,AF$5&lt;100)),
VLOOKUP(FLOOR((Midterm!AF41/AF$5)*100,1),new_transmute,4,FALSE),
VLOOKUP(Midterm!AF41,new_transmute,4,FALSE)
),
""
)
)
)
)
)
)
)
)
))</f>
        <v/>
      </c>
      <c r="AG41" s="14" t="str">
        <f>IF($B41="","",
IF(AG$5="","",
IF(Midterm!AG41="",0,
IF(NOT(ISNUMBER(Midterm!AG41)),"NAN",
IF(Midterm!AG41&lt;0,"NEG",
IF(Midterm!AG41&gt;AG$5,"OVER",
IF(AND(AG$5&lt;=100,Midterm!AG41&gt;100),"ERR",
IF(Info!$B$4="Non-board program",
IF(OR(AND(AG$5&gt;0,AG$5&gt;100),AND(AG$5&gt;0,AG$5&lt;100)),
VLOOKUP(FLOOR((Midterm!AG41/AG$5)*100,1),new_transmute,2,FALSE),
VLOOKUP(Midterm!AG41,new_transmute,2,FALSE)
),
IF(Info!$B$4="Board program",
IF(OR(AND(AG$5&gt;0,AG$5&gt;100),AND(AG$5&gt;0,AG$5&lt;100)),
VLOOKUP(FLOOR((Midterm!AG41/AG$5)*100,1),new_transmute,3,FALSE),
VLOOKUP(Midterm!AG41,new_transmute,3,FALSE)
),
IF(Info!$B$4="Board program (Medicine)",
IF(OR(AND(AG$5&gt;0,AG$5&gt;100),AND(AG$5&gt;0,AG$5&lt;100)),
VLOOKUP(FLOOR((Midterm!AG41/AG$5)*100,1),new_transmute,4,FALSE),
VLOOKUP(Midterm!AG41,new_transmute,4,FALSE)
),
""
)
)
)
)
)
)
)
)
))</f>
        <v/>
      </c>
      <c r="AH41" s="14" t="str">
        <f>IF($B41="","",
IF(AH$5="","",
IF(Midterm!AH41="",0,
IF(NOT(ISNUMBER(Midterm!AH41)),"NAN",
IF(Midterm!AH41&lt;0,"NEG",
IF(Midterm!AH41&gt;AH$5,"OVER",
IF(AND(AH$5&lt;=100,Midterm!AH41&gt;100),"ERR",
IF(Info!$B$4="Non-board program",
IF(OR(AND(AH$5&gt;0,AH$5&gt;100),AND(AH$5&gt;0,AH$5&lt;100)),
VLOOKUP(FLOOR((Midterm!AH41/AH$5)*100,1),new_transmute,2,FALSE),
VLOOKUP(Midterm!AH41,new_transmute,2,FALSE)
),
IF(Info!$B$4="Board program",
IF(OR(AND(AH$5&gt;0,AH$5&gt;100),AND(AH$5&gt;0,AH$5&lt;100)),
VLOOKUP(FLOOR((Midterm!AH41/AH$5)*100,1),new_transmute,3,FALSE),
VLOOKUP(Midterm!AH41,new_transmute,3,FALSE)
),
IF(Info!$B$4="Board program (Medicine)",
IF(OR(AND(AH$5&gt;0,AH$5&gt;100),AND(AH$5&gt;0,AH$5&lt;100)),
VLOOKUP(FLOOR((Midterm!AH41/AH$5)*100,1),new_transmute,4,FALSE),
VLOOKUP(Midterm!AH41,new_transmute,4,FALSE)
),
""
)
)
)
)
)
)
)
)
))</f>
        <v/>
      </c>
      <c r="AI41" s="14" t="str">
        <f>IF($B41="","",
IF(AI$5="","",
IF(Midterm!AI41="",0,
IF(NOT(ISNUMBER(Midterm!AI41)),"NAN",
IF(Midterm!AI41&lt;0,"NEG",
IF(Midterm!AI41&gt;AI$5,"OVER",
IF(AND(AI$5&lt;=100,Midterm!AI41&gt;100),"ERR",
IF(Info!$B$4="Non-board program",
IF(OR(AND(AI$5&gt;0,AI$5&gt;100),AND(AI$5&gt;0,AI$5&lt;100)),
VLOOKUP(FLOOR((Midterm!AI41/AI$5)*100,1),new_transmute,2,FALSE),
VLOOKUP(Midterm!AI41,new_transmute,2,FALSE)
),
IF(Info!$B$4="Board program",
IF(OR(AND(AI$5&gt;0,AI$5&gt;100),AND(AI$5&gt;0,AI$5&lt;100)),
VLOOKUP(FLOOR((Midterm!AI41/AI$5)*100,1),new_transmute,3,FALSE),
VLOOKUP(Midterm!AI41,new_transmute,3,FALSE)
),
IF(Info!$B$4="Board program (Medicine)",
IF(OR(AND(AI$5&gt;0,AI$5&gt;100),AND(AI$5&gt;0,AI$5&lt;100)),
VLOOKUP(FLOOR((Midterm!AI41/AI$5)*100,1),new_transmute,4,FALSE),
VLOOKUP(Midterm!AI41,new_transmute,4,FALSE)
),
""
)
)
)
)
)
)
)
)
))</f>
        <v/>
      </c>
      <c r="AJ41" s="14" t="str">
        <f>IF($B41="","",
IF(AJ$5="","",
IF(Midterm!AJ41="",0,
IF(NOT(ISNUMBER(Midterm!AJ41)),"NAN",
IF(Midterm!AJ41&lt;0,"NEG",
IF(Midterm!AJ41&gt;AJ$5,"OVER",
IF(AND(AJ$5&lt;=100,Midterm!AJ41&gt;100),"ERR",
IF(Info!$B$4="Non-board program",
IF(OR(AND(AJ$5&gt;0,AJ$5&gt;100),AND(AJ$5&gt;0,AJ$5&lt;100)),
VLOOKUP(FLOOR((Midterm!AJ41/AJ$5)*100,1),new_transmute,2,FALSE),
VLOOKUP(Midterm!AJ41,new_transmute,2,FALSE)
),
IF(Info!$B$4="Board program",
IF(OR(AND(AJ$5&gt;0,AJ$5&gt;100),AND(AJ$5&gt;0,AJ$5&lt;100)),
VLOOKUP(FLOOR((Midterm!AJ41/AJ$5)*100,1),new_transmute,3,FALSE),
VLOOKUP(Midterm!AJ41,new_transmute,3,FALSE)
),
IF(Info!$B$4="Board program (Medicine)",
IF(OR(AND(AJ$5&gt;0,AJ$5&gt;100),AND(AJ$5&gt;0,AJ$5&lt;100)),
VLOOKUP(FLOOR((Midterm!AJ41/AJ$5)*100,1),new_transmute,4,FALSE),
VLOOKUP(Midterm!AJ41,new_transmute,4,FALSE)
),
""
)
)
)
)
)
)
)
)
))</f>
        <v/>
      </c>
      <c r="AK41" s="59" t="str">
        <f t="shared" si="6"/>
        <v/>
      </c>
      <c r="AL41" s="60" t="str">
        <f>IF(B41="", "",
    IF(OR(M41="OVER", S41="OVER", Y41="OVER", AE41="OVER", AK41="OVER"),
        "OVER",
        IF(Info!$B$4="Non-board program",
            VLOOKUP(IFERROR(FLOOR(SUM((M41*$M$4), (S41*$S$4), (Y41*$Y$4), (AE41*$AE$4), (AK41*$AK$4)) * (100 / 60), 1), 0), new_transmute, 2, FALSE),
            IF(Info!$B$4="Board program",
                VLOOKUP(IFERROR(FLOOR(SUM((M41*$M$4), (S41*$S$4), (Y41*$Y$4), (AE41*$AE$4), (AK41*$AK$4)) * (100 / 60), 1), 0), new_transmute, 3, FALSE),
                IF(Info!$B$4="Board program (Medicine)",
                    VLOOKUP(IFERROR(FLOOR(SUM((M41*$M$4), (S41*$S$4), (Y41*$Y$4), (AE41*$AE$4), (AK41*$AK$4)) * (100 / 60), 1), 0), new_transmute, 4, FALSE),
                    ""
                )
            )
        )
    )
)</f>
        <v/>
      </c>
      <c r="AM41" s="14" t="str">
        <f>IF($B41="","",
IF(AM$5="","",
IF(Midterm!AM41="",0,
IF(NOT(ISNUMBER(Midterm!AM41)),"NAN",
IF(Midterm!AM41&lt;0,"NEG",
IF(Midterm!AM41&gt;AM$5,"OVER",
IF(AND(AM$5&lt;=100,Midterm!AM41&gt;100),"ERR",
IF(Info!$B$4="Non-board program",
IF(OR(AND(AM$5&gt;0,AM$5&gt;100),AND(AM$5&gt;0,AM$5&lt;100)),
VLOOKUP(FLOOR((Midterm!AM41/AM$5)*100,1),new_transmute,2,FALSE),
VLOOKUP(Midterm!AM41,new_transmute,2,FALSE)
),
IF(Info!$B$4="Board program",
IF(OR(AND(AM$5&gt;0,AM$5&gt;100),AND(AM$5&gt;0,AM$5&lt;100)),
VLOOKUP(FLOOR((Midterm!AM41/AM$5)*100,1),new_transmute,3,FALSE),
VLOOKUP(Midterm!AM41,new_transmute,3,FALSE)
),
IF(Info!$B$4="Board program (Medicine)",
IF(OR(AND(AM$5&gt;0,AM$5&gt;100),AND(AM$5&gt;0,AM$5&lt;100)),
VLOOKUP(FLOOR((Midterm!AM41/AM$5)*100,1),new_transmute,4,FALSE),
VLOOKUP(Midterm!AM41,new_transmute,4,FALSE)
),
""
)
)
)
)
)
)
)
)
))</f>
        <v/>
      </c>
      <c r="AN41" s="14" t="str">
        <f>IF($B41="","",
IF(AN$5="","",
IF(Midterm!AN41="",0,
IF(NOT(ISNUMBER(Midterm!AN41)),"NAN",
IF(Midterm!AN41&lt;0,"NEG",
IF(Midterm!AN41&gt;AN$5,"OVER",
IF(AND(AN$5&lt;=100,Midterm!AN41&gt;100),"ERR",
IF(Info!$B$4="Non-board program",
IF(OR(AND(AN$5&gt;0,AN$5&gt;100),AND(AN$5&gt;0,AN$5&lt;100)),
VLOOKUP(FLOOR((Midterm!AN41/AN$5)*100,1),new_transmute,2,FALSE),
VLOOKUP(Midterm!AN41,new_transmute,2,FALSE)
),
IF(Info!$B$4="Board program",
IF(OR(AND(AN$5&gt;0,AN$5&gt;100),AND(AN$5&gt;0,AN$5&lt;100)),
VLOOKUP(FLOOR((Midterm!AN41/AN$5)*100,1),new_transmute,3,FALSE),
VLOOKUP(Midterm!AN41,new_transmute,3,FALSE)
),
IF(Info!$B$4="Board program (Medicine)",
IF(OR(AND(AN$5&gt;0,AN$5&gt;100),AND(AN$5&gt;0,AN$5&lt;100)),
VLOOKUP(FLOOR((Midterm!AN41/AN$5)*100,1),new_transmute,4,FALSE),
VLOOKUP(Midterm!AN41,new_transmute,4,FALSE)
),
""
)
)
)
)
)
)
)
)
))</f>
        <v/>
      </c>
      <c r="AO41" s="14" t="str">
        <f>IF($B41="","",
IF(AO$5="","",
IF(Midterm!AO41="",0,
IF(NOT(ISNUMBER(Midterm!AO41)),"NAN",
IF(Midterm!AO41&lt;0,"NEG",
IF(Midterm!AO41&gt;AO$5,"OVER",
IF(AND(AO$5&lt;=100,Midterm!AO41&gt;100),"ERR",
IF(Info!$B$4="Non-board program",
IF(OR(AND(AO$5&gt;0,AO$5&gt;100),AND(AO$5&gt;0,AO$5&lt;100)),
VLOOKUP(FLOOR((Midterm!AO41/AO$5)*100,1),new_transmute,2,FALSE),
VLOOKUP(Midterm!AO41,new_transmute,2,FALSE)
),
IF(Info!$B$4="Board program",
IF(OR(AND(AO$5&gt;0,AO$5&gt;100),AND(AO$5&gt;0,AO$5&lt;100)),
VLOOKUP(FLOOR((Midterm!AO41/AO$5)*100,1),new_transmute,3,FALSE),
VLOOKUP(Midterm!AO41,new_transmute,3,FALSE)
),
IF(Info!$B$4="Board program (Medicine)",
IF(OR(AND(AO$5&gt;0,AO$5&gt;100),AND(AO$5&gt;0,AO$5&lt;100)),
VLOOKUP(FLOOR((Midterm!AO41/AO$5)*100,1),new_transmute,4,FALSE),
VLOOKUP(Midterm!AO41,new_transmute,4,FALSE)
),
""
)
)
)
)
)
)
)
)
))</f>
        <v/>
      </c>
      <c r="AP41" s="14" t="str">
        <f>IF($B41="","",
IF(AP$5="","",
IF(Midterm!AP41="",0,
IF(NOT(ISNUMBER(Midterm!AP41)),"NAN",
IF(Midterm!AP41&lt;0,"NEG",
IF(Midterm!AP41&gt;AP$5,"OVER",
IF(AND(AP$5&lt;=100,Midterm!AP41&gt;100),"ERR",
IF(Info!$B$4="Non-board program",
IF(OR(AND(AP$5&gt;0,AP$5&gt;100),AND(AP$5&gt;0,AP$5&lt;100)),
VLOOKUP(FLOOR((Midterm!AP41/AP$5)*100,1),new_transmute,2,FALSE),
VLOOKUP(Midterm!AP41,new_transmute,2,FALSE)
),
IF(Info!$B$4="Board program",
IF(OR(AND(AP$5&gt;0,AP$5&gt;100),AND(AP$5&gt;0,AP$5&lt;100)),
VLOOKUP(FLOOR((Midterm!AP41/AP$5)*100,1),new_transmute,3,FALSE),
VLOOKUP(Midterm!AP41,new_transmute,3,FALSE)
),
IF(Info!$B$4="Board program (Medicine)",
IF(OR(AND(AP$5&gt;0,AP$5&gt;100),AND(AP$5&gt;0,AP$5&lt;100)),
VLOOKUP(FLOOR((Midterm!AP41/AP$5)*100,1),new_transmute,4,FALSE),
VLOOKUP(Midterm!AP41,new_transmute,4,FALSE)
),
""
)
)
)
)
)
)
)
)
))</f>
        <v/>
      </c>
      <c r="AQ41" s="61" t="str">
        <f t="shared" si="7"/>
        <v/>
      </c>
      <c r="AR41" s="48" t="str">
        <f>IF(Midterm!AR41="","",Midterm!AR41)</f>
        <v/>
      </c>
      <c r="AS41" s="165" t="str">
        <f t="shared" si="8"/>
        <v/>
      </c>
      <c r="AT41" s="14" t="str">
        <f t="shared" si="9"/>
        <v/>
      </c>
      <c r="AU41" s="14" t="str">
        <f>IF(B41="","",VLOOKUP(AT41,'New Grade Equivalent'!$B$3:$C$47,2,FALSE))</f>
        <v/>
      </c>
    </row>
    <row r="42" spans="1:47" x14ac:dyDescent="0.25">
      <c r="A42" s="8">
        <v>37</v>
      </c>
      <c r="B42" s="2" t="str">
        <f>IF('Student List'!C46="","",UPPER(LEFT('Student List'!C46,FIND(",",'Student List'!C46)-1)))</f>
        <v/>
      </c>
      <c r="C42" s="12" t="str">
        <f>IF('Student List'!C46="","",PROPER(MID('Student List'!C46, FIND(",", 'Student List'!C46) + 2, LEN('Student List'!C46) - FIND(",", 'Student List'!C46) - 1)))</f>
        <v/>
      </c>
      <c r="D42" s="127" t="str">
        <f>IF(B42="","",IF(Midterm!D42="", "NA", Midterm!D42))</f>
        <v/>
      </c>
      <c r="E42" s="8" t="str">
        <f>IF(B42="","",
  IF(Info!$B$5="First Year",
    IF(D42="Yes", "DRP",
      IF(D42="No", "WF", "")
    )
  )
)</f>
        <v/>
      </c>
      <c r="F42" s="14" t="str">
        <f>IF($B42="","",
IF(F$5="","",
IF(Midterm!F42="",0,
IF(NOT(ISNUMBER(Midterm!F42)),"NAN",
IF(Midterm!F42&lt;0,"NEG",
IF(Midterm!F42&gt;F$5,"OVER",
IF(AND(F$5&lt;=100,Midterm!F42&gt;100),"ERR",
IF(Info!$B$4="Non-board program",
IF(OR(AND(F$5&gt;0,F$5&gt;100),AND(F$5&gt;0,F$5&lt;100)),
VLOOKUP(FLOOR((Midterm!F42/F$5)*100,1),new_transmute,2,FALSE),
VLOOKUP(Midterm!F42,new_transmute,2,FALSE)
),
IF(Info!$B$4="Board program",
IF(OR(AND(F$5&gt;0,F$5&gt;100),AND(F$5&gt;0,F$5&lt;100)),
VLOOKUP(FLOOR((Midterm!F42/F$5)*100,1),new_transmute,3,FALSE),
VLOOKUP(Midterm!F42,new_transmute,3,FALSE)
),
IF(Info!$B$4="Board program (Medicine)",
IF(OR(AND(F$5&gt;0,F$5&gt;100),AND(F$5&gt;0,F$5&lt;100)),
VLOOKUP(FLOOR((Midterm!F42/F$5)*100,1),new_transmute,4,FALSE),
VLOOKUP(Midterm!F42,new_transmute,4,FALSE)
),
""
)
)
)
)
)
)
)
)
))</f>
        <v/>
      </c>
      <c r="G42" s="57" t="str">
        <f t="shared" si="1"/>
        <v/>
      </c>
      <c r="H42" s="14" t="str">
        <f>IF($B42="","",
IF(H$5="","",
IF(Midterm!H42="",0,
IF(NOT(ISNUMBER(Midterm!H42)),"NAN",
IF(Midterm!H42&lt;0,"NEG",
IF(Midterm!H42&gt;H$5,"OVER",
IF(AND(H$5&lt;=100,Midterm!H42&gt;100),"ERR",
IF(Info!$B$4="Non-board program",
IF(OR(AND(H$5&gt;0,H$5&gt;100),AND(H$5&gt;0,H$5&lt;100)),
VLOOKUP(FLOOR((Midterm!H42/H$5)*100,1),new_transmute,2,FALSE),
VLOOKUP(Midterm!H42,new_transmute,2,FALSE)
),
IF(Info!$B$4="Board program",
IF(OR(AND(H$5&gt;0,H$5&gt;100),AND(H$5&gt;0,H$5&lt;100)),
VLOOKUP(FLOOR((Midterm!H42/H$5)*100,1),new_transmute,3,FALSE),
VLOOKUP(Midterm!H42,new_transmute,3,FALSE)
),
IF(Info!$B$4="Board program (Medicine)",
IF(OR(AND(H$5&gt;0,H$5&gt;100),AND(H$5&gt;0,H$5&lt;100)),
VLOOKUP(FLOOR((Midterm!H42/H$5)*100,1),new_transmute,4,FALSE),
VLOOKUP(Midterm!H42,new_transmute,4,FALSE)
),
""
)
)
)
)
)
)
)
)
))</f>
        <v/>
      </c>
      <c r="I42" s="14" t="str">
        <f>IF($B42="","",
IF(I$5="","",
IF(Midterm!I42="",0,
IF(NOT(ISNUMBER(Midterm!I42)),"NAN",
IF(Midterm!I42&lt;0,"NEG",
IF(Midterm!I42&gt;I$5,"OVER",
IF(AND(I$5&lt;=100,Midterm!I42&gt;100),"ERR",
IF(Info!$B$4="Non-board program",
IF(OR(AND(I$5&gt;0,I$5&gt;100),AND(I$5&gt;0,I$5&lt;100)),
VLOOKUP(FLOOR((Midterm!I42/I$5)*100,1),new_transmute,2,FALSE),
VLOOKUP(Midterm!I42,new_transmute,2,FALSE)
),
IF(Info!$B$4="Board program",
IF(OR(AND(I$5&gt;0,I$5&gt;100),AND(I$5&gt;0,I$5&lt;100)),
VLOOKUP(FLOOR((Midterm!I42/I$5)*100,1),new_transmute,3,FALSE),
VLOOKUP(Midterm!I42,new_transmute,3,FALSE)
),
IF(Info!$B$4="Board program (Medicine)",
IF(OR(AND(I$5&gt;0,I$5&gt;100),AND(I$5&gt;0,I$5&lt;100)),
VLOOKUP(FLOOR((Midterm!I42/I$5)*100,1),new_transmute,4,FALSE),
VLOOKUP(Midterm!I42,new_transmute,4,FALSE)
),
""
)
)
)
)
)
)
)
)
))</f>
        <v/>
      </c>
      <c r="J42" s="14" t="str">
        <f>IF($B42="","",
IF(J$5="","",
IF(Midterm!J42="",0,
IF(NOT(ISNUMBER(Midterm!J42)),"NAN",
IF(Midterm!J42&lt;0,"NEG",
IF(Midterm!J42&gt;J$5,"OVER",
IF(AND(J$5&lt;=100,Midterm!J42&gt;100),"ERR",
IF(Info!$B$4="Non-board program",
IF(OR(AND(J$5&gt;0,J$5&gt;100),AND(J$5&gt;0,J$5&lt;100)),
VLOOKUP(FLOOR((Midterm!J42/J$5)*100,1),new_transmute,2,FALSE),
VLOOKUP(Midterm!J42,new_transmute,2,FALSE)
),
IF(Info!$B$4="Board program",
IF(OR(AND(J$5&gt;0,J$5&gt;100),AND(J$5&gt;0,J$5&lt;100)),
VLOOKUP(FLOOR((Midterm!J42/J$5)*100,1),new_transmute,3,FALSE),
VLOOKUP(Midterm!J42,new_transmute,3,FALSE)
),
IF(Info!$B$4="Board program (Medicine)",
IF(OR(AND(J$5&gt;0,J$5&gt;100),AND(J$5&gt;0,J$5&lt;100)),
VLOOKUP(FLOOR((Midterm!J42/J$5)*100,1),new_transmute,4,FALSE),
VLOOKUP(Midterm!J42,new_transmute,4,FALSE)
),
""
)
)
)
)
)
)
)
)
))</f>
        <v/>
      </c>
      <c r="K42" s="14" t="str">
        <f>IF($B42="","",
IF(K$5="","",
IF(Midterm!K42="",0,
IF(NOT(ISNUMBER(Midterm!K42)),"NAN",
IF(Midterm!K42&lt;0,"NEG",
IF(Midterm!K42&gt;K$5,"OVER",
IF(AND(K$5&lt;=100,Midterm!K42&gt;100),"ERR",
IF(Info!$B$4="Non-board program",
IF(OR(AND(K$5&gt;0,K$5&gt;100),AND(K$5&gt;0,K$5&lt;100)),
VLOOKUP(FLOOR((Midterm!K42/K$5)*100,1),new_transmute,2,FALSE),
VLOOKUP(Midterm!K42,new_transmute,2,FALSE)
),
IF(Info!$B$4="Board program",
IF(OR(AND(K$5&gt;0,K$5&gt;100),AND(K$5&gt;0,K$5&lt;100)),
VLOOKUP(FLOOR((Midterm!K42/K$5)*100,1),new_transmute,3,FALSE),
VLOOKUP(Midterm!K42,new_transmute,3,FALSE)
),
IF(Info!$B$4="Board program (Medicine)",
IF(OR(AND(K$5&gt;0,K$5&gt;100),AND(K$5&gt;0,K$5&lt;100)),
VLOOKUP(FLOOR((Midterm!K42/K$5)*100,1),new_transmute,4,FALSE),
VLOOKUP(Midterm!K42,new_transmute,4,FALSE)
),
""
)
)
)
)
)
)
)
)
))</f>
        <v/>
      </c>
      <c r="L42" s="14" t="str">
        <f>IF($B42="","",
IF(L$5="","",
IF(Midterm!L42="",0,
IF(NOT(ISNUMBER(Midterm!L42)),"NAN",
IF(Midterm!L42&lt;0,"NEG",
IF(Midterm!L42&gt;L$5,"OVER",
IF(AND(L$5&lt;=100,Midterm!L42&gt;100),"ERR",
IF(Info!$B$4="Non-board program",
IF(OR(AND(L$5&gt;0,L$5&gt;100),AND(L$5&gt;0,L$5&lt;100)),
VLOOKUP(FLOOR((Midterm!L42/L$5)*100,1),new_transmute,2,FALSE),
VLOOKUP(Midterm!L42,new_transmute,2,FALSE)
),
IF(Info!$B$4="Board program",
IF(OR(AND(L$5&gt;0,L$5&gt;100),AND(L$5&gt;0,L$5&lt;100)),
VLOOKUP(FLOOR((Midterm!L42/L$5)*100,1),new_transmute,3,FALSE),
VLOOKUP(Midterm!L42,new_transmute,3,FALSE)
),
IF(Info!$B$4="Board program (Medicine)",
IF(OR(AND(L$5&gt;0,L$5&gt;100),AND(L$5&gt;0,L$5&lt;100)),
VLOOKUP(FLOOR((Midterm!L42/L$5)*100,1),new_transmute,4,FALSE),
VLOOKUP(Midterm!L42,new_transmute,4,FALSE)
),
""
)
)
)
)
)
)
)
)
))</f>
        <v/>
      </c>
      <c r="M42" s="111" t="str">
        <f t="shared" si="2"/>
        <v/>
      </c>
      <c r="N42" s="14" t="str">
        <f>IF($B42="","",
IF(N$5="","",
IF(Midterm!N42="",0,
IF(NOT(ISNUMBER(Midterm!N42)),"NAN",
IF(Midterm!N42&lt;0,"NEG",
IF(Midterm!N42&gt;N$5,"OVER",
IF(AND(N$5&lt;=100,Midterm!N42&gt;100),"ERR",
IF(Info!$B$4="Non-board program",
IF(OR(AND(N$5&gt;0,N$5&gt;100),AND(N$5&gt;0,N$5&lt;100)),
VLOOKUP(FLOOR((Midterm!N42/N$5)*100,1),new_transmute,2,FALSE),
VLOOKUP(Midterm!N42,new_transmute,2,FALSE)
),
IF(Info!$B$4="Board program",
IF(OR(AND(N$5&gt;0,N$5&gt;100),AND(N$5&gt;0,N$5&lt;100)),
VLOOKUP(FLOOR((Midterm!N42/N$5)*100,1),new_transmute,3,FALSE),
VLOOKUP(Midterm!N42,new_transmute,3,FALSE)
),
IF(Info!$B$4="Board program (Medicine)",
IF(OR(AND(N$5&gt;0,N$5&gt;100),AND(N$5&gt;0,N$5&lt;100)),
VLOOKUP(FLOOR((Midterm!N42/N$5)*100,1),new_transmute,4,FALSE),
VLOOKUP(Midterm!N42,new_transmute,4,FALSE)
),
""
)
)
)
)
)
)
)
)
))</f>
        <v/>
      </c>
      <c r="O42" s="14" t="str">
        <f>IF($B42="","",
IF(O$5="","",
IF(Midterm!O42="",0,
IF(NOT(ISNUMBER(Midterm!O42)),"NAN",
IF(Midterm!O42&lt;0,"NEG",
IF(Midterm!O42&gt;O$5,"OVER",
IF(AND(O$5&lt;=100,Midterm!O42&gt;100),"ERR",
IF(Info!$B$4="Non-board program",
IF(OR(AND(O$5&gt;0,O$5&gt;100),AND(O$5&gt;0,O$5&lt;100)),
VLOOKUP(FLOOR((Midterm!O42/O$5)*100,1),new_transmute,2,FALSE),
VLOOKUP(Midterm!O42,new_transmute,2,FALSE)
),
IF(Info!$B$4="Board program",
IF(OR(AND(O$5&gt;0,O$5&gt;100),AND(O$5&gt;0,O$5&lt;100)),
VLOOKUP(FLOOR((Midterm!O42/O$5)*100,1),new_transmute,3,FALSE),
VLOOKUP(Midterm!O42,new_transmute,3,FALSE)
),
IF(Info!$B$4="Board program (Medicine)",
IF(OR(AND(O$5&gt;0,O$5&gt;100),AND(O$5&gt;0,O$5&lt;100)),
VLOOKUP(FLOOR((Midterm!O42/O$5)*100,1),new_transmute,4,FALSE),
VLOOKUP(Midterm!O42,new_transmute,4,FALSE)
),
""
)
)
)
)
)
)
)
)
))</f>
        <v/>
      </c>
      <c r="P42" s="14" t="str">
        <f>IF($B42="","",
IF(P$5="","",
IF(Midterm!P42="",0,
IF(NOT(ISNUMBER(Midterm!P42)),"NAN",
IF(Midterm!P42&lt;0,"NEG",
IF(Midterm!P42&gt;P$5,"OVER",
IF(AND(P$5&lt;=100,Midterm!P42&gt;100),"ERR",
IF(Info!$B$4="Non-board program",
IF(OR(AND(P$5&gt;0,P$5&gt;100),AND(P$5&gt;0,P$5&lt;100)),
VLOOKUP(FLOOR((Midterm!P42/P$5)*100,1),new_transmute,2,FALSE),
VLOOKUP(Midterm!P42,new_transmute,2,FALSE)
),
IF(Info!$B$4="Board program",
IF(OR(AND(P$5&gt;0,P$5&gt;100),AND(P$5&gt;0,P$5&lt;100)),
VLOOKUP(FLOOR((Midterm!P42/P$5)*100,1),new_transmute,3,FALSE),
VLOOKUP(Midterm!P42,new_transmute,3,FALSE)
),
IF(Info!$B$4="Board program (Medicine)",
IF(OR(AND(P$5&gt;0,P$5&gt;100),AND(P$5&gt;0,P$5&lt;100)),
VLOOKUP(FLOOR((Midterm!P42/P$5)*100,1),new_transmute,4,FALSE),
VLOOKUP(Midterm!P42,new_transmute,4,FALSE)
),
""
)
)
)
)
)
)
)
)
))</f>
        <v/>
      </c>
      <c r="Q42" s="14" t="str">
        <f>IF($B42="","",
IF(Q$5="","",
IF(Midterm!Q42="",0,
IF(NOT(ISNUMBER(Midterm!Q42)),"NAN",
IF(Midterm!Q42&lt;0,"NEG",
IF(Midterm!Q42&gt;Q$5,"OVER",
IF(AND(Q$5&lt;=100,Midterm!Q42&gt;100),"ERR",
IF(Info!$B$4="Non-board program",
IF(OR(AND(Q$5&gt;0,Q$5&gt;100),AND(Q$5&gt;0,Q$5&lt;100)),
VLOOKUP(FLOOR((Midterm!Q42/Q$5)*100,1),new_transmute,2,FALSE),
VLOOKUP(Midterm!Q42,new_transmute,2,FALSE)
),
IF(Info!$B$4="Board program",
IF(OR(AND(Q$5&gt;0,Q$5&gt;100),AND(Q$5&gt;0,Q$5&lt;100)),
VLOOKUP(FLOOR((Midterm!Q42/Q$5)*100,1),new_transmute,3,FALSE),
VLOOKUP(Midterm!Q42,new_transmute,3,FALSE)
),
IF(Info!$B$4="Board program (Medicine)",
IF(OR(AND(Q$5&gt;0,Q$5&gt;100),AND(Q$5&gt;0,Q$5&lt;100)),
VLOOKUP(FLOOR((Midterm!Q42/Q$5)*100,1),new_transmute,4,FALSE),
VLOOKUP(Midterm!Q42,new_transmute,4,FALSE)
),
""
)
)
)
)
)
)
)
)
))</f>
        <v/>
      </c>
      <c r="R42" s="14" t="str">
        <f>IF($B42="","",
IF(R$5="","",
IF(Midterm!R42="",0,
IF(NOT(ISNUMBER(Midterm!R42)),"NAN",
IF(Midterm!R42&lt;0,"NEG",
IF(Midterm!R42&gt;R$5,"OVER",
IF(AND(R$5&lt;=100,Midterm!R42&gt;100),"ERR",
IF(Info!$B$4="Non-board program",
IF(OR(AND(R$5&gt;0,R$5&gt;100),AND(R$5&gt;0,R$5&lt;100)),
VLOOKUP(FLOOR((Midterm!R42/R$5)*100,1),new_transmute,2,FALSE),
VLOOKUP(Midterm!R42,new_transmute,2,FALSE)
),
IF(Info!$B$4="Board program",
IF(OR(AND(R$5&gt;0,R$5&gt;100),AND(R$5&gt;0,R$5&lt;100)),
VLOOKUP(FLOOR((Midterm!R42/R$5)*100,1),new_transmute,3,FALSE),
VLOOKUP(Midterm!R42,new_transmute,3,FALSE)
),
IF(Info!$B$4="Board program (Medicine)",
IF(OR(AND(R$5&gt;0,R$5&gt;100),AND(R$5&gt;0,R$5&lt;100)),
VLOOKUP(FLOOR((Midterm!R42/R$5)*100,1),new_transmute,4,FALSE),
VLOOKUP(Midterm!R42,new_transmute,4,FALSE)
),
""
)
)
)
)
)
)
)
)
))</f>
        <v/>
      </c>
      <c r="S42" s="115" t="str">
        <f t="shared" si="3"/>
        <v/>
      </c>
      <c r="T42" s="14" t="str">
        <f>IF($B42="","",
IF(T$5="","",
IF(Midterm!T42="",0,
IF(NOT(ISNUMBER(Midterm!T42)),"NAN",
IF(Midterm!T42&lt;0,"NEG",
IF(Midterm!T42&gt;T$5,"OVER",
IF(AND(T$5&lt;=100,Midterm!T42&gt;100),"ERR",
IF(Info!$B$4="Non-board program",
IF(OR(AND(T$5&gt;0,T$5&gt;100),AND(T$5&gt;0,T$5&lt;100)),
VLOOKUP(FLOOR((Midterm!T42/T$5)*100,1),new_transmute,2,FALSE),
VLOOKUP(Midterm!T42,new_transmute,2,FALSE)
),
IF(Info!$B$4="Board program",
IF(OR(AND(T$5&gt;0,T$5&gt;100),AND(T$5&gt;0,T$5&lt;100)),
VLOOKUP(FLOOR((Midterm!T42/T$5)*100,1),new_transmute,3,FALSE),
VLOOKUP(Midterm!T42,new_transmute,3,FALSE)
),
IF(Info!$B$4="Board program (Medicine)",
IF(OR(AND(T$5&gt;0,T$5&gt;100),AND(T$5&gt;0,T$5&lt;100)),
VLOOKUP(FLOOR((Midterm!T42/T$5)*100,1),new_transmute,4,FALSE),
VLOOKUP(Midterm!T42,new_transmute,4,FALSE)
),
""
)
)
)
)
)
)
)
)
))</f>
        <v/>
      </c>
      <c r="U42" s="14" t="str">
        <f>IF($B42="","",
IF(U$5="","",
IF(Midterm!U42="",0,
IF(NOT(ISNUMBER(Midterm!U42)),"NAN",
IF(Midterm!U42&lt;0,"NEG",
IF(Midterm!U42&gt;U$5,"OVER",
IF(AND(U$5&lt;=100,Midterm!U42&gt;100),"ERR",
IF(Info!$B$4="Non-board program",
IF(OR(AND(U$5&gt;0,U$5&gt;100),AND(U$5&gt;0,U$5&lt;100)),
VLOOKUP(FLOOR((Midterm!U42/U$5)*100,1),new_transmute,2,FALSE),
VLOOKUP(Midterm!U42,new_transmute,2,FALSE)
),
IF(Info!$B$4="Board program",
IF(OR(AND(U$5&gt;0,U$5&gt;100),AND(U$5&gt;0,U$5&lt;100)),
VLOOKUP(FLOOR((Midterm!U42/U$5)*100,1),new_transmute,3,FALSE),
VLOOKUP(Midterm!U42,new_transmute,3,FALSE)
),
IF(Info!$B$4="Board program (Medicine)",
IF(OR(AND(U$5&gt;0,U$5&gt;100),AND(U$5&gt;0,U$5&lt;100)),
VLOOKUP(FLOOR((Midterm!U42/U$5)*100,1),new_transmute,4,FALSE),
VLOOKUP(Midterm!U42,new_transmute,4,FALSE)
),
""
)
)
)
)
)
)
)
)
))</f>
        <v/>
      </c>
      <c r="V42" s="14" t="str">
        <f>IF($B42="","",
IF(V$5="","",
IF(Midterm!V42="",0,
IF(NOT(ISNUMBER(Midterm!V42)),"NAN",
IF(Midterm!V42&lt;0,"NEG",
IF(Midterm!V42&gt;V$5,"OVER",
IF(AND(V$5&lt;=100,Midterm!V42&gt;100),"ERR",
IF(Info!$B$4="Non-board program",
IF(OR(AND(V$5&gt;0,V$5&gt;100),AND(V$5&gt;0,V$5&lt;100)),
VLOOKUP(FLOOR((Midterm!V42/V$5)*100,1),new_transmute,2,FALSE),
VLOOKUP(Midterm!V42,new_transmute,2,FALSE)
),
IF(Info!$B$4="Board program",
IF(OR(AND(V$5&gt;0,V$5&gt;100),AND(V$5&gt;0,V$5&lt;100)),
VLOOKUP(FLOOR((Midterm!V42/V$5)*100,1),new_transmute,3,FALSE),
VLOOKUP(Midterm!V42,new_transmute,3,FALSE)
),
IF(Info!$B$4="Board program (Medicine)",
IF(OR(AND(V$5&gt;0,V$5&gt;100),AND(V$5&gt;0,V$5&lt;100)),
VLOOKUP(FLOOR((Midterm!V42/V$5)*100,1),new_transmute,4,FALSE),
VLOOKUP(Midterm!V42,new_transmute,4,FALSE)
),
""
)
)
)
)
)
)
)
)
))</f>
        <v/>
      </c>
      <c r="W42" s="14" t="str">
        <f>IF($B42="","",
IF(W$5="","",
IF(Midterm!W42="",0,
IF(NOT(ISNUMBER(Midterm!W42)),"NAN",
IF(Midterm!W42&lt;0,"NEG",
IF(Midterm!W42&gt;W$5,"OVER",
IF(AND(W$5&lt;=100,Midterm!W42&gt;100),"ERR",
IF(Info!$B$4="Non-board program",
IF(OR(AND(W$5&gt;0,W$5&gt;100),AND(W$5&gt;0,W$5&lt;100)),
VLOOKUP(FLOOR((Midterm!W42/W$5)*100,1),new_transmute,2,FALSE),
VLOOKUP(Midterm!W42,new_transmute,2,FALSE)
),
IF(Info!$B$4="Board program",
IF(OR(AND(W$5&gt;0,W$5&gt;100),AND(W$5&gt;0,W$5&lt;100)),
VLOOKUP(FLOOR((Midterm!W42/W$5)*100,1),new_transmute,3,FALSE),
VLOOKUP(Midterm!W42,new_transmute,3,FALSE)
),
IF(Info!$B$4="Board program (Medicine)",
IF(OR(AND(W$5&gt;0,W$5&gt;100),AND(W$5&gt;0,W$5&lt;100)),
VLOOKUP(FLOOR((Midterm!W42/W$5)*100,1),new_transmute,4,FALSE),
VLOOKUP(Midterm!W42,new_transmute,4,FALSE)
),
""
)
)
)
)
)
)
)
)
))</f>
        <v/>
      </c>
      <c r="X42" s="14" t="str">
        <f>IF($B42="","",
IF(X$5="","",
IF(Midterm!X42="",0,
IF(NOT(ISNUMBER(Midterm!X42)),"NAN",
IF(Midterm!X42&lt;0,"NEG",
IF(Midterm!X42&gt;X$5,"OVER",
IF(AND(X$5&lt;=100,Midterm!X42&gt;100),"ERR",
IF(Info!$B$4="Non-board program",
IF(OR(AND(X$5&gt;0,X$5&gt;100),AND(X$5&gt;0,X$5&lt;100)),
VLOOKUP(FLOOR((Midterm!X42/X$5)*100,1),new_transmute,2,FALSE),
VLOOKUP(Midterm!X42,new_transmute,2,FALSE)
),
IF(Info!$B$4="Board program",
IF(OR(AND(X$5&gt;0,X$5&gt;100),AND(X$5&gt;0,X$5&lt;100)),
VLOOKUP(FLOOR((Midterm!X42/X$5)*100,1),new_transmute,3,FALSE),
VLOOKUP(Midterm!X42,new_transmute,3,FALSE)
),
IF(Info!$B$4="Board program (Medicine)",
IF(OR(AND(X$5&gt;0,X$5&gt;100),AND(X$5&gt;0,X$5&lt;100)),
VLOOKUP(FLOOR((Midterm!X42/X$5)*100,1),new_transmute,4,FALSE),
VLOOKUP(Midterm!X42,new_transmute,4,FALSE)
),
""
)
)
)
)
)
)
)
)
))</f>
        <v/>
      </c>
      <c r="Y42" s="112" t="str">
        <f t="shared" si="4"/>
        <v/>
      </c>
      <c r="Z42" s="14" t="str">
        <f>IF($B42="","",
IF(Z$5="","",
IF(Midterm!Z42="",0,
IF(NOT(ISNUMBER(Midterm!Z42)),"NAN",
IF(Midterm!Z42&lt;0,"NEG",
IF(Midterm!Z42&gt;Z$5,"OVER",
IF(AND(Z$5&lt;=100,Midterm!Z42&gt;100),"ERR",
IF(Info!$B$4="Non-board program",
IF(OR(AND(Z$5&gt;0,Z$5&gt;100),AND(Z$5&gt;0,Z$5&lt;100)),
VLOOKUP(FLOOR((Midterm!Z42/Z$5)*100,1),new_transmute,2,FALSE),
VLOOKUP(Midterm!Z42,new_transmute,2,FALSE)
),
IF(Info!$B$4="Board program",
IF(OR(AND(Z$5&gt;0,Z$5&gt;100),AND(Z$5&gt;0,Z$5&lt;100)),
VLOOKUP(FLOOR((Midterm!Z42/Z$5)*100,1),new_transmute,3,FALSE),
VLOOKUP(Midterm!Z42,new_transmute,3,FALSE)
),
IF(Info!$B$4="Board program (Medicine)",
IF(OR(AND(Z$5&gt;0,Z$5&gt;100),AND(Z$5&gt;0,Z$5&lt;100)),
VLOOKUP(FLOOR((Midterm!Z42/Z$5)*100,1),new_transmute,4,FALSE),
VLOOKUP(Midterm!Z42,new_transmute,4,FALSE)
),
""
)
)
)
)
)
)
)
)
))</f>
        <v/>
      </c>
      <c r="AA42" s="14" t="str">
        <f>IF($B42="","",
IF(AA$5="","",
IF(Midterm!AA42="",0,
IF(NOT(ISNUMBER(Midterm!AA42)),"NAN",
IF(Midterm!AA42&lt;0,"NEG",
IF(Midterm!AA42&gt;AA$5,"OVER",
IF(AND(AA$5&lt;=100,Midterm!AA42&gt;100),"ERR",
IF(Info!$B$4="Non-board program",
IF(OR(AND(AA$5&gt;0,AA$5&gt;100),AND(AA$5&gt;0,AA$5&lt;100)),
VLOOKUP(FLOOR((Midterm!AA42/AA$5)*100,1),new_transmute,2,FALSE),
VLOOKUP(Midterm!AA42,new_transmute,2,FALSE)
),
IF(Info!$B$4="Board program",
IF(OR(AND(AA$5&gt;0,AA$5&gt;100),AND(AA$5&gt;0,AA$5&lt;100)),
VLOOKUP(FLOOR((Midterm!AA42/AA$5)*100,1),new_transmute,3,FALSE),
VLOOKUP(Midterm!AA42,new_transmute,3,FALSE)
),
IF(Info!$B$4="Board program (Medicine)",
IF(OR(AND(AA$5&gt;0,AA$5&gt;100),AND(AA$5&gt;0,AA$5&lt;100)),
VLOOKUP(FLOOR((Midterm!AA42/AA$5)*100,1),new_transmute,4,FALSE),
VLOOKUP(Midterm!AA42,new_transmute,4,FALSE)
),
""
)
)
)
)
)
)
)
)
))</f>
        <v/>
      </c>
      <c r="AB42" s="14" t="str">
        <f>IF($B42="","",
IF(AB$5="","",
IF(Midterm!AB42="",0,
IF(NOT(ISNUMBER(Midterm!AB42)),"NAN",
IF(Midterm!AB42&lt;0,"NEG",
IF(Midterm!AB42&gt;AB$5,"OVER",
IF(AND(AB$5&lt;=100,Midterm!AB42&gt;100),"ERR",
IF(Info!$B$4="Non-board program",
IF(OR(AND(AB$5&gt;0,AB$5&gt;100),AND(AB$5&gt;0,AB$5&lt;100)),
VLOOKUP(FLOOR((Midterm!AB42/AB$5)*100,1),new_transmute,2,FALSE),
VLOOKUP(Midterm!AB42,new_transmute,2,FALSE)
),
IF(Info!$B$4="Board program",
IF(OR(AND(AB$5&gt;0,AB$5&gt;100),AND(AB$5&gt;0,AB$5&lt;100)),
VLOOKUP(FLOOR((Midterm!AB42/AB$5)*100,1),new_transmute,3,FALSE),
VLOOKUP(Midterm!AB42,new_transmute,3,FALSE)
),
IF(Info!$B$4="Board program (Medicine)",
IF(OR(AND(AB$5&gt;0,AB$5&gt;100),AND(AB$5&gt;0,AB$5&lt;100)),
VLOOKUP(FLOOR((Midterm!AB42/AB$5)*100,1),new_transmute,4,FALSE),
VLOOKUP(Midterm!AB42,new_transmute,4,FALSE)
),
""
)
)
)
)
)
)
)
)
))</f>
        <v/>
      </c>
      <c r="AC42" s="14" t="str">
        <f>IF($B42="","",
IF(AC$5="","",
IF(Midterm!AC42="",0,
IF(NOT(ISNUMBER(Midterm!AC42)),"NAN",
IF(Midterm!AC42&lt;0,"NEG",
IF(Midterm!AC42&gt;AC$5,"OVER",
IF(AND(AC$5&lt;=100,Midterm!AC42&gt;100),"ERR",
IF(Info!$B$4="Non-board program",
IF(OR(AND(AC$5&gt;0,AC$5&gt;100),AND(AC$5&gt;0,AC$5&lt;100)),
VLOOKUP(FLOOR((Midterm!AC42/AC$5)*100,1),new_transmute,2,FALSE),
VLOOKUP(Midterm!AC42,new_transmute,2,FALSE)
),
IF(Info!$B$4="Board program",
IF(OR(AND(AC$5&gt;0,AC$5&gt;100),AND(AC$5&gt;0,AC$5&lt;100)),
VLOOKUP(FLOOR((Midterm!AC42/AC$5)*100,1),new_transmute,3,FALSE),
VLOOKUP(Midterm!AC42,new_transmute,3,FALSE)
),
IF(Info!$B$4="Board program (Medicine)",
IF(OR(AND(AC$5&gt;0,AC$5&gt;100),AND(AC$5&gt;0,AC$5&lt;100)),
VLOOKUP(FLOOR((Midterm!AC42/AC$5)*100,1),new_transmute,4,FALSE),
VLOOKUP(Midterm!AC42,new_transmute,4,FALSE)
),
""
)
)
)
)
)
)
)
)
))</f>
        <v/>
      </c>
      <c r="AD42" s="14" t="str">
        <f>IF($B42="","",
IF(AD$5="","",
IF(Midterm!AD42="",0,
IF(NOT(ISNUMBER(Midterm!AD42)),"NAN",
IF(Midterm!AD42&lt;0,"NEG",
IF(Midterm!AD42&gt;AD$5,"OVER",
IF(AND(AD$5&lt;=100,Midterm!AD42&gt;100),"ERR",
IF(Info!$B$4="Non-board program",
IF(OR(AND(AD$5&gt;0,AD$5&gt;100),AND(AD$5&gt;0,AD$5&lt;100)),
VLOOKUP(FLOOR((Midterm!AD42/AD$5)*100,1),new_transmute,2,FALSE),
VLOOKUP(Midterm!AD42,new_transmute,2,FALSE)
),
IF(Info!$B$4="Board program",
IF(OR(AND(AD$5&gt;0,AD$5&gt;100),AND(AD$5&gt;0,AD$5&lt;100)),
VLOOKUP(FLOOR((Midterm!AD42/AD$5)*100,1),new_transmute,3,FALSE),
VLOOKUP(Midterm!AD42,new_transmute,3,FALSE)
),
IF(Info!$B$4="Board program (Medicine)",
IF(OR(AND(AD$5&gt;0,AD$5&gt;100),AND(AD$5&gt;0,AD$5&lt;100)),
VLOOKUP(FLOOR((Midterm!AD42/AD$5)*100,1),new_transmute,4,FALSE),
VLOOKUP(Midterm!AD42,new_transmute,4,FALSE)
),
""
)
)
)
)
)
)
)
)
))</f>
        <v/>
      </c>
      <c r="AE42" s="58" t="str">
        <f t="shared" si="5"/>
        <v/>
      </c>
      <c r="AF42" s="14" t="str">
        <f>IF($B42="","",
IF(AF$5="","",
IF(Midterm!AF42="",0,
IF(NOT(ISNUMBER(Midterm!AF42)),"NAN",
IF(Midterm!AF42&lt;0,"NEG",
IF(Midterm!AF42&gt;AF$5,"OVER",
IF(AND(AF$5&lt;=100,Midterm!AF42&gt;100),"ERR",
IF(Info!$B$4="Non-board program",
IF(OR(AND(AF$5&gt;0,AF$5&gt;100),AND(AF$5&gt;0,AF$5&lt;100)),
VLOOKUP(FLOOR((Midterm!AF42/AF$5)*100,1),new_transmute,2,FALSE),
VLOOKUP(Midterm!AF42,new_transmute,2,FALSE)
),
IF(Info!$B$4="Board program",
IF(OR(AND(AF$5&gt;0,AF$5&gt;100),AND(AF$5&gt;0,AF$5&lt;100)),
VLOOKUP(FLOOR((Midterm!AF42/AF$5)*100,1),new_transmute,3,FALSE),
VLOOKUP(Midterm!AF42,new_transmute,3,FALSE)
),
IF(Info!$B$4="Board program (Medicine)",
IF(OR(AND(AF$5&gt;0,AF$5&gt;100),AND(AF$5&gt;0,AF$5&lt;100)),
VLOOKUP(FLOOR((Midterm!AF42/AF$5)*100,1),new_transmute,4,FALSE),
VLOOKUP(Midterm!AF42,new_transmute,4,FALSE)
),
""
)
)
)
)
)
)
)
)
))</f>
        <v/>
      </c>
      <c r="AG42" s="14" t="str">
        <f>IF($B42="","",
IF(AG$5="","",
IF(Midterm!AG42="",0,
IF(NOT(ISNUMBER(Midterm!AG42)),"NAN",
IF(Midterm!AG42&lt;0,"NEG",
IF(Midterm!AG42&gt;AG$5,"OVER",
IF(AND(AG$5&lt;=100,Midterm!AG42&gt;100),"ERR",
IF(Info!$B$4="Non-board program",
IF(OR(AND(AG$5&gt;0,AG$5&gt;100),AND(AG$5&gt;0,AG$5&lt;100)),
VLOOKUP(FLOOR((Midterm!AG42/AG$5)*100,1),new_transmute,2,FALSE),
VLOOKUP(Midterm!AG42,new_transmute,2,FALSE)
),
IF(Info!$B$4="Board program",
IF(OR(AND(AG$5&gt;0,AG$5&gt;100),AND(AG$5&gt;0,AG$5&lt;100)),
VLOOKUP(FLOOR((Midterm!AG42/AG$5)*100,1),new_transmute,3,FALSE),
VLOOKUP(Midterm!AG42,new_transmute,3,FALSE)
),
IF(Info!$B$4="Board program (Medicine)",
IF(OR(AND(AG$5&gt;0,AG$5&gt;100),AND(AG$5&gt;0,AG$5&lt;100)),
VLOOKUP(FLOOR((Midterm!AG42/AG$5)*100,1),new_transmute,4,FALSE),
VLOOKUP(Midterm!AG42,new_transmute,4,FALSE)
),
""
)
)
)
)
)
)
)
)
))</f>
        <v/>
      </c>
      <c r="AH42" s="14" t="str">
        <f>IF($B42="","",
IF(AH$5="","",
IF(Midterm!AH42="",0,
IF(NOT(ISNUMBER(Midterm!AH42)),"NAN",
IF(Midterm!AH42&lt;0,"NEG",
IF(Midterm!AH42&gt;AH$5,"OVER",
IF(AND(AH$5&lt;=100,Midterm!AH42&gt;100),"ERR",
IF(Info!$B$4="Non-board program",
IF(OR(AND(AH$5&gt;0,AH$5&gt;100),AND(AH$5&gt;0,AH$5&lt;100)),
VLOOKUP(FLOOR((Midterm!AH42/AH$5)*100,1),new_transmute,2,FALSE),
VLOOKUP(Midterm!AH42,new_transmute,2,FALSE)
),
IF(Info!$B$4="Board program",
IF(OR(AND(AH$5&gt;0,AH$5&gt;100),AND(AH$5&gt;0,AH$5&lt;100)),
VLOOKUP(FLOOR((Midterm!AH42/AH$5)*100,1),new_transmute,3,FALSE),
VLOOKUP(Midterm!AH42,new_transmute,3,FALSE)
),
IF(Info!$B$4="Board program (Medicine)",
IF(OR(AND(AH$5&gt;0,AH$5&gt;100),AND(AH$5&gt;0,AH$5&lt;100)),
VLOOKUP(FLOOR((Midterm!AH42/AH$5)*100,1),new_transmute,4,FALSE),
VLOOKUP(Midterm!AH42,new_transmute,4,FALSE)
),
""
)
)
)
)
)
)
)
)
))</f>
        <v/>
      </c>
      <c r="AI42" s="14" t="str">
        <f>IF($B42="","",
IF(AI$5="","",
IF(Midterm!AI42="",0,
IF(NOT(ISNUMBER(Midterm!AI42)),"NAN",
IF(Midterm!AI42&lt;0,"NEG",
IF(Midterm!AI42&gt;AI$5,"OVER",
IF(AND(AI$5&lt;=100,Midterm!AI42&gt;100),"ERR",
IF(Info!$B$4="Non-board program",
IF(OR(AND(AI$5&gt;0,AI$5&gt;100),AND(AI$5&gt;0,AI$5&lt;100)),
VLOOKUP(FLOOR((Midterm!AI42/AI$5)*100,1),new_transmute,2,FALSE),
VLOOKUP(Midterm!AI42,new_transmute,2,FALSE)
),
IF(Info!$B$4="Board program",
IF(OR(AND(AI$5&gt;0,AI$5&gt;100),AND(AI$5&gt;0,AI$5&lt;100)),
VLOOKUP(FLOOR((Midterm!AI42/AI$5)*100,1),new_transmute,3,FALSE),
VLOOKUP(Midterm!AI42,new_transmute,3,FALSE)
),
IF(Info!$B$4="Board program (Medicine)",
IF(OR(AND(AI$5&gt;0,AI$5&gt;100),AND(AI$5&gt;0,AI$5&lt;100)),
VLOOKUP(FLOOR((Midterm!AI42/AI$5)*100,1),new_transmute,4,FALSE),
VLOOKUP(Midterm!AI42,new_transmute,4,FALSE)
),
""
)
)
)
)
)
)
)
)
))</f>
        <v/>
      </c>
      <c r="AJ42" s="14" t="str">
        <f>IF($B42="","",
IF(AJ$5="","",
IF(Midterm!AJ42="",0,
IF(NOT(ISNUMBER(Midterm!AJ42)),"NAN",
IF(Midterm!AJ42&lt;0,"NEG",
IF(Midterm!AJ42&gt;AJ$5,"OVER",
IF(AND(AJ$5&lt;=100,Midterm!AJ42&gt;100),"ERR",
IF(Info!$B$4="Non-board program",
IF(OR(AND(AJ$5&gt;0,AJ$5&gt;100),AND(AJ$5&gt;0,AJ$5&lt;100)),
VLOOKUP(FLOOR((Midterm!AJ42/AJ$5)*100,1),new_transmute,2,FALSE),
VLOOKUP(Midterm!AJ42,new_transmute,2,FALSE)
),
IF(Info!$B$4="Board program",
IF(OR(AND(AJ$5&gt;0,AJ$5&gt;100),AND(AJ$5&gt;0,AJ$5&lt;100)),
VLOOKUP(FLOOR((Midterm!AJ42/AJ$5)*100,1),new_transmute,3,FALSE),
VLOOKUP(Midterm!AJ42,new_transmute,3,FALSE)
),
IF(Info!$B$4="Board program (Medicine)",
IF(OR(AND(AJ$5&gt;0,AJ$5&gt;100),AND(AJ$5&gt;0,AJ$5&lt;100)),
VLOOKUP(FLOOR((Midterm!AJ42/AJ$5)*100,1),new_transmute,4,FALSE),
VLOOKUP(Midterm!AJ42,new_transmute,4,FALSE)
),
""
)
)
)
)
)
)
)
)
))</f>
        <v/>
      </c>
      <c r="AK42" s="59" t="str">
        <f t="shared" si="6"/>
        <v/>
      </c>
      <c r="AL42" s="60" t="str">
        <f>IF(B42="", "",
    IF(OR(M42="OVER", S42="OVER", Y42="OVER", AE42="OVER", AK42="OVER"),
        "OVER",
        IF(Info!$B$4="Non-board program",
            VLOOKUP(IFERROR(FLOOR(SUM((M42*$M$4), (S42*$S$4), (Y42*$Y$4), (AE42*$AE$4), (AK42*$AK$4)) * (100 / 60), 1), 0), new_transmute, 2, FALSE),
            IF(Info!$B$4="Board program",
                VLOOKUP(IFERROR(FLOOR(SUM((M42*$M$4), (S42*$S$4), (Y42*$Y$4), (AE42*$AE$4), (AK42*$AK$4)) * (100 / 60), 1), 0), new_transmute, 3, FALSE),
                IF(Info!$B$4="Board program (Medicine)",
                    VLOOKUP(IFERROR(FLOOR(SUM((M42*$M$4), (S42*$S$4), (Y42*$Y$4), (AE42*$AE$4), (AK42*$AK$4)) * (100 / 60), 1), 0), new_transmute, 4, FALSE),
                    ""
                )
            )
        )
    )
)</f>
        <v/>
      </c>
      <c r="AM42" s="14" t="str">
        <f>IF($B42="","",
IF(AM$5="","",
IF(Midterm!AM42="",0,
IF(NOT(ISNUMBER(Midterm!AM42)),"NAN",
IF(Midterm!AM42&lt;0,"NEG",
IF(Midterm!AM42&gt;AM$5,"OVER",
IF(AND(AM$5&lt;=100,Midterm!AM42&gt;100),"ERR",
IF(Info!$B$4="Non-board program",
IF(OR(AND(AM$5&gt;0,AM$5&gt;100),AND(AM$5&gt;0,AM$5&lt;100)),
VLOOKUP(FLOOR((Midterm!AM42/AM$5)*100,1),new_transmute,2,FALSE),
VLOOKUP(Midterm!AM42,new_transmute,2,FALSE)
),
IF(Info!$B$4="Board program",
IF(OR(AND(AM$5&gt;0,AM$5&gt;100),AND(AM$5&gt;0,AM$5&lt;100)),
VLOOKUP(FLOOR((Midterm!AM42/AM$5)*100,1),new_transmute,3,FALSE),
VLOOKUP(Midterm!AM42,new_transmute,3,FALSE)
),
IF(Info!$B$4="Board program (Medicine)",
IF(OR(AND(AM$5&gt;0,AM$5&gt;100),AND(AM$5&gt;0,AM$5&lt;100)),
VLOOKUP(FLOOR((Midterm!AM42/AM$5)*100,1),new_transmute,4,FALSE),
VLOOKUP(Midterm!AM42,new_transmute,4,FALSE)
),
""
)
)
)
)
)
)
)
)
))</f>
        <v/>
      </c>
      <c r="AN42" s="14" t="str">
        <f>IF($B42="","",
IF(AN$5="","",
IF(Midterm!AN42="",0,
IF(NOT(ISNUMBER(Midterm!AN42)),"NAN",
IF(Midterm!AN42&lt;0,"NEG",
IF(Midterm!AN42&gt;AN$5,"OVER",
IF(AND(AN$5&lt;=100,Midterm!AN42&gt;100),"ERR",
IF(Info!$B$4="Non-board program",
IF(OR(AND(AN$5&gt;0,AN$5&gt;100),AND(AN$5&gt;0,AN$5&lt;100)),
VLOOKUP(FLOOR((Midterm!AN42/AN$5)*100,1),new_transmute,2,FALSE),
VLOOKUP(Midterm!AN42,new_transmute,2,FALSE)
),
IF(Info!$B$4="Board program",
IF(OR(AND(AN$5&gt;0,AN$5&gt;100),AND(AN$5&gt;0,AN$5&lt;100)),
VLOOKUP(FLOOR((Midterm!AN42/AN$5)*100,1),new_transmute,3,FALSE),
VLOOKUP(Midterm!AN42,new_transmute,3,FALSE)
),
IF(Info!$B$4="Board program (Medicine)",
IF(OR(AND(AN$5&gt;0,AN$5&gt;100),AND(AN$5&gt;0,AN$5&lt;100)),
VLOOKUP(FLOOR((Midterm!AN42/AN$5)*100,1),new_transmute,4,FALSE),
VLOOKUP(Midterm!AN42,new_transmute,4,FALSE)
),
""
)
)
)
)
)
)
)
)
))</f>
        <v/>
      </c>
      <c r="AO42" s="14" t="str">
        <f>IF($B42="","",
IF(AO$5="","",
IF(Midterm!AO42="",0,
IF(NOT(ISNUMBER(Midterm!AO42)),"NAN",
IF(Midterm!AO42&lt;0,"NEG",
IF(Midterm!AO42&gt;AO$5,"OVER",
IF(AND(AO$5&lt;=100,Midterm!AO42&gt;100),"ERR",
IF(Info!$B$4="Non-board program",
IF(OR(AND(AO$5&gt;0,AO$5&gt;100),AND(AO$5&gt;0,AO$5&lt;100)),
VLOOKUP(FLOOR((Midterm!AO42/AO$5)*100,1),new_transmute,2,FALSE),
VLOOKUP(Midterm!AO42,new_transmute,2,FALSE)
),
IF(Info!$B$4="Board program",
IF(OR(AND(AO$5&gt;0,AO$5&gt;100),AND(AO$5&gt;0,AO$5&lt;100)),
VLOOKUP(FLOOR((Midterm!AO42/AO$5)*100,1),new_transmute,3,FALSE),
VLOOKUP(Midterm!AO42,new_transmute,3,FALSE)
),
IF(Info!$B$4="Board program (Medicine)",
IF(OR(AND(AO$5&gt;0,AO$5&gt;100),AND(AO$5&gt;0,AO$5&lt;100)),
VLOOKUP(FLOOR((Midterm!AO42/AO$5)*100,1),new_transmute,4,FALSE),
VLOOKUP(Midterm!AO42,new_transmute,4,FALSE)
),
""
)
)
)
)
)
)
)
)
))</f>
        <v/>
      </c>
      <c r="AP42" s="14" t="str">
        <f>IF($B42="","",
IF(AP$5="","",
IF(Midterm!AP42="",0,
IF(NOT(ISNUMBER(Midterm!AP42)),"NAN",
IF(Midterm!AP42&lt;0,"NEG",
IF(Midterm!AP42&gt;AP$5,"OVER",
IF(AND(AP$5&lt;=100,Midterm!AP42&gt;100),"ERR",
IF(Info!$B$4="Non-board program",
IF(OR(AND(AP$5&gt;0,AP$5&gt;100),AND(AP$5&gt;0,AP$5&lt;100)),
VLOOKUP(FLOOR((Midterm!AP42/AP$5)*100,1),new_transmute,2,FALSE),
VLOOKUP(Midterm!AP42,new_transmute,2,FALSE)
),
IF(Info!$B$4="Board program",
IF(OR(AND(AP$5&gt;0,AP$5&gt;100),AND(AP$5&gt;0,AP$5&lt;100)),
VLOOKUP(FLOOR((Midterm!AP42/AP$5)*100,1),new_transmute,3,FALSE),
VLOOKUP(Midterm!AP42,new_transmute,3,FALSE)
),
IF(Info!$B$4="Board program (Medicine)",
IF(OR(AND(AP$5&gt;0,AP$5&gt;100),AND(AP$5&gt;0,AP$5&lt;100)),
VLOOKUP(FLOOR((Midterm!AP42/AP$5)*100,1),new_transmute,4,FALSE),
VLOOKUP(Midterm!AP42,new_transmute,4,FALSE)
),
""
)
)
)
)
)
)
)
)
))</f>
        <v/>
      </c>
      <c r="AQ42" s="61" t="str">
        <f t="shared" si="7"/>
        <v/>
      </c>
      <c r="AR42" s="48" t="str">
        <f>IF(Midterm!AR42="","",Midterm!AR42)</f>
        <v/>
      </c>
      <c r="AS42" s="165" t="str">
        <f t="shared" si="8"/>
        <v/>
      </c>
      <c r="AT42" s="14" t="str">
        <f t="shared" si="9"/>
        <v/>
      </c>
      <c r="AU42" s="14" t="str">
        <f>IF(B42="","",VLOOKUP(AT42,'New Grade Equivalent'!$B$3:$C$47,2,FALSE))</f>
        <v/>
      </c>
    </row>
    <row r="43" spans="1:47" x14ac:dyDescent="0.25">
      <c r="A43" s="8">
        <v>38</v>
      </c>
      <c r="B43" s="2" t="str">
        <f>IF('Student List'!C47="","",UPPER(LEFT('Student List'!C47,FIND(",",'Student List'!C47)-1)))</f>
        <v/>
      </c>
      <c r="C43" s="12" t="str">
        <f>IF('Student List'!C47="","",PROPER(MID('Student List'!C47, FIND(",", 'Student List'!C47) + 2, LEN('Student List'!C47) - FIND(",", 'Student List'!C47) - 1)))</f>
        <v/>
      </c>
      <c r="D43" s="127" t="str">
        <f>IF(B43="","",IF(Midterm!D43="", "NA", Midterm!D43))</f>
        <v/>
      </c>
      <c r="E43" s="8" t="str">
        <f>IF(B43="","",
  IF(Info!$B$5="First Year",
    IF(D43="Yes", "DRP",
      IF(D43="No", "WF", "")
    )
  )
)</f>
        <v/>
      </c>
      <c r="F43" s="14" t="str">
        <f>IF($B43="","",
IF(F$5="","",
IF(Midterm!F43="",0,
IF(NOT(ISNUMBER(Midterm!F43)),"NAN",
IF(Midterm!F43&lt;0,"NEG",
IF(Midterm!F43&gt;F$5,"OVER",
IF(AND(F$5&lt;=100,Midterm!F43&gt;100),"ERR",
IF(Info!$B$4="Non-board program",
IF(OR(AND(F$5&gt;0,F$5&gt;100),AND(F$5&gt;0,F$5&lt;100)),
VLOOKUP(FLOOR((Midterm!F43/F$5)*100,1),new_transmute,2,FALSE),
VLOOKUP(Midterm!F43,new_transmute,2,FALSE)
),
IF(Info!$B$4="Board program",
IF(OR(AND(F$5&gt;0,F$5&gt;100),AND(F$5&gt;0,F$5&lt;100)),
VLOOKUP(FLOOR((Midterm!F43/F$5)*100,1),new_transmute,3,FALSE),
VLOOKUP(Midterm!F43,new_transmute,3,FALSE)
),
IF(Info!$B$4="Board program (Medicine)",
IF(OR(AND(F$5&gt;0,F$5&gt;100),AND(F$5&gt;0,F$5&lt;100)),
VLOOKUP(FLOOR((Midterm!F43/F$5)*100,1),new_transmute,4,FALSE),
VLOOKUP(Midterm!F43,new_transmute,4,FALSE)
),
""
)
)
)
)
)
)
)
)
))</f>
        <v/>
      </c>
      <c r="G43" s="57" t="str">
        <f t="shared" si="1"/>
        <v/>
      </c>
      <c r="H43" s="14" t="str">
        <f>IF($B43="","",
IF(H$5="","",
IF(Midterm!H43="",0,
IF(NOT(ISNUMBER(Midterm!H43)),"NAN",
IF(Midterm!H43&lt;0,"NEG",
IF(Midterm!H43&gt;H$5,"OVER",
IF(AND(H$5&lt;=100,Midterm!H43&gt;100),"ERR",
IF(Info!$B$4="Non-board program",
IF(OR(AND(H$5&gt;0,H$5&gt;100),AND(H$5&gt;0,H$5&lt;100)),
VLOOKUP(FLOOR((Midterm!H43/H$5)*100,1),new_transmute,2,FALSE),
VLOOKUP(Midterm!H43,new_transmute,2,FALSE)
),
IF(Info!$B$4="Board program",
IF(OR(AND(H$5&gt;0,H$5&gt;100),AND(H$5&gt;0,H$5&lt;100)),
VLOOKUP(FLOOR((Midterm!H43/H$5)*100,1),new_transmute,3,FALSE),
VLOOKUP(Midterm!H43,new_transmute,3,FALSE)
),
IF(Info!$B$4="Board program (Medicine)",
IF(OR(AND(H$5&gt;0,H$5&gt;100),AND(H$5&gt;0,H$5&lt;100)),
VLOOKUP(FLOOR((Midterm!H43/H$5)*100,1),new_transmute,4,FALSE),
VLOOKUP(Midterm!H43,new_transmute,4,FALSE)
),
""
)
)
)
)
)
)
)
)
))</f>
        <v/>
      </c>
      <c r="I43" s="14" t="str">
        <f>IF($B43="","",
IF(I$5="","",
IF(Midterm!I43="",0,
IF(NOT(ISNUMBER(Midterm!I43)),"NAN",
IF(Midterm!I43&lt;0,"NEG",
IF(Midterm!I43&gt;I$5,"OVER",
IF(AND(I$5&lt;=100,Midterm!I43&gt;100),"ERR",
IF(Info!$B$4="Non-board program",
IF(OR(AND(I$5&gt;0,I$5&gt;100),AND(I$5&gt;0,I$5&lt;100)),
VLOOKUP(FLOOR((Midterm!I43/I$5)*100,1),new_transmute,2,FALSE),
VLOOKUP(Midterm!I43,new_transmute,2,FALSE)
),
IF(Info!$B$4="Board program",
IF(OR(AND(I$5&gt;0,I$5&gt;100),AND(I$5&gt;0,I$5&lt;100)),
VLOOKUP(FLOOR((Midterm!I43/I$5)*100,1),new_transmute,3,FALSE),
VLOOKUP(Midterm!I43,new_transmute,3,FALSE)
),
IF(Info!$B$4="Board program (Medicine)",
IF(OR(AND(I$5&gt;0,I$5&gt;100),AND(I$5&gt;0,I$5&lt;100)),
VLOOKUP(FLOOR((Midterm!I43/I$5)*100,1),new_transmute,4,FALSE),
VLOOKUP(Midterm!I43,new_transmute,4,FALSE)
),
""
)
)
)
)
)
)
)
)
))</f>
        <v/>
      </c>
      <c r="J43" s="14" t="str">
        <f>IF($B43="","",
IF(J$5="","",
IF(Midterm!J43="",0,
IF(NOT(ISNUMBER(Midterm!J43)),"NAN",
IF(Midterm!J43&lt;0,"NEG",
IF(Midterm!J43&gt;J$5,"OVER",
IF(AND(J$5&lt;=100,Midterm!J43&gt;100),"ERR",
IF(Info!$B$4="Non-board program",
IF(OR(AND(J$5&gt;0,J$5&gt;100),AND(J$5&gt;0,J$5&lt;100)),
VLOOKUP(FLOOR((Midterm!J43/J$5)*100,1),new_transmute,2,FALSE),
VLOOKUP(Midterm!J43,new_transmute,2,FALSE)
),
IF(Info!$B$4="Board program",
IF(OR(AND(J$5&gt;0,J$5&gt;100),AND(J$5&gt;0,J$5&lt;100)),
VLOOKUP(FLOOR((Midterm!J43/J$5)*100,1),new_transmute,3,FALSE),
VLOOKUP(Midterm!J43,new_transmute,3,FALSE)
),
IF(Info!$B$4="Board program (Medicine)",
IF(OR(AND(J$5&gt;0,J$5&gt;100),AND(J$5&gt;0,J$5&lt;100)),
VLOOKUP(FLOOR((Midterm!J43/J$5)*100,1),new_transmute,4,FALSE),
VLOOKUP(Midterm!J43,new_transmute,4,FALSE)
),
""
)
)
)
)
)
)
)
)
))</f>
        <v/>
      </c>
      <c r="K43" s="14" t="str">
        <f>IF($B43="","",
IF(K$5="","",
IF(Midterm!K43="",0,
IF(NOT(ISNUMBER(Midterm!K43)),"NAN",
IF(Midterm!K43&lt;0,"NEG",
IF(Midterm!K43&gt;K$5,"OVER",
IF(AND(K$5&lt;=100,Midterm!K43&gt;100),"ERR",
IF(Info!$B$4="Non-board program",
IF(OR(AND(K$5&gt;0,K$5&gt;100),AND(K$5&gt;0,K$5&lt;100)),
VLOOKUP(FLOOR((Midterm!K43/K$5)*100,1),new_transmute,2,FALSE),
VLOOKUP(Midterm!K43,new_transmute,2,FALSE)
),
IF(Info!$B$4="Board program",
IF(OR(AND(K$5&gt;0,K$5&gt;100),AND(K$5&gt;0,K$5&lt;100)),
VLOOKUP(FLOOR((Midterm!K43/K$5)*100,1),new_transmute,3,FALSE),
VLOOKUP(Midterm!K43,new_transmute,3,FALSE)
),
IF(Info!$B$4="Board program (Medicine)",
IF(OR(AND(K$5&gt;0,K$5&gt;100),AND(K$5&gt;0,K$5&lt;100)),
VLOOKUP(FLOOR((Midterm!K43/K$5)*100,1),new_transmute,4,FALSE),
VLOOKUP(Midterm!K43,new_transmute,4,FALSE)
),
""
)
)
)
)
)
)
)
)
))</f>
        <v/>
      </c>
      <c r="L43" s="14" t="str">
        <f>IF($B43="","",
IF(L$5="","",
IF(Midterm!L43="",0,
IF(NOT(ISNUMBER(Midterm!L43)),"NAN",
IF(Midterm!L43&lt;0,"NEG",
IF(Midterm!L43&gt;L$5,"OVER",
IF(AND(L$5&lt;=100,Midterm!L43&gt;100),"ERR",
IF(Info!$B$4="Non-board program",
IF(OR(AND(L$5&gt;0,L$5&gt;100),AND(L$5&gt;0,L$5&lt;100)),
VLOOKUP(FLOOR((Midterm!L43/L$5)*100,1),new_transmute,2,FALSE),
VLOOKUP(Midterm!L43,new_transmute,2,FALSE)
),
IF(Info!$B$4="Board program",
IF(OR(AND(L$5&gt;0,L$5&gt;100),AND(L$5&gt;0,L$5&lt;100)),
VLOOKUP(FLOOR((Midterm!L43/L$5)*100,1),new_transmute,3,FALSE),
VLOOKUP(Midterm!L43,new_transmute,3,FALSE)
),
IF(Info!$B$4="Board program (Medicine)",
IF(OR(AND(L$5&gt;0,L$5&gt;100),AND(L$5&gt;0,L$5&lt;100)),
VLOOKUP(FLOOR((Midterm!L43/L$5)*100,1),new_transmute,4,FALSE),
VLOOKUP(Midterm!L43,new_transmute,4,FALSE)
),
""
)
)
)
)
)
)
)
)
))</f>
        <v/>
      </c>
      <c r="M43" s="111" t="str">
        <f t="shared" si="2"/>
        <v/>
      </c>
      <c r="N43" s="14" t="str">
        <f>IF($B43="","",
IF(N$5="","",
IF(Midterm!N43="",0,
IF(NOT(ISNUMBER(Midterm!N43)),"NAN",
IF(Midterm!N43&lt;0,"NEG",
IF(Midterm!N43&gt;N$5,"OVER",
IF(AND(N$5&lt;=100,Midterm!N43&gt;100),"ERR",
IF(Info!$B$4="Non-board program",
IF(OR(AND(N$5&gt;0,N$5&gt;100),AND(N$5&gt;0,N$5&lt;100)),
VLOOKUP(FLOOR((Midterm!N43/N$5)*100,1),new_transmute,2,FALSE),
VLOOKUP(Midterm!N43,new_transmute,2,FALSE)
),
IF(Info!$B$4="Board program",
IF(OR(AND(N$5&gt;0,N$5&gt;100),AND(N$5&gt;0,N$5&lt;100)),
VLOOKUP(FLOOR((Midterm!N43/N$5)*100,1),new_transmute,3,FALSE),
VLOOKUP(Midterm!N43,new_transmute,3,FALSE)
),
IF(Info!$B$4="Board program (Medicine)",
IF(OR(AND(N$5&gt;0,N$5&gt;100),AND(N$5&gt;0,N$5&lt;100)),
VLOOKUP(FLOOR((Midterm!N43/N$5)*100,1),new_transmute,4,FALSE),
VLOOKUP(Midterm!N43,new_transmute,4,FALSE)
),
""
)
)
)
)
)
)
)
)
))</f>
        <v/>
      </c>
      <c r="O43" s="14" t="str">
        <f>IF($B43="","",
IF(O$5="","",
IF(Midterm!O43="",0,
IF(NOT(ISNUMBER(Midterm!O43)),"NAN",
IF(Midterm!O43&lt;0,"NEG",
IF(Midterm!O43&gt;O$5,"OVER",
IF(AND(O$5&lt;=100,Midterm!O43&gt;100),"ERR",
IF(Info!$B$4="Non-board program",
IF(OR(AND(O$5&gt;0,O$5&gt;100),AND(O$5&gt;0,O$5&lt;100)),
VLOOKUP(FLOOR((Midterm!O43/O$5)*100,1),new_transmute,2,FALSE),
VLOOKUP(Midterm!O43,new_transmute,2,FALSE)
),
IF(Info!$B$4="Board program",
IF(OR(AND(O$5&gt;0,O$5&gt;100),AND(O$5&gt;0,O$5&lt;100)),
VLOOKUP(FLOOR((Midterm!O43/O$5)*100,1),new_transmute,3,FALSE),
VLOOKUP(Midterm!O43,new_transmute,3,FALSE)
),
IF(Info!$B$4="Board program (Medicine)",
IF(OR(AND(O$5&gt;0,O$5&gt;100),AND(O$5&gt;0,O$5&lt;100)),
VLOOKUP(FLOOR((Midterm!O43/O$5)*100,1),new_transmute,4,FALSE),
VLOOKUP(Midterm!O43,new_transmute,4,FALSE)
),
""
)
)
)
)
)
)
)
)
))</f>
        <v/>
      </c>
      <c r="P43" s="14" t="str">
        <f>IF($B43="","",
IF(P$5="","",
IF(Midterm!P43="",0,
IF(NOT(ISNUMBER(Midterm!P43)),"NAN",
IF(Midterm!P43&lt;0,"NEG",
IF(Midterm!P43&gt;P$5,"OVER",
IF(AND(P$5&lt;=100,Midterm!P43&gt;100),"ERR",
IF(Info!$B$4="Non-board program",
IF(OR(AND(P$5&gt;0,P$5&gt;100),AND(P$5&gt;0,P$5&lt;100)),
VLOOKUP(FLOOR((Midterm!P43/P$5)*100,1),new_transmute,2,FALSE),
VLOOKUP(Midterm!P43,new_transmute,2,FALSE)
),
IF(Info!$B$4="Board program",
IF(OR(AND(P$5&gt;0,P$5&gt;100),AND(P$5&gt;0,P$5&lt;100)),
VLOOKUP(FLOOR((Midterm!P43/P$5)*100,1),new_transmute,3,FALSE),
VLOOKUP(Midterm!P43,new_transmute,3,FALSE)
),
IF(Info!$B$4="Board program (Medicine)",
IF(OR(AND(P$5&gt;0,P$5&gt;100),AND(P$5&gt;0,P$5&lt;100)),
VLOOKUP(FLOOR((Midterm!P43/P$5)*100,1),new_transmute,4,FALSE),
VLOOKUP(Midterm!P43,new_transmute,4,FALSE)
),
""
)
)
)
)
)
)
)
)
))</f>
        <v/>
      </c>
      <c r="Q43" s="14" t="str">
        <f>IF($B43="","",
IF(Q$5="","",
IF(Midterm!Q43="",0,
IF(NOT(ISNUMBER(Midterm!Q43)),"NAN",
IF(Midterm!Q43&lt;0,"NEG",
IF(Midterm!Q43&gt;Q$5,"OVER",
IF(AND(Q$5&lt;=100,Midterm!Q43&gt;100),"ERR",
IF(Info!$B$4="Non-board program",
IF(OR(AND(Q$5&gt;0,Q$5&gt;100),AND(Q$5&gt;0,Q$5&lt;100)),
VLOOKUP(FLOOR((Midterm!Q43/Q$5)*100,1),new_transmute,2,FALSE),
VLOOKUP(Midterm!Q43,new_transmute,2,FALSE)
),
IF(Info!$B$4="Board program",
IF(OR(AND(Q$5&gt;0,Q$5&gt;100),AND(Q$5&gt;0,Q$5&lt;100)),
VLOOKUP(FLOOR((Midterm!Q43/Q$5)*100,1),new_transmute,3,FALSE),
VLOOKUP(Midterm!Q43,new_transmute,3,FALSE)
),
IF(Info!$B$4="Board program (Medicine)",
IF(OR(AND(Q$5&gt;0,Q$5&gt;100),AND(Q$5&gt;0,Q$5&lt;100)),
VLOOKUP(FLOOR((Midterm!Q43/Q$5)*100,1),new_transmute,4,FALSE),
VLOOKUP(Midterm!Q43,new_transmute,4,FALSE)
),
""
)
)
)
)
)
)
)
)
))</f>
        <v/>
      </c>
      <c r="R43" s="14" t="str">
        <f>IF($B43="","",
IF(R$5="","",
IF(Midterm!R43="",0,
IF(NOT(ISNUMBER(Midterm!R43)),"NAN",
IF(Midterm!R43&lt;0,"NEG",
IF(Midterm!R43&gt;R$5,"OVER",
IF(AND(R$5&lt;=100,Midterm!R43&gt;100),"ERR",
IF(Info!$B$4="Non-board program",
IF(OR(AND(R$5&gt;0,R$5&gt;100),AND(R$5&gt;0,R$5&lt;100)),
VLOOKUP(FLOOR((Midterm!R43/R$5)*100,1),new_transmute,2,FALSE),
VLOOKUP(Midterm!R43,new_transmute,2,FALSE)
),
IF(Info!$B$4="Board program",
IF(OR(AND(R$5&gt;0,R$5&gt;100),AND(R$5&gt;0,R$5&lt;100)),
VLOOKUP(FLOOR((Midterm!R43/R$5)*100,1),new_transmute,3,FALSE),
VLOOKUP(Midterm!R43,new_transmute,3,FALSE)
),
IF(Info!$B$4="Board program (Medicine)",
IF(OR(AND(R$5&gt;0,R$5&gt;100),AND(R$5&gt;0,R$5&lt;100)),
VLOOKUP(FLOOR((Midterm!R43/R$5)*100,1),new_transmute,4,FALSE),
VLOOKUP(Midterm!R43,new_transmute,4,FALSE)
),
""
)
)
)
)
)
)
)
)
))</f>
        <v/>
      </c>
      <c r="S43" s="115" t="str">
        <f t="shared" si="3"/>
        <v/>
      </c>
      <c r="T43" s="14" t="str">
        <f>IF($B43="","",
IF(T$5="","",
IF(Midterm!T43="",0,
IF(NOT(ISNUMBER(Midterm!T43)),"NAN",
IF(Midterm!T43&lt;0,"NEG",
IF(Midterm!T43&gt;T$5,"OVER",
IF(AND(T$5&lt;=100,Midterm!T43&gt;100),"ERR",
IF(Info!$B$4="Non-board program",
IF(OR(AND(T$5&gt;0,T$5&gt;100),AND(T$5&gt;0,T$5&lt;100)),
VLOOKUP(FLOOR((Midterm!T43/T$5)*100,1),new_transmute,2,FALSE),
VLOOKUP(Midterm!T43,new_transmute,2,FALSE)
),
IF(Info!$B$4="Board program",
IF(OR(AND(T$5&gt;0,T$5&gt;100),AND(T$5&gt;0,T$5&lt;100)),
VLOOKUP(FLOOR((Midterm!T43/T$5)*100,1),new_transmute,3,FALSE),
VLOOKUP(Midterm!T43,new_transmute,3,FALSE)
),
IF(Info!$B$4="Board program (Medicine)",
IF(OR(AND(T$5&gt;0,T$5&gt;100),AND(T$5&gt;0,T$5&lt;100)),
VLOOKUP(FLOOR((Midterm!T43/T$5)*100,1),new_transmute,4,FALSE),
VLOOKUP(Midterm!T43,new_transmute,4,FALSE)
),
""
)
)
)
)
)
)
)
)
))</f>
        <v/>
      </c>
      <c r="U43" s="14" t="str">
        <f>IF($B43="","",
IF(U$5="","",
IF(Midterm!U43="",0,
IF(NOT(ISNUMBER(Midterm!U43)),"NAN",
IF(Midterm!U43&lt;0,"NEG",
IF(Midterm!U43&gt;U$5,"OVER",
IF(AND(U$5&lt;=100,Midterm!U43&gt;100),"ERR",
IF(Info!$B$4="Non-board program",
IF(OR(AND(U$5&gt;0,U$5&gt;100),AND(U$5&gt;0,U$5&lt;100)),
VLOOKUP(FLOOR((Midterm!U43/U$5)*100,1),new_transmute,2,FALSE),
VLOOKUP(Midterm!U43,new_transmute,2,FALSE)
),
IF(Info!$B$4="Board program",
IF(OR(AND(U$5&gt;0,U$5&gt;100),AND(U$5&gt;0,U$5&lt;100)),
VLOOKUP(FLOOR((Midterm!U43/U$5)*100,1),new_transmute,3,FALSE),
VLOOKUP(Midterm!U43,new_transmute,3,FALSE)
),
IF(Info!$B$4="Board program (Medicine)",
IF(OR(AND(U$5&gt;0,U$5&gt;100),AND(U$5&gt;0,U$5&lt;100)),
VLOOKUP(FLOOR((Midterm!U43/U$5)*100,1),new_transmute,4,FALSE),
VLOOKUP(Midterm!U43,new_transmute,4,FALSE)
),
""
)
)
)
)
)
)
)
)
))</f>
        <v/>
      </c>
      <c r="V43" s="14" t="str">
        <f>IF($B43="","",
IF(V$5="","",
IF(Midterm!V43="",0,
IF(NOT(ISNUMBER(Midterm!V43)),"NAN",
IF(Midterm!V43&lt;0,"NEG",
IF(Midterm!V43&gt;V$5,"OVER",
IF(AND(V$5&lt;=100,Midterm!V43&gt;100),"ERR",
IF(Info!$B$4="Non-board program",
IF(OR(AND(V$5&gt;0,V$5&gt;100),AND(V$5&gt;0,V$5&lt;100)),
VLOOKUP(FLOOR((Midterm!V43/V$5)*100,1),new_transmute,2,FALSE),
VLOOKUP(Midterm!V43,new_transmute,2,FALSE)
),
IF(Info!$B$4="Board program",
IF(OR(AND(V$5&gt;0,V$5&gt;100),AND(V$5&gt;0,V$5&lt;100)),
VLOOKUP(FLOOR((Midterm!V43/V$5)*100,1),new_transmute,3,FALSE),
VLOOKUP(Midterm!V43,new_transmute,3,FALSE)
),
IF(Info!$B$4="Board program (Medicine)",
IF(OR(AND(V$5&gt;0,V$5&gt;100),AND(V$5&gt;0,V$5&lt;100)),
VLOOKUP(FLOOR((Midterm!V43/V$5)*100,1),new_transmute,4,FALSE),
VLOOKUP(Midterm!V43,new_transmute,4,FALSE)
),
""
)
)
)
)
)
)
)
)
))</f>
        <v/>
      </c>
      <c r="W43" s="14" t="str">
        <f>IF($B43="","",
IF(W$5="","",
IF(Midterm!W43="",0,
IF(NOT(ISNUMBER(Midterm!W43)),"NAN",
IF(Midterm!W43&lt;0,"NEG",
IF(Midterm!W43&gt;W$5,"OVER",
IF(AND(W$5&lt;=100,Midterm!W43&gt;100),"ERR",
IF(Info!$B$4="Non-board program",
IF(OR(AND(W$5&gt;0,W$5&gt;100),AND(W$5&gt;0,W$5&lt;100)),
VLOOKUP(FLOOR((Midterm!W43/W$5)*100,1),new_transmute,2,FALSE),
VLOOKUP(Midterm!W43,new_transmute,2,FALSE)
),
IF(Info!$B$4="Board program",
IF(OR(AND(W$5&gt;0,W$5&gt;100),AND(W$5&gt;0,W$5&lt;100)),
VLOOKUP(FLOOR((Midterm!W43/W$5)*100,1),new_transmute,3,FALSE),
VLOOKUP(Midterm!W43,new_transmute,3,FALSE)
),
IF(Info!$B$4="Board program (Medicine)",
IF(OR(AND(W$5&gt;0,W$5&gt;100),AND(W$5&gt;0,W$5&lt;100)),
VLOOKUP(FLOOR((Midterm!W43/W$5)*100,1),new_transmute,4,FALSE),
VLOOKUP(Midterm!W43,new_transmute,4,FALSE)
),
""
)
)
)
)
)
)
)
)
))</f>
        <v/>
      </c>
      <c r="X43" s="14" t="str">
        <f>IF($B43="","",
IF(X$5="","",
IF(Midterm!X43="",0,
IF(NOT(ISNUMBER(Midterm!X43)),"NAN",
IF(Midterm!X43&lt;0,"NEG",
IF(Midterm!X43&gt;X$5,"OVER",
IF(AND(X$5&lt;=100,Midterm!X43&gt;100),"ERR",
IF(Info!$B$4="Non-board program",
IF(OR(AND(X$5&gt;0,X$5&gt;100),AND(X$5&gt;0,X$5&lt;100)),
VLOOKUP(FLOOR((Midterm!X43/X$5)*100,1),new_transmute,2,FALSE),
VLOOKUP(Midterm!X43,new_transmute,2,FALSE)
),
IF(Info!$B$4="Board program",
IF(OR(AND(X$5&gt;0,X$5&gt;100),AND(X$5&gt;0,X$5&lt;100)),
VLOOKUP(FLOOR((Midterm!X43/X$5)*100,1),new_transmute,3,FALSE),
VLOOKUP(Midterm!X43,new_transmute,3,FALSE)
),
IF(Info!$B$4="Board program (Medicine)",
IF(OR(AND(X$5&gt;0,X$5&gt;100),AND(X$5&gt;0,X$5&lt;100)),
VLOOKUP(FLOOR((Midterm!X43/X$5)*100,1),new_transmute,4,FALSE),
VLOOKUP(Midterm!X43,new_transmute,4,FALSE)
),
""
)
)
)
)
)
)
)
)
))</f>
        <v/>
      </c>
      <c r="Y43" s="112" t="str">
        <f t="shared" si="4"/>
        <v/>
      </c>
      <c r="Z43" s="14" t="str">
        <f>IF($B43="","",
IF(Z$5="","",
IF(Midterm!Z43="",0,
IF(NOT(ISNUMBER(Midterm!Z43)),"NAN",
IF(Midterm!Z43&lt;0,"NEG",
IF(Midterm!Z43&gt;Z$5,"OVER",
IF(AND(Z$5&lt;=100,Midterm!Z43&gt;100),"ERR",
IF(Info!$B$4="Non-board program",
IF(OR(AND(Z$5&gt;0,Z$5&gt;100),AND(Z$5&gt;0,Z$5&lt;100)),
VLOOKUP(FLOOR((Midterm!Z43/Z$5)*100,1),new_transmute,2,FALSE),
VLOOKUP(Midterm!Z43,new_transmute,2,FALSE)
),
IF(Info!$B$4="Board program",
IF(OR(AND(Z$5&gt;0,Z$5&gt;100),AND(Z$5&gt;0,Z$5&lt;100)),
VLOOKUP(FLOOR((Midterm!Z43/Z$5)*100,1),new_transmute,3,FALSE),
VLOOKUP(Midterm!Z43,new_transmute,3,FALSE)
),
IF(Info!$B$4="Board program (Medicine)",
IF(OR(AND(Z$5&gt;0,Z$5&gt;100),AND(Z$5&gt;0,Z$5&lt;100)),
VLOOKUP(FLOOR((Midterm!Z43/Z$5)*100,1),new_transmute,4,FALSE),
VLOOKUP(Midterm!Z43,new_transmute,4,FALSE)
),
""
)
)
)
)
)
)
)
)
))</f>
        <v/>
      </c>
      <c r="AA43" s="14" t="str">
        <f>IF($B43="","",
IF(AA$5="","",
IF(Midterm!AA43="",0,
IF(NOT(ISNUMBER(Midterm!AA43)),"NAN",
IF(Midterm!AA43&lt;0,"NEG",
IF(Midterm!AA43&gt;AA$5,"OVER",
IF(AND(AA$5&lt;=100,Midterm!AA43&gt;100),"ERR",
IF(Info!$B$4="Non-board program",
IF(OR(AND(AA$5&gt;0,AA$5&gt;100),AND(AA$5&gt;0,AA$5&lt;100)),
VLOOKUP(FLOOR((Midterm!AA43/AA$5)*100,1),new_transmute,2,FALSE),
VLOOKUP(Midterm!AA43,new_transmute,2,FALSE)
),
IF(Info!$B$4="Board program",
IF(OR(AND(AA$5&gt;0,AA$5&gt;100),AND(AA$5&gt;0,AA$5&lt;100)),
VLOOKUP(FLOOR((Midterm!AA43/AA$5)*100,1),new_transmute,3,FALSE),
VLOOKUP(Midterm!AA43,new_transmute,3,FALSE)
),
IF(Info!$B$4="Board program (Medicine)",
IF(OR(AND(AA$5&gt;0,AA$5&gt;100),AND(AA$5&gt;0,AA$5&lt;100)),
VLOOKUP(FLOOR((Midterm!AA43/AA$5)*100,1),new_transmute,4,FALSE),
VLOOKUP(Midterm!AA43,new_transmute,4,FALSE)
),
""
)
)
)
)
)
)
)
)
))</f>
        <v/>
      </c>
      <c r="AB43" s="14" t="str">
        <f>IF($B43="","",
IF(AB$5="","",
IF(Midterm!AB43="",0,
IF(NOT(ISNUMBER(Midterm!AB43)),"NAN",
IF(Midterm!AB43&lt;0,"NEG",
IF(Midterm!AB43&gt;AB$5,"OVER",
IF(AND(AB$5&lt;=100,Midterm!AB43&gt;100),"ERR",
IF(Info!$B$4="Non-board program",
IF(OR(AND(AB$5&gt;0,AB$5&gt;100),AND(AB$5&gt;0,AB$5&lt;100)),
VLOOKUP(FLOOR((Midterm!AB43/AB$5)*100,1),new_transmute,2,FALSE),
VLOOKUP(Midterm!AB43,new_transmute,2,FALSE)
),
IF(Info!$B$4="Board program",
IF(OR(AND(AB$5&gt;0,AB$5&gt;100),AND(AB$5&gt;0,AB$5&lt;100)),
VLOOKUP(FLOOR((Midterm!AB43/AB$5)*100,1),new_transmute,3,FALSE),
VLOOKUP(Midterm!AB43,new_transmute,3,FALSE)
),
IF(Info!$B$4="Board program (Medicine)",
IF(OR(AND(AB$5&gt;0,AB$5&gt;100),AND(AB$5&gt;0,AB$5&lt;100)),
VLOOKUP(FLOOR((Midterm!AB43/AB$5)*100,1),new_transmute,4,FALSE),
VLOOKUP(Midterm!AB43,new_transmute,4,FALSE)
),
""
)
)
)
)
)
)
)
)
))</f>
        <v/>
      </c>
      <c r="AC43" s="14" t="str">
        <f>IF($B43="","",
IF(AC$5="","",
IF(Midterm!AC43="",0,
IF(NOT(ISNUMBER(Midterm!AC43)),"NAN",
IF(Midterm!AC43&lt;0,"NEG",
IF(Midterm!AC43&gt;AC$5,"OVER",
IF(AND(AC$5&lt;=100,Midterm!AC43&gt;100),"ERR",
IF(Info!$B$4="Non-board program",
IF(OR(AND(AC$5&gt;0,AC$5&gt;100),AND(AC$5&gt;0,AC$5&lt;100)),
VLOOKUP(FLOOR((Midterm!AC43/AC$5)*100,1),new_transmute,2,FALSE),
VLOOKUP(Midterm!AC43,new_transmute,2,FALSE)
),
IF(Info!$B$4="Board program",
IF(OR(AND(AC$5&gt;0,AC$5&gt;100),AND(AC$5&gt;0,AC$5&lt;100)),
VLOOKUP(FLOOR((Midterm!AC43/AC$5)*100,1),new_transmute,3,FALSE),
VLOOKUP(Midterm!AC43,new_transmute,3,FALSE)
),
IF(Info!$B$4="Board program (Medicine)",
IF(OR(AND(AC$5&gt;0,AC$5&gt;100),AND(AC$5&gt;0,AC$5&lt;100)),
VLOOKUP(FLOOR((Midterm!AC43/AC$5)*100,1),new_transmute,4,FALSE),
VLOOKUP(Midterm!AC43,new_transmute,4,FALSE)
),
""
)
)
)
)
)
)
)
)
))</f>
        <v/>
      </c>
      <c r="AD43" s="14" t="str">
        <f>IF($B43="","",
IF(AD$5="","",
IF(Midterm!AD43="",0,
IF(NOT(ISNUMBER(Midterm!AD43)),"NAN",
IF(Midterm!AD43&lt;0,"NEG",
IF(Midterm!AD43&gt;AD$5,"OVER",
IF(AND(AD$5&lt;=100,Midterm!AD43&gt;100),"ERR",
IF(Info!$B$4="Non-board program",
IF(OR(AND(AD$5&gt;0,AD$5&gt;100),AND(AD$5&gt;0,AD$5&lt;100)),
VLOOKUP(FLOOR((Midterm!AD43/AD$5)*100,1),new_transmute,2,FALSE),
VLOOKUP(Midterm!AD43,new_transmute,2,FALSE)
),
IF(Info!$B$4="Board program",
IF(OR(AND(AD$5&gt;0,AD$5&gt;100),AND(AD$5&gt;0,AD$5&lt;100)),
VLOOKUP(FLOOR((Midterm!AD43/AD$5)*100,1),new_transmute,3,FALSE),
VLOOKUP(Midterm!AD43,new_transmute,3,FALSE)
),
IF(Info!$B$4="Board program (Medicine)",
IF(OR(AND(AD$5&gt;0,AD$5&gt;100),AND(AD$5&gt;0,AD$5&lt;100)),
VLOOKUP(FLOOR((Midterm!AD43/AD$5)*100,1),new_transmute,4,FALSE),
VLOOKUP(Midterm!AD43,new_transmute,4,FALSE)
),
""
)
)
)
)
)
)
)
)
))</f>
        <v/>
      </c>
      <c r="AE43" s="58" t="str">
        <f t="shared" si="5"/>
        <v/>
      </c>
      <c r="AF43" s="14" t="str">
        <f>IF($B43="","",
IF(AF$5="","",
IF(Midterm!AF43="",0,
IF(NOT(ISNUMBER(Midterm!AF43)),"NAN",
IF(Midterm!AF43&lt;0,"NEG",
IF(Midterm!AF43&gt;AF$5,"OVER",
IF(AND(AF$5&lt;=100,Midterm!AF43&gt;100),"ERR",
IF(Info!$B$4="Non-board program",
IF(OR(AND(AF$5&gt;0,AF$5&gt;100),AND(AF$5&gt;0,AF$5&lt;100)),
VLOOKUP(FLOOR((Midterm!AF43/AF$5)*100,1),new_transmute,2,FALSE),
VLOOKUP(Midterm!AF43,new_transmute,2,FALSE)
),
IF(Info!$B$4="Board program",
IF(OR(AND(AF$5&gt;0,AF$5&gt;100),AND(AF$5&gt;0,AF$5&lt;100)),
VLOOKUP(FLOOR((Midterm!AF43/AF$5)*100,1),new_transmute,3,FALSE),
VLOOKUP(Midterm!AF43,new_transmute,3,FALSE)
),
IF(Info!$B$4="Board program (Medicine)",
IF(OR(AND(AF$5&gt;0,AF$5&gt;100),AND(AF$5&gt;0,AF$5&lt;100)),
VLOOKUP(FLOOR((Midterm!AF43/AF$5)*100,1),new_transmute,4,FALSE),
VLOOKUP(Midterm!AF43,new_transmute,4,FALSE)
),
""
)
)
)
)
)
)
)
)
))</f>
        <v/>
      </c>
      <c r="AG43" s="14" t="str">
        <f>IF($B43="","",
IF(AG$5="","",
IF(Midterm!AG43="",0,
IF(NOT(ISNUMBER(Midterm!AG43)),"NAN",
IF(Midterm!AG43&lt;0,"NEG",
IF(Midterm!AG43&gt;AG$5,"OVER",
IF(AND(AG$5&lt;=100,Midterm!AG43&gt;100),"ERR",
IF(Info!$B$4="Non-board program",
IF(OR(AND(AG$5&gt;0,AG$5&gt;100),AND(AG$5&gt;0,AG$5&lt;100)),
VLOOKUP(FLOOR((Midterm!AG43/AG$5)*100,1),new_transmute,2,FALSE),
VLOOKUP(Midterm!AG43,new_transmute,2,FALSE)
),
IF(Info!$B$4="Board program",
IF(OR(AND(AG$5&gt;0,AG$5&gt;100),AND(AG$5&gt;0,AG$5&lt;100)),
VLOOKUP(FLOOR((Midterm!AG43/AG$5)*100,1),new_transmute,3,FALSE),
VLOOKUP(Midterm!AG43,new_transmute,3,FALSE)
),
IF(Info!$B$4="Board program (Medicine)",
IF(OR(AND(AG$5&gt;0,AG$5&gt;100),AND(AG$5&gt;0,AG$5&lt;100)),
VLOOKUP(FLOOR((Midterm!AG43/AG$5)*100,1),new_transmute,4,FALSE),
VLOOKUP(Midterm!AG43,new_transmute,4,FALSE)
),
""
)
)
)
)
)
)
)
)
))</f>
        <v/>
      </c>
      <c r="AH43" s="14" t="str">
        <f>IF($B43="","",
IF(AH$5="","",
IF(Midterm!AH43="",0,
IF(NOT(ISNUMBER(Midterm!AH43)),"NAN",
IF(Midterm!AH43&lt;0,"NEG",
IF(Midterm!AH43&gt;AH$5,"OVER",
IF(AND(AH$5&lt;=100,Midterm!AH43&gt;100),"ERR",
IF(Info!$B$4="Non-board program",
IF(OR(AND(AH$5&gt;0,AH$5&gt;100),AND(AH$5&gt;0,AH$5&lt;100)),
VLOOKUP(FLOOR((Midterm!AH43/AH$5)*100,1),new_transmute,2,FALSE),
VLOOKUP(Midterm!AH43,new_transmute,2,FALSE)
),
IF(Info!$B$4="Board program",
IF(OR(AND(AH$5&gt;0,AH$5&gt;100),AND(AH$5&gt;0,AH$5&lt;100)),
VLOOKUP(FLOOR((Midterm!AH43/AH$5)*100,1),new_transmute,3,FALSE),
VLOOKUP(Midterm!AH43,new_transmute,3,FALSE)
),
IF(Info!$B$4="Board program (Medicine)",
IF(OR(AND(AH$5&gt;0,AH$5&gt;100),AND(AH$5&gt;0,AH$5&lt;100)),
VLOOKUP(FLOOR((Midterm!AH43/AH$5)*100,1),new_transmute,4,FALSE),
VLOOKUP(Midterm!AH43,new_transmute,4,FALSE)
),
""
)
)
)
)
)
)
)
)
))</f>
        <v/>
      </c>
      <c r="AI43" s="14" t="str">
        <f>IF($B43="","",
IF(AI$5="","",
IF(Midterm!AI43="",0,
IF(NOT(ISNUMBER(Midterm!AI43)),"NAN",
IF(Midterm!AI43&lt;0,"NEG",
IF(Midterm!AI43&gt;AI$5,"OVER",
IF(AND(AI$5&lt;=100,Midterm!AI43&gt;100),"ERR",
IF(Info!$B$4="Non-board program",
IF(OR(AND(AI$5&gt;0,AI$5&gt;100),AND(AI$5&gt;0,AI$5&lt;100)),
VLOOKUP(FLOOR((Midterm!AI43/AI$5)*100,1),new_transmute,2,FALSE),
VLOOKUP(Midterm!AI43,new_transmute,2,FALSE)
),
IF(Info!$B$4="Board program",
IF(OR(AND(AI$5&gt;0,AI$5&gt;100),AND(AI$5&gt;0,AI$5&lt;100)),
VLOOKUP(FLOOR((Midterm!AI43/AI$5)*100,1),new_transmute,3,FALSE),
VLOOKUP(Midterm!AI43,new_transmute,3,FALSE)
),
IF(Info!$B$4="Board program (Medicine)",
IF(OR(AND(AI$5&gt;0,AI$5&gt;100),AND(AI$5&gt;0,AI$5&lt;100)),
VLOOKUP(FLOOR((Midterm!AI43/AI$5)*100,1),new_transmute,4,FALSE),
VLOOKUP(Midterm!AI43,new_transmute,4,FALSE)
),
""
)
)
)
)
)
)
)
)
))</f>
        <v/>
      </c>
      <c r="AJ43" s="14" t="str">
        <f>IF($B43="","",
IF(AJ$5="","",
IF(Midterm!AJ43="",0,
IF(NOT(ISNUMBER(Midterm!AJ43)),"NAN",
IF(Midterm!AJ43&lt;0,"NEG",
IF(Midterm!AJ43&gt;AJ$5,"OVER",
IF(AND(AJ$5&lt;=100,Midterm!AJ43&gt;100),"ERR",
IF(Info!$B$4="Non-board program",
IF(OR(AND(AJ$5&gt;0,AJ$5&gt;100),AND(AJ$5&gt;0,AJ$5&lt;100)),
VLOOKUP(FLOOR((Midterm!AJ43/AJ$5)*100,1),new_transmute,2,FALSE),
VLOOKUP(Midterm!AJ43,new_transmute,2,FALSE)
),
IF(Info!$B$4="Board program",
IF(OR(AND(AJ$5&gt;0,AJ$5&gt;100),AND(AJ$5&gt;0,AJ$5&lt;100)),
VLOOKUP(FLOOR((Midterm!AJ43/AJ$5)*100,1),new_transmute,3,FALSE),
VLOOKUP(Midterm!AJ43,new_transmute,3,FALSE)
),
IF(Info!$B$4="Board program (Medicine)",
IF(OR(AND(AJ$5&gt;0,AJ$5&gt;100),AND(AJ$5&gt;0,AJ$5&lt;100)),
VLOOKUP(FLOOR((Midterm!AJ43/AJ$5)*100,1),new_transmute,4,FALSE),
VLOOKUP(Midterm!AJ43,new_transmute,4,FALSE)
),
""
)
)
)
)
)
)
)
)
))</f>
        <v/>
      </c>
      <c r="AK43" s="59" t="str">
        <f t="shared" si="6"/>
        <v/>
      </c>
      <c r="AL43" s="60" t="str">
        <f>IF(B43="", "",
    IF(OR(M43="OVER", S43="OVER", Y43="OVER", AE43="OVER", AK43="OVER"),
        "OVER",
        IF(Info!$B$4="Non-board program",
            VLOOKUP(IFERROR(FLOOR(SUM((M43*$M$4), (S43*$S$4), (Y43*$Y$4), (AE43*$AE$4), (AK43*$AK$4)) * (100 / 60), 1), 0), new_transmute, 2, FALSE),
            IF(Info!$B$4="Board program",
                VLOOKUP(IFERROR(FLOOR(SUM((M43*$M$4), (S43*$S$4), (Y43*$Y$4), (AE43*$AE$4), (AK43*$AK$4)) * (100 / 60), 1), 0), new_transmute, 3, FALSE),
                IF(Info!$B$4="Board program (Medicine)",
                    VLOOKUP(IFERROR(FLOOR(SUM((M43*$M$4), (S43*$S$4), (Y43*$Y$4), (AE43*$AE$4), (AK43*$AK$4)) * (100 / 60), 1), 0), new_transmute, 4, FALSE),
                    ""
                )
            )
        )
    )
)</f>
        <v/>
      </c>
      <c r="AM43" s="14" t="str">
        <f>IF($B43="","",
IF(AM$5="","",
IF(Midterm!AM43="",0,
IF(NOT(ISNUMBER(Midterm!AM43)),"NAN",
IF(Midterm!AM43&lt;0,"NEG",
IF(Midterm!AM43&gt;AM$5,"OVER",
IF(AND(AM$5&lt;=100,Midterm!AM43&gt;100),"ERR",
IF(Info!$B$4="Non-board program",
IF(OR(AND(AM$5&gt;0,AM$5&gt;100),AND(AM$5&gt;0,AM$5&lt;100)),
VLOOKUP(FLOOR((Midterm!AM43/AM$5)*100,1),new_transmute,2,FALSE),
VLOOKUP(Midterm!AM43,new_transmute,2,FALSE)
),
IF(Info!$B$4="Board program",
IF(OR(AND(AM$5&gt;0,AM$5&gt;100),AND(AM$5&gt;0,AM$5&lt;100)),
VLOOKUP(FLOOR((Midterm!AM43/AM$5)*100,1),new_transmute,3,FALSE),
VLOOKUP(Midterm!AM43,new_transmute,3,FALSE)
),
IF(Info!$B$4="Board program (Medicine)",
IF(OR(AND(AM$5&gt;0,AM$5&gt;100),AND(AM$5&gt;0,AM$5&lt;100)),
VLOOKUP(FLOOR((Midterm!AM43/AM$5)*100,1),new_transmute,4,FALSE),
VLOOKUP(Midterm!AM43,new_transmute,4,FALSE)
),
""
)
)
)
)
)
)
)
)
))</f>
        <v/>
      </c>
      <c r="AN43" s="14" t="str">
        <f>IF($B43="","",
IF(AN$5="","",
IF(Midterm!AN43="",0,
IF(NOT(ISNUMBER(Midterm!AN43)),"NAN",
IF(Midterm!AN43&lt;0,"NEG",
IF(Midterm!AN43&gt;AN$5,"OVER",
IF(AND(AN$5&lt;=100,Midterm!AN43&gt;100),"ERR",
IF(Info!$B$4="Non-board program",
IF(OR(AND(AN$5&gt;0,AN$5&gt;100),AND(AN$5&gt;0,AN$5&lt;100)),
VLOOKUP(FLOOR((Midterm!AN43/AN$5)*100,1),new_transmute,2,FALSE),
VLOOKUP(Midterm!AN43,new_transmute,2,FALSE)
),
IF(Info!$B$4="Board program",
IF(OR(AND(AN$5&gt;0,AN$5&gt;100),AND(AN$5&gt;0,AN$5&lt;100)),
VLOOKUP(FLOOR((Midterm!AN43/AN$5)*100,1),new_transmute,3,FALSE),
VLOOKUP(Midterm!AN43,new_transmute,3,FALSE)
),
IF(Info!$B$4="Board program (Medicine)",
IF(OR(AND(AN$5&gt;0,AN$5&gt;100),AND(AN$5&gt;0,AN$5&lt;100)),
VLOOKUP(FLOOR((Midterm!AN43/AN$5)*100,1),new_transmute,4,FALSE),
VLOOKUP(Midterm!AN43,new_transmute,4,FALSE)
),
""
)
)
)
)
)
)
)
)
))</f>
        <v/>
      </c>
      <c r="AO43" s="14" t="str">
        <f>IF($B43="","",
IF(AO$5="","",
IF(Midterm!AO43="",0,
IF(NOT(ISNUMBER(Midterm!AO43)),"NAN",
IF(Midterm!AO43&lt;0,"NEG",
IF(Midterm!AO43&gt;AO$5,"OVER",
IF(AND(AO$5&lt;=100,Midterm!AO43&gt;100),"ERR",
IF(Info!$B$4="Non-board program",
IF(OR(AND(AO$5&gt;0,AO$5&gt;100),AND(AO$5&gt;0,AO$5&lt;100)),
VLOOKUP(FLOOR((Midterm!AO43/AO$5)*100,1),new_transmute,2,FALSE),
VLOOKUP(Midterm!AO43,new_transmute,2,FALSE)
),
IF(Info!$B$4="Board program",
IF(OR(AND(AO$5&gt;0,AO$5&gt;100),AND(AO$5&gt;0,AO$5&lt;100)),
VLOOKUP(FLOOR((Midterm!AO43/AO$5)*100,1),new_transmute,3,FALSE),
VLOOKUP(Midterm!AO43,new_transmute,3,FALSE)
),
IF(Info!$B$4="Board program (Medicine)",
IF(OR(AND(AO$5&gt;0,AO$5&gt;100),AND(AO$5&gt;0,AO$5&lt;100)),
VLOOKUP(FLOOR((Midterm!AO43/AO$5)*100,1),new_transmute,4,FALSE),
VLOOKUP(Midterm!AO43,new_transmute,4,FALSE)
),
""
)
)
)
)
)
)
)
)
))</f>
        <v/>
      </c>
      <c r="AP43" s="14" t="str">
        <f>IF($B43="","",
IF(AP$5="","",
IF(Midterm!AP43="",0,
IF(NOT(ISNUMBER(Midterm!AP43)),"NAN",
IF(Midterm!AP43&lt;0,"NEG",
IF(Midterm!AP43&gt;AP$5,"OVER",
IF(AND(AP$5&lt;=100,Midterm!AP43&gt;100),"ERR",
IF(Info!$B$4="Non-board program",
IF(OR(AND(AP$5&gt;0,AP$5&gt;100),AND(AP$5&gt;0,AP$5&lt;100)),
VLOOKUP(FLOOR((Midterm!AP43/AP$5)*100,1),new_transmute,2,FALSE),
VLOOKUP(Midterm!AP43,new_transmute,2,FALSE)
),
IF(Info!$B$4="Board program",
IF(OR(AND(AP$5&gt;0,AP$5&gt;100),AND(AP$5&gt;0,AP$5&lt;100)),
VLOOKUP(FLOOR((Midterm!AP43/AP$5)*100,1),new_transmute,3,FALSE),
VLOOKUP(Midterm!AP43,new_transmute,3,FALSE)
),
IF(Info!$B$4="Board program (Medicine)",
IF(OR(AND(AP$5&gt;0,AP$5&gt;100),AND(AP$5&gt;0,AP$5&lt;100)),
VLOOKUP(FLOOR((Midterm!AP43/AP$5)*100,1),new_transmute,4,FALSE),
VLOOKUP(Midterm!AP43,new_transmute,4,FALSE)
),
""
)
)
)
)
)
)
)
)
))</f>
        <v/>
      </c>
      <c r="AQ43" s="61" t="str">
        <f t="shared" si="7"/>
        <v/>
      </c>
      <c r="AR43" s="48" t="str">
        <f>IF(Midterm!AR43="","",Midterm!AR43)</f>
        <v/>
      </c>
      <c r="AS43" s="165" t="str">
        <f t="shared" si="8"/>
        <v/>
      </c>
      <c r="AT43" s="14" t="str">
        <f t="shared" si="9"/>
        <v/>
      </c>
      <c r="AU43" s="14" t="str">
        <f>IF(B43="","",VLOOKUP(AT43,'New Grade Equivalent'!$B$3:$C$47,2,FALSE))</f>
        <v/>
      </c>
    </row>
    <row r="44" spans="1:47" x14ac:dyDescent="0.25">
      <c r="A44" s="8">
        <v>39</v>
      </c>
      <c r="B44" s="2" t="str">
        <f>IF('Student List'!C48="","",UPPER(LEFT('Student List'!C48,FIND(",",'Student List'!C48)-1)))</f>
        <v/>
      </c>
      <c r="C44" s="12" t="str">
        <f>IF('Student List'!C48="","",PROPER(MID('Student List'!C48, FIND(",", 'Student List'!C48) + 2, LEN('Student List'!C48) - FIND(",", 'Student List'!C48) - 1)))</f>
        <v/>
      </c>
      <c r="D44" s="127" t="str">
        <f>IF(B44="","",IF(Midterm!D44="", "NA", Midterm!D44))</f>
        <v/>
      </c>
      <c r="E44" s="8" t="str">
        <f>IF(B44="","",
  IF(Info!$B$5="First Year",
    IF(D44="Yes", "DRP",
      IF(D44="No", "WF", "")
    )
  )
)</f>
        <v/>
      </c>
      <c r="F44" s="14" t="str">
        <f>IF($B44="","",
IF(F$5="","",
IF(Midterm!F44="",0,
IF(NOT(ISNUMBER(Midterm!F44)),"NAN",
IF(Midterm!F44&lt;0,"NEG",
IF(Midterm!F44&gt;F$5,"OVER",
IF(AND(F$5&lt;=100,Midterm!F44&gt;100),"ERR",
IF(Info!$B$4="Non-board program",
IF(OR(AND(F$5&gt;0,F$5&gt;100),AND(F$5&gt;0,F$5&lt;100)),
VLOOKUP(FLOOR((Midterm!F44/F$5)*100,1),new_transmute,2,FALSE),
VLOOKUP(Midterm!F44,new_transmute,2,FALSE)
),
IF(Info!$B$4="Board program",
IF(OR(AND(F$5&gt;0,F$5&gt;100),AND(F$5&gt;0,F$5&lt;100)),
VLOOKUP(FLOOR((Midterm!F44/F$5)*100,1),new_transmute,3,FALSE),
VLOOKUP(Midterm!F44,new_transmute,3,FALSE)
),
IF(Info!$B$4="Board program (Medicine)",
IF(OR(AND(F$5&gt;0,F$5&gt;100),AND(F$5&gt;0,F$5&lt;100)),
VLOOKUP(FLOOR((Midterm!F44/F$5)*100,1),new_transmute,4,FALSE),
VLOOKUP(Midterm!F44,new_transmute,4,FALSE)
),
""
)
)
)
)
)
)
)
)
))</f>
        <v/>
      </c>
      <c r="G44" s="57" t="str">
        <f t="shared" si="1"/>
        <v/>
      </c>
      <c r="H44" s="14" t="str">
        <f>IF($B44="","",
IF(H$5="","",
IF(Midterm!H44="",0,
IF(NOT(ISNUMBER(Midterm!H44)),"NAN",
IF(Midterm!H44&lt;0,"NEG",
IF(Midterm!H44&gt;H$5,"OVER",
IF(AND(H$5&lt;=100,Midterm!H44&gt;100),"ERR",
IF(Info!$B$4="Non-board program",
IF(OR(AND(H$5&gt;0,H$5&gt;100),AND(H$5&gt;0,H$5&lt;100)),
VLOOKUP(FLOOR((Midterm!H44/H$5)*100,1),new_transmute,2,FALSE),
VLOOKUP(Midterm!H44,new_transmute,2,FALSE)
),
IF(Info!$B$4="Board program",
IF(OR(AND(H$5&gt;0,H$5&gt;100),AND(H$5&gt;0,H$5&lt;100)),
VLOOKUP(FLOOR((Midterm!H44/H$5)*100,1),new_transmute,3,FALSE),
VLOOKUP(Midterm!H44,new_transmute,3,FALSE)
),
IF(Info!$B$4="Board program (Medicine)",
IF(OR(AND(H$5&gt;0,H$5&gt;100),AND(H$5&gt;0,H$5&lt;100)),
VLOOKUP(FLOOR((Midterm!H44/H$5)*100,1),new_transmute,4,FALSE),
VLOOKUP(Midterm!H44,new_transmute,4,FALSE)
),
""
)
)
)
)
)
)
)
)
))</f>
        <v/>
      </c>
      <c r="I44" s="14" t="str">
        <f>IF($B44="","",
IF(I$5="","",
IF(Midterm!I44="",0,
IF(NOT(ISNUMBER(Midterm!I44)),"NAN",
IF(Midterm!I44&lt;0,"NEG",
IF(Midterm!I44&gt;I$5,"OVER",
IF(AND(I$5&lt;=100,Midterm!I44&gt;100),"ERR",
IF(Info!$B$4="Non-board program",
IF(OR(AND(I$5&gt;0,I$5&gt;100),AND(I$5&gt;0,I$5&lt;100)),
VLOOKUP(FLOOR((Midterm!I44/I$5)*100,1),new_transmute,2,FALSE),
VLOOKUP(Midterm!I44,new_transmute,2,FALSE)
),
IF(Info!$B$4="Board program",
IF(OR(AND(I$5&gt;0,I$5&gt;100),AND(I$5&gt;0,I$5&lt;100)),
VLOOKUP(FLOOR((Midterm!I44/I$5)*100,1),new_transmute,3,FALSE),
VLOOKUP(Midterm!I44,new_transmute,3,FALSE)
),
IF(Info!$B$4="Board program (Medicine)",
IF(OR(AND(I$5&gt;0,I$5&gt;100),AND(I$5&gt;0,I$5&lt;100)),
VLOOKUP(FLOOR((Midterm!I44/I$5)*100,1),new_transmute,4,FALSE),
VLOOKUP(Midterm!I44,new_transmute,4,FALSE)
),
""
)
)
)
)
)
)
)
)
))</f>
        <v/>
      </c>
      <c r="J44" s="14" t="str">
        <f>IF($B44="","",
IF(J$5="","",
IF(Midterm!J44="",0,
IF(NOT(ISNUMBER(Midterm!J44)),"NAN",
IF(Midterm!J44&lt;0,"NEG",
IF(Midterm!J44&gt;J$5,"OVER",
IF(AND(J$5&lt;=100,Midterm!J44&gt;100),"ERR",
IF(Info!$B$4="Non-board program",
IF(OR(AND(J$5&gt;0,J$5&gt;100),AND(J$5&gt;0,J$5&lt;100)),
VLOOKUP(FLOOR((Midterm!J44/J$5)*100,1),new_transmute,2,FALSE),
VLOOKUP(Midterm!J44,new_transmute,2,FALSE)
),
IF(Info!$B$4="Board program",
IF(OR(AND(J$5&gt;0,J$5&gt;100),AND(J$5&gt;0,J$5&lt;100)),
VLOOKUP(FLOOR((Midterm!J44/J$5)*100,1),new_transmute,3,FALSE),
VLOOKUP(Midterm!J44,new_transmute,3,FALSE)
),
IF(Info!$B$4="Board program (Medicine)",
IF(OR(AND(J$5&gt;0,J$5&gt;100),AND(J$5&gt;0,J$5&lt;100)),
VLOOKUP(FLOOR((Midterm!J44/J$5)*100,1),new_transmute,4,FALSE),
VLOOKUP(Midterm!J44,new_transmute,4,FALSE)
),
""
)
)
)
)
)
)
)
)
))</f>
        <v/>
      </c>
      <c r="K44" s="14" t="str">
        <f>IF($B44="","",
IF(K$5="","",
IF(Midterm!K44="",0,
IF(NOT(ISNUMBER(Midterm!K44)),"NAN",
IF(Midterm!K44&lt;0,"NEG",
IF(Midterm!K44&gt;K$5,"OVER",
IF(AND(K$5&lt;=100,Midterm!K44&gt;100),"ERR",
IF(Info!$B$4="Non-board program",
IF(OR(AND(K$5&gt;0,K$5&gt;100),AND(K$5&gt;0,K$5&lt;100)),
VLOOKUP(FLOOR((Midterm!K44/K$5)*100,1),new_transmute,2,FALSE),
VLOOKUP(Midterm!K44,new_transmute,2,FALSE)
),
IF(Info!$B$4="Board program",
IF(OR(AND(K$5&gt;0,K$5&gt;100),AND(K$5&gt;0,K$5&lt;100)),
VLOOKUP(FLOOR((Midterm!K44/K$5)*100,1),new_transmute,3,FALSE),
VLOOKUP(Midterm!K44,new_transmute,3,FALSE)
),
IF(Info!$B$4="Board program (Medicine)",
IF(OR(AND(K$5&gt;0,K$5&gt;100),AND(K$5&gt;0,K$5&lt;100)),
VLOOKUP(FLOOR((Midterm!K44/K$5)*100,1),new_transmute,4,FALSE),
VLOOKUP(Midterm!K44,new_transmute,4,FALSE)
),
""
)
)
)
)
)
)
)
)
))</f>
        <v/>
      </c>
      <c r="L44" s="14" t="str">
        <f>IF($B44="","",
IF(L$5="","",
IF(Midterm!L44="",0,
IF(NOT(ISNUMBER(Midterm!L44)),"NAN",
IF(Midterm!L44&lt;0,"NEG",
IF(Midterm!L44&gt;L$5,"OVER",
IF(AND(L$5&lt;=100,Midterm!L44&gt;100),"ERR",
IF(Info!$B$4="Non-board program",
IF(OR(AND(L$5&gt;0,L$5&gt;100),AND(L$5&gt;0,L$5&lt;100)),
VLOOKUP(FLOOR((Midterm!L44/L$5)*100,1),new_transmute,2,FALSE),
VLOOKUP(Midterm!L44,new_transmute,2,FALSE)
),
IF(Info!$B$4="Board program",
IF(OR(AND(L$5&gt;0,L$5&gt;100),AND(L$5&gt;0,L$5&lt;100)),
VLOOKUP(FLOOR((Midterm!L44/L$5)*100,1),new_transmute,3,FALSE),
VLOOKUP(Midterm!L44,new_transmute,3,FALSE)
),
IF(Info!$B$4="Board program (Medicine)",
IF(OR(AND(L$5&gt;0,L$5&gt;100),AND(L$5&gt;0,L$5&lt;100)),
VLOOKUP(FLOOR((Midterm!L44/L$5)*100,1),new_transmute,4,FALSE),
VLOOKUP(Midterm!L44,new_transmute,4,FALSE)
),
""
)
)
)
)
)
)
)
)
))</f>
        <v/>
      </c>
      <c r="M44" s="111" t="str">
        <f t="shared" si="2"/>
        <v/>
      </c>
      <c r="N44" s="14" t="str">
        <f>IF($B44="","",
IF(N$5="","",
IF(Midterm!N44="",0,
IF(NOT(ISNUMBER(Midterm!N44)),"NAN",
IF(Midterm!N44&lt;0,"NEG",
IF(Midterm!N44&gt;N$5,"OVER",
IF(AND(N$5&lt;=100,Midterm!N44&gt;100),"ERR",
IF(Info!$B$4="Non-board program",
IF(OR(AND(N$5&gt;0,N$5&gt;100),AND(N$5&gt;0,N$5&lt;100)),
VLOOKUP(FLOOR((Midterm!N44/N$5)*100,1),new_transmute,2,FALSE),
VLOOKUP(Midterm!N44,new_transmute,2,FALSE)
),
IF(Info!$B$4="Board program",
IF(OR(AND(N$5&gt;0,N$5&gt;100),AND(N$5&gt;0,N$5&lt;100)),
VLOOKUP(FLOOR((Midterm!N44/N$5)*100,1),new_transmute,3,FALSE),
VLOOKUP(Midterm!N44,new_transmute,3,FALSE)
),
IF(Info!$B$4="Board program (Medicine)",
IF(OR(AND(N$5&gt;0,N$5&gt;100),AND(N$5&gt;0,N$5&lt;100)),
VLOOKUP(FLOOR((Midterm!N44/N$5)*100,1),new_transmute,4,FALSE),
VLOOKUP(Midterm!N44,new_transmute,4,FALSE)
),
""
)
)
)
)
)
)
)
)
))</f>
        <v/>
      </c>
      <c r="O44" s="14" t="str">
        <f>IF($B44="","",
IF(O$5="","",
IF(Midterm!O44="",0,
IF(NOT(ISNUMBER(Midterm!O44)),"NAN",
IF(Midterm!O44&lt;0,"NEG",
IF(Midterm!O44&gt;O$5,"OVER",
IF(AND(O$5&lt;=100,Midterm!O44&gt;100),"ERR",
IF(Info!$B$4="Non-board program",
IF(OR(AND(O$5&gt;0,O$5&gt;100),AND(O$5&gt;0,O$5&lt;100)),
VLOOKUP(FLOOR((Midterm!O44/O$5)*100,1),new_transmute,2,FALSE),
VLOOKUP(Midterm!O44,new_transmute,2,FALSE)
),
IF(Info!$B$4="Board program",
IF(OR(AND(O$5&gt;0,O$5&gt;100),AND(O$5&gt;0,O$5&lt;100)),
VLOOKUP(FLOOR((Midterm!O44/O$5)*100,1),new_transmute,3,FALSE),
VLOOKUP(Midterm!O44,new_transmute,3,FALSE)
),
IF(Info!$B$4="Board program (Medicine)",
IF(OR(AND(O$5&gt;0,O$5&gt;100),AND(O$5&gt;0,O$5&lt;100)),
VLOOKUP(FLOOR((Midterm!O44/O$5)*100,1),new_transmute,4,FALSE),
VLOOKUP(Midterm!O44,new_transmute,4,FALSE)
),
""
)
)
)
)
)
)
)
)
))</f>
        <v/>
      </c>
      <c r="P44" s="14" t="str">
        <f>IF($B44="","",
IF(P$5="","",
IF(Midterm!P44="",0,
IF(NOT(ISNUMBER(Midterm!P44)),"NAN",
IF(Midterm!P44&lt;0,"NEG",
IF(Midterm!P44&gt;P$5,"OVER",
IF(AND(P$5&lt;=100,Midterm!P44&gt;100),"ERR",
IF(Info!$B$4="Non-board program",
IF(OR(AND(P$5&gt;0,P$5&gt;100),AND(P$5&gt;0,P$5&lt;100)),
VLOOKUP(FLOOR((Midterm!P44/P$5)*100,1),new_transmute,2,FALSE),
VLOOKUP(Midterm!P44,new_transmute,2,FALSE)
),
IF(Info!$B$4="Board program",
IF(OR(AND(P$5&gt;0,P$5&gt;100),AND(P$5&gt;0,P$5&lt;100)),
VLOOKUP(FLOOR((Midterm!P44/P$5)*100,1),new_transmute,3,FALSE),
VLOOKUP(Midterm!P44,new_transmute,3,FALSE)
),
IF(Info!$B$4="Board program (Medicine)",
IF(OR(AND(P$5&gt;0,P$5&gt;100),AND(P$5&gt;0,P$5&lt;100)),
VLOOKUP(FLOOR((Midterm!P44/P$5)*100,1),new_transmute,4,FALSE),
VLOOKUP(Midterm!P44,new_transmute,4,FALSE)
),
""
)
)
)
)
)
)
)
)
))</f>
        <v/>
      </c>
      <c r="Q44" s="14" t="str">
        <f>IF($B44="","",
IF(Q$5="","",
IF(Midterm!Q44="",0,
IF(NOT(ISNUMBER(Midterm!Q44)),"NAN",
IF(Midterm!Q44&lt;0,"NEG",
IF(Midterm!Q44&gt;Q$5,"OVER",
IF(AND(Q$5&lt;=100,Midterm!Q44&gt;100),"ERR",
IF(Info!$B$4="Non-board program",
IF(OR(AND(Q$5&gt;0,Q$5&gt;100),AND(Q$5&gt;0,Q$5&lt;100)),
VLOOKUP(FLOOR((Midterm!Q44/Q$5)*100,1),new_transmute,2,FALSE),
VLOOKUP(Midterm!Q44,new_transmute,2,FALSE)
),
IF(Info!$B$4="Board program",
IF(OR(AND(Q$5&gt;0,Q$5&gt;100),AND(Q$5&gt;0,Q$5&lt;100)),
VLOOKUP(FLOOR((Midterm!Q44/Q$5)*100,1),new_transmute,3,FALSE),
VLOOKUP(Midterm!Q44,new_transmute,3,FALSE)
),
IF(Info!$B$4="Board program (Medicine)",
IF(OR(AND(Q$5&gt;0,Q$5&gt;100),AND(Q$5&gt;0,Q$5&lt;100)),
VLOOKUP(FLOOR((Midterm!Q44/Q$5)*100,1),new_transmute,4,FALSE),
VLOOKUP(Midterm!Q44,new_transmute,4,FALSE)
),
""
)
)
)
)
)
)
)
)
))</f>
        <v/>
      </c>
      <c r="R44" s="14" t="str">
        <f>IF($B44="","",
IF(R$5="","",
IF(Midterm!R44="",0,
IF(NOT(ISNUMBER(Midterm!R44)),"NAN",
IF(Midterm!R44&lt;0,"NEG",
IF(Midterm!R44&gt;R$5,"OVER",
IF(AND(R$5&lt;=100,Midterm!R44&gt;100),"ERR",
IF(Info!$B$4="Non-board program",
IF(OR(AND(R$5&gt;0,R$5&gt;100),AND(R$5&gt;0,R$5&lt;100)),
VLOOKUP(FLOOR((Midterm!R44/R$5)*100,1),new_transmute,2,FALSE),
VLOOKUP(Midterm!R44,new_transmute,2,FALSE)
),
IF(Info!$B$4="Board program",
IF(OR(AND(R$5&gt;0,R$5&gt;100),AND(R$5&gt;0,R$5&lt;100)),
VLOOKUP(FLOOR((Midterm!R44/R$5)*100,1),new_transmute,3,FALSE),
VLOOKUP(Midterm!R44,new_transmute,3,FALSE)
),
IF(Info!$B$4="Board program (Medicine)",
IF(OR(AND(R$5&gt;0,R$5&gt;100),AND(R$5&gt;0,R$5&lt;100)),
VLOOKUP(FLOOR((Midterm!R44/R$5)*100,1),new_transmute,4,FALSE),
VLOOKUP(Midterm!R44,new_transmute,4,FALSE)
),
""
)
)
)
)
)
)
)
)
))</f>
        <v/>
      </c>
      <c r="S44" s="115" t="str">
        <f t="shared" si="3"/>
        <v/>
      </c>
      <c r="T44" s="14" t="str">
        <f>IF($B44="","",
IF(T$5="","",
IF(Midterm!T44="",0,
IF(NOT(ISNUMBER(Midterm!T44)),"NAN",
IF(Midterm!T44&lt;0,"NEG",
IF(Midterm!T44&gt;T$5,"OVER",
IF(AND(T$5&lt;=100,Midterm!T44&gt;100),"ERR",
IF(Info!$B$4="Non-board program",
IF(OR(AND(T$5&gt;0,T$5&gt;100),AND(T$5&gt;0,T$5&lt;100)),
VLOOKUP(FLOOR((Midterm!T44/T$5)*100,1),new_transmute,2,FALSE),
VLOOKUP(Midterm!T44,new_transmute,2,FALSE)
),
IF(Info!$B$4="Board program",
IF(OR(AND(T$5&gt;0,T$5&gt;100),AND(T$5&gt;0,T$5&lt;100)),
VLOOKUP(FLOOR((Midterm!T44/T$5)*100,1),new_transmute,3,FALSE),
VLOOKUP(Midterm!T44,new_transmute,3,FALSE)
),
IF(Info!$B$4="Board program (Medicine)",
IF(OR(AND(T$5&gt;0,T$5&gt;100),AND(T$5&gt;0,T$5&lt;100)),
VLOOKUP(FLOOR((Midterm!T44/T$5)*100,1),new_transmute,4,FALSE),
VLOOKUP(Midterm!T44,new_transmute,4,FALSE)
),
""
)
)
)
)
)
)
)
)
))</f>
        <v/>
      </c>
      <c r="U44" s="14" t="str">
        <f>IF($B44="","",
IF(U$5="","",
IF(Midterm!U44="",0,
IF(NOT(ISNUMBER(Midterm!U44)),"NAN",
IF(Midterm!U44&lt;0,"NEG",
IF(Midterm!U44&gt;U$5,"OVER",
IF(AND(U$5&lt;=100,Midterm!U44&gt;100),"ERR",
IF(Info!$B$4="Non-board program",
IF(OR(AND(U$5&gt;0,U$5&gt;100),AND(U$5&gt;0,U$5&lt;100)),
VLOOKUP(FLOOR((Midterm!U44/U$5)*100,1),new_transmute,2,FALSE),
VLOOKUP(Midterm!U44,new_transmute,2,FALSE)
),
IF(Info!$B$4="Board program",
IF(OR(AND(U$5&gt;0,U$5&gt;100),AND(U$5&gt;0,U$5&lt;100)),
VLOOKUP(FLOOR((Midterm!U44/U$5)*100,1),new_transmute,3,FALSE),
VLOOKUP(Midterm!U44,new_transmute,3,FALSE)
),
IF(Info!$B$4="Board program (Medicine)",
IF(OR(AND(U$5&gt;0,U$5&gt;100),AND(U$5&gt;0,U$5&lt;100)),
VLOOKUP(FLOOR((Midterm!U44/U$5)*100,1),new_transmute,4,FALSE),
VLOOKUP(Midterm!U44,new_transmute,4,FALSE)
),
""
)
)
)
)
)
)
)
)
))</f>
        <v/>
      </c>
      <c r="V44" s="14" t="str">
        <f>IF($B44="","",
IF(V$5="","",
IF(Midterm!V44="",0,
IF(NOT(ISNUMBER(Midterm!V44)),"NAN",
IF(Midterm!V44&lt;0,"NEG",
IF(Midterm!V44&gt;V$5,"OVER",
IF(AND(V$5&lt;=100,Midterm!V44&gt;100),"ERR",
IF(Info!$B$4="Non-board program",
IF(OR(AND(V$5&gt;0,V$5&gt;100),AND(V$5&gt;0,V$5&lt;100)),
VLOOKUP(FLOOR((Midterm!V44/V$5)*100,1),new_transmute,2,FALSE),
VLOOKUP(Midterm!V44,new_transmute,2,FALSE)
),
IF(Info!$B$4="Board program",
IF(OR(AND(V$5&gt;0,V$5&gt;100),AND(V$5&gt;0,V$5&lt;100)),
VLOOKUP(FLOOR((Midterm!V44/V$5)*100,1),new_transmute,3,FALSE),
VLOOKUP(Midterm!V44,new_transmute,3,FALSE)
),
IF(Info!$B$4="Board program (Medicine)",
IF(OR(AND(V$5&gt;0,V$5&gt;100),AND(V$5&gt;0,V$5&lt;100)),
VLOOKUP(FLOOR((Midterm!V44/V$5)*100,1),new_transmute,4,FALSE),
VLOOKUP(Midterm!V44,new_transmute,4,FALSE)
),
""
)
)
)
)
)
)
)
)
))</f>
        <v/>
      </c>
      <c r="W44" s="14" t="str">
        <f>IF($B44="","",
IF(W$5="","",
IF(Midterm!W44="",0,
IF(NOT(ISNUMBER(Midterm!W44)),"NAN",
IF(Midterm!W44&lt;0,"NEG",
IF(Midterm!W44&gt;W$5,"OVER",
IF(AND(W$5&lt;=100,Midterm!W44&gt;100),"ERR",
IF(Info!$B$4="Non-board program",
IF(OR(AND(W$5&gt;0,W$5&gt;100),AND(W$5&gt;0,W$5&lt;100)),
VLOOKUP(FLOOR((Midterm!W44/W$5)*100,1),new_transmute,2,FALSE),
VLOOKUP(Midterm!W44,new_transmute,2,FALSE)
),
IF(Info!$B$4="Board program",
IF(OR(AND(W$5&gt;0,W$5&gt;100),AND(W$5&gt;0,W$5&lt;100)),
VLOOKUP(FLOOR((Midterm!W44/W$5)*100,1),new_transmute,3,FALSE),
VLOOKUP(Midterm!W44,new_transmute,3,FALSE)
),
IF(Info!$B$4="Board program (Medicine)",
IF(OR(AND(W$5&gt;0,W$5&gt;100),AND(W$5&gt;0,W$5&lt;100)),
VLOOKUP(FLOOR((Midterm!W44/W$5)*100,1),new_transmute,4,FALSE),
VLOOKUP(Midterm!W44,new_transmute,4,FALSE)
),
""
)
)
)
)
)
)
)
)
))</f>
        <v/>
      </c>
      <c r="X44" s="14" t="str">
        <f>IF($B44="","",
IF(X$5="","",
IF(Midterm!X44="",0,
IF(NOT(ISNUMBER(Midterm!X44)),"NAN",
IF(Midterm!X44&lt;0,"NEG",
IF(Midterm!X44&gt;X$5,"OVER",
IF(AND(X$5&lt;=100,Midterm!X44&gt;100),"ERR",
IF(Info!$B$4="Non-board program",
IF(OR(AND(X$5&gt;0,X$5&gt;100),AND(X$5&gt;0,X$5&lt;100)),
VLOOKUP(FLOOR((Midterm!X44/X$5)*100,1),new_transmute,2,FALSE),
VLOOKUP(Midterm!X44,new_transmute,2,FALSE)
),
IF(Info!$B$4="Board program",
IF(OR(AND(X$5&gt;0,X$5&gt;100),AND(X$5&gt;0,X$5&lt;100)),
VLOOKUP(FLOOR((Midterm!X44/X$5)*100,1),new_transmute,3,FALSE),
VLOOKUP(Midterm!X44,new_transmute,3,FALSE)
),
IF(Info!$B$4="Board program (Medicine)",
IF(OR(AND(X$5&gt;0,X$5&gt;100),AND(X$5&gt;0,X$5&lt;100)),
VLOOKUP(FLOOR((Midterm!X44/X$5)*100,1),new_transmute,4,FALSE),
VLOOKUP(Midterm!X44,new_transmute,4,FALSE)
),
""
)
)
)
)
)
)
)
)
))</f>
        <v/>
      </c>
      <c r="Y44" s="112" t="str">
        <f t="shared" si="4"/>
        <v/>
      </c>
      <c r="Z44" s="14" t="str">
        <f>IF($B44="","",
IF(Z$5="","",
IF(Midterm!Z44="",0,
IF(NOT(ISNUMBER(Midterm!Z44)),"NAN",
IF(Midterm!Z44&lt;0,"NEG",
IF(Midterm!Z44&gt;Z$5,"OVER",
IF(AND(Z$5&lt;=100,Midterm!Z44&gt;100),"ERR",
IF(Info!$B$4="Non-board program",
IF(OR(AND(Z$5&gt;0,Z$5&gt;100),AND(Z$5&gt;0,Z$5&lt;100)),
VLOOKUP(FLOOR((Midterm!Z44/Z$5)*100,1),new_transmute,2,FALSE),
VLOOKUP(Midterm!Z44,new_transmute,2,FALSE)
),
IF(Info!$B$4="Board program",
IF(OR(AND(Z$5&gt;0,Z$5&gt;100),AND(Z$5&gt;0,Z$5&lt;100)),
VLOOKUP(FLOOR((Midterm!Z44/Z$5)*100,1),new_transmute,3,FALSE),
VLOOKUP(Midterm!Z44,new_transmute,3,FALSE)
),
IF(Info!$B$4="Board program (Medicine)",
IF(OR(AND(Z$5&gt;0,Z$5&gt;100),AND(Z$5&gt;0,Z$5&lt;100)),
VLOOKUP(FLOOR((Midterm!Z44/Z$5)*100,1),new_transmute,4,FALSE),
VLOOKUP(Midterm!Z44,new_transmute,4,FALSE)
),
""
)
)
)
)
)
)
)
)
))</f>
        <v/>
      </c>
      <c r="AA44" s="14" t="str">
        <f>IF($B44="","",
IF(AA$5="","",
IF(Midterm!AA44="",0,
IF(NOT(ISNUMBER(Midterm!AA44)),"NAN",
IF(Midterm!AA44&lt;0,"NEG",
IF(Midterm!AA44&gt;AA$5,"OVER",
IF(AND(AA$5&lt;=100,Midterm!AA44&gt;100),"ERR",
IF(Info!$B$4="Non-board program",
IF(OR(AND(AA$5&gt;0,AA$5&gt;100),AND(AA$5&gt;0,AA$5&lt;100)),
VLOOKUP(FLOOR((Midterm!AA44/AA$5)*100,1),new_transmute,2,FALSE),
VLOOKUP(Midterm!AA44,new_transmute,2,FALSE)
),
IF(Info!$B$4="Board program",
IF(OR(AND(AA$5&gt;0,AA$5&gt;100),AND(AA$5&gt;0,AA$5&lt;100)),
VLOOKUP(FLOOR((Midterm!AA44/AA$5)*100,1),new_transmute,3,FALSE),
VLOOKUP(Midterm!AA44,new_transmute,3,FALSE)
),
IF(Info!$B$4="Board program (Medicine)",
IF(OR(AND(AA$5&gt;0,AA$5&gt;100),AND(AA$5&gt;0,AA$5&lt;100)),
VLOOKUP(FLOOR((Midterm!AA44/AA$5)*100,1),new_transmute,4,FALSE),
VLOOKUP(Midterm!AA44,new_transmute,4,FALSE)
),
""
)
)
)
)
)
)
)
)
))</f>
        <v/>
      </c>
      <c r="AB44" s="14" t="str">
        <f>IF($B44="","",
IF(AB$5="","",
IF(Midterm!AB44="",0,
IF(NOT(ISNUMBER(Midterm!AB44)),"NAN",
IF(Midterm!AB44&lt;0,"NEG",
IF(Midterm!AB44&gt;AB$5,"OVER",
IF(AND(AB$5&lt;=100,Midterm!AB44&gt;100),"ERR",
IF(Info!$B$4="Non-board program",
IF(OR(AND(AB$5&gt;0,AB$5&gt;100),AND(AB$5&gt;0,AB$5&lt;100)),
VLOOKUP(FLOOR((Midterm!AB44/AB$5)*100,1),new_transmute,2,FALSE),
VLOOKUP(Midterm!AB44,new_transmute,2,FALSE)
),
IF(Info!$B$4="Board program",
IF(OR(AND(AB$5&gt;0,AB$5&gt;100),AND(AB$5&gt;0,AB$5&lt;100)),
VLOOKUP(FLOOR((Midterm!AB44/AB$5)*100,1),new_transmute,3,FALSE),
VLOOKUP(Midterm!AB44,new_transmute,3,FALSE)
),
IF(Info!$B$4="Board program (Medicine)",
IF(OR(AND(AB$5&gt;0,AB$5&gt;100),AND(AB$5&gt;0,AB$5&lt;100)),
VLOOKUP(FLOOR((Midterm!AB44/AB$5)*100,1),new_transmute,4,FALSE),
VLOOKUP(Midterm!AB44,new_transmute,4,FALSE)
),
""
)
)
)
)
)
)
)
)
))</f>
        <v/>
      </c>
      <c r="AC44" s="14" t="str">
        <f>IF($B44="","",
IF(AC$5="","",
IF(Midterm!AC44="",0,
IF(NOT(ISNUMBER(Midterm!AC44)),"NAN",
IF(Midterm!AC44&lt;0,"NEG",
IF(Midterm!AC44&gt;AC$5,"OVER",
IF(AND(AC$5&lt;=100,Midterm!AC44&gt;100),"ERR",
IF(Info!$B$4="Non-board program",
IF(OR(AND(AC$5&gt;0,AC$5&gt;100),AND(AC$5&gt;0,AC$5&lt;100)),
VLOOKUP(FLOOR((Midterm!AC44/AC$5)*100,1),new_transmute,2,FALSE),
VLOOKUP(Midterm!AC44,new_transmute,2,FALSE)
),
IF(Info!$B$4="Board program",
IF(OR(AND(AC$5&gt;0,AC$5&gt;100),AND(AC$5&gt;0,AC$5&lt;100)),
VLOOKUP(FLOOR((Midterm!AC44/AC$5)*100,1),new_transmute,3,FALSE),
VLOOKUP(Midterm!AC44,new_transmute,3,FALSE)
),
IF(Info!$B$4="Board program (Medicine)",
IF(OR(AND(AC$5&gt;0,AC$5&gt;100),AND(AC$5&gt;0,AC$5&lt;100)),
VLOOKUP(FLOOR((Midterm!AC44/AC$5)*100,1),new_transmute,4,FALSE),
VLOOKUP(Midterm!AC44,new_transmute,4,FALSE)
),
""
)
)
)
)
)
)
)
)
))</f>
        <v/>
      </c>
      <c r="AD44" s="14" t="str">
        <f>IF($B44="","",
IF(AD$5="","",
IF(Midterm!AD44="",0,
IF(NOT(ISNUMBER(Midterm!AD44)),"NAN",
IF(Midterm!AD44&lt;0,"NEG",
IF(Midterm!AD44&gt;AD$5,"OVER",
IF(AND(AD$5&lt;=100,Midterm!AD44&gt;100),"ERR",
IF(Info!$B$4="Non-board program",
IF(OR(AND(AD$5&gt;0,AD$5&gt;100),AND(AD$5&gt;0,AD$5&lt;100)),
VLOOKUP(FLOOR((Midterm!AD44/AD$5)*100,1),new_transmute,2,FALSE),
VLOOKUP(Midterm!AD44,new_transmute,2,FALSE)
),
IF(Info!$B$4="Board program",
IF(OR(AND(AD$5&gt;0,AD$5&gt;100),AND(AD$5&gt;0,AD$5&lt;100)),
VLOOKUP(FLOOR((Midterm!AD44/AD$5)*100,1),new_transmute,3,FALSE),
VLOOKUP(Midterm!AD44,new_transmute,3,FALSE)
),
IF(Info!$B$4="Board program (Medicine)",
IF(OR(AND(AD$5&gt;0,AD$5&gt;100),AND(AD$5&gt;0,AD$5&lt;100)),
VLOOKUP(FLOOR((Midterm!AD44/AD$5)*100,1),new_transmute,4,FALSE),
VLOOKUP(Midterm!AD44,new_transmute,4,FALSE)
),
""
)
)
)
)
)
)
)
)
))</f>
        <v/>
      </c>
      <c r="AE44" s="58" t="str">
        <f t="shared" si="5"/>
        <v/>
      </c>
      <c r="AF44" s="14" t="str">
        <f>IF($B44="","",
IF(AF$5="","",
IF(Midterm!AF44="",0,
IF(NOT(ISNUMBER(Midterm!AF44)),"NAN",
IF(Midterm!AF44&lt;0,"NEG",
IF(Midterm!AF44&gt;AF$5,"OVER",
IF(AND(AF$5&lt;=100,Midterm!AF44&gt;100),"ERR",
IF(Info!$B$4="Non-board program",
IF(OR(AND(AF$5&gt;0,AF$5&gt;100),AND(AF$5&gt;0,AF$5&lt;100)),
VLOOKUP(FLOOR((Midterm!AF44/AF$5)*100,1),new_transmute,2,FALSE),
VLOOKUP(Midterm!AF44,new_transmute,2,FALSE)
),
IF(Info!$B$4="Board program",
IF(OR(AND(AF$5&gt;0,AF$5&gt;100),AND(AF$5&gt;0,AF$5&lt;100)),
VLOOKUP(FLOOR((Midterm!AF44/AF$5)*100,1),new_transmute,3,FALSE),
VLOOKUP(Midterm!AF44,new_transmute,3,FALSE)
),
IF(Info!$B$4="Board program (Medicine)",
IF(OR(AND(AF$5&gt;0,AF$5&gt;100),AND(AF$5&gt;0,AF$5&lt;100)),
VLOOKUP(FLOOR((Midterm!AF44/AF$5)*100,1),new_transmute,4,FALSE),
VLOOKUP(Midterm!AF44,new_transmute,4,FALSE)
),
""
)
)
)
)
)
)
)
)
))</f>
        <v/>
      </c>
      <c r="AG44" s="14" t="str">
        <f>IF($B44="","",
IF(AG$5="","",
IF(Midterm!AG44="",0,
IF(NOT(ISNUMBER(Midterm!AG44)),"NAN",
IF(Midterm!AG44&lt;0,"NEG",
IF(Midterm!AG44&gt;AG$5,"OVER",
IF(AND(AG$5&lt;=100,Midterm!AG44&gt;100),"ERR",
IF(Info!$B$4="Non-board program",
IF(OR(AND(AG$5&gt;0,AG$5&gt;100),AND(AG$5&gt;0,AG$5&lt;100)),
VLOOKUP(FLOOR((Midterm!AG44/AG$5)*100,1),new_transmute,2,FALSE),
VLOOKUP(Midterm!AG44,new_transmute,2,FALSE)
),
IF(Info!$B$4="Board program",
IF(OR(AND(AG$5&gt;0,AG$5&gt;100),AND(AG$5&gt;0,AG$5&lt;100)),
VLOOKUP(FLOOR((Midterm!AG44/AG$5)*100,1),new_transmute,3,FALSE),
VLOOKUP(Midterm!AG44,new_transmute,3,FALSE)
),
IF(Info!$B$4="Board program (Medicine)",
IF(OR(AND(AG$5&gt;0,AG$5&gt;100),AND(AG$5&gt;0,AG$5&lt;100)),
VLOOKUP(FLOOR((Midterm!AG44/AG$5)*100,1),new_transmute,4,FALSE),
VLOOKUP(Midterm!AG44,new_transmute,4,FALSE)
),
""
)
)
)
)
)
)
)
)
))</f>
        <v/>
      </c>
      <c r="AH44" s="14" t="str">
        <f>IF($B44="","",
IF(AH$5="","",
IF(Midterm!AH44="",0,
IF(NOT(ISNUMBER(Midterm!AH44)),"NAN",
IF(Midterm!AH44&lt;0,"NEG",
IF(Midterm!AH44&gt;AH$5,"OVER",
IF(AND(AH$5&lt;=100,Midterm!AH44&gt;100),"ERR",
IF(Info!$B$4="Non-board program",
IF(OR(AND(AH$5&gt;0,AH$5&gt;100),AND(AH$5&gt;0,AH$5&lt;100)),
VLOOKUP(FLOOR((Midterm!AH44/AH$5)*100,1),new_transmute,2,FALSE),
VLOOKUP(Midterm!AH44,new_transmute,2,FALSE)
),
IF(Info!$B$4="Board program",
IF(OR(AND(AH$5&gt;0,AH$5&gt;100),AND(AH$5&gt;0,AH$5&lt;100)),
VLOOKUP(FLOOR((Midterm!AH44/AH$5)*100,1),new_transmute,3,FALSE),
VLOOKUP(Midterm!AH44,new_transmute,3,FALSE)
),
IF(Info!$B$4="Board program (Medicine)",
IF(OR(AND(AH$5&gt;0,AH$5&gt;100),AND(AH$5&gt;0,AH$5&lt;100)),
VLOOKUP(FLOOR((Midterm!AH44/AH$5)*100,1),new_transmute,4,FALSE),
VLOOKUP(Midterm!AH44,new_transmute,4,FALSE)
),
""
)
)
)
)
)
)
)
)
))</f>
        <v/>
      </c>
      <c r="AI44" s="14" t="str">
        <f>IF($B44="","",
IF(AI$5="","",
IF(Midterm!AI44="",0,
IF(NOT(ISNUMBER(Midterm!AI44)),"NAN",
IF(Midterm!AI44&lt;0,"NEG",
IF(Midterm!AI44&gt;AI$5,"OVER",
IF(AND(AI$5&lt;=100,Midterm!AI44&gt;100),"ERR",
IF(Info!$B$4="Non-board program",
IF(OR(AND(AI$5&gt;0,AI$5&gt;100),AND(AI$5&gt;0,AI$5&lt;100)),
VLOOKUP(FLOOR((Midterm!AI44/AI$5)*100,1),new_transmute,2,FALSE),
VLOOKUP(Midterm!AI44,new_transmute,2,FALSE)
),
IF(Info!$B$4="Board program",
IF(OR(AND(AI$5&gt;0,AI$5&gt;100),AND(AI$5&gt;0,AI$5&lt;100)),
VLOOKUP(FLOOR((Midterm!AI44/AI$5)*100,1),new_transmute,3,FALSE),
VLOOKUP(Midterm!AI44,new_transmute,3,FALSE)
),
IF(Info!$B$4="Board program (Medicine)",
IF(OR(AND(AI$5&gt;0,AI$5&gt;100),AND(AI$5&gt;0,AI$5&lt;100)),
VLOOKUP(FLOOR((Midterm!AI44/AI$5)*100,1),new_transmute,4,FALSE),
VLOOKUP(Midterm!AI44,new_transmute,4,FALSE)
),
""
)
)
)
)
)
)
)
)
))</f>
        <v/>
      </c>
      <c r="AJ44" s="14" t="str">
        <f>IF($B44="","",
IF(AJ$5="","",
IF(Midterm!AJ44="",0,
IF(NOT(ISNUMBER(Midterm!AJ44)),"NAN",
IF(Midterm!AJ44&lt;0,"NEG",
IF(Midterm!AJ44&gt;AJ$5,"OVER",
IF(AND(AJ$5&lt;=100,Midterm!AJ44&gt;100),"ERR",
IF(Info!$B$4="Non-board program",
IF(OR(AND(AJ$5&gt;0,AJ$5&gt;100),AND(AJ$5&gt;0,AJ$5&lt;100)),
VLOOKUP(FLOOR((Midterm!AJ44/AJ$5)*100,1),new_transmute,2,FALSE),
VLOOKUP(Midterm!AJ44,new_transmute,2,FALSE)
),
IF(Info!$B$4="Board program",
IF(OR(AND(AJ$5&gt;0,AJ$5&gt;100),AND(AJ$5&gt;0,AJ$5&lt;100)),
VLOOKUP(FLOOR((Midterm!AJ44/AJ$5)*100,1),new_transmute,3,FALSE),
VLOOKUP(Midterm!AJ44,new_transmute,3,FALSE)
),
IF(Info!$B$4="Board program (Medicine)",
IF(OR(AND(AJ$5&gt;0,AJ$5&gt;100),AND(AJ$5&gt;0,AJ$5&lt;100)),
VLOOKUP(FLOOR((Midterm!AJ44/AJ$5)*100,1),new_transmute,4,FALSE),
VLOOKUP(Midterm!AJ44,new_transmute,4,FALSE)
),
""
)
)
)
)
)
)
)
)
))</f>
        <v/>
      </c>
      <c r="AK44" s="59" t="str">
        <f t="shared" si="6"/>
        <v/>
      </c>
      <c r="AL44" s="60" t="str">
        <f>IF(B44="", "",
    IF(OR(M44="OVER", S44="OVER", Y44="OVER", AE44="OVER", AK44="OVER"),
        "OVER",
        IF(Info!$B$4="Non-board program",
            VLOOKUP(IFERROR(FLOOR(SUM((M44*$M$4), (S44*$S$4), (Y44*$Y$4), (AE44*$AE$4), (AK44*$AK$4)) * (100 / 60), 1), 0), new_transmute, 2, FALSE),
            IF(Info!$B$4="Board program",
                VLOOKUP(IFERROR(FLOOR(SUM((M44*$M$4), (S44*$S$4), (Y44*$Y$4), (AE44*$AE$4), (AK44*$AK$4)) * (100 / 60), 1), 0), new_transmute, 3, FALSE),
                IF(Info!$B$4="Board program (Medicine)",
                    VLOOKUP(IFERROR(FLOOR(SUM((M44*$M$4), (S44*$S$4), (Y44*$Y$4), (AE44*$AE$4), (AK44*$AK$4)) * (100 / 60), 1), 0), new_transmute, 4, FALSE),
                    ""
                )
            )
        )
    )
)</f>
        <v/>
      </c>
      <c r="AM44" s="14" t="str">
        <f>IF($B44="","",
IF(AM$5="","",
IF(Midterm!AM44="",0,
IF(NOT(ISNUMBER(Midterm!AM44)),"NAN",
IF(Midterm!AM44&lt;0,"NEG",
IF(Midterm!AM44&gt;AM$5,"OVER",
IF(AND(AM$5&lt;=100,Midterm!AM44&gt;100),"ERR",
IF(Info!$B$4="Non-board program",
IF(OR(AND(AM$5&gt;0,AM$5&gt;100),AND(AM$5&gt;0,AM$5&lt;100)),
VLOOKUP(FLOOR((Midterm!AM44/AM$5)*100,1),new_transmute,2,FALSE),
VLOOKUP(Midterm!AM44,new_transmute,2,FALSE)
),
IF(Info!$B$4="Board program",
IF(OR(AND(AM$5&gt;0,AM$5&gt;100),AND(AM$5&gt;0,AM$5&lt;100)),
VLOOKUP(FLOOR((Midterm!AM44/AM$5)*100,1),new_transmute,3,FALSE),
VLOOKUP(Midterm!AM44,new_transmute,3,FALSE)
),
IF(Info!$B$4="Board program (Medicine)",
IF(OR(AND(AM$5&gt;0,AM$5&gt;100),AND(AM$5&gt;0,AM$5&lt;100)),
VLOOKUP(FLOOR((Midterm!AM44/AM$5)*100,1),new_transmute,4,FALSE),
VLOOKUP(Midterm!AM44,new_transmute,4,FALSE)
),
""
)
)
)
)
)
)
)
)
))</f>
        <v/>
      </c>
      <c r="AN44" s="14" t="str">
        <f>IF($B44="","",
IF(AN$5="","",
IF(Midterm!AN44="",0,
IF(NOT(ISNUMBER(Midterm!AN44)),"NAN",
IF(Midterm!AN44&lt;0,"NEG",
IF(Midterm!AN44&gt;AN$5,"OVER",
IF(AND(AN$5&lt;=100,Midterm!AN44&gt;100),"ERR",
IF(Info!$B$4="Non-board program",
IF(OR(AND(AN$5&gt;0,AN$5&gt;100),AND(AN$5&gt;0,AN$5&lt;100)),
VLOOKUP(FLOOR((Midterm!AN44/AN$5)*100,1),new_transmute,2,FALSE),
VLOOKUP(Midterm!AN44,new_transmute,2,FALSE)
),
IF(Info!$B$4="Board program",
IF(OR(AND(AN$5&gt;0,AN$5&gt;100),AND(AN$5&gt;0,AN$5&lt;100)),
VLOOKUP(FLOOR((Midterm!AN44/AN$5)*100,1),new_transmute,3,FALSE),
VLOOKUP(Midterm!AN44,new_transmute,3,FALSE)
),
IF(Info!$B$4="Board program (Medicine)",
IF(OR(AND(AN$5&gt;0,AN$5&gt;100),AND(AN$5&gt;0,AN$5&lt;100)),
VLOOKUP(FLOOR((Midterm!AN44/AN$5)*100,1),new_transmute,4,FALSE),
VLOOKUP(Midterm!AN44,new_transmute,4,FALSE)
),
""
)
)
)
)
)
)
)
)
))</f>
        <v/>
      </c>
      <c r="AO44" s="14" t="str">
        <f>IF($B44="","",
IF(AO$5="","",
IF(Midterm!AO44="",0,
IF(NOT(ISNUMBER(Midterm!AO44)),"NAN",
IF(Midterm!AO44&lt;0,"NEG",
IF(Midterm!AO44&gt;AO$5,"OVER",
IF(AND(AO$5&lt;=100,Midterm!AO44&gt;100),"ERR",
IF(Info!$B$4="Non-board program",
IF(OR(AND(AO$5&gt;0,AO$5&gt;100),AND(AO$5&gt;0,AO$5&lt;100)),
VLOOKUP(FLOOR((Midterm!AO44/AO$5)*100,1),new_transmute,2,FALSE),
VLOOKUP(Midterm!AO44,new_transmute,2,FALSE)
),
IF(Info!$B$4="Board program",
IF(OR(AND(AO$5&gt;0,AO$5&gt;100),AND(AO$5&gt;0,AO$5&lt;100)),
VLOOKUP(FLOOR((Midterm!AO44/AO$5)*100,1),new_transmute,3,FALSE),
VLOOKUP(Midterm!AO44,new_transmute,3,FALSE)
),
IF(Info!$B$4="Board program (Medicine)",
IF(OR(AND(AO$5&gt;0,AO$5&gt;100),AND(AO$5&gt;0,AO$5&lt;100)),
VLOOKUP(FLOOR((Midterm!AO44/AO$5)*100,1),new_transmute,4,FALSE),
VLOOKUP(Midterm!AO44,new_transmute,4,FALSE)
),
""
)
)
)
)
)
)
)
)
))</f>
        <v/>
      </c>
      <c r="AP44" s="14" t="str">
        <f>IF($B44="","",
IF(AP$5="","",
IF(Midterm!AP44="",0,
IF(NOT(ISNUMBER(Midterm!AP44)),"NAN",
IF(Midterm!AP44&lt;0,"NEG",
IF(Midterm!AP44&gt;AP$5,"OVER",
IF(AND(AP$5&lt;=100,Midterm!AP44&gt;100),"ERR",
IF(Info!$B$4="Non-board program",
IF(OR(AND(AP$5&gt;0,AP$5&gt;100),AND(AP$5&gt;0,AP$5&lt;100)),
VLOOKUP(FLOOR((Midterm!AP44/AP$5)*100,1),new_transmute,2,FALSE),
VLOOKUP(Midterm!AP44,new_transmute,2,FALSE)
),
IF(Info!$B$4="Board program",
IF(OR(AND(AP$5&gt;0,AP$5&gt;100),AND(AP$5&gt;0,AP$5&lt;100)),
VLOOKUP(FLOOR((Midterm!AP44/AP$5)*100,1),new_transmute,3,FALSE),
VLOOKUP(Midterm!AP44,new_transmute,3,FALSE)
),
IF(Info!$B$4="Board program (Medicine)",
IF(OR(AND(AP$5&gt;0,AP$5&gt;100),AND(AP$5&gt;0,AP$5&lt;100)),
VLOOKUP(FLOOR((Midterm!AP44/AP$5)*100,1),new_transmute,4,FALSE),
VLOOKUP(Midterm!AP44,new_transmute,4,FALSE)
),
""
)
)
)
)
)
)
)
)
))</f>
        <v/>
      </c>
      <c r="AQ44" s="61" t="str">
        <f t="shared" si="7"/>
        <v/>
      </c>
      <c r="AR44" s="48" t="str">
        <f>IF(Midterm!AR44="","",Midterm!AR44)</f>
        <v/>
      </c>
      <c r="AS44" s="165" t="str">
        <f t="shared" si="8"/>
        <v/>
      </c>
      <c r="AT44" s="14" t="str">
        <f t="shared" si="9"/>
        <v/>
      </c>
      <c r="AU44" s="14" t="str">
        <f>IF(B44="","",VLOOKUP(AT44,'New Grade Equivalent'!$B$3:$C$47,2,FALSE))</f>
        <v/>
      </c>
    </row>
    <row r="45" spans="1:47" x14ac:dyDescent="0.25">
      <c r="A45" s="8">
        <v>40</v>
      </c>
      <c r="B45" s="2" t="str">
        <f>IF('Student List'!C49="","",UPPER(LEFT('Student List'!C49,FIND(",",'Student List'!C49)-1)))</f>
        <v/>
      </c>
      <c r="C45" s="12" t="str">
        <f>IF('Student List'!C49="","",PROPER(MID('Student List'!C49, FIND(",", 'Student List'!C49) + 2, LEN('Student List'!C49) - FIND(",", 'Student List'!C49) - 1)))</f>
        <v/>
      </c>
      <c r="D45" s="127" t="str">
        <f>IF(B45="","",IF(Midterm!D45="", "NA", Midterm!D45))</f>
        <v/>
      </c>
      <c r="E45" s="8" t="str">
        <f>IF(B45="","",
  IF(Info!$B$5="First Year",
    IF(D45="Yes", "DRP",
      IF(D45="No", "WF", "")
    )
  )
)</f>
        <v/>
      </c>
      <c r="F45" s="14" t="str">
        <f>IF($B45="","",
IF(F$5="","",
IF(Midterm!F45="",0,
IF(NOT(ISNUMBER(Midterm!F45)),"NAN",
IF(Midterm!F45&lt;0,"NEG",
IF(Midterm!F45&gt;F$5,"OVER",
IF(AND(F$5&lt;=100,Midterm!F45&gt;100),"ERR",
IF(Info!$B$4="Non-board program",
IF(OR(AND(F$5&gt;0,F$5&gt;100),AND(F$5&gt;0,F$5&lt;100)),
VLOOKUP(FLOOR((Midterm!F45/F$5)*100,1),new_transmute,2,FALSE),
VLOOKUP(Midterm!F45,new_transmute,2,FALSE)
),
IF(Info!$B$4="Board program",
IF(OR(AND(F$5&gt;0,F$5&gt;100),AND(F$5&gt;0,F$5&lt;100)),
VLOOKUP(FLOOR((Midterm!F45/F$5)*100,1),new_transmute,3,FALSE),
VLOOKUP(Midterm!F45,new_transmute,3,FALSE)
),
IF(Info!$B$4="Board program (Medicine)",
IF(OR(AND(F$5&gt;0,F$5&gt;100),AND(F$5&gt;0,F$5&lt;100)),
VLOOKUP(FLOOR((Midterm!F45/F$5)*100,1),new_transmute,4,FALSE),
VLOOKUP(Midterm!F45,new_transmute,4,FALSE)
),
""
)
)
)
)
)
)
)
)
))</f>
        <v/>
      </c>
      <c r="G45" s="57" t="str">
        <f t="shared" si="1"/>
        <v/>
      </c>
      <c r="H45" s="14" t="str">
        <f>IF($B45="","",
IF(H$5="","",
IF(Midterm!H45="",0,
IF(NOT(ISNUMBER(Midterm!H45)),"NAN",
IF(Midterm!H45&lt;0,"NEG",
IF(Midterm!H45&gt;H$5,"OVER",
IF(AND(H$5&lt;=100,Midterm!H45&gt;100),"ERR",
IF(Info!$B$4="Non-board program",
IF(OR(AND(H$5&gt;0,H$5&gt;100),AND(H$5&gt;0,H$5&lt;100)),
VLOOKUP(FLOOR((Midterm!H45/H$5)*100,1),new_transmute,2,FALSE),
VLOOKUP(Midterm!H45,new_transmute,2,FALSE)
),
IF(Info!$B$4="Board program",
IF(OR(AND(H$5&gt;0,H$5&gt;100),AND(H$5&gt;0,H$5&lt;100)),
VLOOKUP(FLOOR((Midterm!H45/H$5)*100,1),new_transmute,3,FALSE),
VLOOKUP(Midterm!H45,new_transmute,3,FALSE)
),
IF(Info!$B$4="Board program (Medicine)",
IF(OR(AND(H$5&gt;0,H$5&gt;100),AND(H$5&gt;0,H$5&lt;100)),
VLOOKUP(FLOOR((Midterm!H45/H$5)*100,1),new_transmute,4,FALSE),
VLOOKUP(Midterm!H45,new_transmute,4,FALSE)
),
""
)
)
)
)
)
)
)
)
))</f>
        <v/>
      </c>
      <c r="I45" s="14" t="str">
        <f>IF($B45="","",
IF(I$5="","",
IF(Midterm!I45="",0,
IF(NOT(ISNUMBER(Midterm!I45)),"NAN",
IF(Midterm!I45&lt;0,"NEG",
IF(Midterm!I45&gt;I$5,"OVER",
IF(AND(I$5&lt;=100,Midterm!I45&gt;100),"ERR",
IF(Info!$B$4="Non-board program",
IF(OR(AND(I$5&gt;0,I$5&gt;100),AND(I$5&gt;0,I$5&lt;100)),
VLOOKUP(FLOOR((Midterm!I45/I$5)*100,1),new_transmute,2,FALSE),
VLOOKUP(Midterm!I45,new_transmute,2,FALSE)
),
IF(Info!$B$4="Board program",
IF(OR(AND(I$5&gt;0,I$5&gt;100),AND(I$5&gt;0,I$5&lt;100)),
VLOOKUP(FLOOR((Midterm!I45/I$5)*100,1),new_transmute,3,FALSE),
VLOOKUP(Midterm!I45,new_transmute,3,FALSE)
),
IF(Info!$B$4="Board program (Medicine)",
IF(OR(AND(I$5&gt;0,I$5&gt;100),AND(I$5&gt;0,I$5&lt;100)),
VLOOKUP(FLOOR((Midterm!I45/I$5)*100,1),new_transmute,4,FALSE),
VLOOKUP(Midterm!I45,new_transmute,4,FALSE)
),
""
)
)
)
)
)
)
)
)
))</f>
        <v/>
      </c>
      <c r="J45" s="14" t="str">
        <f>IF($B45="","",
IF(J$5="","",
IF(Midterm!J45="",0,
IF(NOT(ISNUMBER(Midterm!J45)),"NAN",
IF(Midterm!J45&lt;0,"NEG",
IF(Midterm!J45&gt;J$5,"OVER",
IF(AND(J$5&lt;=100,Midterm!J45&gt;100),"ERR",
IF(Info!$B$4="Non-board program",
IF(OR(AND(J$5&gt;0,J$5&gt;100),AND(J$5&gt;0,J$5&lt;100)),
VLOOKUP(FLOOR((Midterm!J45/J$5)*100,1),new_transmute,2,FALSE),
VLOOKUP(Midterm!J45,new_transmute,2,FALSE)
),
IF(Info!$B$4="Board program",
IF(OR(AND(J$5&gt;0,J$5&gt;100),AND(J$5&gt;0,J$5&lt;100)),
VLOOKUP(FLOOR((Midterm!J45/J$5)*100,1),new_transmute,3,FALSE),
VLOOKUP(Midterm!J45,new_transmute,3,FALSE)
),
IF(Info!$B$4="Board program (Medicine)",
IF(OR(AND(J$5&gt;0,J$5&gt;100),AND(J$5&gt;0,J$5&lt;100)),
VLOOKUP(FLOOR((Midterm!J45/J$5)*100,1),new_transmute,4,FALSE),
VLOOKUP(Midterm!J45,new_transmute,4,FALSE)
),
""
)
)
)
)
)
)
)
)
))</f>
        <v/>
      </c>
      <c r="K45" s="14" t="str">
        <f>IF($B45="","",
IF(K$5="","",
IF(Midterm!K45="",0,
IF(NOT(ISNUMBER(Midterm!K45)),"NAN",
IF(Midterm!K45&lt;0,"NEG",
IF(Midterm!K45&gt;K$5,"OVER",
IF(AND(K$5&lt;=100,Midterm!K45&gt;100),"ERR",
IF(Info!$B$4="Non-board program",
IF(OR(AND(K$5&gt;0,K$5&gt;100),AND(K$5&gt;0,K$5&lt;100)),
VLOOKUP(FLOOR((Midterm!K45/K$5)*100,1),new_transmute,2,FALSE),
VLOOKUP(Midterm!K45,new_transmute,2,FALSE)
),
IF(Info!$B$4="Board program",
IF(OR(AND(K$5&gt;0,K$5&gt;100),AND(K$5&gt;0,K$5&lt;100)),
VLOOKUP(FLOOR((Midterm!K45/K$5)*100,1),new_transmute,3,FALSE),
VLOOKUP(Midterm!K45,new_transmute,3,FALSE)
),
IF(Info!$B$4="Board program (Medicine)",
IF(OR(AND(K$5&gt;0,K$5&gt;100),AND(K$5&gt;0,K$5&lt;100)),
VLOOKUP(FLOOR((Midterm!K45/K$5)*100,1),new_transmute,4,FALSE),
VLOOKUP(Midterm!K45,new_transmute,4,FALSE)
),
""
)
)
)
)
)
)
)
)
))</f>
        <v/>
      </c>
      <c r="L45" s="14" t="str">
        <f>IF($B45="","",
IF(L$5="","",
IF(Midterm!L45="",0,
IF(NOT(ISNUMBER(Midterm!L45)),"NAN",
IF(Midterm!L45&lt;0,"NEG",
IF(Midterm!L45&gt;L$5,"OVER",
IF(AND(L$5&lt;=100,Midterm!L45&gt;100),"ERR",
IF(Info!$B$4="Non-board program",
IF(OR(AND(L$5&gt;0,L$5&gt;100),AND(L$5&gt;0,L$5&lt;100)),
VLOOKUP(FLOOR((Midterm!L45/L$5)*100,1),new_transmute,2,FALSE),
VLOOKUP(Midterm!L45,new_transmute,2,FALSE)
),
IF(Info!$B$4="Board program",
IF(OR(AND(L$5&gt;0,L$5&gt;100),AND(L$5&gt;0,L$5&lt;100)),
VLOOKUP(FLOOR((Midterm!L45/L$5)*100,1),new_transmute,3,FALSE),
VLOOKUP(Midterm!L45,new_transmute,3,FALSE)
),
IF(Info!$B$4="Board program (Medicine)",
IF(OR(AND(L$5&gt;0,L$5&gt;100),AND(L$5&gt;0,L$5&lt;100)),
VLOOKUP(FLOOR((Midterm!L45/L$5)*100,1),new_transmute,4,FALSE),
VLOOKUP(Midterm!L45,new_transmute,4,FALSE)
),
""
)
)
)
)
)
)
)
)
))</f>
        <v/>
      </c>
      <c r="M45" s="111" t="str">
        <f t="shared" si="2"/>
        <v/>
      </c>
      <c r="N45" s="14" t="str">
        <f>IF($B45="","",
IF(N$5="","",
IF(Midterm!N45="",0,
IF(NOT(ISNUMBER(Midterm!N45)),"NAN",
IF(Midterm!N45&lt;0,"NEG",
IF(Midterm!N45&gt;N$5,"OVER",
IF(AND(N$5&lt;=100,Midterm!N45&gt;100),"ERR",
IF(Info!$B$4="Non-board program",
IF(OR(AND(N$5&gt;0,N$5&gt;100),AND(N$5&gt;0,N$5&lt;100)),
VLOOKUP(FLOOR((Midterm!N45/N$5)*100,1),new_transmute,2,FALSE),
VLOOKUP(Midterm!N45,new_transmute,2,FALSE)
),
IF(Info!$B$4="Board program",
IF(OR(AND(N$5&gt;0,N$5&gt;100),AND(N$5&gt;0,N$5&lt;100)),
VLOOKUP(FLOOR((Midterm!N45/N$5)*100,1),new_transmute,3,FALSE),
VLOOKUP(Midterm!N45,new_transmute,3,FALSE)
),
IF(Info!$B$4="Board program (Medicine)",
IF(OR(AND(N$5&gt;0,N$5&gt;100),AND(N$5&gt;0,N$5&lt;100)),
VLOOKUP(FLOOR((Midterm!N45/N$5)*100,1),new_transmute,4,FALSE),
VLOOKUP(Midterm!N45,new_transmute,4,FALSE)
),
""
)
)
)
)
)
)
)
)
))</f>
        <v/>
      </c>
      <c r="O45" s="14" t="str">
        <f>IF($B45="","",
IF(O$5="","",
IF(Midterm!O45="",0,
IF(NOT(ISNUMBER(Midterm!O45)),"NAN",
IF(Midterm!O45&lt;0,"NEG",
IF(Midterm!O45&gt;O$5,"OVER",
IF(AND(O$5&lt;=100,Midterm!O45&gt;100),"ERR",
IF(Info!$B$4="Non-board program",
IF(OR(AND(O$5&gt;0,O$5&gt;100),AND(O$5&gt;0,O$5&lt;100)),
VLOOKUP(FLOOR((Midterm!O45/O$5)*100,1),new_transmute,2,FALSE),
VLOOKUP(Midterm!O45,new_transmute,2,FALSE)
),
IF(Info!$B$4="Board program",
IF(OR(AND(O$5&gt;0,O$5&gt;100),AND(O$5&gt;0,O$5&lt;100)),
VLOOKUP(FLOOR((Midterm!O45/O$5)*100,1),new_transmute,3,FALSE),
VLOOKUP(Midterm!O45,new_transmute,3,FALSE)
),
IF(Info!$B$4="Board program (Medicine)",
IF(OR(AND(O$5&gt;0,O$5&gt;100),AND(O$5&gt;0,O$5&lt;100)),
VLOOKUP(FLOOR((Midterm!O45/O$5)*100,1),new_transmute,4,FALSE),
VLOOKUP(Midterm!O45,new_transmute,4,FALSE)
),
""
)
)
)
)
)
)
)
)
))</f>
        <v/>
      </c>
      <c r="P45" s="14" t="str">
        <f>IF($B45="","",
IF(P$5="","",
IF(Midterm!P45="",0,
IF(NOT(ISNUMBER(Midterm!P45)),"NAN",
IF(Midterm!P45&lt;0,"NEG",
IF(Midterm!P45&gt;P$5,"OVER",
IF(AND(P$5&lt;=100,Midterm!P45&gt;100),"ERR",
IF(Info!$B$4="Non-board program",
IF(OR(AND(P$5&gt;0,P$5&gt;100),AND(P$5&gt;0,P$5&lt;100)),
VLOOKUP(FLOOR((Midterm!P45/P$5)*100,1),new_transmute,2,FALSE),
VLOOKUP(Midterm!P45,new_transmute,2,FALSE)
),
IF(Info!$B$4="Board program",
IF(OR(AND(P$5&gt;0,P$5&gt;100),AND(P$5&gt;0,P$5&lt;100)),
VLOOKUP(FLOOR((Midterm!P45/P$5)*100,1),new_transmute,3,FALSE),
VLOOKUP(Midterm!P45,new_transmute,3,FALSE)
),
IF(Info!$B$4="Board program (Medicine)",
IF(OR(AND(P$5&gt;0,P$5&gt;100),AND(P$5&gt;0,P$5&lt;100)),
VLOOKUP(FLOOR((Midterm!P45/P$5)*100,1),new_transmute,4,FALSE),
VLOOKUP(Midterm!P45,new_transmute,4,FALSE)
),
""
)
)
)
)
)
)
)
)
))</f>
        <v/>
      </c>
      <c r="Q45" s="14" t="str">
        <f>IF($B45="","",
IF(Q$5="","",
IF(Midterm!Q45="",0,
IF(NOT(ISNUMBER(Midterm!Q45)),"NAN",
IF(Midterm!Q45&lt;0,"NEG",
IF(Midterm!Q45&gt;Q$5,"OVER",
IF(AND(Q$5&lt;=100,Midterm!Q45&gt;100),"ERR",
IF(Info!$B$4="Non-board program",
IF(OR(AND(Q$5&gt;0,Q$5&gt;100),AND(Q$5&gt;0,Q$5&lt;100)),
VLOOKUP(FLOOR((Midterm!Q45/Q$5)*100,1),new_transmute,2,FALSE),
VLOOKUP(Midterm!Q45,new_transmute,2,FALSE)
),
IF(Info!$B$4="Board program",
IF(OR(AND(Q$5&gt;0,Q$5&gt;100),AND(Q$5&gt;0,Q$5&lt;100)),
VLOOKUP(FLOOR((Midterm!Q45/Q$5)*100,1),new_transmute,3,FALSE),
VLOOKUP(Midterm!Q45,new_transmute,3,FALSE)
),
IF(Info!$B$4="Board program (Medicine)",
IF(OR(AND(Q$5&gt;0,Q$5&gt;100),AND(Q$5&gt;0,Q$5&lt;100)),
VLOOKUP(FLOOR((Midterm!Q45/Q$5)*100,1),new_transmute,4,FALSE),
VLOOKUP(Midterm!Q45,new_transmute,4,FALSE)
),
""
)
)
)
)
)
)
)
)
))</f>
        <v/>
      </c>
      <c r="R45" s="14" t="str">
        <f>IF($B45="","",
IF(R$5="","",
IF(Midterm!R45="",0,
IF(NOT(ISNUMBER(Midterm!R45)),"NAN",
IF(Midterm!R45&lt;0,"NEG",
IF(Midterm!R45&gt;R$5,"OVER",
IF(AND(R$5&lt;=100,Midterm!R45&gt;100),"ERR",
IF(Info!$B$4="Non-board program",
IF(OR(AND(R$5&gt;0,R$5&gt;100),AND(R$5&gt;0,R$5&lt;100)),
VLOOKUP(FLOOR((Midterm!R45/R$5)*100,1),new_transmute,2,FALSE),
VLOOKUP(Midterm!R45,new_transmute,2,FALSE)
),
IF(Info!$B$4="Board program",
IF(OR(AND(R$5&gt;0,R$5&gt;100),AND(R$5&gt;0,R$5&lt;100)),
VLOOKUP(FLOOR((Midterm!R45/R$5)*100,1),new_transmute,3,FALSE),
VLOOKUP(Midterm!R45,new_transmute,3,FALSE)
),
IF(Info!$B$4="Board program (Medicine)",
IF(OR(AND(R$5&gt;0,R$5&gt;100),AND(R$5&gt;0,R$5&lt;100)),
VLOOKUP(FLOOR((Midterm!R45/R$5)*100,1),new_transmute,4,FALSE),
VLOOKUP(Midterm!R45,new_transmute,4,FALSE)
),
""
)
)
)
)
)
)
)
)
))</f>
        <v/>
      </c>
      <c r="S45" s="115" t="str">
        <f t="shared" si="3"/>
        <v/>
      </c>
      <c r="T45" s="14" t="str">
        <f>IF($B45="","",
IF(T$5="","",
IF(Midterm!T45="",0,
IF(NOT(ISNUMBER(Midterm!T45)),"NAN",
IF(Midterm!T45&lt;0,"NEG",
IF(Midterm!T45&gt;T$5,"OVER",
IF(AND(T$5&lt;=100,Midterm!T45&gt;100),"ERR",
IF(Info!$B$4="Non-board program",
IF(OR(AND(T$5&gt;0,T$5&gt;100),AND(T$5&gt;0,T$5&lt;100)),
VLOOKUP(FLOOR((Midterm!T45/T$5)*100,1),new_transmute,2,FALSE),
VLOOKUP(Midterm!T45,new_transmute,2,FALSE)
),
IF(Info!$B$4="Board program",
IF(OR(AND(T$5&gt;0,T$5&gt;100),AND(T$5&gt;0,T$5&lt;100)),
VLOOKUP(FLOOR((Midterm!T45/T$5)*100,1),new_transmute,3,FALSE),
VLOOKUP(Midterm!T45,new_transmute,3,FALSE)
),
IF(Info!$B$4="Board program (Medicine)",
IF(OR(AND(T$5&gt;0,T$5&gt;100),AND(T$5&gt;0,T$5&lt;100)),
VLOOKUP(FLOOR((Midterm!T45/T$5)*100,1),new_transmute,4,FALSE),
VLOOKUP(Midterm!T45,new_transmute,4,FALSE)
),
""
)
)
)
)
)
)
)
)
))</f>
        <v/>
      </c>
      <c r="U45" s="14" t="str">
        <f>IF($B45="","",
IF(U$5="","",
IF(Midterm!U45="",0,
IF(NOT(ISNUMBER(Midterm!U45)),"NAN",
IF(Midterm!U45&lt;0,"NEG",
IF(Midterm!U45&gt;U$5,"OVER",
IF(AND(U$5&lt;=100,Midterm!U45&gt;100),"ERR",
IF(Info!$B$4="Non-board program",
IF(OR(AND(U$5&gt;0,U$5&gt;100),AND(U$5&gt;0,U$5&lt;100)),
VLOOKUP(FLOOR((Midterm!U45/U$5)*100,1),new_transmute,2,FALSE),
VLOOKUP(Midterm!U45,new_transmute,2,FALSE)
),
IF(Info!$B$4="Board program",
IF(OR(AND(U$5&gt;0,U$5&gt;100),AND(U$5&gt;0,U$5&lt;100)),
VLOOKUP(FLOOR((Midterm!U45/U$5)*100,1),new_transmute,3,FALSE),
VLOOKUP(Midterm!U45,new_transmute,3,FALSE)
),
IF(Info!$B$4="Board program (Medicine)",
IF(OR(AND(U$5&gt;0,U$5&gt;100),AND(U$5&gt;0,U$5&lt;100)),
VLOOKUP(FLOOR((Midterm!U45/U$5)*100,1),new_transmute,4,FALSE),
VLOOKUP(Midterm!U45,new_transmute,4,FALSE)
),
""
)
)
)
)
)
)
)
)
))</f>
        <v/>
      </c>
      <c r="V45" s="14" t="str">
        <f>IF($B45="","",
IF(V$5="","",
IF(Midterm!V45="",0,
IF(NOT(ISNUMBER(Midterm!V45)),"NAN",
IF(Midterm!V45&lt;0,"NEG",
IF(Midterm!V45&gt;V$5,"OVER",
IF(AND(V$5&lt;=100,Midterm!V45&gt;100),"ERR",
IF(Info!$B$4="Non-board program",
IF(OR(AND(V$5&gt;0,V$5&gt;100),AND(V$5&gt;0,V$5&lt;100)),
VLOOKUP(FLOOR((Midterm!V45/V$5)*100,1),new_transmute,2,FALSE),
VLOOKUP(Midterm!V45,new_transmute,2,FALSE)
),
IF(Info!$B$4="Board program",
IF(OR(AND(V$5&gt;0,V$5&gt;100),AND(V$5&gt;0,V$5&lt;100)),
VLOOKUP(FLOOR((Midterm!V45/V$5)*100,1),new_transmute,3,FALSE),
VLOOKUP(Midterm!V45,new_transmute,3,FALSE)
),
IF(Info!$B$4="Board program (Medicine)",
IF(OR(AND(V$5&gt;0,V$5&gt;100),AND(V$5&gt;0,V$5&lt;100)),
VLOOKUP(FLOOR((Midterm!V45/V$5)*100,1),new_transmute,4,FALSE),
VLOOKUP(Midterm!V45,new_transmute,4,FALSE)
),
""
)
)
)
)
)
)
)
)
))</f>
        <v/>
      </c>
      <c r="W45" s="14" t="str">
        <f>IF($B45="","",
IF(W$5="","",
IF(Midterm!W45="",0,
IF(NOT(ISNUMBER(Midterm!W45)),"NAN",
IF(Midterm!W45&lt;0,"NEG",
IF(Midterm!W45&gt;W$5,"OVER",
IF(AND(W$5&lt;=100,Midterm!W45&gt;100),"ERR",
IF(Info!$B$4="Non-board program",
IF(OR(AND(W$5&gt;0,W$5&gt;100),AND(W$5&gt;0,W$5&lt;100)),
VLOOKUP(FLOOR((Midterm!W45/W$5)*100,1),new_transmute,2,FALSE),
VLOOKUP(Midterm!W45,new_transmute,2,FALSE)
),
IF(Info!$B$4="Board program",
IF(OR(AND(W$5&gt;0,W$5&gt;100),AND(W$5&gt;0,W$5&lt;100)),
VLOOKUP(FLOOR((Midterm!W45/W$5)*100,1),new_transmute,3,FALSE),
VLOOKUP(Midterm!W45,new_transmute,3,FALSE)
),
IF(Info!$B$4="Board program (Medicine)",
IF(OR(AND(W$5&gt;0,W$5&gt;100),AND(W$5&gt;0,W$5&lt;100)),
VLOOKUP(FLOOR((Midterm!W45/W$5)*100,1),new_transmute,4,FALSE),
VLOOKUP(Midterm!W45,new_transmute,4,FALSE)
),
""
)
)
)
)
)
)
)
)
))</f>
        <v/>
      </c>
      <c r="X45" s="14" t="str">
        <f>IF($B45="","",
IF(X$5="","",
IF(Midterm!X45="",0,
IF(NOT(ISNUMBER(Midterm!X45)),"NAN",
IF(Midterm!X45&lt;0,"NEG",
IF(Midterm!X45&gt;X$5,"OVER",
IF(AND(X$5&lt;=100,Midterm!X45&gt;100),"ERR",
IF(Info!$B$4="Non-board program",
IF(OR(AND(X$5&gt;0,X$5&gt;100),AND(X$5&gt;0,X$5&lt;100)),
VLOOKUP(FLOOR((Midterm!X45/X$5)*100,1),new_transmute,2,FALSE),
VLOOKUP(Midterm!X45,new_transmute,2,FALSE)
),
IF(Info!$B$4="Board program",
IF(OR(AND(X$5&gt;0,X$5&gt;100),AND(X$5&gt;0,X$5&lt;100)),
VLOOKUP(FLOOR((Midterm!X45/X$5)*100,1),new_transmute,3,FALSE),
VLOOKUP(Midterm!X45,new_transmute,3,FALSE)
),
IF(Info!$B$4="Board program (Medicine)",
IF(OR(AND(X$5&gt;0,X$5&gt;100),AND(X$5&gt;0,X$5&lt;100)),
VLOOKUP(FLOOR((Midterm!X45/X$5)*100,1),new_transmute,4,FALSE),
VLOOKUP(Midterm!X45,new_transmute,4,FALSE)
),
""
)
)
)
)
)
)
)
)
))</f>
        <v/>
      </c>
      <c r="Y45" s="112" t="str">
        <f t="shared" si="4"/>
        <v/>
      </c>
      <c r="Z45" s="14" t="str">
        <f>IF($B45="","",
IF(Z$5="","",
IF(Midterm!Z45="",0,
IF(NOT(ISNUMBER(Midterm!Z45)),"NAN",
IF(Midterm!Z45&lt;0,"NEG",
IF(Midterm!Z45&gt;Z$5,"OVER",
IF(AND(Z$5&lt;=100,Midterm!Z45&gt;100),"ERR",
IF(Info!$B$4="Non-board program",
IF(OR(AND(Z$5&gt;0,Z$5&gt;100),AND(Z$5&gt;0,Z$5&lt;100)),
VLOOKUP(FLOOR((Midterm!Z45/Z$5)*100,1),new_transmute,2,FALSE),
VLOOKUP(Midterm!Z45,new_transmute,2,FALSE)
),
IF(Info!$B$4="Board program",
IF(OR(AND(Z$5&gt;0,Z$5&gt;100),AND(Z$5&gt;0,Z$5&lt;100)),
VLOOKUP(FLOOR((Midterm!Z45/Z$5)*100,1),new_transmute,3,FALSE),
VLOOKUP(Midterm!Z45,new_transmute,3,FALSE)
),
IF(Info!$B$4="Board program (Medicine)",
IF(OR(AND(Z$5&gt;0,Z$5&gt;100),AND(Z$5&gt;0,Z$5&lt;100)),
VLOOKUP(FLOOR((Midterm!Z45/Z$5)*100,1),new_transmute,4,FALSE),
VLOOKUP(Midterm!Z45,new_transmute,4,FALSE)
),
""
)
)
)
)
)
)
)
)
))</f>
        <v/>
      </c>
      <c r="AA45" s="14" t="str">
        <f>IF($B45="","",
IF(AA$5="","",
IF(Midterm!AA45="",0,
IF(NOT(ISNUMBER(Midterm!AA45)),"NAN",
IF(Midterm!AA45&lt;0,"NEG",
IF(Midterm!AA45&gt;AA$5,"OVER",
IF(AND(AA$5&lt;=100,Midterm!AA45&gt;100),"ERR",
IF(Info!$B$4="Non-board program",
IF(OR(AND(AA$5&gt;0,AA$5&gt;100),AND(AA$5&gt;0,AA$5&lt;100)),
VLOOKUP(FLOOR((Midterm!AA45/AA$5)*100,1),new_transmute,2,FALSE),
VLOOKUP(Midterm!AA45,new_transmute,2,FALSE)
),
IF(Info!$B$4="Board program",
IF(OR(AND(AA$5&gt;0,AA$5&gt;100),AND(AA$5&gt;0,AA$5&lt;100)),
VLOOKUP(FLOOR((Midterm!AA45/AA$5)*100,1),new_transmute,3,FALSE),
VLOOKUP(Midterm!AA45,new_transmute,3,FALSE)
),
IF(Info!$B$4="Board program (Medicine)",
IF(OR(AND(AA$5&gt;0,AA$5&gt;100),AND(AA$5&gt;0,AA$5&lt;100)),
VLOOKUP(FLOOR((Midterm!AA45/AA$5)*100,1),new_transmute,4,FALSE),
VLOOKUP(Midterm!AA45,new_transmute,4,FALSE)
),
""
)
)
)
)
)
)
)
)
))</f>
        <v/>
      </c>
      <c r="AB45" s="14" t="str">
        <f>IF($B45="","",
IF(AB$5="","",
IF(Midterm!AB45="",0,
IF(NOT(ISNUMBER(Midterm!AB45)),"NAN",
IF(Midterm!AB45&lt;0,"NEG",
IF(Midterm!AB45&gt;AB$5,"OVER",
IF(AND(AB$5&lt;=100,Midterm!AB45&gt;100),"ERR",
IF(Info!$B$4="Non-board program",
IF(OR(AND(AB$5&gt;0,AB$5&gt;100),AND(AB$5&gt;0,AB$5&lt;100)),
VLOOKUP(FLOOR((Midterm!AB45/AB$5)*100,1),new_transmute,2,FALSE),
VLOOKUP(Midterm!AB45,new_transmute,2,FALSE)
),
IF(Info!$B$4="Board program",
IF(OR(AND(AB$5&gt;0,AB$5&gt;100),AND(AB$5&gt;0,AB$5&lt;100)),
VLOOKUP(FLOOR((Midterm!AB45/AB$5)*100,1),new_transmute,3,FALSE),
VLOOKUP(Midterm!AB45,new_transmute,3,FALSE)
),
IF(Info!$B$4="Board program (Medicine)",
IF(OR(AND(AB$5&gt;0,AB$5&gt;100),AND(AB$5&gt;0,AB$5&lt;100)),
VLOOKUP(FLOOR((Midterm!AB45/AB$5)*100,1),new_transmute,4,FALSE),
VLOOKUP(Midterm!AB45,new_transmute,4,FALSE)
),
""
)
)
)
)
)
)
)
)
))</f>
        <v/>
      </c>
      <c r="AC45" s="14" t="str">
        <f>IF($B45="","",
IF(AC$5="","",
IF(Midterm!AC45="",0,
IF(NOT(ISNUMBER(Midterm!AC45)),"NAN",
IF(Midterm!AC45&lt;0,"NEG",
IF(Midterm!AC45&gt;AC$5,"OVER",
IF(AND(AC$5&lt;=100,Midterm!AC45&gt;100),"ERR",
IF(Info!$B$4="Non-board program",
IF(OR(AND(AC$5&gt;0,AC$5&gt;100),AND(AC$5&gt;0,AC$5&lt;100)),
VLOOKUP(FLOOR((Midterm!AC45/AC$5)*100,1),new_transmute,2,FALSE),
VLOOKUP(Midterm!AC45,new_transmute,2,FALSE)
),
IF(Info!$B$4="Board program",
IF(OR(AND(AC$5&gt;0,AC$5&gt;100),AND(AC$5&gt;0,AC$5&lt;100)),
VLOOKUP(FLOOR((Midterm!AC45/AC$5)*100,1),new_transmute,3,FALSE),
VLOOKUP(Midterm!AC45,new_transmute,3,FALSE)
),
IF(Info!$B$4="Board program (Medicine)",
IF(OR(AND(AC$5&gt;0,AC$5&gt;100),AND(AC$5&gt;0,AC$5&lt;100)),
VLOOKUP(FLOOR((Midterm!AC45/AC$5)*100,1),new_transmute,4,FALSE),
VLOOKUP(Midterm!AC45,new_transmute,4,FALSE)
),
""
)
)
)
)
)
)
)
)
))</f>
        <v/>
      </c>
      <c r="AD45" s="14" t="str">
        <f>IF($B45="","",
IF(AD$5="","",
IF(Midterm!AD45="",0,
IF(NOT(ISNUMBER(Midterm!AD45)),"NAN",
IF(Midterm!AD45&lt;0,"NEG",
IF(Midterm!AD45&gt;AD$5,"OVER",
IF(AND(AD$5&lt;=100,Midterm!AD45&gt;100),"ERR",
IF(Info!$B$4="Non-board program",
IF(OR(AND(AD$5&gt;0,AD$5&gt;100),AND(AD$5&gt;0,AD$5&lt;100)),
VLOOKUP(FLOOR((Midterm!AD45/AD$5)*100,1),new_transmute,2,FALSE),
VLOOKUP(Midterm!AD45,new_transmute,2,FALSE)
),
IF(Info!$B$4="Board program",
IF(OR(AND(AD$5&gt;0,AD$5&gt;100),AND(AD$5&gt;0,AD$5&lt;100)),
VLOOKUP(FLOOR((Midterm!AD45/AD$5)*100,1),new_transmute,3,FALSE),
VLOOKUP(Midterm!AD45,new_transmute,3,FALSE)
),
IF(Info!$B$4="Board program (Medicine)",
IF(OR(AND(AD$5&gt;0,AD$5&gt;100),AND(AD$5&gt;0,AD$5&lt;100)),
VLOOKUP(FLOOR((Midterm!AD45/AD$5)*100,1),new_transmute,4,FALSE),
VLOOKUP(Midterm!AD45,new_transmute,4,FALSE)
),
""
)
)
)
)
)
)
)
)
))</f>
        <v/>
      </c>
      <c r="AE45" s="58" t="str">
        <f t="shared" si="5"/>
        <v/>
      </c>
      <c r="AF45" s="14" t="str">
        <f>IF($B45="","",
IF(AF$5="","",
IF(Midterm!AF45="",0,
IF(NOT(ISNUMBER(Midterm!AF45)),"NAN",
IF(Midterm!AF45&lt;0,"NEG",
IF(Midterm!AF45&gt;AF$5,"OVER",
IF(AND(AF$5&lt;=100,Midterm!AF45&gt;100),"ERR",
IF(Info!$B$4="Non-board program",
IF(OR(AND(AF$5&gt;0,AF$5&gt;100),AND(AF$5&gt;0,AF$5&lt;100)),
VLOOKUP(FLOOR((Midterm!AF45/AF$5)*100,1),new_transmute,2,FALSE),
VLOOKUP(Midterm!AF45,new_transmute,2,FALSE)
),
IF(Info!$B$4="Board program",
IF(OR(AND(AF$5&gt;0,AF$5&gt;100),AND(AF$5&gt;0,AF$5&lt;100)),
VLOOKUP(FLOOR((Midterm!AF45/AF$5)*100,1),new_transmute,3,FALSE),
VLOOKUP(Midterm!AF45,new_transmute,3,FALSE)
),
IF(Info!$B$4="Board program (Medicine)",
IF(OR(AND(AF$5&gt;0,AF$5&gt;100),AND(AF$5&gt;0,AF$5&lt;100)),
VLOOKUP(FLOOR((Midterm!AF45/AF$5)*100,1),new_transmute,4,FALSE),
VLOOKUP(Midterm!AF45,new_transmute,4,FALSE)
),
""
)
)
)
)
)
)
)
)
))</f>
        <v/>
      </c>
      <c r="AG45" s="14" t="str">
        <f>IF($B45="","",
IF(AG$5="","",
IF(Midterm!AG45="",0,
IF(NOT(ISNUMBER(Midterm!AG45)),"NAN",
IF(Midterm!AG45&lt;0,"NEG",
IF(Midterm!AG45&gt;AG$5,"OVER",
IF(AND(AG$5&lt;=100,Midterm!AG45&gt;100),"ERR",
IF(Info!$B$4="Non-board program",
IF(OR(AND(AG$5&gt;0,AG$5&gt;100),AND(AG$5&gt;0,AG$5&lt;100)),
VLOOKUP(FLOOR((Midterm!AG45/AG$5)*100,1),new_transmute,2,FALSE),
VLOOKUP(Midterm!AG45,new_transmute,2,FALSE)
),
IF(Info!$B$4="Board program",
IF(OR(AND(AG$5&gt;0,AG$5&gt;100),AND(AG$5&gt;0,AG$5&lt;100)),
VLOOKUP(FLOOR((Midterm!AG45/AG$5)*100,1),new_transmute,3,FALSE),
VLOOKUP(Midterm!AG45,new_transmute,3,FALSE)
),
IF(Info!$B$4="Board program (Medicine)",
IF(OR(AND(AG$5&gt;0,AG$5&gt;100),AND(AG$5&gt;0,AG$5&lt;100)),
VLOOKUP(FLOOR((Midterm!AG45/AG$5)*100,1),new_transmute,4,FALSE),
VLOOKUP(Midterm!AG45,new_transmute,4,FALSE)
),
""
)
)
)
)
)
)
)
)
))</f>
        <v/>
      </c>
      <c r="AH45" s="14" t="str">
        <f>IF($B45="","",
IF(AH$5="","",
IF(Midterm!AH45="",0,
IF(NOT(ISNUMBER(Midterm!AH45)),"NAN",
IF(Midterm!AH45&lt;0,"NEG",
IF(Midterm!AH45&gt;AH$5,"OVER",
IF(AND(AH$5&lt;=100,Midterm!AH45&gt;100),"ERR",
IF(Info!$B$4="Non-board program",
IF(OR(AND(AH$5&gt;0,AH$5&gt;100),AND(AH$5&gt;0,AH$5&lt;100)),
VLOOKUP(FLOOR((Midterm!AH45/AH$5)*100,1),new_transmute,2,FALSE),
VLOOKUP(Midterm!AH45,new_transmute,2,FALSE)
),
IF(Info!$B$4="Board program",
IF(OR(AND(AH$5&gt;0,AH$5&gt;100),AND(AH$5&gt;0,AH$5&lt;100)),
VLOOKUP(FLOOR((Midterm!AH45/AH$5)*100,1),new_transmute,3,FALSE),
VLOOKUP(Midterm!AH45,new_transmute,3,FALSE)
),
IF(Info!$B$4="Board program (Medicine)",
IF(OR(AND(AH$5&gt;0,AH$5&gt;100),AND(AH$5&gt;0,AH$5&lt;100)),
VLOOKUP(FLOOR((Midterm!AH45/AH$5)*100,1),new_transmute,4,FALSE),
VLOOKUP(Midterm!AH45,new_transmute,4,FALSE)
),
""
)
)
)
)
)
)
)
)
))</f>
        <v/>
      </c>
      <c r="AI45" s="14" t="str">
        <f>IF($B45="","",
IF(AI$5="","",
IF(Midterm!AI45="",0,
IF(NOT(ISNUMBER(Midterm!AI45)),"NAN",
IF(Midterm!AI45&lt;0,"NEG",
IF(Midterm!AI45&gt;AI$5,"OVER",
IF(AND(AI$5&lt;=100,Midterm!AI45&gt;100),"ERR",
IF(Info!$B$4="Non-board program",
IF(OR(AND(AI$5&gt;0,AI$5&gt;100),AND(AI$5&gt;0,AI$5&lt;100)),
VLOOKUP(FLOOR((Midterm!AI45/AI$5)*100,1),new_transmute,2,FALSE),
VLOOKUP(Midterm!AI45,new_transmute,2,FALSE)
),
IF(Info!$B$4="Board program",
IF(OR(AND(AI$5&gt;0,AI$5&gt;100),AND(AI$5&gt;0,AI$5&lt;100)),
VLOOKUP(FLOOR((Midterm!AI45/AI$5)*100,1),new_transmute,3,FALSE),
VLOOKUP(Midterm!AI45,new_transmute,3,FALSE)
),
IF(Info!$B$4="Board program (Medicine)",
IF(OR(AND(AI$5&gt;0,AI$5&gt;100),AND(AI$5&gt;0,AI$5&lt;100)),
VLOOKUP(FLOOR((Midterm!AI45/AI$5)*100,1),new_transmute,4,FALSE),
VLOOKUP(Midterm!AI45,new_transmute,4,FALSE)
),
""
)
)
)
)
)
)
)
)
))</f>
        <v/>
      </c>
      <c r="AJ45" s="14" t="str">
        <f>IF($B45="","",
IF(AJ$5="","",
IF(Midterm!AJ45="",0,
IF(NOT(ISNUMBER(Midterm!AJ45)),"NAN",
IF(Midterm!AJ45&lt;0,"NEG",
IF(Midterm!AJ45&gt;AJ$5,"OVER",
IF(AND(AJ$5&lt;=100,Midterm!AJ45&gt;100),"ERR",
IF(Info!$B$4="Non-board program",
IF(OR(AND(AJ$5&gt;0,AJ$5&gt;100),AND(AJ$5&gt;0,AJ$5&lt;100)),
VLOOKUP(FLOOR((Midterm!AJ45/AJ$5)*100,1),new_transmute,2,FALSE),
VLOOKUP(Midterm!AJ45,new_transmute,2,FALSE)
),
IF(Info!$B$4="Board program",
IF(OR(AND(AJ$5&gt;0,AJ$5&gt;100),AND(AJ$5&gt;0,AJ$5&lt;100)),
VLOOKUP(FLOOR((Midterm!AJ45/AJ$5)*100,1),new_transmute,3,FALSE),
VLOOKUP(Midterm!AJ45,new_transmute,3,FALSE)
),
IF(Info!$B$4="Board program (Medicine)",
IF(OR(AND(AJ$5&gt;0,AJ$5&gt;100),AND(AJ$5&gt;0,AJ$5&lt;100)),
VLOOKUP(FLOOR((Midterm!AJ45/AJ$5)*100,1),new_transmute,4,FALSE),
VLOOKUP(Midterm!AJ45,new_transmute,4,FALSE)
),
""
)
)
)
)
)
)
)
)
))</f>
        <v/>
      </c>
      <c r="AK45" s="59" t="str">
        <f t="shared" si="6"/>
        <v/>
      </c>
      <c r="AL45" s="60" t="str">
        <f>IF(B45="", "",
    IF(OR(M45="OVER", S45="OVER", Y45="OVER", AE45="OVER", AK45="OVER"),
        "OVER",
        IF(Info!$B$4="Non-board program",
            VLOOKUP(IFERROR(FLOOR(SUM((M45*$M$4), (S45*$S$4), (Y45*$Y$4), (AE45*$AE$4), (AK45*$AK$4)) * (100 / 60), 1), 0), new_transmute, 2, FALSE),
            IF(Info!$B$4="Board program",
                VLOOKUP(IFERROR(FLOOR(SUM((M45*$M$4), (S45*$S$4), (Y45*$Y$4), (AE45*$AE$4), (AK45*$AK$4)) * (100 / 60), 1), 0), new_transmute, 3, FALSE),
                IF(Info!$B$4="Board program (Medicine)",
                    VLOOKUP(IFERROR(FLOOR(SUM((M45*$M$4), (S45*$S$4), (Y45*$Y$4), (AE45*$AE$4), (AK45*$AK$4)) * (100 / 60), 1), 0), new_transmute, 4, FALSE),
                    ""
                )
            )
        )
    )
)</f>
        <v/>
      </c>
      <c r="AM45" s="14" t="str">
        <f>IF($B45="","",
IF(AM$5="","",
IF(Midterm!AM45="",0,
IF(NOT(ISNUMBER(Midterm!AM45)),"NAN",
IF(Midterm!AM45&lt;0,"NEG",
IF(Midterm!AM45&gt;AM$5,"OVER",
IF(AND(AM$5&lt;=100,Midterm!AM45&gt;100),"ERR",
IF(Info!$B$4="Non-board program",
IF(OR(AND(AM$5&gt;0,AM$5&gt;100),AND(AM$5&gt;0,AM$5&lt;100)),
VLOOKUP(FLOOR((Midterm!AM45/AM$5)*100,1),new_transmute,2,FALSE),
VLOOKUP(Midterm!AM45,new_transmute,2,FALSE)
),
IF(Info!$B$4="Board program",
IF(OR(AND(AM$5&gt;0,AM$5&gt;100),AND(AM$5&gt;0,AM$5&lt;100)),
VLOOKUP(FLOOR((Midterm!AM45/AM$5)*100,1),new_transmute,3,FALSE),
VLOOKUP(Midterm!AM45,new_transmute,3,FALSE)
),
IF(Info!$B$4="Board program (Medicine)",
IF(OR(AND(AM$5&gt;0,AM$5&gt;100),AND(AM$5&gt;0,AM$5&lt;100)),
VLOOKUP(FLOOR((Midterm!AM45/AM$5)*100,1),new_transmute,4,FALSE),
VLOOKUP(Midterm!AM45,new_transmute,4,FALSE)
),
""
)
)
)
)
)
)
)
)
))</f>
        <v/>
      </c>
      <c r="AN45" s="14" t="str">
        <f>IF($B45="","",
IF(AN$5="","",
IF(Midterm!AN45="",0,
IF(NOT(ISNUMBER(Midterm!AN45)),"NAN",
IF(Midterm!AN45&lt;0,"NEG",
IF(Midterm!AN45&gt;AN$5,"OVER",
IF(AND(AN$5&lt;=100,Midterm!AN45&gt;100),"ERR",
IF(Info!$B$4="Non-board program",
IF(OR(AND(AN$5&gt;0,AN$5&gt;100),AND(AN$5&gt;0,AN$5&lt;100)),
VLOOKUP(FLOOR((Midterm!AN45/AN$5)*100,1),new_transmute,2,FALSE),
VLOOKUP(Midterm!AN45,new_transmute,2,FALSE)
),
IF(Info!$B$4="Board program",
IF(OR(AND(AN$5&gt;0,AN$5&gt;100),AND(AN$5&gt;0,AN$5&lt;100)),
VLOOKUP(FLOOR((Midterm!AN45/AN$5)*100,1),new_transmute,3,FALSE),
VLOOKUP(Midterm!AN45,new_transmute,3,FALSE)
),
IF(Info!$B$4="Board program (Medicine)",
IF(OR(AND(AN$5&gt;0,AN$5&gt;100),AND(AN$5&gt;0,AN$5&lt;100)),
VLOOKUP(FLOOR((Midterm!AN45/AN$5)*100,1),new_transmute,4,FALSE),
VLOOKUP(Midterm!AN45,new_transmute,4,FALSE)
),
""
)
)
)
)
)
)
)
)
))</f>
        <v/>
      </c>
      <c r="AO45" s="14" t="str">
        <f>IF($B45="","",
IF(AO$5="","",
IF(Midterm!AO45="",0,
IF(NOT(ISNUMBER(Midterm!AO45)),"NAN",
IF(Midterm!AO45&lt;0,"NEG",
IF(Midterm!AO45&gt;AO$5,"OVER",
IF(AND(AO$5&lt;=100,Midterm!AO45&gt;100),"ERR",
IF(Info!$B$4="Non-board program",
IF(OR(AND(AO$5&gt;0,AO$5&gt;100),AND(AO$5&gt;0,AO$5&lt;100)),
VLOOKUP(FLOOR((Midterm!AO45/AO$5)*100,1),new_transmute,2,FALSE),
VLOOKUP(Midterm!AO45,new_transmute,2,FALSE)
),
IF(Info!$B$4="Board program",
IF(OR(AND(AO$5&gt;0,AO$5&gt;100),AND(AO$5&gt;0,AO$5&lt;100)),
VLOOKUP(FLOOR((Midterm!AO45/AO$5)*100,1),new_transmute,3,FALSE),
VLOOKUP(Midterm!AO45,new_transmute,3,FALSE)
),
IF(Info!$B$4="Board program (Medicine)",
IF(OR(AND(AO$5&gt;0,AO$5&gt;100),AND(AO$5&gt;0,AO$5&lt;100)),
VLOOKUP(FLOOR((Midterm!AO45/AO$5)*100,1),new_transmute,4,FALSE),
VLOOKUP(Midterm!AO45,new_transmute,4,FALSE)
),
""
)
)
)
)
)
)
)
)
))</f>
        <v/>
      </c>
      <c r="AP45" s="14" t="str">
        <f>IF($B45="","",
IF(AP$5="","",
IF(Midterm!AP45="",0,
IF(NOT(ISNUMBER(Midterm!AP45)),"NAN",
IF(Midterm!AP45&lt;0,"NEG",
IF(Midterm!AP45&gt;AP$5,"OVER",
IF(AND(AP$5&lt;=100,Midterm!AP45&gt;100),"ERR",
IF(Info!$B$4="Non-board program",
IF(OR(AND(AP$5&gt;0,AP$5&gt;100),AND(AP$5&gt;0,AP$5&lt;100)),
VLOOKUP(FLOOR((Midterm!AP45/AP$5)*100,1),new_transmute,2,FALSE),
VLOOKUP(Midterm!AP45,new_transmute,2,FALSE)
),
IF(Info!$B$4="Board program",
IF(OR(AND(AP$5&gt;0,AP$5&gt;100),AND(AP$5&gt;0,AP$5&lt;100)),
VLOOKUP(FLOOR((Midterm!AP45/AP$5)*100,1),new_transmute,3,FALSE),
VLOOKUP(Midterm!AP45,new_transmute,3,FALSE)
),
IF(Info!$B$4="Board program (Medicine)",
IF(OR(AND(AP$5&gt;0,AP$5&gt;100),AND(AP$5&gt;0,AP$5&lt;100)),
VLOOKUP(FLOOR((Midterm!AP45/AP$5)*100,1),new_transmute,4,FALSE),
VLOOKUP(Midterm!AP45,new_transmute,4,FALSE)
),
""
)
)
)
)
)
)
)
)
))</f>
        <v/>
      </c>
      <c r="AQ45" s="61" t="str">
        <f t="shared" si="7"/>
        <v/>
      </c>
      <c r="AR45" s="48" t="str">
        <f>IF(Midterm!AR45="","",Midterm!AR45)</f>
        <v/>
      </c>
      <c r="AS45" s="165" t="str">
        <f t="shared" si="8"/>
        <v/>
      </c>
      <c r="AT45" s="14" t="str">
        <f t="shared" si="9"/>
        <v/>
      </c>
      <c r="AU45" s="14" t="str">
        <f>IF(B45="","",VLOOKUP(AT45,'New Grade Equivalent'!$B$3:$C$47,2,FALSE))</f>
        <v/>
      </c>
    </row>
    <row r="46" spans="1:47" x14ac:dyDescent="0.25">
      <c r="A46" s="8">
        <v>41</v>
      </c>
      <c r="B46" s="2" t="str">
        <f>IF('Student List'!C50="","",UPPER(LEFT('Student List'!C50,FIND(",",'Student List'!C50)-1)))</f>
        <v/>
      </c>
      <c r="C46" s="12" t="str">
        <f>IF('Student List'!C50="","",PROPER(MID('Student List'!C50, FIND(",", 'Student List'!C50) + 2, LEN('Student List'!C50) - FIND(",", 'Student List'!C50) - 1)))</f>
        <v/>
      </c>
      <c r="D46" s="127" t="str">
        <f>IF(B46="","",IF(Midterm!D46="", "NA", Midterm!D46))</f>
        <v/>
      </c>
      <c r="E46" s="8" t="str">
        <f>IF(B46="","",
  IF(Info!$B$5="First Year",
    IF(D46="Yes", "DRP",
      IF(D46="No", "WF", "")
    )
  )
)</f>
        <v/>
      </c>
      <c r="F46" s="14" t="str">
        <f>IF($B46="","",
IF(F$5="","",
IF(Midterm!F46="",0,
IF(NOT(ISNUMBER(Midterm!F46)),"NAN",
IF(Midterm!F46&lt;0,"NEG",
IF(Midterm!F46&gt;F$5,"OVER",
IF(AND(F$5&lt;=100,Midterm!F46&gt;100),"ERR",
IF(Info!$B$4="Non-board program",
IF(OR(AND(F$5&gt;0,F$5&gt;100),AND(F$5&gt;0,F$5&lt;100)),
VLOOKUP(FLOOR((Midterm!F46/F$5)*100,1),new_transmute,2,FALSE),
VLOOKUP(Midterm!F46,new_transmute,2,FALSE)
),
IF(Info!$B$4="Board program",
IF(OR(AND(F$5&gt;0,F$5&gt;100),AND(F$5&gt;0,F$5&lt;100)),
VLOOKUP(FLOOR((Midterm!F46/F$5)*100,1),new_transmute,3,FALSE),
VLOOKUP(Midterm!F46,new_transmute,3,FALSE)
),
IF(Info!$B$4="Board program (Medicine)",
IF(OR(AND(F$5&gt;0,F$5&gt;100),AND(F$5&gt;0,F$5&lt;100)),
VLOOKUP(FLOOR((Midterm!F46/F$5)*100,1),new_transmute,4,FALSE),
VLOOKUP(Midterm!F46,new_transmute,4,FALSE)
),
""
)
)
)
)
)
)
)
)
))</f>
        <v/>
      </c>
      <c r="G46" s="57" t="str">
        <f t="shared" si="1"/>
        <v/>
      </c>
      <c r="H46" s="14" t="str">
        <f>IF($B46="","",
IF(H$5="","",
IF(Midterm!H46="",0,
IF(NOT(ISNUMBER(Midterm!H46)),"NAN",
IF(Midterm!H46&lt;0,"NEG",
IF(Midterm!H46&gt;H$5,"OVER",
IF(AND(H$5&lt;=100,Midterm!H46&gt;100),"ERR",
IF(Info!$B$4="Non-board program",
IF(OR(AND(H$5&gt;0,H$5&gt;100),AND(H$5&gt;0,H$5&lt;100)),
VLOOKUP(FLOOR((Midterm!H46/H$5)*100,1),new_transmute,2,FALSE),
VLOOKUP(Midterm!H46,new_transmute,2,FALSE)
),
IF(Info!$B$4="Board program",
IF(OR(AND(H$5&gt;0,H$5&gt;100),AND(H$5&gt;0,H$5&lt;100)),
VLOOKUP(FLOOR((Midterm!H46/H$5)*100,1),new_transmute,3,FALSE),
VLOOKUP(Midterm!H46,new_transmute,3,FALSE)
),
IF(Info!$B$4="Board program (Medicine)",
IF(OR(AND(H$5&gt;0,H$5&gt;100),AND(H$5&gt;0,H$5&lt;100)),
VLOOKUP(FLOOR((Midterm!H46/H$5)*100,1),new_transmute,4,FALSE),
VLOOKUP(Midterm!H46,new_transmute,4,FALSE)
),
""
)
)
)
)
)
)
)
)
))</f>
        <v/>
      </c>
      <c r="I46" s="14" t="str">
        <f>IF($B46="","",
IF(I$5="","",
IF(Midterm!I46="",0,
IF(NOT(ISNUMBER(Midterm!I46)),"NAN",
IF(Midterm!I46&lt;0,"NEG",
IF(Midterm!I46&gt;I$5,"OVER",
IF(AND(I$5&lt;=100,Midterm!I46&gt;100),"ERR",
IF(Info!$B$4="Non-board program",
IF(OR(AND(I$5&gt;0,I$5&gt;100),AND(I$5&gt;0,I$5&lt;100)),
VLOOKUP(FLOOR((Midterm!I46/I$5)*100,1),new_transmute,2,FALSE),
VLOOKUP(Midterm!I46,new_transmute,2,FALSE)
),
IF(Info!$B$4="Board program",
IF(OR(AND(I$5&gt;0,I$5&gt;100),AND(I$5&gt;0,I$5&lt;100)),
VLOOKUP(FLOOR((Midterm!I46/I$5)*100,1),new_transmute,3,FALSE),
VLOOKUP(Midterm!I46,new_transmute,3,FALSE)
),
IF(Info!$B$4="Board program (Medicine)",
IF(OR(AND(I$5&gt;0,I$5&gt;100),AND(I$5&gt;0,I$5&lt;100)),
VLOOKUP(FLOOR((Midterm!I46/I$5)*100,1),new_transmute,4,FALSE),
VLOOKUP(Midterm!I46,new_transmute,4,FALSE)
),
""
)
)
)
)
)
)
)
)
))</f>
        <v/>
      </c>
      <c r="J46" s="14" t="str">
        <f>IF($B46="","",
IF(J$5="","",
IF(Midterm!J46="",0,
IF(NOT(ISNUMBER(Midterm!J46)),"NAN",
IF(Midterm!J46&lt;0,"NEG",
IF(Midterm!J46&gt;J$5,"OVER",
IF(AND(J$5&lt;=100,Midterm!J46&gt;100),"ERR",
IF(Info!$B$4="Non-board program",
IF(OR(AND(J$5&gt;0,J$5&gt;100),AND(J$5&gt;0,J$5&lt;100)),
VLOOKUP(FLOOR((Midterm!J46/J$5)*100,1),new_transmute,2,FALSE),
VLOOKUP(Midterm!J46,new_transmute,2,FALSE)
),
IF(Info!$B$4="Board program",
IF(OR(AND(J$5&gt;0,J$5&gt;100),AND(J$5&gt;0,J$5&lt;100)),
VLOOKUP(FLOOR((Midterm!J46/J$5)*100,1),new_transmute,3,FALSE),
VLOOKUP(Midterm!J46,new_transmute,3,FALSE)
),
IF(Info!$B$4="Board program (Medicine)",
IF(OR(AND(J$5&gt;0,J$5&gt;100),AND(J$5&gt;0,J$5&lt;100)),
VLOOKUP(FLOOR((Midterm!J46/J$5)*100,1),new_transmute,4,FALSE),
VLOOKUP(Midterm!J46,new_transmute,4,FALSE)
),
""
)
)
)
)
)
)
)
)
))</f>
        <v/>
      </c>
      <c r="K46" s="14" t="str">
        <f>IF($B46="","",
IF(K$5="","",
IF(Midterm!K46="",0,
IF(NOT(ISNUMBER(Midterm!K46)),"NAN",
IF(Midterm!K46&lt;0,"NEG",
IF(Midterm!K46&gt;K$5,"OVER",
IF(AND(K$5&lt;=100,Midterm!K46&gt;100),"ERR",
IF(Info!$B$4="Non-board program",
IF(OR(AND(K$5&gt;0,K$5&gt;100),AND(K$5&gt;0,K$5&lt;100)),
VLOOKUP(FLOOR((Midterm!K46/K$5)*100,1),new_transmute,2,FALSE),
VLOOKUP(Midterm!K46,new_transmute,2,FALSE)
),
IF(Info!$B$4="Board program",
IF(OR(AND(K$5&gt;0,K$5&gt;100),AND(K$5&gt;0,K$5&lt;100)),
VLOOKUP(FLOOR((Midterm!K46/K$5)*100,1),new_transmute,3,FALSE),
VLOOKUP(Midterm!K46,new_transmute,3,FALSE)
),
IF(Info!$B$4="Board program (Medicine)",
IF(OR(AND(K$5&gt;0,K$5&gt;100),AND(K$5&gt;0,K$5&lt;100)),
VLOOKUP(FLOOR((Midterm!K46/K$5)*100,1),new_transmute,4,FALSE),
VLOOKUP(Midterm!K46,new_transmute,4,FALSE)
),
""
)
)
)
)
)
)
)
)
))</f>
        <v/>
      </c>
      <c r="L46" s="14" t="str">
        <f>IF($B46="","",
IF(L$5="","",
IF(Midterm!L46="",0,
IF(NOT(ISNUMBER(Midterm!L46)),"NAN",
IF(Midterm!L46&lt;0,"NEG",
IF(Midterm!L46&gt;L$5,"OVER",
IF(AND(L$5&lt;=100,Midterm!L46&gt;100),"ERR",
IF(Info!$B$4="Non-board program",
IF(OR(AND(L$5&gt;0,L$5&gt;100),AND(L$5&gt;0,L$5&lt;100)),
VLOOKUP(FLOOR((Midterm!L46/L$5)*100,1),new_transmute,2,FALSE),
VLOOKUP(Midterm!L46,new_transmute,2,FALSE)
),
IF(Info!$B$4="Board program",
IF(OR(AND(L$5&gt;0,L$5&gt;100),AND(L$5&gt;0,L$5&lt;100)),
VLOOKUP(FLOOR((Midterm!L46/L$5)*100,1),new_transmute,3,FALSE),
VLOOKUP(Midterm!L46,new_transmute,3,FALSE)
),
IF(Info!$B$4="Board program (Medicine)",
IF(OR(AND(L$5&gt;0,L$5&gt;100),AND(L$5&gt;0,L$5&lt;100)),
VLOOKUP(FLOOR((Midterm!L46/L$5)*100,1),new_transmute,4,FALSE),
VLOOKUP(Midterm!L46,new_transmute,4,FALSE)
),
""
)
)
)
)
)
)
)
)
))</f>
        <v/>
      </c>
      <c r="M46" s="111" t="str">
        <f t="shared" si="2"/>
        <v/>
      </c>
      <c r="N46" s="14" t="str">
        <f>IF($B46="","",
IF(N$5="","",
IF(Midterm!N46="",0,
IF(NOT(ISNUMBER(Midterm!N46)),"NAN",
IF(Midterm!N46&lt;0,"NEG",
IF(Midterm!N46&gt;N$5,"OVER",
IF(AND(N$5&lt;=100,Midterm!N46&gt;100),"ERR",
IF(Info!$B$4="Non-board program",
IF(OR(AND(N$5&gt;0,N$5&gt;100),AND(N$5&gt;0,N$5&lt;100)),
VLOOKUP(FLOOR((Midterm!N46/N$5)*100,1),new_transmute,2,FALSE),
VLOOKUP(Midterm!N46,new_transmute,2,FALSE)
),
IF(Info!$B$4="Board program",
IF(OR(AND(N$5&gt;0,N$5&gt;100),AND(N$5&gt;0,N$5&lt;100)),
VLOOKUP(FLOOR((Midterm!N46/N$5)*100,1),new_transmute,3,FALSE),
VLOOKUP(Midterm!N46,new_transmute,3,FALSE)
),
IF(Info!$B$4="Board program (Medicine)",
IF(OR(AND(N$5&gt;0,N$5&gt;100),AND(N$5&gt;0,N$5&lt;100)),
VLOOKUP(FLOOR((Midterm!N46/N$5)*100,1),new_transmute,4,FALSE),
VLOOKUP(Midterm!N46,new_transmute,4,FALSE)
),
""
)
)
)
)
)
)
)
)
))</f>
        <v/>
      </c>
      <c r="O46" s="14" t="str">
        <f>IF($B46="","",
IF(O$5="","",
IF(Midterm!O46="",0,
IF(NOT(ISNUMBER(Midterm!O46)),"NAN",
IF(Midterm!O46&lt;0,"NEG",
IF(Midterm!O46&gt;O$5,"OVER",
IF(AND(O$5&lt;=100,Midterm!O46&gt;100),"ERR",
IF(Info!$B$4="Non-board program",
IF(OR(AND(O$5&gt;0,O$5&gt;100),AND(O$5&gt;0,O$5&lt;100)),
VLOOKUP(FLOOR((Midterm!O46/O$5)*100,1),new_transmute,2,FALSE),
VLOOKUP(Midterm!O46,new_transmute,2,FALSE)
),
IF(Info!$B$4="Board program",
IF(OR(AND(O$5&gt;0,O$5&gt;100),AND(O$5&gt;0,O$5&lt;100)),
VLOOKUP(FLOOR((Midterm!O46/O$5)*100,1),new_transmute,3,FALSE),
VLOOKUP(Midterm!O46,new_transmute,3,FALSE)
),
IF(Info!$B$4="Board program (Medicine)",
IF(OR(AND(O$5&gt;0,O$5&gt;100),AND(O$5&gt;0,O$5&lt;100)),
VLOOKUP(FLOOR((Midterm!O46/O$5)*100,1),new_transmute,4,FALSE),
VLOOKUP(Midterm!O46,new_transmute,4,FALSE)
),
""
)
)
)
)
)
)
)
)
))</f>
        <v/>
      </c>
      <c r="P46" s="14" t="str">
        <f>IF($B46="","",
IF(P$5="","",
IF(Midterm!P46="",0,
IF(NOT(ISNUMBER(Midterm!P46)),"NAN",
IF(Midterm!P46&lt;0,"NEG",
IF(Midterm!P46&gt;P$5,"OVER",
IF(AND(P$5&lt;=100,Midterm!P46&gt;100),"ERR",
IF(Info!$B$4="Non-board program",
IF(OR(AND(P$5&gt;0,P$5&gt;100),AND(P$5&gt;0,P$5&lt;100)),
VLOOKUP(FLOOR((Midterm!P46/P$5)*100,1),new_transmute,2,FALSE),
VLOOKUP(Midterm!P46,new_transmute,2,FALSE)
),
IF(Info!$B$4="Board program",
IF(OR(AND(P$5&gt;0,P$5&gt;100),AND(P$5&gt;0,P$5&lt;100)),
VLOOKUP(FLOOR((Midterm!P46/P$5)*100,1),new_transmute,3,FALSE),
VLOOKUP(Midterm!P46,new_transmute,3,FALSE)
),
IF(Info!$B$4="Board program (Medicine)",
IF(OR(AND(P$5&gt;0,P$5&gt;100),AND(P$5&gt;0,P$5&lt;100)),
VLOOKUP(FLOOR((Midterm!P46/P$5)*100,1),new_transmute,4,FALSE),
VLOOKUP(Midterm!P46,new_transmute,4,FALSE)
),
""
)
)
)
)
)
)
)
)
))</f>
        <v/>
      </c>
      <c r="Q46" s="14" t="str">
        <f>IF($B46="","",
IF(Q$5="","",
IF(Midterm!Q46="",0,
IF(NOT(ISNUMBER(Midterm!Q46)),"NAN",
IF(Midterm!Q46&lt;0,"NEG",
IF(Midterm!Q46&gt;Q$5,"OVER",
IF(AND(Q$5&lt;=100,Midterm!Q46&gt;100),"ERR",
IF(Info!$B$4="Non-board program",
IF(OR(AND(Q$5&gt;0,Q$5&gt;100),AND(Q$5&gt;0,Q$5&lt;100)),
VLOOKUP(FLOOR((Midterm!Q46/Q$5)*100,1),new_transmute,2,FALSE),
VLOOKUP(Midterm!Q46,new_transmute,2,FALSE)
),
IF(Info!$B$4="Board program",
IF(OR(AND(Q$5&gt;0,Q$5&gt;100),AND(Q$5&gt;0,Q$5&lt;100)),
VLOOKUP(FLOOR((Midterm!Q46/Q$5)*100,1),new_transmute,3,FALSE),
VLOOKUP(Midterm!Q46,new_transmute,3,FALSE)
),
IF(Info!$B$4="Board program (Medicine)",
IF(OR(AND(Q$5&gt;0,Q$5&gt;100),AND(Q$5&gt;0,Q$5&lt;100)),
VLOOKUP(FLOOR((Midterm!Q46/Q$5)*100,1),new_transmute,4,FALSE),
VLOOKUP(Midterm!Q46,new_transmute,4,FALSE)
),
""
)
)
)
)
)
)
)
)
))</f>
        <v/>
      </c>
      <c r="R46" s="14" t="str">
        <f>IF($B46="","",
IF(R$5="","",
IF(Midterm!R46="",0,
IF(NOT(ISNUMBER(Midterm!R46)),"NAN",
IF(Midterm!R46&lt;0,"NEG",
IF(Midterm!R46&gt;R$5,"OVER",
IF(AND(R$5&lt;=100,Midterm!R46&gt;100),"ERR",
IF(Info!$B$4="Non-board program",
IF(OR(AND(R$5&gt;0,R$5&gt;100),AND(R$5&gt;0,R$5&lt;100)),
VLOOKUP(FLOOR((Midterm!R46/R$5)*100,1),new_transmute,2,FALSE),
VLOOKUP(Midterm!R46,new_transmute,2,FALSE)
),
IF(Info!$B$4="Board program",
IF(OR(AND(R$5&gt;0,R$5&gt;100),AND(R$5&gt;0,R$5&lt;100)),
VLOOKUP(FLOOR((Midterm!R46/R$5)*100,1),new_transmute,3,FALSE),
VLOOKUP(Midterm!R46,new_transmute,3,FALSE)
),
IF(Info!$B$4="Board program (Medicine)",
IF(OR(AND(R$5&gt;0,R$5&gt;100),AND(R$5&gt;0,R$5&lt;100)),
VLOOKUP(FLOOR((Midterm!R46/R$5)*100,1),new_transmute,4,FALSE),
VLOOKUP(Midterm!R46,new_transmute,4,FALSE)
),
""
)
)
)
)
)
)
)
)
))</f>
        <v/>
      </c>
      <c r="S46" s="115" t="str">
        <f t="shared" si="3"/>
        <v/>
      </c>
      <c r="T46" s="14" t="str">
        <f>IF($B46="","",
IF(T$5="","",
IF(Midterm!T46="",0,
IF(NOT(ISNUMBER(Midterm!T46)),"NAN",
IF(Midterm!T46&lt;0,"NEG",
IF(Midterm!T46&gt;T$5,"OVER",
IF(AND(T$5&lt;=100,Midterm!T46&gt;100),"ERR",
IF(Info!$B$4="Non-board program",
IF(OR(AND(T$5&gt;0,T$5&gt;100),AND(T$5&gt;0,T$5&lt;100)),
VLOOKUP(FLOOR((Midterm!T46/T$5)*100,1),new_transmute,2,FALSE),
VLOOKUP(Midterm!T46,new_transmute,2,FALSE)
),
IF(Info!$B$4="Board program",
IF(OR(AND(T$5&gt;0,T$5&gt;100),AND(T$5&gt;0,T$5&lt;100)),
VLOOKUP(FLOOR((Midterm!T46/T$5)*100,1),new_transmute,3,FALSE),
VLOOKUP(Midterm!T46,new_transmute,3,FALSE)
),
IF(Info!$B$4="Board program (Medicine)",
IF(OR(AND(T$5&gt;0,T$5&gt;100),AND(T$5&gt;0,T$5&lt;100)),
VLOOKUP(FLOOR((Midterm!T46/T$5)*100,1),new_transmute,4,FALSE),
VLOOKUP(Midterm!T46,new_transmute,4,FALSE)
),
""
)
)
)
)
)
)
)
)
))</f>
        <v/>
      </c>
      <c r="U46" s="14" t="str">
        <f>IF($B46="","",
IF(U$5="","",
IF(Midterm!U46="",0,
IF(NOT(ISNUMBER(Midterm!U46)),"NAN",
IF(Midterm!U46&lt;0,"NEG",
IF(Midterm!U46&gt;U$5,"OVER",
IF(AND(U$5&lt;=100,Midterm!U46&gt;100),"ERR",
IF(Info!$B$4="Non-board program",
IF(OR(AND(U$5&gt;0,U$5&gt;100),AND(U$5&gt;0,U$5&lt;100)),
VLOOKUP(FLOOR((Midterm!U46/U$5)*100,1),new_transmute,2,FALSE),
VLOOKUP(Midterm!U46,new_transmute,2,FALSE)
),
IF(Info!$B$4="Board program",
IF(OR(AND(U$5&gt;0,U$5&gt;100),AND(U$5&gt;0,U$5&lt;100)),
VLOOKUP(FLOOR((Midterm!U46/U$5)*100,1),new_transmute,3,FALSE),
VLOOKUP(Midterm!U46,new_transmute,3,FALSE)
),
IF(Info!$B$4="Board program (Medicine)",
IF(OR(AND(U$5&gt;0,U$5&gt;100),AND(U$5&gt;0,U$5&lt;100)),
VLOOKUP(FLOOR((Midterm!U46/U$5)*100,1),new_transmute,4,FALSE),
VLOOKUP(Midterm!U46,new_transmute,4,FALSE)
),
""
)
)
)
)
)
)
)
)
))</f>
        <v/>
      </c>
      <c r="V46" s="14" t="str">
        <f>IF($B46="","",
IF(V$5="","",
IF(Midterm!V46="",0,
IF(NOT(ISNUMBER(Midterm!V46)),"NAN",
IF(Midterm!V46&lt;0,"NEG",
IF(Midterm!V46&gt;V$5,"OVER",
IF(AND(V$5&lt;=100,Midterm!V46&gt;100),"ERR",
IF(Info!$B$4="Non-board program",
IF(OR(AND(V$5&gt;0,V$5&gt;100),AND(V$5&gt;0,V$5&lt;100)),
VLOOKUP(FLOOR((Midterm!V46/V$5)*100,1),new_transmute,2,FALSE),
VLOOKUP(Midterm!V46,new_transmute,2,FALSE)
),
IF(Info!$B$4="Board program",
IF(OR(AND(V$5&gt;0,V$5&gt;100),AND(V$5&gt;0,V$5&lt;100)),
VLOOKUP(FLOOR((Midterm!V46/V$5)*100,1),new_transmute,3,FALSE),
VLOOKUP(Midterm!V46,new_transmute,3,FALSE)
),
IF(Info!$B$4="Board program (Medicine)",
IF(OR(AND(V$5&gt;0,V$5&gt;100),AND(V$5&gt;0,V$5&lt;100)),
VLOOKUP(FLOOR((Midterm!V46/V$5)*100,1),new_transmute,4,FALSE),
VLOOKUP(Midterm!V46,new_transmute,4,FALSE)
),
""
)
)
)
)
)
)
)
)
))</f>
        <v/>
      </c>
      <c r="W46" s="14" t="str">
        <f>IF($B46="","",
IF(W$5="","",
IF(Midterm!W46="",0,
IF(NOT(ISNUMBER(Midterm!W46)),"NAN",
IF(Midterm!W46&lt;0,"NEG",
IF(Midterm!W46&gt;W$5,"OVER",
IF(AND(W$5&lt;=100,Midterm!W46&gt;100),"ERR",
IF(Info!$B$4="Non-board program",
IF(OR(AND(W$5&gt;0,W$5&gt;100),AND(W$5&gt;0,W$5&lt;100)),
VLOOKUP(FLOOR((Midterm!W46/W$5)*100,1),new_transmute,2,FALSE),
VLOOKUP(Midterm!W46,new_transmute,2,FALSE)
),
IF(Info!$B$4="Board program",
IF(OR(AND(W$5&gt;0,W$5&gt;100),AND(W$5&gt;0,W$5&lt;100)),
VLOOKUP(FLOOR((Midterm!W46/W$5)*100,1),new_transmute,3,FALSE),
VLOOKUP(Midterm!W46,new_transmute,3,FALSE)
),
IF(Info!$B$4="Board program (Medicine)",
IF(OR(AND(W$5&gt;0,W$5&gt;100),AND(W$5&gt;0,W$5&lt;100)),
VLOOKUP(FLOOR((Midterm!W46/W$5)*100,1),new_transmute,4,FALSE),
VLOOKUP(Midterm!W46,new_transmute,4,FALSE)
),
""
)
)
)
)
)
)
)
)
))</f>
        <v/>
      </c>
      <c r="X46" s="14" t="str">
        <f>IF($B46="","",
IF(X$5="","",
IF(Midterm!X46="",0,
IF(NOT(ISNUMBER(Midterm!X46)),"NAN",
IF(Midterm!X46&lt;0,"NEG",
IF(Midterm!X46&gt;X$5,"OVER",
IF(AND(X$5&lt;=100,Midterm!X46&gt;100),"ERR",
IF(Info!$B$4="Non-board program",
IF(OR(AND(X$5&gt;0,X$5&gt;100),AND(X$5&gt;0,X$5&lt;100)),
VLOOKUP(FLOOR((Midterm!X46/X$5)*100,1),new_transmute,2,FALSE),
VLOOKUP(Midterm!X46,new_transmute,2,FALSE)
),
IF(Info!$B$4="Board program",
IF(OR(AND(X$5&gt;0,X$5&gt;100),AND(X$5&gt;0,X$5&lt;100)),
VLOOKUP(FLOOR((Midterm!X46/X$5)*100,1),new_transmute,3,FALSE),
VLOOKUP(Midterm!X46,new_transmute,3,FALSE)
),
IF(Info!$B$4="Board program (Medicine)",
IF(OR(AND(X$5&gt;0,X$5&gt;100),AND(X$5&gt;0,X$5&lt;100)),
VLOOKUP(FLOOR((Midterm!X46/X$5)*100,1),new_transmute,4,FALSE),
VLOOKUP(Midterm!X46,new_transmute,4,FALSE)
),
""
)
)
)
)
)
)
)
)
))</f>
        <v/>
      </c>
      <c r="Y46" s="112" t="str">
        <f t="shared" si="4"/>
        <v/>
      </c>
      <c r="Z46" s="14" t="str">
        <f>IF($B46="","",
IF(Z$5="","",
IF(Midterm!Z46="",0,
IF(NOT(ISNUMBER(Midterm!Z46)),"NAN",
IF(Midterm!Z46&lt;0,"NEG",
IF(Midterm!Z46&gt;Z$5,"OVER",
IF(AND(Z$5&lt;=100,Midterm!Z46&gt;100),"ERR",
IF(Info!$B$4="Non-board program",
IF(OR(AND(Z$5&gt;0,Z$5&gt;100),AND(Z$5&gt;0,Z$5&lt;100)),
VLOOKUP(FLOOR((Midterm!Z46/Z$5)*100,1),new_transmute,2,FALSE),
VLOOKUP(Midterm!Z46,new_transmute,2,FALSE)
),
IF(Info!$B$4="Board program",
IF(OR(AND(Z$5&gt;0,Z$5&gt;100),AND(Z$5&gt;0,Z$5&lt;100)),
VLOOKUP(FLOOR((Midterm!Z46/Z$5)*100,1),new_transmute,3,FALSE),
VLOOKUP(Midterm!Z46,new_transmute,3,FALSE)
),
IF(Info!$B$4="Board program (Medicine)",
IF(OR(AND(Z$5&gt;0,Z$5&gt;100),AND(Z$5&gt;0,Z$5&lt;100)),
VLOOKUP(FLOOR((Midterm!Z46/Z$5)*100,1),new_transmute,4,FALSE),
VLOOKUP(Midterm!Z46,new_transmute,4,FALSE)
),
""
)
)
)
)
)
)
)
)
))</f>
        <v/>
      </c>
      <c r="AA46" s="14" t="str">
        <f>IF($B46="","",
IF(AA$5="","",
IF(Midterm!AA46="",0,
IF(NOT(ISNUMBER(Midterm!AA46)),"NAN",
IF(Midterm!AA46&lt;0,"NEG",
IF(Midterm!AA46&gt;AA$5,"OVER",
IF(AND(AA$5&lt;=100,Midterm!AA46&gt;100),"ERR",
IF(Info!$B$4="Non-board program",
IF(OR(AND(AA$5&gt;0,AA$5&gt;100),AND(AA$5&gt;0,AA$5&lt;100)),
VLOOKUP(FLOOR((Midterm!AA46/AA$5)*100,1),new_transmute,2,FALSE),
VLOOKUP(Midterm!AA46,new_transmute,2,FALSE)
),
IF(Info!$B$4="Board program",
IF(OR(AND(AA$5&gt;0,AA$5&gt;100),AND(AA$5&gt;0,AA$5&lt;100)),
VLOOKUP(FLOOR((Midterm!AA46/AA$5)*100,1),new_transmute,3,FALSE),
VLOOKUP(Midterm!AA46,new_transmute,3,FALSE)
),
IF(Info!$B$4="Board program (Medicine)",
IF(OR(AND(AA$5&gt;0,AA$5&gt;100),AND(AA$5&gt;0,AA$5&lt;100)),
VLOOKUP(FLOOR((Midterm!AA46/AA$5)*100,1),new_transmute,4,FALSE),
VLOOKUP(Midterm!AA46,new_transmute,4,FALSE)
),
""
)
)
)
)
)
)
)
)
))</f>
        <v/>
      </c>
      <c r="AB46" s="14" t="str">
        <f>IF($B46="","",
IF(AB$5="","",
IF(Midterm!AB46="",0,
IF(NOT(ISNUMBER(Midterm!AB46)),"NAN",
IF(Midterm!AB46&lt;0,"NEG",
IF(Midterm!AB46&gt;AB$5,"OVER",
IF(AND(AB$5&lt;=100,Midterm!AB46&gt;100),"ERR",
IF(Info!$B$4="Non-board program",
IF(OR(AND(AB$5&gt;0,AB$5&gt;100),AND(AB$5&gt;0,AB$5&lt;100)),
VLOOKUP(FLOOR((Midterm!AB46/AB$5)*100,1),new_transmute,2,FALSE),
VLOOKUP(Midterm!AB46,new_transmute,2,FALSE)
),
IF(Info!$B$4="Board program",
IF(OR(AND(AB$5&gt;0,AB$5&gt;100),AND(AB$5&gt;0,AB$5&lt;100)),
VLOOKUP(FLOOR((Midterm!AB46/AB$5)*100,1),new_transmute,3,FALSE),
VLOOKUP(Midterm!AB46,new_transmute,3,FALSE)
),
IF(Info!$B$4="Board program (Medicine)",
IF(OR(AND(AB$5&gt;0,AB$5&gt;100),AND(AB$5&gt;0,AB$5&lt;100)),
VLOOKUP(FLOOR((Midterm!AB46/AB$5)*100,1),new_transmute,4,FALSE),
VLOOKUP(Midterm!AB46,new_transmute,4,FALSE)
),
""
)
)
)
)
)
)
)
)
))</f>
        <v/>
      </c>
      <c r="AC46" s="14" t="str">
        <f>IF($B46="","",
IF(AC$5="","",
IF(Midterm!AC46="",0,
IF(NOT(ISNUMBER(Midterm!AC46)),"NAN",
IF(Midterm!AC46&lt;0,"NEG",
IF(Midterm!AC46&gt;AC$5,"OVER",
IF(AND(AC$5&lt;=100,Midterm!AC46&gt;100),"ERR",
IF(Info!$B$4="Non-board program",
IF(OR(AND(AC$5&gt;0,AC$5&gt;100),AND(AC$5&gt;0,AC$5&lt;100)),
VLOOKUP(FLOOR((Midterm!AC46/AC$5)*100,1),new_transmute,2,FALSE),
VLOOKUP(Midterm!AC46,new_transmute,2,FALSE)
),
IF(Info!$B$4="Board program",
IF(OR(AND(AC$5&gt;0,AC$5&gt;100),AND(AC$5&gt;0,AC$5&lt;100)),
VLOOKUP(FLOOR((Midterm!AC46/AC$5)*100,1),new_transmute,3,FALSE),
VLOOKUP(Midterm!AC46,new_transmute,3,FALSE)
),
IF(Info!$B$4="Board program (Medicine)",
IF(OR(AND(AC$5&gt;0,AC$5&gt;100),AND(AC$5&gt;0,AC$5&lt;100)),
VLOOKUP(FLOOR((Midterm!AC46/AC$5)*100,1),new_transmute,4,FALSE),
VLOOKUP(Midterm!AC46,new_transmute,4,FALSE)
),
""
)
)
)
)
)
)
)
)
))</f>
        <v/>
      </c>
      <c r="AD46" s="14" t="str">
        <f>IF($B46="","",
IF(AD$5="","",
IF(Midterm!AD46="",0,
IF(NOT(ISNUMBER(Midterm!AD46)),"NAN",
IF(Midterm!AD46&lt;0,"NEG",
IF(Midterm!AD46&gt;AD$5,"OVER",
IF(AND(AD$5&lt;=100,Midterm!AD46&gt;100),"ERR",
IF(Info!$B$4="Non-board program",
IF(OR(AND(AD$5&gt;0,AD$5&gt;100),AND(AD$5&gt;0,AD$5&lt;100)),
VLOOKUP(FLOOR((Midterm!AD46/AD$5)*100,1),new_transmute,2,FALSE),
VLOOKUP(Midterm!AD46,new_transmute,2,FALSE)
),
IF(Info!$B$4="Board program",
IF(OR(AND(AD$5&gt;0,AD$5&gt;100),AND(AD$5&gt;0,AD$5&lt;100)),
VLOOKUP(FLOOR((Midterm!AD46/AD$5)*100,1),new_transmute,3,FALSE),
VLOOKUP(Midterm!AD46,new_transmute,3,FALSE)
),
IF(Info!$B$4="Board program (Medicine)",
IF(OR(AND(AD$5&gt;0,AD$5&gt;100),AND(AD$5&gt;0,AD$5&lt;100)),
VLOOKUP(FLOOR((Midterm!AD46/AD$5)*100,1),new_transmute,4,FALSE),
VLOOKUP(Midterm!AD46,new_transmute,4,FALSE)
),
""
)
)
)
)
)
)
)
)
))</f>
        <v/>
      </c>
      <c r="AE46" s="58" t="str">
        <f t="shared" si="5"/>
        <v/>
      </c>
      <c r="AF46" s="14" t="str">
        <f>IF($B46="","",
IF(AF$5="","",
IF(Midterm!AF46="",0,
IF(NOT(ISNUMBER(Midterm!AF46)),"NAN",
IF(Midterm!AF46&lt;0,"NEG",
IF(Midterm!AF46&gt;AF$5,"OVER",
IF(AND(AF$5&lt;=100,Midterm!AF46&gt;100),"ERR",
IF(Info!$B$4="Non-board program",
IF(OR(AND(AF$5&gt;0,AF$5&gt;100),AND(AF$5&gt;0,AF$5&lt;100)),
VLOOKUP(FLOOR((Midterm!AF46/AF$5)*100,1),new_transmute,2,FALSE),
VLOOKUP(Midterm!AF46,new_transmute,2,FALSE)
),
IF(Info!$B$4="Board program",
IF(OR(AND(AF$5&gt;0,AF$5&gt;100),AND(AF$5&gt;0,AF$5&lt;100)),
VLOOKUP(FLOOR((Midterm!AF46/AF$5)*100,1),new_transmute,3,FALSE),
VLOOKUP(Midterm!AF46,new_transmute,3,FALSE)
),
IF(Info!$B$4="Board program (Medicine)",
IF(OR(AND(AF$5&gt;0,AF$5&gt;100),AND(AF$5&gt;0,AF$5&lt;100)),
VLOOKUP(FLOOR((Midterm!AF46/AF$5)*100,1),new_transmute,4,FALSE),
VLOOKUP(Midterm!AF46,new_transmute,4,FALSE)
),
""
)
)
)
)
)
)
)
)
))</f>
        <v/>
      </c>
      <c r="AG46" s="14" t="str">
        <f>IF($B46="","",
IF(AG$5="","",
IF(Midterm!AG46="",0,
IF(NOT(ISNUMBER(Midterm!AG46)),"NAN",
IF(Midterm!AG46&lt;0,"NEG",
IF(Midterm!AG46&gt;AG$5,"OVER",
IF(AND(AG$5&lt;=100,Midterm!AG46&gt;100),"ERR",
IF(Info!$B$4="Non-board program",
IF(OR(AND(AG$5&gt;0,AG$5&gt;100),AND(AG$5&gt;0,AG$5&lt;100)),
VLOOKUP(FLOOR((Midterm!AG46/AG$5)*100,1),new_transmute,2,FALSE),
VLOOKUP(Midterm!AG46,new_transmute,2,FALSE)
),
IF(Info!$B$4="Board program",
IF(OR(AND(AG$5&gt;0,AG$5&gt;100),AND(AG$5&gt;0,AG$5&lt;100)),
VLOOKUP(FLOOR((Midterm!AG46/AG$5)*100,1),new_transmute,3,FALSE),
VLOOKUP(Midterm!AG46,new_transmute,3,FALSE)
),
IF(Info!$B$4="Board program (Medicine)",
IF(OR(AND(AG$5&gt;0,AG$5&gt;100),AND(AG$5&gt;0,AG$5&lt;100)),
VLOOKUP(FLOOR((Midterm!AG46/AG$5)*100,1),new_transmute,4,FALSE),
VLOOKUP(Midterm!AG46,new_transmute,4,FALSE)
),
""
)
)
)
)
)
)
)
)
))</f>
        <v/>
      </c>
      <c r="AH46" s="14" t="str">
        <f>IF($B46="","",
IF(AH$5="","",
IF(Midterm!AH46="",0,
IF(NOT(ISNUMBER(Midterm!AH46)),"NAN",
IF(Midterm!AH46&lt;0,"NEG",
IF(Midterm!AH46&gt;AH$5,"OVER",
IF(AND(AH$5&lt;=100,Midterm!AH46&gt;100),"ERR",
IF(Info!$B$4="Non-board program",
IF(OR(AND(AH$5&gt;0,AH$5&gt;100),AND(AH$5&gt;0,AH$5&lt;100)),
VLOOKUP(FLOOR((Midterm!AH46/AH$5)*100,1),new_transmute,2,FALSE),
VLOOKUP(Midterm!AH46,new_transmute,2,FALSE)
),
IF(Info!$B$4="Board program",
IF(OR(AND(AH$5&gt;0,AH$5&gt;100),AND(AH$5&gt;0,AH$5&lt;100)),
VLOOKUP(FLOOR((Midterm!AH46/AH$5)*100,1),new_transmute,3,FALSE),
VLOOKUP(Midterm!AH46,new_transmute,3,FALSE)
),
IF(Info!$B$4="Board program (Medicine)",
IF(OR(AND(AH$5&gt;0,AH$5&gt;100),AND(AH$5&gt;0,AH$5&lt;100)),
VLOOKUP(FLOOR((Midterm!AH46/AH$5)*100,1),new_transmute,4,FALSE),
VLOOKUP(Midterm!AH46,new_transmute,4,FALSE)
),
""
)
)
)
)
)
)
)
)
))</f>
        <v/>
      </c>
      <c r="AI46" s="14" t="str">
        <f>IF($B46="","",
IF(AI$5="","",
IF(Midterm!AI46="",0,
IF(NOT(ISNUMBER(Midterm!AI46)),"NAN",
IF(Midterm!AI46&lt;0,"NEG",
IF(Midterm!AI46&gt;AI$5,"OVER",
IF(AND(AI$5&lt;=100,Midterm!AI46&gt;100),"ERR",
IF(Info!$B$4="Non-board program",
IF(OR(AND(AI$5&gt;0,AI$5&gt;100),AND(AI$5&gt;0,AI$5&lt;100)),
VLOOKUP(FLOOR((Midterm!AI46/AI$5)*100,1),new_transmute,2,FALSE),
VLOOKUP(Midterm!AI46,new_transmute,2,FALSE)
),
IF(Info!$B$4="Board program",
IF(OR(AND(AI$5&gt;0,AI$5&gt;100),AND(AI$5&gt;0,AI$5&lt;100)),
VLOOKUP(FLOOR((Midterm!AI46/AI$5)*100,1),new_transmute,3,FALSE),
VLOOKUP(Midterm!AI46,new_transmute,3,FALSE)
),
IF(Info!$B$4="Board program (Medicine)",
IF(OR(AND(AI$5&gt;0,AI$5&gt;100),AND(AI$5&gt;0,AI$5&lt;100)),
VLOOKUP(FLOOR((Midterm!AI46/AI$5)*100,1),new_transmute,4,FALSE),
VLOOKUP(Midterm!AI46,new_transmute,4,FALSE)
),
""
)
)
)
)
)
)
)
)
))</f>
        <v/>
      </c>
      <c r="AJ46" s="14" t="str">
        <f>IF($B46="","",
IF(AJ$5="","",
IF(Midterm!AJ46="",0,
IF(NOT(ISNUMBER(Midterm!AJ46)),"NAN",
IF(Midterm!AJ46&lt;0,"NEG",
IF(Midterm!AJ46&gt;AJ$5,"OVER",
IF(AND(AJ$5&lt;=100,Midterm!AJ46&gt;100),"ERR",
IF(Info!$B$4="Non-board program",
IF(OR(AND(AJ$5&gt;0,AJ$5&gt;100),AND(AJ$5&gt;0,AJ$5&lt;100)),
VLOOKUP(FLOOR((Midterm!AJ46/AJ$5)*100,1),new_transmute,2,FALSE),
VLOOKUP(Midterm!AJ46,new_transmute,2,FALSE)
),
IF(Info!$B$4="Board program",
IF(OR(AND(AJ$5&gt;0,AJ$5&gt;100),AND(AJ$5&gt;0,AJ$5&lt;100)),
VLOOKUP(FLOOR((Midterm!AJ46/AJ$5)*100,1),new_transmute,3,FALSE),
VLOOKUP(Midterm!AJ46,new_transmute,3,FALSE)
),
IF(Info!$B$4="Board program (Medicine)",
IF(OR(AND(AJ$5&gt;0,AJ$5&gt;100),AND(AJ$5&gt;0,AJ$5&lt;100)),
VLOOKUP(FLOOR((Midterm!AJ46/AJ$5)*100,1),new_transmute,4,FALSE),
VLOOKUP(Midterm!AJ46,new_transmute,4,FALSE)
),
""
)
)
)
)
)
)
)
)
))</f>
        <v/>
      </c>
      <c r="AK46" s="59" t="str">
        <f t="shared" si="6"/>
        <v/>
      </c>
      <c r="AL46" s="60" t="str">
        <f>IF(B46="", "",
    IF(OR(M46="OVER", S46="OVER", Y46="OVER", AE46="OVER", AK46="OVER"),
        "OVER",
        IF(Info!$B$4="Non-board program",
            VLOOKUP(IFERROR(FLOOR(SUM((M46*$M$4), (S46*$S$4), (Y46*$Y$4), (AE46*$AE$4), (AK46*$AK$4)) * (100 / 60), 1), 0), new_transmute, 2, FALSE),
            IF(Info!$B$4="Board program",
                VLOOKUP(IFERROR(FLOOR(SUM((M46*$M$4), (S46*$S$4), (Y46*$Y$4), (AE46*$AE$4), (AK46*$AK$4)) * (100 / 60), 1), 0), new_transmute, 3, FALSE),
                IF(Info!$B$4="Board program (Medicine)",
                    VLOOKUP(IFERROR(FLOOR(SUM((M46*$M$4), (S46*$S$4), (Y46*$Y$4), (AE46*$AE$4), (AK46*$AK$4)) * (100 / 60), 1), 0), new_transmute, 4, FALSE),
                    ""
                )
            )
        )
    )
)</f>
        <v/>
      </c>
      <c r="AM46" s="14" t="str">
        <f>IF($B46="","",
IF(AM$5="","",
IF(Midterm!AM46="",0,
IF(NOT(ISNUMBER(Midterm!AM46)),"NAN",
IF(Midterm!AM46&lt;0,"NEG",
IF(Midterm!AM46&gt;AM$5,"OVER",
IF(AND(AM$5&lt;=100,Midterm!AM46&gt;100),"ERR",
IF(Info!$B$4="Non-board program",
IF(OR(AND(AM$5&gt;0,AM$5&gt;100),AND(AM$5&gt;0,AM$5&lt;100)),
VLOOKUP(FLOOR((Midterm!AM46/AM$5)*100,1),new_transmute,2,FALSE),
VLOOKUP(Midterm!AM46,new_transmute,2,FALSE)
),
IF(Info!$B$4="Board program",
IF(OR(AND(AM$5&gt;0,AM$5&gt;100),AND(AM$5&gt;0,AM$5&lt;100)),
VLOOKUP(FLOOR((Midterm!AM46/AM$5)*100,1),new_transmute,3,FALSE),
VLOOKUP(Midterm!AM46,new_transmute,3,FALSE)
),
IF(Info!$B$4="Board program (Medicine)",
IF(OR(AND(AM$5&gt;0,AM$5&gt;100),AND(AM$5&gt;0,AM$5&lt;100)),
VLOOKUP(FLOOR((Midterm!AM46/AM$5)*100,1),new_transmute,4,FALSE),
VLOOKUP(Midterm!AM46,new_transmute,4,FALSE)
),
""
)
)
)
)
)
)
)
)
))</f>
        <v/>
      </c>
      <c r="AN46" s="14" t="str">
        <f>IF($B46="","",
IF(AN$5="","",
IF(Midterm!AN46="",0,
IF(NOT(ISNUMBER(Midterm!AN46)),"NAN",
IF(Midterm!AN46&lt;0,"NEG",
IF(Midterm!AN46&gt;AN$5,"OVER",
IF(AND(AN$5&lt;=100,Midterm!AN46&gt;100),"ERR",
IF(Info!$B$4="Non-board program",
IF(OR(AND(AN$5&gt;0,AN$5&gt;100),AND(AN$5&gt;0,AN$5&lt;100)),
VLOOKUP(FLOOR((Midterm!AN46/AN$5)*100,1),new_transmute,2,FALSE),
VLOOKUP(Midterm!AN46,new_transmute,2,FALSE)
),
IF(Info!$B$4="Board program",
IF(OR(AND(AN$5&gt;0,AN$5&gt;100),AND(AN$5&gt;0,AN$5&lt;100)),
VLOOKUP(FLOOR((Midterm!AN46/AN$5)*100,1),new_transmute,3,FALSE),
VLOOKUP(Midterm!AN46,new_transmute,3,FALSE)
),
IF(Info!$B$4="Board program (Medicine)",
IF(OR(AND(AN$5&gt;0,AN$5&gt;100),AND(AN$5&gt;0,AN$5&lt;100)),
VLOOKUP(FLOOR((Midterm!AN46/AN$5)*100,1),new_transmute,4,FALSE),
VLOOKUP(Midterm!AN46,new_transmute,4,FALSE)
),
""
)
)
)
)
)
)
)
)
))</f>
        <v/>
      </c>
      <c r="AO46" s="14" t="str">
        <f>IF($B46="","",
IF(AO$5="","",
IF(Midterm!AO46="",0,
IF(NOT(ISNUMBER(Midterm!AO46)),"NAN",
IF(Midterm!AO46&lt;0,"NEG",
IF(Midterm!AO46&gt;AO$5,"OVER",
IF(AND(AO$5&lt;=100,Midterm!AO46&gt;100),"ERR",
IF(Info!$B$4="Non-board program",
IF(OR(AND(AO$5&gt;0,AO$5&gt;100),AND(AO$5&gt;0,AO$5&lt;100)),
VLOOKUP(FLOOR((Midterm!AO46/AO$5)*100,1),new_transmute,2,FALSE),
VLOOKUP(Midterm!AO46,new_transmute,2,FALSE)
),
IF(Info!$B$4="Board program",
IF(OR(AND(AO$5&gt;0,AO$5&gt;100),AND(AO$5&gt;0,AO$5&lt;100)),
VLOOKUP(FLOOR((Midterm!AO46/AO$5)*100,1),new_transmute,3,FALSE),
VLOOKUP(Midterm!AO46,new_transmute,3,FALSE)
),
IF(Info!$B$4="Board program (Medicine)",
IF(OR(AND(AO$5&gt;0,AO$5&gt;100),AND(AO$5&gt;0,AO$5&lt;100)),
VLOOKUP(FLOOR((Midterm!AO46/AO$5)*100,1),new_transmute,4,FALSE),
VLOOKUP(Midterm!AO46,new_transmute,4,FALSE)
),
""
)
)
)
)
)
)
)
)
))</f>
        <v/>
      </c>
      <c r="AP46" s="14" t="str">
        <f>IF($B46="","",
IF(AP$5="","",
IF(Midterm!AP46="",0,
IF(NOT(ISNUMBER(Midterm!AP46)),"NAN",
IF(Midterm!AP46&lt;0,"NEG",
IF(Midterm!AP46&gt;AP$5,"OVER",
IF(AND(AP$5&lt;=100,Midterm!AP46&gt;100),"ERR",
IF(Info!$B$4="Non-board program",
IF(OR(AND(AP$5&gt;0,AP$5&gt;100),AND(AP$5&gt;0,AP$5&lt;100)),
VLOOKUP(FLOOR((Midterm!AP46/AP$5)*100,1),new_transmute,2,FALSE),
VLOOKUP(Midterm!AP46,new_transmute,2,FALSE)
),
IF(Info!$B$4="Board program",
IF(OR(AND(AP$5&gt;0,AP$5&gt;100),AND(AP$5&gt;0,AP$5&lt;100)),
VLOOKUP(FLOOR((Midterm!AP46/AP$5)*100,1),new_transmute,3,FALSE),
VLOOKUP(Midterm!AP46,new_transmute,3,FALSE)
),
IF(Info!$B$4="Board program (Medicine)",
IF(OR(AND(AP$5&gt;0,AP$5&gt;100),AND(AP$5&gt;0,AP$5&lt;100)),
VLOOKUP(FLOOR((Midterm!AP46/AP$5)*100,1),new_transmute,4,FALSE),
VLOOKUP(Midterm!AP46,new_transmute,4,FALSE)
),
""
)
)
)
)
)
)
)
)
))</f>
        <v/>
      </c>
      <c r="AQ46" s="61" t="str">
        <f t="shared" si="7"/>
        <v/>
      </c>
      <c r="AR46" s="48" t="str">
        <f>IF(Midterm!AR46="","",Midterm!AR46)</f>
        <v/>
      </c>
      <c r="AS46" s="165" t="str">
        <f t="shared" si="8"/>
        <v/>
      </c>
      <c r="AT46" s="14" t="str">
        <f t="shared" si="9"/>
        <v/>
      </c>
      <c r="AU46" s="14" t="str">
        <f>IF(B46="","",VLOOKUP(AT46,'New Grade Equivalent'!$B$3:$C$47,2,FALSE))</f>
        <v/>
      </c>
    </row>
    <row r="47" spans="1:47" x14ac:dyDescent="0.25">
      <c r="A47" s="8">
        <v>42</v>
      </c>
      <c r="B47" s="2" t="str">
        <f>IF('Student List'!C51="","",UPPER(LEFT('Student List'!C51,FIND(",",'Student List'!C51)-1)))</f>
        <v/>
      </c>
      <c r="C47" s="12" t="str">
        <f>IF('Student List'!C51="","",PROPER(MID('Student List'!C51, FIND(",", 'Student List'!C51) + 2, LEN('Student List'!C51) - FIND(",", 'Student List'!C51) - 1)))</f>
        <v/>
      </c>
      <c r="D47" s="127" t="str">
        <f>IF(B47="","",IF(Midterm!D47="", "NA", Midterm!D47))</f>
        <v/>
      </c>
      <c r="E47" s="8" t="str">
        <f>IF(B47="","",
  IF(Info!$B$5="First Year",
    IF(D47="Yes", "DRP",
      IF(D47="No", "WF", "")
    )
  )
)</f>
        <v/>
      </c>
      <c r="F47" s="14" t="str">
        <f>IF($B47="","",
IF(F$5="","",
IF(Midterm!F47="",0,
IF(NOT(ISNUMBER(Midterm!F47)),"NAN",
IF(Midterm!F47&lt;0,"NEG",
IF(Midterm!F47&gt;F$5,"OVER",
IF(AND(F$5&lt;=100,Midterm!F47&gt;100),"ERR",
IF(Info!$B$4="Non-board program",
IF(OR(AND(F$5&gt;0,F$5&gt;100),AND(F$5&gt;0,F$5&lt;100)),
VLOOKUP(FLOOR((Midterm!F47/F$5)*100,1),new_transmute,2,FALSE),
VLOOKUP(Midterm!F47,new_transmute,2,FALSE)
),
IF(Info!$B$4="Board program",
IF(OR(AND(F$5&gt;0,F$5&gt;100),AND(F$5&gt;0,F$5&lt;100)),
VLOOKUP(FLOOR((Midterm!F47/F$5)*100,1),new_transmute,3,FALSE),
VLOOKUP(Midterm!F47,new_transmute,3,FALSE)
),
IF(Info!$B$4="Board program (Medicine)",
IF(OR(AND(F$5&gt;0,F$5&gt;100),AND(F$5&gt;0,F$5&lt;100)),
VLOOKUP(FLOOR((Midterm!F47/F$5)*100,1),new_transmute,4,FALSE),
VLOOKUP(Midterm!F47,new_transmute,4,FALSE)
),
""
)
)
)
)
)
)
)
)
))</f>
        <v/>
      </c>
      <c r="G47" s="57" t="str">
        <f t="shared" si="1"/>
        <v/>
      </c>
      <c r="H47" s="14" t="str">
        <f>IF($B47="","",
IF(H$5="","",
IF(Midterm!H47="",0,
IF(NOT(ISNUMBER(Midterm!H47)),"NAN",
IF(Midterm!H47&lt;0,"NEG",
IF(Midterm!H47&gt;H$5,"OVER",
IF(AND(H$5&lt;=100,Midterm!H47&gt;100),"ERR",
IF(Info!$B$4="Non-board program",
IF(OR(AND(H$5&gt;0,H$5&gt;100),AND(H$5&gt;0,H$5&lt;100)),
VLOOKUP(FLOOR((Midterm!H47/H$5)*100,1),new_transmute,2,FALSE),
VLOOKUP(Midterm!H47,new_transmute,2,FALSE)
),
IF(Info!$B$4="Board program",
IF(OR(AND(H$5&gt;0,H$5&gt;100),AND(H$5&gt;0,H$5&lt;100)),
VLOOKUP(FLOOR((Midterm!H47/H$5)*100,1),new_transmute,3,FALSE),
VLOOKUP(Midterm!H47,new_transmute,3,FALSE)
),
IF(Info!$B$4="Board program (Medicine)",
IF(OR(AND(H$5&gt;0,H$5&gt;100),AND(H$5&gt;0,H$5&lt;100)),
VLOOKUP(FLOOR((Midterm!H47/H$5)*100,1),new_transmute,4,FALSE),
VLOOKUP(Midterm!H47,new_transmute,4,FALSE)
),
""
)
)
)
)
)
)
)
)
))</f>
        <v/>
      </c>
      <c r="I47" s="14" t="str">
        <f>IF($B47="","",
IF(I$5="","",
IF(Midterm!I47="",0,
IF(NOT(ISNUMBER(Midterm!I47)),"NAN",
IF(Midterm!I47&lt;0,"NEG",
IF(Midterm!I47&gt;I$5,"OVER",
IF(AND(I$5&lt;=100,Midterm!I47&gt;100),"ERR",
IF(Info!$B$4="Non-board program",
IF(OR(AND(I$5&gt;0,I$5&gt;100),AND(I$5&gt;0,I$5&lt;100)),
VLOOKUP(FLOOR((Midterm!I47/I$5)*100,1),new_transmute,2,FALSE),
VLOOKUP(Midterm!I47,new_transmute,2,FALSE)
),
IF(Info!$B$4="Board program",
IF(OR(AND(I$5&gt;0,I$5&gt;100),AND(I$5&gt;0,I$5&lt;100)),
VLOOKUP(FLOOR((Midterm!I47/I$5)*100,1),new_transmute,3,FALSE),
VLOOKUP(Midterm!I47,new_transmute,3,FALSE)
),
IF(Info!$B$4="Board program (Medicine)",
IF(OR(AND(I$5&gt;0,I$5&gt;100),AND(I$5&gt;0,I$5&lt;100)),
VLOOKUP(FLOOR((Midterm!I47/I$5)*100,1),new_transmute,4,FALSE),
VLOOKUP(Midterm!I47,new_transmute,4,FALSE)
),
""
)
)
)
)
)
)
)
)
))</f>
        <v/>
      </c>
      <c r="J47" s="14" t="str">
        <f>IF($B47="","",
IF(J$5="","",
IF(Midterm!J47="",0,
IF(NOT(ISNUMBER(Midterm!J47)),"NAN",
IF(Midterm!J47&lt;0,"NEG",
IF(Midterm!J47&gt;J$5,"OVER",
IF(AND(J$5&lt;=100,Midterm!J47&gt;100),"ERR",
IF(Info!$B$4="Non-board program",
IF(OR(AND(J$5&gt;0,J$5&gt;100),AND(J$5&gt;0,J$5&lt;100)),
VLOOKUP(FLOOR((Midterm!J47/J$5)*100,1),new_transmute,2,FALSE),
VLOOKUP(Midterm!J47,new_transmute,2,FALSE)
),
IF(Info!$B$4="Board program",
IF(OR(AND(J$5&gt;0,J$5&gt;100),AND(J$5&gt;0,J$5&lt;100)),
VLOOKUP(FLOOR((Midterm!J47/J$5)*100,1),new_transmute,3,FALSE),
VLOOKUP(Midterm!J47,new_transmute,3,FALSE)
),
IF(Info!$B$4="Board program (Medicine)",
IF(OR(AND(J$5&gt;0,J$5&gt;100),AND(J$5&gt;0,J$5&lt;100)),
VLOOKUP(FLOOR((Midterm!J47/J$5)*100,1),new_transmute,4,FALSE),
VLOOKUP(Midterm!J47,new_transmute,4,FALSE)
),
""
)
)
)
)
)
)
)
)
))</f>
        <v/>
      </c>
      <c r="K47" s="14" t="str">
        <f>IF($B47="","",
IF(K$5="","",
IF(Midterm!K47="",0,
IF(NOT(ISNUMBER(Midterm!K47)),"NAN",
IF(Midterm!K47&lt;0,"NEG",
IF(Midterm!K47&gt;K$5,"OVER",
IF(AND(K$5&lt;=100,Midterm!K47&gt;100),"ERR",
IF(Info!$B$4="Non-board program",
IF(OR(AND(K$5&gt;0,K$5&gt;100),AND(K$5&gt;0,K$5&lt;100)),
VLOOKUP(FLOOR((Midterm!K47/K$5)*100,1),new_transmute,2,FALSE),
VLOOKUP(Midterm!K47,new_transmute,2,FALSE)
),
IF(Info!$B$4="Board program",
IF(OR(AND(K$5&gt;0,K$5&gt;100),AND(K$5&gt;0,K$5&lt;100)),
VLOOKUP(FLOOR((Midterm!K47/K$5)*100,1),new_transmute,3,FALSE),
VLOOKUP(Midterm!K47,new_transmute,3,FALSE)
),
IF(Info!$B$4="Board program (Medicine)",
IF(OR(AND(K$5&gt;0,K$5&gt;100),AND(K$5&gt;0,K$5&lt;100)),
VLOOKUP(FLOOR((Midterm!K47/K$5)*100,1),new_transmute,4,FALSE),
VLOOKUP(Midterm!K47,new_transmute,4,FALSE)
),
""
)
)
)
)
)
)
)
)
))</f>
        <v/>
      </c>
      <c r="L47" s="14" t="str">
        <f>IF($B47="","",
IF(L$5="","",
IF(Midterm!L47="",0,
IF(NOT(ISNUMBER(Midterm!L47)),"NAN",
IF(Midterm!L47&lt;0,"NEG",
IF(Midterm!L47&gt;L$5,"OVER",
IF(AND(L$5&lt;=100,Midterm!L47&gt;100),"ERR",
IF(Info!$B$4="Non-board program",
IF(OR(AND(L$5&gt;0,L$5&gt;100),AND(L$5&gt;0,L$5&lt;100)),
VLOOKUP(FLOOR((Midterm!L47/L$5)*100,1),new_transmute,2,FALSE),
VLOOKUP(Midterm!L47,new_transmute,2,FALSE)
),
IF(Info!$B$4="Board program",
IF(OR(AND(L$5&gt;0,L$5&gt;100),AND(L$5&gt;0,L$5&lt;100)),
VLOOKUP(FLOOR((Midterm!L47/L$5)*100,1),new_transmute,3,FALSE),
VLOOKUP(Midterm!L47,new_transmute,3,FALSE)
),
IF(Info!$B$4="Board program (Medicine)",
IF(OR(AND(L$5&gt;0,L$5&gt;100),AND(L$5&gt;0,L$5&lt;100)),
VLOOKUP(FLOOR((Midterm!L47/L$5)*100,1),new_transmute,4,FALSE),
VLOOKUP(Midterm!L47,new_transmute,4,FALSE)
),
""
)
)
)
)
)
)
)
)
))</f>
        <v/>
      </c>
      <c r="M47" s="111" t="str">
        <f t="shared" si="2"/>
        <v/>
      </c>
      <c r="N47" s="14" t="str">
        <f>IF($B47="","",
IF(N$5="","",
IF(Midterm!N47="",0,
IF(NOT(ISNUMBER(Midterm!N47)),"NAN",
IF(Midterm!N47&lt;0,"NEG",
IF(Midterm!N47&gt;N$5,"OVER",
IF(AND(N$5&lt;=100,Midterm!N47&gt;100),"ERR",
IF(Info!$B$4="Non-board program",
IF(OR(AND(N$5&gt;0,N$5&gt;100),AND(N$5&gt;0,N$5&lt;100)),
VLOOKUP(FLOOR((Midterm!N47/N$5)*100,1),new_transmute,2,FALSE),
VLOOKUP(Midterm!N47,new_transmute,2,FALSE)
),
IF(Info!$B$4="Board program",
IF(OR(AND(N$5&gt;0,N$5&gt;100),AND(N$5&gt;0,N$5&lt;100)),
VLOOKUP(FLOOR((Midterm!N47/N$5)*100,1),new_transmute,3,FALSE),
VLOOKUP(Midterm!N47,new_transmute,3,FALSE)
),
IF(Info!$B$4="Board program (Medicine)",
IF(OR(AND(N$5&gt;0,N$5&gt;100),AND(N$5&gt;0,N$5&lt;100)),
VLOOKUP(FLOOR((Midterm!N47/N$5)*100,1),new_transmute,4,FALSE),
VLOOKUP(Midterm!N47,new_transmute,4,FALSE)
),
""
)
)
)
)
)
)
)
)
))</f>
        <v/>
      </c>
      <c r="O47" s="14" t="str">
        <f>IF($B47="","",
IF(O$5="","",
IF(Midterm!O47="",0,
IF(NOT(ISNUMBER(Midterm!O47)),"NAN",
IF(Midterm!O47&lt;0,"NEG",
IF(Midterm!O47&gt;O$5,"OVER",
IF(AND(O$5&lt;=100,Midterm!O47&gt;100),"ERR",
IF(Info!$B$4="Non-board program",
IF(OR(AND(O$5&gt;0,O$5&gt;100),AND(O$5&gt;0,O$5&lt;100)),
VLOOKUP(FLOOR((Midterm!O47/O$5)*100,1),new_transmute,2,FALSE),
VLOOKUP(Midterm!O47,new_transmute,2,FALSE)
),
IF(Info!$B$4="Board program",
IF(OR(AND(O$5&gt;0,O$5&gt;100),AND(O$5&gt;0,O$5&lt;100)),
VLOOKUP(FLOOR((Midterm!O47/O$5)*100,1),new_transmute,3,FALSE),
VLOOKUP(Midterm!O47,new_transmute,3,FALSE)
),
IF(Info!$B$4="Board program (Medicine)",
IF(OR(AND(O$5&gt;0,O$5&gt;100),AND(O$5&gt;0,O$5&lt;100)),
VLOOKUP(FLOOR((Midterm!O47/O$5)*100,1),new_transmute,4,FALSE),
VLOOKUP(Midterm!O47,new_transmute,4,FALSE)
),
""
)
)
)
)
)
)
)
)
))</f>
        <v/>
      </c>
      <c r="P47" s="14" t="str">
        <f>IF($B47="","",
IF(P$5="","",
IF(Midterm!P47="",0,
IF(NOT(ISNUMBER(Midterm!P47)),"NAN",
IF(Midterm!P47&lt;0,"NEG",
IF(Midterm!P47&gt;P$5,"OVER",
IF(AND(P$5&lt;=100,Midterm!P47&gt;100),"ERR",
IF(Info!$B$4="Non-board program",
IF(OR(AND(P$5&gt;0,P$5&gt;100),AND(P$5&gt;0,P$5&lt;100)),
VLOOKUP(FLOOR((Midterm!P47/P$5)*100,1),new_transmute,2,FALSE),
VLOOKUP(Midterm!P47,new_transmute,2,FALSE)
),
IF(Info!$B$4="Board program",
IF(OR(AND(P$5&gt;0,P$5&gt;100),AND(P$5&gt;0,P$5&lt;100)),
VLOOKUP(FLOOR((Midterm!P47/P$5)*100,1),new_transmute,3,FALSE),
VLOOKUP(Midterm!P47,new_transmute,3,FALSE)
),
IF(Info!$B$4="Board program (Medicine)",
IF(OR(AND(P$5&gt;0,P$5&gt;100),AND(P$5&gt;0,P$5&lt;100)),
VLOOKUP(FLOOR((Midterm!P47/P$5)*100,1),new_transmute,4,FALSE),
VLOOKUP(Midterm!P47,new_transmute,4,FALSE)
),
""
)
)
)
)
)
)
)
)
))</f>
        <v/>
      </c>
      <c r="Q47" s="14" t="str">
        <f>IF($B47="","",
IF(Q$5="","",
IF(Midterm!Q47="",0,
IF(NOT(ISNUMBER(Midterm!Q47)),"NAN",
IF(Midterm!Q47&lt;0,"NEG",
IF(Midterm!Q47&gt;Q$5,"OVER",
IF(AND(Q$5&lt;=100,Midterm!Q47&gt;100),"ERR",
IF(Info!$B$4="Non-board program",
IF(OR(AND(Q$5&gt;0,Q$5&gt;100),AND(Q$5&gt;0,Q$5&lt;100)),
VLOOKUP(FLOOR((Midterm!Q47/Q$5)*100,1),new_transmute,2,FALSE),
VLOOKUP(Midterm!Q47,new_transmute,2,FALSE)
),
IF(Info!$B$4="Board program",
IF(OR(AND(Q$5&gt;0,Q$5&gt;100),AND(Q$5&gt;0,Q$5&lt;100)),
VLOOKUP(FLOOR((Midterm!Q47/Q$5)*100,1),new_transmute,3,FALSE),
VLOOKUP(Midterm!Q47,new_transmute,3,FALSE)
),
IF(Info!$B$4="Board program (Medicine)",
IF(OR(AND(Q$5&gt;0,Q$5&gt;100),AND(Q$5&gt;0,Q$5&lt;100)),
VLOOKUP(FLOOR((Midterm!Q47/Q$5)*100,1),new_transmute,4,FALSE),
VLOOKUP(Midterm!Q47,new_transmute,4,FALSE)
),
""
)
)
)
)
)
)
)
)
))</f>
        <v/>
      </c>
      <c r="R47" s="14" t="str">
        <f>IF($B47="","",
IF(R$5="","",
IF(Midterm!R47="",0,
IF(NOT(ISNUMBER(Midterm!R47)),"NAN",
IF(Midterm!R47&lt;0,"NEG",
IF(Midterm!R47&gt;R$5,"OVER",
IF(AND(R$5&lt;=100,Midterm!R47&gt;100),"ERR",
IF(Info!$B$4="Non-board program",
IF(OR(AND(R$5&gt;0,R$5&gt;100),AND(R$5&gt;0,R$5&lt;100)),
VLOOKUP(FLOOR((Midterm!R47/R$5)*100,1),new_transmute,2,FALSE),
VLOOKUP(Midterm!R47,new_transmute,2,FALSE)
),
IF(Info!$B$4="Board program",
IF(OR(AND(R$5&gt;0,R$5&gt;100),AND(R$5&gt;0,R$5&lt;100)),
VLOOKUP(FLOOR((Midterm!R47/R$5)*100,1),new_transmute,3,FALSE),
VLOOKUP(Midterm!R47,new_transmute,3,FALSE)
),
IF(Info!$B$4="Board program (Medicine)",
IF(OR(AND(R$5&gt;0,R$5&gt;100),AND(R$5&gt;0,R$5&lt;100)),
VLOOKUP(FLOOR((Midterm!R47/R$5)*100,1),new_transmute,4,FALSE),
VLOOKUP(Midterm!R47,new_transmute,4,FALSE)
),
""
)
)
)
)
)
)
)
)
))</f>
        <v/>
      </c>
      <c r="S47" s="115" t="str">
        <f t="shared" si="3"/>
        <v/>
      </c>
      <c r="T47" s="14" t="str">
        <f>IF($B47="","",
IF(T$5="","",
IF(Midterm!T47="",0,
IF(NOT(ISNUMBER(Midterm!T47)),"NAN",
IF(Midterm!T47&lt;0,"NEG",
IF(Midterm!T47&gt;T$5,"OVER",
IF(AND(T$5&lt;=100,Midterm!T47&gt;100),"ERR",
IF(Info!$B$4="Non-board program",
IF(OR(AND(T$5&gt;0,T$5&gt;100),AND(T$5&gt;0,T$5&lt;100)),
VLOOKUP(FLOOR((Midterm!T47/T$5)*100,1),new_transmute,2,FALSE),
VLOOKUP(Midterm!T47,new_transmute,2,FALSE)
),
IF(Info!$B$4="Board program",
IF(OR(AND(T$5&gt;0,T$5&gt;100),AND(T$5&gt;0,T$5&lt;100)),
VLOOKUP(FLOOR((Midterm!T47/T$5)*100,1),new_transmute,3,FALSE),
VLOOKUP(Midterm!T47,new_transmute,3,FALSE)
),
IF(Info!$B$4="Board program (Medicine)",
IF(OR(AND(T$5&gt;0,T$5&gt;100),AND(T$5&gt;0,T$5&lt;100)),
VLOOKUP(FLOOR((Midterm!T47/T$5)*100,1),new_transmute,4,FALSE),
VLOOKUP(Midterm!T47,new_transmute,4,FALSE)
),
""
)
)
)
)
)
)
)
)
))</f>
        <v/>
      </c>
      <c r="U47" s="14" t="str">
        <f>IF($B47="","",
IF(U$5="","",
IF(Midterm!U47="",0,
IF(NOT(ISNUMBER(Midterm!U47)),"NAN",
IF(Midterm!U47&lt;0,"NEG",
IF(Midterm!U47&gt;U$5,"OVER",
IF(AND(U$5&lt;=100,Midterm!U47&gt;100),"ERR",
IF(Info!$B$4="Non-board program",
IF(OR(AND(U$5&gt;0,U$5&gt;100),AND(U$5&gt;0,U$5&lt;100)),
VLOOKUP(FLOOR((Midterm!U47/U$5)*100,1),new_transmute,2,FALSE),
VLOOKUP(Midterm!U47,new_transmute,2,FALSE)
),
IF(Info!$B$4="Board program",
IF(OR(AND(U$5&gt;0,U$5&gt;100),AND(U$5&gt;0,U$5&lt;100)),
VLOOKUP(FLOOR((Midterm!U47/U$5)*100,1),new_transmute,3,FALSE),
VLOOKUP(Midterm!U47,new_transmute,3,FALSE)
),
IF(Info!$B$4="Board program (Medicine)",
IF(OR(AND(U$5&gt;0,U$5&gt;100),AND(U$5&gt;0,U$5&lt;100)),
VLOOKUP(FLOOR((Midterm!U47/U$5)*100,1),new_transmute,4,FALSE),
VLOOKUP(Midterm!U47,new_transmute,4,FALSE)
),
""
)
)
)
)
)
)
)
)
))</f>
        <v/>
      </c>
      <c r="V47" s="14" t="str">
        <f>IF($B47="","",
IF(V$5="","",
IF(Midterm!V47="",0,
IF(NOT(ISNUMBER(Midterm!V47)),"NAN",
IF(Midterm!V47&lt;0,"NEG",
IF(Midterm!V47&gt;V$5,"OVER",
IF(AND(V$5&lt;=100,Midterm!V47&gt;100),"ERR",
IF(Info!$B$4="Non-board program",
IF(OR(AND(V$5&gt;0,V$5&gt;100),AND(V$5&gt;0,V$5&lt;100)),
VLOOKUP(FLOOR((Midterm!V47/V$5)*100,1),new_transmute,2,FALSE),
VLOOKUP(Midterm!V47,new_transmute,2,FALSE)
),
IF(Info!$B$4="Board program",
IF(OR(AND(V$5&gt;0,V$5&gt;100),AND(V$5&gt;0,V$5&lt;100)),
VLOOKUP(FLOOR((Midterm!V47/V$5)*100,1),new_transmute,3,FALSE),
VLOOKUP(Midterm!V47,new_transmute,3,FALSE)
),
IF(Info!$B$4="Board program (Medicine)",
IF(OR(AND(V$5&gt;0,V$5&gt;100),AND(V$5&gt;0,V$5&lt;100)),
VLOOKUP(FLOOR((Midterm!V47/V$5)*100,1),new_transmute,4,FALSE),
VLOOKUP(Midterm!V47,new_transmute,4,FALSE)
),
""
)
)
)
)
)
)
)
)
))</f>
        <v/>
      </c>
      <c r="W47" s="14" t="str">
        <f>IF($B47="","",
IF(W$5="","",
IF(Midterm!W47="",0,
IF(NOT(ISNUMBER(Midterm!W47)),"NAN",
IF(Midterm!W47&lt;0,"NEG",
IF(Midterm!W47&gt;W$5,"OVER",
IF(AND(W$5&lt;=100,Midterm!W47&gt;100),"ERR",
IF(Info!$B$4="Non-board program",
IF(OR(AND(W$5&gt;0,W$5&gt;100),AND(W$5&gt;0,W$5&lt;100)),
VLOOKUP(FLOOR((Midterm!W47/W$5)*100,1),new_transmute,2,FALSE),
VLOOKUP(Midterm!W47,new_transmute,2,FALSE)
),
IF(Info!$B$4="Board program",
IF(OR(AND(W$5&gt;0,W$5&gt;100),AND(W$5&gt;0,W$5&lt;100)),
VLOOKUP(FLOOR((Midterm!W47/W$5)*100,1),new_transmute,3,FALSE),
VLOOKUP(Midterm!W47,new_transmute,3,FALSE)
),
IF(Info!$B$4="Board program (Medicine)",
IF(OR(AND(W$5&gt;0,W$5&gt;100),AND(W$5&gt;0,W$5&lt;100)),
VLOOKUP(FLOOR((Midterm!W47/W$5)*100,1),new_transmute,4,FALSE),
VLOOKUP(Midterm!W47,new_transmute,4,FALSE)
),
""
)
)
)
)
)
)
)
)
))</f>
        <v/>
      </c>
      <c r="X47" s="14" t="str">
        <f>IF($B47="","",
IF(X$5="","",
IF(Midterm!X47="",0,
IF(NOT(ISNUMBER(Midterm!X47)),"NAN",
IF(Midterm!X47&lt;0,"NEG",
IF(Midterm!X47&gt;X$5,"OVER",
IF(AND(X$5&lt;=100,Midterm!X47&gt;100),"ERR",
IF(Info!$B$4="Non-board program",
IF(OR(AND(X$5&gt;0,X$5&gt;100),AND(X$5&gt;0,X$5&lt;100)),
VLOOKUP(FLOOR((Midterm!X47/X$5)*100,1),new_transmute,2,FALSE),
VLOOKUP(Midterm!X47,new_transmute,2,FALSE)
),
IF(Info!$B$4="Board program",
IF(OR(AND(X$5&gt;0,X$5&gt;100),AND(X$5&gt;0,X$5&lt;100)),
VLOOKUP(FLOOR((Midterm!X47/X$5)*100,1),new_transmute,3,FALSE),
VLOOKUP(Midterm!X47,new_transmute,3,FALSE)
),
IF(Info!$B$4="Board program (Medicine)",
IF(OR(AND(X$5&gt;0,X$5&gt;100),AND(X$5&gt;0,X$5&lt;100)),
VLOOKUP(FLOOR((Midterm!X47/X$5)*100,1),new_transmute,4,FALSE),
VLOOKUP(Midterm!X47,new_transmute,4,FALSE)
),
""
)
)
)
)
)
)
)
)
))</f>
        <v/>
      </c>
      <c r="Y47" s="112" t="str">
        <f t="shared" si="4"/>
        <v/>
      </c>
      <c r="Z47" s="14" t="str">
        <f>IF($B47="","",
IF(Z$5="","",
IF(Midterm!Z47="",0,
IF(NOT(ISNUMBER(Midterm!Z47)),"NAN",
IF(Midterm!Z47&lt;0,"NEG",
IF(Midterm!Z47&gt;Z$5,"OVER",
IF(AND(Z$5&lt;=100,Midterm!Z47&gt;100),"ERR",
IF(Info!$B$4="Non-board program",
IF(OR(AND(Z$5&gt;0,Z$5&gt;100),AND(Z$5&gt;0,Z$5&lt;100)),
VLOOKUP(FLOOR((Midterm!Z47/Z$5)*100,1),new_transmute,2,FALSE),
VLOOKUP(Midterm!Z47,new_transmute,2,FALSE)
),
IF(Info!$B$4="Board program",
IF(OR(AND(Z$5&gt;0,Z$5&gt;100),AND(Z$5&gt;0,Z$5&lt;100)),
VLOOKUP(FLOOR((Midterm!Z47/Z$5)*100,1),new_transmute,3,FALSE),
VLOOKUP(Midterm!Z47,new_transmute,3,FALSE)
),
IF(Info!$B$4="Board program (Medicine)",
IF(OR(AND(Z$5&gt;0,Z$5&gt;100),AND(Z$5&gt;0,Z$5&lt;100)),
VLOOKUP(FLOOR((Midterm!Z47/Z$5)*100,1),new_transmute,4,FALSE),
VLOOKUP(Midterm!Z47,new_transmute,4,FALSE)
),
""
)
)
)
)
)
)
)
)
))</f>
        <v/>
      </c>
      <c r="AA47" s="14" t="str">
        <f>IF($B47="","",
IF(AA$5="","",
IF(Midterm!AA47="",0,
IF(NOT(ISNUMBER(Midterm!AA47)),"NAN",
IF(Midterm!AA47&lt;0,"NEG",
IF(Midterm!AA47&gt;AA$5,"OVER",
IF(AND(AA$5&lt;=100,Midterm!AA47&gt;100),"ERR",
IF(Info!$B$4="Non-board program",
IF(OR(AND(AA$5&gt;0,AA$5&gt;100),AND(AA$5&gt;0,AA$5&lt;100)),
VLOOKUP(FLOOR((Midterm!AA47/AA$5)*100,1),new_transmute,2,FALSE),
VLOOKUP(Midterm!AA47,new_transmute,2,FALSE)
),
IF(Info!$B$4="Board program",
IF(OR(AND(AA$5&gt;0,AA$5&gt;100),AND(AA$5&gt;0,AA$5&lt;100)),
VLOOKUP(FLOOR((Midterm!AA47/AA$5)*100,1),new_transmute,3,FALSE),
VLOOKUP(Midterm!AA47,new_transmute,3,FALSE)
),
IF(Info!$B$4="Board program (Medicine)",
IF(OR(AND(AA$5&gt;0,AA$5&gt;100),AND(AA$5&gt;0,AA$5&lt;100)),
VLOOKUP(FLOOR((Midterm!AA47/AA$5)*100,1),new_transmute,4,FALSE),
VLOOKUP(Midterm!AA47,new_transmute,4,FALSE)
),
""
)
)
)
)
)
)
)
)
))</f>
        <v/>
      </c>
      <c r="AB47" s="14" t="str">
        <f>IF($B47="","",
IF(AB$5="","",
IF(Midterm!AB47="",0,
IF(NOT(ISNUMBER(Midterm!AB47)),"NAN",
IF(Midterm!AB47&lt;0,"NEG",
IF(Midterm!AB47&gt;AB$5,"OVER",
IF(AND(AB$5&lt;=100,Midterm!AB47&gt;100),"ERR",
IF(Info!$B$4="Non-board program",
IF(OR(AND(AB$5&gt;0,AB$5&gt;100),AND(AB$5&gt;0,AB$5&lt;100)),
VLOOKUP(FLOOR((Midterm!AB47/AB$5)*100,1),new_transmute,2,FALSE),
VLOOKUP(Midterm!AB47,new_transmute,2,FALSE)
),
IF(Info!$B$4="Board program",
IF(OR(AND(AB$5&gt;0,AB$5&gt;100),AND(AB$5&gt;0,AB$5&lt;100)),
VLOOKUP(FLOOR((Midterm!AB47/AB$5)*100,1),new_transmute,3,FALSE),
VLOOKUP(Midterm!AB47,new_transmute,3,FALSE)
),
IF(Info!$B$4="Board program (Medicine)",
IF(OR(AND(AB$5&gt;0,AB$5&gt;100),AND(AB$5&gt;0,AB$5&lt;100)),
VLOOKUP(FLOOR((Midterm!AB47/AB$5)*100,1),new_transmute,4,FALSE),
VLOOKUP(Midterm!AB47,new_transmute,4,FALSE)
),
""
)
)
)
)
)
)
)
)
))</f>
        <v/>
      </c>
      <c r="AC47" s="14" t="str">
        <f>IF($B47="","",
IF(AC$5="","",
IF(Midterm!AC47="",0,
IF(NOT(ISNUMBER(Midterm!AC47)),"NAN",
IF(Midterm!AC47&lt;0,"NEG",
IF(Midterm!AC47&gt;AC$5,"OVER",
IF(AND(AC$5&lt;=100,Midterm!AC47&gt;100),"ERR",
IF(Info!$B$4="Non-board program",
IF(OR(AND(AC$5&gt;0,AC$5&gt;100),AND(AC$5&gt;0,AC$5&lt;100)),
VLOOKUP(FLOOR((Midterm!AC47/AC$5)*100,1),new_transmute,2,FALSE),
VLOOKUP(Midterm!AC47,new_transmute,2,FALSE)
),
IF(Info!$B$4="Board program",
IF(OR(AND(AC$5&gt;0,AC$5&gt;100),AND(AC$5&gt;0,AC$5&lt;100)),
VLOOKUP(FLOOR((Midterm!AC47/AC$5)*100,1),new_transmute,3,FALSE),
VLOOKUP(Midterm!AC47,new_transmute,3,FALSE)
),
IF(Info!$B$4="Board program (Medicine)",
IF(OR(AND(AC$5&gt;0,AC$5&gt;100),AND(AC$5&gt;0,AC$5&lt;100)),
VLOOKUP(FLOOR((Midterm!AC47/AC$5)*100,1),new_transmute,4,FALSE),
VLOOKUP(Midterm!AC47,new_transmute,4,FALSE)
),
""
)
)
)
)
)
)
)
)
))</f>
        <v/>
      </c>
      <c r="AD47" s="14" t="str">
        <f>IF($B47="","",
IF(AD$5="","",
IF(Midterm!AD47="",0,
IF(NOT(ISNUMBER(Midterm!AD47)),"NAN",
IF(Midterm!AD47&lt;0,"NEG",
IF(Midterm!AD47&gt;AD$5,"OVER",
IF(AND(AD$5&lt;=100,Midterm!AD47&gt;100),"ERR",
IF(Info!$B$4="Non-board program",
IF(OR(AND(AD$5&gt;0,AD$5&gt;100),AND(AD$5&gt;0,AD$5&lt;100)),
VLOOKUP(FLOOR((Midterm!AD47/AD$5)*100,1),new_transmute,2,FALSE),
VLOOKUP(Midterm!AD47,new_transmute,2,FALSE)
),
IF(Info!$B$4="Board program",
IF(OR(AND(AD$5&gt;0,AD$5&gt;100),AND(AD$5&gt;0,AD$5&lt;100)),
VLOOKUP(FLOOR((Midterm!AD47/AD$5)*100,1),new_transmute,3,FALSE),
VLOOKUP(Midterm!AD47,new_transmute,3,FALSE)
),
IF(Info!$B$4="Board program (Medicine)",
IF(OR(AND(AD$5&gt;0,AD$5&gt;100),AND(AD$5&gt;0,AD$5&lt;100)),
VLOOKUP(FLOOR((Midterm!AD47/AD$5)*100,1),new_transmute,4,FALSE),
VLOOKUP(Midterm!AD47,new_transmute,4,FALSE)
),
""
)
)
)
)
)
)
)
)
))</f>
        <v/>
      </c>
      <c r="AE47" s="58" t="str">
        <f t="shared" si="5"/>
        <v/>
      </c>
      <c r="AF47" s="14" t="str">
        <f>IF($B47="","",
IF(AF$5="","",
IF(Midterm!AF47="",0,
IF(NOT(ISNUMBER(Midterm!AF47)),"NAN",
IF(Midterm!AF47&lt;0,"NEG",
IF(Midterm!AF47&gt;AF$5,"OVER",
IF(AND(AF$5&lt;=100,Midterm!AF47&gt;100),"ERR",
IF(Info!$B$4="Non-board program",
IF(OR(AND(AF$5&gt;0,AF$5&gt;100),AND(AF$5&gt;0,AF$5&lt;100)),
VLOOKUP(FLOOR((Midterm!AF47/AF$5)*100,1),new_transmute,2,FALSE),
VLOOKUP(Midterm!AF47,new_transmute,2,FALSE)
),
IF(Info!$B$4="Board program",
IF(OR(AND(AF$5&gt;0,AF$5&gt;100),AND(AF$5&gt;0,AF$5&lt;100)),
VLOOKUP(FLOOR((Midterm!AF47/AF$5)*100,1),new_transmute,3,FALSE),
VLOOKUP(Midterm!AF47,new_transmute,3,FALSE)
),
IF(Info!$B$4="Board program (Medicine)",
IF(OR(AND(AF$5&gt;0,AF$5&gt;100),AND(AF$5&gt;0,AF$5&lt;100)),
VLOOKUP(FLOOR((Midterm!AF47/AF$5)*100,1),new_transmute,4,FALSE),
VLOOKUP(Midterm!AF47,new_transmute,4,FALSE)
),
""
)
)
)
)
)
)
)
)
))</f>
        <v/>
      </c>
      <c r="AG47" s="14" t="str">
        <f>IF($B47="","",
IF(AG$5="","",
IF(Midterm!AG47="",0,
IF(NOT(ISNUMBER(Midterm!AG47)),"NAN",
IF(Midterm!AG47&lt;0,"NEG",
IF(Midterm!AG47&gt;AG$5,"OVER",
IF(AND(AG$5&lt;=100,Midterm!AG47&gt;100),"ERR",
IF(Info!$B$4="Non-board program",
IF(OR(AND(AG$5&gt;0,AG$5&gt;100),AND(AG$5&gt;0,AG$5&lt;100)),
VLOOKUP(FLOOR((Midterm!AG47/AG$5)*100,1),new_transmute,2,FALSE),
VLOOKUP(Midterm!AG47,new_transmute,2,FALSE)
),
IF(Info!$B$4="Board program",
IF(OR(AND(AG$5&gt;0,AG$5&gt;100),AND(AG$5&gt;0,AG$5&lt;100)),
VLOOKUP(FLOOR((Midterm!AG47/AG$5)*100,1),new_transmute,3,FALSE),
VLOOKUP(Midterm!AG47,new_transmute,3,FALSE)
),
IF(Info!$B$4="Board program (Medicine)",
IF(OR(AND(AG$5&gt;0,AG$5&gt;100),AND(AG$5&gt;0,AG$5&lt;100)),
VLOOKUP(FLOOR((Midterm!AG47/AG$5)*100,1),new_transmute,4,FALSE),
VLOOKUP(Midterm!AG47,new_transmute,4,FALSE)
),
""
)
)
)
)
)
)
)
)
))</f>
        <v/>
      </c>
      <c r="AH47" s="14" t="str">
        <f>IF($B47="","",
IF(AH$5="","",
IF(Midterm!AH47="",0,
IF(NOT(ISNUMBER(Midterm!AH47)),"NAN",
IF(Midterm!AH47&lt;0,"NEG",
IF(Midterm!AH47&gt;AH$5,"OVER",
IF(AND(AH$5&lt;=100,Midterm!AH47&gt;100),"ERR",
IF(Info!$B$4="Non-board program",
IF(OR(AND(AH$5&gt;0,AH$5&gt;100),AND(AH$5&gt;0,AH$5&lt;100)),
VLOOKUP(FLOOR((Midterm!AH47/AH$5)*100,1),new_transmute,2,FALSE),
VLOOKUP(Midterm!AH47,new_transmute,2,FALSE)
),
IF(Info!$B$4="Board program",
IF(OR(AND(AH$5&gt;0,AH$5&gt;100),AND(AH$5&gt;0,AH$5&lt;100)),
VLOOKUP(FLOOR((Midterm!AH47/AH$5)*100,1),new_transmute,3,FALSE),
VLOOKUP(Midterm!AH47,new_transmute,3,FALSE)
),
IF(Info!$B$4="Board program (Medicine)",
IF(OR(AND(AH$5&gt;0,AH$5&gt;100),AND(AH$5&gt;0,AH$5&lt;100)),
VLOOKUP(FLOOR((Midterm!AH47/AH$5)*100,1),new_transmute,4,FALSE),
VLOOKUP(Midterm!AH47,new_transmute,4,FALSE)
),
""
)
)
)
)
)
)
)
)
))</f>
        <v/>
      </c>
      <c r="AI47" s="14" t="str">
        <f>IF($B47="","",
IF(AI$5="","",
IF(Midterm!AI47="",0,
IF(NOT(ISNUMBER(Midterm!AI47)),"NAN",
IF(Midterm!AI47&lt;0,"NEG",
IF(Midterm!AI47&gt;AI$5,"OVER",
IF(AND(AI$5&lt;=100,Midterm!AI47&gt;100),"ERR",
IF(Info!$B$4="Non-board program",
IF(OR(AND(AI$5&gt;0,AI$5&gt;100),AND(AI$5&gt;0,AI$5&lt;100)),
VLOOKUP(FLOOR((Midterm!AI47/AI$5)*100,1),new_transmute,2,FALSE),
VLOOKUP(Midterm!AI47,new_transmute,2,FALSE)
),
IF(Info!$B$4="Board program",
IF(OR(AND(AI$5&gt;0,AI$5&gt;100),AND(AI$5&gt;0,AI$5&lt;100)),
VLOOKUP(FLOOR((Midterm!AI47/AI$5)*100,1),new_transmute,3,FALSE),
VLOOKUP(Midterm!AI47,new_transmute,3,FALSE)
),
IF(Info!$B$4="Board program (Medicine)",
IF(OR(AND(AI$5&gt;0,AI$5&gt;100),AND(AI$5&gt;0,AI$5&lt;100)),
VLOOKUP(FLOOR((Midterm!AI47/AI$5)*100,1),new_transmute,4,FALSE),
VLOOKUP(Midterm!AI47,new_transmute,4,FALSE)
),
""
)
)
)
)
)
)
)
)
))</f>
        <v/>
      </c>
      <c r="AJ47" s="14" t="str">
        <f>IF($B47="","",
IF(AJ$5="","",
IF(Midterm!AJ47="",0,
IF(NOT(ISNUMBER(Midterm!AJ47)),"NAN",
IF(Midterm!AJ47&lt;0,"NEG",
IF(Midterm!AJ47&gt;AJ$5,"OVER",
IF(AND(AJ$5&lt;=100,Midterm!AJ47&gt;100),"ERR",
IF(Info!$B$4="Non-board program",
IF(OR(AND(AJ$5&gt;0,AJ$5&gt;100),AND(AJ$5&gt;0,AJ$5&lt;100)),
VLOOKUP(FLOOR((Midterm!AJ47/AJ$5)*100,1),new_transmute,2,FALSE),
VLOOKUP(Midterm!AJ47,new_transmute,2,FALSE)
),
IF(Info!$B$4="Board program",
IF(OR(AND(AJ$5&gt;0,AJ$5&gt;100),AND(AJ$5&gt;0,AJ$5&lt;100)),
VLOOKUP(FLOOR((Midterm!AJ47/AJ$5)*100,1),new_transmute,3,FALSE),
VLOOKUP(Midterm!AJ47,new_transmute,3,FALSE)
),
IF(Info!$B$4="Board program (Medicine)",
IF(OR(AND(AJ$5&gt;0,AJ$5&gt;100),AND(AJ$5&gt;0,AJ$5&lt;100)),
VLOOKUP(FLOOR((Midterm!AJ47/AJ$5)*100,1),new_transmute,4,FALSE),
VLOOKUP(Midterm!AJ47,new_transmute,4,FALSE)
),
""
)
)
)
)
)
)
)
)
))</f>
        <v/>
      </c>
      <c r="AK47" s="59" t="str">
        <f t="shared" si="6"/>
        <v/>
      </c>
      <c r="AL47" s="60" t="str">
        <f>IF(B47="", "",
    IF(OR(M47="OVER", S47="OVER", Y47="OVER", AE47="OVER", AK47="OVER"),
        "OVER",
        IF(Info!$B$4="Non-board program",
            VLOOKUP(IFERROR(FLOOR(SUM((M47*$M$4), (S47*$S$4), (Y47*$Y$4), (AE47*$AE$4), (AK47*$AK$4)) * (100 / 60), 1), 0), new_transmute, 2, FALSE),
            IF(Info!$B$4="Board program",
                VLOOKUP(IFERROR(FLOOR(SUM((M47*$M$4), (S47*$S$4), (Y47*$Y$4), (AE47*$AE$4), (AK47*$AK$4)) * (100 / 60), 1), 0), new_transmute, 3, FALSE),
                IF(Info!$B$4="Board program (Medicine)",
                    VLOOKUP(IFERROR(FLOOR(SUM((M47*$M$4), (S47*$S$4), (Y47*$Y$4), (AE47*$AE$4), (AK47*$AK$4)) * (100 / 60), 1), 0), new_transmute, 4, FALSE),
                    ""
                )
            )
        )
    )
)</f>
        <v/>
      </c>
      <c r="AM47" s="14" t="str">
        <f>IF($B47="","",
IF(AM$5="","",
IF(Midterm!AM47="",0,
IF(NOT(ISNUMBER(Midterm!AM47)),"NAN",
IF(Midterm!AM47&lt;0,"NEG",
IF(Midterm!AM47&gt;AM$5,"OVER",
IF(AND(AM$5&lt;=100,Midterm!AM47&gt;100),"ERR",
IF(Info!$B$4="Non-board program",
IF(OR(AND(AM$5&gt;0,AM$5&gt;100),AND(AM$5&gt;0,AM$5&lt;100)),
VLOOKUP(FLOOR((Midterm!AM47/AM$5)*100,1),new_transmute,2,FALSE),
VLOOKUP(Midterm!AM47,new_transmute,2,FALSE)
),
IF(Info!$B$4="Board program",
IF(OR(AND(AM$5&gt;0,AM$5&gt;100),AND(AM$5&gt;0,AM$5&lt;100)),
VLOOKUP(FLOOR((Midterm!AM47/AM$5)*100,1),new_transmute,3,FALSE),
VLOOKUP(Midterm!AM47,new_transmute,3,FALSE)
),
IF(Info!$B$4="Board program (Medicine)",
IF(OR(AND(AM$5&gt;0,AM$5&gt;100),AND(AM$5&gt;0,AM$5&lt;100)),
VLOOKUP(FLOOR((Midterm!AM47/AM$5)*100,1),new_transmute,4,FALSE),
VLOOKUP(Midterm!AM47,new_transmute,4,FALSE)
),
""
)
)
)
)
)
)
)
)
))</f>
        <v/>
      </c>
      <c r="AN47" s="14" t="str">
        <f>IF($B47="","",
IF(AN$5="","",
IF(Midterm!AN47="",0,
IF(NOT(ISNUMBER(Midterm!AN47)),"NAN",
IF(Midterm!AN47&lt;0,"NEG",
IF(Midterm!AN47&gt;AN$5,"OVER",
IF(AND(AN$5&lt;=100,Midterm!AN47&gt;100),"ERR",
IF(Info!$B$4="Non-board program",
IF(OR(AND(AN$5&gt;0,AN$5&gt;100),AND(AN$5&gt;0,AN$5&lt;100)),
VLOOKUP(FLOOR((Midterm!AN47/AN$5)*100,1),new_transmute,2,FALSE),
VLOOKUP(Midterm!AN47,new_transmute,2,FALSE)
),
IF(Info!$B$4="Board program",
IF(OR(AND(AN$5&gt;0,AN$5&gt;100),AND(AN$5&gt;0,AN$5&lt;100)),
VLOOKUP(FLOOR((Midterm!AN47/AN$5)*100,1),new_transmute,3,FALSE),
VLOOKUP(Midterm!AN47,new_transmute,3,FALSE)
),
IF(Info!$B$4="Board program (Medicine)",
IF(OR(AND(AN$5&gt;0,AN$5&gt;100),AND(AN$5&gt;0,AN$5&lt;100)),
VLOOKUP(FLOOR((Midterm!AN47/AN$5)*100,1),new_transmute,4,FALSE),
VLOOKUP(Midterm!AN47,new_transmute,4,FALSE)
),
""
)
)
)
)
)
)
)
)
))</f>
        <v/>
      </c>
      <c r="AO47" s="14" t="str">
        <f>IF($B47="","",
IF(AO$5="","",
IF(Midterm!AO47="",0,
IF(NOT(ISNUMBER(Midterm!AO47)),"NAN",
IF(Midterm!AO47&lt;0,"NEG",
IF(Midterm!AO47&gt;AO$5,"OVER",
IF(AND(AO$5&lt;=100,Midterm!AO47&gt;100),"ERR",
IF(Info!$B$4="Non-board program",
IF(OR(AND(AO$5&gt;0,AO$5&gt;100),AND(AO$5&gt;0,AO$5&lt;100)),
VLOOKUP(FLOOR((Midterm!AO47/AO$5)*100,1),new_transmute,2,FALSE),
VLOOKUP(Midterm!AO47,new_transmute,2,FALSE)
),
IF(Info!$B$4="Board program",
IF(OR(AND(AO$5&gt;0,AO$5&gt;100),AND(AO$5&gt;0,AO$5&lt;100)),
VLOOKUP(FLOOR((Midterm!AO47/AO$5)*100,1),new_transmute,3,FALSE),
VLOOKUP(Midterm!AO47,new_transmute,3,FALSE)
),
IF(Info!$B$4="Board program (Medicine)",
IF(OR(AND(AO$5&gt;0,AO$5&gt;100),AND(AO$5&gt;0,AO$5&lt;100)),
VLOOKUP(FLOOR((Midterm!AO47/AO$5)*100,1),new_transmute,4,FALSE),
VLOOKUP(Midterm!AO47,new_transmute,4,FALSE)
),
""
)
)
)
)
)
)
)
)
))</f>
        <v/>
      </c>
      <c r="AP47" s="14" t="str">
        <f>IF($B47="","",
IF(AP$5="","",
IF(Midterm!AP47="",0,
IF(NOT(ISNUMBER(Midterm!AP47)),"NAN",
IF(Midterm!AP47&lt;0,"NEG",
IF(Midterm!AP47&gt;AP$5,"OVER",
IF(AND(AP$5&lt;=100,Midterm!AP47&gt;100),"ERR",
IF(Info!$B$4="Non-board program",
IF(OR(AND(AP$5&gt;0,AP$5&gt;100),AND(AP$5&gt;0,AP$5&lt;100)),
VLOOKUP(FLOOR((Midterm!AP47/AP$5)*100,1),new_transmute,2,FALSE),
VLOOKUP(Midterm!AP47,new_transmute,2,FALSE)
),
IF(Info!$B$4="Board program",
IF(OR(AND(AP$5&gt;0,AP$5&gt;100),AND(AP$5&gt;0,AP$5&lt;100)),
VLOOKUP(FLOOR((Midterm!AP47/AP$5)*100,1),new_transmute,3,FALSE),
VLOOKUP(Midterm!AP47,new_transmute,3,FALSE)
),
IF(Info!$B$4="Board program (Medicine)",
IF(OR(AND(AP$5&gt;0,AP$5&gt;100),AND(AP$5&gt;0,AP$5&lt;100)),
VLOOKUP(FLOOR((Midterm!AP47/AP$5)*100,1),new_transmute,4,FALSE),
VLOOKUP(Midterm!AP47,new_transmute,4,FALSE)
),
""
)
)
)
)
)
)
)
)
))</f>
        <v/>
      </c>
      <c r="AQ47" s="61" t="str">
        <f t="shared" si="7"/>
        <v/>
      </c>
      <c r="AR47" s="48" t="str">
        <f>IF(Midterm!AR47="","",Midterm!AR47)</f>
        <v/>
      </c>
      <c r="AS47" s="165" t="str">
        <f t="shared" si="8"/>
        <v/>
      </c>
      <c r="AT47" s="14" t="str">
        <f t="shared" si="9"/>
        <v/>
      </c>
      <c r="AU47" s="14" t="str">
        <f>IF(B47="","",VLOOKUP(AT47,'New Grade Equivalent'!$B$3:$C$47,2,FALSE))</f>
        <v/>
      </c>
    </row>
    <row r="48" spans="1:47" x14ac:dyDescent="0.25">
      <c r="A48" s="8">
        <v>43</v>
      </c>
      <c r="B48" s="2" t="str">
        <f>IF('Student List'!C52="","",UPPER(LEFT('Student List'!C52,FIND(",",'Student List'!C52)-1)))</f>
        <v/>
      </c>
      <c r="C48" s="12" t="str">
        <f>IF('Student List'!C52="","",PROPER(MID('Student List'!C52, FIND(",", 'Student List'!C52) + 2, LEN('Student List'!C52) - FIND(",", 'Student List'!C52) - 1)))</f>
        <v/>
      </c>
      <c r="D48" s="127" t="str">
        <f>IF(B48="","",IF(Midterm!D48="", "NA", Midterm!D48))</f>
        <v/>
      </c>
      <c r="E48" s="8" t="str">
        <f>IF(B48="","",
  IF(Info!$B$5="First Year",
    IF(D48="Yes", "DRP",
      IF(D48="No", "WF", "")
    )
  )
)</f>
        <v/>
      </c>
      <c r="F48" s="14" t="str">
        <f>IF($B48="","",
IF(F$5="","",
IF(Midterm!F48="",0,
IF(NOT(ISNUMBER(Midterm!F48)),"NAN",
IF(Midterm!F48&lt;0,"NEG",
IF(Midterm!F48&gt;F$5,"OVER",
IF(AND(F$5&lt;=100,Midterm!F48&gt;100),"ERR",
IF(Info!$B$4="Non-board program",
IF(OR(AND(F$5&gt;0,F$5&gt;100),AND(F$5&gt;0,F$5&lt;100)),
VLOOKUP(FLOOR((Midterm!F48/F$5)*100,1),new_transmute,2,FALSE),
VLOOKUP(Midterm!F48,new_transmute,2,FALSE)
),
IF(Info!$B$4="Board program",
IF(OR(AND(F$5&gt;0,F$5&gt;100),AND(F$5&gt;0,F$5&lt;100)),
VLOOKUP(FLOOR((Midterm!F48/F$5)*100,1),new_transmute,3,FALSE),
VLOOKUP(Midterm!F48,new_transmute,3,FALSE)
),
IF(Info!$B$4="Board program (Medicine)",
IF(OR(AND(F$5&gt;0,F$5&gt;100),AND(F$5&gt;0,F$5&lt;100)),
VLOOKUP(FLOOR((Midterm!F48/F$5)*100,1),new_transmute,4,FALSE),
VLOOKUP(Midterm!F48,new_transmute,4,FALSE)
),
""
)
)
)
)
)
)
)
)
))</f>
        <v/>
      </c>
      <c r="G48" s="57" t="str">
        <f t="shared" si="1"/>
        <v/>
      </c>
      <c r="H48" s="14" t="str">
        <f>IF($B48="","",
IF(H$5="","",
IF(Midterm!H48="",0,
IF(NOT(ISNUMBER(Midterm!H48)),"NAN",
IF(Midterm!H48&lt;0,"NEG",
IF(Midterm!H48&gt;H$5,"OVER",
IF(AND(H$5&lt;=100,Midterm!H48&gt;100),"ERR",
IF(Info!$B$4="Non-board program",
IF(OR(AND(H$5&gt;0,H$5&gt;100),AND(H$5&gt;0,H$5&lt;100)),
VLOOKUP(FLOOR((Midterm!H48/H$5)*100,1),new_transmute,2,FALSE),
VLOOKUP(Midterm!H48,new_transmute,2,FALSE)
),
IF(Info!$B$4="Board program",
IF(OR(AND(H$5&gt;0,H$5&gt;100),AND(H$5&gt;0,H$5&lt;100)),
VLOOKUP(FLOOR((Midterm!H48/H$5)*100,1),new_transmute,3,FALSE),
VLOOKUP(Midterm!H48,new_transmute,3,FALSE)
),
IF(Info!$B$4="Board program (Medicine)",
IF(OR(AND(H$5&gt;0,H$5&gt;100),AND(H$5&gt;0,H$5&lt;100)),
VLOOKUP(FLOOR((Midterm!H48/H$5)*100,1),new_transmute,4,FALSE),
VLOOKUP(Midterm!H48,new_transmute,4,FALSE)
),
""
)
)
)
)
)
)
)
)
))</f>
        <v/>
      </c>
      <c r="I48" s="14" t="str">
        <f>IF($B48="","",
IF(I$5="","",
IF(Midterm!I48="",0,
IF(NOT(ISNUMBER(Midterm!I48)),"NAN",
IF(Midterm!I48&lt;0,"NEG",
IF(Midterm!I48&gt;I$5,"OVER",
IF(AND(I$5&lt;=100,Midterm!I48&gt;100),"ERR",
IF(Info!$B$4="Non-board program",
IF(OR(AND(I$5&gt;0,I$5&gt;100),AND(I$5&gt;0,I$5&lt;100)),
VLOOKUP(FLOOR((Midterm!I48/I$5)*100,1),new_transmute,2,FALSE),
VLOOKUP(Midterm!I48,new_transmute,2,FALSE)
),
IF(Info!$B$4="Board program",
IF(OR(AND(I$5&gt;0,I$5&gt;100),AND(I$5&gt;0,I$5&lt;100)),
VLOOKUP(FLOOR((Midterm!I48/I$5)*100,1),new_transmute,3,FALSE),
VLOOKUP(Midterm!I48,new_transmute,3,FALSE)
),
IF(Info!$B$4="Board program (Medicine)",
IF(OR(AND(I$5&gt;0,I$5&gt;100),AND(I$5&gt;0,I$5&lt;100)),
VLOOKUP(FLOOR((Midterm!I48/I$5)*100,1),new_transmute,4,FALSE),
VLOOKUP(Midterm!I48,new_transmute,4,FALSE)
),
""
)
)
)
)
)
)
)
)
))</f>
        <v/>
      </c>
      <c r="J48" s="14" t="str">
        <f>IF($B48="","",
IF(J$5="","",
IF(Midterm!J48="",0,
IF(NOT(ISNUMBER(Midterm!J48)),"NAN",
IF(Midterm!J48&lt;0,"NEG",
IF(Midterm!J48&gt;J$5,"OVER",
IF(AND(J$5&lt;=100,Midterm!J48&gt;100),"ERR",
IF(Info!$B$4="Non-board program",
IF(OR(AND(J$5&gt;0,J$5&gt;100),AND(J$5&gt;0,J$5&lt;100)),
VLOOKUP(FLOOR((Midterm!J48/J$5)*100,1),new_transmute,2,FALSE),
VLOOKUP(Midterm!J48,new_transmute,2,FALSE)
),
IF(Info!$B$4="Board program",
IF(OR(AND(J$5&gt;0,J$5&gt;100),AND(J$5&gt;0,J$5&lt;100)),
VLOOKUP(FLOOR((Midterm!J48/J$5)*100,1),new_transmute,3,FALSE),
VLOOKUP(Midterm!J48,new_transmute,3,FALSE)
),
IF(Info!$B$4="Board program (Medicine)",
IF(OR(AND(J$5&gt;0,J$5&gt;100),AND(J$5&gt;0,J$5&lt;100)),
VLOOKUP(FLOOR((Midterm!J48/J$5)*100,1),new_transmute,4,FALSE),
VLOOKUP(Midterm!J48,new_transmute,4,FALSE)
),
""
)
)
)
)
)
)
)
)
))</f>
        <v/>
      </c>
      <c r="K48" s="14" t="str">
        <f>IF($B48="","",
IF(K$5="","",
IF(Midterm!K48="",0,
IF(NOT(ISNUMBER(Midterm!K48)),"NAN",
IF(Midterm!K48&lt;0,"NEG",
IF(Midterm!K48&gt;K$5,"OVER",
IF(AND(K$5&lt;=100,Midterm!K48&gt;100),"ERR",
IF(Info!$B$4="Non-board program",
IF(OR(AND(K$5&gt;0,K$5&gt;100),AND(K$5&gt;0,K$5&lt;100)),
VLOOKUP(FLOOR((Midterm!K48/K$5)*100,1),new_transmute,2,FALSE),
VLOOKUP(Midterm!K48,new_transmute,2,FALSE)
),
IF(Info!$B$4="Board program",
IF(OR(AND(K$5&gt;0,K$5&gt;100),AND(K$5&gt;0,K$5&lt;100)),
VLOOKUP(FLOOR((Midterm!K48/K$5)*100,1),new_transmute,3,FALSE),
VLOOKUP(Midterm!K48,new_transmute,3,FALSE)
),
IF(Info!$B$4="Board program (Medicine)",
IF(OR(AND(K$5&gt;0,K$5&gt;100),AND(K$5&gt;0,K$5&lt;100)),
VLOOKUP(FLOOR((Midterm!K48/K$5)*100,1),new_transmute,4,FALSE),
VLOOKUP(Midterm!K48,new_transmute,4,FALSE)
),
""
)
)
)
)
)
)
)
)
))</f>
        <v/>
      </c>
      <c r="L48" s="14" t="str">
        <f>IF($B48="","",
IF(L$5="","",
IF(Midterm!L48="",0,
IF(NOT(ISNUMBER(Midterm!L48)),"NAN",
IF(Midterm!L48&lt;0,"NEG",
IF(Midterm!L48&gt;L$5,"OVER",
IF(AND(L$5&lt;=100,Midterm!L48&gt;100),"ERR",
IF(Info!$B$4="Non-board program",
IF(OR(AND(L$5&gt;0,L$5&gt;100),AND(L$5&gt;0,L$5&lt;100)),
VLOOKUP(FLOOR((Midterm!L48/L$5)*100,1),new_transmute,2,FALSE),
VLOOKUP(Midterm!L48,new_transmute,2,FALSE)
),
IF(Info!$B$4="Board program",
IF(OR(AND(L$5&gt;0,L$5&gt;100),AND(L$5&gt;0,L$5&lt;100)),
VLOOKUP(FLOOR((Midterm!L48/L$5)*100,1),new_transmute,3,FALSE),
VLOOKUP(Midterm!L48,new_transmute,3,FALSE)
),
IF(Info!$B$4="Board program (Medicine)",
IF(OR(AND(L$5&gt;0,L$5&gt;100),AND(L$5&gt;0,L$5&lt;100)),
VLOOKUP(FLOOR((Midterm!L48/L$5)*100,1),new_transmute,4,FALSE),
VLOOKUP(Midterm!L48,new_transmute,4,FALSE)
),
""
)
)
)
)
)
)
)
)
))</f>
        <v/>
      </c>
      <c r="M48" s="111" t="str">
        <f t="shared" si="2"/>
        <v/>
      </c>
      <c r="N48" s="14" t="str">
        <f>IF($B48="","",
IF(N$5="","",
IF(Midterm!N48="",0,
IF(NOT(ISNUMBER(Midterm!N48)),"NAN",
IF(Midterm!N48&lt;0,"NEG",
IF(Midterm!N48&gt;N$5,"OVER",
IF(AND(N$5&lt;=100,Midterm!N48&gt;100),"ERR",
IF(Info!$B$4="Non-board program",
IF(OR(AND(N$5&gt;0,N$5&gt;100),AND(N$5&gt;0,N$5&lt;100)),
VLOOKUP(FLOOR((Midterm!N48/N$5)*100,1),new_transmute,2,FALSE),
VLOOKUP(Midterm!N48,new_transmute,2,FALSE)
),
IF(Info!$B$4="Board program",
IF(OR(AND(N$5&gt;0,N$5&gt;100),AND(N$5&gt;0,N$5&lt;100)),
VLOOKUP(FLOOR((Midterm!N48/N$5)*100,1),new_transmute,3,FALSE),
VLOOKUP(Midterm!N48,new_transmute,3,FALSE)
),
IF(Info!$B$4="Board program (Medicine)",
IF(OR(AND(N$5&gt;0,N$5&gt;100),AND(N$5&gt;0,N$5&lt;100)),
VLOOKUP(FLOOR((Midterm!N48/N$5)*100,1),new_transmute,4,FALSE),
VLOOKUP(Midterm!N48,new_transmute,4,FALSE)
),
""
)
)
)
)
)
)
)
)
))</f>
        <v/>
      </c>
      <c r="O48" s="14" t="str">
        <f>IF($B48="","",
IF(O$5="","",
IF(Midterm!O48="",0,
IF(NOT(ISNUMBER(Midterm!O48)),"NAN",
IF(Midterm!O48&lt;0,"NEG",
IF(Midterm!O48&gt;O$5,"OVER",
IF(AND(O$5&lt;=100,Midterm!O48&gt;100),"ERR",
IF(Info!$B$4="Non-board program",
IF(OR(AND(O$5&gt;0,O$5&gt;100),AND(O$5&gt;0,O$5&lt;100)),
VLOOKUP(FLOOR((Midterm!O48/O$5)*100,1),new_transmute,2,FALSE),
VLOOKUP(Midterm!O48,new_transmute,2,FALSE)
),
IF(Info!$B$4="Board program",
IF(OR(AND(O$5&gt;0,O$5&gt;100),AND(O$5&gt;0,O$5&lt;100)),
VLOOKUP(FLOOR((Midterm!O48/O$5)*100,1),new_transmute,3,FALSE),
VLOOKUP(Midterm!O48,new_transmute,3,FALSE)
),
IF(Info!$B$4="Board program (Medicine)",
IF(OR(AND(O$5&gt;0,O$5&gt;100),AND(O$5&gt;0,O$5&lt;100)),
VLOOKUP(FLOOR((Midterm!O48/O$5)*100,1),new_transmute,4,FALSE),
VLOOKUP(Midterm!O48,new_transmute,4,FALSE)
),
""
)
)
)
)
)
)
)
)
))</f>
        <v/>
      </c>
      <c r="P48" s="14" t="str">
        <f>IF($B48="","",
IF(P$5="","",
IF(Midterm!P48="",0,
IF(NOT(ISNUMBER(Midterm!P48)),"NAN",
IF(Midterm!P48&lt;0,"NEG",
IF(Midterm!P48&gt;P$5,"OVER",
IF(AND(P$5&lt;=100,Midterm!P48&gt;100),"ERR",
IF(Info!$B$4="Non-board program",
IF(OR(AND(P$5&gt;0,P$5&gt;100),AND(P$5&gt;0,P$5&lt;100)),
VLOOKUP(FLOOR((Midterm!P48/P$5)*100,1),new_transmute,2,FALSE),
VLOOKUP(Midterm!P48,new_transmute,2,FALSE)
),
IF(Info!$B$4="Board program",
IF(OR(AND(P$5&gt;0,P$5&gt;100),AND(P$5&gt;0,P$5&lt;100)),
VLOOKUP(FLOOR((Midterm!P48/P$5)*100,1),new_transmute,3,FALSE),
VLOOKUP(Midterm!P48,new_transmute,3,FALSE)
),
IF(Info!$B$4="Board program (Medicine)",
IF(OR(AND(P$5&gt;0,P$5&gt;100),AND(P$5&gt;0,P$5&lt;100)),
VLOOKUP(FLOOR((Midterm!P48/P$5)*100,1),new_transmute,4,FALSE),
VLOOKUP(Midterm!P48,new_transmute,4,FALSE)
),
""
)
)
)
)
)
)
)
)
))</f>
        <v/>
      </c>
      <c r="Q48" s="14" t="str">
        <f>IF($B48="","",
IF(Q$5="","",
IF(Midterm!Q48="",0,
IF(NOT(ISNUMBER(Midterm!Q48)),"NAN",
IF(Midterm!Q48&lt;0,"NEG",
IF(Midterm!Q48&gt;Q$5,"OVER",
IF(AND(Q$5&lt;=100,Midterm!Q48&gt;100),"ERR",
IF(Info!$B$4="Non-board program",
IF(OR(AND(Q$5&gt;0,Q$5&gt;100),AND(Q$5&gt;0,Q$5&lt;100)),
VLOOKUP(FLOOR((Midterm!Q48/Q$5)*100,1),new_transmute,2,FALSE),
VLOOKUP(Midterm!Q48,new_transmute,2,FALSE)
),
IF(Info!$B$4="Board program",
IF(OR(AND(Q$5&gt;0,Q$5&gt;100),AND(Q$5&gt;0,Q$5&lt;100)),
VLOOKUP(FLOOR((Midterm!Q48/Q$5)*100,1),new_transmute,3,FALSE),
VLOOKUP(Midterm!Q48,new_transmute,3,FALSE)
),
IF(Info!$B$4="Board program (Medicine)",
IF(OR(AND(Q$5&gt;0,Q$5&gt;100),AND(Q$5&gt;0,Q$5&lt;100)),
VLOOKUP(FLOOR((Midterm!Q48/Q$5)*100,1),new_transmute,4,FALSE),
VLOOKUP(Midterm!Q48,new_transmute,4,FALSE)
),
""
)
)
)
)
)
)
)
)
))</f>
        <v/>
      </c>
      <c r="R48" s="14" t="str">
        <f>IF($B48="","",
IF(R$5="","",
IF(Midterm!R48="",0,
IF(NOT(ISNUMBER(Midterm!R48)),"NAN",
IF(Midterm!R48&lt;0,"NEG",
IF(Midterm!R48&gt;R$5,"OVER",
IF(AND(R$5&lt;=100,Midterm!R48&gt;100),"ERR",
IF(Info!$B$4="Non-board program",
IF(OR(AND(R$5&gt;0,R$5&gt;100),AND(R$5&gt;0,R$5&lt;100)),
VLOOKUP(FLOOR((Midterm!R48/R$5)*100,1),new_transmute,2,FALSE),
VLOOKUP(Midterm!R48,new_transmute,2,FALSE)
),
IF(Info!$B$4="Board program",
IF(OR(AND(R$5&gt;0,R$5&gt;100),AND(R$5&gt;0,R$5&lt;100)),
VLOOKUP(FLOOR((Midterm!R48/R$5)*100,1),new_transmute,3,FALSE),
VLOOKUP(Midterm!R48,new_transmute,3,FALSE)
),
IF(Info!$B$4="Board program (Medicine)",
IF(OR(AND(R$5&gt;0,R$5&gt;100),AND(R$5&gt;0,R$5&lt;100)),
VLOOKUP(FLOOR((Midterm!R48/R$5)*100,1),new_transmute,4,FALSE),
VLOOKUP(Midterm!R48,new_transmute,4,FALSE)
),
""
)
)
)
)
)
)
)
)
))</f>
        <v/>
      </c>
      <c r="S48" s="115" t="str">
        <f t="shared" si="3"/>
        <v/>
      </c>
      <c r="T48" s="14" t="str">
        <f>IF($B48="","",
IF(T$5="","",
IF(Midterm!T48="",0,
IF(NOT(ISNUMBER(Midterm!T48)),"NAN",
IF(Midterm!T48&lt;0,"NEG",
IF(Midterm!T48&gt;T$5,"OVER",
IF(AND(T$5&lt;=100,Midterm!T48&gt;100),"ERR",
IF(Info!$B$4="Non-board program",
IF(OR(AND(T$5&gt;0,T$5&gt;100),AND(T$5&gt;0,T$5&lt;100)),
VLOOKUP(FLOOR((Midterm!T48/T$5)*100,1),new_transmute,2,FALSE),
VLOOKUP(Midterm!T48,new_transmute,2,FALSE)
),
IF(Info!$B$4="Board program",
IF(OR(AND(T$5&gt;0,T$5&gt;100),AND(T$5&gt;0,T$5&lt;100)),
VLOOKUP(FLOOR((Midterm!T48/T$5)*100,1),new_transmute,3,FALSE),
VLOOKUP(Midterm!T48,new_transmute,3,FALSE)
),
IF(Info!$B$4="Board program (Medicine)",
IF(OR(AND(T$5&gt;0,T$5&gt;100),AND(T$5&gt;0,T$5&lt;100)),
VLOOKUP(FLOOR((Midterm!T48/T$5)*100,1),new_transmute,4,FALSE),
VLOOKUP(Midterm!T48,new_transmute,4,FALSE)
),
""
)
)
)
)
)
)
)
)
))</f>
        <v/>
      </c>
      <c r="U48" s="14" t="str">
        <f>IF($B48="","",
IF(U$5="","",
IF(Midterm!U48="",0,
IF(NOT(ISNUMBER(Midterm!U48)),"NAN",
IF(Midterm!U48&lt;0,"NEG",
IF(Midterm!U48&gt;U$5,"OVER",
IF(AND(U$5&lt;=100,Midterm!U48&gt;100),"ERR",
IF(Info!$B$4="Non-board program",
IF(OR(AND(U$5&gt;0,U$5&gt;100),AND(U$5&gt;0,U$5&lt;100)),
VLOOKUP(FLOOR((Midterm!U48/U$5)*100,1),new_transmute,2,FALSE),
VLOOKUP(Midterm!U48,new_transmute,2,FALSE)
),
IF(Info!$B$4="Board program",
IF(OR(AND(U$5&gt;0,U$5&gt;100),AND(U$5&gt;0,U$5&lt;100)),
VLOOKUP(FLOOR((Midterm!U48/U$5)*100,1),new_transmute,3,FALSE),
VLOOKUP(Midterm!U48,new_transmute,3,FALSE)
),
IF(Info!$B$4="Board program (Medicine)",
IF(OR(AND(U$5&gt;0,U$5&gt;100),AND(U$5&gt;0,U$5&lt;100)),
VLOOKUP(FLOOR((Midterm!U48/U$5)*100,1),new_transmute,4,FALSE),
VLOOKUP(Midterm!U48,new_transmute,4,FALSE)
),
""
)
)
)
)
)
)
)
)
))</f>
        <v/>
      </c>
      <c r="V48" s="14" t="str">
        <f>IF($B48="","",
IF(V$5="","",
IF(Midterm!V48="",0,
IF(NOT(ISNUMBER(Midterm!V48)),"NAN",
IF(Midterm!V48&lt;0,"NEG",
IF(Midterm!V48&gt;V$5,"OVER",
IF(AND(V$5&lt;=100,Midterm!V48&gt;100),"ERR",
IF(Info!$B$4="Non-board program",
IF(OR(AND(V$5&gt;0,V$5&gt;100),AND(V$5&gt;0,V$5&lt;100)),
VLOOKUP(FLOOR((Midterm!V48/V$5)*100,1),new_transmute,2,FALSE),
VLOOKUP(Midterm!V48,new_transmute,2,FALSE)
),
IF(Info!$B$4="Board program",
IF(OR(AND(V$5&gt;0,V$5&gt;100),AND(V$5&gt;0,V$5&lt;100)),
VLOOKUP(FLOOR((Midterm!V48/V$5)*100,1),new_transmute,3,FALSE),
VLOOKUP(Midterm!V48,new_transmute,3,FALSE)
),
IF(Info!$B$4="Board program (Medicine)",
IF(OR(AND(V$5&gt;0,V$5&gt;100),AND(V$5&gt;0,V$5&lt;100)),
VLOOKUP(FLOOR((Midterm!V48/V$5)*100,1),new_transmute,4,FALSE),
VLOOKUP(Midterm!V48,new_transmute,4,FALSE)
),
""
)
)
)
)
)
)
)
)
))</f>
        <v/>
      </c>
      <c r="W48" s="14" t="str">
        <f>IF($B48="","",
IF(W$5="","",
IF(Midterm!W48="",0,
IF(NOT(ISNUMBER(Midterm!W48)),"NAN",
IF(Midterm!W48&lt;0,"NEG",
IF(Midterm!W48&gt;W$5,"OVER",
IF(AND(W$5&lt;=100,Midterm!W48&gt;100),"ERR",
IF(Info!$B$4="Non-board program",
IF(OR(AND(W$5&gt;0,W$5&gt;100),AND(W$5&gt;0,W$5&lt;100)),
VLOOKUP(FLOOR((Midterm!W48/W$5)*100,1),new_transmute,2,FALSE),
VLOOKUP(Midterm!W48,new_transmute,2,FALSE)
),
IF(Info!$B$4="Board program",
IF(OR(AND(W$5&gt;0,W$5&gt;100),AND(W$5&gt;0,W$5&lt;100)),
VLOOKUP(FLOOR((Midterm!W48/W$5)*100,1),new_transmute,3,FALSE),
VLOOKUP(Midterm!W48,new_transmute,3,FALSE)
),
IF(Info!$B$4="Board program (Medicine)",
IF(OR(AND(W$5&gt;0,W$5&gt;100),AND(W$5&gt;0,W$5&lt;100)),
VLOOKUP(FLOOR((Midterm!W48/W$5)*100,1),new_transmute,4,FALSE),
VLOOKUP(Midterm!W48,new_transmute,4,FALSE)
),
""
)
)
)
)
)
)
)
)
))</f>
        <v/>
      </c>
      <c r="X48" s="14" t="str">
        <f>IF($B48="","",
IF(X$5="","",
IF(Midterm!X48="",0,
IF(NOT(ISNUMBER(Midterm!X48)),"NAN",
IF(Midterm!X48&lt;0,"NEG",
IF(Midterm!X48&gt;X$5,"OVER",
IF(AND(X$5&lt;=100,Midterm!X48&gt;100),"ERR",
IF(Info!$B$4="Non-board program",
IF(OR(AND(X$5&gt;0,X$5&gt;100),AND(X$5&gt;0,X$5&lt;100)),
VLOOKUP(FLOOR((Midterm!X48/X$5)*100,1),new_transmute,2,FALSE),
VLOOKUP(Midterm!X48,new_transmute,2,FALSE)
),
IF(Info!$B$4="Board program",
IF(OR(AND(X$5&gt;0,X$5&gt;100),AND(X$5&gt;0,X$5&lt;100)),
VLOOKUP(FLOOR((Midterm!X48/X$5)*100,1),new_transmute,3,FALSE),
VLOOKUP(Midterm!X48,new_transmute,3,FALSE)
),
IF(Info!$B$4="Board program (Medicine)",
IF(OR(AND(X$5&gt;0,X$5&gt;100),AND(X$5&gt;0,X$5&lt;100)),
VLOOKUP(FLOOR((Midterm!X48/X$5)*100,1),new_transmute,4,FALSE),
VLOOKUP(Midterm!X48,new_transmute,4,FALSE)
),
""
)
)
)
)
)
)
)
)
))</f>
        <v/>
      </c>
      <c r="Y48" s="112" t="str">
        <f t="shared" si="4"/>
        <v/>
      </c>
      <c r="Z48" s="14" t="str">
        <f>IF($B48="","",
IF(Z$5="","",
IF(Midterm!Z48="",0,
IF(NOT(ISNUMBER(Midterm!Z48)),"NAN",
IF(Midterm!Z48&lt;0,"NEG",
IF(Midterm!Z48&gt;Z$5,"OVER",
IF(AND(Z$5&lt;=100,Midterm!Z48&gt;100),"ERR",
IF(Info!$B$4="Non-board program",
IF(OR(AND(Z$5&gt;0,Z$5&gt;100),AND(Z$5&gt;0,Z$5&lt;100)),
VLOOKUP(FLOOR((Midterm!Z48/Z$5)*100,1),new_transmute,2,FALSE),
VLOOKUP(Midterm!Z48,new_transmute,2,FALSE)
),
IF(Info!$B$4="Board program",
IF(OR(AND(Z$5&gt;0,Z$5&gt;100),AND(Z$5&gt;0,Z$5&lt;100)),
VLOOKUP(FLOOR((Midterm!Z48/Z$5)*100,1),new_transmute,3,FALSE),
VLOOKUP(Midterm!Z48,new_transmute,3,FALSE)
),
IF(Info!$B$4="Board program (Medicine)",
IF(OR(AND(Z$5&gt;0,Z$5&gt;100),AND(Z$5&gt;0,Z$5&lt;100)),
VLOOKUP(FLOOR((Midterm!Z48/Z$5)*100,1),new_transmute,4,FALSE),
VLOOKUP(Midterm!Z48,new_transmute,4,FALSE)
),
""
)
)
)
)
)
)
)
)
))</f>
        <v/>
      </c>
      <c r="AA48" s="14" t="str">
        <f>IF($B48="","",
IF(AA$5="","",
IF(Midterm!AA48="",0,
IF(NOT(ISNUMBER(Midterm!AA48)),"NAN",
IF(Midterm!AA48&lt;0,"NEG",
IF(Midterm!AA48&gt;AA$5,"OVER",
IF(AND(AA$5&lt;=100,Midterm!AA48&gt;100),"ERR",
IF(Info!$B$4="Non-board program",
IF(OR(AND(AA$5&gt;0,AA$5&gt;100),AND(AA$5&gt;0,AA$5&lt;100)),
VLOOKUP(FLOOR((Midterm!AA48/AA$5)*100,1),new_transmute,2,FALSE),
VLOOKUP(Midterm!AA48,new_transmute,2,FALSE)
),
IF(Info!$B$4="Board program",
IF(OR(AND(AA$5&gt;0,AA$5&gt;100),AND(AA$5&gt;0,AA$5&lt;100)),
VLOOKUP(FLOOR((Midterm!AA48/AA$5)*100,1),new_transmute,3,FALSE),
VLOOKUP(Midterm!AA48,new_transmute,3,FALSE)
),
IF(Info!$B$4="Board program (Medicine)",
IF(OR(AND(AA$5&gt;0,AA$5&gt;100),AND(AA$5&gt;0,AA$5&lt;100)),
VLOOKUP(FLOOR((Midterm!AA48/AA$5)*100,1),new_transmute,4,FALSE),
VLOOKUP(Midterm!AA48,new_transmute,4,FALSE)
),
""
)
)
)
)
)
)
)
)
))</f>
        <v/>
      </c>
      <c r="AB48" s="14" t="str">
        <f>IF($B48="","",
IF(AB$5="","",
IF(Midterm!AB48="",0,
IF(NOT(ISNUMBER(Midterm!AB48)),"NAN",
IF(Midterm!AB48&lt;0,"NEG",
IF(Midterm!AB48&gt;AB$5,"OVER",
IF(AND(AB$5&lt;=100,Midterm!AB48&gt;100),"ERR",
IF(Info!$B$4="Non-board program",
IF(OR(AND(AB$5&gt;0,AB$5&gt;100),AND(AB$5&gt;0,AB$5&lt;100)),
VLOOKUP(FLOOR((Midterm!AB48/AB$5)*100,1),new_transmute,2,FALSE),
VLOOKUP(Midterm!AB48,new_transmute,2,FALSE)
),
IF(Info!$B$4="Board program",
IF(OR(AND(AB$5&gt;0,AB$5&gt;100),AND(AB$5&gt;0,AB$5&lt;100)),
VLOOKUP(FLOOR((Midterm!AB48/AB$5)*100,1),new_transmute,3,FALSE),
VLOOKUP(Midterm!AB48,new_transmute,3,FALSE)
),
IF(Info!$B$4="Board program (Medicine)",
IF(OR(AND(AB$5&gt;0,AB$5&gt;100),AND(AB$5&gt;0,AB$5&lt;100)),
VLOOKUP(FLOOR((Midterm!AB48/AB$5)*100,1),new_transmute,4,FALSE),
VLOOKUP(Midterm!AB48,new_transmute,4,FALSE)
),
""
)
)
)
)
)
)
)
)
))</f>
        <v/>
      </c>
      <c r="AC48" s="14" t="str">
        <f>IF($B48="","",
IF(AC$5="","",
IF(Midterm!AC48="",0,
IF(NOT(ISNUMBER(Midterm!AC48)),"NAN",
IF(Midterm!AC48&lt;0,"NEG",
IF(Midterm!AC48&gt;AC$5,"OVER",
IF(AND(AC$5&lt;=100,Midterm!AC48&gt;100),"ERR",
IF(Info!$B$4="Non-board program",
IF(OR(AND(AC$5&gt;0,AC$5&gt;100),AND(AC$5&gt;0,AC$5&lt;100)),
VLOOKUP(FLOOR((Midterm!AC48/AC$5)*100,1),new_transmute,2,FALSE),
VLOOKUP(Midterm!AC48,new_transmute,2,FALSE)
),
IF(Info!$B$4="Board program",
IF(OR(AND(AC$5&gt;0,AC$5&gt;100),AND(AC$5&gt;0,AC$5&lt;100)),
VLOOKUP(FLOOR((Midterm!AC48/AC$5)*100,1),new_transmute,3,FALSE),
VLOOKUP(Midterm!AC48,new_transmute,3,FALSE)
),
IF(Info!$B$4="Board program (Medicine)",
IF(OR(AND(AC$5&gt;0,AC$5&gt;100),AND(AC$5&gt;0,AC$5&lt;100)),
VLOOKUP(FLOOR((Midterm!AC48/AC$5)*100,1),new_transmute,4,FALSE),
VLOOKUP(Midterm!AC48,new_transmute,4,FALSE)
),
""
)
)
)
)
)
)
)
)
))</f>
        <v/>
      </c>
      <c r="AD48" s="14" t="str">
        <f>IF($B48="","",
IF(AD$5="","",
IF(Midterm!AD48="",0,
IF(NOT(ISNUMBER(Midterm!AD48)),"NAN",
IF(Midterm!AD48&lt;0,"NEG",
IF(Midterm!AD48&gt;AD$5,"OVER",
IF(AND(AD$5&lt;=100,Midterm!AD48&gt;100),"ERR",
IF(Info!$B$4="Non-board program",
IF(OR(AND(AD$5&gt;0,AD$5&gt;100),AND(AD$5&gt;0,AD$5&lt;100)),
VLOOKUP(FLOOR((Midterm!AD48/AD$5)*100,1),new_transmute,2,FALSE),
VLOOKUP(Midterm!AD48,new_transmute,2,FALSE)
),
IF(Info!$B$4="Board program",
IF(OR(AND(AD$5&gt;0,AD$5&gt;100),AND(AD$5&gt;0,AD$5&lt;100)),
VLOOKUP(FLOOR((Midterm!AD48/AD$5)*100,1),new_transmute,3,FALSE),
VLOOKUP(Midterm!AD48,new_transmute,3,FALSE)
),
IF(Info!$B$4="Board program (Medicine)",
IF(OR(AND(AD$5&gt;0,AD$5&gt;100),AND(AD$5&gt;0,AD$5&lt;100)),
VLOOKUP(FLOOR((Midterm!AD48/AD$5)*100,1),new_transmute,4,FALSE),
VLOOKUP(Midterm!AD48,new_transmute,4,FALSE)
),
""
)
)
)
)
)
)
)
)
))</f>
        <v/>
      </c>
      <c r="AE48" s="58" t="str">
        <f t="shared" si="5"/>
        <v/>
      </c>
      <c r="AF48" s="14" t="str">
        <f>IF($B48="","",
IF(AF$5="","",
IF(Midterm!AF48="",0,
IF(NOT(ISNUMBER(Midterm!AF48)),"NAN",
IF(Midterm!AF48&lt;0,"NEG",
IF(Midterm!AF48&gt;AF$5,"OVER",
IF(AND(AF$5&lt;=100,Midterm!AF48&gt;100),"ERR",
IF(Info!$B$4="Non-board program",
IF(OR(AND(AF$5&gt;0,AF$5&gt;100),AND(AF$5&gt;0,AF$5&lt;100)),
VLOOKUP(FLOOR((Midterm!AF48/AF$5)*100,1),new_transmute,2,FALSE),
VLOOKUP(Midterm!AF48,new_transmute,2,FALSE)
),
IF(Info!$B$4="Board program",
IF(OR(AND(AF$5&gt;0,AF$5&gt;100),AND(AF$5&gt;0,AF$5&lt;100)),
VLOOKUP(FLOOR((Midterm!AF48/AF$5)*100,1),new_transmute,3,FALSE),
VLOOKUP(Midterm!AF48,new_transmute,3,FALSE)
),
IF(Info!$B$4="Board program (Medicine)",
IF(OR(AND(AF$5&gt;0,AF$5&gt;100),AND(AF$5&gt;0,AF$5&lt;100)),
VLOOKUP(FLOOR((Midterm!AF48/AF$5)*100,1),new_transmute,4,FALSE),
VLOOKUP(Midterm!AF48,new_transmute,4,FALSE)
),
""
)
)
)
)
)
)
)
)
))</f>
        <v/>
      </c>
      <c r="AG48" s="14" t="str">
        <f>IF($B48="","",
IF(AG$5="","",
IF(Midterm!AG48="",0,
IF(NOT(ISNUMBER(Midterm!AG48)),"NAN",
IF(Midterm!AG48&lt;0,"NEG",
IF(Midterm!AG48&gt;AG$5,"OVER",
IF(AND(AG$5&lt;=100,Midterm!AG48&gt;100),"ERR",
IF(Info!$B$4="Non-board program",
IF(OR(AND(AG$5&gt;0,AG$5&gt;100),AND(AG$5&gt;0,AG$5&lt;100)),
VLOOKUP(FLOOR((Midterm!AG48/AG$5)*100,1),new_transmute,2,FALSE),
VLOOKUP(Midterm!AG48,new_transmute,2,FALSE)
),
IF(Info!$B$4="Board program",
IF(OR(AND(AG$5&gt;0,AG$5&gt;100),AND(AG$5&gt;0,AG$5&lt;100)),
VLOOKUP(FLOOR((Midterm!AG48/AG$5)*100,1),new_transmute,3,FALSE),
VLOOKUP(Midterm!AG48,new_transmute,3,FALSE)
),
IF(Info!$B$4="Board program (Medicine)",
IF(OR(AND(AG$5&gt;0,AG$5&gt;100),AND(AG$5&gt;0,AG$5&lt;100)),
VLOOKUP(FLOOR((Midterm!AG48/AG$5)*100,1),new_transmute,4,FALSE),
VLOOKUP(Midterm!AG48,new_transmute,4,FALSE)
),
""
)
)
)
)
)
)
)
)
))</f>
        <v/>
      </c>
      <c r="AH48" s="14" t="str">
        <f>IF($B48="","",
IF(AH$5="","",
IF(Midterm!AH48="",0,
IF(NOT(ISNUMBER(Midterm!AH48)),"NAN",
IF(Midterm!AH48&lt;0,"NEG",
IF(Midterm!AH48&gt;AH$5,"OVER",
IF(AND(AH$5&lt;=100,Midterm!AH48&gt;100),"ERR",
IF(Info!$B$4="Non-board program",
IF(OR(AND(AH$5&gt;0,AH$5&gt;100),AND(AH$5&gt;0,AH$5&lt;100)),
VLOOKUP(FLOOR((Midterm!AH48/AH$5)*100,1),new_transmute,2,FALSE),
VLOOKUP(Midterm!AH48,new_transmute,2,FALSE)
),
IF(Info!$B$4="Board program",
IF(OR(AND(AH$5&gt;0,AH$5&gt;100),AND(AH$5&gt;0,AH$5&lt;100)),
VLOOKUP(FLOOR((Midterm!AH48/AH$5)*100,1),new_transmute,3,FALSE),
VLOOKUP(Midterm!AH48,new_transmute,3,FALSE)
),
IF(Info!$B$4="Board program (Medicine)",
IF(OR(AND(AH$5&gt;0,AH$5&gt;100),AND(AH$5&gt;0,AH$5&lt;100)),
VLOOKUP(FLOOR((Midterm!AH48/AH$5)*100,1),new_transmute,4,FALSE),
VLOOKUP(Midterm!AH48,new_transmute,4,FALSE)
),
""
)
)
)
)
)
)
)
)
))</f>
        <v/>
      </c>
      <c r="AI48" s="14" t="str">
        <f>IF($B48="","",
IF(AI$5="","",
IF(Midterm!AI48="",0,
IF(NOT(ISNUMBER(Midterm!AI48)),"NAN",
IF(Midterm!AI48&lt;0,"NEG",
IF(Midterm!AI48&gt;AI$5,"OVER",
IF(AND(AI$5&lt;=100,Midterm!AI48&gt;100),"ERR",
IF(Info!$B$4="Non-board program",
IF(OR(AND(AI$5&gt;0,AI$5&gt;100),AND(AI$5&gt;0,AI$5&lt;100)),
VLOOKUP(FLOOR((Midterm!AI48/AI$5)*100,1),new_transmute,2,FALSE),
VLOOKUP(Midterm!AI48,new_transmute,2,FALSE)
),
IF(Info!$B$4="Board program",
IF(OR(AND(AI$5&gt;0,AI$5&gt;100),AND(AI$5&gt;0,AI$5&lt;100)),
VLOOKUP(FLOOR((Midterm!AI48/AI$5)*100,1),new_transmute,3,FALSE),
VLOOKUP(Midterm!AI48,new_transmute,3,FALSE)
),
IF(Info!$B$4="Board program (Medicine)",
IF(OR(AND(AI$5&gt;0,AI$5&gt;100),AND(AI$5&gt;0,AI$5&lt;100)),
VLOOKUP(FLOOR((Midterm!AI48/AI$5)*100,1),new_transmute,4,FALSE),
VLOOKUP(Midterm!AI48,new_transmute,4,FALSE)
),
""
)
)
)
)
)
)
)
)
))</f>
        <v/>
      </c>
      <c r="AJ48" s="14" t="str">
        <f>IF($B48="","",
IF(AJ$5="","",
IF(Midterm!AJ48="",0,
IF(NOT(ISNUMBER(Midterm!AJ48)),"NAN",
IF(Midterm!AJ48&lt;0,"NEG",
IF(Midterm!AJ48&gt;AJ$5,"OVER",
IF(AND(AJ$5&lt;=100,Midterm!AJ48&gt;100),"ERR",
IF(Info!$B$4="Non-board program",
IF(OR(AND(AJ$5&gt;0,AJ$5&gt;100),AND(AJ$5&gt;0,AJ$5&lt;100)),
VLOOKUP(FLOOR((Midterm!AJ48/AJ$5)*100,1),new_transmute,2,FALSE),
VLOOKUP(Midterm!AJ48,new_transmute,2,FALSE)
),
IF(Info!$B$4="Board program",
IF(OR(AND(AJ$5&gt;0,AJ$5&gt;100),AND(AJ$5&gt;0,AJ$5&lt;100)),
VLOOKUP(FLOOR((Midterm!AJ48/AJ$5)*100,1),new_transmute,3,FALSE),
VLOOKUP(Midterm!AJ48,new_transmute,3,FALSE)
),
IF(Info!$B$4="Board program (Medicine)",
IF(OR(AND(AJ$5&gt;0,AJ$5&gt;100),AND(AJ$5&gt;0,AJ$5&lt;100)),
VLOOKUP(FLOOR((Midterm!AJ48/AJ$5)*100,1),new_transmute,4,FALSE),
VLOOKUP(Midterm!AJ48,new_transmute,4,FALSE)
),
""
)
)
)
)
)
)
)
)
))</f>
        <v/>
      </c>
      <c r="AK48" s="59" t="str">
        <f t="shared" si="6"/>
        <v/>
      </c>
      <c r="AL48" s="60" t="str">
        <f>IF(B48="", "",
    IF(OR(M48="OVER", S48="OVER", Y48="OVER", AE48="OVER", AK48="OVER"),
        "OVER",
        IF(Info!$B$4="Non-board program",
            VLOOKUP(IFERROR(FLOOR(SUM((M48*$M$4), (S48*$S$4), (Y48*$Y$4), (AE48*$AE$4), (AK48*$AK$4)) * (100 / 60), 1), 0), new_transmute, 2, FALSE),
            IF(Info!$B$4="Board program",
                VLOOKUP(IFERROR(FLOOR(SUM((M48*$M$4), (S48*$S$4), (Y48*$Y$4), (AE48*$AE$4), (AK48*$AK$4)) * (100 / 60), 1), 0), new_transmute, 3, FALSE),
                IF(Info!$B$4="Board program (Medicine)",
                    VLOOKUP(IFERROR(FLOOR(SUM((M48*$M$4), (S48*$S$4), (Y48*$Y$4), (AE48*$AE$4), (AK48*$AK$4)) * (100 / 60), 1), 0), new_transmute, 4, FALSE),
                    ""
                )
            )
        )
    )
)</f>
        <v/>
      </c>
      <c r="AM48" s="14" t="str">
        <f>IF($B48="","",
IF(AM$5="","",
IF(Midterm!AM48="",0,
IF(NOT(ISNUMBER(Midterm!AM48)),"NAN",
IF(Midterm!AM48&lt;0,"NEG",
IF(Midterm!AM48&gt;AM$5,"OVER",
IF(AND(AM$5&lt;=100,Midterm!AM48&gt;100),"ERR",
IF(Info!$B$4="Non-board program",
IF(OR(AND(AM$5&gt;0,AM$5&gt;100),AND(AM$5&gt;0,AM$5&lt;100)),
VLOOKUP(FLOOR((Midterm!AM48/AM$5)*100,1),new_transmute,2,FALSE),
VLOOKUP(Midterm!AM48,new_transmute,2,FALSE)
),
IF(Info!$B$4="Board program",
IF(OR(AND(AM$5&gt;0,AM$5&gt;100),AND(AM$5&gt;0,AM$5&lt;100)),
VLOOKUP(FLOOR((Midterm!AM48/AM$5)*100,1),new_transmute,3,FALSE),
VLOOKUP(Midterm!AM48,new_transmute,3,FALSE)
),
IF(Info!$B$4="Board program (Medicine)",
IF(OR(AND(AM$5&gt;0,AM$5&gt;100),AND(AM$5&gt;0,AM$5&lt;100)),
VLOOKUP(FLOOR((Midterm!AM48/AM$5)*100,1),new_transmute,4,FALSE),
VLOOKUP(Midterm!AM48,new_transmute,4,FALSE)
),
""
)
)
)
)
)
)
)
)
))</f>
        <v/>
      </c>
      <c r="AN48" s="14" t="str">
        <f>IF($B48="","",
IF(AN$5="","",
IF(Midterm!AN48="",0,
IF(NOT(ISNUMBER(Midterm!AN48)),"NAN",
IF(Midterm!AN48&lt;0,"NEG",
IF(Midterm!AN48&gt;AN$5,"OVER",
IF(AND(AN$5&lt;=100,Midterm!AN48&gt;100),"ERR",
IF(Info!$B$4="Non-board program",
IF(OR(AND(AN$5&gt;0,AN$5&gt;100),AND(AN$5&gt;0,AN$5&lt;100)),
VLOOKUP(FLOOR((Midterm!AN48/AN$5)*100,1),new_transmute,2,FALSE),
VLOOKUP(Midterm!AN48,new_transmute,2,FALSE)
),
IF(Info!$B$4="Board program",
IF(OR(AND(AN$5&gt;0,AN$5&gt;100),AND(AN$5&gt;0,AN$5&lt;100)),
VLOOKUP(FLOOR((Midterm!AN48/AN$5)*100,1),new_transmute,3,FALSE),
VLOOKUP(Midterm!AN48,new_transmute,3,FALSE)
),
IF(Info!$B$4="Board program (Medicine)",
IF(OR(AND(AN$5&gt;0,AN$5&gt;100),AND(AN$5&gt;0,AN$5&lt;100)),
VLOOKUP(FLOOR((Midterm!AN48/AN$5)*100,1),new_transmute,4,FALSE),
VLOOKUP(Midterm!AN48,new_transmute,4,FALSE)
),
""
)
)
)
)
)
)
)
)
))</f>
        <v/>
      </c>
      <c r="AO48" s="14" t="str">
        <f>IF($B48="","",
IF(AO$5="","",
IF(Midterm!AO48="",0,
IF(NOT(ISNUMBER(Midterm!AO48)),"NAN",
IF(Midterm!AO48&lt;0,"NEG",
IF(Midterm!AO48&gt;AO$5,"OVER",
IF(AND(AO$5&lt;=100,Midterm!AO48&gt;100),"ERR",
IF(Info!$B$4="Non-board program",
IF(OR(AND(AO$5&gt;0,AO$5&gt;100),AND(AO$5&gt;0,AO$5&lt;100)),
VLOOKUP(FLOOR((Midterm!AO48/AO$5)*100,1),new_transmute,2,FALSE),
VLOOKUP(Midterm!AO48,new_transmute,2,FALSE)
),
IF(Info!$B$4="Board program",
IF(OR(AND(AO$5&gt;0,AO$5&gt;100),AND(AO$5&gt;0,AO$5&lt;100)),
VLOOKUP(FLOOR((Midterm!AO48/AO$5)*100,1),new_transmute,3,FALSE),
VLOOKUP(Midterm!AO48,new_transmute,3,FALSE)
),
IF(Info!$B$4="Board program (Medicine)",
IF(OR(AND(AO$5&gt;0,AO$5&gt;100),AND(AO$5&gt;0,AO$5&lt;100)),
VLOOKUP(FLOOR((Midterm!AO48/AO$5)*100,1),new_transmute,4,FALSE),
VLOOKUP(Midterm!AO48,new_transmute,4,FALSE)
),
""
)
)
)
)
)
)
)
)
))</f>
        <v/>
      </c>
      <c r="AP48" s="14" t="str">
        <f>IF($B48="","",
IF(AP$5="","",
IF(Midterm!AP48="",0,
IF(NOT(ISNUMBER(Midterm!AP48)),"NAN",
IF(Midterm!AP48&lt;0,"NEG",
IF(Midterm!AP48&gt;AP$5,"OVER",
IF(AND(AP$5&lt;=100,Midterm!AP48&gt;100),"ERR",
IF(Info!$B$4="Non-board program",
IF(OR(AND(AP$5&gt;0,AP$5&gt;100),AND(AP$5&gt;0,AP$5&lt;100)),
VLOOKUP(FLOOR((Midterm!AP48/AP$5)*100,1),new_transmute,2,FALSE),
VLOOKUP(Midterm!AP48,new_transmute,2,FALSE)
),
IF(Info!$B$4="Board program",
IF(OR(AND(AP$5&gt;0,AP$5&gt;100),AND(AP$5&gt;0,AP$5&lt;100)),
VLOOKUP(FLOOR((Midterm!AP48/AP$5)*100,1),new_transmute,3,FALSE),
VLOOKUP(Midterm!AP48,new_transmute,3,FALSE)
),
IF(Info!$B$4="Board program (Medicine)",
IF(OR(AND(AP$5&gt;0,AP$5&gt;100),AND(AP$5&gt;0,AP$5&lt;100)),
VLOOKUP(FLOOR((Midterm!AP48/AP$5)*100,1),new_transmute,4,FALSE),
VLOOKUP(Midterm!AP48,new_transmute,4,FALSE)
),
""
)
)
)
)
)
)
)
)
))</f>
        <v/>
      </c>
      <c r="AQ48" s="61" t="str">
        <f t="shared" si="7"/>
        <v/>
      </c>
      <c r="AR48" s="48" t="str">
        <f>IF(Midterm!AR48="","",Midterm!AR48)</f>
        <v/>
      </c>
      <c r="AS48" s="165" t="str">
        <f t="shared" si="8"/>
        <v/>
      </c>
      <c r="AT48" s="14" t="str">
        <f t="shared" si="9"/>
        <v/>
      </c>
      <c r="AU48" s="14" t="str">
        <f>IF(B48="","",VLOOKUP(AT48,'New Grade Equivalent'!$B$3:$C$47,2,FALSE))</f>
        <v/>
      </c>
    </row>
    <row r="49" spans="1:47" x14ac:dyDescent="0.25">
      <c r="A49" s="8">
        <v>44</v>
      </c>
      <c r="B49" s="2" t="str">
        <f>IF('Student List'!C53="","",UPPER(LEFT('Student List'!C53,FIND(",",'Student List'!C53)-1)))</f>
        <v/>
      </c>
      <c r="C49" s="12" t="str">
        <f>IF('Student List'!C53="","",PROPER(MID('Student List'!C53, FIND(",", 'Student List'!C53) + 2, LEN('Student List'!C53) - FIND(",", 'Student List'!C53) - 1)))</f>
        <v/>
      </c>
      <c r="D49" s="127" t="str">
        <f>IF(B49="","",IF(Midterm!D49="", "NA", Midterm!D49))</f>
        <v/>
      </c>
      <c r="E49" s="8" t="str">
        <f>IF(B49="","",
  IF(Info!$B$5="First Year",
    IF(D49="Yes", "DRP",
      IF(D49="No", "WF", "")
    )
  )
)</f>
        <v/>
      </c>
      <c r="F49" s="14" t="str">
        <f>IF($B49="","",
IF(F$5="","",
IF(Midterm!F49="",0,
IF(NOT(ISNUMBER(Midterm!F49)),"NAN",
IF(Midterm!F49&lt;0,"NEG",
IF(Midterm!F49&gt;F$5,"OVER",
IF(AND(F$5&lt;=100,Midterm!F49&gt;100),"ERR",
IF(Info!$B$4="Non-board program",
IF(OR(AND(F$5&gt;0,F$5&gt;100),AND(F$5&gt;0,F$5&lt;100)),
VLOOKUP(FLOOR((Midterm!F49/F$5)*100,1),new_transmute,2,FALSE),
VLOOKUP(Midterm!F49,new_transmute,2,FALSE)
),
IF(Info!$B$4="Board program",
IF(OR(AND(F$5&gt;0,F$5&gt;100),AND(F$5&gt;0,F$5&lt;100)),
VLOOKUP(FLOOR((Midterm!F49/F$5)*100,1),new_transmute,3,FALSE),
VLOOKUP(Midterm!F49,new_transmute,3,FALSE)
),
IF(Info!$B$4="Board program (Medicine)",
IF(OR(AND(F$5&gt;0,F$5&gt;100),AND(F$5&gt;0,F$5&lt;100)),
VLOOKUP(FLOOR((Midterm!F49/F$5)*100,1),new_transmute,4,FALSE),
VLOOKUP(Midterm!F49,new_transmute,4,FALSE)
),
""
)
)
)
)
)
)
)
)
))</f>
        <v/>
      </c>
      <c r="G49" s="57" t="str">
        <f t="shared" si="1"/>
        <v/>
      </c>
      <c r="H49" s="14" t="str">
        <f>IF($B49="","",
IF(H$5="","",
IF(Midterm!H49="",0,
IF(NOT(ISNUMBER(Midterm!H49)),"NAN",
IF(Midterm!H49&lt;0,"NEG",
IF(Midterm!H49&gt;H$5,"OVER",
IF(AND(H$5&lt;=100,Midterm!H49&gt;100),"ERR",
IF(Info!$B$4="Non-board program",
IF(OR(AND(H$5&gt;0,H$5&gt;100),AND(H$5&gt;0,H$5&lt;100)),
VLOOKUP(FLOOR((Midterm!H49/H$5)*100,1),new_transmute,2,FALSE),
VLOOKUP(Midterm!H49,new_transmute,2,FALSE)
),
IF(Info!$B$4="Board program",
IF(OR(AND(H$5&gt;0,H$5&gt;100),AND(H$5&gt;0,H$5&lt;100)),
VLOOKUP(FLOOR((Midterm!H49/H$5)*100,1),new_transmute,3,FALSE),
VLOOKUP(Midterm!H49,new_transmute,3,FALSE)
),
IF(Info!$B$4="Board program (Medicine)",
IF(OR(AND(H$5&gt;0,H$5&gt;100),AND(H$5&gt;0,H$5&lt;100)),
VLOOKUP(FLOOR((Midterm!H49/H$5)*100,1),new_transmute,4,FALSE),
VLOOKUP(Midterm!H49,new_transmute,4,FALSE)
),
""
)
)
)
)
)
)
)
)
))</f>
        <v/>
      </c>
      <c r="I49" s="14" t="str">
        <f>IF($B49="","",
IF(I$5="","",
IF(Midterm!I49="",0,
IF(NOT(ISNUMBER(Midterm!I49)),"NAN",
IF(Midterm!I49&lt;0,"NEG",
IF(Midterm!I49&gt;I$5,"OVER",
IF(AND(I$5&lt;=100,Midterm!I49&gt;100),"ERR",
IF(Info!$B$4="Non-board program",
IF(OR(AND(I$5&gt;0,I$5&gt;100),AND(I$5&gt;0,I$5&lt;100)),
VLOOKUP(FLOOR((Midterm!I49/I$5)*100,1),new_transmute,2,FALSE),
VLOOKUP(Midterm!I49,new_transmute,2,FALSE)
),
IF(Info!$B$4="Board program",
IF(OR(AND(I$5&gt;0,I$5&gt;100),AND(I$5&gt;0,I$5&lt;100)),
VLOOKUP(FLOOR((Midterm!I49/I$5)*100,1),new_transmute,3,FALSE),
VLOOKUP(Midterm!I49,new_transmute,3,FALSE)
),
IF(Info!$B$4="Board program (Medicine)",
IF(OR(AND(I$5&gt;0,I$5&gt;100),AND(I$5&gt;0,I$5&lt;100)),
VLOOKUP(FLOOR((Midterm!I49/I$5)*100,1),new_transmute,4,FALSE),
VLOOKUP(Midterm!I49,new_transmute,4,FALSE)
),
""
)
)
)
)
)
)
)
)
))</f>
        <v/>
      </c>
      <c r="J49" s="14" t="str">
        <f>IF($B49="","",
IF(J$5="","",
IF(Midterm!J49="",0,
IF(NOT(ISNUMBER(Midterm!J49)),"NAN",
IF(Midterm!J49&lt;0,"NEG",
IF(Midterm!J49&gt;J$5,"OVER",
IF(AND(J$5&lt;=100,Midterm!J49&gt;100),"ERR",
IF(Info!$B$4="Non-board program",
IF(OR(AND(J$5&gt;0,J$5&gt;100),AND(J$5&gt;0,J$5&lt;100)),
VLOOKUP(FLOOR((Midterm!J49/J$5)*100,1),new_transmute,2,FALSE),
VLOOKUP(Midterm!J49,new_transmute,2,FALSE)
),
IF(Info!$B$4="Board program",
IF(OR(AND(J$5&gt;0,J$5&gt;100),AND(J$5&gt;0,J$5&lt;100)),
VLOOKUP(FLOOR((Midterm!J49/J$5)*100,1),new_transmute,3,FALSE),
VLOOKUP(Midterm!J49,new_transmute,3,FALSE)
),
IF(Info!$B$4="Board program (Medicine)",
IF(OR(AND(J$5&gt;0,J$5&gt;100),AND(J$5&gt;0,J$5&lt;100)),
VLOOKUP(FLOOR((Midterm!J49/J$5)*100,1),new_transmute,4,FALSE),
VLOOKUP(Midterm!J49,new_transmute,4,FALSE)
),
""
)
)
)
)
)
)
)
)
))</f>
        <v/>
      </c>
      <c r="K49" s="14" t="str">
        <f>IF($B49="","",
IF(K$5="","",
IF(Midterm!K49="",0,
IF(NOT(ISNUMBER(Midterm!K49)),"NAN",
IF(Midterm!K49&lt;0,"NEG",
IF(Midterm!K49&gt;K$5,"OVER",
IF(AND(K$5&lt;=100,Midterm!K49&gt;100),"ERR",
IF(Info!$B$4="Non-board program",
IF(OR(AND(K$5&gt;0,K$5&gt;100),AND(K$5&gt;0,K$5&lt;100)),
VLOOKUP(FLOOR((Midterm!K49/K$5)*100,1),new_transmute,2,FALSE),
VLOOKUP(Midterm!K49,new_transmute,2,FALSE)
),
IF(Info!$B$4="Board program",
IF(OR(AND(K$5&gt;0,K$5&gt;100),AND(K$5&gt;0,K$5&lt;100)),
VLOOKUP(FLOOR((Midterm!K49/K$5)*100,1),new_transmute,3,FALSE),
VLOOKUP(Midterm!K49,new_transmute,3,FALSE)
),
IF(Info!$B$4="Board program (Medicine)",
IF(OR(AND(K$5&gt;0,K$5&gt;100),AND(K$5&gt;0,K$5&lt;100)),
VLOOKUP(FLOOR((Midterm!K49/K$5)*100,1),new_transmute,4,FALSE),
VLOOKUP(Midterm!K49,new_transmute,4,FALSE)
),
""
)
)
)
)
)
)
)
)
))</f>
        <v/>
      </c>
      <c r="L49" s="14" t="str">
        <f>IF($B49="","",
IF(L$5="","",
IF(Midterm!L49="",0,
IF(NOT(ISNUMBER(Midterm!L49)),"NAN",
IF(Midterm!L49&lt;0,"NEG",
IF(Midterm!L49&gt;L$5,"OVER",
IF(AND(L$5&lt;=100,Midterm!L49&gt;100),"ERR",
IF(Info!$B$4="Non-board program",
IF(OR(AND(L$5&gt;0,L$5&gt;100),AND(L$5&gt;0,L$5&lt;100)),
VLOOKUP(FLOOR((Midterm!L49/L$5)*100,1),new_transmute,2,FALSE),
VLOOKUP(Midterm!L49,new_transmute,2,FALSE)
),
IF(Info!$B$4="Board program",
IF(OR(AND(L$5&gt;0,L$5&gt;100),AND(L$5&gt;0,L$5&lt;100)),
VLOOKUP(FLOOR((Midterm!L49/L$5)*100,1),new_transmute,3,FALSE),
VLOOKUP(Midterm!L49,new_transmute,3,FALSE)
),
IF(Info!$B$4="Board program (Medicine)",
IF(OR(AND(L$5&gt;0,L$5&gt;100),AND(L$5&gt;0,L$5&lt;100)),
VLOOKUP(FLOOR((Midterm!L49/L$5)*100,1),new_transmute,4,FALSE),
VLOOKUP(Midterm!L49,new_transmute,4,FALSE)
),
""
)
)
)
)
)
)
)
)
))</f>
        <v/>
      </c>
      <c r="M49" s="111" t="str">
        <f t="shared" si="2"/>
        <v/>
      </c>
      <c r="N49" s="14" t="str">
        <f>IF($B49="","",
IF(N$5="","",
IF(Midterm!N49="",0,
IF(NOT(ISNUMBER(Midterm!N49)),"NAN",
IF(Midterm!N49&lt;0,"NEG",
IF(Midterm!N49&gt;N$5,"OVER",
IF(AND(N$5&lt;=100,Midterm!N49&gt;100),"ERR",
IF(Info!$B$4="Non-board program",
IF(OR(AND(N$5&gt;0,N$5&gt;100),AND(N$5&gt;0,N$5&lt;100)),
VLOOKUP(FLOOR((Midterm!N49/N$5)*100,1),new_transmute,2,FALSE),
VLOOKUP(Midterm!N49,new_transmute,2,FALSE)
),
IF(Info!$B$4="Board program",
IF(OR(AND(N$5&gt;0,N$5&gt;100),AND(N$5&gt;0,N$5&lt;100)),
VLOOKUP(FLOOR((Midterm!N49/N$5)*100,1),new_transmute,3,FALSE),
VLOOKUP(Midterm!N49,new_transmute,3,FALSE)
),
IF(Info!$B$4="Board program (Medicine)",
IF(OR(AND(N$5&gt;0,N$5&gt;100),AND(N$5&gt;0,N$5&lt;100)),
VLOOKUP(FLOOR((Midterm!N49/N$5)*100,1),new_transmute,4,FALSE),
VLOOKUP(Midterm!N49,new_transmute,4,FALSE)
),
""
)
)
)
)
)
)
)
)
))</f>
        <v/>
      </c>
      <c r="O49" s="14" t="str">
        <f>IF($B49="","",
IF(O$5="","",
IF(Midterm!O49="",0,
IF(NOT(ISNUMBER(Midterm!O49)),"NAN",
IF(Midterm!O49&lt;0,"NEG",
IF(Midterm!O49&gt;O$5,"OVER",
IF(AND(O$5&lt;=100,Midterm!O49&gt;100),"ERR",
IF(Info!$B$4="Non-board program",
IF(OR(AND(O$5&gt;0,O$5&gt;100),AND(O$5&gt;0,O$5&lt;100)),
VLOOKUP(FLOOR((Midterm!O49/O$5)*100,1),new_transmute,2,FALSE),
VLOOKUP(Midterm!O49,new_transmute,2,FALSE)
),
IF(Info!$B$4="Board program",
IF(OR(AND(O$5&gt;0,O$5&gt;100),AND(O$5&gt;0,O$5&lt;100)),
VLOOKUP(FLOOR((Midterm!O49/O$5)*100,1),new_transmute,3,FALSE),
VLOOKUP(Midterm!O49,new_transmute,3,FALSE)
),
IF(Info!$B$4="Board program (Medicine)",
IF(OR(AND(O$5&gt;0,O$5&gt;100),AND(O$5&gt;0,O$5&lt;100)),
VLOOKUP(FLOOR((Midterm!O49/O$5)*100,1),new_transmute,4,FALSE),
VLOOKUP(Midterm!O49,new_transmute,4,FALSE)
),
""
)
)
)
)
)
)
)
)
))</f>
        <v/>
      </c>
      <c r="P49" s="14" t="str">
        <f>IF($B49="","",
IF(P$5="","",
IF(Midterm!P49="",0,
IF(NOT(ISNUMBER(Midterm!P49)),"NAN",
IF(Midterm!P49&lt;0,"NEG",
IF(Midterm!P49&gt;P$5,"OVER",
IF(AND(P$5&lt;=100,Midterm!P49&gt;100),"ERR",
IF(Info!$B$4="Non-board program",
IF(OR(AND(P$5&gt;0,P$5&gt;100),AND(P$5&gt;0,P$5&lt;100)),
VLOOKUP(FLOOR((Midterm!P49/P$5)*100,1),new_transmute,2,FALSE),
VLOOKUP(Midterm!P49,new_transmute,2,FALSE)
),
IF(Info!$B$4="Board program",
IF(OR(AND(P$5&gt;0,P$5&gt;100),AND(P$5&gt;0,P$5&lt;100)),
VLOOKUP(FLOOR((Midterm!P49/P$5)*100,1),new_transmute,3,FALSE),
VLOOKUP(Midterm!P49,new_transmute,3,FALSE)
),
IF(Info!$B$4="Board program (Medicine)",
IF(OR(AND(P$5&gt;0,P$5&gt;100),AND(P$5&gt;0,P$5&lt;100)),
VLOOKUP(FLOOR((Midterm!P49/P$5)*100,1),new_transmute,4,FALSE),
VLOOKUP(Midterm!P49,new_transmute,4,FALSE)
),
""
)
)
)
)
)
)
)
)
))</f>
        <v/>
      </c>
      <c r="Q49" s="14" t="str">
        <f>IF($B49="","",
IF(Q$5="","",
IF(Midterm!Q49="",0,
IF(NOT(ISNUMBER(Midterm!Q49)),"NAN",
IF(Midterm!Q49&lt;0,"NEG",
IF(Midterm!Q49&gt;Q$5,"OVER",
IF(AND(Q$5&lt;=100,Midterm!Q49&gt;100),"ERR",
IF(Info!$B$4="Non-board program",
IF(OR(AND(Q$5&gt;0,Q$5&gt;100),AND(Q$5&gt;0,Q$5&lt;100)),
VLOOKUP(FLOOR((Midterm!Q49/Q$5)*100,1),new_transmute,2,FALSE),
VLOOKUP(Midterm!Q49,new_transmute,2,FALSE)
),
IF(Info!$B$4="Board program",
IF(OR(AND(Q$5&gt;0,Q$5&gt;100),AND(Q$5&gt;0,Q$5&lt;100)),
VLOOKUP(FLOOR((Midterm!Q49/Q$5)*100,1),new_transmute,3,FALSE),
VLOOKUP(Midterm!Q49,new_transmute,3,FALSE)
),
IF(Info!$B$4="Board program (Medicine)",
IF(OR(AND(Q$5&gt;0,Q$5&gt;100),AND(Q$5&gt;0,Q$5&lt;100)),
VLOOKUP(FLOOR((Midterm!Q49/Q$5)*100,1),new_transmute,4,FALSE),
VLOOKUP(Midterm!Q49,new_transmute,4,FALSE)
),
""
)
)
)
)
)
)
)
)
))</f>
        <v/>
      </c>
      <c r="R49" s="14" t="str">
        <f>IF($B49="","",
IF(R$5="","",
IF(Midterm!R49="",0,
IF(NOT(ISNUMBER(Midterm!R49)),"NAN",
IF(Midterm!R49&lt;0,"NEG",
IF(Midterm!R49&gt;R$5,"OVER",
IF(AND(R$5&lt;=100,Midterm!R49&gt;100),"ERR",
IF(Info!$B$4="Non-board program",
IF(OR(AND(R$5&gt;0,R$5&gt;100),AND(R$5&gt;0,R$5&lt;100)),
VLOOKUP(FLOOR((Midterm!R49/R$5)*100,1),new_transmute,2,FALSE),
VLOOKUP(Midterm!R49,new_transmute,2,FALSE)
),
IF(Info!$B$4="Board program",
IF(OR(AND(R$5&gt;0,R$5&gt;100),AND(R$5&gt;0,R$5&lt;100)),
VLOOKUP(FLOOR((Midterm!R49/R$5)*100,1),new_transmute,3,FALSE),
VLOOKUP(Midterm!R49,new_transmute,3,FALSE)
),
IF(Info!$B$4="Board program (Medicine)",
IF(OR(AND(R$5&gt;0,R$5&gt;100),AND(R$5&gt;0,R$5&lt;100)),
VLOOKUP(FLOOR((Midterm!R49/R$5)*100,1),new_transmute,4,FALSE),
VLOOKUP(Midterm!R49,new_transmute,4,FALSE)
),
""
)
)
)
)
)
)
)
)
))</f>
        <v/>
      </c>
      <c r="S49" s="115" t="str">
        <f t="shared" si="3"/>
        <v/>
      </c>
      <c r="T49" s="14" t="str">
        <f>IF($B49="","",
IF(T$5="","",
IF(Midterm!T49="",0,
IF(NOT(ISNUMBER(Midterm!T49)),"NAN",
IF(Midterm!T49&lt;0,"NEG",
IF(Midterm!T49&gt;T$5,"OVER",
IF(AND(T$5&lt;=100,Midterm!T49&gt;100),"ERR",
IF(Info!$B$4="Non-board program",
IF(OR(AND(T$5&gt;0,T$5&gt;100),AND(T$5&gt;0,T$5&lt;100)),
VLOOKUP(FLOOR((Midterm!T49/T$5)*100,1),new_transmute,2,FALSE),
VLOOKUP(Midterm!T49,new_transmute,2,FALSE)
),
IF(Info!$B$4="Board program",
IF(OR(AND(T$5&gt;0,T$5&gt;100),AND(T$5&gt;0,T$5&lt;100)),
VLOOKUP(FLOOR((Midterm!T49/T$5)*100,1),new_transmute,3,FALSE),
VLOOKUP(Midterm!T49,new_transmute,3,FALSE)
),
IF(Info!$B$4="Board program (Medicine)",
IF(OR(AND(T$5&gt;0,T$5&gt;100),AND(T$5&gt;0,T$5&lt;100)),
VLOOKUP(FLOOR((Midterm!T49/T$5)*100,1),new_transmute,4,FALSE),
VLOOKUP(Midterm!T49,new_transmute,4,FALSE)
),
""
)
)
)
)
)
)
)
)
))</f>
        <v/>
      </c>
      <c r="U49" s="14" t="str">
        <f>IF($B49="","",
IF(U$5="","",
IF(Midterm!U49="",0,
IF(NOT(ISNUMBER(Midterm!U49)),"NAN",
IF(Midterm!U49&lt;0,"NEG",
IF(Midterm!U49&gt;U$5,"OVER",
IF(AND(U$5&lt;=100,Midterm!U49&gt;100),"ERR",
IF(Info!$B$4="Non-board program",
IF(OR(AND(U$5&gt;0,U$5&gt;100),AND(U$5&gt;0,U$5&lt;100)),
VLOOKUP(FLOOR((Midterm!U49/U$5)*100,1),new_transmute,2,FALSE),
VLOOKUP(Midterm!U49,new_transmute,2,FALSE)
),
IF(Info!$B$4="Board program",
IF(OR(AND(U$5&gt;0,U$5&gt;100),AND(U$5&gt;0,U$5&lt;100)),
VLOOKUP(FLOOR((Midterm!U49/U$5)*100,1),new_transmute,3,FALSE),
VLOOKUP(Midterm!U49,new_transmute,3,FALSE)
),
IF(Info!$B$4="Board program (Medicine)",
IF(OR(AND(U$5&gt;0,U$5&gt;100),AND(U$5&gt;0,U$5&lt;100)),
VLOOKUP(FLOOR((Midterm!U49/U$5)*100,1),new_transmute,4,FALSE),
VLOOKUP(Midterm!U49,new_transmute,4,FALSE)
),
""
)
)
)
)
)
)
)
)
))</f>
        <v/>
      </c>
      <c r="V49" s="14" t="str">
        <f>IF($B49="","",
IF(V$5="","",
IF(Midterm!V49="",0,
IF(NOT(ISNUMBER(Midterm!V49)),"NAN",
IF(Midterm!V49&lt;0,"NEG",
IF(Midterm!V49&gt;V$5,"OVER",
IF(AND(V$5&lt;=100,Midterm!V49&gt;100),"ERR",
IF(Info!$B$4="Non-board program",
IF(OR(AND(V$5&gt;0,V$5&gt;100),AND(V$5&gt;0,V$5&lt;100)),
VLOOKUP(FLOOR((Midterm!V49/V$5)*100,1),new_transmute,2,FALSE),
VLOOKUP(Midterm!V49,new_transmute,2,FALSE)
),
IF(Info!$B$4="Board program",
IF(OR(AND(V$5&gt;0,V$5&gt;100),AND(V$5&gt;0,V$5&lt;100)),
VLOOKUP(FLOOR((Midterm!V49/V$5)*100,1),new_transmute,3,FALSE),
VLOOKUP(Midterm!V49,new_transmute,3,FALSE)
),
IF(Info!$B$4="Board program (Medicine)",
IF(OR(AND(V$5&gt;0,V$5&gt;100),AND(V$5&gt;0,V$5&lt;100)),
VLOOKUP(FLOOR((Midterm!V49/V$5)*100,1),new_transmute,4,FALSE),
VLOOKUP(Midterm!V49,new_transmute,4,FALSE)
),
""
)
)
)
)
)
)
)
)
))</f>
        <v/>
      </c>
      <c r="W49" s="14" t="str">
        <f>IF($B49="","",
IF(W$5="","",
IF(Midterm!W49="",0,
IF(NOT(ISNUMBER(Midterm!W49)),"NAN",
IF(Midterm!W49&lt;0,"NEG",
IF(Midterm!W49&gt;W$5,"OVER",
IF(AND(W$5&lt;=100,Midterm!W49&gt;100),"ERR",
IF(Info!$B$4="Non-board program",
IF(OR(AND(W$5&gt;0,W$5&gt;100),AND(W$5&gt;0,W$5&lt;100)),
VLOOKUP(FLOOR((Midterm!W49/W$5)*100,1),new_transmute,2,FALSE),
VLOOKUP(Midterm!W49,new_transmute,2,FALSE)
),
IF(Info!$B$4="Board program",
IF(OR(AND(W$5&gt;0,W$5&gt;100),AND(W$5&gt;0,W$5&lt;100)),
VLOOKUP(FLOOR((Midterm!W49/W$5)*100,1),new_transmute,3,FALSE),
VLOOKUP(Midterm!W49,new_transmute,3,FALSE)
),
IF(Info!$B$4="Board program (Medicine)",
IF(OR(AND(W$5&gt;0,W$5&gt;100),AND(W$5&gt;0,W$5&lt;100)),
VLOOKUP(FLOOR((Midterm!W49/W$5)*100,1),new_transmute,4,FALSE),
VLOOKUP(Midterm!W49,new_transmute,4,FALSE)
),
""
)
)
)
)
)
)
)
)
))</f>
        <v/>
      </c>
      <c r="X49" s="14" t="str">
        <f>IF($B49="","",
IF(X$5="","",
IF(Midterm!X49="",0,
IF(NOT(ISNUMBER(Midterm!X49)),"NAN",
IF(Midterm!X49&lt;0,"NEG",
IF(Midterm!X49&gt;X$5,"OVER",
IF(AND(X$5&lt;=100,Midterm!X49&gt;100),"ERR",
IF(Info!$B$4="Non-board program",
IF(OR(AND(X$5&gt;0,X$5&gt;100),AND(X$5&gt;0,X$5&lt;100)),
VLOOKUP(FLOOR((Midterm!X49/X$5)*100,1),new_transmute,2,FALSE),
VLOOKUP(Midterm!X49,new_transmute,2,FALSE)
),
IF(Info!$B$4="Board program",
IF(OR(AND(X$5&gt;0,X$5&gt;100),AND(X$5&gt;0,X$5&lt;100)),
VLOOKUP(FLOOR((Midterm!X49/X$5)*100,1),new_transmute,3,FALSE),
VLOOKUP(Midterm!X49,new_transmute,3,FALSE)
),
IF(Info!$B$4="Board program (Medicine)",
IF(OR(AND(X$5&gt;0,X$5&gt;100),AND(X$5&gt;0,X$5&lt;100)),
VLOOKUP(FLOOR((Midterm!X49/X$5)*100,1),new_transmute,4,FALSE),
VLOOKUP(Midterm!X49,new_transmute,4,FALSE)
),
""
)
)
)
)
)
)
)
)
))</f>
        <v/>
      </c>
      <c r="Y49" s="112" t="str">
        <f t="shared" si="4"/>
        <v/>
      </c>
      <c r="Z49" s="14" t="str">
        <f>IF($B49="","",
IF(Z$5="","",
IF(Midterm!Z49="",0,
IF(NOT(ISNUMBER(Midterm!Z49)),"NAN",
IF(Midterm!Z49&lt;0,"NEG",
IF(Midterm!Z49&gt;Z$5,"OVER",
IF(AND(Z$5&lt;=100,Midterm!Z49&gt;100),"ERR",
IF(Info!$B$4="Non-board program",
IF(OR(AND(Z$5&gt;0,Z$5&gt;100),AND(Z$5&gt;0,Z$5&lt;100)),
VLOOKUP(FLOOR((Midterm!Z49/Z$5)*100,1),new_transmute,2,FALSE),
VLOOKUP(Midterm!Z49,new_transmute,2,FALSE)
),
IF(Info!$B$4="Board program",
IF(OR(AND(Z$5&gt;0,Z$5&gt;100),AND(Z$5&gt;0,Z$5&lt;100)),
VLOOKUP(FLOOR((Midterm!Z49/Z$5)*100,1),new_transmute,3,FALSE),
VLOOKUP(Midterm!Z49,new_transmute,3,FALSE)
),
IF(Info!$B$4="Board program (Medicine)",
IF(OR(AND(Z$5&gt;0,Z$5&gt;100),AND(Z$5&gt;0,Z$5&lt;100)),
VLOOKUP(FLOOR((Midterm!Z49/Z$5)*100,1),new_transmute,4,FALSE),
VLOOKUP(Midterm!Z49,new_transmute,4,FALSE)
),
""
)
)
)
)
)
)
)
)
))</f>
        <v/>
      </c>
      <c r="AA49" s="14" t="str">
        <f>IF($B49="","",
IF(AA$5="","",
IF(Midterm!AA49="",0,
IF(NOT(ISNUMBER(Midterm!AA49)),"NAN",
IF(Midterm!AA49&lt;0,"NEG",
IF(Midterm!AA49&gt;AA$5,"OVER",
IF(AND(AA$5&lt;=100,Midterm!AA49&gt;100),"ERR",
IF(Info!$B$4="Non-board program",
IF(OR(AND(AA$5&gt;0,AA$5&gt;100),AND(AA$5&gt;0,AA$5&lt;100)),
VLOOKUP(FLOOR((Midterm!AA49/AA$5)*100,1),new_transmute,2,FALSE),
VLOOKUP(Midterm!AA49,new_transmute,2,FALSE)
),
IF(Info!$B$4="Board program",
IF(OR(AND(AA$5&gt;0,AA$5&gt;100),AND(AA$5&gt;0,AA$5&lt;100)),
VLOOKUP(FLOOR((Midterm!AA49/AA$5)*100,1),new_transmute,3,FALSE),
VLOOKUP(Midterm!AA49,new_transmute,3,FALSE)
),
IF(Info!$B$4="Board program (Medicine)",
IF(OR(AND(AA$5&gt;0,AA$5&gt;100),AND(AA$5&gt;0,AA$5&lt;100)),
VLOOKUP(FLOOR((Midterm!AA49/AA$5)*100,1),new_transmute,4,FALSE),
VLOOKUP(Midterm!AA49,new_transmute,4,FALSE)
),
""
)
)
)
)
)
)
)
)
))</f>
        <v/>
      </c>
      <c r="AB49" s="14" t="str">
        <f>IF($B49="","",
IF(AB$5="","",
IF(Midterm!AB49="",0,
IF(NOT(ISNUMBER(Midterm!AB49)),"NAN",
IF(Midterm!AB49&lt;0,"NEG",
IF(Midterm!AB49&gt;AB$5,"OVER",
IF(AND(AB$5&lt;=100,Midterm!AB49&gt;100),"ERR",
IF(Info!$B$4="Non-board program",
IF(OR(AND(AB$5&gt;0,AB$5&gt;100),AND(AB$5&gt;0,AB$5&lt;100)),
VLOOKUP(FLOOR((Midterm!AB49/AB$5)*100,1),new_transmute,2,FALSE),
VLOOKUP(Midterm!AB49,new_transmute,2,FALSE)
),
IF(Info!$B$4="Board program",
IF(OR(AND(AB$5&gt;0,AB$5&gt;100),AND(AB$5&gt;0,AB$5&lt;100)),
VLOOKUP(FLOOR((Midterm!AB49/AB$5)*100,1),new_transmute,3,FALSE),
VLOOKUP(Midterm!AB49,new_transmute,3,FALSE)
),
IF(Info!$B$4="Board program (Medicine)",
IF(OR(AND(AB$5&gt;0,AB$5&gt;100),AND(AB$5&gt;0,AB$5&lt;100)),
VLOOKUP(FLOOR((Midterm!AB49/AB$5)*100,1),new_transmute,4,FALSE),
VLOOKUP(Midterm!AB49,new_transmute,4,FALSE)
),
""
)
)
)
)
)
)
)
)
))</f>
        <v/>
      </c>
      <c r="AC49" s="14" t="str">
        <f>IF($B49="","",
IF(AC$5="","",
IF(Midterm!AC49="",0,
IF(NOT(ISNUMBER(Midterm!AC49)),"NAN",
IF(Midterm!AC49&lt;0,"NEG",
IF(Midterm!AC49&gt;AC$5,"OVER",
IF(AND(AC$5&lt;=100,Midterm!AC49&gt;100),"ERR",
IF(Info!$B$4="Non-board program",
IF(OR(AND(AC$5&gt;0,AC$5&gt;100),AND(AC$5&gt;0,AC$5&lt;100)),
VLOOKUP(FLOOR((Midterm!AC49/AC$5)*100,1),new_transmute,2,FALSE),
VLOOKUP(Midterm!AC49,new_transmute,2,FALSE)
),
IF(Info!$B$4="Board program",
IF(OR(AND(AC$5&gt;0,AC$5&gt;100),AND(AC$5&gt;0,AC$5&lt;100)),
VLOOKUP(FLOOR((Midterm!AC49/AC$5)*100,1),new_transmute,3,FALSE),
VLOOKUP(Midterm!AC49,new_transmute,3,FALSE)
),
IF(Info!$B$4="Board program (Medicine)",
IF(OR(AND(AC$5&gt;0,AC$5&gt;100),AND(AC$5&gt;0,AC$5&lt;100)),
VLOOKUP(FLOOR((Midterm!AC49/AC$5)*100,1),new_transmute,4,FALSE),
VLOOKUP(Midterm!AC49,new_transmute,4,FALSE)
),
""
)
)
)
)
)
)
)
)
))</f>
        <v/>
      </c>
      <c r="AD49" s="14" t="str">
        <f>IF($B49="","",
IF(AD$5="","",
IF(Midterm!AD49="",0,
IF(NOT(ISNUMBER(Midterm!AD49)),"NAN",
IF(Midterm!AD49&lt;0,"NEG",
IF(Midterm!AD49&gt;AD$5,"OVER",
IF(AND(AD$5&lt;=100,Midterm!AD49&gt;100),"ERR",
IF(Info!$B$4="Non-board program",
IF(OR(AND(AD$5&gt;0,AD$5&gt;100),AND(AD$5&gt;0,AD$5&lt;100)),
VLOOKUP(FLOOR((Midterm!AD49/AD$5)*100,1),new_transmute,2,FALSE),
VLOOKUP(Midterm!AD49,new_transmute,2,FALSE)
),
IF(Info!$B$4="Board program",
IF(OR(AND(AD$5&gt;0,AD$5&gt;100),AND(AD$5&gt;0,AD$5&lt;100)),
VLOOKUP(FLOOR((Midterm!AD49/AD$5)*100,1),new_transmute,3,FALSE),
VLOOKUP(Midterm!AD49,new_transmute,3,FALSE)
),
IF(Info!$B$4="Board program (Medicine)",
IF(OR(AND(AD$5&gt;0,AD$5&gt;100),AND(AD$5&gt;0,AD$5&lt;100)),
VLOOKUP(FLOOR((Midterm!AD49/AD$5)*100,1),new_transmute,4,FALSE),
VLOOKUP(Midterm!AD49,new_transmute,4,FALSE)
),
""
)
)
)
)
)
)
)
)
))</f>
        <v/>
      </c>
      <c r="AE49" s="58" t="str">
        <f t="shared" si="5"/>
        <v/>
      </c>
      <c r="AF49" s="14" t="str">
        <f>IF($B49="","",
IF(AF$5="","",
IF(Midterm!AF49="",0,
IF(NOT(ISNUMBER(Midterm!AF49)),"NAN",
IF(Midterm!AF49&lt;0,"NEG",
IF(Midterm!AF49&gt;AF$5,"OVER",
IF(AND(AF$5&lt;=100,Midterm!AF49&gt;100),"ERR",
IF(Info!$B$4="Non-board program",
IF(OR(AND(AF$5&gt;0,AF$5&gt;100),AND(AF$5&gt;0,AF$5&lt;100)),
VLOOKUP(FLOOR((Midterm!AF49/AF$5)*100,1),new_transmute,2,FALSE),
VLOOKUP(Midterm!AF49,new_transmute,2,FALSE)
),
IF(Info!$B$4="Board program",
IF(OR(AND(AF$5&gt;0,AF$5&gt;100),AND(AF$5&gt;0,AF$5&lt;100)),
VLOOKUP(FLOOR((Midterm!AF49/AF$5)*100,1),new_transmute,3,FALSE),
VLOOKUP(Midterm!AF49,new_transmute,3,FALSE)
),
IF(Info!$B$4="Board program (Medicine)",
IF(OR(AND(AF$5&gt;0,AF$5&gt;100),AND(AF$5&gt;0,AF$5&lt;100)),
VLOOKUP(FLOOR((Midterm!AF49/AF$5)*100,1),new_transmute,4,FALSE),
VLOOKUP(Midterm!AF49,new_transmute,4,FALSE)
),
""
)
)
)
)
)
)
)
)
))</f>
        <v/>
      </c>
      <c r="AG49" s="14" t="str">
        <f>IF($B49="","",
IF(AG$5="","",
IF(Midterm!AG49="",0,
IF(NOT(ISNUMBER(Midterm!AG49)),"NAN",
IF(Midterm!AG49&lt;0,"NEG",
IF(Midterm!AG49&gt;AG$5,"OVER",
IF(AND(AG$5&lt;=100,Midterm!AG49&gt;100),"ERR",
IF(Info!$B$4="Non-board program",
IF(OR(AND(AG$5&gt;0,AG$5&gt;100),AND(AG$5&gt;0,AG$5&lt;100)),
VLOOKUP(FLOOR((Midterm!AG49/AG$5)*100,1),new_transmute,2,FALSE),
VLOOKUP(Midterm!AG49,new_transmute,2,FALSE)
),
IF(Info!$B$4="Board program",
IF(OR(AND(AG$5&gt;0,AG$5&gt;100),AND(AG$5&gt;0,AG$5&lt;100)),
VLOOKUP(FLOOR((Midterm!AG49/AG$5)*100,1),new_transmute,3,FALSE),
VLOOKUP(Midterm!AG49,new_transmute,3,FALSE)
),
IF(Info!$B$4="Board program (Medicine)",
IF(OR(AND(AG$5&gt;0,AG$5&gt;100),AND(AG$5&gt;0,AG$5&lt;100)),
VLOOKUP(FLOOR((Midterm!AG49/AG$5)*100,1),new_transmute,4,FALSE),
VLOOKUP(Midterm!AG49,new_transmute,4,FALSE)
),
""
)
)
)
)
)
)
)
)
))</f>
        <v/>
      </c>
      <c r="AH49" s="14" t="str">
        <f>IF($B49="","",
IF(AH$5="","",
IF(Midterm!AH49="",0,
IF(NOT(ISNUMBER(Midterm!AH49)),"NAN",
IF(Midterm!AH49&lt;0,"NEG",
IF(Midterm!AH49&gt;AH$5,"OVER",
IF(AND(AH$5&lt;=100,Midterm!AH49&gt;100),"ERR",
IF(Info!$B$4="Non-board program",
IF(OR(AND(AH$5&gt;0,AH$5&gt;100),AND(AH$5&gt;0,AH$5&lt;100)),
VLOOKUP(FLOOR((Midterm!AH49/AH$5)*100,1),new_transmute,2,FALSE),
VLOOKUP(Midterm!AH49,new_transmute,2,FALSE)
),
IF(Info!$B$4="Board program",
IF(OR(AND(AH$5&gt;0,AH$5&gt;100),AND(AH$5&gt;0,AH$5&lt;100)),
VLOOKUP(FLOOR((Midterm!AH49/AH$5)*100,1),new_transmute,3,FALSE),
VLOOKUP(Midterm!AH49,new_transmute,3,FALSE)
),
IF(Info!$B$4="Board program (Medicine)",
IF(OR(AND(AH$5&gt;0,AH$5&gt;100),AND(AH$5&gt;0,AH$5&lt;100)),
VLOOKUP(FLOOR((Midterm!AH49/AH$5)*100,1),new_transmute,4,FALSE),
VLOOKUP(Midterm!AH49,new_transmute,4,FALSE)
),
""
)
)
)
)
)
)
)
)
))</f>
        <v/>
      </c>
      <c r="AI49" s="14" t="str">
        <f>IF($B49="","",
IF(AI$5="","",
IF(Midterm!AI49="",0,
IF(NOT(ISNUMBER(Midterm!AI49)),"NAN",
IF(Midterm!AI49&lt;0,"NEG",
IF(Midterm!AI49&gt;AI$5,"OVER",
IF(AND(AI$5&lt;=100,Midterm!AI49&gt;100),"ERR",
IF(Info!$B$4="Non-board program",
IF(OR(AND(AI$5&gt;0,AI$5&gt;100),AND(AI$5&gt;0,AI$5&lt;100)),
VLOOKUP(FLOOR((Midterm!AI49/AI$5)*100,1),new_transmute,2,FALSE),
VLOOKUP(Midterm!AI49,new_transmute,2,FALSE)
),
IF(Info!$B$4="Board program",
IF(OR(AND(AI$5&gt;0,AI$5&gt;100),AND(AI$5&gt;0,AI$5&lt;100)),
VLOOKUP(FLOOR((Midterm!AI49/AI$5)*100,1),new_transmute,3,FALSE),
VLOOKUP(Midterm!AI49,new_transmute,3,FALSE)
),
IF(Info!$B$4="Board program (Medicine)",
IF(OR(AND(AI$5&gt;0,AI$5&gt;100),AND(AI$5&gt;0,AI$5&lt;100)),
VLOOKUP(FLOOR((Midterm!AI49/AI$5)*100,1),new_transmute,4,FALSE),
VLOOKUP(Midterm!AI49,new_transmute,4,FALSE)
),
""
)
)
)
)
)
)
)
)
))</f>
        <v/>
      </c>
      <c r="AJ49" s="14" t="str">
        <f>IF($B49="","",
IF(AJ$5="","",
IF(Midterm!AJ49="",0,
IF(NOT(ISNUMBER(Midterm!AJ49)),"NAN",
IF(Midterm!AJ49&lt;0,"NEG",
IF(Midterm!AJ49&gt;AJ$5,"OVER",
IF(AND(AJ$5&lt;=100,Midterm!AJ49&gt;100),"ERR",
IF(Info!$B$4="Non-board program",
IF(OR(AND(AJ$5&gt;0,AJ$5&gt;100),AND(AJ$5&gt;0,AJ$5&lt;100)),
VLOOKUP(FLOOR((Midterm!AJ49/AJ$5)*100,1),new_transmute,2,FALSE),
VLOOKUP(Midterm!AJ49,new_transmute,2,FALSE)
),
IF(Info!$B$4="Board program",
IF(OR(AND(AJ$5&gt;0,AJ$5&gt;100),AND(AJ$5&gt;0,AJ$5&lt;100)),
VLOOKUP(FLOOR((Midterm!AJ49/AJ$5)*100,1),new_transmute,3,FALSE),
VLOOKUP(Midterm!AJ49,new_transmute,3,FALSE)
),
IF(Info!$B$4="Board program (Medicine)",
IF(OR(AND(AJ$5&gt;0,AJ$5&gt;100),AND(AJ$5&gt;0,AJ$5&lt;100)),
VLOOKUP(FLOOR((Midterm!AJ49/AJ$5)*100,1),new_transmute,4,FALSE),
VLOOKUP(Midterm!AJ49,new_transmute,4,FALSE)
),
""
)
)
)
)
)
)
)
)
))</f>
        <v/>
      </c>
      <c r="AK49" s="59" t="str">
        <f t="shared" si="6"/>
        <v/>
      </c>
      <c r="AL49" s="60" t="str">
        <f>IF(B49="", "",
    IF(OR(M49="OVER", S49="OVER", Y49="OVER", AE49="OVER", AK49="OVER"),
        "OVER",
        IF(Info!$B$4="Non-board program",
            VLOOKUP(IFERROR(FLOOR(SUM((M49*$M$4), (S49*$S$4), (Y49*$Y$4), (AE49*$AE$4), (AK49*$AK$4)) * (100 / 60), 1), 0), new_transmute, 2, FALSE),
            IF(Info!$B$4="Board program",
                VLOOKUP(IFERROR(FLOOR(SUM((M49*$M$4), (S49*$S$4), (Y49*$Y$4), (AE49*$AE$4), (AK49*$AK$4)) * (100 / 60), 1), 0), new_transmute, 3, FALSE),
                IF(Info!$B$4="Board program (Medicine)",
                    VLOOKUP(IFERROR(FLOOR(SUM((M49*$M$4), (S49*$S$4), (Y49*$Y$4), (AE49*$AE$4), (AK49*$AK$4)) * (100 / 60), 1), 0), new_transmute, 4, FALSE),
                    ""
                )
            )
        )
    )
)</f>
        <v/>
      </c>
      <c r="AM49" s="14" t="str">
        <f>IF($B49="","",
IF(AM$5="","",
IF(Midterm!AM49="",0,
IF(NOT(ISNUMBER(Midterm!AM49)),"NAN",
IF(Midterm!AM49&lt;0,"NEG",
IF(Midterm!AM49&gt;AM$5,"OVER",
IF(AND(AM$5&lt;=100,Midterm!AM49&gt;100),"ERR",
IF(Info!$B$4="Non-board program",
IF(OR(AND(AM$5&gt;0,AM$5&gt;100),AND(AM$5&gt;0,AM$5&lt;100)),
VLOOKUP(FLOOR((Midterm!AM49/AM$5)*100,1),new_transmute,2,FALSE),
VLOOKUP(Midterm!AM49,new_transmute,2,FALSE)
),
IF(Info!$B$4="Board program",
IF(OR(AND(AM$5&gt;0,AM$5&gt;100),AND(AM$5&gt;0,AM$5&lt;100)),
VLOOKUP(FLOOR((Midterm!AM49/AM$5)*100,1),new_transmute,3,FALSE),
VLOOKUP(Midterm!AM49,new_transmute,3,FALSE)
),
IF(Info!$B$4="Board program (Medicine)",
IF(OR(AND(AM$5&gt;0,AM$5&gt;100),AND(AM$5&gt;0,AM$5&lt;100)),
VLOOKUP(FLOOR((Midterm!AM49/AM$5)*100,1),new_transmute,4,FALSE),
VLOOKUP(Midterm!AM49,new_transmute,4,FALSE)
),
""
)
)
)
)
)
)
)
)
))</f>
        <v/>
      </c>
      <c r="AN49" s="14" t="str">
        <f>IF($B49="","",
IF(AN$5="","",
IF(Midterm!AN49="",0,
IF(NOT(ISNUMBER(Midterm!AN49)),"NAN",
IF(Midterm!AN49&lt;0,"NEG",
IF(Midterm!AN49&gt;AN$5,"OVER",
IF(AND(AN$5&lt;=100,Midterm!AN49&gt;100),"ERR",
IF(Info!$B$4="Non-board program",
IF(OR(AND(AN$5&gt;0,AN$5&gt;100),AND(AN$5&gt;0,AN$5&lt;100)),
VLOOKUP(FLOOR((Midterm!AN49/AN$5)*100,1),new_transmute,2,FALSE),
VLOOKUP(Midterm!AN49,new_transmute,2,FALSE)
),
IF(Info!$B$4="Board program",
IF(OR(AND(AN$5&gt;0,AN$5&gt;100),AND(AN$5&gt;0,AN$5&lt;100)),
VLOOKUP(FLOOR((Midterm!AN49/AN$5)*100,1),new_transmute,3,FALSE),
VLOOKUP(Midterm!AN49,new_transmute,3,FALSE)
),
IF(Info!$B$4="Board program (Medicine)",
IF(OR(AND(AN$5&gt;0,AN$5&gt;100),AND(AN$5&gt;0,AN$5&lt;100)),
VLOOKUP(FLOOR((Midterm!AN49/AN$5)*100,1),new_transmute,4,FALSE),
VLOOKUP(Midterm!AN49,new_transmute,4,FALSE)
),
""
)
)
)
)
)
)
)
)
))</f>
        <v/>
      </c>
      <c r="AO49" s="14" t="str">
        <f>IF($B49="","",
IF(AO$5="","",
IF(Midterm!AO49="",0,
IF(NOT(ISNUMBER(Midterm!AO49)),"NAN",
IF(Midterm!AO49&lt;0,"NEG",
IF(Midterm!AO49&gt;AO$5,"OVER",
IF(AND(AO$5&lt;=100,Midterm!AO49&gt;100),"ERR",
IF(Info!$B$4="Non-board program",
IF(OR(AND(AO$5&gt;0,AO$5&gt;100),AND(AO$5&gt;0,AO$5&lt;100)),
VLOOKUP(FLOOR((Midterm!AO49/AO$5)*100,1),new_transmute,2,FALSE),
VLOOKUP(Midterm!AO49,new_transmute,2,FALSE)
),
IF(Info!$B$4="Board program",
IF(OR(AND(AO$5&gt;0,AO$5&gt;100),AND(AO$5&gt;0,AO$5&lt;100)),
VLOOKUP(FLOOR((Midterm!AO49/AO$5)*100,1),new_transmute,3,FALSE),
VLOOKUP(Midterm!AO49,new_transmute,3,FALSE)
),
IF(Info!$B$4="Board program (Medicine)",
IF(OR(AND(AO$5&gt;0,AO$5&gt;100),AND(AO$5&gt;0,AO$5&lt;100)),
VLOOKUP(FLOOR((Midterm!AO49/AO$5)*100,1),new_transmute,4,FALSE),
VLOOKUP(Midterm!AO49,new_transmute,4,FALSE)
),
""
)
)
)
)
)
)
)
)
))</f>
        <v/>
      </c>
      <c r="AP49" s="14" t="str">
        <f>IF($B49="","",
IF(AP$5="","",
IF(Midterm!AP49="",0,
IF(NOT(ISNUMBER(Midterm!AP49)),"NAN",
IF(Midterm!AP49&lt;0,"NEG",
IF(Midterm!AP49&gt;AP$5,"OVER",
IF(AND(AP$5&lt;=100,Midterm!AP49&gt;100),"ERR",
IF(Info!$B$4="Non-board program",
IF(OR(AND(AP$5&gt;0,AP$5&gt;100),AND(AP$5&gt;0,AP$5&lt;100)),
VLOOKUP(FLOOR((Midterm!AP49/AP$5)*100,1),new_transmute,2,FALSE),
VLOOKUP(Midterm!AP49,new_transmute,2,FALSE)
),
IF(Info!$B$4="Board program",
IF(OR(AND(AP$5&gt;0,AP$5&gt;100),AND(AP$5&gt;0,AP$5&lt;100)),
VLOOKUP(FLOOR((Midterm!AP49/AP$5)*100,1),new_transmute,3,FALSE),
VLOOKUP(Midterm!AP49,new_transmute,3,FALSE)
),
IF(Info!$B$4="Board program (Medicine)",
IF(OR(AND(AP$5&gt;0,AP$5&gt;100),AND(AP$5&gt;0,AP$5&lt;100)),
VLOOKUP(FLOOR((Midterm!AP49/AP$5)*100,1),new_transmute,4,FALSE),
VLOOKUP(Midterm!AP49,new_transmute,4,FALSE)
),
""
)
)
)
)
)
)
)
)
))</f>
        <v/>
      </c>
      <c r="AQ49" s="61" t="str">
        <f t="shared" si="7"/>
        <v/>
      </c>
      <c r="AR49" s="48" t="str">
        <f>IF(Midterm!AR49="","",Midterm!AR49)</f>
        <v/>
      </c>
      <c r="AS49" s="165" t="str">
        <f t="shared" si="8"/>
        <v/>
      </c>
      <c r="AT49" s="14" t="str">
        <f t="shared" si="9"/>
        <v/>
      </c>
      <c r="AU49" s="14" t="str">
        <f>IF(B49="","",VLOOKUP(AT49,'New Grade Equivalent'!$B$3:$C$47,2,FALSE))</f>
        <v/>
      </c>
    </row>
    <row r="50" spans="1:47" x14ac:dyDescent="0.25">
      <c r="A50" s="8">
        <v>45</v>
      </c>
      <c r="B50" s="2" t="str">
        <f>IF('Student List'!C54="","",UPPER(LEFT('Student List'!C54,FIND(",",'Student List'!C54)-1)))</f>
        <v/>
      </c>
      <c r="C50" s="12" t="str">
        <f>IF('Student List'!C54="","",PROPER(MID('Student List'!C54, FIND(",", 'Student List'!C54) + 2, LEN('Student List'!C54) - FIND(",", 'Student List'!C54) - 1)))</f>
        <v/>
      </c>
      <c r="D50" s="127" t="str">
        <f>IF(B50="","",IF(Midterm!D50="", "NA", Midterm!D50))</f>
        <v/>
      </c>
      <c r="E50" s="8" t="str">
        <f>IF(B50="","",
  IF(Info!$B$5="First Year",
    IF(D50="Yes", "DRP",
      IF(D50="No", "WF", "")
    )
  )
)</f>
        <v/>
      </c>
      <c r="F50" s="14" t="str">
        <f>IF($B50="","",
IF(F$5="","",
IF(Midterm!F50="",0,
IF(NOT(ISNUMBER(Midterm!F50)),"NAN",
IF(Midterm!F50&lt;0,"NEG",
IF(Midterm!F50&gt;F$5,"OVER",
IF(AND(F$5&lt;=100,Midterm!F50&gt;100),"ERR",
IF(Info!$B$4="Non-board program",
IF(OR(AND(F$5&gt;0,F$5&gt;100),AND(F$5&gt;0,F$5&lt;100)),
VLOOKUP(FLOOR((Midterm!F50/F$5)*100,1),new_transmute,2,FALSE),
VLOOKUP(Midterm!F50,new_transmute,2,FALSE)
),
IF(Info!$B$4="Board program",
IF(OR(AND(F$5&gt;0,F$5&gt;100),AND(F$5&gt;0,F$5&lt;100)),
VLOOKUP(FLOOR((Midterm!F50/F$5)*100,1),new_transmute,3,FALSE),
VLOOKUP(Midterm!F50,new_transmute,3,FALSE)
),
IF(Info!$B$4="Board program (Medicine)",
IF(OR(AND(F$5&gt;0,F$5&gt;100),AND(F$5&gt;0,F$5&lt;100)),
VLOOKUP(FLOOR((Midterm!F50/F$5)*100,1),new_transmute,4,FALSE),
VLOOKUP(Midterm!F50,new_transmute,4,FALSE)
),
""
)
)
)
)
)
)
)
)
))</f>
        <v/>
      </c>
      <c r="G50" s="57" t="str">
        <f t="shared" si="1"/>
        <v/>
      </c>
      <c r="H50" s="14" t="str">
        <f>IF($B50="","",
IF(H$5="","",
IF(Midterm!H50="",0,
IF(NOT(ISNUMBER(Midterm!H50)),"NAN",
IF(Midterm!H50&lt;0,"NEG",
IF(Midterm!H50&gt;H$5,"OVER",
IF(AND(H$5&lt;=100,Midterm!H50&gt;100),"ERR",
IF(Info!$B$4="Non-board program",
IF(OR(AND(H$5&gt;0,H$5&gt;100),AND(H$5&gt;0,H$5&lt;100)),
VLOOKUP(FLOOR((Midterm!H50/H$5)*100,1),new_transmute,2,FALSE),
VLOOKUP(Midterm!H50,new_transmute,2,FALSE)
),
IF(Info!$B$4="Board program",
IF(OR(AND(H$5&gt;0,H$5&gt;100),AND(H$5&gt;0,H$5&lt;100)),
VLOOKUP(FLOOR((Midterm!H50/H$5)*100,1),new_transmute,3,FALSE),
VLOOKUP(Midterm!H50,new_transmute,3,FALSE)
),
IF(Info!$B$4="Board program (Medicine)",
IF(OR(AND(H$5&gt;0,H$5&gt;100),AND(H$5&gt;0,H$5&lt;100)),
VLOOKUP(FLOOR((Midterm!H50/H$5)*100,1),new_transmute,4,FALSE),
VLOOKUP(Midterm!H50,new_transmute,4,FALSE)
),
""
)
)
)
)
)
)
)
)
))</f>
        <v/>
      </c>
      <c r="I50" s="14" t="str">
        <f>IF($B50="","",
IF(I$5="","",
IF(Midterm!I50="",0,
IF(NOT(ISNUMBER(Midterm!I50)),"NAN",
IF(Midterm!I50&lt;0,"NEG",
IF(Midterm!I50&gt;I$5,"OVER",
IF(AND(I$5&lt;=100,Midterm!I50&gt;100),"ERR",
IF(Info!$B$4="Non-board program",
IF(OR(AND(I$5&gt;0,I$5&gt;100),AND(I$5&gt;0,I$5&lt;100)),
VLOOKUP(FLOOR((Midterm!I50/I$5)*100,1),new_transmute,2,FALSE),
VLOOKUP(Midterm!I50,new_transmute,2,FALSE)
),
IF(Info!$B$4="Board program",
IF(OR(AND(I$5&gt;0,I$5&gt;100),AND(I$5&gt;0,I$5&lt;100)),
VLOOKUP(FLOOR((Midterm!I50/I$5)*100,1),new_transmute,3,FALSE),
VLOOKUP(Midterm!I50,new_transmute,3,FALSE)
),
IF(Info!$B$4="Board program (Medicine)",
IF(OR(AND(I$5&gt;0,I$5&gt;100),AND(I$5&gt;0,I$5&lt;100)),
VLOOKUP(FLOOR((Midterm!I50/I$5)*100,1),new_transmute,4,FALSE),
VLOOKUP(Midterm!I50,new_transmute,4,FALSE)
),
""
)
)
)
)
)
)
)
)
))</f>
        <v/>
      </c>
      <c r="J50" s="14" t="str">
        <f>IF($B50="","",
IF(J$5="","",
IF(Midterm!J50="",0,
IF(NOT(ISNUMBER(Midterm!J50)),"NAN",
IF(Midterm!J50&lt;0,"NEG",
IF(Midterm!J50&gt;J$5,"OVER",
IF(AND(J$5&lt;=100,Midterm!J50&gt;100),"ERR",
IF(Info!$B$4="Non-board program",
IF(OR(AND(J$5&gt;0,J$5&gt;100),AND(J$5&gt;0,J$5&lt;100)),
VLOOKUP(FLOOR((Midterm!J50/J$5)*100,1),new_transmute,2,FALSE),
VLOOKUP(Midterm!J50,new_transmute,2,FALSE)
),
IF(Info!$B$4="Board program",
IF(OR(AND(J$5&gt;0,J$5&gt;100),AND(J$5&gt;0,J$5&lt;100)),
VLOOKUP(FLOOR((Midterm!J50/J$5)*100,1),new_transmute,3,FALSE),
VLOOKUP(Midterm!J50,new_transmute,3,FALSE)
),
IF(Info!$B$4="Board program (Medicine)",
IF(OR(AND(J$5&gt;0,J$5&gt;100),AND(J$5&gt;0,J$5&lt;100)),
VLOOKUP(FLOOR((Midterm!J50/J$5)*100,1),new_transmute,4,FALSE),
VLOOKUP(Midterm!J50,new_transmute,4,FALSE)
),
""
)
)
)
)
)
)
)
)
))</f>
        <v/>
      </c>
      <c r="K50" s="14" t="str">
        <f>IF($B50="","",
IF(K$5="","",
IF(Midterm!K50="",0,
IF(NOT(ISNUMBER(Midterm!K50)),"NAN",
IF(Midterm!K50&lt;0,"NEG",
IF(Midterm!K50&gt;K$5,"OVER",
IF(AND(K$5&lt;=100,Midterm!K50&gt;100),"ERR",
IF(Info!$B$4="Non-board program",
IF(OR(AND(K$5&gt;0,K$5&gt;100),AND(K$5&gt;0,K$5&lt;100)),
VLOOKUP(FLOOR((Midterm!K50/K$5)*100,1),new_transmute,2,FALSE),
VLOOKUP(Midterm!K50,new_transmute,2,FALSE)
),
IF(Info!$B$4="Board program",
IF(OR(AND(K$5&gt;0,K$5&gt;100),AND(K$5&gt;0,K$5&lt;100)),
VLOOKUP(FLOOR((Midterm!K50/K$5)*100,1),new_transmute,3,FALSE),
VLOOKUP(Midterm!K50,new_transmute,3,FALSE)
),
IF(Info!$B$4="Board program (Medicine)",
IF(OR(AND(K$5&gt;0,K$5&gt;100),AND(K$5&gt;0,K$5&lt;100)),
VLOOKUP(FLOOR((Midterm!K50/K$5)*100,1),new_transmute,4,FALSE),
VLOOKUP(Midterm!K50,new_transmute,4,FALSE)
),
""
)
)
)
)
)
)
)
)
))</f>
        <v/>
      </c>
      <c r="L50" s="14" t="str">
        <f>IF($B50="","",
IF(L$5="","",
IF(Midterm!L50="",0,
IF(NOT(ISNUMBER(Midterm!L50)),"NAN",
IF(Midterm!L50&lt;0,"NEG",
IF(Midterm!L50&gt;L$5,"OVER",
IF(AND(L$5&lt;=100,Midterm!L50&gt;100),"ERR",
IF(Info!$B$4="Non-board program",
IF(OR(AND(L$5&gt;0,L$5&gt;100),AND(L$5&gt;0,L$5&lt;100)),
VLOOKUP(FLOOR((Midterm!L50/L$5)*100,1),new_transmute,2,FALSE),
VLOOKUP(Midterm!L50,new_transmute,2,FALSE)
),
IF(Info!$B$4="Board program",
IF(OR(AND(L$5&gt;0,L$5&gt;100),AND(L$5&gt;0,L$5&lt;100)),
VLOOKUP(FLOOR((Midterm!L50/L$5)*100,1),new_transmute,3,FALSE),
VLOOKUP(Midterm!L50,new_transmute,3,FALSE)
),
IF(Info!$B$4="Board program (Medicine)",
IF(OR(AND(L$5&gt;0,L$5&gt;100),AND(L$5&gt;0,L$5&lt;100)),
VLOOKUP(FLOOR((Midterm!L50/L$5)*100,1),new_transmute,4,FALSE),
VLOOKUP(Midterm!L50,new_transmute,4,FALSE)
),
""
)
)
)
)
)
)
)
)
))</f>
        <v/>
      </c>
      <c r="M50" s="111" t="str">
        <f t="shared" si="2"/>
        <v/>
      </c>
      <c r="N50" s="14" t="str">
        <f>IF($B50="","",
IF(N$5="","",
IF(Midterm!N50="",0,
IF(NOT(ISNUMBER(Midterm!N50)),"NAN",
IF(Midterm!N50&lt;0,"NEG",
IF(Midterm!N50&gt;N$5,"OVER",
IF(AND(N$5&lt;=100,Midterm!N50&gt;100),"ERR",
IF(Info!$B$4="Non-board program",
IF(OR(AND(N$5&gt;0,N$5&gt;100),AND(N$5&gt;0,N$5&lt;100)),
VLOOKUP(FLOOR((Midterm!N50/N$5)*100,1),new_transmute,2,FALSE),
VLOOKUP(Midterm!N50,new_transmute,2,FALSE)
),
IF(Info!$B$4="Board program",
IF(OR(AND(N$5&gt;0,N$5&gt;100),AND(N$5&gt;0,N$5&lt;100)),
VLOOKUP(FLOOR((Midterm!N50/N$5)*100,1),new_transmute,3,FALSE),
VLOOKUP(Midterm!N50,new_transmute,3,FALSE)
),
IF(Info!$B$4="Board program (Medicine)",
IF(OR(AND(N$5&gt;0,N$5&gt;100),AND(N$5&gt;0,N$5&lt;100)),
VLOOKUP(FLOOR((Midterm!N50/N$5)*100,1),new_transmute,4,FALSE),
VLOOKUP(Midterm!N50,new_transmute,4,FALSE)
),
""
)
)
)
)
)
)
)
)
))</f>
        <v/>
      </c>
      <c r="O50" s="14" t="str">
        <f>IF($B50="","",
IF(O$5="","",
IF(Midterm!O50="",0,
IF(NOT(ISNUMBER(Midterm!O50)),"NAN",
IF(Midterm!O50&lt;0,"NEG",
IF(Midterm!O50&gt;O$5,"OVER",
IF(AND(O$5&lt;=100,Midterm!O50&gt;100),"ERR",
IF(Info!$B$4="Non-board program",
IF(OR(AND(O$5&gt;0,O$5&gt;100),AND(O$5&gt;0,O$5&lt;100)),
VLOOKUP(FLOOR((Midterm!O50/O$5)*100,1),new_transmute,2,FALSE),
VLOOKUP(Midterm!O50,new_transmute,2,FALSE)
),
IF(Info!$B$4="Board program",
IF(OR(AND(O$5&gt;0,O$5&gt;100),AND(O$5&gt;0,O$5&lt;100)),
VLOOKUP(FLOOR((Midterm!O50/O$5)*100,1),new_transmute,3,FALSE),
VLOOKUP(Midterm!O50,new_transmute,3,FALSE)
),
IF(Info!$B$4="Board program (Medicine)",
IF(OR(AND(O$5&gt;0,O$5&gt;100),AND(O$5&gt;0,O$5&lt;100)),
VLOOKUP(FLOOR((Midterm!O50/O$5)*100,1),new_transmute,4,FALSE),
VLOOKUP(Midterm!O50,new_transmute,4,FALSE)
),
""
)
)
)
)
)
)
)
)
))</f>
        <v/>
      </c>
      <c r="P50" s="14" t="str">
        <f>IF($B50="","",
IF(P$5="","",
IF(Midterm!P50="",0,
IF(NOT(ISNUMBER(Midterm!P50)),"NAN",
IF(Midterm!P50&lt;0,"NEG",
IF(Midterm!P50&gt;P$5,"OVER",
IF(AND(P$5&lt;=100,Midterm!P50&gt;100),"ERR",
IF(Info!$B$4="Non-board program",
IF(OR(AND(P$5&gt;0,P$5&gt;100),AND(P$5&gt;0,P$5&lt;100)),
VLOOKUP(FLOOR((Midterm!P50/P$5)*100,1),new_transmute,2,FALSE),
VLOOKUP(Midterm!P50,new_transmute,2,FALSE)
),
IF(Info!$B$4="Board program",
IF(OR(AND(P$5&gt;0,P$5&gt;100),AND(P$5&gt;0,P$5&lt;100)),
VLOOKUP(FLOOR((Midterm!P50/P$5)*100,1),new_transmute,3,FALSE),
VLOOKUP(Midterm!P50,new_transmute,3,FALSE)
),
IF(Info!$B$4="Board program (Medicine)",
IF(OR(AND(P$5&gt;0,P$5&gt;100),AND(P$5&gt;0,P$5&lt;100)),
VLOOKUP(FLOOR((Midterm!P50/P$5)*100,1),new_transmute,4,FALSE),
VLOOKUP(Midterm!P50,new_transmute,4,FALSE)
),
""
)
)
)
)
)
)
)
)
))</f>
        <v/>
      </c>
      <c r="Q50" s="14" t="str">
        <f>IF($B50="","",
IF(Q$5="","",
IF(Midterm!Q50="",0,
IF(NOT(ISNUMBER(Midterm!Q50)),"NAN",
IF(Midterm!Q50&lt;0,"NEG",
IF(Midterm!Q50&gt;Q$5,"OVER",
IF(AND(Q$5&lt;=100,Midterm!Q50&gt;100),"ERR",
IF(Info!$B$4="Non-board program",
IF(OR(AND(Q$5&gt;0,Q$5&gt;100),AND(Q$5&gt;0,Q$5&lt;100)),
VLOOKUP(FLOOR((Midterm!Q50/Q$5)*100,1),new_transmute,2,FALSE),
VLOOKUP(Midterm!Q50,new_transmute,2,FALSE)
),
IF(Info!$B$4="Board program",
IF(OR(AND(Q$5&gt;0,Q$5&gt;100),AND(Q$5&gt;0,Q$5&lt;100)),
VLOOKUP(FLOOR((Midterm!Q50/Q$5)*100,1),new_transmute,3,FALSE),
VLOOKUP(Midterm!Q50,new_transmute,3,FALSE)
),
IF(Info!$B$4="Board program (Medicine)",
IF(OR(AND(Q$5&gt;0,Q$5&gt;100),AND(Q$5&gt;0,Q$5&lt;100)),
VLOOKUP(FLOOR((Midterm!Q50/Q$5)*100,1),new_transmute,4,FALSE),
VLOOKUP(Midterm!Q50,new_transmute,4,FALSE)
),
""
)
)
)
)
)
)
)
)
))</f>
        <v/>
      </c>
      <c r="R50" s="14" t="str">
        <f>IF($B50="","",
IF(R$5="","",
IF(Midterm!R50="",0,
IF(NOT(ISNUMBER(Midterm!R50)),"NAN",
IF(Midterm!R50&lt;0,"NEG",
IF(Midterm!R50&gt;R$5,"OVER",
IF(AND(R$5&lt;=100,Midterm!R50&gt;100),"ERR",
IF(Info!$B$4="Non-board program",
IF(OR(AND(R$5&gt;0,R$5&gt;100),AND(R$5&gt;0,R$5&lt;100)),
VLOOKUP(FLOOR((Midterm!R50/R$5)*100,1),new_transmute,2,FALSE),
VLOOKUP(Midterm!R50,new_transmute,2,FALSE)
),
IF(Info!$B$4="Board program",
IF(OR(AND(R$5&gt;0,R$5&gt;100),AND(R$5&gt;0,R$5&lt;100)),
VLOOKUP(FLOOR((Midterm!R50/R$5)*100,1),new_transmute,3,FALSE),
VLOOKUP(Midterm!R50,new_transmute,3,FALSE)
),
IF(Info!$B$4="Board program (Medicine)",
IF(OR(AND(R$5&gt;0,R$5&gt;100),AND(R$5&gt;0,R$5&lt;100)),
VLOOKUP(FLOOR((Midterm!R50/R$5)*100,1),new_transmute,4,FALSE),
VLOOKUP(Midterm!R50,new_transmute,4,FALSE)
),
""
)
)
)
)
)
)
)
)
))</f>
        <v/>
      </c>
      <c r="S50" s="115" t="str">
        <f t="shared" si="3"/>
        <v/>
      </c>
      <c r="T50" s="14" t="str">
        <f>IF($B50="","",
IF(T$5="","",
IF(Midterm!T50="",0,
IF(NOT(ISNUMBER(Midterm!T50)),"NAN",
IF(Midterm!T50&lt;0,"NEG",
IF(Midterm!T50&gt;T$5,"OVER",
IF(AND(T$5&lt;=100,Midterm!T50&gt;100),"ERR",
IF(Info!$B$4="Non-board program",
IF(OR(AND(T$5&gt;0,T$5&gt;100),AND(T$5&gt;0,T$5&lt;100)),
VLOOKUP(FLOOR((Midterm!T50/T$5)*100,1),new_transmute,2,FALSE),
VLOOKUP(Midterm!T50,new_transmute,2,FALSE)
),
IF(Info!$B$4="Board program",
IF(OR(AND(T$5&gt;0,T$5&gt;100),AND(T$5&gt;0,T$5&lt;100)),
VLOOKUP(FLOOR((Midterm!T50/T$5)*100,1),new_transmute,3,FALSE),
VLOOKUP(Midterm!T50,new_transmute,3,FALSE)
),
IF(Info!$B$4="Board program (Medicine)",
IF(OR(AND(T$5&gt;0,T$5&gt;100),AND(T$5&gt;0,T$5&lt;100)),
VLOOKUP(FLOOR((Midterm!T50/T$5)*100,1),new_transmute,4,FALSE),
VLOOKUP(Midterm!T50,new_transmute,4,FALSE)
),
""
)
)
)
)
)
)
)
)
))</f>
        <v/>
      </c>
      <c r="U50" s="14" t="str">
        <f>IF($B50="","",
IF(U$5="","",
IF(Midterm!U50="",0,
IF(NOT(ISNUMBER(Midterm!U50)),"NAN",
IF(Midterm!U50&lt;0,"NEG",
IF(Midterm!U50&gt;U$5,"OVER",
IF(AND(U$5&lt;=100,Midterm!U50&gt;100),"ERR",
IF(Info!$B$4="Non-board program",
IF(OR(AND(U$5&gt;0,U$5&gt;100),AND(U$5&gt;0,U$5&lt;100)),
VLOOKUP(FLOOR((Midterm!U50/U$5)*100,1),new_transmute,2,FALSE),
VLOOKUP(Midterm!U50,new_transmute,2,FALSE)
),
IF(Info!$B$4="Board program",
IF(OR(AND(U$5&gt;0,U$5&gt;100),AND(U$5&gt;0,U$5&lt;100)),
VLOOKUP(FLOOR((Midterm!U50/U$5)*100,1),new_transmute,3,FALSE),
VLOOKUP(Midterm!U50,new_transmute,3,FALSE)
),
IF(Info!$B$4="Board program (Medicine)",
IF(OR(AND(U$5&gt;0,U$5&gt;100),AND(U$5&gt;0,U$5&lt;100)),
VLOOKUP(FLOOR((Midterm!U50/U$5)*100,1),new_transmute,4,FALSE),
VLOOKUP(Midterm!U50,new_transmute,4,FALSE)
),
""
)
)
)
)
)
)
)
)
))</f>
        <v/>
      </c>
      <c r="V50" s="14" t="str">
        <f>IF($B50="","",
IF(V$5="","",
IF(Midterm!V50="",0,
IF(NOT(ISNUMBER(Midterm!V50)),"NAN",
IF(Midterm!V50&lt;0,"NEG",
IF(Midterm!V50&gt;V$5,"OVER",
IF(AND(V$5&lt;=100,Midterm!V50&gt;100),"ERR",
IF(Info!$B$4="Non-board program",
IF(OR(AND(V$5&gt;0,V$5&gt;100),AND(V$5&gt;0,V$5&lt;100)),
VLOOKUP(FLOOR((Midterm!V50/V$5)*100,1),new_transmute,2,FALSE),
VLOOKUP(Midterm!V50,new_transmute,2,FALSE)
),
IF(Info!$B$4="Board program",
IF(OR(AND(V$5&gt;0,V$5&gt;100),AND(V$5&gt;0,V$5&lt;100)),
VLOOKUP(FLOOR((Midterm!V50/V$5)*100,1),new_transmute,3,FALSE),
VLOOKUP(Midterm!V50,new_transmute,3,FALSE)
),
IF(Info!$B$4="Board program (Medicine)",
IF(OR(AND(V$5&gt;0,V$5&gt;100),AND(V$5&gt;0,V$5&lt;100)),
VLOOKUP(FLOOR((Midterm!V50/V$5)*100,1),new_transmute,4,FALSE),
VLOOKUP(Midterm!V50,new_transmute,4,FALSE)
),
""
)
)
)
)
)
)
)
)
))</f>
        <v/>
      </c>
      <c r="W50" s="14" t="str">
        <f>IF($B50="","",
IF(W$5="","",
IF(Midterm!W50="",0,
IF(NOT(ISNUMBER(Midterm!W50)),"NAN",
IF(Midterm!W50&lt;0,"NEG",
IF(Midterm!W50&gt;W$5,"OVER",
IF(AND(W$5&lt;=100,Midterm!W50&gt;100),"ERR",
IF(Info!$B$4="Non-board program",
IF(OR(AND(W$5&gt;0,W$5&gt;100),AND(W$5&gt;0,W$5&lt;100)),
VLOOKUP(FLOOR((Midterm!W50/W$5)*100,1),new_transmute,2,FALSE),
VLOOKUP(Midterm!W50,new_transmute,2,FALSE)
),
IF(Info!$B$4="Board program",
IF(OR(AND(W$5&gt;0,W$5&gt;100),AND(W$5&gt;0,W$5&lt;100)),
VLOOKUP(FLOOR((Midterm!W50/W$5)*100,1),new_transmute,3,FALSE),
VLOOKUP(Midterm!W50,new_transmute,3,FALSE)
),
IF(Info!$B$4="Board program (Medicine)",
IF(OR(AND(W$5&gt;0,W$5&gt;100),AND(W$5&gt;0,W$5&lt;100)),
VLOOKUP(FLOOR((Midterm!W50/W$5)*100,1),new_transmute,4,FALSE),
VLOOKUP(Midterm!W50,new_transmute,4,FALSE)
),
""
)
)
)
)
)
)
)
)
))</f>
        <v/>
      </c>
      <c r="X50" s="14" t="str">
        <f>IF($B50="","",
IF(X$5="","",
IF(Midterm!X50="",0,
IF(NOT(ISNUMBER(Midterm!X50)),"NAN",
IF(Midterm!X50&lt;0,"NEG",
IF(Midterm!X50&gt;X$5,"OVER",
IF(AND(X$5&lt;=100,Midterm!X50&gt;100),"ERR",
IF(Info!$B$4="Non-board program",
IF(OR(AND(X$5&gt;0,X$5&gt;100),AND(X$5&gt;0,X$5&lt;100)),
VLOOKUP(FLOOR((Midterm!X50/X$5)*100,1),new_transmute,2,FALSE),
VLOOKUP(Midterm!X50,new_transmute,2,FALSE)
),
IF(Info!$B$4="Board program",
IF(OR(AND(X$5&gt;0,X$5&gt;100),AND(X$5&gt;0,X$5&lt;100)),
VLOOKUP(FLOOR((Midterm!X50/X$5)*100,1),new_transmute,3,FALSE),
VLOOKUP(Midterm!X50,new_transmute,3,FALSE)
),
IF(Info!$B$4="Board program (Medicine)",
IF(OR(AND(X$5&gt;0,X$5&gt;100),AND(X$5&gt;0,X$5&lt;100)),
VLOOKUP(FLOOR((Midterm!X50/X$5)*100,1),new_transmute,4,FALSE),
VLOOKUP(Midterm!X50,new_transmute,4,FALSE)
),
""
)
)
)
)
)
)
)
)
))</f>
        <v/>
      </c>
      <c r="Y50" s="112" t="str">
        <f t="shared" si="4"/>
        <v/>
      </c>
      <c r="Z50" s="14" t="str">
        <f>IF($B50="","",
IF(Z$5="","",
IF(Midterm!Z50="",0,
IF(NOT(ISNUMBER(Midterm!Z50)),"NAN",
IF(Midterm!Z50&lt;0,"NEG",
IF(Midterm!Z50&gt;Z$5,"OVER",
IF(AND(Z$5&lt;=100,Midterm!Z50&gt;100),"ERR",
IF(Info!$B$4="Non-board program",
IF(OR(AND(Z$5&gt;0,Z$5&gt;100),AND(Z$5&gt;0,Z$5&lt;100)),
VLOOKUP(FLOOR((Midterm!Z50/Z$5)*100,1),new_transmute,2,FALSE),
VLOOKUP(Midterm!Z50,new_transmute,2,FALSE)
),
IF(Info!$B$4="Board program",
IF(OR(AND(Z$5&gt;0,Z$5&gt;100),AND(Z$5&gt;0,Z$5&lt;100)),
VLOOKUP(FLOOR((Midterm!Z50/Z$5)*100,1),new_transmute,3,FALSE),
VLOOKUP(Midterm!Z50,new_transmute,3,FALSE)
),
IF(Info!$B$4="Board program (Medicine)",
IF(OR(AND(Z$5&gt;0,Z$5&gt;100),AND(Z$5&gt;0,Z$5&lt;100)),
VLOOKUP(FLOOR((Midterm!Z50/Z$5)*100,1),new_transmute,4,FALSE),
VLOOKUP(Midterm!Z50,new_transmute,4,FALSE)
),
""
)
)
)
)
)
)
)
)
))</f>
        <v/>
      </c>
      <c r="AA50" s="14" t="str">
        <f>IF($B50="","",
IF(AA$5="","",
IF(Midterm!AA50="",0,
IF(NOT(ISNUMBER(Midterm!AA50)),"NAN",
IF(Midterm!AA50&lt;0,"NEG",
IF(Midterm!AA50&gt;AA$5,"OVER",
IF(AND(AA$5&lt;=100,Midterm!AA50&gt;100),"ERR",
IF(Info!$B$4="Non-board program",
IF(OR(AND(AA$5&gt;0,AA$5&gt;100),AND(AA$5&gt;0,AA$5&lt;100)),
VLOOKUP(FLOOR((Midterm!AA50/AA$5)*100,1),new_transmute,2,FALSE),
VLOOKUP(Midterm!AA50,new_transmute,2,FALSE)
),
IF(Info!$B$4="Board program",
IF(OR(AND(AA$5&gt;0,AA$5&gt;100),AND(AA$5&gt;0,AA$5&lt;100)),
VLOOKUP(FLOOR((Midterm!AA50/AA$5)*100,1),new_transmute,3,FALSE),
VLOOKUP(Midterm!AA50,new_transmute,3,FALSE)
),
IF(Info!$B$4="Board program (Medicine)",
IF(OR(AND(AA$5&gt;0,AA$5&gt;100),AND(AA$5&gt;0,AA$5&lt;100)),
VLOOKUP(FLOOR((Midterm!AA50/AA$5)*100,1),new_transmute,4,FALSE),
VLOOKUP(Midterm!AA50,new_transmute,4,FALSE)
),
""
)
)
)
)
)
)
)
)
))</f>
        <v/>
      </c>
      <c r="AB50" s="14" t="str">
        <f>IF($B50="","",
IF(AB$5="","",
IF(Midterm!AB50="",0,
IF(NOT(ISNUMBER(Midterm!AB50)),"NAN",
IF(Midterm!AB50&lt;0,"NEG",
IF(Midterm!AB50&gt;AB$5,"OVER",
IF(AND(AB$5&lt;=100,Midterm!AB50&gt;100),"ERR",
IF(Info!$B$4="Non-board program",
IF(OR(AND(AB$5&gt;0,AB$5&gt;100),AND(AB$5&gt;0,AB$5&lt;100)),
VLOOKUP(FLOOR((Midterm!AB50/AB$5)*100,1),new_transmute,2,FALSE),
VLOOKUP(Midterm!AB50,new_transmute,2,FALSE)
),
IF(Info!$B$4="Board program",
IF(OR(AND(AB$5&gt;0,AB$5&gt;100),AND(AB$5&gt;0,AB$5&lt;100)),
VLOOKUP(FLOOR((Midterm!AB50/AB$5)*100,1),new_transmute,3,FALSE),
VLOOKUP(Midterm!AB50,new_transmute,3,FALSE)
),
IF(Info!$B$4="Board program (Medicine)",
IF(OR(AND(AB$5&gt;0,AB$5&gt;100),AND(AB$5&gt;0,AB$5&lt;100)),
VLOOKUP(FLOOR((Midterm!AB50/AB$5)*100,1),new_transmute,4,FALSE),
VLOOKUP(Midterm!AB50,new_transmute,4,FALSE)
),
""
)
)
)
)
)
)
)
)
))</f>
        <v/>
      </c>
      <c r="AC50" s="14" t="str">
        <f>IF($B50="","",
IF(AC$5="","",
IF(Midterm!AC50="",0,
IF(NOT(ISNUMBER(Midterm!AC50)),"NAN",
IF(Midterm!AC50&lt;0,"NEG",
IF(Midterm!AC50&gt;AC$5,"OVER",
IF(AND(AC$5&lt;=100,Midterm!AC50&gt;100),"ERR",
IF(Info!$B$4="Non-board program",
IF(OR(AND(AC$5&gt;0,AC$5&gt;100),AND(AC$5&gt;0,AC$5&lt;100)),
VLOOKUP(FLOOR((Midterm!AC50/AC$5)*100,1),new_transmute,2,FALSE),
VLOOKUP(Midterm!AC50,new_transmute,2,FALSE)
),
IF(Info!$B$4="Board program",
IF(OR(AND(AC$5&gt;0,AC$5&gt;100),AND(AC$5&gt;0,AC$5&lt;100)),
VLOOKUP(FLOOR((Midterm!AC50/AC$5)*100,1),new_transmute,3,FALSE),
VLOOKUP(Midterm!AC50,new_transmute,3,FALSE)
),
IF(Info!$B$4="Board program (Medicine)",
IF(OR(AND(AC$5&gt;0,AC$5&gt;100),AND(AC$5&gt;0,AC$5&lt;100)),
VLOOKUP(FLOOR((Midterm!AC50/AC$5)*100,1),new_transmute,4,FALSE),
VLOOKUP(Midterm!AC50,new_transmute,4,FALSE)
),
""
)
)
)
)
)
)
)
)
))</f>
        <v/>
      </c>
      <c r="AD50" s="14" t="str">
        <f>IF($B50="","",
IF(AD$5="","",
IF(Midterm!AD50="",0,
IF(NOT(ISNUMBER(Midterm!AD50)),"NAN",
IF(Midterm!AD50&lt;0,"NEG",
IF(Midterm!AD50&gt;AD$5,"OVER",
IF(AND(AD$5&lt;=100,Midterm!AD50&gt;100),"ERR",
IF(Info!$B$4="Non-board program",
IF(OR(AND(AD$5&gt;0,AD$5&gt;100),AND(AD$5&gt;0,AD$5&lt;100)),
VLOOKUP(FLOOR((Midterm!AD50/AD$5)*100,1),new_transmute,2,FALSE),
VLOOKUP(Midterm!AD50,new_transmute,2,FALSE)
),
IF(Info!$B$4="Board program",
IF(OR(AND(AD$5&gt;0,AD$5&gt;100),AND(AD$5&gt;0,AD$5&lt;100)),
VLOOKUP(FLOOR((Midterm!AD50/AD$5)*100,1),new_transmute,3,FALSE),
VLOOKUP(Midterm!AD50,new_transmute,3,FALSE)
),
IF(Info!$B$4="Board program (Medicine)",
IF(OR(AND(AD$5&gt;0,AD$5&gt;100),AND(AD$5&gt;0,AD$5&lt;100)),
VLOOKUP(FLOOR((Midterm!AD50/AD$5)*100,1),new_transmute,4,FALSE),
VLOOKUP(Midterm!AD50,new_transmute,4,FALSE)
),
""
)
)
)
)
)
)
)
)
))</f>
        <v/>
      </c>
      <c r="AE50" s="58" t="str">
        <f t="shared" si="5"/>
        <v/>
      </c>
      <c r="AF50" s="14" t="str">
        <f>IF($B50="","",
IF(AF$5="","",
IF(Midterm!AF50="",0,
IF(NOT(ISNUMBER(Midterm!AF50)),"NAN",
IF(Midterm!AF50&lt;0,"NEG",
IF(Midterm!AF50&gt;AF$5,"OVER",
IF(AND(AF$5&lt;=100,Midterm!AF50&gt;100),"ERR",
IF(Info!$B$4="Non-board program",
IF(OR(AND(AF$5&gt;0,AF$5&gt;100),AND(AF$5&gt;0,AF$5&lt;100)),
VLOOKUP(FLOOR((Midterm!AF50/AF$5)*100,1),new_transmute,2,FALSE),
VLOOKUP(Midterm!AF50,new_transmute,2,FALSE)
),
IF(Info!$B$4="Board program",
IF(OR(AND(AF$5&gt;0,AF$5&gt;100),AND(AF$5&gt;0,AF$5&lt;100)),
VLOOKUP(FLOOR((Midterm!AF50/AF$5)*100,1),new_transmute,3,FALSE),
VLOOKUP(Midterm!AF50,new_transmute,3,FALSE)
),
IF(Info!$B$4="Board program (Medicine)",
IF(OR(AND(AF$5&gt;0,AF$5&gt;100),AND(AF$5&gt;0,AF$5&lt;100)),
VLOOKUP(FLOOR((Midterm!AF50/AF$5)*100,1),new_transmute,4,FALSE),
VLOOKUP(Midterm!AF50,new_transmute,4,FALSE)
),
""
)
)
)
)
)
)
)
)
))</f>
        <v/>
      </c>
      <c r="AG50" s="14" t="str">
        <f>IF($B50="","",
IF(AG$5="","",
IF(Midterm!AG50="",0,
IF(NOT(ISNUMBER(Midterm!AG50)),"NAN",
IF(Midterm!AG50&lt;0,"NEG",
IF(Midterm!AG50&gt;AG$5,"OVER",
IF(AND(AG$5&lt;=100,Midterm!AG50&gt;100),"ERR",
IF(Info!$B$4="Non-board program",
IF(OR(AND(AG$5&gt;0,AG$5&gt;100),AND(AG$5&gt;0,AG$5&lt;100)),
VLOOKUP(FLOOR((Midterm!AG50/AG$5)*100,1),new_transmute,2,FALSE),
VLOOKUP(Midterm!AG50,new_transmute,2,FALSE)
),
IF(Info!$B$4="Board program",
IF(OR(AND(AG$5&gt;0,AG$5&gt;100),AND(AG$5&gt;0,AG$5&lt;100)),
VLOOKUP(FLOOR((Midterm!AG50/AG$5)*100,1),new_transmute,3,FALSE),
VLOOKUP(Midterm!AG50,new_transmute,3,FALSE)
),
IF(Info!$B$4="Board program (Medicine)",
IF(OR(AND(AG$5&gt;0,AG$5&gt;100),AND(AG$5&gt;0,AG$5&lt;100)),
VLOOKUP(FLOOR((Midterm!AG50/AG$5)*100,1),new_transmute,4,FALSE),
VLOOKUP(Midterm!AG50,new_transmute,4,FALSE)
),
""
)
)
)
)
)
)
)
)
))</f>
        <v/>
      </c>
      <c r="AH50" s="14" t="str">
        <f>IF($B50="","",
IF(AH$5="","",
IF(Midterm!AH50="",0,
IF(NOT(ISNUMBER(Midterm!AH50)),"NAN",
IF(Midterm!AH50&lt;0,"NEG",
IF(Midterm!AH50&gt;AH$5,"OVER",
IF(AND(AH$5&lt;=100,Midterm!AH50&gt;100),"ERR",
IF(Info!$B$4="Non-board program",
IF(OR(AND(AH$5&gt;0,AH$5&gt;100),AND(AH$5&gt;0,AH$5&lt;100)),
VLOOKUP(FLOOR((Midterm!AH50/AH$5)*100,1),new_transmute,2,FALSE),
VLOOKUP(Midterm!AH50,new_transmute,2,FALSE)
),
IF(Info!$B$4="Board program",
IF(OR(AND(AH$5&gt;0,AH$5&gt;100),AND(AH$5&gt;0,AH$5&lt;100)),
VLOOKUP(FLOOR((Midterm!AH50/AH$5)*100,1),new_transmute,3,FALSE),
VLOOKUP(Midterm!AH50,new_transmute,3,FALSE)
),
IF(Info!$B$4="Board program (Medicine)",
IF(OR(AND(AH$5&gt;0,AH$5&gt;100),AND(AH$5&gt;0,AH$5&lt;100)),
VLOOKUP(FLOOR((Midterm!AH50/AH$5)*100,1),new_transmute,4,FALSE),
VLOOKUP(Midterm!AH50,new_transmute,4,FALSE)
),
""
)
)
)
)
)
)
)
)
))</f>
        <v/>
      </c>
      <c r="AI50" s="14" t="str">
        <f>IF($B50="","",
IF(AI$5="","",
IF(Midterm!AI50="",0,
IF(NOT(ISNUMBER(Midterm!AI50)),"NAN",
IF(Midterm!AI50&lt;0,"NEG",
IF(Midterm!AI50&gt;AI$5,"OVER",
IF(AND(AI$5&lt;=100,Midterm!AI50&gt;100),"ERR",
IF(Info!$B$4="Non-board program",
IF(OR(AND(AI$5&gt;0,AI$5&gt;100),AND(AI$5&gt;0,AI$5&lt;100)),
VLOOKUP(FLOOR((Midterm!AI50/AI$5)*100,1),new_transmute,2,FALSE),
VLOOKUP(Midterm!AI50,new_transmute,2,FALSE)
),
IF(Info!$B$4="Board program",
IF(OR(AND(AI$5&gt;0,AI$5&gt;100),AND(AI$5&gt;0,AI$5&lt;100)),
VLOOKUP(FLOOR((Midterm!AI50/AI$5)*100,1),new_transmute,3,FALSE),
VLOOKUP(Midterm!AI50,new_transmute,3,FALSE)
),
IF(Info!$B$4="Board program (Medicine)",
IF(OR(AND(AI$5&gt;0,AI$5&gt;100),AND(AI$5&gt;0,AI$5&lt;100)),
VLOOKUP(FLOOR((Midterm!AI50/AI$5)*100,1),new_transmute,4,FALSE),
VLOOKUP(Midterm!AI50,new_transmute,4,FALSE)
),
""
)
)
)
)
)
)
)
)
))</f>
        <v/>
      </c>
      <c r="AJ50" s="14" t="str">
        <f>IF($B50="","",
IF(AJ$5="","",
IF(Midterm!AJ50="",0,
IF(NOT(ISNUMBER(Midterm!AJ50)),"NAN",
IF(Midterm!AJ50&lt;0,"NEG",
IF(Midterm!AJ50&gt;AJ$5,"OVER",
IF(AND(AJ$5&lt;=100,Midterm!AJ50&gt;100),"ERR",
IF(Info!$B$4="Non-board program",
IF(OR(AND(AJ$5&gt;0,AJ$5&gt;100),AND(AJ$5&gt;0,AJ$5&lt;100)),
VLOOKUP(FLOOR((Midterm!AJ50/AJ$5)*100,1),new_transmute,2,FALSE),
VLOOKUP(Midterm!AJ50,new_transmute,2,FALSE)
),
IF(Info!$B$4="Board program",
IF(OR(AND(AJ$5&gt;0,AJ$5&gt;100),AND(AJ$5&gt;0,AJ$5&lt;100)),
VLOOKUP(FLOOR((Midterm!AJ50/AJ$5)*100,1),new_transmute,3,FALSE),
VLOOKUP(Midterm!AJ50,new_transmute,3,FALSE)
),
IF(Info!$B$4="Board program (Medicine)",
IF(OR(AND(AJ$5&gt;0,AJ$5&gt;100),AND(AJ$5&gt;0,AJ$5&lt;100)),
VLOOKUP(FLOOR((Midterm!AJ50/AJ$5)*100,1),new_transmute,4,FALSE),
VLOOKUP(Midterm!AJ50,new_transmute,4,FALSE)
),
""
)
)
)
)
)
)
)
)
))</f>
        <v/>
      </c>
      <c r="AK50" s="59" t="str">
        <f t="shared" si="6"/>
        <v/>
      </c>
      <c r="AL50" s="60" t="str">
        <f>IF(B50="", "",
    IF(OR(M50="OVER", S50="OVER", Y50="OVER", AE50="OVER", AK50="OVER"),
        "OVER",
        IF(Info!$B$4="Non-board program",
            VLOOKUP(IFERROR(FLOOR(SUM((M50*$M$4), (S50*$S$4), (Y50*$Y$4), (AE50*$AE$4), (AK50*$AK$4)) * (100 / 60), 1), 0), new_transmute, 2, FALSE),
            IF(Info!$B$4="Board program",
                VLOOKUP(IFERROR(FLOOR(SUM((M50*$M$4), (S50*$S$4), (Y50*$Y$4), (AE50*$AE$4), (AK50*$AK$4)) * (100 / 60), 1), 0), new_transmute, 3, FALSE),
                IF(Info!$B$4="Board program (Medicine)",
                    VLOOKUP(IFERROR(FLOOR(SUM((M50*$M$4), (S50*$S$4), (Y50*$Y$4), (AE50*$AE$4), (AK50*$AK$4)) * (100 / 60), 1), 0), new_transmute, 4, FALSE),
                    ""
                )
            )
        )
    )
)</f>
        <v/>
      </c>
      <c r="AM50" s="14" t="str">
        <f>IF($B50="","",
IF(AM$5="","",
IF(Midterm!AM50="",0,
IF(NOT(ISNUMBER(Midterm!AM50)),"NAN",
IF(Midterm!AM50&lt;0,"NEG",
IF(Midterm!AM50&gt;AM$5,"OVER",
IF(AND(AM$5&lt;=100,Midterm!AM50&gt;100),"ERR",
IF(Info!$B$4="Non-board program",
IF(OR(AND(AM$5&gt;0,AM$5&gt;100),AND(AM$5&gt;0,AM$5&lt;100)),
VLOOKUP(FLOOR((Midterm!AM50/AM$5)*100,1),new_transmute,2,FALSE),
VLOOKUP(Midterm!AM50,new_transmute,2,FALSE)
),
IF(Info!$B$4="Board program",
IF(OR(AND(AM$5&gt;0,AM$5&gt;100),AND(AM$5&gt;0,AM$5&lt;100)),
VLOOKUP(FLOOR((Midterm!AM50/AM$5)*100,1),new_transmute,3,FALSE),
VLOOKUP(Midterm!AM50,new_transmute,3,FALSE)
),
IF(Info!$B$4="Board program (Medicine)",
IF(OR(AND(AM$5&gt;0,AM$5&gt;100),AND(AM$5&gt;0,AM$5&lt;100)),
VLOOKUP(FLOOR((Midterm!AM50/AM$5)*100,1),new_transmute,4,FALSE),
VLOOKUP(Midterm!AM50,new_transmute,4,FALSE)
),
""
)
)
)
)
)
)
)
)
))</f>
        <v/>
      </c>
      <c r="AN50" s="14" t="str">
        <f>IF($B50="","",
IF(AN$5="","",
IF(Midterm!AN50="",0,
IF(NOT(ISNUMBER(Midterm!AN50)),"NAN",
IF(Midterm!AN50&lt;0,"NEG",
IF(Midterm!AN50&gt;AN$5,"OVER",
IF(AND(AN$5&lt;=100,Midterm!AN50&gt;100),"ERR",
IF(Info!$B$4="Non-board program",
IF(OR(AND(AN$5&gt;0,AN$5&gt;100),AND(AN$5&gt;0,AN$5&lt;100)),
VLOOKUP(FLOOR((Midterm!AN50/AN$5)*100,1),new_transmute,2,FALSE),
VLOOKUP(Midterm!AN50,new_transmute,2,FALSE)
),
IF(Info!$B$4="Board program",
IF(OR(AND(AN$5&gt;0,AN$5&gt;100),AND(AN$5&gt;0,AN$5&lt;100)),
VLOOKUP(FLOOR((Midterm!AN50/AN$5)*100,1),new_transmute,3,FALSE),
VLOOKUP(Midterm!AN50,new_transmute,3,FALSE)
),
IF(Info!$B$4="Board program (Medicine)",
IF(OR(AND(AN$5&gt;0,AN$5&gt;100),AND(AN$5&gt;0,AN$5&lt;100)),
VLOOKUP(FLOOR((Midterm!AN50/AN$5)*100,1),new_transmute,4,FALSE),
VLOOKUP(Midterm!AN50,new_transmute,4,FALSE)
),
""
)
)
)
)
)
)
)
)
))</f>
        <v/>
      </c>
      <c r="AO50" s="14" t="str">
        <f>IF($B50="","",
IF(AO$5="","",
IF(Midterm!AO50="",0,
IF(NOT(ISNUMBER(Midterm!AO50)),"NAN",
IF(Midterm!AO50&lt;0,"NEG",
IF(Midterm!AO50&gt;AO$5,"OVER",
IF(AND(AO$5&lt;=100,Midterm!AO50&gt;100),"ERR",
IF(Info!$B$4="Non-board program",
IF(OR(AND(AO$5&gt;0,AO$5&gt;100),AND(AO$5&gt;0,AO$5&lt;100)),
VLOOKUP(FLOOR((Midterm!AO50/AO$5)*100,1),new_transmute,2,FALSE),
VLOOKUP(Midterm!AO50,new_transmute,2,FALSE)
),
IF(Info!$B$4="Board program",
IF(OR(AND(AO$5&gt;0,AO$5&gt;100),AND(AO$5&gt;0,AO$5&lt;100)),
VLOOKUP(FLOOR((Midterm!AO50/AO$5)*100,1),new_transmute,3,FALSE),
VLOOKUP(Midterm!AO50,new_transmute,3,FALSE)
),
IF(Info!$B$4="Board program (Medicine)",
IF(OR(AND(AO$5&gt;0,AO$5&gt;100),AND(AO$5&gt;0,AO$5&lt;100)),
VLOOKUP(FLOOR((Midterm!AO50/AO$5)*100,1),new_transmute,4,FALSE),
VLOOKUP(Midterm!AO50,new_transmute,4,FALSE)
),
""
)
)
)
)
)
)
)
)
))</f>
        <v/>
      </c>
      <c r="AP50" s="14" t="str">
        <f>IF($B50="","",
IF(AP$5="","",
IF(Midterm!AP50="",0,
IF(NOT(ISNUMBER(Midterm!AP50)),"NAN",
IF(Midterm!AP50&lt;0,"NEG",
IF(Midterm!AP50&gt;AP$5,"OVER",
IF(AND(AP$5&lt;=100,Midterm!AP50&gt;100),"ERR",
IF(Info!$B$4="Non-board program",
IF(OR(AND(AP$5&gt;0,AP$5&gt;100),AND(AP$5&gt;0,AP$5&lt;100)),
VLOOKUP(FLOOR((Midterm!AP50/AP$5)*100,1),new_transmute,2,FALSE),
VLOOKUP(Midterm!AP50,new_transmute,2,FALSE)
),
IF(Info!$B$4="Board program",
IF(OR(AND(AP$5&gt;0,AP$5&gt;100),AND(AP$5&gt;0,AP$5&lt;100)),
VLOOKUP(FLOOR((Midterm!AP50/AP$5)*100,1),new_transmute,3,FALSE),
VLOOKUP(Midterm!AP50,new_transmute,3,FALSE)
),
IF(Info!$B$4="Board program (Medicine)",
IF(OR(AND(AP$5&gt;0,AP$5&gt;100),AND(AP$5&gt;0,AP$5&lt;100)),
VLOOKUP(FLOOR((Midterm!AP50/AP$5)*100,1),new_transmute,4,FALSE),
VLOOKUP(Midterm!AP50,new_transmute,4,FALSE)
),
""
)
)
)
)
)
)
)
)
))</f>
        <v/>
      </c>
      <c r="AQ50" s="61" t="str">
        <f t="shared" si="7"/>
        <v/>
      </c>
      <c r="AR50" s="48" t="str">
        <f>IF(Midterm!AR50="","",Midterm!AR50)</f>
        <v/>
      </c>
      <c r="AS50" s="165" t="str">
        <f t="shared" si="8"/>
        <v/>
      </c>
      <c r="AT50" s="14" t="str">
        <f t="shared" si="9"/>
        <v/>
      </c>
      <c r="AU50" s="14" t="str">
        <f>IF(B50="","",VLOOKUP(AT50,'New Grade Equivalent'!$B$3:$C$47,2,FALSE))</f>
        <v/>
      </c>
    </row>
    <row r="51" spans="1:47" x14ac:dyDescent="0.25">
      <c r="A51" s="8">
        <v>46</v>
      </c>
      <c r="B51" s="2" t="str">
        <f>IF('Student List'!C55="","",UPPER(LEFT('Student List'!C55,FIND(",",'Student List'!C55)-1)))</f>
        <v/>
      </c>
      <c r="C51" s="12" t="str">
        <f>IF('Student List'!C55="","",PROPER(MID('Student List'!C55, FIND(",", 'Student List'!C55) + 2, LEN('Student List'!C55) - FIND(",", 'Student List'!C55) - 1)))</f>
        <v/>
      </c>
      <c r="D51" s="127" t="str">
        <f>IF(B51="","",IF(Midterm!D51="", "NA", Midterm!D51))</f>
        <v/>
      </c>
      <c r="E51" s="8" t="str">
        <f>IF(B51="","",
  IF(Info!$B$5="First Year",
    IF(D51="Yes", "DRP",
      IF(D51="No", "WF", "")
    )
  )
)</f>
        <v/>
      </c>
      <c r="F51" s="14" t="str">
        <f>IF($B51="","",
IF(F$5="","",
IF(Midterm!F51="",0,
IF(NOT(ISNUMBER(Midterm!F51)),"NAN",
IF(Midterm!F51&lt;0,"NEG",
IF(Midterm!F51&gt;F$5,"OVER",
IF(AND(F$5&lt;=100,Midterm!F51&gt;100),"ERR",
IF(Info!$B$4="Non-board program",
IF(OR(AND(F$5&gt;0,F$5&gt;100),AND(F$5&gt;0,F$5&lt;100)),
VLOOKUP(FLOOR((Midterm!F51/F$5)*100,1),new_transmute,2,FALSE),
VLOOKUP(Midterm!F51,new_transmute,2,FALSE)
),
IF(Info!$B$4="Board program",
IF(OR(AND(F$5&gt;0,F$5&gt;100),AND(F$5&gt;0,F$5&lt;100)),
VLOOKUP(FLOOR((Midterm!F51/F$5)*100,1),new_transmute,3,FALSE),
VLOOKUP(Midterm!F51,new_transmute,3,FALSE)
),
IF(Info!$B$4="Board program (Medicine)",
IF(OR(AND(F$5&gt;0,F$5&gt;100),AND(F$5&gt;0,F$5&lt;100)),
VLOOKUP(FLOOR((Midterm!F51/F$5)*100,1),new_transmute,4,FALSE),
VLOOKUP(Midterm!F51,new_transmute,4,FALSE)
),
""
)
)
)
)
)
)
)
)
))</f>
        <v/>
      </c>
      <c r="G51" s="57" t="str">
        <f t="shared" si="1"/>
        <v/>
      </c>
      <c r="H51" s="14" t="str">
        <f>IF($B51="","",
IF(H$5="","",
IF(Midterm!H51="",0,
IF(NOT(ISNUMBER(Midterm!H51)),"NAN",
IF(Midterm!H51&lt;0,"NEG",
IF(Midterm!H51&gt;H$5,"OVER",
IF(AND(H$5&lt;=100,Midterm!H51&gt;100),"ERR",
IF(Info!$B$4="Non-board program",
IF(OR(AND(H$5&gt;0,H$5&gt;100),AND(H$5&gt;0,H$5&lt;100)),
VLOOKUP(FLOOR((Midterm!H51/H$5)*100,1),new_transmute,2,FALSE),
VLOOKUP(Midterm!H51,new_transmute,2,FALSE)
),
IF(Info!$B$4="Board program",
IF(OR(AND(H$5&gt;0,H$5&gt;100),AND(H$5&gt;0,H$5&lt;100)),
VLOOKUP(FLOOR((Midterm!H51/H$5)*100,1),new_transmute,3,FALSE),
VLOOKUP(Midterm!H51,new_transmute,3,FALSE)
),
IF(Info!$B$4="Board program (Medicine)",
IF(OR(AND(H$5&gt;0,H$5&gt;100),AND(H$5&gt;0,H$5&lt;100)),
VLOOKUP(FLOOR((Midterm!H51/H$5)*100,1),new_transmute,4,FALSE),
VLOOKUP(Midterm!H51,new_transmute,4,FALSE)
),
""
)
)
)
)
)
)
)
)
))</f>
        <v/>
      </c>
      <c r="I51" s="14" t="str">
        <f>IF($B51="","",
IF(I$5="","",
IF(Midterm!I51="",0,
IF(NOT(ISNUMBER(Midterm!I51)),"NAN",
IF(Midterm!I51&lt;0,"NEG",
IF(Midterm!I51&gt;I$5,"OVER",
IF(AND(I$5&lt;=100,Midterm!I51&gt;100),"ERR",
IF(Info!$B$4="Non-board program",
IF(OR(AND(I$5&gt;0,I$5&gt;100),AND(I$5&gt;0,I$5&lt;100)),
VLOOKUP(FLOOR((Midterm!I51/I$5)*100,1),new_transmute,2,FALSE),
VLOOKUP(Midterm!I51,new_transmute,2,FALSE)
),
IF(Info!$B$4="Board program",
IF(OR(AND(I$5&gt;0,I$5&gt;100),AND(I$5&gt;0,I$5&lt;100)),
VLOOKUP(FLOOR((Midterm!I51/I$5)*100,1),new_transmute,3,FALSE),
VLOOKUP(Midterm!I51,new_transmute,3,FALSE)
),
IF(Info!$B$4="Board program (Medicine)",
IF(OR(AND(I$5&gt;0,I$5&gt;100),AND(I$5&gt;0,I$5&lt;100)),
VLOOKUP(FLOOR((Midterm!I51/I$5)*100,1),new_transmute,4,FALSE),
VLOOKUP(Midterm!I51,new_transmute,4,FALSE)
),
""
)
)
)
)
)
)
)
)
))</f>
        <v/>
      </c>
      <c r="J51" s="14" t="str">
        <f>IF($B51="","",
IF(J$5="","",
IF(Midterm!J51="",0,
IF(NOT(ISNUMBER(Midterm!J51)),"NAN",
IF(Midterm!J51&lt;0,"NEG",
IF(Midterm!J51&gt;J$5,"OVER",
IF(AND(J$5&lt;=100,Midterm!J51&gt;100),"ERR",
IF(Info!$B$4="Non-board program",
IF(OR(AND(J$5&gt;0,J$5&gt;100),AND(J$5&gt;0,J$5&lt;100)),
VLOOKUP(FLOOR((Midterm!J51/J$5)*100,1),new_transmute,2,FALSE),
VLOOKUP(Midterm!J51,new_transmute,2,FALSE)
),
IF(Info!$B$4="Board program",
IF(OR(AND(J$5&gt;0,J$5&gt;100),AND(J$5&gt;0,J$5&lt;100)),
VLOOKUP(FLOOR((Midterm!J51/J$5)*100,1),new_transmute,3,FALSE),
VLOOKUP(Midterm!J51,new_transmute,3,FALSE)
),
IF(Info!$B$4="Board program (Medicine)",
IF(OR(AND(J$5&gt;0,J$5&gt;100),AND(J$5&gt;0,J$5&lt;100)),
VLOOKUP(FLOOR((Midterm!J51/J$5)*100,1),new_transmute,4,FALSE),
VLOOKUP(Midterm!J51,new_transmute,4,FALSE)
),
""
)
)
)
)
)
)
)
)
))</f>
        <v/>
      </c>
      <c r="K51" s="14" t="str">
        <f>IF($B51="","",
IF(K$5="","",
IF(Midterm!K51="",0,
IF(NOT(ISNUMBER(Midterm!K51)),"NAN",
IF(Midterm!K51&lt;0,"NEG",
IF(Midterm!K51&gt;K$5,"OVER",
IF(AND(K$5&lt;=100,Midterm!K51&gt;100),"ERR",
IF(Info!$B$4="Non-board program",
IF(OR(AND(K$5&gt;0,K$5&gt;100),AND(K$5&gt;0,K$5&lt;100)),
VLOOKUP(FLOOR((Midterm!K51/K$5)*100,1),new_transmute,2,FALSE),
VLOOKUP(Midterm!K51,new_transmute,2,FALSE)
),
IF(Info!$B$4="Board program",
IF(OR(AND(K$5&gt;0,K$5&gt;100),AND(K$5&gt;0,K$5&lt;100)),
VLOOKUP(FLOOR((Midterm!K51/K$5)*100,1),new_transmute,3,FALSE),
VLOOKUP(Midterm!K51,new_transmute,3,FALSE)
),
IF(Info!$B$4="Board program (Medicine)",
IF(OR(AND(K$5&gt;0,K$5&gt;100),AND(K$5&gt;0,K$5&lt;100)),
VLOOKUP(FLOOR((Midterm!K51/K$5)*100,1),new_transmute,4,FALSE),
VLOOKUP(Midterm!K51,new_transmute,4,FALSE)
),
""
)
)
)
)
)
)
)
)
))</f>
        <v/>
      </c>
      <c r="L51" s="14" t="str">
        <f>IF($B51="","",
IF(L$5="","",
IF(Midterm!L51="",0,
IF(NOT(ISNUMBER(Midterm!L51)),"NAN",
IF(Midterm!L51&lt;0,"NEG",
IF(Midterm!L51&gt;L$5,"OVER",
IF(AND(L$5&lt;=100,Midterm!L51&gt;100),"ERR",
IF(Info!$B$4="Non-board program",
IF(OR(AND(L$5&gt;0,L$5&gt;100),AND(L$5&gt;0,L$5&lt;100)),
VLOOKUP(FLOOR((Midterm!L51/L$5)*100,1),new_transmute,2,FALSE),
VLOOKUP(Midterm!L51,new_transmute,2,FALSE)
),
IF(Info!$B$4="Board program",
IF(OR(AND(L$5&gt;0,L$5&gt;100),AND(L$5&gt;0,L$5&lt;100)),
VLOOKUP(FLOOR((Midterm!L51/L$5)*100,1),new_transmute,3,FALSE),
VLOOKUP(Midterm!L51,new_transmute,3,FALSE)
),
IF(Info!$B$4="Board program (Medicine)",
IF(OR(AND(L$5&gt;0,L$5&gt;100),AND(L$5&gt;0,L$5&lt;100)),
VLOOKUP(FLOOR((Midterm!L51/L$5)*100,1),new_transmute,4,FALSE),
VLOOKUP(Midterm!L51,new_transmute,4,FALSE)
),
""
)
)
)
)
)
)
)
)
))</f>
        <v/>
      </c>
      <c r="M51" s="111" t="str">
        <f t="shared" si="2"/>
        <v/>
      </c>
      <c r="N51" s="14" t="str">
        <f>IF($B51="","",
IF(N$5="","",
IF(Midterm!N51="",0,
IF(NOT(ISNUMBER(Midterm!N51)),"NAN",
IF(Midterm!N51&lt;0,"NEG",
IF(Midterm!N51&gt;N$5,"OVER",
IF(AND(N$5&lt;=100,Midterm!N51&gt;100),"ERR",
IF(Info!$B$4="Non-board program",
IF(OR(AND(N$5&gt;0,N$5&gt;100),AND(N$5&gt;0,N$5&lt;100)),
VLOOKUP(FLOOR((Midterm!N51/N$5)*100,1),new_transmute,2,FALSE),
VLOOKUP(Midterm!N51,new_transmute,2,FALSE)
),
IF(Info!$B$4="Board program",
IF(OR(AND(N$5&gt;0,N$5&gt;100),AND(N$5&gt;0,N$5&lt;100)),
VLOOKUP(FLOOR((Midterm!N51/N$5)*100,1),new_transmute,3,FALSE),
VLOOKUP(Midterm!N51,new_transmute,3,FALSE)
),
IF(Info!$B$4="Board program (Medicine)",
IF(OR(AND(N$5&gt;0,N$5&gt;100),AND(N$5&gt;0,N$5&lt;100)),
VLOOKUP(FLOOR((Midterm!N51/N$5)*100,1),new_transmute,4,FALSE),
VLOOKUP(Midterm!N51,new_transmute,4,FALSE)
),
""
)
)
)
)
)
)
)
)
))</f>
        <v/>
      </c>
      <c r="O51" s="14" t="str">
        <f>IF($B51="","",
IF(O$5="","",
IF(Midterm!O51="",0,
IF(NOT(ISNUMBER(Midterm!O51)),"NAN",
IF(Midterm!O51&lt;0,"NEG",
IF(Midterm!O51&gt;O$5,"OVER",
IF(AND(O$5&lt;=100,Midterm!O51&gt;100),"ERR",
IF(Info!$B$4="Non-board program",
IF(OR(AND(O$5&gt;0,O$5&gt;100),AND(O$5&gt;0,O$5&lt;100)),
VLOOKUP(FLOOR((Midterm!O51/O$5)*100,1),new_transmute,2,FALSE),
VLOOKUP(Midterm!O51,new_transmute,2,FALSE)
),
IF(Info!$B$4="Board program",
IF(OR(AND(O$5&gt;0,O$5&gt;100),AND(O$5&gt;0,O$5&lt;100)),
VLOOKUP(FLOOR((Midterm!O51/O$5)*100,1),new_transmute,3,FALSE),
VLOOKUP(Midterm!O51,new_transmute,3,FALSE)
),
IF(Info!$B$4="Board program (Medicine)",
IF(OR(AND(O$5&gt;0,O$5&gt;100),AND(O$5&gt;0,O$5&lt;100)),
VLOOKUP(FLOOR((Midterm!O51/O$5)*100,1),new_transmute,4,FALSE),
VLOOKUP(Midterm!O51,new_transmute,4,FALSE)
),
""
)
)
)
)
)
)
)
)
))</f>
        <v/>
      </c>
      <c r="P51" s="14" t="str">
        <f>IF($B51="","",
IF(P$5="","",
IF(Midterm!P51="",0,
IF(NOT(ISNUMBER(Midterm!P51)),"NAN",
IF(Midterm!P51&lt;0,"NEG",
IF(Midterm!P51&gt;P$5,"OVER",
IF(AND(P$5&lt;=100,Midterm!P51&gt;100),"ERR",
IF(Info!$B$4="Non-board program",
IF(OR(AND(P$5&gt;0,P$5&gt;100),AND(P$5&gt;0,P$5&lt;100)),
VLOOKUP(FLOOR((Midterm!P51/P$5)*100,1),new_transmute,2,FALSE),
VLOOKUP(Midterm!P51,new_transmute,2,FALSE)
),
IF(Info!$B$4="Board program",
IF(OR(AND(P$5&gt;0,P$5&gt;100),AND(P$5&gt;0,P$5&lt;100)),
VLOOKUP(FLOOR((Midterm!P51/P$5)*100,1),new_transmute,3,FALSE),
VLOOKUP(Midterm!P51,new_transmute,3,FALSE)
),
IF(Info!$B$4="Board program (Medicine)",
IF(OR(AND(P$5&gt;0,P$5&gt;100),AND(P$5&gt;0,P$5&lt;100)),
VLOOKUP(FLOOR((Midterm!P51/P$5)*100,1),new_transmute,4,FALSE),
VLOOKUP(Midterm!P51,new_transmute,4,FALSE)
),
""
)
)
)
)
)
)
)
)
))</f>
        <v/>
      </c>
      <c r="Q51" s="14" t="str">
        <f>IF($B51="","",
IF(Q$5="","",
IF(Midterm!Q51="",0,
IF(NOT(ISNUMBER(Midterm!Q51)),"NAN",
IF(Midterm!Q51&lt;0,"NEG",
IF(Midterm!Q51&gt;Q$5,"OVER",
IF(AND(Q$5&lt;=100,Midterm!Q51&gt;100),"ERR",
IF(Info!$B$4="Non-board program",
IF(OR(AND(Q$5&gt;0,Q$5&gt;100),AND(Q$5&gt;0,Q$5&lt;100)),
VLOOKUP(FLOOR((Midterm!Q51/Q$5)*100,1),new_transmute,2,FALSE),
VLOOKUP(Midterm!Q51,new_transmute,2,FALSE)
),
IF(Info!$B$4="Board program",
IF(OR(AND(Q$5&gt;0,Q$5&gt;100),AND(Q$5&gt;0,Q$5&lt;100)),
VLOOKUP(FLOOR((Midterm!Q51/Q$5)*100,1),new_transmute,3,FALSE),
VLOOKUP(Midterm!Q51,new_transmute,3,FALSE)
),
IF(Info!$B$4="Board program (Medicine)",
IF(OR(AND(Q$5&gt;0,Q$5&gt;100),AND(Q$5&gt;0,Q$5&lt;100)),
VLOOKUP(FLOOR((Midterm!Q51/Q$5)*100,1),new_transmute,4,FALSE),
VLOOKUP(Midterm!Q51,new_transmute,4,FALSE)
),
""
)
)
)
)
)
)
)
)
))</f>
        <v/>
      </c>
      <c r="R51" s="14" t="str">
        <f>IF($B51="","",
IF(R$5="","",
IF(Midterm!R51="",0,
IF(NOT(ISNUMBER(Midterm!R51)),"NAN",
IF(Midterm!R51&lt;0,"NEG",
IF(Midterm!R51&gt;R$5,"OVER",
IF(AND(R$5&lt;=100,Midterm!R51&gt;100),"ERR",
IF(Info!$B$4="Non-board program",
IF(OR(AND(R$5&gt;0,R$5&gt;100),AND(R$5&gt;0,R$5&lt;100)),
VLOOKUP(FLOOR((Midterm!R51/R$5)*100,1),new_transmute,2,FALSE),
VLOOKUP(Midterm!R51,new_transmute,2,FALSE)
),
IF(Info!$B$4="Board program",
IF(OR(AND(R$5&gt;0,R$5&gt;100),AND(R$5&gt;0,R$5&lt;100)),
VLOOKUP(FLOOR((Midterm!R51/R$5)*100,1),new_transmute,3,FALSE),
VLOOKUP(Midterm!R51,new_transmute,3,FALSE)
),
IF(Info!$B$4="Board program (Medicine)",
IF(OR(AND(R$5&gt;0,R$5&gt;100),AND(R$5&gt;0,R$5&lt;100)),
VLOOKUP(FLOOR((Midterm!R51/R$5)*100,1),new_transmute,4,FALSE),
VLOOKUP(Midterm!R51,new_transmute,4,FALSE)
),
""
)
)
)
)
)
)
)
)
))</f>
        <v/>
      </c>
      <c r="S51" s="115" t="str">
        <f t="shared" si="3"/>
        <v/>
      </c>
      <c r="T51" s="14" t="str">
        <f>IF($B51="","",
IF(T$5="","",
IF(Midterm!T51="",0,
IF(NOT(ISNUMBER(Midterm!T51)),"NAN",
IF(Midterm!T51&lt;0,"NEG",
IF(Midterm!T51&gt;T$5,"OVER",
IF(AND(T$5&lt;=100,Midterm!T51&gt;100),"ERR",
IF(Info!$B$4="Non-board program",
IF(OR(AND(T$5&gt;0,T$5&gt;100),AND(T$5&gt;0,T$5&lt;100)),
VLOOKUP(FLOOR((Midterm!T51/T$5)*100,1),new_transmute,2,FALSE),
VLOOKUP(Midterm!T51,new_transmute,2,FALSE)
),
IF(Info!$B$4="Board program",
IF(OR(AND(T$5&gt;0,T$5&gt;100),AND(T$5&gt;0,T$5&lt;100)),
VLOOKUP(FLOOR((Midterm!T51/T$5)*100,1),new_transmute,3,FALSE),
VLOOKUP(Midterm!T51,new_transmute,3,FALSE)
),
IF(Info!$B$4="Board program (Medicine)",
IF(OR(AND(T$5&gt;0,T$5&gt;100),AND(T$5&gt;0,T$5&lt;100)),
VLOOKUP(FLOOR((Midterm!T51/T$5)*100,1),new_transmute,4,FALSE),
VLOOKUP(Midterm!T51,new_transmute,4,FALSE)
),
""
)
)
)
)
)
)
)
)
))</f>
        <v/>
      </c>
      <c r="U51" s="14" t="str">
        <f>IF($B51="","",
IF(U$5="","",
IF(Midterm!U51="",0,
IF(NOT(ISNUMBER(Midterm!U51)),"NAN",
IF(Midterm!U51&lt;0,"NEG",
IF(Midterm!U51&gt;U$5,"OVER",
IF(AND(U$5&lt;=100,Midterm!U51&gt;100),"ERR",
IF(Info!$B$4="Non-board program",
IF(OR(AND(U$5&gt;0,U$5&gt;100),AND(U$5&gt;0,U$5&lt;100)),
VLOOKUP(FLOOR((Midterm!U51/U$5)*100,1),new_transmute,2,FALSE),
VLOOKUP(Midterm!U51,new_transmute,2,FALSE)
),
IF(Info!$B$4="Board program",
IF(OR(AND(U$5&gt;0,U$5&gt;100),AND(U$5&gt;0,U$5&lt;100)),
VLOOKUP(FLOOR((Midterm!U51/U$5)*100,1),new_transmute,3,FALSE),
VLOOKUP(Midterm!U51,new_transmute,3,FALSE)
),
IF(Info!$B$4="Board program (Medicine)",
IF(OR(AND(U$5&gt;0,U$5&gt;100),AND(U$5&gt;0,U$5&lt;100)),
VLOOKUP(FLOOR((Midterm!U51/U$5)*100,1),new_transmute,4,FALSE),
VLOOKUP(Midterm!U51,new_transmute,4,FALSE)
),
""
)
)
)
)
)
)
)
)
))</f>
        <v/>
      </c>
      <c r="V51" s="14" t="str">
        <f>IF($B51="","",
IF(V$5="","",
IF(Midterm!V51="",0,
IF(NOT(ISNUMBER(Midterm!V51)),"NAN",
IF(Midterm!V51&lt;0,"NEG",
IF(Midterm!V51&gt;V$5,"OVER",
IF(AND(V$5&lt;=100,Midterm!V51&gt;100),"ERR",
IF(Info!$B$4="Non-board program",
IF(OR(AND(V$5&gt;0,V$5&gt;100),AND(V$5&gt;0,V$5&lt;100)),
VLOOKUP(FLOOR((Midterm!V51/V$5)*100,1),new_transmute,2,FALSE),
VLOOKUP(Midterm!V51,new_transmute,2,FALSE)
),
IF(Info!$B$4="Board program",
IF(OR(AND(V$5&gt;0,V$5&gt;100),AND(V$5&gt;0,V$5&lt;100)),
VLOOKUP(FLOOR((Midterm!V51/V$5)*100,1),new_transmute,3,FALSE),
VLOOKUP(Midterm!V51,new_transmute,3,FALSE)
),
IF(Info!$B$4="Board program (Medicine)",
IF(OR(AND(V$5&gt;0,V$5&gt;100),AND(V$5&gt;0,V$5&lt;100)),
VLOOKUP(FLOOR((Midterm!V51/V$5)*100,1),new_transmute,4,FALSE),
VLOOKUP(Midterm!V51,new_transmute,4,FALSE)
),
""
)
)
)
)
)
)
)
)
))</f>
        <v/>
      </c>
      <c r="W51" s="14" t="str">
        <f>IF($B51="","",
IF(W$5="","",
IF(Midterm!W51="",0,
IF(NOT(ISNUMBER(Midterm!W51)),"NAN",
IF(Midterm!W51&lt;0,"NEG",
IF(Midterm!W51&gt;W$5,"OVER",
IF(AND(W$5&lt;=100,Midterm!W51&gt;100),"ERR",
IF(Info!$B$4="Non-board program",
IF(OR(AND(W$5&gt;0,W$5&gt;100),AND(W$5&gt;0,W$5&lt;100)),
VLOOKUP(FLOOR((Midterm!W51/W$5)*100,1),new_transmute,2,FALSE),
VLOOKUP(Midterm!W51,new_transmute,2,FALSE)
),
IF(Info!$B$4="Board program",
IF(OR(AND(W$5&gt;0,W$5&gt;100),AND(W$5&gt;0,W$5&lt;100)),
VLOOKUP(FLOOR((Midterm!W51/W$5)*100,1),new_transmute,3,FALSE),
VLOOKUP(Midterm!W51,new_transmute,3,FALSE)
),
IF(Info!$B$4="Board program (Medicine)",
IF(OR(AND(W$5&gt;0,W$5&gt;100),AND(W$5&gt;0,W$5&lt;100)),
VLOOKUP(FLOOR((Midterm!W51/W$5)*100,1),new_transmute,4,FALSE),
VLOOKUP(Midterm!W51,new_transmute,4,FALSE)
),
""
)
)
)
)
)
)
)
)
))</f>
        <v/>
      </c>
      <c r="X51" s="14" t="str">
        <f>IF($B51="","",
IF(X$5="","",
IF(Midterm!X51="",0,
IF(NOT(ISNUMBER(Midterm!X51)),"NAN",
IF(Midterm!X51&lt;0,"NEG",
IF(Midterm!X51&gt;X$5,"OVER",
IF(AND(X$5&lt;=100,Midterm!X51&gt;100),"ERR",
IF(Info!$B$4="Non-board program",
IF(OR(AND(X$5&gt;0,X$5&gt;100),AND(X$5&gt;0,X$5&lt;100)),
VLOOKUP(FLOOR((Midterm!X51/X$5)*100,1),new_transmute,2,FALSE),
VLOOKUP(Midterm!X51,new_transmute,2,FALSE)
),
IF(Info!$B$4="Board program",
IF(OR(AND(X$5&gt;0,X$5&gt;100),AND(X$5&gt;0,X$5&lt;100)),
VLOOKUP(FLOOR((Midterm!X51/X$5)*100,1),new_transmute,3,FALSE),
VLOOKUP(Midterm!X51,new_transmute,3,FALSE)
),
IF(Info!$B$4="Board program (Medicine)",
IF(OR(AND(X$5&gt;0,X$5&gt;100),AND(X$5&gt;0,X$5&lt;100)),
VLOOKUP(FLOOR((Midterm!X51/X$5)*100,1),new_transmute,4,FALSE),
VLOOKUP(Midterm!X51,new_transmute,4,FALSE)
),
""
)
)
)
)
)
)
)
)
))</f>
        <v/>
      </c>
      <c r="Y51" s="112" t="str">
        <f t="shared" si="4"/>
        <v/>
      </c>
      <c r="Z51" s="14" t="str">
        <f>IF($B51="","",
IF(Z$5="","",
IF(Midterm!Z51="",0,
IF(NOT(ISNUMBER(Midterm!Z51)),"NAN",
IF(Midterm!Z51&lt;0,"NEG",
IF(Midterm!Z51&gt;Z$5,"OVER",
IF(AND(Z$5&lt;=100,Midterm!Z51&gt;100),"ERR",
IF(Info!$B$4="Non-board program",
IF(OR(AND(Z$5&gt;0,Z$5&gt;100),AND(Z$5&gt;0,Z$5&lt;100)),
VLOOKUP(FLOOR((Midterm!Z51/Z$5)*100,1),new_transmute,2,FALSE),
VLOOKUP(Midterm!Z51,new_transmute,2,FALSE)
),
IF(Info!$B$4="Board program",
IF(OR(AND(Z$5&gt;0,Z$5&gt;100),AND(Z$5&gt;0,Z$5&lt;100)),
VLOOKUP(FLOOR((Midterm!Z51/Z$5)*100,1),new_transmute,3,FALSE),
VLOOKUP(Midterm!Z51,new_transmute,3,FALSE)
),
IF(Info!$B$4="Board program (Medicine)",
IF(OR(AND(Z$5&gt;0,Z$5&gt;100),AND(Z$5&gt;0,Z$5&lt;100)),
VLOOKUP(FLOOR((Midterm!Z51/Z$5)*100,1),new_transmute,4,FALSE),
VLOOKUP(Midterm!Z51,new_transmute,4,FALSE)
),
""
)
)
)
)
)
)
)
)
))</f>
        <v/>
      </c>
      <c r="AA51" s="14" t="str">
        <f>IF($B51="","",
IF(AA$5="","",
IF(Midterm!AA51="",0,
IF(NOT(ISNUMBER(Midterm!AA51)),"NAN",
IF(Midterm!AA51&lt;0,"NEG",
IF(Midterm!AA51&gt;AA$5,"OVER",
IF(AND(AA$5&lt;=100,Midterm!AA51&gt;100),"ERR",
IF(Info!$B$4="Non-board program",
IF(OR(AND(AA$5&gt;0,AA$5&gt;100),AND(AA$5&gt;0,AA$5&lt;100)),
VLOOKUP(FLOOR((Midterm!AA51/AA$5)*100,1),new_transmute,2,FALSE),
VLOOKUP(Midterm!AA51,new_transmute,2,FALSE)
),
IF(Info!$B$4="Board program",
IF(OR(AND(AA$5&gt;0,AA$5&gt;100),AND(AA$5&gt;0,AA$5&lt;100)),
VLOOKUP(FLOOR((Midterm!AA51/AA$5)*100,1),new_transmute,3,FALSE),
VLOOKUP(Midterm!AA51,new_transmute,3,FALSE)
),
IF(Info!$B$4="Board program (Medicine)",
IF(OR(AND(AA$5&gt;0,AA$5&gt;100),AND(AA$5&gt;0,AA$5&lt;100)),
VLOOKUP(FLOOR((Midterm!AA51/AA$5)*100,1),new_transmute,4,FALSE),
VLOOKUP(Midterm!AA51,new_transmute,4,FALSE)
),
""
)
)
)
)
)
)
)
)
))</f>
        <v/>
      </c>
      <c r="AB51" s="14" t="str">
        <f>IF($B51="","",
IF(AB$5="","",
IF(Midterm!AB51="",0,
IF(NOT(ISNUMBER(Midterm!AB51)),"NAN",
IF(Midterm!AB51&lt;0,"NEG",
IF(Midterm!AB51&gt;AB$5,"OVER",
IF(AND(AB$5&lt;=100,Midterm!AB51&gt;100),"ERR",
IF(Info!$B$4="Non-board program",
IF(OR(AND(AB$5&gt;0,AB$5&gt;100),AND(AB$5&gt;0,AB$5&lt;100)),
VLOOKUP(FLOOR((Midterm!AB51/AB$5)*100,1),new_transmute,2,FALSE),
VLOOKUP(Midterm!AB51,new_transmute,2,FALSE)
),
IF(Info!$B$4="Board program",
IF(OR(AND(AB$5&gt;0,AB$5&gt;100),AND(AB$5&gt;0,AB$5&lt;100)),
VLOOKUP(FLOOR((Midterm!AB51/AB$5)*100,1),new_transmute,3,FALSE),
VLOOKUP(Midterm!AB51,new_transmute,3,FALSE)
),
IF(Info!$B$4="Board program (Medicine)",
IF(OR(AND(AB$5&gt;0,AB$5&gt;100),AND(AB$5&gt;0,AB$5&lt;100)),
VLOOKUP(FLOOR((Midterm!AB51/AB$5)*100,1),new_transmute,4,FALSE),
VLOOKUP(Midterm!AB51,new_transmute,4,FALSE)
),
""
)
)
)
)
)
)
)
)
))</f>
        <v/>
      </c>
      <c r="AC51" s="14" t="str">
        <f>IF($B51="","",
IF(AC$5="","",
IF(Midterm!AC51="",0,
IF(NOT(ISNUMBER(Midterm!AC51)),"NAN",
IF(Midterm!AC51&lt;0,"NEG",
IF(Midterm!AC51&gt;AC$5,"OVER",
IF(AND(AC$5&lt;=100,Midterm!AC51&gt;100),"ERR",
IF(Info!$B$4="Non-board program",
IF(OR(AND(AC$5&gt;0,AC$5&gt;100),AND(AC$5&gt;0,AC$5&lt;100)),
VLOOKUP(FLOOR((Midterm!AC51/AC$5)*100,1),new_transmute,2,FALSE),
VLOOKUP(Midterm!AC51,new_transmute,2,FALSE)
),
IF(Info!$B$4="Board program",
IF(OR(AND(AC$5&gt;0,AC$5&gt;100),AND(AC$5&gt;0,AC$5&lt;100)),
VLOOKUP(FLOOR((Midterm!AC51/AC$5)*100,1),new_transmute,3,FALSE),
VLOOKUP(Midterm!AC51,new_transmute,3,FALSE)
),
IF(Info!$B$4="Board program (Medicine)",
IF(OR(AND(AC$5&gt;0,AC$5&gt;100),AND(AC$5&gt;0,AC$5&lt;100)),
VLOOKUP(FLOOR((Midterm!AC51/AC$5)*100,1),new_transmute,4,FALSE),
VLOOKUP(Midterm!AC51,new_transmute,4,FALSE)
),
""
)
)
)
)
)
)
)
)
))</f>
        <v/>
      </c>
      <c r="AD51" s="14" t="str">
        <f>IF($B51="","",
IF(AD$5="","",
IF(Midterm!AD51="",0,
IF(NOT(ISNUMBER(Midterm!AD51)),"NAN",
IF(Midterm!AD51&lt;0,"NEG",
IF(Midterm!AD51&gt;AD$5,"OVER",
IF(AND(AD$5&lt;=100,Midterm!AD51&gt;100),"ERR",
IF(Info!$B$4="Non-board program",
IF(OR(AND(AD$5&gt;0,AD$5&gt;100),AND(AD$5&gt;0,AD$5&lt;100)),
VLOOKUP(FLOOR((Midterm!AD51/AD$5)*100,1),new_transmute,2,FALSE),
VLOOKUP(Midterm!AD51,new_transmute,2,FALSE)
),
IF(Info!$B$4="Board program",
IF(OR(AND(AD$5&gt;0,AD$5&gt;100),AND(AD$5&gt;0,AD$5&lt;100)),
VLOOKUP(FLOOR((Midterm!AD51/AD$5)*100,1),new_transmute,3,FALSE),
VLOOKUP(Midterm!AD51,new_transmute,3,FALSE)
),
IF(Info!$B$4="Board program (Medicine)",
IF(OR(AND(AD$5&gt;0,AD$5&gt;100),AND(AD$5&gt;0,AD$5&lt;100)),
VLOOKUP(FLOOR((Midterm!AD51/AD$5)*100,1),new_transmute,4,FALSE),
VLOOKUP(Midterm!AD51,new_transmute,4,FALSE)
),
""
)
)
)
)
)
)
)
)
))</f>
        <v/>
      </c>
      <c r="AE51" s="58" t="str">
        <f t="shared" si="5"/>
        <v/>
      </c>
      <c r="AF51" s="14" t="str">
        <f>IF($B51="","",
IF(AF$5="","",
IF(Midterm!AF51="",0,
IF(NOT(ISNUMBER(Midterm!AF51)),"NAN",
IF(Midterm!AF51&lt;0,"NEG",
IF(Midterm!AF51&gt;AF$5,"OVER",
IF(AND(AF$5&lt;=100,Midterm!AF51&gt;100),"ERR",
IF(Info!$B$4="Non-board program",
IF(OR(AND(AF$5&gt;0,AF$5&gt;100),AND(AF$5&gt;0,AF$5&lt;100)),
VLOOKUP(FLOOR((Midterm!AF51/AF$5)*100,1),new_transmute,2,FALSE),
VLOOKUP(Midterm!AF51,new_transmute,2,FALSE)
),
IF(Info!$B$4="Board program",
IF(OR(AND(AF$5&gt;0,AF$5&gt;100),AND(AF$5&gt;0,AF$5&lt;100)),
VLOOKUP(FLOOR((Midterm!AF51/AF$5)*100,1),new_transmute,3,FALSE),
VLOOKUP(Midterm!AF51,new_transmute,3,FALSE)
),
IF(Info!$B$4="Board program (Medicine)",
IF(OR(AND(AF$5&gt;0,AF$5&gt;100),AND(AF$5&gt;0,AF$5&lt;100)),
VLOOKUP(FLOOR((Midterm!AF51/AF$5)*100,1),new_transmute,4,FALSE),
VLOOKUP(Midterm!AF51,new_transmute,4,FALSE)
),
""
)
)
)
)
)
)
)
)
))</f>
        <v/>
      </c>
      <c r="AG51" s="14" t="str">
        <f>IF($B51="","",
IF(AG$5="","",
IF(Midterm!AG51="",0,
IF(NOT(ISNUMBER(Midterm!AG51)),"NAN",
IF(Midterm!AG51&lt;0,"NEG",
IF(Midterm!AG51&gt;AG$5,"OVER",
IF(AND(AG$5&lt;=100,Midterm!AG51&gt;100),"ERR",
IF(Info!$B$4="Non-board program",
IF(OR(AND(AG$5&gt;0,AG$5&gt;100),AND(AG$5&gt;0,AG$5&lt;100)),
VLOOKUP(FLOOR((Midterm!AG51/AG$5)*100,1),new_transmute,2,FALSE),
VLOOKUP(Midterm!AG51,new_transmute,2,FALSE)
),
IF(Info!$B$4="Board program",
IF(OR(AND(AG$5&gt;0,AG$5&gt;100),AND(AG$5&gt;0,AG$5&lt;100)),
VLOOKUP(FLOOR((Midterm!AG51/AG$5)*100,1),new_transmute,3,FALSE),
VLOOKUP(Midterm!AG51,new_transmute,3,FALSE)
),
IF(Info!$B$4="Board program (Medicine)",
IF(OR(AND(AG$5&gt;0,AG$5&gt;100),AND(AG$5&gt;0,AG$5&lt;100)),
VLOOKUP(FLOOR((Midterm!AG51/AG$5)*100,1),new_transmute,4,FALSE),
VLOOKUP(Midterm!AG51,new_transmute,4,FALSE)
),
""
)
)
)
)
)
)
)
)
))</f>
        <v/>
      </c>
      <c r="AH51" s="14" t="str">
        <f>IF($B51="","",
IF(AH$5="","",
IF(Midterm!AH51="",0,
IF(NOT(ISNUMBER(Midterm!AH51)),"NAN",
IF(Midterm!AH51&lt;0,"NEG",
IF(Midterm!AH51&gt;AH$5,"OVER",
IF(AND(AH$5&lt;=100,Midterm!AH51&gt;100),"ERR",
IF(Info!$B$4="Non-board program",
IF(OR(AND(AH$5&gt;0,AH$5&gt;100),AND(AH$5&gt;0,AH$5&lt;100)),
VLOOKUP(FLOOR((Midterm!AH51/AH$5)*100,1),new_transmute,2,FALSE),
VLOOKUP(Midterm!AH51,new_transmute,2,FALSE)
),
IF(Info!$B$4="Board program",
IF(OR(AND(AH$5&gt;0,AH$5&gt;100),AND(AH$5&gt;0,AH$5&lt;100)),
VLOOKUP(FLOOR((Midterm!AH51/AH$5)*100,1),new_transmute,3,FALSE),
VLOOKUP(Midterm!AH51,new_transmute,3,FALSE)
),
IF(Info!$B$4="Board program (Medicine)",
IF(OR(AND(AH$5&gt;0,AH$5&gt;100),AND(AH$5&gt;0,AH$5&lt;100)),
VLOOKUP(FLOOR((Midterm!AH51/AH$5)*100,1),new_transmute,4,FALSE),
VLOOKUP(Midterm!AH51,new_transmute,4,FALSE)
),
""
)
)
)
)
)
)
)
)
))</f>
        <v/>
      </c>
      <c r="AI51" s="14" t="str">
        <f>IF($B51="","",
IF(AI$5="","",
IF(Midterm!AI51="",0,
IF(NOT(ISNUMBER(Midterm!AI51)),"NAN",
IF(Midterm!AI51&lt;0,"NEG",
IF(Midterm!AI51&gt;AI$5,"OVER",
IF(AND(AI$5&lt;=100,Midterm!AI51&gt;100),"ERR",
IF(Info!$B$4="Non-board program",
IF(OR(AND(AI$5&gt;0,AI$5&gt;100),AND(AI$5&gt;0,AI$5&lt;100)),
VLOOKUP(FLOOR((Midterm!AI51/AI$5)*100,1),new_transmute,2,FALSE),
VLOOKUP(Midterm!AI51,new_transmute,2,FALSE)
),
IF(Info!$B$4="Board program",
IF(OR(AND(AI$5&gt;0,AI$5&gt;100),AND(AI$5&gt;0,AI$5&lt;100)),
VLOOKUP(FLOOR((Midterm!AI51/AI$5)*100,1),new_transmute,3,FALSE),
VLOOKUP(Midterm!AI51,new_transmute,3,FALSE)
),
IF(Info!$B$4="Board program (Medicine)",
IF(OR(AND(AI$5&gt;0,AI$5&gt;100),AND(AI$5&gt;0,AI$5&lt;100)),
VLOOKUP(FLOOR((Midterm!AI51/AI$5)*100,1),new_transmute,4,FALSE),
VLOOKUP(Midterm!AI51,new_transmute,4,FALSE)
),
""
)
)
)
)
)
)
)
)
))</f>
        <v/>
      </c>
      <c r="AJ51" s="14" t="str">
        <f>IF($B51="","",
IF(AJ$5="","",
IF(Midterm!AJ51="",0,
IF(NOT(ISNUMBER(Midterm!AJ51)),"NAN",
IF(Midterm!AJ51&lt;0,"NEG",
IF(Midterm!AJ51&gt;AJ$5,"OVER",
IF(AND(AJ$5&lt;=100,Midterm!AJ51&gt;100),"ERR",
IF(Info!$B$4="Non-board program",
IF(OR(AND(AJ$5&gt;0,AJ$5&gt;100),AND(AJ$5&gt;0,AJ$5&lt;100)),
VLOOKUP(FLOOR((Midterm!AJ51/AJ$5)*100,1),new_transmute,2,FALSE),
VLOOKUP(Midterm!AJ51,new_transmute,2,FALSE)
),
IF(Info!$B$4="Board program",
IF(OR(AND(AJ$5&gt;0,AJ$5&gt;100),AND(AJ$5&gt;0,AJ$5&lt;100)),
VLOOKUP(FLOOR((Midterm!AJ51/AJ$5)*100,1),new_transmute,3,FALSE),
VLOOKUP(Midterm!AJ51,new_transmute,3,FALSE)
),
IF(Info!$B$4="Board program (Medicine)",
IF(OR(AND(AJ$5&gt;0,AJ$5&gt;100),AND(AJ$5&gt;0,AJ$5&lt;100)),
VLOOKUP(FLOOR((Midterm!AJ51/AJ$5)*100,1),new_transmute,4,FALSE),
VLOOKUP(Midterm!AJ51,new_transmute,4,FALSE)
),
""
)
)
)
)
)
)
)
)
))</f>
        <v/>
      </c>
      <c r="AK51" s="59" t="str">
        <f t="shared" si="6"/>
        <v/>
      </c>
      <c r="AL51" s="60" t="str">
        <f>IF(B51="", "",
    IF(OR(M51="OVER", S51="OVER", Y51="OVER", AE51="OVER", AK51="OVER"),
        "OVER",
        IF(Info!$B$4="Non-board program",
            VLOOKUP(IFERROR(FLOOR(SUM((M51*$M$4), (S51*$S$4), (Y51*$Y$4), (AE51*$AE$4), (AK51*$AK$4)) * (100 / 60), 1), 0), new_transmute, 2, FALSE),
            IF(Info!$B$4="Board program",
                VLOOKUP(IFERROR(FLOOR(SUM((M51*$M$4), (S51*$S$4), (Y51*$Y$4), (AE51*$AE$4), (AK51*$AK$4)) * (100 / 60), 1), 0), new_transmute, 3, FALSE),
                IF(Info!$B$4="Board program (Medicine)",
                    VLOOKUP(IFERROR(FLOOR(SUM((M51*$M$4), (S51*$S$4), (Y51*$Y$4), (AE51*$AE$4), (AK51*$AK$4)) * (100 / 60), 1), 0), new_transmute, 4, FALSE),
                    ""
                )
            )
        )
    )
)</f>
        <v/>
      </c>
      <c r="AM51" s="14" t="str">
        <f>IF($B51="","",
IF(AM$5="","",
IF(Midterm!AM51="",0,
IF(NOT(ISNUMBER(Midterm!AM51)),"NAN",
IF(Midterm!AM51&lt;0,"NEG",
IF(Midterm!AM51&gt;AM$5,"OVER",
IF(AND(AM$5&lt;=100,Midterm!AM51&gt;100),"ERR",
IF(Info!$B$4="Non-board program",
IF(OR(AND(AM$5&gt;0,AM$5&gt;100),AND(AM$5&gt;0,AM$5&lt;100)),
VLOOKUP(FLOOR((Midterm!AM51/AM$5)*100,1),new_transmute,2,FALSE),
VLOOKUP(Midterm!AM51,new_transmute,2,FALSE)
),
IF(Info!$B$4="Board program",
IF(OR(AND(AM$5&gt;0,AM$5&gt;100),AND(AM$5&gt;0,AM$5&lt;100)),
VLOOKUP(FLOOR((Midterm!AM51/AM$5)*100,1),new_transmute,3,FALSE),
VLOOKUP(Midterm!AM51,new_transmute,3,FALSE)
),
IF(Info!$B$4="Board program (Medicine)",
IF(OR(AND(AM$5&gt;0,AM$5&gt;100),AND(AM$5&gt;0,AM$5&lt;100)),
VLOOKUP(FLOOR((Midterm!AM51/AM$5)*100,1),new_transmute,4,FALSE),
VLOOKUP(Midterm!AM51,new_transmute,4,FALSE)
),
""
)
)
)
)
)
)
)
)
))</f>
        <v/>
      </c>
      <c r="AN51" s="14" t="str">
        <f>IF($B51="","",
IF(AN$5="","",
IF(Midterm!AN51="",0,
IF(NOT(ISNUMBER(Midterm!AN51)),"NAN",
IF(Midterm!AN51&lt;0,"NEG",
IF(Midterm!AN51&gt;AN$5,"OVER",
IF(AND(AN$5&lt;=100,Midterm!AN51&gt;100),"ERR",
IF(Info!$B$4="Non-board program",
IF(OR(AND(AN$5&gt;0,AN$5&gt;100),AND(AN$5&gt;0,AN$5&lt;100)),
VLOOKUP(FLOOR((Midterm!AN51/AN$5)*100,1),new_transmute,2,FALSE),
VLOOKUP(Midterm!AN51,new_transmute,2,FALSE)
),
IF(Info!$B$4="Board program",
IF(OR(AND(AN$5&gt;0,AN$5&gt;100),AND(AN$5&gt;0,AN$5&lt;100)),
VLOOKUP(FLOOR((Midterm!AN51/AN$5)*100,1),new_transmute,3,FALSE),
VLOOKUP(Midterm!AN51,new_transmute,3,FALSE)
),
IF(Info!$B$4="Board program (Medicine)",
IF(OR(AND(AN$5&gt;0,AN$5&gt;100),AND(AN$5&gt;0,AN$5&lt;100)),
VLOOKUP(FLOOR((Midterm!AN51/AN$5)*100,1),new_transmute,4,FALSE),
VLOOKUP(Midterm!AN51,new_transmute,4,FALSE)
),
""
)
)
)
)
)
)
)
)
))</f>
        <v/>
      </c>
      <c r="AO51" s="14" t="str">
        <f>IF($B51="","",
IF(AO$5="","",
IF(Midterm!AO51="",0,
IF(NOT(ISNUMBER(Midterm!AO51)),"NAN",
IF(Midterm!AO51&lt;0,"NEG",
IF(Midterm!AO51&gt;AO$5,"OVER",
IF(AND(AO$5&lt;=100,Midterm!AO51&gt;100),"ERR",
IF(Info!$B$4="Non-board program",
IF(OR(AND(AO$5&gt;0,AO$5&gt;100),AND(AO$5&gt;0,AO$5&lt;100)),
VLOOKUP(FLOOR((Midterm!AO51/AO$5)*100,1),new_transmute,2,FALSE),
VLOOKUP(Midterm!AO51,new_transmute,2,FALSE)
),
IF(Info!$B$4="Board program",
IF(OR(AND(AO$5&gt;0,AO$5&gt;100),AND(AO$5&gt;0,AO$5&lt;100)),
VLOOKUP(FLOOR((Midterm!AO51/AO$5)*100,1),new_transmute,3,FALSE),
VLOOKUP(Midterm!AO51,new_transmute,3,FALSE)
),
IF(Info!$B$4="Board program (Medicine)",
IF(OR(AND(AO$5&gt;0,AO$5&gt;100),AND(AO$5&gt;0,AO$5&lt;100)),
VLOOKUP(FLOOR((Midterm!AO51/AO$5)*100,1),new_transmute,4,FALSE),
VLOOKUP(Midterm!AO51,new_transmute,4,FALSE)
),
""
)
)
)
)
)
)
)
)
))</f>
        <v/>
      </c>
      <c r="AP51" s="14" t="str">
        <f>IF($B51="","",
IF(AP$5="","",
IF(Midterm!AP51="",0,
IF(NOT(ISNUMBER(Midterm!AP51)),"NAN",
IF(Midterm!AP51&lt;0,"NEG",
IF(Midterm!AP51&gt;AP$5,"OVER",
IF(AND(AP$5&lt;=100,Midterm!AP51&gt;100),"ERR",
IF(Info!$B$4="Non-board program",
IF(OR(AND(AP$5&gt;0,AP$5&gt;100),AND(AP$5&gt;0,AP$5&lt;100)),
VLOOKUP(FLOOR((Midterm!AP51/AP$5)*100,1),new_transmute,2,FALSE),
VLOOKUP(Midterm!AP51,new_transmute,2,FALSE)
),
IF(Info!$B$4="Board program",
IF(OR(AND(AP$5&gt;0,AP$5&gt;100),AND(AP$5&gt;0,AP$5&lt;100)),
VLOOKUP(FLOOR((Midterm!AP51/AP$5)*100,1),new_transmute,3,FALSE),
VLOOKUP(Midterm!AP51,new_transmute,3,FALSE)
),
IF(Info!$B$4="Board program (Medicine)",
IF(OR(AND(AP$5&gt;0,AP$5&gt;100),AND(AP$5&gt;0,AP$5&lt;100)),
VLOOKUP(FLOOR((Midterm!AP51/AP$5)*100,1),new_transmute,4,FALSE),
VLOOKUP(Midterm!AP51,new_transmute,4,FALSE)
),
""
)
)
)
)
)
)
)
)
))</f>
        <v/>
      </c>
      <c r="AQ51" s="61" t="str">
        <f t="shared" si="7"/>
        <v/>
      </c>
      <c r="AR51" s="48" t="str">
        <f>IF(Midterm!AR51="","",Midterm!AR51)</f>
        <v/>
      </c>
      <c r="AS51" s="165" t="str">
        <f t="shared" si="8"/>
        <v/>
      </c>
      <c r="AT51" s="14" t="str">
        <f t="shared" si="9"/>
        <v/>
      </c>
      <c r="AU51" s="14" t="str">
        <f>IF(B51="","",VLOOKUP(AT51,'New Grade Equivalent'!$B$3:$C$47,2,FALSE))</f>
        <v/>
      </c>
    </row>
    <row r="52" spans="1:47" x14ac:dyDescent="0.25">
      <c r="A52" s="8">
        <v>47</v>
      </c>
      <c r="B52" s="2" t="str">
        <f>IF('Student List'!C56="","",UPPER(LEFT('Student List'!C56,FIND(",",'Student List'!C56)-1)))</f>
        <v/>
      </c>
      <c r="C52" s="12" t="str">
        <f>IF('Student List'!C56="","",PROPER(MID('Student List'!C56, FIND(",", 'Student List'!C56) + 2, LEN('Student List'!C56) - FIND(",", 'Student List'!C56) - 1)))</f>
        <v/>
      </c>
      <c r="D52" s="127" t="str">
        <f>IF(B52="","",IF(Midterm!D52="", "NA", Midterm!D52))</f>
        <v/>
      </c>
      <c r="E52" s="8" t="str">
        <f>IF(B52="","",
  IF(Info!$B$5="First Year",
    IF(D52="Yes", "DRP",
      IF(D52="No", "WF", "")
    )
  )
)</f>
        <v/>
      </c>
      <c r="F52" s="14" t="str">
        <f>IF($B52="","",
IF(F$5="","",
IF(Midterm!F52="",0,
IF(NOT(ISNUMBER(Midterm!F52)),"NAN",
IF(Midterm!F52&lt;0,"NEG",
IF(Midterm!F52&gt;F$5,"OVER",
IF(AND(F$5&lt;=100,Midterm!F52&gt;100),"ERR",
IF(Info!$B$4="Non-board program",
IF(OR(AND(F$5&gt;0,F$5&gt;100),AND(F$5&gt;0,F$5&lt;100)),
VLOOKUP(FLOOR((Midterm!F52/F$5)*100,1),new_transmute,2,FALSE),
VLOOKUP(Midterm!F52,new_transmute,2,FALSE)
),
IF(Info!$B$4="Board program",
IF(OR(AND(F$5&gt;0,F$5&gt;100),AND(F$5&gt;0,F$5&lt;100)),
VLOOKUP(FLOOR((Midterm!F52/F$5)*100,1),new_transmute,3,FALSE),
VLOOKUP(Midterm!F52,new_transmute,3,FALSE)
),
IF(Info!$B$4="Board program (Medicine)",
IF(OR(AND(F$5&gt;0,F$5&gt;100),AND(F$5&gt;0,F$5&lt;100)),
VLOOKUP(FLOOR((Midterm!F52/F$5)*100,1),new_transmute,4,FALSE),
VLOOKUP(Midterm!F52,new_transmute,4,FALSE)
),
""
)
)
)
)
)
)
)
)
))</f>
        <v/>
      </c>
      <c r="G52" s="57" t="str">
        <f t="shared" si="1"/>
        <v/>
      </c>
      <c r="H52" s="14" t="str">
        <f>IF($B52="","",
IF(H$5="","",
IF(Midterm!H52="",0,
IF(NOT(ISNUMBER(Midterm!H52)),"NAN",
IF(Midterm!H52&lt;0,"NEG",
IF(Midterm!H52&gt;H$5,"OVER",
IF(AND(H$5&lt;=100,Midterm!H52&gt;100),"ERR",
IF(Info!$B$4="Non-board program",
IF(OR(AND(H$5&gt;0,H$5&gt;100),AND(H$5&gt;0,H$5&lt;100)),
VLOOKUP(FLOOR((Midterm!H52/H$5)*100,1),new_transmute,2,FALSE),
VLOOKUP(Midterm!H52,new_transmute,2,FALSE)
),
IF(Info!$B$4="Board program",
IF(OR(AND(H$5&gt;0,H$5&gt;100),AND(H$5&gt;0,H$5&lt;100)),
VLOOKUP(FLOOR((Midterm!H52/H$5)*100,1),new_transmute,3,FALSE),
VLOOKUP(Midterm!H52,new_transmute,3,FALSE)
),
IF(Info!$B$4="Board program (Medicine)",
IF(OR(AND(H$5&gt;0,H$5&gt;100),AND(H$5&gt;0,H$5&lt;100)),
VLOOKUP(FLOOR((Midterm!H52/H$5)*100,1),new_transmute,4,FALSE),
VLOOKUP(Midterm!H52,new_transmute,4,FALSE)
),
""
)
)
)
)
)
)
)
)
))</f>
        <v/>
      </c>
      <c r="I52" s="14" t="str">
        <f>IF($B52="","",
IF(I$5="","",
IF(Midterm!I52="",0,
IF(NOT(ISNUMBER(Midterm!I52)),"NAN",
IF(Midterm!I52&lt;0,"NEG",
IF(Midterm!I52&gt;I$5,"OVER",
IF(AND(I$5&lt;=100,Midterm!I52&gt;100),"ERR",
IF(Info!$B$4="Non-board program",
IF(OR(AND(I$5&gt;0,I$5&gt;100),AND(I$5&gt;0,I$5&lt;100)),
VLOOKUP(FLOOR((Midterm!I52/I$5)*100,1),new_transmute,2,FALSE),
VLOOKUP(Midterm!I52,new_transmute,2,FALSE)
),
IF(Info!$B$4="Board program",
IF(OR(AND(I$5&gt;0,I$5&gt;100),AND(I$5&gt;0,I$5&lt;100)),
VLOOKUP(FLOOR((Midterm!I52/I$5)*100,1),new_transmute,3,FALSE),
VLOOKUP(Midterm!I52,new_transmute,3,FALSE)
),
IF(Info!$B$4="Board program (Medicine)",
IF(OR(AND(I$5&gt;0,I$5&gt;100),AND(I$5&gt;0,I$5&lt;100)),
VLOOKUP(FLOOR((Midterm!I52/I$5)*100,1),new_transmute,4,FALSE),
VLOOKUP(Midterm!I52,new_transmute,4,FALSE)
),
""
)
)
)
)
)
)
)
)
))</f>
        <v/>
      </c>
      <c r="J52" s="14" t="str">
        <f>IF($B52="","",
IF(J$5="","",
IF(Midterm!J52="",0,
IF(NOT(ISNUMBER(Midterm!J52)),"NAN",
IF(Midterm!J52&lt;0,"NEG",
IF(Midterm!J52&gt;J$5,"OVER",
IF(AND(J$5&lt;=100,Midterm!J52&gt;100),"ERR",
IF(Info!$B$4="Non-board program",
IF(OR(AND(J$5&gt;0,J$5&gt;100),AND(J$5&gt;0,J$5&lt;100)),
VLOOKUP(FLOOR((Midterm!J52/J$5)*100,1),new_transmute,2,FALSE),
VLOOKUP(Midterm!J52,new_transmute,2,FALSE)
),
IF(Info!$B$4="Board program",
IF(OR(AND(J$5&gt;0,J$5&gt;100),AND(J$5&gt;0,J$5&lt;100)),
VLOOKUP(FLOOR((Midterm!J52/J$5)*100,1),new_transmute,3,FALSE),
VLOOKUP(Midterm!J52,new_transmute,3,FALSE)
),
IF(Info!$B$4="Board program (Medicine)",
IF(OR(AND(J$5&gt;0,J$5&gt;100),AND(J$5&gt;0,J$5&lt;100)),
VLOOKUP(FLOOR((Midterm!J52/J$5)*100,1),new_transmute,4,FALSE),
VLOOKUP(Midterm!J52,new_transmute,4,FALSE)
),
""
)
)
)
)
)
)
)
)
))</f>
        <v/>
      </c>
      <c r="K52" s="14" t="str">
        <f>IF($B52="","",
IF(K$5="","",
IF(Midterm!K52="",0,
IF(NOT(ISNUMBER(Midterm!K52)),"NAN",
IF(Midterm!K52&lt;0,"NEG",
IF(Midterm!K52&gt;K$5,"OVER",
IF(AND(K$5&lt;=100,Midterm!K52&gt;100),"ERR",
IF(Info!$B$4="Non-board program",
IF(OR(AND(K$5&gt;0,K$5&gt;100),AND(K$5&gt;0,K$5&lt;100)),
VLOOKUP(FLOOR((Midterm!K52/K$5)*100,1),new_transmute,2,FALSE),
VLOOKUP(Midterm!K52,new_transmute,2,FALSE)
),
IF(Info!$B$4="Board program",
IF(OR(AND(K$5&gt;0,K$5&gt;100),AND(K$5&gt;0,K$5&lt;100)),
VLOOKUP(FLOOR((Midterm!K52/K$5)*100,1),new_transmute,3,FALSE),
VLOOKUP(Midterm!K52,new_transmute,3,FALSE)
),
IF(Info!$B$4="Board program (Medicine)",
IF(OR(AND(K$5&gt;0,K$5&gt;100),AND(K$5&gt;0,K$5&lt;100)),
VLOOKUP(FLOOR((Midterm!K52/K$5)*100,1),new_transmute,4,FALSE),
VLOOKUP(Midterm!K52,new_transmute,4,FALSE)
),
""
)
)
)
)
)
)
)
)
))</f>
        <v/>
      </c>
      <c r="L52" s="14" t="str">
        <f>IF($B52="","",
IF(L$5="","",
IF(Midterm!L52="",0,
IF(NOT(ISNUMBER(Midterm!L52)),"NAN",
IF(Midterm!L52&lt;0,"NEG",
IF(Midterm!L52&gt;L$5,"OVER",
IF(AND(L$5&lt;=100,Midterm!L52&gt;100),"ERR",
IF(Info!$B$4="Non-board program",
IF(OR(AND(L$5&gt;0,L$5&gt;100),AND(L$5&gt;0,L$5&lt;100)),
VLOOKUP(FLOOR((Midterm!L52/L$5)*100,1),new_transmute,2,FALSE),
VLOOKUP(Midterm!L52,new_transmute,2,FALSE)
),
IF(Info!$B$4="Board program",
IF(OR(AND(L$5&gt;0,L$5&gt;100),AND(L$5&gt;0,L$5&lt;100)),
VLOOKUP(FLOOR((Midterm!L52/L$5)*100,1),new_transmute,3,FALSE),
VLOOKUP(Midterm!L52,new_transmute,3,FALSE)
),
IF(Info!$B$4="Board program (Medicine)",
IF(OR(AND(L$5&gt;0,L$5&gt;100),AND(L$5&gt;0,L$5&lt;100)),
VLOOKUP(FLOOR((Midterm!L52/L$5)*100,1),new_transmute,4,FALSE),
VLOOKUP(Midterm!L52,new_transmute,4,FALSE)
),
""
)
)
)
)
)
)
)
)
))</f>
        <v/>
      </c>
      <c r="M52" s="111" t="str">
        <f t="shared" si="2"/>
        <v/>
      </c>
      <c r="N52" s="14" t="str">
        <f>IF($B52="","",
IF(N$5="","",
IF(Midterm!N52="",0,
IF(NOT(ISNUMBER(Midterm!N52)),"NAN",
IF(Midterm!N52&lt;0,"NEG",
IF(Midterm!N52&gt;N$5,"OVER",
IF(AND(N$5&lt;=100,Midterm!N52&gt;100),"ERR",
IF(Info!$B$4="Non-board program",
IF(OR(AND(N$5&gt;0,N$5&gt;100),AND(N$5&gt;0,N$5&lt;100)),
VLOOKUP(FLOOR((Midterm!N52/N$5)*100,1),new_transmute,2,FALSE),
VLOOKUP(Midterm!N52,new_transmute,2,FALSE)
),
IF(Info!$B$4="Board program",
IF(OR(AND(N$5&gt;0,N$5&gt;100),AND(N$5&gt;0,N$5&lt;100)),
VLOOKUP(FLOOR((Midterm!N52/N$5)*100,1),new_transmute,3,FALSE),
VLOOKUP(Midterm!N52,new_transmute,3,FALSE)
),
IF(Info!$B$4="Board program (Medicine)",
IF(OR(AND(N$5&gt;0,N$5&gt;100),AND(N$5&gt;0,N$5&lt;100)),
VLOOKUP(FLOOR((Midterm!N52/N$5)*100,1),new_transmute,4,FALSE),
VLOOKUP(Midterm!N52,new_transmute,4,FALSE)
),
""
)
)
)
)
)
)
)
)
))</f>
        <v/>
      </c>
      <c r="O52" s="14" t="str">
        <f>IF($B52="","",
IF(O$5="","",
IF(Midterm!O52="",0,
IF(NOT(ISNUMBER(Midterm!O52)),"NAN",
IF(Midterm!O52&lt;0,"NEG",
IF(Midterm!O52&gt;O$5,"OVER",
IF(AND(O$5&lt;=100,Midterm!O52&gt;100),"ERR",
IF(Info!$B$4="Non-board program",
IF(OR(AND(O$5&gt;0,O$5&gt;100),AND(O$5&gt;0,O$5&lt;100)),
VLOOKUP(FLOOR((Midterm!O52/O$5)*100,1),new_transmute,2,FALSE),
VLOOKUP(Midterm!O52,new_transmute,2,FALSE)
),
IF(Info!$B$4="Board program",
IF(OR(AND(O$5&gt;0,O$5&gt;100),AND(O$5&gt;0,O$5&lt;100)),
VLOOKUP(FLOOR((Midterm!O52/O$5)*100,1),new_transmute,3,FALSE),
VLOOKUP(Midterm!O52,new_transmute,3,FALSE)
),
IF(Info!$B$4="Board program (Medicine)",
IF(OR(AND(O$5&gt;0,O$5&gt;100),AND(O$5&gt;0,O$5&lt;100)),
VLOOKUP(FLOOR((Midterm!O52/O$5)*100,1),new_transmute,4,FALSE),
VLOOKUP(Midterm!O52,new_transmute,4,FALSE)
),
""
)
)
)
)
)
)
)
)
))</f>
        <v/>
      </c>
      <c r="P52" s="14" t="str">
        <f>IF($B52="","",
IF(P$5="","",
IF(Midterm!P52="",0,
IF(NOT(ISNUMBER(Midterm!P52)),"NAN",
IF(Midterm!P52&lt;0,"NEG",
IF(Midterm!P52&gt;P$5,"OVER",
IF(AND(P$5&lt;=100,Midterm!P52&gt;100),"ERR",
IF(Info!$B$4="Non-board program",
IF(OR(AND(P$5&gt;0,P$5&gt;100),AND(P$5&gt;0,P$5&lt;100)),
VLOOKUP(FLOOR((Midterm!P52/P$5)*100,1),new_transmute,2,FALSE),
VLOOKUP(Midterm!P52,new_transmute,2,FALSE)
),
IF(Info!$B$4="Board program",
IF(OR(AND(P$5&gt;0,P$5&gt;100),AND(P$5&gt;0,P$5&lt;100)),
VLOOKUP(FLOOR((Midterm!P52/P$5)*100,1),new_transmute,3,FALSE),
VLOOKUP(Midterm!P52,new_transmute,3,FALSE)
),
IF(Info!$B$4="Board program (Medicine)",
IF(OR(AND(P$5&gt;0,P$5&gt;100),AND(P$5&gt;0,P$5&lt;100)),
VLOOKUP(FLOOR((Midterm!P52/P$5)*100,1),new_transmute,4,FALSE),
VLOOKUP(Midterm!P52,new_transmute,4,FALSE)
),
""
)
)
)
)
)
)
)
)
))</f>
        <v/>
      </c>
      <c r="Q52" s="14" t="str">
        <f>IF($B52="","",
IF(Q$5="","",
IF(Midterm!Q52="",0,
IF(NOT(ISNUMBER(Midterm!Q52)),"NAN",
IF(Midterm!Q52&lt;0,"NEG",
IF(Midterm!Q52&gt;Q$5,"OVER",
IF(AND(Q$5&lt;=100,Midterm!Q52&gt;100),"ERR",
IF(Info!$B$4="Non-board program",
IF(OR(AND(Q$5&gt;0,Q$5&gt;100),AND(Q$5&gt;0,Q$5&lt;100)),
VLOOKUP(FLOOR((Midterm!Q52/Q$5)*100,1),new_transmute,2,FALSE),
VLOOKUP(Midterm!Q52,new_transmute,2,FALSE)
),
IF(Info!$B$4="Board program",
IF(OR(AND(Q$5&gt;0,Q$5&gt;100),AND(Q$5&gt;0,Q$5&lt;100)),
VLOOKUP(FLOOR((Midterm!Q52/Q$5)*100,1),new_transmute,3,FALSE),
VLOOKUP(Midterm!Q52,new_transmute,3,FALSE)
),
IF(Info!$B$4="Board program (Medicine)",
IF(OR(AND(Q$5&gt;0,Q$5&gt;100),AND(Q$5&gt;0,Q$5&lt;100)),
VLOOKUP(FLOOR((Midterm!Q52/Q$5)*100,1),new_transmute,4,FALSE),
VLOOKUP(Midterm!Q52,new_transmute,4,FALSE)
),
""
)
)
)
)
)
)
)
)
))</f>
        <v/>
      </c>
      <c r="R52" s="14" t="str">
        <f>IF($B52="","",
IF(R$5="","",
IF(Midterm!R52="",0,
IF(NOT(ISNUMBER(Midterm!R52)),"NAN",
IF(Midterm!R52&lt;0,"NEG",
IF(Midterm!R52&gt;R$5,"OVER",
IF(AND(R$5&lt;=100,Midterm!R52&gt;100),"ERR",
IF(Info!$B$4="Non-board program",
IF(OR(AND(R$5&gt;0,R$5&gt;100),AND(R$5&gt;0,R$5&lt;100)),
VLOOKUP(FLOOR((Midterm!R52/R$5)*100,1),new_transmute,2,FALSE),
VLOOKUP(Midterm!R52,new_transmute,2,FALSE)
),
IF(Info!$B$4="Board program",
IF(OR(AND(R$5&gt;0,R$5&gt;100),AND(R$5&gt;0,R$5&lt;100)),
VLOOKUP(FLOOR((Midterm!R52/R$5)*100,1),new_transmute,3,FALSE),
VLOOKUP(Midterm!R52,new_transmute,3,FALSE)
),
IF(Info!$B$4="Board program (Medicine)",
IF(OR(AND(R$5&gt;0,R$5&gt;100),AND(R$5&gt;0,R$5&lt;100)),
VLOOKUP(FLOOR((Midterm!R52/R$5)*100,1),new_transmute,4,FALSE),
VLOOKUP(Midterm!R52,new_transmute,4,FALSE)
),
""
)
)
)
)
)
)
)
)
))</f>
        <v/>
      </c>
      <c r="S52" s="115" t="str">
        <f t="shared" si="3"/>
        <v/>
      </c>
      <c r="T52" s="14" t="str">
        <f>IF($B52="","",
IF(T$5="","",
IF(Midterm!T52="",0,
IF(NOT(ISNUMBER(Midterm!T52)),"NAN",
IF(Midterm!T52&lt;0,"NEG",
IF(Midterm!T52&gt;T$5,"OVER",
IF(AND(T$5&lt;=100,Midterm!T52&gt;100),"ERR",
IF(Info!$B$4="Non-board program",
IF(OR(AND(T$5&gt;0,T$5&gt;100),AND(T$5&gt;0,T$5&lt;100)),
VLOOKUP(FLOOR((Midterm!T52/T$5)*100,1),new_transmute,2,FALSE),
VLOOKUP(Midterm!T52,new_transmute,2,FALSE)
),
IF(Info!$B$4="Board program",
IF(OR(AND(T$5&gt;0,T$5&gt;100),AND(T$5&gt;0,T$5&lt;100)),
VLOOKUP(FLOOR((Midterm!T52/T$5)*100,1),new_transmute,3,FALSE),
VLOOKUP(Midterm!T52,new_transmute,3,FALSE)
),
IF(Info!$B$4="Board program (Medicine)",
IF(OR(AND(T$5&gt;0,T$5&gt;100),AND(T$5&gt;0,T$5&lt;100)),
VLOOKUP(FLOOR((Midterm!T52/T$5)*100,1),new_transmute,4,FALSE),
VLOOKUP(Midterm!T52,new_transmute,4,FALSE)
),
""
)
)
)
)
)
)
)
)
))</f>
        <v/>
      </c>
      <c r="U52" s="14" t="str">
        <f>IF($B52="","",
IF(U$5="","",
IF(Midterm!U52="",0,
IF(NOT(ISNUMBER(Midterm!U52)),"NAN",
IF(Midterm!U52&lt;0,"NEG",
IF(Midterm!U52&gt;U$5,"OVER",
IF(AND(U$5&lt;=100,Midterm!U52&gt;100),"ERR",
IF(Info!$B$4="Non-board program",
IF(OR(AND(U$5&gt;0,U$5&gt;100),AND(U$5&gt;0,U$5&lt;100)),
VLOOKUP(FLOOR((Midterm!U52/U$5)*100,1),new_transmute,2,FALSE),
VLOOKUP(Midterm!U52,new_transmute,2,FALSE)
),
IF(Info!$B$4="Board program",
IF(OR(AND(U$5&gt;0,U$5&gt;100),AND(U$5&gt;0,U$5&lt;100)),
VLOOKUP(FLOOR((Midterm!U52/U$5)*100,1),new_transmute,3,FALSE),
VLOOKUP(Midterm!U52,new_transmute,3,FALSE)
),
IF(Info!$B$4="Board program (Medicine)",
IF(OR(AND(U$5&gt;0,U$5&gt;100),AND(U$5&gt;0,U$5&lt;100)),
VLOOKUP(FLOOR((Midterm!U52/U$5)*100,1),new_transmute,4,FALSE),
VLOOKUP(Midterm!U52,new_transmute,4,FALSE)
),
""
)
)
)
)
)
)
)
)
))</f>
        <v/>
      </c>
      <c r="V52" s="14" t="str">
        <f>IF($B52="","",
IF(V$5="","",
IF(Midterm!V52="",0,
IF(NOT(ISNUMBER(Midterm!V52)),"NAN",
IF(Midterm!V52&lt;0,"NEG",
IF(Midterm!V52&gt;V$5,"OVER",
IF(AND(V$5&lt;=100,Midterm!V52&gt;100),"ERR",
IF(Info!$B$4="Non-board program",
IF(OR(AND(V$5&gt;0,V$5&gt;100),AND(V$5&gt;0,V$5&lt;100)),
VLOOKUP(FLOOR((Midterm!V52/V$5)*100,1),new_transmute,2,FALSE),
VLOOKUP(Midterm!V52,new_transmute,2,FALSE)
),
IF(Info!$B$4="Board program",
IF(OR(AND(V$5&gt;0,V$5&gt;100),AND(V$5&gt;0,V$5&lt;100)),
VLOOKUP(FLOOR((Midterm!V52/V$5)*100,1),new_transmute,3,FALSE),
VLOOKUP(Midterm!V52,new_transmute,3,FALSE)
),
IF(Info!$B$4="Board program (Medicine)",
IF(OR(AND(V$5&gt;0,V$5&gt;100),AND(V$5&gt;0,V$5&lt;100)),
VLOOKUP(FLOOR((Midterm!V52/V$5)*100,1),new_transmute,4,FALSE),
VLOOKUP(Midterm!V52,new_transmute,4,FALSE)
),
""
)
)
)
)
)
)
)
)
))</f>
        <v/>
      </c>
      <c r="W52" s="14" t="str">
        <f>IF($B52="","",
IF(W$5="","",
IF(Midterm!W52="",0,
IF(NOT(ISNUMBER(Midterm!W52)),"NAN",
IF(Midterm!W52&lt;0,"NEG",
IF(Midterm!W52&gt;W$5,"OVER",
IF(AND(W$5&lt;=100,Midterm!W52&gt;100),"ERR",
IF(Info!$B$4="Non-board program",
IF(OR(AND(W$5&gt;0,W$5&gt;100),AND(W$5&gt;0,W$5&lt;100)),
VLOOKUP(FLOOR((Midterm!W52/W$5)*100,1),new_transmute,2,FALSE),
VLOOKUP(Midterm!W52,new_transmute,2,FALSE)
),
IF(Info!$B$4="Board program",
IF(OR(AND(W$5&gt;0,W$5&gt;100),AND(W$5&gt;0,W$5&lt;100)),
VLOOKUP(FLOOR((Midterm!W52/W$5)*100,1),new_transmute,3,FALSE),
VLOOKUP(Midterm!W52,new_transmute,3,FALSE)
),
IF(Info!$B$4="Board program (Medicine)",
IF(OR(AND(W$5&gt;0,W$5&gt;100),AND(W$5&gt;0,W$5&lt;100)),
VLOOKUP(FLOOR((Midterm!W52/W$5)*100,1),new_transmute,4,FALSE),
VLOOKUP(Midterm!W52,new_transmute,4,FALSE)
),
""
)
)
)
)
)
)
)
)
))</f>
        <v/>
      </c>
      <c r="X52" s="14" t="str">
        <f>IF($B52="","",
IF(X$5="","",
IF(Midterm!X52="",0,
IF(NOT(ISNUMBER(Midterm!X52)),"NAN",
IF(Midterm!X52&lt;0,"NEG",
IF(Midterm!X52&gt;X$5,"OVER",
IF(AND(X$5&lt;=100,Midterm!X52&gt;100),"ERR",
IF(Info!$B$4="Non-board program",
IF(OR(AND(X$5&gt;0,X$5&gt;100),AND(X$5&gt;0,X$5&lt;100)),
VLOOKUP(FLOOR((Midterm!X52/X$5)*100,1),new_transmute,2,FALSE),
VLOOKUP(Midterm!X52,new_transmute,2,FALSE)
),
IF(Info!$B$4="Board program",
IF(OR(AND(X$5&gt;0,X$5&gt;100),AND(X$5&gt;0,X$5&lt;100)),
VLOOKUP(FLOOR((Midterm!X52/X$5)*100,1),new_transmute,3,FALSE),
VLOOKUP(Midterm!X52,new_transmute,3,FALSE)
),
IF(Info!$B$4="Board program (Medicine)",
IF(OR(AND(X$5&gt;0,X$5&gt;100),AND(X$5&gt;0,X$5&lt;100)),
VLOOKUP(FLOOR((Midterm!X52/X$5)*100,1),new_transmute,4,FALSE),
VLOOKUP(Midterm!X52,new_transmute,4,FALSE)
),
""
)
)
)
)
)
)
)
)
))</f>
        <v/>
      </c>
      <c r="Y52" s="112" t="str">
        <f t="shared" si="4"/>
        <v/>
      </c>
      <c r="Z52" s="14" t="str">
        <f>IF($B52="","",
IF(Z$5="","",
IF(Midterm!Z52="",0,
IF(NOT(ISNUMBER(Midterm!Z52)),"NAN",
IF(Midterm!Z52&lt;0,"NEG",
IF(Midterm!Z52&gt;Z$5,"OVER",
IF(AND(Z$5&lt;=100,Midterm!Z52&gt;100),"ERR",
IF(Info!$B$4="Non-board program",
IF(OR(AND(Z$5&gt;0,Z$5&gt;100),AND(Z$5&gt;0,Z$5&lt;100)),
VLOOKUP(FLOOR((Midterm!Z52/Z$5)*100,1),new_transmute,2,FALSE),
VLOOKUP(Midterm!Z52,new_transmute,2,FALSE)
),
IF(Info!$B$4="Board program",
IF(OR(AND(Z$5&gt;0,Z$5&gt;100),AND(Z$5&gt;0,Z$5&lt;100)),
VLOOKUP(FLOOR((Midterm!Z52/Z$5)*100,1),new_transmute,3,FALSE),
VLOOKUP(Midterm!Z52,new_transmute,3,FALSE)
),
IF(Info!$B$4="Board program (Medicine)",
IF(OR(AND(Z$5&gt;0,Z$5&gt;100),AND(Z$5&gt;0,Z$5&lt;100)),
VLOOKUP(FLOOR((Midterm!Z52/Z$5)*100,1),new_transmute,4,FALSE),
VLOOKUP(Midterm!Z52,new_transmute,4,FALSE)
),
""
)
)
)
)
)
)
)
)
))</f>
        <v/>
      </c>
      <c r="AA52" s="14" t="str">
        <f>IF($B52="","",
IF(AA$5="","",
IF(Midterm!AA52="",0,
IF(NOT(ISNUMBER(Midterm!AA52)),"NAN",
IF(Midterm!AA52&lt;0,"NEG",
IF(Midterm!AA52&gt;AA$5,"OVER",
IF(AND(AA$5&lt;=100,Midterm!AA52&gt;100),"ERR",
IF(Info!$B$4="Non-board program",
IF(OR(AND(AA$5&gt;0,AA$5&gt;100),AND(AA$5&gt;0,AA$5&lt;100)),
VLOOKUP(FLOOR((Midterm!AA52/AA$5)*100,1),new_transmute,2,FALSE),
VLOOKUP(Midterm!AA52,new_transmute,2,FALSE)
),
IF(Info!$B$4="Board program",
IF(OR(AND(AA$5&gt;0,AA$5&gt;100),AND(AA$5&gt;0,AA$5&lt;100)),
VLOOKUP(FLOOR((Midterm!AA52/AA$5)*100,1),new_transmute,3,FALSE),
VLOOKUP(Midterm!AA52,new_transmute,3,FALSE)
),
IF(Info!$B$4="Board program (Medicine)",
IF(OR(AND(AA$5&gt;0,AA$5&gt;100),AND(AA$5&gt;0,AA$5&lt;100)),
VLOOKUP(FLOOR((Midterm!AA52/AA$5)*100,1),new_transmute,4,FALSE),
VLOOKUP(Midterm!AA52,new_transmute,4,FALSE)
),
""
)
)
)
)
)
)
)
)
))</f>
        <v/>
      </c>
      <c r="AB52" s="14" t="str">
        <f>IF($B52="","",
IF(AB$5="","",
IF(Midterm!AB52="",0,
IF(NOT(ISNUMBER(Midterm!AB52)),"NAN",
IF(Midterm!AB52&lt;0,"NEG",
IF(Midterm!AB52&gt;AB$5,"OVER",
IF(AND(AB$5&lt;=100,Midterm!AB52&gt;100),"ERR",
IF(Info!$B$4="Non-board program",
IF(OR(AND(AB$5&gt;0,AB$5&gt;100),AND(AB$5&gt;0,AB$5&lt;100)),
VLOOKUP(FLOOR((Midterm!AB52/AB$5)*100,1),new_transmute,2,FALSE),
VLOOKUP(Midterm!AB52,new_transmute,2,FALSE)
),
IF(Info!$B$4="Board program",
IF(OR(AND(AB$5&gt;0,AB$5&gt;100),AND(AB$5&gt;0,AB$5&lt;100)),
VLOOKUP(FLOOR((Midterm!AB52/AB$5)*100,1),new_transmute,3,FALSE),
VLOOKUP(Midterm!AB52,new_transmute,3,FALSE)
),
IF(Info!$B$4="Board program (Medicine)",
IF(OR(AND(AB$5&gt;0,AB$5&gt;100),AND(AB$5&gt;0,AB$5&lt;100)),
VLOOKUP(FLOOR((Midterm!AB52/AB$5)*100,1),new_transmute,4,FALSE),
VLOOKUP(Midterm!AB52,new_transmute,4,FALSE)
),
""
)
)
)
)
)
)
)
)
))</f>
        <v/>
      </c>
      <c r="AC52" s="14" t="str">
        <f>IF($B52="","",
IF(AC$5="","",
IF(Midterm!AC52="",0,
IF(NOT(ISNUMBER(Midterm!AC52)),"NAN",
IF(Midterm!AC52&lt;0,"NEG",
IF(Midterm!AC52&gt;AC$5,"OVER",
IF(AND(AC$5&lt;=100,Midterm!AC52&gt;100),"ERR",
IF(Info!$B$4="Non-board program",
IF(OR(AND(AC$5&gt;0,AC$5&gt;100),AND(AC$5&gt;0,AC$5&lt;100)),
VLOOKUP(FLOOR((Midterm!AC52/AC$5)*100,1),new_transmute,2,FALSE),
VLOOKUP(Midterm!AC52,new_transmute,2,FALSE)
),
IF(Info!$B$4="Board program",
IF(OR(AND(AC$5&gt;0,AC$5&gt;100),AND(AC$5&gt;0,AC$5&lt;100)),
VLOOKUP(FLOOR((Midterm!AC52/AC$5)*100,1),new_transmute,3,FALSE),
VLOOKUP(Midterm!AC52,new_transmute,3,FALSE)
),
IF(Info!$B$4="Board program (Medicine)",
IF(OR(AND(AC$5&gt;0,AC$5&gt;100),AND(AC$5&gt;0,AC$5&lt;100)),
VLOOKUP(FLOOR((Midterm!AC52/AC$5)*100,1),new_transmute,4,FALSE),
VLOOKUP(Midterm!AC52,new_transmute,4,FALSE)
),
""
)
)
)
)
)
)
)
)
))</f>
        <v/>
      </c>
      <c r="AD52" s="14" t="str">
        <f>IF($B52="","",
IF(AD$5="","",
IF(Midterm!AD52="",0,
IF(NOT(ISNUMBER(Midterm!AD52)),"NAN",
IF(Midterm!AD52&lt;0,"NEG",
IF(Midterm!AD52&gt;AD$5,"OVER",
IF(AND(AD$5&lt;=100,Midterm!AD52&gt;100),"ERR",
IF(Info!$B$4="Non-board program",
IF(OR(AND(AD$5&gt;0,AD$5&gt;100),AND(AD$5&gt;0,AD$5&lt;100)),
VLOOKUP(FLOOR((Midterm!AD52/AD$5)*100,1),new_transmute,2,FALSE),
VLOOKUP(Midterm!AD52,new_transmute,2,FALSE)
),
IF(Info!$B$4="Board program",
IF(OR(AND(AD$5&gt;0,AD$5&gt;100),AND(AD$5&gt;0,AD$5&lt;100)),
VLOOKUP(FLOOR((Midterm!AD52/AD$5)*100,1),new_transmute,3,FALSE),
VLOOKUP(Midterm!AD52,new_transmute,3,FALSE)
),
IF(Info!$B$4="Board program (Medicine)",
IF(OR(AND(AD$5&gt;0,AD$5&gt;100),AND(AD$5&gt;0,AD$5&lt;100)),
VLOOKUP(FLOOR((Midterm!AD52/AD$5)*100,1),new_transmute,4,FALSE),
VLOOKUP(Midterm!AD52,new_transmute,4,FALSE)
),
""
)
)
)
)
)
)
)
)
))</f>
        <v/>
      </c>
      <c r="AE52" s="58" t="str">
        <f t="shared" si="5"/>
        <v/>
      </c>
      <c r="AF52" s="14" t="str">
        <f>IF($B52="","",
IF(AF$5="","",
IF(Midterm!AF52="",0,
IF(NOT(ISNUMBER(Midterm!AF52)),"NAN",
IF(Midterm!AF52&lt;0,"NEG",
IF(Midterm!AF52&gt;AF$5,"OVER",
IF(AND(AF$5&lt;=100,Midterm!AF52&gt;100),"ERR",
IF(Info!$B$4="Non-board program",
IF(OR(AND(AF$5&gt;0,AF$5&gt;100),AND(AF$5&gt;0,AF$5&lt;100)),
VLOOKUP(FLOOR((Midterm!AF52/AF$5)*100,1),new_transmute,2,FALSE),
VLOOKUP(Midterm!AF52,new_transmute,2,FALSE)
),
IF(Info!$B$4="Board program",
IF(OR(AND(AF$5&gt;0,AF$5&gt;100),AND(AF$5&gt;0,AF$5&lt;100)),
VLOOKUP(FLOOR((Midterm!AF52/AF$5)*100,1),new_transmute,3,FALSE),
VLOOKUP(Midterm!AF52,new_transmute,3,FALSE)
),
IF(Info!$B$4="Board program (Medicine)",
IF(OR(AND(AF$5&gt;0,AF$5&gt;100),AND(AF$5&gt;0,AF$5&lt;100)),
VLOOKUP(FLOOR((Midterm!AF52/AF$5)*100,1),new_transmute,4,FALSE),
VLOOKUP(Midterm!AF52,new_transmute,4,FALSE)
),
""
)
)
)
)
)
)
)
)
))</f>
        <v/>
      </c>
      <c r="AG52" s="14" t="str">
        <f>IF($B52="","",
IF(AG$5="","",
IF(Midterm!AG52="",0,
IF(NOT(ISNUMBER(Midterm!AG52)),"NAN",
IF(Midterm!AG52&lt;0,"NEG",
IF(Midterm!AG52&gt;AG$5,"OVER",
IF(AND(AG$5&lt;=100,Midterm!AG52&gt;100),"ERR",
IF(Info!$B$4="Non-board program",
IF(OR(AND(AG$5&gt;0,AG$5&gt;100),AND(AG$5&gt;0,AG$5&lt;100)),
VLOOKUP(FLOOR((Midterm!AG52/AG$5)*100,1),new_transmute,2,FALSE),
VLOOKUP(Midterm!AG52,new_transmute,2,FALSE)
),
IF(Info!$B$4="Board program",
IF(OR(AND(AG$5&gt;0,AG$5&gt;100),AND(AG$5&gt;0,AG$5&lt;100)),
VLOOKUP(FLOOR((Midterm!AG52/AG$5)*100,1),new_transmute,3,FALSE),
VLOOKUP(Midterm!AG52,new_transmute,3,FALSE)
),
IF(Info!$B$4="Board program (Medicine)",
IF(OR(AND(AG$5&gt;0,AG$5&gt;100),AND(AG$5&gt;0,AG$5&lt;100)),
VLOOKUP(FLOOR((Midterm!AG52/AG$5)*100,1),new_transmute,4,FALSE),
VLOOKUP(Midterm!AG52,new_transmute,4,FALSE)
),
""
)
)
)
)
)
)
)
)
))</f>
        <v/>
      </c>
      <c r="AH52" s="14" t="str">
        <f>IF($B52="","",
IF(AH$5="","",
IF(Midterm!AH52="",0,
IF(NOT(ISNUMBER(Midterm!AH52)),"NAN",
IF(Midterm!AH52&lt;0,"NEG",
IF(Midterm!AH52&gt;AH$5,"OVER",
IF(AND(AH$5&lt;=100,Midterm!AH52&gt;100),"ERR",
IF(Info!$B$4="Non-board program",
IF(OR(AND(AH$5&gt;0,AH$5&gt;100),AND(AH$5&gt;0,AH$5&lt;100)),
VLOOKUP(FLOOR((Midterm!AH52/AH$5)*100,1),new_transmute,2,FALSE),
VLOOKUP(Midterm!AH52,new_transmute,2,FALSE)
),
IF(Info!$B$4="Board program",
IF(OR(AND(AH$5&gt;0,AH$5&gt;100),AND(AH$5&gt;0,AH$5&lt;100)),
VLOOKUP(FLOOR((Midterm!AH52/AH$5)*100,1),new_transmute,3,FALSE),
VLOOKUP(Midterm!AH52,new_transmute,3,FALSE)
),
IF(Info!$B$4="Board program (Medicine)",
IF(OR(AND(AH$5&gt;0,AH$5&gt;100),AND(AH$5&gt;0,AH$5&lt;100)),
VLOOKUP(FLOOR((Midterm!AH52/AH$5)*100,1),new_transmute,4,FALSE),
VLOOKUP(Midterm!AH52,new_transmute,4,FALSE)
),
""
)
)
)
)
)
)
)
)
))</f>
        <v/>
      </c>
      <c r="AI52" s="14" t="str">
        <f>IF($B52="","",
IF(AI$5="","",
IF(Midterm!AI52="",0,
IF(NOT(ISNUMBER(Midterm!AI52)),"NAN",
IF(Midterm!AI52&lt;0,"NEG",
IF(Midterm!AI52&gt;AI$5,"OVER",
IF(AND(AI$5&lt;=100,Midterm!AI52&gt;100),"ERR",
IF(Info!$B$4="Non-board program",
IF(OR(AND(AI$5&gt;0,AI$5&gt;100),AND(AI$5&gt;0,AI$5&lt;100)),
VLOOKUP(FLOOR((Midterm!AI52/AI$5)*100,1),new_transmute,2,FALSE),
VLOOKUP(Midterm!AI52,new_transmute,2,FALSE)
),
IF(Info!$B$4="Board program",
IF(OR(AND(AI$5&gt;0,AI$5&gt;100),AND(AI$5&gt;0,AI$5&lt;100)),
VLOOKUP(FLOOR((Midterm!AI52/AI$5)*100,1),new_transmute,3,FALSE),
VLOOKUP(Midterm!AI52,new_transmute,3,FALSE)
),
IF(Info!$B$4="Board program (Medicine)",
IF(OR(AND(AI$5&gt;0,AI$5&gt;100),AND(AI$5&gt;0,AI$5&lt;100)),
VLOOKUP(FLOOR((Midterm!AI52/AI$5)*100,1),new_transmute,4,FALSE),
VLOOKUP(Midterm!AI52,new_transmute,4,FALSE)
),
""
)
)
)
)
)
)
)
)
))</f>
        <v/>
      </c>
      <c r="AJ52" s="14" t="str">
        <f>IF($B52="","",
IF(AJ$5="","",
IF(Midterm!AJ52="",0,
IF(NOT(ISNUMBER(Midterm!AJ52)),"NAN",
IF(Midterm!AJ52&lt;0,"NEG",
IF(Midterm!AJ52&gt;AJ$5,"OVER",
IF(AND(AJ$5&lt;=100,Midterm!AJ52&gt;100),"ERR",
IF(Info!$B$4="Non-board program",
IF(OR(AND(AJ$5&gt;0,AJ$5&gt;100),AND(AJ$5&gt;0,AJ$5&lt;100)),
VLOOKUP(FLOOR((Midterm!AJ52/AJ$5)*100,1),new_transmute,2,FALSE),
VLOOKUP(Midterm!AJ52,new_transmute,2,FALSE)
),
IF(Info!$B$4="Board program",
IF(OR(AND(AJ$5&gt;0,AJ$5&gt;100),AND(AJ$5&gt;0,AJ$5&lt;100)),
VLOOKUP(FLOOR((Midterm!AJ52/AJ$5)*100,1),new_transmute,3,FALSE),
VLOOKUP(Midterm!AJ52,new_transmute,3,FALSE)
),
IF(Info!$B$4="Board program (Medicine)",
IF(OR(AND(AJ$5&gt;0,AJ$5&gt;100),AND(AJ$5&gt;0,AJ$5&lt;100)),
VLOOKUP(FLOOR((Midterm!AJ52/AJ$5)*100,1),new_transmute,4,FALSE),
VLOOKUP(Midterm!AJ52,new_transmute,4,FALSE)
),
""
)
)
)
)
)
)
)
)
))</f>
        <v/>
      </c>
      <c r="AK52" s="59" t="str">
        <f t="shared" si="6"/>
        <v/>
      </c>
      <c r="AL52" s="60" t="str">
        <f>IF(B52="", "",
    IF(OR(M52="OVER", S52="OVER", Y52="OVER", AE52="OVER", AK52="OVER"),
        "OVER",
        IF(Info!$B$4="Non-board program",
            VLOOKUP(IFERROR(FLOOR(SUM((M52*$M$4), (S52*$S$4), (Y52*$Y$4), (AE52*$AE$4), (AK52*$AK$4)) * (100 / 60), 1), 0), new_transmute, 2, FALSE),
            IF(Info!$B$4="Board program",
                VLOOKUP(IFERROR(FLOOR(SUM((M52*$M$4), (S52*$S$4), (Y52*$Y$4), (AE52*$AE$4), (AK52*$AK$4)) * (100 / 60), 1), 0), new_transmute, 3, FALSE),
                IF(Info!$B$4="Board program (Medicine)",
                    VLOOKUP(IFERROR(FLOOR(SUM((M52*$M$4), (S52*$S$4), (Y52*$Y$4), (AE52*$AE$4), (AK52*$AK$4)) * (100 / 60), 1), 0), new_transmute, 4, FALSE),
                    ""
                )
            )
        )
    )
)</f>
        <v/>
      </c>
      <c r="AM52" s="14" t="str">
        <f>IF($B52="","",
IF(AM$5="","",
IF(Midterm!AM52="",0,
IF(NOT(ISNUMBER(Midterm!AM52)),"NAN",
IF(Midterm!AM52&lt;0,"NEG",
IF(Midterm!AM52&gt;AM$5,"OVER",
IF(AND(AM$5&lt;=100,Midterm!AM52&gt;100),"ERR",
IF(Info!$B$4="Non-board program",
IF(OR(AND(AM$5&gt;0,AM$5&gt;100),AND(AM$5&gt;0,AM$5&lt;100)),
VLOOKUP(FLOOR((Midterm!AM52/AM$5)*100,1),new_transmute,2,FALSE),
VLOOKUP(Midterm!AM52,new_transmute,2,FALSE)
),
IF(Info!$B$4="Board program",
IF(OR(AND(AM$5&gt;0,AM$5&gt;100),AND(AM$5&gt;0,AM$5&lt;100)),
VLOOKUP(FLOOR((Midterm!AM52/AM$5)*100,1),new_transmute,3,FALSE),
VLOOKUP(Midterm!AM52,new_transmute,3,FALSE)
),
IF(Info!$B$4="Board program (Medicine)",
IF(OR(AND(AM$5&gt;0,AM$5&gt;100),AND(AM$5&gt;0,AM$5&lt;100)),
VLOOKUP(FLOOR((Midterm!AM52/AM$5)*100,1),new_transmute,4,FALSE),
VLOOKUP(Midterm!AM52,new_transmute,4,FALSE)
),
""
)
)
)
)
)
)
)
)
))</f>
        <v/>
      </c>
      <c r="AN52" s="14" t="str">
        <f>IF($B52="","",
IF(AN$5="","",
IF(Midterm!AN52="",0,
IF(NOT(ISNUMBER(Midterm!AN52)),"NAN",
IF(Midterm!AN52&lt;0,"NEG",
IF(Midterm!AN52&gt;AN$5,"OVER",
IF(AND(AN$5&lt;=100,Midterm!AN52&gt;100),"ERR",
IF(Info!$B$4="Non-board program",
IF(OR(AND(AN$5&gt;0,AN$5&gt;100),AND(AN$5&gt;0,AN$5&lt;100)),
VLOOKUP(FLOOR((Midterm!AN52/AN$5)*100,1),new_transmute,2,FALSE),
VLOOKUP(Midterm!AN52,new_transmute,2,FALSE)
),
IF(Info!$B$4="Board program",
IF(OR(AND(AN$5&gt;0,AN$5&gt;100),AND(AN$5&gt;0,AN$5&lt;100)),
VLOOKUP(FLOOR((Midterm!AN52/AN$5)*100,1),new_transmute,3,FALSE),
VLOOKUP(Midterm!AN52,new_transmute,3,FALSE)
),
IF(Info!$B$4="Board program (Medicine)",
IF(OR(AND(AN$5&gt;0,AN$5&gt;100),AND(AN$5&gt;0,AN$5&lt;100)),
VLOOKUP(FLOOR((Midterm!AN52/AN$5)*100,1),new_transmute,4,FALSE),
VLOOKUP(Midterm!AN52,new_transmute,4,FALSE)
),
""
)
)
)
)
)
)
)
)
))</f>
        <v/>
      </c>
      <c r="AO52" s="14" t="str">
        <f>IF($B52="","",
IF(AO$5="","",
IF(Midterm!AO52="",0,
IF(NOT(ISNUMBER(Midterm!AO52)),"NAN",
IF(Midterm!AO52&lt;0,"NEG",
IF(Midterm!AO52&gt;AO$5,"OVER",
IF(AND(AO$5&lt;=100,Midterm!AO52&gt;100),"ERR",
IF(Info!$B$4="Non-board program",
IF(OR(AND(AO$5&gt;0,AO$5&gt;100),AND(AO$5&gt;0,AO$5&lt;100)),
VLOOKUP(FLOOR((Midterm!AO52/AO$5)*100,1),new_transmute,2,FALSE),
VLOOKUP(Midterm!AO52,new_transmute,2,FALSE)
),
IF(Info!$B$4="Board program",
IF(OR(AND(AO$5&gt;0,AO$5&gt;100),AND(AO$5&gt;0,AO$5&lt;100)),
VLOOKUP(FLOOR((Midterm!AO52/AO$5)*100,1),new_transmute,3,FALSE),
VLOOKUP(Midterm!AO52,new_transmute,3,FALSE)
),
IF(Info!$B$4="Board program (Medicine)",
IF(OR(AND(AO$5&gt;0,AO$5&gt;100),AND(AO$5&gt;0,AO$5&lt;100)),
VLOOKUP(FLOOR((Midterm!AO52/AO$5)*100,1),new_transmute,4,FALSE),
VLOOKUP(Midterm!AO52,new_transmute,4,FALSE)
),
""
)
)
)
)
)
)
)
)
))</f>
        <v/>
      </c>
      <c r="AP52" s="14" t="str">
        <f>IF($B52="","",
IF(AP$5="","",
IF(Midterm!AP52="",0,
IF(NOT(ISNUMBER(Midterm!AP52)),"NAN",
IF(Midterm!AP52&lt;0,"NEG",
IF(Midterm!AP52&gt;AP$5,"OVER",
IF(AND(AP$5&lt;=100,Midterm!AP52&gt;100),"ERR",
IF(Info!$B$4="Non-board program",
IF(OR(AND(AP$5&gt;0,AP$5&gt;100),AND(AP$5&gt;0,AP$5&lt;100)),
VLOOKUP(FLOOR((Midterm!AP52/AP$5)*100,1),new_transmute,2,FALSE),
VLOOKUP(Midterm!AP52,new_transmute,2,FALSE)
),
IF(Info!$B$4="Board program",
IF(OR(AND(AP$5&gt;0,AP$5&gt;100),AND(AP$5&gt;0,AP$5&lt;100)),
VLOOKUP(FLOOR((Midterm!AP52/AP$5)*100,1),new_transmute,3,FALSE),
VLOOKUP(Midterm!AP52,new_transmute,3,FALSE)
),
IF(Info!$B$4="Board program (Medicine)",
IF(OR(AND(AP$5&gt;0,AP$5&gt;100),AND(AP$5&gt;0,AP$5&lt;100)),
VLOOKUP(FLOOR((Midterm!AP52/AP$5)*100,1),new_transmute,4,FALSE),
VLOOKUP(Midterm!AP52,new_transmute,4,FALSE)
),
""
)
)
)
)
)
)
)
)
))</f>
        <v/>
      </c>
      <c r="AQ52" s="61" t="str">
        <f t="shared" si="7"/>
        <v/>
      </c>
      <c r="AR52" s="48" t="str">
        <f>IF(Midterm!AR52="","",Midterm!AR52)</f>
        <v/>
      </c>
      <c r="AS52" s="165" t="str">
        <f t="shared" si="8"/>
        <v/>
      </c>
      <c r="AT52" s="14" t="str">
        <f t="shared" si="9"/>
        <v/>
      </c>
      <c r="AU52" s="14" t="str">
        <f>IF(B52="","",VLOOKUP(AT52,'New Grade Equivalent'!$B$3:$C$47,2,FALSE))</f>
        <v/>
      </c>
    </row>
    <row r="53" spans="1:47" x14ac:dyDescent="0.25">
      <c r="A53" s="8">
        <v>48</v>
      </c>
      <c r="B53" s="2" t="str">
        <f>IF('Student List'!C57="","",UPPER(LEFT('Student List'!C57,FIND(",",'Student List'!C57)-1)))</f>
        <v/>
      </c>
      <c r="C53" s="12" t="str">
        <f>IF('Student List'!C57="","",PROPER(MID('Student List'!C57, FIND(",", 'Student List'!C57) + 2, LEN('Student List'!C57) - FIND(",", 'Student List'!C57) - 1)))</f>
        <v/>
      </c>
      <c r="D53" s="127" t="str">
        <f>IF(B53="","",IF(Midterm!D53="", "NA", Midterm!D53))</f>
        <v/>
      </c>
      <c r="E53" s="8" t="str">
        <f>IF(B53="","",
  IF(Info!$B$5="First Year",
    IF(D53="Yes", "DRP",
      IF(D53="No", "WF", "")
    )
  )
)</f>
        <v/>
      </c>
      <c r="F53" s="14" t="str">
        <f>IF($B53="","",
IF(F$5="","",
IF(Midterm!F53="",0,
IF(NOT(ISNUMBER(Midterm!F53)),"NAN",
IF(Midterm!F53&lt;0,"NEG",
IF(Midterm!F53&gt;F$5,"OVER",
IF(AND(F$5&lt;=100,Midterm!F53&gt;100),"ERR",
IF(Info!$B$4="Non-board program",
IF(OR(AND(F$5&gt;0,F$5&gt;100),AND(F$5&gt;0,F$5&lt;100)),
VLOOKUP(FLOOR((Midterm!F53/F$5)*100,1),new_transmute,2,FALSE),
VLOOKUP(Midterm!F53,new_transmute,2,FALSE)
),
IF(Info!$B$4="Board program",
IF(OR(AND(F$5&gt;0,F$5&gt;100),AND(F$5&gt;0,F$5&lt;100)),
VLOOKUP(FLOOR((Midterm!F53/F$5)*100,1),new_transmute,3,FALSE),
VLOOKUP(Midterm!F53,new_transmute,3,FALSE)
),
IF(Info!$B$4="Board program (Medicine)",
IF(OR(AND(F$5&gt;0,F$5&gt;100),AND(F$5&gt;0,F$5&lt;100)),
VLOOKUP(FLOOR((Midterm!F53/F$5)*100,1),new_transmute,4,FALSE),
VLOOKUP(Midterm!F53,new_transmute,4,FALSE)
),
""
)
)
)
)
)
)
)
)
))</f>
        <v/>
      </c>
      <c r="G53" s="57" t="str">
        <f t="shared" si="1"/>
        <v/>
      </c>
      <c r="H53" s="14" t="str">
        <f>IF($B53="","",
IF(H$5="","",
IF(Midterm!H53="",0,
IF(NOT(ISNUMBER(Midterm!H53)),"NAN",
IF(Midterm!H53&lt;0,"NEG",
IF(Midterm!H53&gt;H$5,"OVER",
IF(AND(H$5&lt;=100,Midterm!H53&gt;100),"ERR",
IF(Info!$B$4="Non-board program",
IF(OR(AND(H$5&gt;0,H$5&gt;100),AND(H$5&gt;0,H$5&lt;100)),
VLOOKUP(FLOOR((Midterm!H53/H$5)*100,1),new_transmute,2,FALSE),
VLOOKUP(Midterm!H53,new_transmute,2,FALSE)
),
IF(Info!$B$4="Board program",
IF(OR(AND(H$5&gt;0,H$5&gt;100),AND(H$5&gt;0,H$5&lt;100)),
VLOOKUP(FLOOR((Midterm!H53/H$5)*100,1),new_transmute,3,FALSE),
VLOOKUP(Midterm!H53,new_transmute,3,FALSE)
),
IF(Info!$B$4="Board program (Medicine)",
IF(OR(AND(H$5&gt;0,H$5&gt;100),AND(H$5&gt;0,H$5&lt;100)),
VLOOKUP(FLOOR((Midterm!H53/H$5)*100,1),new_transmute,4,FALSE),
VLOOKUP(Midterm!H53,new_transmute,4,FALSE)
),
""
)
)
)
)
)
)
)
)
))</f>
        <v/>
      </c>
      <c r="I53" s="14" t="str">
        <f>IF($B53="","",
IF(I$5="","",
IF(Midterm!I53="",0,
IF(NOT(ISNUMBER(Midterm!I53)),"NAN",
IF(Midterm!I53&lt;0,"NEG",
IF(Midterm!I53&gt;I$5,"OVER",
IF(AND(I$5&lt;=100,Midterm!I53&gt;100),"ERR",
IF(Info!$B$4="Non-board program",
IF(OR(AND(I$5&gt;0,I$5&gt;100),AND(I$5&gt;0,I$5&lt;100)),
VLOOKUP(FLOOR((Midterm!I53/I$5)*100,1),new_transmute,2,FALSE),
VLOOKUP(Midterm!I53,new_transmute,2,FALSE)
),
IF(Info!$B$4="Board program",
IF(OR(AND(I$5&gt;0,I$5&gt;100),AND(I$5&gt;0,I$5&lt;100)),
VLOOKUP(FLOOR((Midterm!I53/I$5)*100,1),new_transmute,3,FALSE),
VLOOKUP(Midterm!I53,new_transmute,3,FALSE)
),
IF(Info!$B$4="Board program (Medicine)",
IF(OR(AND(I$5&gt;0,I$5&gt;100),AND(I$5&gt;0,I$5&lt;100)),
VLOOKUP(FLOOR((Midterm!I53/I$5)*100,1),new_transmute,4,FALSE),
VLOOKUP(Midterm!I53,new_transmute,4,FALSE)
),
""
)
)
)
)
)
)
)
)
))</f>
        <v/>
      </c>
      <c r="J53" s="14" t="str">
        <f>IF($B53="","",
IF(J$5="","",
IF(Midterm!J53="",0,
IF(NOT(ISNUMBER(Midterm!J53)),"NAN",
IF(Midterm!J53&lt;0,"NEG",
IF(Midterm!J53&gt;J$5,"OVER",
IF(AND(J$5&lt;=100,Midterm!J53&gt;100),"ERR",
IF(Info!$B$4="Non-board program",
IF(OR(AND(J$5&gt;0,J$5&gt;100),AND(J$5&gt;0,J$5&lt;100)),
VLOOKUP(FLOOR((Midterm!J53/J$5)*100,1),new_transmute,2,FALSE),
VLOOKUP(Midterm!J53,new_transmute,2,FALSE)
),
IF(Info!$B$4="Board program",
IF(OR(AND(J$5&gt;0,J$5&gt;100),AND(J$5&gt;0,J$5&lt;100)),
VLOOKUP(FLOOR((Midterm!J53/J$5)*100,1),new_transmute,3,FALSE),
VLOOKUP(Midterm!J53,new_transmute,3,FALSE)
),
IF(Info!$B$4="Board program (Medicine)",
IF(OR(AND(J$5&gt;0,J$5&gt;100),AND(J$5&gt;0,J$5&lt;100)),
VLOOKUP(FLOOR((Midterm!J53/J$5)*100,1),new_transmute,4,FALSE),
VLOOKUP(Midterm!J53,new_transmute,4,FALSE)
),
""
)
)
)
)
)
)
)
)
))</f>
        <v/>
      </c>
      <c r="K53" s="14" t="str">
        <f>IF($B53="","",
IF(K$5="","",
IF(Midterm!K53="",0,
IF(NOT(ISNUMBER(Midterm!K53)),"NAN",
IF(Midterm!K53&lt;0,"NEG",
IF(Midterm!K53&gt;K$5,"OVER",
IF(AND(K$5&lt;=100,Midterm!K53&gt;100),"ERR",
IF(Info!$B$4="Non-board program",
IF(OR(AND(K$5&gt;0,K$5&gt;100),AND(K$5&gt;0,K$5&lt;100)),
VLOOKUP(FLOOR((Midterm!K53/K$5)*100,1),new_transmute,2,FALSE),
VLOOKUP(Midterm!K53,new_transmute,2,FALSE)
),
IF(Info!$B$4="Board program",
IF(OR(AND(K$5&gt;0,K$5&gt;100),AND(K$5&gt;0,K$5&lt;100)),
VLOOKUP(FLOOR((Midterm!K53/K$5)*100,1),new_transmute,3,FALSE),
VLOOKUP(Midterm!K53,new_transmute,3,FALSE)
),
IF(Info!$B$4="Board program (Medicine)",
IF(OR(AND(K$5&gt;0,K$5&gt;100),AND(K$5&gt;0,K$5&lt;100)),
VLOOKUP(FLOOR((Midterm!K53/K$5)*100,1),new_transmute,4,FALSE),
VLOOKUP(Midterm!K53,new_transmute,4,FALSE)
),
""
)
)
)
)
)
)
)
)
))</f>
        <v/>
      </c>
      <c r="L53" s="14" t="str">
        <f>IF($B53="","",
IF(L$5="","",
IF(Midterm!L53="",0,
IF(NOT(ISNUMBER(Midterm!L53)),"NAN",
IF(Midterm!L53&lt;0,"NEG",
IF(Midterm!L53&gt;L$5,"OVER",
IF(AND(L$5&lt;=100,Midterm!L53&gt;100),"ERR",
IF(Info!$B$4="Non-board program",
IF(OR(AND(L$5&gt;0,L$5&gt;100),AND(L$5&gt;0,L$5&lt;100)),
VLOOKUP(FLOOR((Midterm!L53/L$5)*100,1),new_transmute,2,FALSE),
VLOOKUP(Midterm!L53,new_transmute,2,FALSE)
),
IF(Info!$B$4="Board program",
IF(OR(AND(L$5&gt;0,L$5&gt;100),AND(L$5&gt;0,L$5&lt;100)),
VLOOKUP(FLOOR((Midterm!L53/L$5)*100,1),new_transmute,3,FALSE),
VLOOKUP(Midterm!L53,new_transmute,3,FALSE)
),
IF(Info!$B$4="Board program (Medicine)",
IF(OR(AND(L$5&gt;0,L$5&gt;100),AND(L$5&gt;0,L$5&lt;100)),
VLOOKUP(FLOOR((Midterm!L53/L$5)*100,1),new_transmute,4,FALSE),
VLOOKUP(Midterm!L53,new_transmute,4,FALSE)
),
""
)
)
)
)
)
)
)
)
))</f>
        <v/>
      </c>
      <c r="M53" s="111" t="str">
        <f t="shared" si="2"/>
        <v/>
      </c>
      <c r="N53" s="14" t="str">
        <f>IF($B53="","",
IF(N$5="","",
IF(Midterm!N53="",0,
IF(NOT(ISNUMBER(Midterm!N53)),"NAN",
IF(Midterm!N53&lt;0,"NEG",
IF(Midterm!N53&gt;N$5,"OVER",
IF(AND(N$5&lt;=100,Midterm!N53&gt;100),"ERR",
IF(Info!$B$4="Non-board program",
IF(OR(AND(N$5&gt;0,N$5&gt;100),AND(N$5&gt;0,N$5&lt;100)),
VLOOKUP(FLOOR((Midterm!N53/N$5)*100,1),new_transmute,2,FALSE),
VLOOKUP(Midterm!N53,new_transmute,2,FALSE)
),
IF(Info!$B$4="Board program",
IF(OR(AND(N$5&gt;0,N$5&gt;100),AND(N$5&gt;0,N$5&lt;100)),
VLOOKUP(FLOOR((Midterm!N53/N$5)*100,1),new_transmute,3,FALSE),
VLOOKUP(Midterm!N53,new_transmute,3,FALSE)
),
IF(Info!$B$4="Board program (Medicine)",
IF(OR(AND(N$5&gt;0,N$5&gt;100),AND(N$5&gt;0,N$5&lt;100)),
VLOOKUP(FLOOR((Midterm!N53/N$5)*100,1),new_transmute,4,FALSE),
VLOOKUP(Midterm!N53,new_transmute,4,FALSE)
),
""
)
)
)
)
)
)
)
)
))</f>
        <v/>
      </c>
      <c r="O53" s="14" t="str">
        <f>IF($B53="","",
IF(O$5="","",
IF(Midterm!O53="",0,
IF(NOT(ISNUMBER(Midterm!O53)),"NAN",
IF(Midterm!O53&lt;0,"NEG",
IF(Midterm!O53&gt;O$5,"OVER",
IF(AND(O$5&lt;=100,Midterm!O53&gt;100),"ERR",
IF(Info!$B$4="Non-board program",
IF(OR(AND(O$5&gt;0,O$5&gt;100),AND(O$5&gt;0,O$5&lt;100)),
VLOOKUP(FLOOR((Midterm!O53/O$5)*100,1),new_transmute,2,FALSE),
VLOOKUP(Midterm!O53,new_transmute,2,FALSE)
),
IF(Info!$B$4="Board program",
IF(OR(AND(O$5&gt;0,O$5&gt;100),AND(O$5&gt;0,O$5&lt;100)),
VLOOKUP(FLOOR((Midterm!O53/O$5)*100,1),new_transmute,3,FALSE),
VLOOKUP(Midterm!O53,new_transmute,3,FALSE)
),
IF(Info!$B$4="Board program (Medicine)",
IF(OR(AND(O$5&gt;0,O$5&gt;100),AND(O$5&gt;0,O$5&lt;100)),
VLOOKUP(FLOOR((Midterm!O53/O$5)*100,1),new_transmute,4,FALSE),
VLOOKUP(Midterm!O53,new_transmute,4,FALSE)
),
""
)
)
)
)
)
)
)
)
))</f>
        <v/>
      </c>
      <c r="P53" s="14" t="str">
        <f>IF($B53="","",
IF(P$5="","",
IF(Midterm!P53="",0,
IF(NOT(ISNUMBER(Midterm!P53)),"NAN",
IF(Midterm!P53&lt;0,"NEG",
IF(Midterm!P53&gt;P$5,"OVER",
IF(AND(P$5&lt;=100,Midterm!P53&gt;100),"ERR",
IF(Info!$B$4="Non-board program",
IF(OR(AND(P$5&gt;0,P$5&gt;100),AND(P$5&gt;0,P$5&lt;100)),
VLOOKUP(FLOOR((Midterm!P53/P$5)*100,1),new_transmute,2,FALSE),
VLOOKUP(Midterm!P53,new_transmute,2,FALSE)
),
IF(Info!$B$4="Board program",
IF(OR(AND(P$5&gt;0,P$5&gt;100),AND(P$5&gt;0,P$5&lt;100)),
VLOOKUP(FLOOR((Midterm!P53/P$5)*100,1),new_transmute,3,FALSE),
VLOOKUP(Midterm!P53,new_transmute,3,FALSE)
),
IF(Info!$B$4="Board program (Medicine)",
IF(OR(AND(P$5&gt;0,P$5&gt;100),AND(P$5&gt;0,P$5&lt;100)),
VLOOKUP(FLOOR((Midterm!P53/P$5)*100,1),new_transmute,4,FALSE),
VLOOKUP(Midterm!P53,new_transmute,4,FALSE)
),
""
)
)
)
)
)
)
)
)
))</f>
        <v/>
      </c>
      <c r="Q53" s="14" t="str">
        <f>IF($B53="","",
IF(Q$5="","",
IF(Midterm!Q53="",0,
IF(NOT(ISNUMBER(Midterm!Q53)),"NAN",
IF(Midterm!Q53&lt;0,"NEG",
IF(Midterm!Q53&gt;Q$5,"OVER",
IF(AND(Q$5&lt;=100,Midterm!Q53&gt;100),"ERR",
IF(Info!$B$4="Non-board program",
IF(OR(AND(Q$5&gt;0,Q$5&gt;100),AND(Q$5&gt;0,Q$5&lt;100)),
VLOOKUP(FLOOR((Midterm!Q53/Q$5)*100,1),new_transmute,2,FALSE),
VLOOKUP(Midterm!Q53,new_transmute,2,FALSE)
),
IF(Info!$B$4="Board program",
IF(OR(AND(Q$5&gt;0,Q$5&gt;100),AND(Q$5&gt;0,Q$5&lt;100)),
VLOOKUP(FLOOR((Midterm!Q53/Q$5)*100,1),new_transmute,3,FALSE),
VLOOKUP(Midterm!Q53,new_transmute,3,FALSE)
),
IF(Info!$B$4="Board program (Medicine)",
IF(OR(AND(Q$5&gt;0,Q$5&gt;100),AND(Q$5&gt;0,Q$5&lt;100)),
VLOOKUP(FLOOR((Midterm!Q53/Q$5)*100,1),new_transmute,4,FALSE),
VLOOKUP(Midterm!Q53,new_transmute,4,FALSE)
),
""
)
)
)
)
)
)
)
)
))</f>
        <v/>
      </c>
      <c r="R53" s="14" t="str">
        <f>IF($B53="","",
IF(R$5="","",
IF(Midterm!R53="",0,
IF(NOT(ISNUMBER(Midterm!R53)),"NAN",
IF(Midterm!R53&lt;0,"NEG",
IF(Midterm!R53&gt;R$5,"OVER",
IF(AND(R$5&lt;=100,Midterm!R53&gt;100),"ERR",
IF(Info!$B$4="Non-board program",
IF(OR(AND(R$5&gt;0,R$5&gt;100),AND(R$5&gt;0,R$5&lt;100)),
VLOOKUP(FLOOR((Midterm!R53/R$5)*100,1),new_transmute,2,FALSE),
VLOOKUP(Midterm!R53,new_transmute,2,FALSE)
),
IF(Info!$B$4="Board program",
IF(OR(AND(R$5&gt;0,R$5&gt;100),AND(R$5&gt;0,R$5&lt;100)),
VLOOKUP(FLOOR((Midterm!R53/R$5)*100,1),new_transmute,3,FALSE),
VLOOKUP(Midterm!R53,new_transmute,3,FALSE)
),
IF(Info!$B$4="Board program (Medicine)",
IF(OR(AND(R$5&gt;0,R$5&gt;100),AND(R$5&gt;0,R$5&lt;100)),
VLOOKUP(FLOOR((Midterm!R53/R$5)*100,1),new_transmute,4,FALSE),
VLOOKUP(Midterm!R53,new_transmute,4,FALSE)
),
""
)
)
)
)
)
)
)
)
))</f>
        <v/>
      </c>
      <c r="S53" s="115" t="str">
        <f t="shared" si="3"/>
        <v/>
      </c>
      <c r="T53" s="14" t="str">
        <f>IF($B53="","",
IF(T$5="","",
IF(Midterm!T53="",0,
IF(NOT(ISNUMBER(Midterm!T53)),"NAN",
IF(Midterm!T53&lt;0,"NEG",
IF(Midterm!T53&gt;T$5,"OVER",
IF(AND(T$5&lt;=100,Midterm!T53&gt;100),"ERR",
IF(Info!$B$4="Non-board program",
IF(OR(AND(T$5&gt;0,T$5&gt;100),AND(T$5&gt;0,T$5&lt;100)),
VLOOKUP(FLOOR((Midterm!T53/T$5)*100,1),new_transmute,2,FALSE),
VLOOKUP(Midterm!T53,new_transmute,2,FALSE)
),
IF(Info!$B$4="Board program",
IF(OR(AND(T$5&gt;0,T$5&gt;100),AND(T$5&gt;0,T$5&lt;100)),
VLOOKUP(FLOOR((Midterm!T53/T$5)*100,1),new_transmute,3,FALSE),
VLOOKUP(Midterm!T53,new_transmute,3,FALSE)
),
IF(Info!$B$4="Board program (Medicine)",
IF(OR(AND(T$5&gt;0,T$5&gt;100),AND(T$5&gt;0,T$5&lt;100)),
VLOOKUP(FLOOR((Midterm!T53/T$5)*100,1),new_transmute,4,FALSE),
VLOOKUP(Midterm!T53,new_transmute,4,FALSE)
),
""
)
)
)
)
)
)
)
)
))</f>
        <v/>
      </c>
      <c r="U53" s="14" t="str">
        <f>IF($B53="","",
IF(U$5="","",
IF(Midterm!U53="",0,
IF(NOT(ISNUMBER(Midterm!U53)),"NAN",
IF(Midterm!U53&lt;0,"NEG",
IF(Midterm!U53&gt;U$5,"OVER",
IF(AND(U$5&lt;=100,Midterm!U53&gt;100),"ERR",
IF(Info!$B$4="Non-board program",
IF(OR(AND(U$5&gt;0,U$5&gt;100),AND(U$5&gt;0,U$5&lt;100)),
VLOOKUP(FLOOR((Midterm!U53/U$5)*100,1),new_transmute,2,FALSE),
VLOOKUP(Midterm!U53,new_transmute,2,FALSE)
),
IF(Info!$B$4="Board program",
IF(OR(AND(U$5&gt;0,U$5&gt;100),AND(U$5&gt;0,U$5&lt;100)),
VLOOKUP(FLOOR((Midterm!U53/U$5)*100,1),new_transmute,3,FALSE),
VLOOKUP(Midterm!U53,new_transmute,3,FALSE)
),
IF(Info!$B$4="Board program (Medicine)",
IF(OR(AND(U$5&gt;0,U$5&gt;100),AND(U$5&gt;0,U$5&lt;100)),
VLOOKUP(FLOOR((Midterm!U53/U$5)*100,1),new_transmute,4,FALSE),
VLOOKUP(Midterm!U53,new_transmute,4,FALSE)
),
""
)
)
)
)
)
)
)
)
))</f>
        <v/>
      </c>
      <c r="V53" s="14" t="str">
        <f>IF($B53="","",
IF(V$5="","",
IF(Midterm!V53="",0,
IF(NOT(ISNUMBER(Midterm!V53)),"NAN",
IF(Midterm!V53&lt;0,"NEG",
IF(Midterm!V53&gt;V$5,"OVER",
IF(AND(V$5&lt;=100,Midterm!V53&gt;100),"ERR",
IF(Info!$B$4="Non-board program",
IF(OR(AND(V$5&gt;0,V$5&gt;100),AND(V$5&gt;0,V$5&lt;100)),
VLOOKUP(FLOOR((Midterm!V53/V$5)*100,1),new_transmute,2,FALSE),
VLOOKUP(Midterm!V53,new_transmute,2,FALSE)
),
IF(Info!$B$4="Board program",
IF(OR(AND(V$5&gt;0,V$5&gt;100),AND(V$5&gt;0,V$5&lt;100)),
VLOOKUP(FLOOR((Midterm!V53/V$5)*100,1),new_transmute,3,FALSE),
VLOOKUP(Midterm!V53,new_transmute,3,FALSE)
),
IF(Info!$B$4="Board program (Medicine)",
IF(OR(AND(V$5&gt;0,V$5&gt;100),AND(V$5&gt;0,V$5&lt;100)),
VLOOKUP(FLOOR((Midterm!V53/V$5)*100,1),new_transmute,4,FALSE),
VLOOKUP(Midterm!V53,new_transmute,4,FALSE)
),
""
)
)
)
)
)
)
)
)
))</f>
        <v/>
      </c>
      <c r="W53" s="14" t="str">
        <f>IF($B53="","",
IF(W$5="","",
IF(Midterm!W53="",0,
IF(NOT(ISNUMBER(Midterm!W53)),"NAN",
IF(Midterm!W53&lt;0,"NEG",
IF(Midterm!W53&gt;W$5,"OVER",
IF(AND(W$5&lt;=100,Midterm!W53&gt;100),"ERR",
IF(Info!$B$4="Non-board program",
IF(OR(AND(W$5&gt;0,W$5&gt;100),AND(W$5&gt;0,W$5&lt;100)),
VLOOKUP(FLOOR((Midterm!W53/W$5)*100,1),new_transmute,2,FALSE),
VLOOKUP(Midterm!W53,new_transmute,2,FALSE)
),
IF(Info!$B$4="Board program",
IF(OR(AND(W$5&gt;0,W$5&gt;100),AND(W$5&gt;0,W$5&lt;100)),
VLOOKUP(FLOOR((Midterm!W53/W$5)*100,1),new_transmute,3,FALSE),
VLOOKUP(Midterm!W53,new_transmute,3,FALSE)
),
IF(Info!$B$4="Board program (Medicine)",
IF(OR(AND(W$5&gt;0,W$5&gt;100),AND(W$5&gt;0,W$5&lt;100)),
VLOOKUP(FLOOR((Midterm!W53/W$5)*100,1),new_transmute,4,FALSE),
VLOOKUP(Midterm!W53,new_transmute,4,FALSE)
),
""
)
)
)
)
)
)
)
)
))</f>
        <v/>
      </c>
      <c r="X53" s="14" t="str">
        <f>IF($B53="","",
IF(X$5="","",
IF(Midterm!X53="",0,
IF(NOT(ISNUMBER(Midterm!X53)),"NAN",
IF(Midterm!X53&lt;0,"NEG",
IF(Midterm!X53&gt;X$5,"OVER",
IF(AND(X$5&lt;=100,Midterm!X53&gt;100),"ERR",
IF(Info!$B$4="Non-board program",
IF(OR(AND(X$5&gt;0,X$5&gt;100),AND(X$5&gt;0,X$5&lt;100)),
VLOOKUP(FLOOR((Midterm!X53/X$5)*100,1),new_transmute,2,FALSE),
VLOOKUP(Midterm!X53,new_transmute,2,FALSE)
),
IF(Info!$B$4="Board program",
IF(OR(AND(X$5&gt;0,X$5&gt;100),AND(X$5&gt;0,X$5&lt;100)),
VLOOKUP(FLOOR((Midterm!X53/X$5)*100,1),new_transmute,3,FALSE),
VLOOKUP(Midterm!X53,new_transmute,3,FALSE)
),
IF(Info!$B$4="Board program (Medicine)",
IF(OR(AND(X$5&gt;0,X$5&gt;100),AND(X$5&gt;0,X$5&lt;100)),
VLOOKUP(FLOOR((Midterm!X53/X$5)*100,1),new_transmute,4,FALSE),
VLOOKUP(Midterm!X53,new_transmute,4,FALSE)
),
""
)
)
)
)
)
)
)
)
))</f>
        <v/>
      </c>
      <c r="Y53" s="112" t="str">
        <f t="shared" si="4"/>
        <v/>
      </c>
      <c r="Z53" s="14" t="str">
        <f>IF($B53="","",
IF(Z$5="","",
IF(Midterm!Z53="",0,
IF(NOT(ISNUMBER(Midterm!Z53)),"NAN",
IF(Midterm!Z53&lt;0,"NEG",
IF(Midterm!Z53&gt;Z$5,"OVER",
IF(AND(Z$5&lt;=100,Midterm!Z53&gt;100),"ERR",
IF(Info!$B$4="Non-board program",
IF(OR(AND(Z$5&gt;0,Z$5&gt;100),AND(Z$5&gt;0,Z$5&lt;100)),
VLOOKUP(FLOOR((Midterm!Z53/Z$5)*100,1),new_transmute,2,FALSE),
VLOOKUP(Midterm!Z53,new_transmute,2,FALSE)
),
IF(Info!$B$4="Board program",
IF(OR(AND(Z$5&gt;0,Z$5&gt;100),AND(Z$5&gt;0,Z$5&lt;100)),
VLOOKUP(FLOOR((Midterm!Z53/Z$5)*100,1),new_transmute,3,FALSE),
VLOOKUP(Midterm!Z53,new_transmute,3,FALSE)
),
IF(Info!$B$4="Board program (Medicine)",
IF(OR(AND(Z$5&gt;0,Z$5&gt;100),AND(Z$5&gt;0,Z$5&lt;100)),
VLOOKUP(FLOOR((Midterm!Z53/Z$5)*100,1),new_transmute,4,FALSE),
VLOOKUP(Midterm!Z53,new_transmute,4,FALSE)
),
""
)
)
)
)
)
)
)
)
))</f>
        <v/>
      </c>
      <c r="AA53" s="14" t="str">
        <f>IF($B53="","",
IF(AA$5="","",
IF(Midterm!AA53="",0,
IF(NOT(ISNUMBER(Midterm!AA53)),"NAN",
IF(Midterm!AA53&lt;0,"NEG",
IF(Midterm!AA53&gt;AA$5,"OVER",
IF(AND(AA$5&lt;=100,Midterm!AA53&gt;100),"ERR",
IF(Info!$B$4="Non-board program",
IF(OR(AND(AA$5&gt;0,AA$5&gt;100),AND(AA$5&gt;0,AA$5&lt;100)),
VLOOKUP(FLOOR((Midterm!AA53/AA$5)*100,1),new_transmute,2,FALSE),
VLOOKUP(Midterm!AA53,new_transmute,2,FALSE)
),
IF(Info!$B$4="Board program",
IF(OR(AND(AA$5&gt;0,AA$5&gt;100),AND(AA$5&gt;0,AA$5&lt;100)),
VLOOKUP(FLOOR((Midterm!AA53/AA$5)*100,1),new_transmute,3,FALSE),
VLOOKUP(Midterm!AA53,new_transmute,3,FALSE)
),
IF(Info!$B$4="Board program (Medicine)",
IF(OR(AND(AA$5&gt;0,AA$5&gt;100),AND(AA$5&gt;0,AA$5&lt;100)),
VLOOKUP(FLOOR((Midterm!AA53/AA$5)*100,1),new_transmute,4,FALSE),
VLOOKUP(Midterm!AA53,new_transmute,4,FALSE)
),
""
)
)
)
)
)
)
)
)
))</f>
        <v/>
      </c>
      <c r="AB53" s="14" t="str">
        <f>IF($B53="","",
IF(AB$5="","",
IF(Midterm!AB53="",0,
IF(NOT(ISNUMBER(Midterm!AB53)),"NAN",
IF(Midterm!AB53&lt;0,"NEG",
IF(Midterm!AB53&gt;AB$5,"OVER",
IF(AND(AB$5&lt;=100,Midterm!AB53&gt;100),"ERR",
IF(Info!$B$4="Non-board program",
IF(OR(AND(AB$5&gt;0,AB$5&gt;100),AND(AB$5&gt;0,AB$5&lt;100)),
VLOOKUP(FLOOR((Midterm!AB53/AB$5)*100,1),new_transmute,2,FALSE),
VLOOKUP(Midterm!AB53,new_transmute,2,FALSE)
),
IF(Info!$B$4="Board program",
IF(OR(AND(AB$5&gt;0,AB$5&gt;100),AND(AB$5&gt;0,AB$5&lt;100)),
VLOOKUP(FLOOR((Midterm!AB53/AB$5)*100,1),new_transmute,3,FALSE),
VLOOKUP(Midterm!AB53,new_transmute,3,FALSE)
),
IF(Info!$B$4="Board program (Medicine)",
IF(OR(AND(AB$5&gt;0,AB$5&gt;100),AND(AB$5&gt;0,AB$5&lt;100)),
VLOOKUP(FLOOR((Midterm!AB53/AB$5)*100,1),new_transmute,4,FALSE),
VLOOKUP(Midterm!AB53,new_transmute,4,FALSE)
),
""
)
)
)
)
)
)
)
)
))</f>
        <v/>
      </c>
      <c r="AC53" s="14" t="str">
        <f>IF($B53="","",
IF(AC$5="","",
IF(Midterm!AC53="",0,
IF(NOT(ISNUMBER(Midterm!AC53)),"NAN",
IF(Midterm!AC53&lt;0,"NEG",
IF(Midterm!AC53&gt;AC$5,"OVER",
IF(AND(AC$5&lt;=100,Midterm!AC53&gt;100),"ERR",
IF(Info!$B$4="Non-board program",
IF(OR(AND(AC$5&gt;0,AC$5&gt;100),AND(AC$5&gt;0,AC$5&lt;100)),
VLOOKUP(FLOOR((Midterm!AC53/AC$5)*100,1),new_transmute,2,FALSE),
VLOOKUP(Midterm!AC53,new_transmute,2,FALSE)
),
IF(Info!$B$4="Board program",
IF(OR(AND(AC$5&gt;0,AC$5&gt;100),AND(AC$5&gt;0,AC$5&lt;100)),
VLOOKUP(FLOOR((Midterm!AC53/AC$5)*100,1),new_transmute,3,FALSE),
VLOOKUP(Midterm!AC53,new_transmute,3,FALSE)
),
IF(Info!$B$4="Board program (Medicine)",
IF(OR(AND(AC$5&gt;0,AC$5&gt;100),AND(AC$5&gt;0,AC$5&lt;100)),
VLOOKUP(FLOOR((Midterm!AC53/AC$5)*100,1),new_transmute,4,FALSE),
VLOOKUP(Midterm!AC53,new_transmute,4,FALSE)
),
""
)
)
)
)
)
)
)
)
))</f>
        <v/>
      </c>
      <c r="AD53" s="14" t="str">
        <f>IF($B53="","",
IF(AD$5="","",
IF(Midterm!AD53="",0,
IF(NOT(ISNUMBER(Midterm!AD53)),"NAN",
IF(Midterm!AD53&lt;0,"NEG",
IF(Midterm!AD53&gt;AD$5,"OVER",
IF(AND(AD$5&lt;=100,Midterm!AD53&gt;100),"ERR",
IF(Info!$B$4="Non-board program",
IF(OR(AND(AD$5&gt;0,AD$5&gt;100),AND(AD$5&gt;0,AD$5&lt;100)),
VLOOKUP(FLOOR((Midterm!AD53/AD$5)*100,1),new_transmute,2,FALSE),
VLOOKUP(Midterm!AD53,new_transmute,2,FALSE)
),
IF(Info!$B$4="Board program",
IF(OR(AND(AD$5&gt;0,AD$5&gt;100),AND(AD$5&gt;0,AD$5&lt;100)),
VLOOKUP(FLOOR((Midterm!AD53/AD$5)*100,1),new_transmute,3,FALSE),
VLOOKUP(Midterm!AD53,new_transmute,3,FALSE)
),
IF(Info!$B$4="Board program (Medicine)",
IF(OR(AND(AD$5&gt;0,AD$5&gt;100),AND(AD$5&gt;0,AD$5&lt;100)),
VLOOKUP(FLOOR((Midterm!AD53/AD$5)*100,1),new_transmute,4,FALSE),
VLOOKUP(Midterm!AD53,new_transmute,4,FALSE)
),
""
)
)
)
)
)
)
)
)
))</f>
        <v/>
      </c>
      <c r="AE53" s="58" t="str">
        <f t="shared" si="5"/>
        <v/>
      </c>
      <c r="AF53" s="14" t="str">
        <f>IF($B53="","",
IF(AF$5="","",
IF(Midterm!AF53="",0,
IF(NOT(ISNUMBER(Midterm!AF53)),"NAN",
IF(Midterm!AF53&lt;0,"NEG",
IF(Midterm!AF53&gt;AF$5,"OVER",
IF(AND(AF$5&lt;=100,Midterm!AF53&gt;100),"ERR",
IF(Info!$B$4="Non-board program",
IF(OR(AND(AF$5&gt;0,AF$5&gt;100),AND(AF$5&gt;0,AF$5&lt;100)),
VLOOKUP(FLOOR((Midterm!AF53/AF$5)*100,1),new_transmute,2,FALSE),
VLOOKUP(Midterm!AF53,new_transmute,2,FALSE)
),
IF(Info!$B$4="Board program",
IF(OR(AND(AF$5&gt;0,AF$5&gt;100),AND(AF$5&gt;0,AF$5&lt;100)),
VLOOKUP(FLOOR((Midterm!AF53/AF$5)*100,1),new_transmute,3,FALSE),
VLOOKUP(Midterm!AF53,new_transmute,3,FALSE)
),
IF(Info!$B$4="Board program (Medicine)",
IF(OR(AND(AF$5&gt;0,AF$5&gt;100),AND(AF$5&gt;0,AF$5&lt;100)),
VLOOKUP(FLOOR((Midterm!AF53/AF$5)*100,1),new_transmute,4,FALSE),
VLOOKUP(Midterm!AF53,new_transmute,4,FALSE)
),
""
)
)
)
)
)
)
)
)
))</f>
        <v/>
      </c>
      <c r="AG53" s="14" t="str">
        <f>IF($B53="","",
IF(AG$5="","",
IF(Midterm!AG53="",0,
IF(NOT(ISNUMBER(Midterm!AG53)),"NAN",
IF(Midterm!AG53&lt;0,"NEG",
IF(Midterm!AG53&gt;AG$5,"OVER",
IF(AND(AG$5&lt;=100,Midterm!AG53&gt;100),"ERR",
IF(Info!$B$4="Non-board program",
IF(OR(AND(AG$5&gt;0,AG$5&gt;100),AND(AG$5&gt;0,AG$5&lt;100)),
VLOOKUP(FLOOR((Midterm!AG53/AG$5)*100,1),new_transmute,2,FALSE),
VLOOKUP(Midterm!AG53,new_transmute,2,FALSE)
),
IF(Info!$B$4="Board program",
IF(OR(AND(AG$5&gt;0,AG$5&gt;100),AND(AG$5&gt;0,AG$5&lt;100)),
VLOOKUP(FLOOR((Midterm!AG53/AG$5)*100,1),new_transmute,3,FALSE),
VLOOKUP(Midterm!AG53,new_transmute,3,FALSE)
),
IF(Info!$B$4="Board program (Medicine)",
IF(OR(AND(AG$5&gt;0,AG$5&gt;100),AND(AG$5&gt;0,AG$5&lt;100)),
VLOOKUP(FLOOR((Midterm!AG53/AG$5)*100,1),new_transmute,4,FALSE),
VLOOKUP(Midterm!AG53,new_transmute,4,FALSE)
),
""
)
)
)
)
)
)
)
)
))</f>
        <v/>
      </c>
      <c r="AH53" s="14" t="str">
        <f>IF($B53="","",
IF(AH$5="","",
IF(Midterm!AH53="",0,
IF(NOT(ISNUMBER(Midterm!AH53)),"NAN",
IF(Midterm!AH53&lt;0,"NEG",
IF(Midterm!AH53&gt;AH$5,"OVER",
IF(AND(AH$5&lt;=100,Midterm!AH53&gt;100),"ERR",
IF(Info!$B$4="Non-board program",
IF(OR(AND(AH$5&gt;0,AH$5&gt;100),AND(AH$5&gt;0,AH$5&lt;100)),
VLOOKUP(FLOOR((Midterm!AH53/AH$5)*100,1),new_transmute,2,FALSE),
VLOOKUP(Midterm!AH53,new_transmute,2,FALSE)
),
IF(Info!$B$4="Board program",
IF(OR(AND(AH$5&gt;0,AH$5&gt;100),AND(AH$5&gt;0,AH$5&lt;100)),
VLOOKUP(FLOOR((Midterm!AH53/AH$5)*100,1),new_transmute,3,FALSE),
VLOOKUP(Midterm!AH53,new_transmute,3,FALSE)
),
IF(Info!$B$4="Board program (Medicine)",
IF(OR(AND(AH$5&gt;0,AH$5&gt;100),AND(AH$5&gt;0,AH$5&lt;100)),
VLOOKUP(FLOOR((Midterm!AH53/AH$5)*100,1),new_transmute,4,FALSE),
VLOOKUP(Midterm!AH53,new_transmute,4,FALSE)
),
""
)
)
)
)
)
)
)
)
))</f>
        <v/>
      </c>
      <c r="AI53" s="14" t="str">
        <f>IF($B53="","",
IF(AI$5="","",
IF(Midterm!AI53="",0,
IF(NOT(ISNUMBER(Midterm!AI53)),"NAN",
IF(Midterm!AI53&lt;0,"NEG",
IF(Midterm!AI53&gt;AI$5,"OVER",
IF(AND(AI$5&lt;=100,Midterm!AI53&gt;100),"ERR",
IF(Info!$B$4="Non-board program",
IF(OR(AND(AI$5&gt;0,AI$5&gt;100),AND(AI$5&gt;0,AI$5&lt;100)),
VLOOKUP(FLOOR((Midterm!AI53/AI$5)*100,1),new_transmute,2,FALSE),
VLOOKUP(Midterm!AI53,new_transmute,2,FALSE)
),
IF(Info!$B$4="Board program",
IF(OR(AND(AI$5&gt;0,AI$5&gt;100),AND(AI$5&gt;0,AI$5&lt;100)),
VLOOKUP(FLOOR((Midterm!AI53/AI$5)*100,1),new_transmute,3,FALSE),
VLOOKUP(Midterm!AI53,new_transmute,3,FALSE)
),
IF(Info!$B$4="Board program (Medicine)",
IF(OR(AND(AI$5&gt;0,AI$5&gt;100),AND(AI$5&gt;0,AI$5&lt;100)),
VLOOKUP(FLOOR((Midterm!AI53/AI$5)*100,1),new_transmute,4,FALSE),
VLOOKUP(Midterm!AI53,new_transmute,4,FALSE)
),
""
)
)
)
)
)
)
)
)
))</f>
        <v/>
      </c>
      <c r="AJ53" s="14" t="str">
        <f>IF($B53="","",
IF(AJ$5="","",
IF(Midterm!AJ53="",0,
IF(NOT(ISNUMBER(Midterm!AJ53)),"NAN",
IF(Midterm!AJ53&lt;0,"NEG",
IF(Midterm!AJ53&gt;AJ$5,"OVER",
IF(AND(AJ$5&lt;=100,Midterm!AJ53&gt;100),"ERR",
IF(Info!$B$4="Non-board program",
IF(OR(AND(AJ$5&gt;0,AJ$5&gt;100),AND(AJ$5&gt;0,AJ$5&lt;100)),
VLOOKUP(FLOOR((Midterm!AJ53/AJ$5)*100,1),new_transmute,2,FALSE),
VLOOKUP(Midterm!AJ53,new_transmute,2,FALSE)
),
IF(Info!$B$4="Board program",
IF(OR(AND(AJ$5&gt;0,AJ$5&gt;100),AND(AJ$5&gt;0,AJ$5&lt;100)),
VLOOKUP(FLOOR((Midterm!AJ53/AJ$5)*100,1),new_transmute,3,FALSE),
VLOOKUP(Midterm!AJ53,new_transmute,3,FALSE)
),
IF(Info!$B$4="Board program (Medicine)",
IF(OR(AND(AJ$5&gt;0,AJ$5&gt;100),AND(AJ$5&gt;0,AJ$5&lt;100)),
VLOOKUP(FLOOR((Midterm!AJ53/AJ$5)*100,1),new_transmute,4,FALSE),
VLOOKUP(Midterm!AJ53,new_transmute,4,FALSE)
),
""
)
)
)
)
)
)
)
)
))</f>
        <v/>
      </c>
      <c r="AK53" s="59" t="str">
        <f t="shared" si="6"/>
        <v/>
      </c>
      <c r="AL53" s="60" t="str">
        <f>IF(B53="", "",
    IF(OR(M53="OVER", S53="OVER", Y53="OVER", AE53="OVER", AK53="OVER"),
        "OVER",
        IF(Info!$B$4="Non-board program",
            VLOOKUP(IFERROR(FLOOR(SUM((M53*$M$4), (S53*$S$4), (Y53*$Y$4), (AE53*$AE$4), (AK53*$AK$4)) * (100 / 60), 1), 0), new_transmute, 2, FALSE),
            IF(Info!$B$4="Board program",
                VLOOKUP(IFERROR(FLOOR(SUM((M53*$M$4), (S53*$S$4), (Y53*$Y$4), (AE53*$AE$4), (AK53*$AK$4)) * (100 / 60), 1), 0), new_transmute, 3, FALSE),
                IF(Info!$B$4="Board program (Medicine)",
                    VLOOKUP(IFERROR(FLOOR(SUM((M53*$M$4), (S53*$S$4), (Y53*$Y$4), (AE53*$AE$4), (AK53*$AK$4)) * (100 / 60), 1), 0), new_transmute, 4, FALSE),
                    ""
                )
            )
        )
    )
)</f>
        <v/>
      </c>
      <c r="AM53" s="14" t="str">
        <f>IF($B53="","",
IF(AM$5="","",
IF(Midterm!AM53="",0,
IF(NOT(ISNUMBER(Midterm!AM53)),"NAN",
IF(Midterm!AM53&lt;0,"NEG",
IF(Midterm!AM53&gt;AM$5,"OVER",
IF(AND(AM$5&lt;=100,Midterm!AM53&gt;100),"ERR",
IF(Info!$B$4="Non-board program",
IF(OR(AND(AM$5&gt;0,AM$5&gt;100),AND(AM$5&gt;0,AM$5&lt;100)),
VLOOKUP(FLOOR((Midterm!AM53/AM$5)*100,1),new_transmute,2,FALSE),
VLOOKUP(Midterm!AM53,new_transmute,2,FALSE)
),
IF(Info!$B$4="Board program",
IF(OR(AND(AM$5&gt;0,AM$5&gt;100),AND(AM$5&gt;0,AM$5&lt;100)),
VLOOKUP(FLOOR((Midterm!AM53/AM$5)*100,1),new_transmute,3,FALSE),
VLOOKUP(Midterm!AM53,new_transmute,3,FALSE)
),
IF(Info!$B$4="Board program (Medicine)",
IF(OR(AND(AM$5&gt;0,AM$5&gt;100),AND(AM$5&gt;0,AM$5&lt;100)),
VLOOKUP(FLOOR((Midterm!AM53/AM$5)*100,1),new_transmute,4,FALSE),
VLOOKUP(Midterm!AM53,new_transmute,4,FALSE)
),
""
)
)
)
)
)
)
)
)
))</f>
        <v/>
      </c>
      <c r="AN53" s="14" t="str">
        <f>IF($B53="","",
IF(AN$5="","",
IF(Midterm!AN53="",0,
IF(NOT(ISNUMBER(Midterm!AN53)),"NAN",
IF(Midterm!AN53&lt;0,"NEG",
IF(Midterm!AN53&gt;AN$5,"OVER",
IF(AND(AN$5&lt;=100,Midterm!AN53&gt;100),"ERR",
IF(Info!$B$4="Non-board program",
IF(OR(AND(AN$5&gt;0,AN$5&gt;100),AND(AN$5&gt;0,AN$5&lt;100)),
VLOOKUP(FLOOR((Midterm!AN53/AN$5)*100,1),new_transmute,2,FALSE),
VLOOKUP(Midterm!AN53,new_transmute,2,FALSE)
),
IF(Info!$B$4="Board program",
IF(OR(AND(AN$5&gt;0,AN$5&gt;100),AND(AN$5&gt;0,AN$5&lt;100)),
VLOOKUP(FLOOR((Midterm!AN53/AN$5)*100,1),new_transmute,3,FALSE),
VLOOKUP(Midterm!AN53,new_transmute,3,FALSE)
),
IF(Info!$B$4="Board program (Medicine)",
IF(OR(AND(AN$5&gt;0,AN$5&gt;100),AND(AN$5&gt;0,AN$5&lt;100)),
VLOOKUP(FLOOR((Midterm!AN53/AN$5)*100,1),new_transmute,4,FALSE),
VLOOKUP(Midterm!AN53,new_transmute,4,FALSE)
),
""
)
)
)
)
)
)
)
)
))</f>
        <v/>
      </c>
      <c r="AO53" s="14" t="str">
        <f>IF($B53="","",
IF(AO$5="","",
IF(Midterm!AO53="",0,
IF(NOT(ISNUMBER(Midterm!AO53)),"NAN",
IF(Midterm!AO53&lt;0,"NEG",
IF(Midterm!AO53&gt;AO$5,"OVER",
IF(AND(AO$5&lt;=100,Midterm!AO53&gt;100),"ERR",
IF(Info!$B$4="Non-board program",
IF(OR(AND(AO$5&gt;0,AO$5&gt;100),AND(AO$5&gt;0,AO$5&lt;100)),
VLOOKUP(FLOOR((Midterm!AO53/AO$5)*100,1),new_transmute,2,FALSE),
VLOOKUP(Midterm!AO53,new_transmute,2,FALSE)
),
IF(Info!$B$4="Board program",
IF(OR(AND(AO$5&gt;0,AO$5&gt;100),AND(AO$5&gt;0,AO$5&lt;100)),
VLOOKUP(FLOOR((Midterm!AO53/AO$5)*100,1),new_transmute,3,FALSE),
VLOOKUP(Midterm!AO53,new_transmute,3,FALSE)
),
IF(Info!$B$4="Board program (Medicine)",
IF(OR(AND(AO$5&gt;0,AO$5&gt;100),AND(AO$5&gt;0,AO$5&lt;100)),
VLOOKUP(FLOOR((Midterm!AO53/AO$5)*100,1),new_transmute,4,FALSE),
VLOOKUP(Midterm!AO53,new_transmute,4,FALSE)
),
""
)
)
)
)
)
)
)
)
))</f>
        <v/>
      </c>
      <c r="AP53" s="14" t="str">
        <f>IF($B53="","",
IF(AP$5="","",
IF(Midterm!AP53="",0,
IF(NOT(ISNUMBER(Midterm!AP53)),"NAN",
IF(Midterm!AP53&lt;0,"NEG",
IF(Midterm!AP53&gt;AP$5,"OVER",
IF(AND(AP$5&lt;=100,Midterm!AP53&gt;100),"ERR",
IF(Info!$B$4="Non-board program",
IF(OR(AND(AP$5&gt;0,AP$5&gt;100),AND(AP$5&gt;0,AP$5&lt;100)),
VLOOKUP(FLOOR((Midterm!AP53/AP$5)*100,1),new_transmute,2,FALSE),
VLOOKUP(Midterm!AP53,new_transmute,2,FALSE)
),
IF(Info!$B$4="Board program",
IF(OR(AND(AP$5&gt;0,AP$5&gt;100),AND(AP$5&gt;0,AP$5&lt;100)),
VLOOKUP(FLOOR((Midterm!AP53/AP$5)*100,1),new_transmute,3,FALSE),
VLOOKUP(Midterm!AP53,new_transmute,3,FALSE)
),
IF(Info!$B$4="Board program (Medicine)",
IF(OR(AND(AP$5&gt;0,AP$5&gt;100),AND(AP$5&gt;0,AP$5&lt;100)),
VLOOKUP(FLOOR((Midterm!AP53/AP$5)*100,1),new_transmute,4,FALSE),
VLOOKUP(Midterm!AP53,new_transmute,4,FALSE)
),
""
)
)
)
)
)
)
)
)
))</f>
        <v/>
      </c>
      <c r="AQ53" s="61" t="str">
        <f t="shared" si="7"/>
        <v/>
      </c>
      <c r="AR53" s="48" t="str">
        <f>IF(Midterm!AR53="","",Midterm!AR53)</f>
        <v/>
      </c>
      <c r="AS53" s="165" t="str">
        <f t="shared" si="8"/>
        <v/>
      </c>
      <c r="AT53" s="14" t="str">
        <f t="shared" si="9"/>
        <v/>
      </c>
      <c r="AU53" s="14" t="str">
        <f>IF(B53="","",VLOOKUP(AT53,'New Grade Equivalent'!$B$3:$C$47,2,FALSE))</f>
        <v/>
      </c>
    </row>
    <row r="54" spans="1:47" x14ac:dyDescent="0.25">
      <c r="A54" s="8">
        <v>49</v>
      </c>
      <c r="B54" s="2" t="str">
        <f>IF('Student List'!C58="","",UPPER(LEFT('Student List'!C58,FIND(",",'Student List'!C58)-1)))</f>
        <v/>
      </c>
      <c r="C54" s="12" t="str">
        <f>IF('Student List'!C58="","",PROPER(MID('Student List'!C58, FIND(",", 'Student List'!C58) + 2, LEN('Student List'!C58) - FIND(",", 'Student List'!C58) - 1)))</f>
        <v/>
      </c>
      <c r="D54" s="127" t="str">
        <f>IF(B54="","",IF(Midterm!D54="", "NA", Midterm!D54))</f>
        <v/>
      </c>
      <c r="E54" s="8" t="str">
        <f>IF(B54="","",
  IF(Info!$B$5="First Year",
    IF(D54="Yes", "DRP",
      IF(D54="No", "WF", "")
    )
  )
)</f>
        <v/>
      </c>
      <c r="F54" s="14" t="str">
        <f>IF($B54="","",
IF(F$5="","",
IF(Midterm!F54="",0,
IF(NOT(ISNUMBER(Midterm!F54)),"NAN",
IF(Midterm!F54&lt;0,"NEG",
IF(Midterm!F54&gt;F$5,"OVER",
IF(AND(F$5&lt;=100,Midterm!F54&gt;100),"ERR",
IF(Info!$B$4="Non-board program",
IF(OR(AND(F$5&gt;0,F$5&gt;100),AND(F$5&gt;0,F$5&lt;100)),
VLOOKUP(FLOOR((Midterm!F54/F$5)*100,1),new_transmute,2,FALSE),
VLOOKUP(Midterm!F54,new_transmute,2,FALSE)
),
IF(Info!$B$4="Board program",
IF(OR(AND(F$5&gt;0,F$5&gt;100),AND(F$5&gt;0,F$5&lt;100)),
VLOOKUP(FLOOR((Midterm!F54/F$5)*100,1),new_transmute,3,FALSE),
VLOOKUP(Midterm!F54,new_transmute,3,FALSE)
),
IF(Info!$B$4="Board program (Medicine)",
IF(OR(AND(F$5&gt;0,F$5&gt;100),AND(F$5&gt;0,F$5&lt;100)),
VLOOKUP(FLOOR((Midterm!F54/F$5)*100,1),new_transmute,4,FALSE),
VLOOKUP(Midterm!F54,new_transmute,4,FALSE)
),
""
)
)
)
)
)
)
)
)
))</f>
        <v/>
      </c>
      <c r="G54" s="57" t="str">
        <f t="shared" si="1"/>
        <v/>
      </c>
      <c r="H54" s="14" t="str">
        <f>IF($B54="","",
IF(H$5="","",
IF(Midterm!H54="",0,
IF(NOT(ISNUMBER(Midterm!H54)),"NAN",
IF(Midterm!H54&lt;0,"NEG",
IF(Midterm!H54&gt;H$5,"OVER",
IF(AND(H$5&lt;=100,Midterm!H54&gt;100),"ERR",
IF(Info!$B$4="Non-board program",
IF(OR(AND(H$5&gt;0,H$5&gt;100),AND(H$5&gt;0,H$5&lt;100)),
VLOOKUP(FLOOR((Midterm!H54/H$5)*100,1),new_transmute,2,FALSE),
VLOOKUP(Midterm!H54,new_transmute,2,FALSE)
),
IF(Info!$B$4="Board program",
IF(OR(AND(H$5&gt;0,H$5&gt;100),AND(H$5&gt;0,H$5&lt;100)),
VLOOKUP(FLOOR((Midterm!H54/H$5)*100,1),new_transmute,3,FALSE),
VLOOKUP(Midterm!H54,new_transmute,3,FALSE)
),
IF(Info!$B$4="Board program (Medicine)",
IF(OR(AND(H$5&gt;0,H$5&gt;100),AND(H$5&gt;0,H$5&lt;100)),
VLOOKUP(FLOOR((Midterm!H54/H$5)*100,1),new_transmute,4,FALSE),
VLOOKUP(Midterm!H54,new_transmute,4,FALSE)
),
""
)
)
)
)
)
)
)
)
))</f>
        <v/>
      </c>
      <c r="I54" s="14" t="str">
        <f>IF($B54="","",
IF(I$5="","",
IF(Midterm!I54="",0,
IF(NOT(ISNUMBER(Midterm!I54)),"NAN",
IF(Midterm!I54&lt;0,"NEG",
IF(Midterm!I54&gt;I$5,"OVER",
IF(AND(I$5&lt;=100,Midterm!I54&gt;100),"ERR",
IF(Info!$B$4="Non-board program",
IF(OR(AND(I$5&gt;0,I$5&gt;100),AND(I$5&gt;0,I$5&lt;100)),
VLOOKUP(FLOOR((Midterm!I54/I$5)*100,1),new_transmute,2,FALSE),
VLOOKUP(Midterm!I54,new_transmute,2,FALSE)
),
IF(Info!$B$4="Board program",
IF(OR(AND(I$5&gt;0,I$5&gt;100),AND(I$5&gt;0,I$5&lt;100)),
VLOOKUP(FLOOR((Midterm!I54/I$5)*100,1),new_transmute,3,FALSE),
VLOOKUP(Midterm!I54,new_transmute,3,FALSE)
),
IF(Info!$B$4="Board program (Medicine)",
IF(OR(AND(I$5&gt;0,I$5&gt;100),AND(I$5&gt;0,I$5&lt;100)),
VLOOKUP(FLOOR((Midterm!I54/I$5)*100,1),new_transmute,4,FALSE),
VLOOKUP(Midterm!I54,new_transmute,4,FALSE)
),
""
)
)
)
)
)
)
)
)
))</f>
        <v/>
      </c>
      <c r="J54" s="14" t="str">
        <f>IF($B54="","",
IF(J$5="","",
IF(Midterm!J54="",0,
IF(NOT(ISNUMBER(Midterm!J54)),"NAN",
IF(Midterm!J54&lt;0,"NEG",
IF(Midterm!J54&gt;J$5,"OVER",
IF(AND(J$5&lt;=100,Midterm!J54&gt;100),"ERR",
IF(Info!$B$4="Non-board program",
IF(OR(AND(J$5&gt;0,J$5&gt;100),AND(J$5&gt;0,J$5&lt;100)),
VLOOKUP(FLOOR((Midterm!J54/J$5)*100,1),new_transmute,2,FALSE),
VLOOKUP(Midterm!J54,new_transmute,2,FALSE)
),
IF(Info!$B$4="Board program",
IF(OR(AND(J$5&gt;0,J$5&gt;100),AND(J$5&gt;0,J$5&lt;100)),
VLOOKUP(FLOOR((Midterm!J54/J$5)*100,1),new_transmute,3,FALSE),
VLOOKUP(Midterm!J54,new_transmute,3,FALSE)
),
IF(Info!$B$4="Board program (Medicine)",
IF(OR(AND(J$5&gt;0,J$5&gt;100),AND(J$5&gt;0,J$5&lt;100)),
VLOOKUP(FLOOR((Midterm!J54/J$5)*100,1),new_transmute,4,FALSE),
VLOOKUP(Midterm!J54,new_transmute,4,FALSE)
),
""
)
)
)
)
)
)
)
)
))</f>
        <v/>
      </c>
      <c r="K54" s="14" t="str">
        <f>IF($B54="","",
IF(K$5="","",
IF(Midterm!K54="",0,
IF(NOT(ISNUMBER(Midterm!K54)),"NAN",
IF(Midterm!K54&lt;0,"NEG",
IF(Midterm!K54&gt;K$5,"OVER",
IF(AND(K$5&lt;=100,Midterm!K54&gt;100),"ERR",
IF(Info!$B$4="Non-board program",
IF(OR(AND(K$5&gt;0,K$5&gt;100),AND(K$5&gt;0,K$5&lt;100)),
VLOOKUP(FLOOR((Midterm!K54/K$5)*100,1),new_transmute,2,FALSE),
VLOOKUP(Midterm!K54,new_transmute,2,FALSE)
),
IF(Info!$B$4="Board program",
IF(OR(AND(K$5&gt;0,K$5&gt;100),AND(K$5&gt;0,K$5&lt;100)),
VLOOKUP(FLOOR((Midterm!K54/K$5)*100,1),new_transmute,3,FALSE),
VLOOKUP(Midterm!K54,new_transmute,3,FALSE)
),
IF(Info!$B$4="Board program (Medicine)",
IF(OR(AND(K$5&gt;0,K$5&gt;100),AND(K$5&gt;0,K$5&lt;100)),
VLOOKUP(FLOOR((Midterm!K54/K$5)*100,1),new_transmute,4,FALSE),
VLOOKUP(Midterm!K54,new_transmute,4,FALSE)
),
""
)
)
)
)
)
)
)
)
))</f>
        <v/>
      </c>
      <c r="L54" s="14" t="str">
        <f>IF($B54="","",
IF(L$5="","",
IF(Midterm!L54="",0,
IF(NOT(ISNUMBER(Midterm!L54)),"NAN",
IF(Midterm!L54&lt;0,"NEG",
IF(Midterm!L54&gt;L$5,"OVER",
IF(AND(L$5&lt;=100,Midterm!L54&gt;100),"ERR",
IF(Info!$B$4="Non-board program",
IF(OR(AND(L$5&gt;0,L$5&gt;100),AND(L$5&gt;0,L$5&lt;100)),
VLOOKUP(FLOOR((Midterm!L54/L$5)*100,1),new_transmute,2,FALSE),
VLOOKUP(Midterm!L54,new_transmute,2,FALSE)
),
IF(Info!$B$4="Board program",
IF(OR(AND(L$5&gt;0,L$5&gt;100),AND(L$5&gt;0,L$5&lt;100)),
VLOOKUP(FLOOR((Midterm!L54/L$5)*100,1),new_transmute,3,FALSE),
VLOOKUP(Midterm!L54,new_transmute,3,FALSE)
),
IF(Info!$B$4="Board program (Medicine)",
IF(OR(AND(L$5&gt;0,L$5&gt;100),AND(L$5&gt;0,L$5&lt;100)),
VLOOKUP(FLOOR((Midterm!L54/L$5)*100,1),new_transmute,4,FALSE),
VLOOKUP(Midterm!L54,new_transmute,4,FALSE)
),
""
)
)
)
)
)
)
)
)
))</f>
        <v/>
      </c>
      <c r="M54" s="111" t="str">
        <f t="shared" si="2"/>
        <v/>
      </c>
      <c r="N54" s="14" t="str">
        <f>IF($B54="","",
IF(N$5="","",
IF(Midterm!N54="",0,
IF(NOT(ISNUMBER(Midterm!N54)),"NAN",
IF(Midterm!N54&lt;0,"NEG",
IF(Midterm!N54&gt;N$5,"OVER",
IF(AND(N$5&lt;=100,Midterm!N54&gt;100),"ERR",
IF(Info!$B$4="Non-board program",
IF(OR(AND(N$5&gt;0,N$5&gt;100),AND(N$5&gt;0,N$5&lt;100)),
VLOOKUP(FLOOR((Midterm!N54/N$5)*100,1),new_transmute,2,FALSE),
VLOOKUP(Midterm!N54,new_transmute,2,FALSE)
),
IF(Info!$B$4="Board program",
IF(OR(AND(N$5&gt;0,N$5&gt;100),AND(N$5&gt;0,N$5&lt;100)),
VLOOKUP(FLOOR((Midterm!N54/N$5)*100,1),new_transmute,3,FALSE),
VLOOKUP(Midterm!N54,new_transmute,3,FALSE)
),
IF(Info!$B$4="Board program (Medicine)",
IF(OR(AND(N$5&gt;0,N$5&gt;100),AND(N$5&gt;0,N$5&lt;100)),
VLOOKUP(FLOOR((Midterm!N54/N$5)*100,1),new_transmute,4,FALSE),
VLOOKUP(Midterm!N54,new_transmute,4,FALSE)
),
""
)
)
)
)
)
)
)
)
))</f>
        <v/>
      </c>
      <c r="O54" s="14" t="str">
        <f>IF($B54="","",
IF(O$5="","",
IF(Midterm!O54="",0,
IF(NOT(ISNUMBER(Midterm!O54)),"NAN",
IF(Midterm!O54&lt;0,"NEG",
IF(Midterm!O54&gt;O$5,"OVER",
IF(AND(O$5&lt;=100,Midterm!O54&gt;100),"ERR",
IF(Info!$B$4="Non-board program",
IF(OR(AND(O$5&gt;0,O$5&gt;100),AND(O$5&gt;0,O$5&lt;100)),
VLOOKUP(FLOOR((Midterm!O54/O$5)*100,1),new_transmute,2,FALSE),
VLOOKUP(Midterm!O54,new_transmute,2,FALSE)
),
IF(Info!$B$4="Board program",
IF(OR(AND(O$5&gt;0,O$5&gt;100),AND(O$5&gt;0,O$5&lt;100)),
VLOOKUP(FLOOR((Midterm!O54/O$5)*100,1),new_transmute,3,FALSE),
VLOOKUP(Midterm!O54,new_transmute,3,FALSE)
),
IF(Info!$B$4="Board program (Medicine)",
IF(OR(AND(O$5&gt;0,O$5&gt;100),AND(O$5&gt;0,O$5&lt;100)),
VLOOKUP(FLOOR((Midterm!O54/O$5)*100,1),new_transmute,4,FALSE),
VLOOKUP(Midterm!O54,new_transmute,4,FALSE)
),
""
)
)
)
)
)
)
)
)
))</f>
        <v/>
      </c>
      <c r="P54" s="14" t="str">
        <f>IF($B54="","",
IF(P$5="","",
IF(Midterm!P54="",0,
IF(NOT(ISNUMBER(Midterm!P54)),"NAN",
IF(Midterm!P54&lt;0,"NEG",
IF(Midterm!P54&gt;P$5,"OVER",
IF(AND(P$5&lt;=100,Midterm!P54&gt;100),"ERR",
IF(Info!$B$4="Non-board program",
IF(OR(AND(P$5&gt;0,P$5&gt;100),AND(P$5&gt;0,P$5&lt;100)),
VLOOKUP(FLOOR((Midterm!P54/P$5)*100,1),new_transmute,2,FALSE),
VLOOKUP(Midterm!P54,new_transmute,2,FALSE)
),
IF(Info!$B$4="Board program",
IF(OR(AND(P$5&gt;0,P$5&gt;100),AND(P$5&gt;0,P$5&lt;100)),
VLOOKUP(FLOOR((Midterm!P54/P$5)*100,1),new_transmute,3,FALSE),
VLOOKUP(Midterm!P54,new_transmute,3,FALSE)
),
IF(Info!$B$4="Board program (Medicine)",
IF(OR(AND(P$5&gt;0,P$5&gt;100),AND(P$5&gt;0,P$5&lt;100)),
VLOOKUP(FLOOR((Midterm!P54/P$5)*100,1),new_transmute,4,FALSE),
VLOOKUP(Midterm!P54,new_transmute,4,FALSE)
),
""
)
)
)
)
)
)
)
)
))</f>
        <v/>
      </c>
      <c r="Q54" s="14" t="str">
        <f>IF($B54="","",
IF(Q$5="","",
IF(Midterm!Q54="",0,
IF(NOT(ISNUMBER(Midterm!Q54)),"NAN",
IF(Midterm!Q54&lt;0,"NEG",
IF(Midterm!Q54&gt;Q$5,"OVER",
IF(AND(Q$5&lt;=100,Midterm!Q54&gt;100),"ERR",
IF(Info!$B$4="Non-board program",
IF(OR(AND(Q$5&gt;0,Q$5&gt;100),AND(Q$5&gt;0,Q$5&lt;100)),
VLOOKUP(FLOOR((Midterm!Q54/Q$5)*100,1),new_transmute,2,FALSE),
VLOOKUP(Midterm!Q54,new_transmute,2,FALSE)
),
IF(Info!$B$4="Board program",
IF(OR(AND(Q$5&gt;0,Q$5&gt;100),AND(Q$5&gt;0,Q$5&lt;100)),
VLOOKUP(FLOOR((Midterm!Q54/Q$5)*100,1),new_transmute,3,FALSE),
VLOOKUP(Midterm!Q54,new_transmute,3,FALSE)
),
IF(Info!$B$4="Board program (Medicine)",
IF(OR(AND(Q$5&gt;0,Q$5&gt;100),AND(Q$5&gt;0,Q$5&lt;100)),
VLOOKUP(FLOOR((Midterm!Q54/Q$5)*100,1),new_transmute,4,FALSE),
VLOOKUP(Midterm!Q54,new_transmute,4,FALSE)
),
""
)
)
)
)
)
)
)
)
))</f>
        <v/>
      </c>
      <c r="R54" s="14" t="str">
        <f>IF($B54="","",
IF(R$5="","",
IF(Midterm!R54="",0,
IF(NOT(ISNUMBER(Midterm!R54)),"NAN",
IF(Midterm!R54&lt;0,"NEG",
IF(Midterm!R54&gt;R$5,"OVER",
IF(AND(R$5&lt;=100,Midterm!R54&gt;100),"ERR",
IF(Info!$B$4="Non-board program",
IF(OR(AND(R$5&gt;0,R$5&gt;100),AND(R$5&gt;0,R$5&lt;100)),
VLOOKUP(FLOOR((Midterm!R54/R$5)*100,1),new_transmute,2,FALSE),
VLOOKUP(Midterm!R54,new_transmute,2,FALSE)
),
IF(Info!$B$4="Board program",
IF(OR(AND(R$5&gt;0,R$5&gt;100),AND(R$5&gt;0,R$5&lt;100)),
VLOOKUP(FLOOR((Midterm!R54/R$5)*100,1),new_transmute,3,FALSE),
VLOOKUP(Midterm!R54,new_transmute,3,FALSE)
),
IF(Info!$B$4="Board program (Medicine)",
IF(OR(AND(R$5&gt;0,R$5&gt;100),AND(R$5&gt;0,R$5&lt;100)),
VLOOKUP(FLOOR((Midterm!R54/R$5)*100,1),new_transmute,4,FALSE),
VLOOKUP(Midterm!R54,new_transmute,4,FALSE)
),
""
)
)
)
)
)
)
)
)
))</f>
        <v/>
      </c>
      <c r="S54" s="115" t="str">
        <f t="shared" si="3"/>
        <v/>
      </c>
      <c r="T54" s="14" t="str">
        <f>IF($B54="","",
IF(T$5="","",
IF(Midterm!T54="",0,
IF(NOT(ISNUMBER(Midterm!T54)),"NAN",
IF(Midterm!T54&lt;0,"NEG",
IF(Midterm!T54&gt;T$5,"OVER",
IF(AND(T$5&lt;=100,Midterm!T54&gt;100),"ERR",
IF(Info!$B$4="Non-board program",
IF(OR(AND(T$5&gt;0,T$5&gt;100),AND(T$5&gt;0,T$5&lt;100)),
VLOOKUP(FLOOR((Midterm!T54/T$5)*100,1),new_transmute,2,FALSE),
VLOOKUP(Midterm!T54,new_transmute,2,FALSE)
),
IF(Info!$B$4="Board program",
IF(OR(AND(T$5&gt;0,T$5&gt;100),AND(T$5&gt;0,T$5&lt;100)),
VLOOKUP(FLOOR((Midterm!T54/T$5)*100,1),new_transmute,3,FALSE),
VLOOKUP(Midterm!T54,new_transmute,3,FALSE)
),
IF(Info!$B$4="Board program (Medicine)",
IF(OR(AND(T$5&gt;0,T$5&gt;100),AND(T$5&gt;0,T$5&lt;100)),
VLOOKUP(FLOOR((Midterm!T54/T$5)*100,1),new_transmute,4,FALSE),
VLOOKUP(Midterm!T54,new_transmute,4,FALSE)
),
""
)
)
)
)
)
)
)
)
))</f>
        <v/>
      </c>
      <c r="U54" s="14" t="str">
        <f>IF($B54="","",
IF(U$5="","",
IF(Midterm!U54="",0,
IF(NOT(ISNUMBER(Midterm!U54)),"NAN",
IF(Midterm!U54&lt;0,"NEG",
IF(Midterm!U54&gt;U$5,"OVER",
IF(AND(U$5&lt;=100,Midterm!U54&gt;100),"ERR",
IF(Info!$B$4="Non-board program",
IF(OR(AND(U$5&gt;0,U$5&gt;100),AND(U$5&gt;0,U$5&lt;100)),
VLOOKUP(FLOOR((Midterm!U54/U$5)*100,1),new_transmute,2,FALSE),
VLOOKUP(Midterm!U54,new_transmute,2,FALSE)
),
IF(Info!$B$4="Board program",
IF(OR(AND(U$5&gt;0,U$5&gt;100),AND(U$5&gt;0,U$5&lt;100)),
VLOOKUP(FLOOR((Midterm!U54/U$5)*100,1),new_transmute,3,FALSE),
VLOOKUP(Midterm!U54,new_transmute,3,FALSE)
),
IF(Info!$B$4="Board program (Medicine)",
IF(OR(AND(U$5&gt;0,U$5&gt;100),AND(U$5&gt;0,U$5&lt;100)),
VLOOKUP(FLOOR((Midterm!U54/U$5)*100,1),new_transmute,4,FALSE),
VLOOKUP(Midterm!U54,new_transmute,4,FALSE)
),
""
)
)
)
)
)
)
)
)
))</f>
        <v/>
      </c>
      <c r="V54" s="14" t="str">
        <f>IF($B54="","",
IF(V$5="","",
IF(Midterm!V54="",0,
IF(NOT(ISNUMBER(Midterm!V54)),"NAN",
IF(Midterm!V54&lt;0,"NEG",
IF(Midterm!V54&gt;V$5,"OVER",
IF(AND(V$5&lt;=100,Midterm!V54&gt;100),"ERR",
IF(Info!$B$4="Non-board program",
IF(OR(AND(V$5&gt;0,V$5&gt;100),AND(V$5&gt;0,V$5&lt;100)),
VLOOKUP(FLOOR((Midterm!V54/V$5)*100,1),new_transmute,2,FALSE),
VLOOKUP(Midterm!V54,new_transmute,2,FALSE)
),
IF(Info!$B$4="Board program",
IF(OR(AND(V$5&gt;0,V$5&gt;100),AND(V$5&gt;0,V$5&lt;100)),
VLOOKUP(FLOOR((Midterm!V54/V$5)*100,1),new_transmute,3,FALSE),
VLOOKUP(Midterm!V54,new_transmute,3,FALSE)
),
IF(Info!$B$4="Board program (Medicine)",
IF(OR(AND(V$5&gt;0,V$5&gt;100),AND(V$5&gt;0,V$5&lt;100)),
VLOOKUP(FLOOR((Midterm!V54/V$5)*100,1),new_transmute,4,FALSE),
VLOOKUP(Midterm!V54,new_transmute,4,FALSE)
),
""
)
)
)
)
)
)
)
)
))</f>
        <v/>
      </c>
      <c r="W54" s="14" t="str">
        <f>IF($B54="","",
IF(W$5="","",
IF(Midterm!W54="",0,
IF(NOT(ISNUMBER(Midterm!W54)),"NAN",
IF(Midterm!W54&lt;0,"NEG",
IF(Midterm!W54&gt;W$5,"OVER",
IF(AND(W$5&lt;=100,Midterm!W54&gt;100),"ERR",
IF(Info!$B$4="Non-board program",
IF(OR(AND(W$5&gt;0,W$5&gt;100),AND(W$5&gt;0,W$5&lt;100)),
VLOOKUP(FLOOR((Midterm!W54/W$5)*100,1),new_transmute,2,FALSE),
VLOOKUP(Midterm!W54,new_transmute,2,FALSE)
),
IF(Info!$B$4="Board program",
IF(OR(AND(W$5&gt;0,W$5&gt;100),AND(W$5&gt;0,W$5&lt;100)),
VLOOKUP(FLOOR((Midterm!W54/W$5)*100,1),new_transmute,3,FALSE),
VLOOKUP(Midterm!W54,new_transmute,3,FALSE)
),
IF(Info!$B$4="Board program (Medicine)",
IF(OR(AND(W$5&gt;0,W$5&gt;100),AND(W$5&gt;0,W$5&lt;100)),
VLOOKUP(FLOOR((Midterm!W54/W$5)*100,1),new_transmute,4,FALSE),
VLOOKUP(Midterm!W54,new_transmute,4,FALSE)
),
""
)
)
)
)
)
)
)
)
))</f>
        <v/>
      </c>
      <c r="X54" s="14" t="str">
        <f>IF($B54="","",
IF(X$5="","",
IF(Midterm!X54="",0,
IF(NOT(ISNUMBER(Midterm!X54)),"NAN",
IF(Midterm!X54&lt;0,"NEG",
IF(Midterm!X54&gt;X$5,"OVER",
IF(AND(X$5&lt;=100,Midterm!X54&gt;100),"ERR",
IF(Info!$B$4="Non-board program",
IF(OR(AND(X$5&gt;0,X$5&gt;100),AND(X$5&gt;0,X$5&lt;100)),
VLOOKUP(FLOOR((Midterm!X54/X$5)*100,1),new_transmute,2,FALSE),
VLOOKUP(Midterm!X54,new_transmute,2,FALSE)
),
IF(Info!$B$4="Board program",
IF(OR(AND(X$5&gt;0,X$5&gt;100),AND(X$5&gt;0,X$5&lt;100)),
VLOOKUP(FLOOR((Midterm!X54/X$5)*100,1),new_transmute,3,FALSE),
VLOOKUP(Midterm!X54,new_transmute,3,FALSE)
),
IF(Info!$B$4="Board program (Medicine)",
IF(OR(AND(X$5&gt;0,X$5&gt;100),AND(X$5&gt;0,X$5&lt;100)),
VLOOKUP(FLOOR((Midterm!X54/X$5)*100,1),new_transmute,4,FALSE),
VLOOKUP(Midterm!X54,new_transmute,4,FALSE)
),
""
)
)
)
)
)
)
)
)
))</f>
        <v/>
      </c>
      <c r="Y54" s="112" t="str">
        <f t="shared" si="4"/>
        <v/>
      </c>
      <c r="Z54" s="14" t="str">
        <f>IF($B54="","",
IF(Z$5="","",
IF(Midterm!Z54="",0,
IF(NOT(ISNUMBER(Midterm!Z54)),"NAN",
IF(Midterm!Z54&lt;0,"NEG",
IF(Midterm!Z54&gt;Z$5,"OVER",
IF(AND(Z$5&lt;=100,Midterm!Z54&gt;100),"ERR",
IF(Info!$B$4="Non-board program",
IF(OR(AND(Z$5&gt;0,Z$5&gt;100),AND(Z$5&gt;0,Z$5&lt;100)),
VLOOKUP(FLOOR((Midterm!Z54/Z$5)*100,1),new_transmute,2,FALSE),
VLOOKUP(Midterm!Z54,new_transmute,2,FALSE)
),
IF(Info!$B$4="Board program",
IF(OR(AND(Z$5&gt;0,Z$5&gt;100),AND(Z$5&gt;0,Z$5&lt;100)),
VLOOKUP(FLOOR((Midterm!Z54/Z$5)*100,1),new_transmute,3,FALSE),
VLOOKUP(Midterm!Z54,new_transmute,3,FALSE)
),
IF(Info!$B$4="Board program (Medicine)",
IF(OR(AND(Z$5&gt;0,Z$5&gt;100),AND(Z$5&gt;0,Z$5&lt;100)),
VLOOKUP(FLOOR((Midterm!Z54/Z$5)*100,1),new_transmute,4,FALSE),
VLOOKUP(Midterm!Z54,new_transmute,4,FALSE)
),
""
)
)
)
)
)
)
)
)
))</f>
        <v/>
      </c>
      <c r="AA54" s="14" t="str">
        <f>IF($B54="","",
IF(AA$5="","",
IF(Midterm!AA54="",0,
IF(NOT(ISNUMBER(Midterm!AA54)),"NAN",
IF(Midterm!AA54&lt;0,"NEG",
IF(Midterm!AA54&gt;AA$5,"OVER",
IF(AND(AA$5&lt;=100,Midterm!AA54&gt;100),"ERR",
IF(Info!$B$4="Non-board program",
IF(OR(AND(AA$5&gt;0,AA$5&gt;100),AND(AA$5&gt;0,AA$5&lt;100)),
VLOOKUP(FLOOR((Midterm!AA54/AA$5)*100,1),new_transmute,2,FALSE),
VLOOKUP(Midterm!AA54,new_transmute,2,FALSE)
),
IF(Info!$B$4="Board program",
IF(OR(AND(AA$5&gt;0,AA$5&gt;100),AND(AA$5&gt;0,AA$5&lt;100)),
VLOOKUP(FLOOR((Midterm!AA54/AA$5)*100,1),new_transmute,3,FALSE),
VLOOKUP(Midterm!AA54,new_transmute,3,FALSE)
),
IF(Info!$B$4="Board program (Medicine)",
IF(OR(AND(AA$5&gt;0,AA$5&gt;100),AND(AA$5&gt;0,AA$5&lt;100)),
VLOOKUP(FLOOR((Midterm!AA54/AA$5)*100,1),new_transmute,4,FALSE),
VLOOKUP(Midterm!AA54,new_transmute,4,FALSE)
),
""
)
)
)
)
)
)
)
)
))</f>
        <v/>
      </c>
      <c r="AB54" s="14" t="str">
        <f>IF($B54="","",
IF(AB$5="","",
IF(Midterm!AB54="",0,
IF(NOT(ISNUMBER(Midterm!AB54)),"NAN",
IF(Midterm!AB54&lt;0,"NEG",
IF(Midterm!AB54&gt;AB$5,"OVER",
IF(AND(AB$5&lt;=100,Midterm!AB54&gt;100),"ERR",
IF(Info!$B$4="Non-board program",
IF(OR(AND(AB$5&gt;0,AB$5&gt;100),AND(AB$5&gt;0,AB$5&lt;100)),
VLOOKUP(FLOOR((Midterm!AB54/AB$5)*100,1),new_transmute,2,FALSE),
VLOOKUP(Midterm!AB54,new_transmute,2,FALSE)
),
IF(Info!$B$4="Board program",
IF(OR(AND(AB$5&gt;0,AB$5&gt;100),AND(AB$5&gt;0,AB$5&lt;100)),
VLOOKUP(FLOOR((Midterm!AB54/AB$5)*100,1),new_transmute,3,FALSE),
VLOOKUP(Midterm!AB54,new_transmute,3,FALSE)
),
IF(Info!$B$4="Board program (Medicine)",
IF(OR(AND(AB$5&gt;0,AB$5&gt;100),AND(AB$5&gt;0,AB$5&lt;100)),
VLOOKUP(FLOOR((Midterm!AB54/AB$5)*100,1),new_transmute,4,FALSE),
VLOOKUP(Midterm!AB54,new_transmute,4,FALSE)
),
""
)
)
)
)
)
)
)
)
))</f>
        <v/>
      </c>
      <c r="AC54" s="14" t="str">
        <f>IF($B54="","",
IF(AC$5="","",
IF(Midterm!AC54="",0,
IF(NOT(ISNUMBER(Midterm!AC54)),"NAN",
IF(Midterm!AC54&lt;0,"NEG",
IF(Midterm!AC54&gt;AC$5,"OVER",
IF(AND(AC$5&lt;=100,Midterm!AC54&gt;100),"ERR",
IF(Info!$B$4="Non-board program",
IF(OR(AND(AC$5&gt;0,AC$5&gt;100),AND(AC$5&gt;0,AC$5&lt;100)),
VLOOKUP(FLOOR((Midterm!AC54/AC$5)*100,1),new_transmute,2,FALSE),
VLOOKUP(Midterm!AC54,new_transmute,2,FALSE)
),
IF(Info!$B$4="Board program",
IF(OR(AND(AC$5&gt;0,AC$5&gt;100),AND(AC$5&gt;0,AC$5&lt;100)),
VLOOKUP(FLOOR((Midterm!AC54/AC$5)*100,1),new_transmute,3,FALSE),
VLOOKUP(Midterm!AC54,new_transmute,3,FALSE)
),
IF(Info!$B$4="Board program (Medicine)",
IF(OR(AND(AC$5&gt;0,AC$5&gt;100),AND(AC$5&gt;0,AC$5&lt;100)),
VLOOKUP(FLOOR((Midterm!AC54/AC$5)*100,1),new_transmute,4,FALSE),
VLOOKUP(Midterm!AC54,new_transmute,4,FALSE)
),
""
)
)
)
)
)
)
)
)
))</f>
        <v/>
      </c>
      <c r="AD54" s="14" t="str">
        <f>IF($B54="","",
IF(AD$5="","",
IF(Midterm!AD54="",0,
IF(NOT(ISNUMBER(Midterm!AD54)),"NAN",
IF(Midterm!AD54&lt;0,"NEG",
IF(Midterm!AD54&gt;AD$5,"OVER",
IF(AND(AD$5&lt;=100,Midterm!AD54&gt;100),"ERR",
IF(Info!$B$4="Non-board program",
IF(OR(AND(AD$5&gt;0,AD$5&gt;100),AND(AD$5&gt;0,AD$5&lt;100)),
VLOOKUP(FLOOR((Midterm!AD54/AD$5)*100,1),new_transmute,2,FALSE),
VLOOKUP(Midterm!AD54,new_transmute,2,FALSE)
),
IF(Info!$B$4="Board program",
IF(OR(AND(AD$5&gt;0,AD$5&gt;100),AND(AD$5&gt;0,AD$5&lt;100)),
VLOOKUP(FLOOR((Midterm!AD54/AD$5)*100,1),new_transmute,3,FALSE),
VLOOKUP(Midterm!AD54,new_transmute,3,FALSE)
),
IF(Info!$B$4="Board program (Medicine)",
IF(OR(AND(AD$5&gt;0,AD$5&gt;100),AND(AD$5&gt;0,AD$5&lt;100)),
VLOOKUP(FLOOR((Midterm!AD54/AD$5)*100,1),new_transmute,4,FALSE),
VLOOKUP(Midterm!AD54,new_transmute,4,FALSE)
),
""
)
)
)
)
)
)
)
)
))</f>
        <v/>
      </c>
      <c r="AE54" s="58" t="str">
        <f t="shared" si="5"/>
        <v/>
      </c>
      <c r="AF54" s="14" t="str">
        <f>IF($B54="","",
IF(AF$5="","",
IF(Midterm!AF54="",0,
IF(NOT(ISNUMBER(Midterm!AF54)),"NAN",
IF(Midterm!AF54&lt;0,"NEG",
IF(Midterm!AF54&gt;AF$5,"OVER",
IF(AND(AF$5&lt;=100,Midterm!AF54&gt;100),"ERR",
IF(Info!$B$4="Non-board program",
IF(OR(AND(AF$5&gt;0,AF$5&gt;100),AND(AF$5&gt;0,AF$5&lt;100)),
VLOOKUP(FLOOR((Midterm!AF54/AF$5)*100,1),new_transmute,2,FALSE),
VLOOKUP(Midterm!AF54,new_transmute,2,FALSE)
),
IF(Info!$B$4="Board program",
IF(OR(AND(AF$5&gt;0,AF$5&gt;100),AND(AF$5&gt;0,AF$5&lt;100)),
VLOOKUP(FLOOR((Midterm!AF54/AF$5)*100,1),new_transmute,3,FALSE),
VLOOKUP(Midterm!AF54,new_transmute,3,FALSE)
),
IF(Info!$B$4="Board program (Medicine)",
IF(OR(AND(AF$5&gt;0,AF$5&gt;100),AND(AF$5&gt;0,AF$5&lt;100)),
VLOOKUP(FLOOR((Midterm!AF54/AF$5)*100,1),new_transmute,4,FALSE),
VLOOKUP(Midterm!AF54,new_transmute,4,FALSE)
),
""
)
)
)
)
)
)
)
)
))</f>
        <v/>
      </c>
      <c r="AG54" s="14" t="str">
        <f>IF($B54="","",
IF(AG$5="","",
IF(Midterm!AG54="",0,
IF(NOT(ISNUMBER(Midterm!AG54)),"NAN",
IF(Midterm!AG54&lt;0,"NEG",
IF(Midterm!AG54&gt;AG$5,"OVER",
IF(AND(AG$5&lt;=100,Midterm!AG54&gt;100),"ERR",
IF(Info!$B$4="Non-board program",
IF(OR(AND(AG$5&gt;0,AG$5&gt;100),AND(AG$5&gt;0,AG$5&lt;100)),
VLOOKUP(FLOOR((Midterm!AG54/AG$5)*100,1),new_transmute,2,FALSE),
VLOOKUP(Midterm!AG54,new_transmute,2,FALSE)
),
IF(Info!$B$4="Board program",
IF(OR(AND(AG$5&gt;0,AG$5&gt;100),AND(AG$5&gt;0,AG$5&lt;100)),
VLOOKUP(FLOOR((Midterm!AG54/AG$5)*100,1),new_transmute,3,FALSE),
VLOOKUP(Midterm!AG54,new_transmute,3,FALSE)
),
IF(Info!$B$4="Board program (Medicine)",
IF(OR(AND(AG$5&gt;0,AG$5&gt;100),AND(AG$5&gt;0,AG$5&lt;100)),
VLOOKUP(FLOOR((Midterm!AG54/AG$5)*100,1),new_transmute,4,FALSE),
VLOOKUP(Midterm!AG54,new_transmute,4,FALSE)
),
""
)
)
)
)
)
)
)
)
))</f>
        <v/>
      </c>
      <c r="AH54" s="14" t="str">
        <f>IF($B54="","",
IF(AH$5="","",
IF(Midterm!AH54="",0,
IF(NOT(ISNUMBER(Midterm!AH54)),"NAN",
IF(Midterm!AH54&lt;0,"NEG",
IF(Midterm!AH54&gt;AH$5,"OVER",
IF(AND(AH$5&lt;=100,Midterm!AH54&gt;100),"ERR",
IF(Info!$B$4="Non-board program",
IF(OR(AND(AH$5&gt;0,AH$5&gt;100),AND(AH$5&gt;0,AH$5&lt;100)),
VLOOKUP(FLOOR((Midterm!AH54/AH$5)*100,1),new_transmute,2,FALSE),
VLOOKUP(Midterm!AH54,new_transmute,2,FALSE)
),
IF(Info!$B$4="Board program",
IF(OR(AND(AH$5&gt;0,AH$5&gt;100),AND(AH$5&gt;0,AH$5&lt;100)),
VLOOKUP(FLOOR((Midterm!AH54/AH$5)*100,1),new_transmute,3,FALSE),
VLOOKUP(Midterm!AH54,new_transmute,3,FALSE)
),
IF(Info!$B$4="Board program (Medicine)",
IF(OR(AND(AH$5&gt;0,AH$5&gt;100),AND(AH$5&gt;0,AH$5&lt;100)),
VLOOKUP(FLOOR((Midterm!AH54/AH$5)*100,1),new_transmute,4,FALSE),
VLOOKUP(Midterm!AH54,new_transmute,4,FALSE)
),
""
)
)
)
)
)
)
)
)
))</f>
        <v/>
      </c>
      <c r="AI54" s="14" t="str">
        <f>IF($B54="","",
IF(AI$5="","",
IF(Midterm!AI54="",0,
IF(NOT(ISNUMBER(Midterm!AI54)),"NAN",
IF(Midterm!AI54&lt;0,"NEG",
IF(Midterm!AI54&gt;AI$5,"OVER",
IF(AND(AI$5&lt;=100,Midterm!AI54&gt;100),"ERR",
IF(Info!$B$4="Non-board program",
IF(OR(AND(AI$5&gt;0,AI$5&gt;100),AND(AI$5&gt;0,AI$5&lt;100)),
VLOOKUP(FLOOR((Midterm!AI54/AI$5)*100,1),new_transmute,2,FALSE),
VLOOKUP(Midterm!AI54,new_transmute,2,FALSE)
),
IF(Info!$B$4="Board program",
IF(OR(AND(AI$5&gt;0,AI$5&gt;100),AND(AI$5&gt;0,AI$5&lt;100)),
VLOOKUP(FLOOR((Midterm!AI54/AI$5)*100,1),new_transmute,3,FALSE),
VLOOKUP(Midterm!AI54,new_transmute,3,FALSE)
),
IF(Info!$B$4="Board program (Medicine)",
IF(OR(AND(AI$5&gt;0,AI$5&gt;100),AND(AI$5&gt;0,AI$5&lt;100)),
VLOOKUP(FLOOR((Midterm!AI54/AI$5)*100,1),new_transmute,4,FALSE),
VLOOKUP(Midterm!AI54,new_transmute,4,FALSE)
),
""
)
)
)
)
)
)
)
)
))</f>
        <v/>
      </c>
      <c r="AJ54" s="14" t="str">
        <f>IF($B54="","",
IF(AJ$5="","",
IF(Midterm!AJ54="",0,
IF(NOT(ISNUMBER(Midterm!AJ54)),"NAN",
IF(Midterm!AJ54&lt;0,"NEG",
IF(Midterm!AJ54&gt;AJ$5,"OVER",
IF(AND(AJ$5&lt;=100,Midterm!AJ54&gt;100),"ERR",
IF(Info!$B$4="Non-board program",
IF(OR(AND(AJ$5&gt;0,AJ$5&gt;100),AND(AJ$5&gt;0,AJ$5&lt;100)),
VLOOKUP(FLOOR((Midterm!AJ54/AJ$5)*100,1),new_transmute,2,FALSE),
VLOOKUP(Midterm!AJ54,new_transmute,2,FALSE)
),
IF(Info!$B$4="Board program",
IF(OR(AND(AJ$5&gt;0,AJ$5&gt;100),AND(AJ$5&gt;0,AJ$5&lt;100)),
VLOOKUP(FLOOR((Midterm!AJ54/AJ$5)*100,1),new_transmute,3,FALSE),
VLOOKUP(Midterm!AJ54,new_transmute,3,FALSE)
),
IF(Info!$B$4="Board program (Medicine)",
IF(OR(AND(AJ$5&gt;0,AJ$5&gt;100),AND(AJ$5&gt;0,AJ$5&lt;100)),
VLOOKUP(FLOOR((Midterm!AJ54/AJ$5)*100,1),new_transmute,4,FALSE),
VLOOKUP(Midterm!AJ54,new_transmute,4,FALSE)
),
""
)
)
)
)
)
)
)
)
))</f>
        <v/>
      </c>
      <c r="AK54" s="59" t="str">
        <f t="shared" si="6"/>
        <v/>
      </c>
      <c r="AL54" s="60" t="str">
        <f>IF(B54="", "",
    IF(OR(M54="OVER", S54="OVER", Y54="OVER", AE54="OVER", AK54="OVER"),
        "OVER",
        IF(Info!$B$4="Non-board program",
            VLOOKUP(IFERROR(FLOOR(SUM((M54*$M$4), (S54*$S$4), (Y54*$Y$4), (AE54*$AE$4), (AK54*$AK$4)) * (100 / 60), 1), 0), new_transmute, 2, FALSE),
            IF(Info!$B$4="Board program",
                VLOOKUP(IFERROR(FLOOR(SUM((M54*$M$4), (S54*$S$4), (Y54*$Y$4), (AE54*$AE$4), (AK54*$AK$4)) * (100 / 60), 1), 0), new_transmute, 3, FALSE),
                IF(Info!$B$4="Board program (Medicine)",
                    VLOOKUP(IFERROR(FLOOR(SUM((M54*$M$4), (S54*$S$4), (Y54*$Y$4), (AE54*$AE$4), (AK54*$AK$4)) * (100 / 60), 1), 0), new_transmute, 4, FALSE),
                    ""
                )
            )
        )
    )
)</f>
        <v/>
      </c>
      <c r="AM54" s="14" t="str">
        <f>IF($B54="","",
IF(AM$5="","",
IF(Midterm!AM54="",0,
IF(NOT(ISNUMBER(Midterm!AM54)),"NAN",
IF(Midterm!AM54&lt;0,"NEG",
IF(Midterm!AM54&gt;AM$5,"OVER",
IF(AND(AM$5&lt;=100,Midterm!AM54&gt;100),"ERR",
IF(Info!$B$4="Non-board program",
IF(OR(AND(AM$5&gt;0,AM$5&gt;100),AND(AM$5&gt;0,AM$5&lt;100)),
VLOOKUP(FLOOR((Midterm!AM54/AM$5)*100,1),new_transmute,2,FALSE),
VLOOKUP(Midterm!AM54,new_transmute,2,FALSE)
),
IF(Info!$B$4="Board program",
IF(OR(AND(AM$5&gt;0,AM$5&gt;100),AND(AM$5&gt;0,AM$5&lt;100)),
VLOOKUP(FLOOR((Midterm!AM54/AM$5)*100,1),new_transmute,3,FALSE),
VLOOKUP(Midterm!AM54,new_transmute,3,FALSE)
),
IF(Info!$B$4="Board program (Medicine)",
IF(OR(AND(AM$5&gt;0,AM$5&gt;100),AND(AM$5&gt;0,AM$5&lt;100)),
VLOOKUP(FLOOR((Midterm!AM54/AM$5)*100,1),new_transmute,4,FALSE),
VLOOKUP(Midterm!AM54,new_transmute,4,FALSE)
),
""
)
)
)
)
)
)
)
)
))</f>
        <v/>
      </c>
      <c r="AN54" s="14" t="str">
        <f>IF($B54="","",
IF(AN$5="","",
IF(Midterm!AN54="",0,
IF(NOT(ISNUMBER(Midterm!AN54)),"NAN",
IF(Midterm!AN54&lt;0,"NEG",
IF(Midterm!AN54&gt;AN$5,"OVER",
IF(AND(AN$5&lt;=100,Midterm!AN54&gt;100),"ERR",
IF(Info!$B$4="Non-board program",
IF(OR(AND(AN$5&gt;0,AN$5&gt;100),AND(AN$5&gt;0,AN$5&lt;100)),
VLOOKUP(FLOOR((Midterm!AN54/AN$5)*100,1),new_transmute,2,FALSE),
VLOOKUP(Midterm!AN54,new_transmute,2,FALSE)
),
IF(Info!$B$4="Board program",
IF(OR(AND(AN$5&gt;0,AN$5&gt;100),AND(AN$5&gt;0,AN$5&lt;100)),
VLOOKUP(FLOOR((Midterm!AN54/AN$5)*100,1),new_transmute,3,FALSE),
VLOOKUP(Midterm!AN54,new_transmute,3,FALSE)
),
IF(Info!$B$4="Board program (Medicine)",
IF(OR(AND(AN$5&gt;0,AN$5&gt;100),AND(AN$5&gt;0,AN$5&lt;100)),
VLOOKUP(FLOOR((Midterm!AN54/AN$5)*100,1),new_transmute,4,FALSE),
VLOOKUP(Midterm!AN54,new_transmute,4,FALSE)
),
""
)
)
)
)
)
)
)
)
))</f>
        <v/>
      </c>
      <c r="AO54" s="14" t="str">
        <f>IF($B54="","",
IF(AO$5="","",
IF(Midterm!AO54="",0,
IF(NOT(ISNUMBER(Midterm!AO54)),"NAN",
IF(Midterm!AO54&lt;0,"NEG",
IF(Midterm!AO54&gt;AO$5,"OVER",
IF(AND(AO$5&lt;=100,Midterm!AO54&gt;100),"ERR",
IF(Info!$B$4="Non-board program",
IF(OR(AND(AO$5&gt;0,AO$5&gt;100),AND(AO$5&gt;0,AO$5&lt;100)),
VLOOKUP(FLOOR((Midterm!AO54/AO$5)*100,1),new_transmute,2,FALSE),
VLOOKUP(Midterm!AO54,new_transmute,2,FALSE)
),
IF(Info!$B$4="Board program",
IF(OR(AND(AO$5&gt;0,AO$5&gt;100),AND(AO$5&gt;0,AO$5&lt;100)),
VLOOKUP(FLOOR((Midterm!AO54/AO$5)*100,1),new_transmute,3,FALSE),
VLOOKUP(Midterm!AO54,new_transmute,3,FALSE)
),
IF(Info!$B$4="Board program (Medicine)",
IF(OR(AND(AO$5&gt;0,AO$5&gt;100),AND(AO$5&gt;0,AO$5&lt;100)),
VLOOKUP(FLOOR((Midterm!AO54/AO$5)*100,1),new_transmute,4,FALSE),
VLOOKUP(Midterm!AO54,new_transmute,4,FALSE)
),
""
)
)
)
)
)
)
)
)
))</f>
        <v/>
      </c>
      <c r="AP54" s="14" t="str">
        <f>IF($B54="","",
IF(AP$5="","",
IF(Midterm!AP54="",0,
IF(NOT(ISNUMBER(Midterm!AP54)),"NAN",
IF(Midterm!AP54&lt;0,"NEG",
IF(Midterm!AP54&gt;AP$5,"OVER",
IF(AND(AP$5&lt;=100,Midterm!AP54&gt;100),"ERR",
IF(Info!$B$4="Non-board program",
IF(OR(AND(AP$5&gt;0,AP$5&gt;100),AND(AP$5&gt;0,AP$5&lt;100)),
VLOOKUP(FLOOR((Midterm!AP54/AP$5)*100,1),new_transmute,2,FALSE),
VLOOKUP(Midterm!AP54,new_transmute,2,FALSE)
),
IF(Info!$B$4="Board program",
IF(OR(AND(AP$5&gt;0,AP$5&gt;100),AND(AP$5&gt;0,AP$5&lt;100)),
VLOOKUP(FLOOR((Midterm!AP54/AP$5)*100,1),new_transmute,3,FALSE),
VLOOKUP(Midterm!AP54,new_transmute,3,FALSE)
),
IF(Info!$B$4="Board program (Medicine)",
IF(OR(AND(AP$5&gt;0,AP$5&gt;100),AND(AP$5&gt;0,AP$5&lt;100)),
VLOOKUP(FLOOR((Midterm!AP54/AP$5)*100,1),new_transmute,4,FALSE),
VLOOKUP(Midterm!AP54,new_transmute,4,FALSE)
),
""
)
)
)
)
)
)
)
)
))</f>
        <v/>
      </c>
      <c r="AQ54" s="61" t="str">
        <f t="shared" si="7"/>
        <v/>
      </c>
      <c r="AR54" s="48" t="str">
        <f>IF(Midterm!AR54="","",Midterm!AR54)</f>
        <v/>
      </c>
      <c r="AS54" s="165" t="str">
        <f t="shared" si="8"/>
        <v/>
      </c>
      <c r="AT54" s="14" t="str">
        <f t="shared" si="9"/>
        <v/>
      </c>
      <c r="AU54" s="14" t="str">
        <f>IF(B54="","",VLOOKUP(AT54,'New Grade Equivalent'!$B$3:$C$47,2,FALSE))</f>
        <v/>
      </c>
    </row>
    <row r="55" spans="1:47" x14ac:dyDescent="0.25">
      <c r="A55" s="8">
        <v>50</v>
      </c>
      <c r="B55" s="2" t="str">
        <f>IF('Student List'!C59="","",UPPER(LEFT('Student List'!C59,FIND(",",'Student List'!C59)-1)))</f>
        <v/>
      </c>
      <c r="C55" s="12" t="str">
        <f>IF('Student List'!C59="","",PROPER(MID('Student List'!C59, FIND(",", 'Student List'!C59) + 2, LEN('Student List'!C59) - FIND(",", 'Student List'!C59) - 1)))</f>
        <v/>
      </c>
      <c r="D55" s="127" t="str">
        <f>IF(B55="","",IF(Midterm!D55="", "NA", Midterm!D55))</f>
        <v/>
      </c>
      <c r="E55" s="8" t="str">
        <f>IF(B55="","",
  IF(Info!$B$5="First Year",
    IF(D55="Yes", "DRP",
      IF(D55="No", "WF", "")
    )
  )
)</f>
        <v/>
      </c>
      <c r="F55" s="14" t="str">
        <f>IF($B55="","",
IF(F$5="","",
IF(Midterm!F55="",0,
IF(NOT(ISNUMBER(Midterm!F55)),"NAN",
IF(Midterm!F55&lt;0,"NEG",
IF(Midterm!F55&gt;F$5,"OVER",
IF(AND(F$5&lt;=100,Midterm!F55&gt;100),"ERR",
IF(Info!$B$4="Non-board program",
IF(OR(AND(F$5&gt;0,F$5&gt;100),AND(F$5&gt;0,F$5&lt;100)),
VLOOKUP(FLOOR((Midterm!F55/F$5)*100,1),new_transmute,2,FALSE),
VLOOKUP(Midterm!F55,new_transmute,2,FALSE)
),
IF(Info!$B$4="Board program",
IF(OR(AND(F$5&gt;0,F$5&gt;100),AND(F$5&gt;0,F$5&lt;100)),
VLOOKUP(FLOOR((Midterm!F55/F$5)*100,1),new_transmute,3,FALSE),
VLOOKUP(Midterm!F55,new_transmute,3,FALSE)
),
IF(Info!$B$4="Board program (Medicine)",
IF(OR(AND(F$5&gt;0,F$5&gt;100),AND(F$5&gt;0,F$5&lt;100)),
VLOOKUP(FLOOR((Midterm!F55/F$5)*100,1),new_transmute,4,FALSE),
VLOOKUP(Midterm!F55,new_transmute,4,FALSE)
),
""
)
)
)
)
)
)
)
)
))</f>
        <v/>
      </c>
      <c r="G55" s="57" t="str">
        <f t="shared" si="1"/>
        <v/>
      </c>
      <c r="H55" s="14" t="str">
        <f>IF($B55="","",
IF(H$5="","",
IF(Midterm!H55="",0,
IF(NOT(ISNUMBER(Midterm!H55)),"NAN",
IF(Midterm!H55&lt;0,"NEG",
IF(Midterm!H55&gt;H$5,"OVER",
IF(AND(H$5&lt;=100,Midterm!H55&gt;100),"ERR",
IF(Info!$B$4="Non-board program",
IF(OR(AND(H$5&gt;0,H$5&gt;100),AND(H$5&gt;0,H$5&lt;100)),
VLOOKUP(FLOOR((Midterm!H55/H$5)*100,1),new_transmute,2,FALSE),
VLOOKUP(Midterm!H55,new_transmute,2,FALSE)
),
IF(Info!$B$4="Board program",
IF(OR(AND(H$5&gt;0,H$5&gt;100),AND(H$5&gt;0,H$5&lt;100)),
VLOOKUP(FLOOR((Midterm!H55/H$5)*100,1),new_transmute,3,FALSE),
VLOOKUP(Midterm!H55,new_transmute,3,FALSE)
),
IF(Info!$B$4="Board program (Medicine)",
IF(OR(AND(H$5&gt;0,H$5&gt;100),AND(H$5&gt;0,H$5&lt;100)),
VLOOKUP(FLOOR((Midterm!H55/H$5)*100,1),new_transmute,4,FALSE),
VLOOKUP(Midterm!H55,new_transmute,4,FALSE)
),
""
)
)
)
)
)
)
)
)
))</f>
        <v/>
      </c>
      <c r="I55" s="14" t="str">
        <f>IF($B55="","",
IF(I$5="","",
IF(Midterm!I55="",0,
IF(NOT(ISNUMBER(Midterm!I55)),"NAN",
IF(Midterm!I55&lt;0,"NEG",
IF(Midterm!I55&gt;I$5,"OVER",
IF(AND(I$5&lt;=100,Midterm!I55&gt;100),"ERR",
IF(Info!$B$4="Non-board program",
IF(OR(AND(I$5&gt;0,I$5&gt;100),AND(I$5&gt;0,I$5&lt;100)),
VLOOKUP(FLOOR((Midterm!I55/I$5)*100,1),new_transmute,2,FALSE),
VLOOKUP(Midterm!I55,new_transmute,2,FALSE)
),
IF(Info!$B$4="Board program",
IF(OR(AND(I$5&gt;0,I$5&gt;100),AND(I$5&gt;0,I$5&lt;100)),
VLOOKUP(FLOOR((Midterm!I55/I$5)*100,1),new_transmute,3,FALSE),
VLOOKUP(Midterm!I55,new_transmute,3,FALSE)
),
IF(Info!$B$4="Board program (Medicine)",
IF(OR(AND(I$5&gt;0,I$5&gt;100),AND(I$5&gt;0,I$5&lt;100)),
VLOOKUP(FLOOR((Midterm!I55/I$5)*100,1),new_transmute,4,FALSE),
VLOOKUP(Midterm!I55,new_transmute,4,FALSE)
),
""
)
)
)
)
)
)
)
)
))</f>
        <v/>
      </c>
      <c r="J55" s="14" t="str">
        <f>IF($B55="","",
IF(J$5="","",
IF(Midterm!J55="",0,
IF(NOT(ISNUMBER(Midterm!J55)),"NAN",
IF(Midterm!J55&lt;0,"NEG",
IF(Midterm!J55&gt;J$5,"OVER",
IF(AND(J$5&lt;=100,Midterm!J55&gt;100),"ERR",
IF(Info!$B$4="Non-board program",
IF(OR(AND(J$5&gt;0,J$5&gt;100),AND(J$5&gt;0,J$5&lt;100)),
VLOOKUP(FLOOR((Midterm!J55/J$5)*100,1),new_transmute,2,FALSE),
VLOOKUP(Midterm!J55,new_transmute,2,FALSE)
),
IF(Info!$B$4="Board program",
IF(OR(AND(J$5&gt;0,J$5&gt;100),AND(J$5&gt;0,J$5&lt;100)),
VLOOKUP(FLOOR((Midterm!J55/J$5)*100,1),new_transmute,3,FALSE),
VLOOKUP(Midterm!J55,new_transmute,3,FALSE)
),
IF(Info!$B$4="Board program (Medicine)",
IF(OR(AND(J$5&gt;0,J$5&gt;100),AND(J$5&gt;0,J$5&lt;100)),
VLOOKUP(FLOOR((Midterm!J55/J$5)*100,1),new_transmute,4,FALSE),
VLOOKUP(Midterm!J55,new_transmute,4,FALSE)
),
""
)
)
)
)
)
)
)
)
))</f>
        <v/>
      </c>
      <c r="K55" s="14" t="str">
        <f>IF($B55="","",
IF(K$5="","",
IF(Midterm!K55="",0,
IF(NOT(ISNUMBER(Midterm!K55)),"NAN",
IF(Midterm!K55&lt;0,"NEG",
IF(Midterm!K55&gt;K$5,"OVER",
IF(AND(K$5&lt;=100,Midterm!K55&gt;100),"ERR",
IF(Info!$B$4="Non-board program",
IF(OR(AND(K$5&gt;0,K$5&gt;100),AND(K$5&gt;0,K$5&lt;100)),
VLOOKUP(FLOOR((Midterm!K55/K$5)*100,1),new_transmute,2,FALSE),
VLOOKUP(Midterm!K55,new_transmute,2,FALSE)
),
IF(Info!$B$4="Board program",
IF(OR(AND(K$5&gt;0,K$5&gt;100),AND(K$5&gt;0,K$5&lt;100)),
VLOOKUP(FLOOR((Midterm!K55/K$5)*100,1),new_transmute,3,FALSE),
VLOOKUP(Midterm!K55,new_transmute,3,FALSE)
),
IF(Info!$B$4="Board program (Medicine)",
IF(OR(AND(K$5&gt;0,K$5&gt;100),AND(K$5&gt;0,K$5&lt;100)),
VLOOKUP(FLOOR((Midterm!K55/K$5)*100,1),new_transmute,4,FALSE),
VLOOKUP(Midterm!K55,new_transmute,4,FALSE)
),
""
)
)
)
)
)
)
)
)
))</f>
        <v/>
      </c>
      <c r="L55" s="14" t="str">
        <f>IF($B55="","",
IF(L$5="","",
IF(Midterm!L55="",0,
IF(NOT(ISNUMBER(Midterm!L55)),"NAN",
IF(Midterm!L55&lt;0,"NEG",
IF(Midterm!L55&gt;L$5,"OVER",
IF(AND(L$5&lt;=100,Midterm!L55&gt;100),"ERR",
IF(Info!$B$4="Non-board program",
IF(OR(AND(L$5&gt;0,L$5&gt;100),AND(L$5&gt;0,L$5&lt;100)),
VLOOKUP(FLOOR((Midterm!L55/L$5)*100,1),new_transmute,2,FALSE),
VLOOKUP(Midterm!L55,new_transmute,2,FALSE)
),
IF(Info!$B$4="Board program",
IF(OR(AND(L$5&gt;0,L$5&gt;100),AND(L$5&gt;0,L$5&lt;100)),
VLOOKUP(FLOOR((Midterm!L55/L$5)*100,1),new_transmute,3,FALSE),
VLOOKUP(Midterm!L55,new_transmute,3,FALSE)
),
IF(Info!$B$4="Board program (Medicine)",
IF(OR(AND(L$5&gt;0,L$5&gt;100),AND(L$5&gt;0,L$5&lt;100)),
VLOOKUP(FLOOR((Midterm!L55/L$5)*100,1),new_transmute,4,FALSE),
VLOOKUP(Midterm!L55,new_transmute,4,FALSE)
),
""
)
)
)
)
)
)
)
)
))</f>
        <v/>
      </c>
      <c r="M55" s="111" t="str">
        <f t="shared" si="2"/>
        <v/>
      </c>
      <c r="N55" s="14" t="str">
        <f>IF($B55="","",
IF(N$5="","",
IF(Midterm!N55="",0,
IF(NOT(ISNUMBER(Midterm!N55)),"NAN",
IF(Midterm!N55&lt;0,"NEG",
IF(Midterm!N55&gt;N$5,"OVER",
IF(AND(N$5&lt;=100,Midterm!N55&gt;100),"ERR",
IF(Info!$B$4="Non-board program",
IF(OR(AND(N$5&gt;0,N$5&gt;100),AND(N$5&gt;0,N$5&lt;100)),
VLOOKUP(FLOOR((Midterm!N55/N$5)*100,1),new_transmute,2,FALSE),
VLOOKUP(Midterm!N55,new_transmute,2,FALSE)
),
IF(Info!$B$4="Board program",
IF(OR(AND(N$5&gt;0,N$5&gt;100),AND(N$5&gt;0,N$5&lt;100)),
VLOOKUP(FLOOR((Midterm!N55/N$5)*100,1),new_transmute,3,FALSE),
VLOOKUP(Midterm!N55,new_transmute,3,FALSE)
),
IF(Info!$B$4="Board program (Medicine)",
IF(OR(AND(N$5&gt;0,N$5&gt;100),AND(N$5&gt;0,N$5&lt;100)),
VLOOKUP(FLOOR((Midterm!N55/N$5)*100,1),new_transmute,4,FALSE),
VLOOKUP(Midterm!N55,new_transmute,4,FALSE)
),
""
)
)
)
)
)
)
)
)
))</f>
        <v/>
      </c>
      <c r="O55" s="14" t="str">
        <f>IF($B55="","",
IF(O$5="","",
IF(Midterm!O55="",0,
IF(NOT(ISNUMBER(Midterm!O55)),"NAN",
IF(Midterm!O55&lt;0,"NEG",
IF(Midterm!O55&gt;O$5,"OVER",
IF(AND(O$5&lt;=100,Midterm!O55&gt;100),"ERR",
IF(Info!$B$4="Non-board program",
IF(OR(AND(O$5&gt;0,O$5&gt;100),AND(O$5&gt;0,O$5&lt;100)),
VLOOKUP(FLOOR((Midterm!O55/O$5)*100,1),new_transmute,2,FALSE),
VLOOKUP(Midterm!O55,new_transmute,2,FALSE)
),
IF(Info!$B$4="Board program",
IF(OR(AND(O$5&gt;0,O$5&gt;100),AND(O$5&gt;0,O$5&lt;100)),
VLOOKUP(FLOOR((Midterm!O55/O$5)*100,1),new_transmute,3,FALSE),
VLOOKUP(Midterm!O55,new_transmute,3,FALSE)
),
IF(Info!$B$4="Board program (Medicine)",
IF(OR(AND(O$5&gt;0,O$5&gt;100),AND(O$5&gt;0,O$5&lt;100)),
VLOOKUP(FLOOR((Midterm!O55/O$5)*100,1),new_transmute,4,FALSE),
VLOOKUP(Midterm!O55,new_transmute,4,FALSE)
),
""
)
)
)
)
)
)
)
)
))</f>
        <v/>
      </c>
      <c r="P55" s="14" t="str">
        <f>IF($B55="","",
IF(P$5="","",
IF(Midterm!P55="",0,
IF(NOT(ISNUMBER(Midterm!P55)),"NAN",
IF(Midterm!P55&lt;0,"NEG",
IF(Midterm!P55&gt;P$5,"OVER",
IF(AND(P$5&lt;=100,Midterm!P55&gt;100),"ERR",
IF(Info!$B$4="Non-board program",
IF(OR(AND(P$5&gt;0,P$5&gt;100),AND(P$5&gt;0,P$5&lt;100)),
VLOOKUP(FLOOR((Midterm!P55/P$5)*100,1),new_transmute,2,FALSE),
VLOOKUP(Midterm!P55,new_transmute,2,FALSE)
),
IF(Info!$B$4="Board program",
IF(OR(AND(P$5&gt;0,P$5&gt;100),AND(P$5&gt;0,P$5&lt;100)),
VLOOKUP(FLOOR((Midterm!P55/P$5)*100,1),new_transmute,3,FALSE),
VLOOKUP(Midterm!P55,new_transmute,3,FALSE)
),
IF(Info!$B$4="Board program (Medicine)",
IF(OR(AND(P$5&gt;0,P$5&gt;100),AND(P$5&gt;0,P$5&lt;100)),
VLOOKUP(FLOOR((Midterm!P55/P$5)*100,1),new_transmute,4,FALSE),
VLOOKUP(Midterm!P55,new_transmute,4,FALSE)
),
""
)
)
)
)
)
)
)
)
))</f>
        <v/>
      </c>
      <c r="Q55" s="14" t="str">
        <f>IF($B55="","",
IF(Q$5="","",
IF(Midterm!Q55="",0,
IF(NOT(ISNUMBER(Midterm!Q55)),"NAN",
IF(Midterm!Q55&lt;0,"NEG",
IF(Midterm!Q55&gt;Q$5,"OVER",
IF(AND(Q$5&lt;=100,Midterm!Q55&gt;100),"ERR",
IF(Info!$B$4="Non-board program",
IF(OR(AND(Q$5&gt;0,Q$5&gt;100),AND(Q$5&gt;0,Q$5&lt;100)),
VLOOKUP(FLOOR((Midterm!Q55/Q$5)*100,1),new_transmute,2,FALSE),
VLOOKUP(Midterm!Q55,new_transmute,2,FALSE)
),
IF(Info!$B$4="Board program",
IF(OR(AND(Q$5&gt;0,Q$5&gt;100),AND(Q$5&gt;0,Q$5&lt;100)),
VLOOKUP(FLOOR((Midterm!Q55/Q$5)*100,1),new_transmute,3,FALSE),
VLOOKUP(Midterm!Q55,new_transmute,3,FALSE)
),
IF(Info!$B$4="Board program (Medicine)",
IF(OR(AND(Q$5&gt;0,Q$5&gt;100),AND(Q$5&gt;0,Q$5&lt;100)),
VLOOKUP(FLOOR((Midterm!Q55/Q$5)*100,1),new_transmute,4,FALSE),
VLOOKUP(Midterm!Q55,new_transmute,4,FALSE)
),
""
)
)
)
)
)
)
)
)
))</f>
        <v/>
      </c>
      <c r="R55" s="14" t="str">
        <f>IF($B55="","",
IF(R$5="","",
IF(Midterm!R55="",0,
IF(NOT(ISNUMBER(Midterm!R55)),"NAN",
IF(Midterm!R55&lt;0,"NEG",
IF(Midterm!R55&gt;R$5,"OVER",
IF(AND(R$5&lt;=100,Midterm!R55&gt;100),"ERR",
IF(Info!$B$4="Non-board program",
IF(OR(AND(R$5&gt;0,R$5&gt;100),AND(R$5&gt;0,R$5&lt;100)),
VLOOKUP(FLOOR((Midterm!R55/R$5)*100,1),new_transmute,2,FALSE),
VLOOKUP(Midterm!R55,new_transmute,2,FALSE)
),
IF(Info!$B$4="Board program",
IF(OR(AND(R$5&gt;0,R$5&gt;100),AND(R$5&gt;0,R$5&lt;100)),
VLOOKUP(FLOOR((Midterm!R55/R$5)*100,1),new_transmute,3,FALSE),
VLOOKUP(Midterm!R55,new_transmute,3,FALSE)
),
IF(Info!$B$4="Board program (Medicine)",
IF(OR(AND(R$5&gt;0,R$5&gt;100),AND(R$5&gt;0,R$5&lt;100)),
VLOOKUP(FLOOR((Midterm!R55/R$5)*100,1),new_transmute,4,FALSE),
VLOOKUP(Midterm!R55,new_transmute,4,FALSE)
),
""
)
)
)
)
)
)
)
)
))</f>
        <v/>
      </c>
      <c r="S55" s="115" t="str">
        <f t="shared" si="3"/>
        <v/>
      </c>
      <c r="T55" s="14" t="str">
        <f>IF($B55="","",
IF(T$5="","",
IF(Midterm!T55="",0,
IF(NOT(ISNUMBER(Midterm!T55)),"NAN",
IF(Midterm!T55&lt;0,"NEG",
IF(Midterm!T55&gt;T$5,"OVER",
IF(AND(T$5&lt;=100,Midterm!T55&gt;100),"ERR",
IF(Info!$B$4="Non-board program",
IF(OR(AND(T$5&gt;0,T$5&gt;100),AND(T$5&gt;0,T$5&lt;100)),
VLOOKUP(FLOOR((Midterm!T55/T$5)*100,1),new_transmute,2,FALSE),
VLOOKUP(Midterm!T55,new_transmute,2,FALSE)
),
IF(Info!$B$4="Board program",
IF(OR(AND(T$5&gt;0,T$5&gt;100),AND(T$5&gt;0,T$5&lt;100)),
VLOOKUP(FLOOR((Midterm!T55/T$5)*100,1),new_transmute,3,FALSE),
VLOOKUP(Midterm!T55,new_transmute,3,FALSE)
),
IF(Info!$B$4="Board program (Medicine)",
IF(OR(AND(T$5&gt;0,T$5&gt;100),AND(T$5&gt;0,T$5&lt;100)),
VLOOKUP(FLOOR((Midterm!T55/T$5)*100,1),new_transmute,4,FALSE),
VLOOKUP(Midterm!T55,new_transmute,4,FALSE)
),
""
)
)
)
)
)
)
)
)
))</f>
        <v/>
      </c>
      <c r="U55" s="14" t="str">
        <f>IF($B55="","",
IF(U$5="","",
IF(Midterm!U55="",0,
IF(NOT(ISNUMBER(Midterm!U55)),"NAN",
IF(Midterm!U55&lt;0,"NEG",
IF(Midterm!U55&gt;U$5,"OVER",
IF(AND(U$5&lt;=100,Midterm!U55&gt;100),"ERR",
IF(Info!$B$4="Non-board program",
IF(OR(AND(U$5&gt;0,U$5&gt;100),AND(U$5&gt;0,U$5&lt;100)),
VLOOKUP(FLOOR((Midterm!U55/U$5)*100,1),new_transmute,2,FALSE),
VLOOKUP(Midterm!U55,new_transmute,2,FALSE)
),
IF(Info!$B$4="Board program",
IF(OR(AND(U$5&gt;0,U$5&gt;100),AND(U$5&gt;0,U$5&lt;100)),
VLOOKUP(FLOOR((Midterm!U55/U$5)*100,1),new_transmute,3,FALSE),
VLOOKUP(Midterm!U55,new_transmute,3,FALSE)
),
IF(Info!$B$4="Board program (Medicine)",
IF(OR(AND(U$5&gt;0,U$5&gt;100),AND(U$5&gt;0,U$5&lt;100)),
VLOOKUP(FLOOR((Midterm!U55/U$5)*100,1),new_transmute,4,FALSE),
VLOOKUP(Midterm!U55,new_transmute,4,FALSE)
),
""
)
)
)
)
)
)
)
)
))</f>
        <v/>
      </c>
      <c r="V55" s="14" t="str">
        <f>IF($B55="","",
IF(V$5="","",
IF(Midterm!V55="",0,
IF(NOT(ISNUMBER(Midterm!V55)),"NAN",
IF(Midterm!V55&lt;0,"NEG",
IF(Midterm!V55&gt;V$5,"OVER",
IF(AND(V$5&lt;=100,Midterm!V55&gt;100),"ERR",
IF(Info!$B$4="Non-board program",
IF(OR(AND(V$5&gt;0,V$5&gt;100),AND(V$5&gt;0,V$5&lt;100)),
VLOOKUP(FLOOR((Midterm!V55/V$5)*100,1),new_transmute,2,FALSE),
VLOOKUP(Midterm!V55,new_transmute,2,FALSE)
),
IF(Info!$B$4="Board program",
IF(OR(AND(V$5&gt;0,V$5&gt;100),AND(V$5&gt;0,V$5&lt;100)),
VLOOKUP(FLOOR((Midterm!V55/V$5)*100,1),new_transmute,3,FALSE),
VLOOKUP(Midterm!V55,new_transmute,3,FALSE)
),
IF(Info!$B$4="Board program (Medicine)",
IF(OR(AND(V$5&gt;0,V$5&gt;100),AND(V$5&gt;0,V$5&lt;100)),
VLOOKUP(FLOOR((Midterm!V55/V$5)*100,1),new_transmute,4,FALSE),
VLOOKUP(Midterm!V55,new_transmute,4,FALSE)
),
""
)
)
)
)
)
)
)
)
))</f>
        <v/>
      </c>
      <c r="W55" s="14" t="str">
        <f>IF($B55="","",
IF(W$5="","",
IF(Midterm!W55="",0,
IF(NOT(ISNUMBER(Midterm!W55)),"NAN",
IF(Midterm!W55&lt;0,"NEG",
IF(Midterm!W55&gt;W$5,"OVER",
IF(AND(W$5&lt;=100,Midterm!W55&gt;100),"ERR",
IF(Info!$B$4="Non-board program",
IF(OR(AND(W$5&gt;0,W$5&gt;100),AND(W$5&gt;0,W$5&lt;100)),
VLOOKUP(FLOOR((Midterm!W55/W$5)*100,1),new_transmute,2,FALSE),
VLOOKUP(Midterm!W55,new_transmute,2,FALSE)
),
IF(Info!$B$4="Board program",
IF(OR(AND(W$5&gt;0,W$5&gt;100),AND(W$5&gt;0,W$5&lt;100)),
VLOOKUP(FLOOR((Midterm!W55/W$5)*100,1),new_transmute,3,FALSE),
VLOOKUP(Midterm!W55,new_transmute,3,FALSE)
),
IF(Info!$B$4="Board program (Medicine)",
IF(OR(AND(W$5&gt;0,W$5&gt;100),AND(W$5&gt;0,W$5&lt;100)),
VLOOKUP(FLOOR((Midterm!W55/W$5)*100,1),new_transmute,4,FALSE),
VLOOKUP(Midterm!W55,new_transmute,4,FALSE)
),
""
)
)
)
)
)
)
)
)
))</f>
        <v/>
      </c>
      <c r="X55" s="14" t="str">
        <f>IF($B55="","",
IF(X$5="","",
IF(Midterm!X55="",0,
IF(NOT(ISNUMBER(Midterm!X55)),"NAN",
IF(Midterm!X55&lt;0,"NEG",
IF(Midterm!X55&gt;X$5,"OVER",
IF(AND(X$5&lt;=100,Midterm!X55&gt;100),"ERR",
IF(Info!$B$4="Non-board program",
IF(OR(AND(X$5&gt;0,X$5&gt;100),AND(X$5&gt;0,X$5&lt;100)),
VLOOKUP(FLOOR((Midterm!X55/X$5)*100,1),new_transmute,2,FALSE),
VLOOKUP(Midterm!X55,new_transmute,2,FALSE)
),
IF(Info!$B$4="Board program",
IF(OR(AND(X$5&gt;0,X$5&gt;100),AND(X$5&gt;0,X$5&lt;100)),
VLOOKUP(FLOOR((Midterm!X55/X$5)*100,1),new_transmute,3,FALSE),
VLOOKUP(Midterm!X55,new_transmute,3,FALSE)
),
IF(Info!$B$4="Board program (Medicine)",
IF(OR(AND(X$5&gt;0,X$5&gt;100),AND(X$5&gt;0,X$5&lt;100)),
VLOOKUP(FLOOR((Midterm!X55/X$5)*100,1),new_transmute,4,FALSE),
VLOOKUP(Midterm!X55,new_transmute,4,FALSE)
),
""
)
)
)
)
)
)
)
)
))</f>
        <v/>
      </c>
      <c r="Y55" s="112" t="str">
        <f t="shared" si="4"/>
        <v/>
      </c>
      <c r="Z55" s="14" t="str">
        <f>IF($B55="","",
IF(Z$5="","",
IF(Midterm!Z55="",0,
IF(NOT(ISNUMBER(Midterm!Z55)),"NAN",
IF(Midterm!Z55&lt;0,"NEG",
IF(Midterm!Z55&gt;Z$5,"OVER",
IF(AND(Z$5&lt;=100,Midterm!Z55&gt;100),"ERR",
IF(Info!$B$4="Non-board program",
IF(OR(AND(Z$5&gt;0,Z$5&gt;100),AND(Z$5&gt;0,Z$5&lt;100)),
VLOOKUP(FLOOR((Midterm!Z55/Z$5)*100,1),new_transmute,2,FALSE),
VLOOKUP(Midterm!Z55,new_transmute,2,FALSE)
),
IF(Info!$B$4="Board program",
IF(OR(AND(Z$5&gt;0,Z$5&gt;100),AND(Z$5&gt;0,Z$5&lt;100)),
VLOOKUP(FLOOR((Midterm!Z55/Z$5)*100,1),new_transmute,3,FALSE),
VLOOKUP(Midterm!Z55,new_transmute,3,FALSE)
),
IF(Info!$B$4="Board program (Medicine)",
IF(OR(AND(Z$5&gt;0,Z$5&gt;100),AND(Z$5&gt;0,Z$5&lt;100)),
VLOOKUP(FLOOR((Midterm!Z55/Z$5)*100,1),new_transmute,4,FALSE),
VLOOKUP(Midterm!Z55,new_transmute,4,FALSE)
),
""
)
)
)
)
)
)
)
)
))</f>
        <v/>
      </c>
      <c r="AA55" s="14" t="str">
        <f>IF($B55="","",
IF(AA$5="","",
IF(Midterm!AA55="",0,
IF(NOT(ISNUMBER(Midterm!AA55)),"NAN",
IF(Midterm!AA55&lt;0,"NEG",
IF(Midterm!AA55&gt;AA$5,"OVER",
IF(AND(AA$5&lt;=100,Midterm!AA55&gt;100),"ERR",
IF(Info!$B$4="Non-board program",
IF(OR(AND(AA$5&gt;0,AA$5&gt;100),AND(AA$5&gt;0,AA$5&lt;100)),
VLOOKUP(FLOOR((Midterm!AA55/AA$5)*100,1),new_transmute,2,FALSE),
VLOOKUP(Midterm!AA55,new_transmute,2,FALSE)
),
IF(Info!$B$4="Board program",
IF(OR(AND(AA$5&gt;0,AA$5&gt;100),AND(AA$5&gt;0,AA$5&lt;100)),
VLOOKUP(FLOOR((Midterm!AA55/AA$5)*100,1),new_transmute,3,FALSE),
VLOOKUP(Midterm!AA55,new_transmute,3,FALSE)
),
IF(Info!$B$4="Board program (Medicine)",
IF(OR(AND(AA$5&gt;0,AA$5&gt;100),AND(AA$5&gt;0,AA$5&lt;100)),
VLOOKUP(FLOOR((Midterm!AA55/AA$5)*100,1),new_transmute,4,FALSE),
VLOOKUP(Midterm!AA55,new_transmute,4,FALSE)
),
""
)
)
)
)
)
)
)
)
))</f>
        <v/>
      </c>
      <c r="AB55" s="14" t="str">
        <f>IF($B55="","",
IF(AB$5="","",
IF(Midterm!AB55="",0,
IF(NOT(ISNUMBER(Midterm!AB55)),"NAN",
IF(Midterm!AB55&lt;0,"NEG",
IF(Midterm!AB55&gt;AB$5,"OVER",
IF(AND(AB$5&lt;=100,Midterm!AB55&gt;100),"ERR",
IF(Info!$B$4="Non-board program",
IF(OR(AND(AB$5&gt;0,AB$5&gt;100),AND(AB$5&gt;0,AB$5&lt;100)),
VLOOKUP(FLOOR((Midterm!AB55/AB$5)*100,1),new_transmute,2,FALSE),
VLOOKUP(Midterm!AB55,new_transmute,2,FALSE)
),
IF(Info!$B$4="Board program",
IF(OR(AND(AB$5&gt;0,AB$5&gt;100),AND(AB$5&gt;0,AB$5&lt;100)),
VLOOKUP(FLOOR((Midterm!AB55/AB$5)*100,1),new_transmute,3,FALSE),
VLOOKUP(Midterm!AB55,new_transmute,3,FALSE)
),
IF(Info!$B$4="Board program (Medicine)",
IF(OR(AND(AB$5&gt;0,AB$5&gt;100),AND(AB$5&gt;0,AB$5&lt;100)),
VLOOKUP(FLOOR((Midterm!AB55/AB$5)*100,1),new_transmute,4,FALSE),
VLOOKUP(Midterm!AB55,new_transmute,4,FALSE)
),
""
)
)
)
)
)
)
)
)
))</f>
        <v/>
      </c>
      <c r="AC55" s="14" t="str">
        <f>IF($B55="","",
IF(AC$5="","",
IF(Midterm!AC55="",0,
IF(NOT(ISNUMBER(Midterm!AC55)),"NAN",
IF(Midterm!AC55&lt;0,"NEG",
IF(Midterm!AC55&gt;AC$5,"OVER",
IF(AND(AC$5&lt;=100,Midterm!AC55&gt;100),"ERR",
IF(Info!$B$4="Non-board program",
IF(OR(AND(AC$5&gt;0,AC$5&gt;100),AND(AC$5&gt;0,AC$5&lt;100)),
VLOOKUP(FLOOR((Midterm!AC55/AC$5)*100,1),new_transmute,2,FALSE),
VLOOKUP(Midterm!AC55,new_transmute,2,FALSE)
),
IF(Info!$B$4="Board program",
IF(OR(AND(AC$5&gt;0,AC$5&gt;100),AND(AC$5&gt;0,AC$5&lt;100)),
VLOOKUP(FLOOR((Midterm!AC55/AC$5)*100,1),new_transmute,3,FALSE),
VLOOKUP(Midterm!AC55,new_transmute,3,FALSE)
),
IF(Info!$B$4="Board program (Medicine)",
IF(OR(AND(AC$5&gt;0,AC$5&gt;100),AND(AC$5&gt;0,AC$5&lt;100)),
VLOOKUP(FLOOR((Midterm!AC55/AC$5)*100,1),new_transmute,4,FALSE),
VLOOKUP(Midterm!AC55,new_transmute,4,FALSE)
),
""
)
)
)
)
)
)
)
)
))</f>
        <v/>
      </c>
      <c r="AD55" s="14" t="str">
        <f>IF($B55="","",
IF(AD$5="","",
IF(Midterm!AD55="",0,
IF(NOT(ISNUMBER(Midterm!AD55)),"NAN",
IF(Midterm!AD55&lt;0,"NEG",
IF(Midterm!AD55&gt;AD$5,"OVER",
IF(AND(AD$5&lt;=100,Midterm!AD55&gt;100),"ERR",
IF(Info!$B$4="Non-board program",
IF(OR(AND(AD$5&gt;0,AD$5&gt;100),AND(AD$5&gt;0,AD$5&lt;100)),
VLOOKUP(FLOOR((Midterm!AD55/AD$5)*100,1),new_transmute,2,FALSE),
VLOOKUP(Midterm!AD55,new_transmute,2,FALSE)
),
IF(Info!$B$4="Board program",
IF(OR(AND(AD$5&gt;0,AD$5&gt;100),AND(AD$5&gt;0,AD$5&lt;100)),
VLOOKUP(FLOOR((Midterm!AD55/AD$5)*100,1),new_transmute,3,FALSE),
VLOOKUP(Midterm!AD55,new_transmute,3,FALSE)
),
IF(Info!$B$4="Board program (Medicine)",
IF(OR(AND(AD$5&gt;0,AD$5&gt;100),AND(AD$5&gt;0,AD$5&lt;100)),
VLOOKUP(FLOOR((Midterm!AD55/AD$5)*100,1),new_transmute,4,FALSE),
VLOOKUP(Midterm!AD55,new_transmute,4,FALSE)
),
""
)
)
)
)
)
)
)
)
))</f>
        <v/>
      </c>
      <c r="AE55" s="58" t="str">
        <f t="shared" si="5"/>
        <v/>
      </c>
      <c r="AF55" s="14" t="str">
        <f>IF($B55="","",
IF(AF$5="","",
IF(Midterm!AF55="",0,
IF(NOT(ISNUMBER(Midterm!AF55)),"NAN",
IF(Midterm!AF55&lt;0,"NEG",
IF(Midterm!AF55&gt;AF$5,"OVER",
IF(AND(AF$5&lt;=100,Midterm!AF55&gt;100),"ERR",
IF(Info!$B$4="Non-board program",
IF(OR(AND(AF$5&gt;0,AF$5&gt;100),AND(AF$5&gt;0,AF$5&lt;100)),
VLOOKUP(FLOOR((Midterm!AF55/AF$5)*100,1),new_transmute,2,FALSE),
VLOOKUP(Midterm!AF55,new_transmute,2,FALSE)
),
IF(Info!$B$4="Board program",
IF(OR(AND(AF$5&gt;0,AF$5&gt;100),AND(AF$5&gt;0,AF$5&lt;100)),
VLOOKUP(FLOOR((Midterm!AF55/AF$5)*100,1),new_transmute,3,FALSE),
VLOOKUP(Midterm!AF55,new_transmute,3,FALSE)
),
IF(Info!$B$4="Board program (Medicine)",
IF(OR(AND(AF$5&gt;0,AF$5&gt;100),AND(AF$5&gt;0,AF$5&lt;100)),
VLOOKUP(FLOOR((Midterm!AF55/AF$5)*100,1),new_transmute,4,FALSE),
VLOOKUP(Midterm!AF55,new_transmute,4,FALSE)
),
""
)
)
)
)
)
)
)
)
))</f>
        <v/>
      </c>
      <c r="AG55" s="14" t="str">
        <f>IF($B55="","",
IF(AG$5="","",
IF(Midterm!AG55="",0,
IF(NOT(ISNUMBER(Midterm!AG55)),"NAN",
IF(Midterm!AG55&lt;0,"NEG",
IF(Midterm!AG55&gt;AG$5,"OVER",
IF(AND(AG$5&lt;=100,Midterm!AG55&gt;100),"ERR",
IF(Info!$B$4="Non-board program",
IF(OR(AND(AG$5&gt;0,AG$5&gt;100),AND(AG$5&gt;0,AG$5&lt;100)),
VLOOKUP(FLOOR((Midterm!AG55/AG$5)*100,1),new_transmute,2,FALSE),
VLOOKUP(Midterm!AG55,new_transmute,2,FALSE)
),
IF(Info!$B$4="Board program",
IF(OR(AND(AG$5&gt;0,AG$5&gt;100),AND(AG$5&gt;0,AG$5&lt;100)),
VLOOKUP(FLOOR((Midterm!AG55/AG$5)*100,1),new_transmute,3,FALSE),
VLOOKUP(Midterm!AG55,new_transmute,3,FALSE)
),
IF(Info!$B$4="Board program (Medicine)",
IF(OR(AND(AG$5&gt;0,AG$5&gt;100),AND(AG$5&gt;0,AG$5&lt;100)),
VLOOKUP(FLOOR((Midterm!AG55/AG$5)*100,1),new_transmute,4,FALSE),
VLOOKUP(Midterm!AG55,new_transmute,4,FALSE)
),
""
)
)
)
)
)
)
)
)
))</f>
        <v/>
      </c>
      <c r="AH55" s="14" t="str">
        <f>IF($B55="","",
IF(AH$5="","",
IF(Midterm!AH55="",0,
IF(NOT(ISNUMBER(Midterm!AH55)),"NAN",
IF(Midterm!AH55&lt;0,"NEG",
IF(Midterm!AH55&gt;AH$5,"OVER",
IF(AND(AH$5&lt;=100,Midterm!AH55&gt;100),"ERR",
IF(Info!$B$4="Non-board program",
IF(OR(AND(AH$5&gt;0,AH$5&gt;100),AND(AH$5&gt;0,AH$5&lt;100)),
VLOOKUP(FLOOR((Midterm!AH55/AH$5)*100,1),new_transmute,2,FALSE),
VLOOKUP(Midterm!AH55,new_transmute,2,FALSE)
),
IF(Info!$B$4="Board program",
IF(OR(AND(AH$5&gt;0,AH$5&gt;100),AND(AH$5&gt;0,AH$5&lt;100)),
VLOOKUP(FLOOR((Midterm!AH55/AH$5)*100,1),new_transmute,3,FALSE),
VLOOKUP(Midterm!AH55,new_transmute,3,FALSE)
),
IF(Info!$B$4="Board program (Medicine)",
IF(OR(AND(AH$5&gt;0,AH$5&gt;100),AND(AH$5&gt;0,AH$5&lt;100)),
VLOOKUP(FLOOR((Midterm!AH55/AH$5)*100,1),new_transmute,4,FALSE),
VLOOKUP(Midterm!AH55,new_transmute,4,FALSE)
),
""
)
)
)
)
)
)
)
)
))</f>
        <v/>
      </c>
      <c r="AI55" s="14" t="str">
        <f>IF($B55="","",
IF(AI$5="","",
IF(Midterm!AI55="",0,
IF(NOT(ISNUMBER(Midterm!AI55)),"NAN",
IF(Midterm!AI55&lt;0,"NEG",
IF(Midterm!AI55&gt;AI$5,"OVER",
IF(AND(AI$5&lt;=100,Midterm!AI55&gt;100),"ERR",
IF(Info!$B$4="Non-board program",
IF(OR(AND(AI$5&gt;0,AI$5&gt;100),AND(AI$5&gt;0,AI$5&lt;100)),
VLOOKUP(FLOOR((Midterm!AI55/AI$5)*100,1),new_transmute,2,FALSE),
VLOOKUP(Midterm!AI55,new_transmute,2,FALSE)
),
IF(Info!$B$4="Board program",
IF(OR(AND(AI$5&gt;0,AI$5&gt;100),AND(AI$5&gt;0,AI$5&lt;100)),
VLOOKUP(FLOOR((Midterm!AI55/AI$5)*100,1),new_transmute,3,FALSE),
VLOOKUP(Midterm!AI55,new_transmute,3,FALSE)
),
IF(Info!$B$4="Board program (Medicine)",
IF(OR(AND(AI$5&gt;0,AI$5&gt;100),AND(AI$5&gt;0,AI$5&lt;100)),
VLOOKUP(FLOOR((Midterm!AI55/AI$5)*100,1),new_transmute,4,FALSE),
VLOOKUP(Midterm!AI55,new_transmute,4,FALSE)
),
""
)
)
)
)
)
)
)
)
))</f>
        <v/>
      </c>
      <c r="AJ55" s="14" t="str">
        <f>IF($B55="","",
IF(AJ$5="","",
IF(Midterm!AJ55="",0,
IF(NOT(ISNUMBER(Midterm!AJ55)),"NAN",
IF(Midterm!AJ55&lt;0,"NEG",
IF(Midterm!AJ55&gt;AJ$5,"OVER",
IF(AND(AJ$5&lt;=100,Midterm!AJ55&gt;100),"ERR",
IF(Info!$B$4="Non-board program",
IF(OR(AND(AJ$5&gt;0,AJ$5&gt;100),AND(AJ$5&gt;0,AJ$5&lt;100)),
VLOOKUP(FLOOR((Midterm!AJ55/AJ$5)*100,1),new_transmute,2,FALSE),
VLOOKUP(Midterm!AJ55,new_transmute,2,FALSE)
),
IF(Info!$B$4="Board program",
IF(OR(AND(AJ$5&gt;0,AJ$5&gt;100),AND(AJ$5&gt;0,AJ$5&lt;100)),
VLOOKUP(FLOOR((Midterm!AJ55/AJ$5)*100,1),new_transmute,3,FALSE),
VLOOKUP(Midterm!AJ55,new_transmute,3,FALSE)
),
IF(Info!$B$4="Board program (Medicine)",
IF(OR(AND(AJ$5&gt;0,AJ$5&gt;100),AND(AJ$5&gt;0,AJ$5&lt;100)),
VLOOKUP(FLOOR((Midterm!AJ55/AJ$5)*100,1),new_transmute,4,FALSE),
VLOOKUP(Midterm!AJ55,new_transmute,4,FALSE)
),
""
)
)
)
)
)
)
)
)
))</f>
        <v/>
      </c>
      <c r="AK55" s="59" t="str">
        <f t="shared" si="6"/>
        <v/>
      </c>
      <c r="AL55" s="60" t="str">
        <f>IF(B55="", "",
    IF(OR(M55="OVER", S55="OVER", Y55="OVER", AE55="OVER", AK55="OVER"),
        "OVER",
        IF(Info!$B$4="Non-board program",
            VLOOKUP(IFERROR(FLOOR(SUM((M55*$M$4), (S55*$S$4), (Y55*$Y$4), (AE55*$AE$4), (AK55*$AK$4)) * (100 / 60), 1), 0), new_transmute, 2, FALSE),
            IF(Info!$B$4="Board program",
                VLOOKUP(IFERROR(FLOOR(SUM((M55*$M$4), (S55*$S$4), (Y55*$Y$4), (AE55*$AE$4), (AK55*$AK$4)) * (100 / 60), 1), 0), new_transmute, 3, FALSE),
                IF(Info!$B$4="Board program (Medicine)",
                    VLOOKUP(IFERROR(FLOOR(SUM((M55*$M$4), (S55*$S$4), (Y55*$Y$4), (AE55*$AE$4), (AK55*$AK$4)) * (100 / 60), 1), 0), new_transmute, 4, FALSE),
                    ""
                )
            )
        )
    )
)</f>
        <v/>
      </c>
      <c r="AM55" s="14" t="str">
        <f>IF($B55="","",
IF(AM$5="","",
IF(Midterm!AM55="",0,
IF(NOT(ISNUMBER(Midterm!AM55)),"NAN",
IF(Midterm!AM55&lt;0,"NEG",
IF(Midterm!AM55&gt;AM$5,"OVER",
IF(AND(AM$5&lt;=100,Midterm!AM55&gt;100),"ERR",
IF(Info!$B$4="Non-board program",
IF(OR(AND(AM$5&gt;0,AM$5&gt;100),AND(AM$5&gt;0,AM$5&lt;100)),
VLOOKUP(FLOOR((Midterm!AM55/AM$5)*100,1),new_transmute,2,FALSE),
VLOOKUP(Midterm!AM55,new_transmute,2,FALSE)
),
IF(Info!$B$4="Board program",
IF(OR(AND(AM$5&gt;0,AM$5&gt;100),AND(AM$5&gt;0,AM$5&lt;100)),
VLOOKUP(FLOOR((Midterm!AM55/AM$5)*100,1),new_transmute,3,FALSE),
VLOOKUP(Midterm!AM55,new_transmute,3,FALSE)
),
IF(Info!$B$4="Board program (Medicine)",
IF(OR(AND(AM$5&gt;0,AM$5&gt;100),AND(AM$5&gt;0,AM$5&lt;100)),
VLOOKUP(FLOOR((Midterm!AM55/AM$5)*100,1),new_transmute,4,FALSE),
VLOOKUP(Midterm!AM55,new_transmute,4,FALSE)
),
""
)
)
)
)
)
)
)
)
))</f>
        <v/>
      </c>
      <c r="AN55" s="14" t="str">
        <f>IF($B55="","",
IF(AN$5="","",
IF(Midterm!AN55="",0,
IF(NOT(ISNUMBER(Midterm!AN55)),"NAN",
IF(Midterm!AN55&lt;0,"NEG",
IF(Midterm!AN55&gt;AN$5,"OVER",
IF(AND(AN$5&lt;=100,Midterm!AN55&gt;100),"ERR",
IF(Info!$B$4="Non-board program",
IF(OR(AND(AN$5&gt;0,AN$5&gt;100),AND(AN$5&gt;0,AN$5&lt;100)),
VLOOKUP(FLOOR((Midterm!AN55/AN$5)*100,1),new_transmute,2,FALSE),
VLOOKUP(Midterm!AN55,new_transmute,2,FALSE)
),
IF(Info!$B$4="Board program",
IF(OR(AND(AN$5&gt;0,AN$5&gt;100),AND(AN$5&gt;0,AN$5&lt;100)),
VLOOKUP(FLOOR((Midterm!AN55/AN$5)*100,1),new_transmute,3,FALSE),
VLOOKUP(Midterm!AN55,new_transmute,3,FALSE)
),
IF(Info!$B$4="Board program (Medicine)",
IF(OR(AND(AN$5&gt;0,AN$5&gt;100),AND(AN$5&gt;0,AN$5&lt;100)),
VLOOKUP(FLOOR((Midterm!AN55/AN$5)*100,1),new_transmute,4,FALSE),
VLOOKUP(Midterm!AN55,new_transmute,4,FALSE)
),
""
)
)
)
)
)
)
)
)
))</f>
        <v/>
      </c>
      <c r="AO55" s="14" t="str">
        <f>IF($B55="","",
IF(AO$5="","",
IF(Midterm!AO55="",0,
IF(NOT(ISNUMBER(Midterm!AO55)),"NAN",
IF(Midterm!AO55&lt;0,"NEG",
IF(Midterm!AO55&gt;AO$5,"OVER",
IF(AND(AO$5&lt;=100,Midterm!AO55&gt;100),"ERR",
IF(Info!$B$4="Non-board program",
IF(OR(AND(AO$5&gt;0,AO$5&gt;100),AND(AO$5&gt;0,AO$5&lt;100)),
VLOOKUP(FLOOR((Midterm!AO55/AO$5)*100,1),new_transmute,2,FALSE),
VLOOKUP(Midterm!AO55,new_transmute,2,FALSE)
),
IF(Info!$B$4="Board program",
IF(OR(AND(AO$5&gt;0,AO$5&gt;100),AND(AO$5&gt;0,AO$5&lt;100)),
VLOOKUP(FLOOR((Midterm!AO55/AO$5)*100,1),new_transmute,3,FALSE),
VLOOKUP(Midterm!AO55,new_transmute,3,FALSE)
),
IF(Info!$B$4="Board program (Medicine)",
IF(OR(AND(AO$5&gt;0,AO$5&gt;100),AND(AO$5&gt;0,AO$5&lt;100)),
VLOOKUP(FLOOR((Midterm!AO55/AO$5)*100,1),new_transmute,4,FALSE),
VLOOKUP(Midterm!AO55,new_transmute,4,FALSE)
),
""
)
)
)
)
)
)
)
)
))</f>
        <v/>
      </c>
      <c r="AP55" s="14" t="str">
        <f>IF($B55="","",
IF(AP$5="","",
IF(Midterm!AP55="",0,
IF(NOT(ISNUMBER(Midterm!AP55)),"NAN",
IF(Midterm!AP55&lt;0,"NEG",
IF(Midterm!AP55&gt;AP$5,"OVER",
IF(AND(AP$5&lt;=100,Midterm!AP55&gt;100),"ERR",
IF(Info!$B$4="Non-board program",
IF(OR(AND(AP$5&gt;0,AP$5&gt;100),AND(AP$5&gt;0,AP$5&lt;100)),
VLOOKUP(FLOOR((Midterm!AP55/AP$5)*100,1),new_transmute,2,FALSE),
VLOOKUP(Midterm!AP55,new_transmute,2,FALSE)
),
IF(Info!$B$4="Board program",
IF(OR(AND(AP$5&gt;0,AP$5&gt;100),AND(AP$5&gt;0,AP$5&lt;100)),
VLOOKUP(FLOOR((Midterm!AP55/AP$5)*100,1),new_transmute,3,FALSE),
VLOOKUP(Midterm!AP55,new_transmute,3,FALSE)
),
IF(Info!$B$4="Board program (Medicine)",
IF(OR(AND(AP$5&gt;0,AP$5&gt;100),AND(AP$5&gt;0,AP$5&lt;100)),
VLOOKUP(FLOOR((Midterm!AP55/AP$5)*100,1),new_transmute,4,FALSE),
VLOOKUP(Midterm!AP55,new_transmute,4,FALSE)
),
""
)
)
)
)
)
)
)
)
))</f>
        <v/>
      </c>
      <c r="AQ55" s="61" t="str">
        <f t="shared" si="7"/>
        <v/>
      </c>
      <c r="AR55" s="48" t="str">
        <f>IF(Midterm!AR55="","",Midterm!AR55)</f>
        <v/>
      </c>
      <c r="AS55" s="165" t="str">
        <f t="shared" si="8"/>
        <v/>
      </c>
      <c r="AT55" s="14" t="str">
        <f t="shared" si="9"/>
        <v/>
      </c>
      <c r="AU55" s="14" t="str">
        <f>IF(B55="","",VLOOKUP(AT55,'New Grade Equivalent'!$B$3:$C$47,2,FALSE))</f>
        <v/>
      </c>
    </row>
    <row r="56" spans="1:47" x14ac:dyDescent="0.25">
      <c r="A56" s="8">
        <v>51</v>
      </c>
      <c r="B56" s="2" t="str">
        <f>IF('Student List'!C60="","",UPPER(LEFT('Student List'!C60,FIND(",",'Student List'!C60)-1)))</f>
        <v/>
      </c>
      <c r="C56" s="12" t="str">
        <f>IF('Student List'!C60="","",PROPER(MID('Student List'!C60, FIND(",", 'Student List'!C60) + 2, LEN('Student List'!C60) - FIND(",", 'Student List'!C60) - 1)))</f>
        <v/>
      </c>
      <c r="D56" s="127" t="str">
        <f>IF(B56="","",IF(Midterm!D56="", "NA", Midterm!D56))</f>
        <v/>
      </c>
      <c r="E56" s="8" t="str">
        <f>IF(B56="","",
  IF(Info!$B$5="First Year",
    IF(D56="Yes", "DRP",
      IF(D56="No", "WF", "")
    )
  )
)</f>
        <v/>
      </c>
      <c r="F56" s="14" t="str">
        <f>IF($B56="","",
IF(F$5="","",
IF(Midterm!F56="",0,
IF(NOT(ISNUMBER(Midterm!F56)),"NAN",
IF(Midterm!F56&lt;0,"NEG",
IF(Midterm!F56&gt;F$5,"OVER",
IF(AND(F$5&lt;=100,Midterm!F56&gt;100),"ERR",
IF(Info!$B$4="Non-board program",
IF(OR(AND(F$5&gt;0,F$5&gt;100),AND(F$5&gt;0,F$5&lt;100)),
VLOOKUP(FLOOR((Midterm!F56/F$5)*100,1),new_transmute,2,FALSE),
VLOOKUP(Midterm!F56,new_transmute,2,FALSE)
),
IF(Info!$B$4="Board program",
IF(OR(AND(F$5&gt;0,F$5&gt;100),AND(F$5&gt;0,F$5&lt;100)),
VLOOKUP(FLOOR((Midterm!F56/F$5)*100,1),new_transmute,3,FALSE),
VLOOKUP(Midterm!F56,new_transmute,3,FALSE)
),
IF(Info!$B$4="Board program (Medicine)",
IF(OR(AND(F$5&gt;0,F$5&gt;100),AND(F$5&gt;0,F$5&lt;100)),
VLOOKUP(FLOOR((Midterm!F56/F$5)*100,1),new_transmute,4,FALSE),
VLOOKUP(Midterm!F56,new_transmute,4,FALSE)
),
""
)
)
)
)
)
)
)
)
))</f>
        <v/>
      </c>
      <c r="G56" s="57" t="str">
        <f t="shared" si="1"/>
        <v/>
      </c>
      <c r="H56" s="14" t="str">
        <f>IF($B56="","",
IF(H$5="","",
IF(Midterm!H56="",0,
IF(NOT(ISNUMBER(Midterm!H56)),"NAN",
IF(Midterm!H56&lt;0,"NEG",
IF(Midterm!H56&gt;H$5,"OVER",
IF(AND(H$5&lt;=100,Midterm!H56&gt;100),"ERR",
IF(Info!$B$4="Non-board program",
IF(OR(AND(H$5&gt;0,H$5&gt;100),AND(H$5&gt;0,H$5&lt;100)),
VLOOKUP(FLOOR((Midterm!H56/H$5)*100,1),new_transmute,2,FALSE),
VLOOKUP(Midterm!H56,new_transmute,2,FALSE)
),
IF(Info!$B$4="Board program",
IF(OR(AND(H$5&gt;0,H$5&gt;100),AND(H$5&gt;0,H$5&lt;100)),
VLOOKUP(FLOOR((Midterm!H56/H$5)*100,1),new_transmute,3,FALSE),
VLOOKUP(Midterm!H56,new_transmute,3,FALSE)
),
IF(Info!$B$4="Board program (Medicine)",
IF(OR(AND(H$5&gt;0,H$5&gt;100),AND(H$5&gt;0,H$5&lt;100)),
VLOOKUP(FLOOR((Midterm!H56/H$5)*100,1),new_transmute,4,FALSE),
VLOOKUP(Midterm!H56,new_transmute,4,FALSE)
),
""
)
)
)
)
)
)
)
)
))</f>
        <v/>
      </c>
      <c r="I56" s="14" t="str">
        <f>IF($B56="","",
IF(I$5="","",
IF(Midterm!I56="",0,
IF(NOT(ISNUMBER(Midterm!I56)),"NAN",
IF(Midterm!I56&lt;0,"NEG",
IF(Midterm!I56&gt;I$5,"OVER",
IF(AND(I$5&lt;=100,Midterm!I56&gt;100),"ERR",
IF(Info!$B$4="Non-board program",
IF(OR(AND(I$5&gt;0,I$5&gt;100),AND(I$5&gt;0,I$5&lt;100)),
VLOOKUP(FLOOR((Midterm!I56/I$5)*100,1),new_transmute,2,FALSE),
VLOOKUP(Midterm!I56,new_transmute,2,FALSE)
),
IF(Info!$B$4="Board program",
IF(OR(AND(I$5&gt;0,I$5&gt;100),AND(I$5&gt;0,I$5&lt;100)),
VLOOKUP(FLOOR((Midterm!I56/I$5)*100,1),new_transmute,3,FALSE),
VLOOKUP(Midterm!I56,new_transmute,3,FALSE)
),
IF(Info!$B$4="Board program (Medicine)",
IF(OR(AND(I$5&gt;0,I$5&gt;100),AND(I$5&gt;0,I$5&lt;100)),
VLOOKUP(FLOOR((Midterm!I56/I$5)*100,1),new_transmute,4,FALSE),
VLOOKUP(Midterm!I56,new_transmute,4,FALSE)
),
""
)
)
)
)
)
)
)
)
))</f>
        <v/>
      </c>
      <c r="J56" s="14" t="str">
        <f>IF($B56="","",
IF(J$5="","",
IF(Midterm!J56="",0,
IF(NOT(ISNUMBER(Midterm!J56)),"NAN",
IF(Midterm!J56&lt;0,"NEG",
IF(Midterm!J56&gt;J$5,"OVER",
IF(AND(J$5&lt;=100,Midterm!J56&gt;100),"ERR",
IF(Info!$B$4="Non-board program",
IF(OR(AND(J$5&gt;0,J$5&gt;100),AND(J$5&gt;0,J$5&lt;100)),
VLOOKUP(FLOOR((Midterm!J56/J$5)*100,1),new_transmute,2,FALSE),
VLOOKUP(Midterm!J56,new_transmute,2,FALSE)
),
IF(Info!$B$4="Board program",
IF(OR(AND(J$5&gt;0,J$5&gt;100),AND(J$5&gt;0,J$5&lt;100)),
VLOOKUP(FLOOR((Midterm!J56/J$5)*100,1),new_transmute,3,FALSE),
VLOOKUP(Midterm!J56,new_transmute,3,FALSE)
),
IF(Info!$B$4="Board program (Medicine)",
IF(OR(AND(J$5&gt;0,J$5&gt;100),AND(J$5&gt;0,J$5&lt;100)),
VLOOKUP(FLOOR((Midterm!J56/J$5)*100,1),new_transmute,4,FALSE),
VLOOKUP(Midterm!J56,new_transmute,4,FALSE)
),
""
)
)
)
)
)
)
)
)
))</f>
        <v/>
      </c>
      <c r="K56" s="14" t="str">
        <f>IF($B56="","",
IF(K$5="","",
IF(Midterm!K56="",0,
IF(NOT(ISNUMBER(Midterm!K56)),"NAN",
IF(Midterm!K56&lt;0,"NEG",
IF(Midterm!K56&gt;K$5,"OVER",
IF(AND(K$5&lt;=100,Midterm!K56&gt;100),"ERR",
IF(Info!$B$4="Non-board program",
IF(OR(AND(K$5&gt;0,K$5&gt;100),AND(K$5&gt;0,K$5&lt;100)),
VLOOKUP(FLOOR((Midterm!K56/K$5)*100,1),new_transmute,2,FALSE),
VLOOKUP(Midterm!K56,new_transmute,2,FALSE)
),
IF(Info!$B$4="Board program",
IF(OR(AND(K$5&gt;0,K$5&gt;100),AND(K$5&gt;0,K$5&lt;100)),
VLOOKUP(FLOOR((Midterm!K56/K$5)*100,1),new_transmute,3,FALSE),
VLOOKUP(Midterm!K56,new_transmute,3,FALSE)
),
IF(Info!$B$4="Board program (Medicine)",
IF(OR(AND(K$5&gt;0,K$5&gt;100),AND(K$5&gt;0,K$5&lt;100)),
VLOOKUP(FLOOR((Midterm!K56/K$5)*100,1),new_transmute,4,FALSE),
VLOOKUP(Midterm!K56,new_transmute,4,FALSE)
),
""
)
)
)
)
)
)
)
)
))</f>
        <v/>
      </c>
      <c r="L56" s="14" t="str">
        <f>IF($B56="","",
IF(L$5="","",
IF(Midterm!L56="",0,
IF(NOT(ISNUMBER(Midterm!L56)),"NAN",
IF(Midterm!L56&lt;0,"NEG",
IF(Midterm!L56&gt;L$5,"OVER",
IF(AND(L$5&lt;=100,Midterm!L56&gt;100),"ERR",
IF(Info!$B$4="Non-board program",
IF(OR(AND(L$5&gt;0,L$5&gt;100),AND(L$5&gt;0,L$5&lt;100)),
VLOOKUP(FLOOR((Midterm!L56/L$5)*100,1),new_transmute,2,FALSE),
VLOOKUP(Midterm!L56,new_transmute,2,FALSE)
),
IF(Info!$B$4="Board program",
IF(OR(AND(L$5&gt;0,L$5&gt;100),AND(L$5&gt;0,L$5&lt;100)),
VLOOKUP(FLOOR((Midterm!L56/L$5)*100,1),new_transmute,3,FALSE),
VLOOKUP(Midterm!L56,new_transmute,3,FALSE)
),
IF(Info!$B$4="Board program (Medicine)",
IF(OR(AND(L$5&gt;0,L$5&gt;100),AND(L$5&gt;0,L$5&lt;100)),
VLOOKUP(FLOOR((Midterm!L56/L$5)*100,1),new_transmute,4,FALSE),
VLOOKUP(Midterm!L56,new_transmute,4,FALSE)
),
""
)
)
)
)
)
)
)
)
))</f>
        <v/>
      </c>
      <c r="M56" s="111" t="str">
        <f t="shared" si="2"/>
        <v/>
      </c>
      <c r="N56" s="14" t="str">
        <f>IF($B56="","",
IF(N$5="","",
IF(Midterm!N56="",0,
IF(NOT(ISNUMBER(Midterm!N56)),"NAN",
IF(Midterm!N56&lt;0,"NEG",
IF(Midterm!N56&gt;N$5,"OVER",
IF(AND(N$5&lt;=100,Midterm!N56&gt;100),"ERR",
IF(Info!$B$4="Non-board program",
IF(OR(AND(N$5&gt;0,N$5&gt;100),AND(N$5&gt;0,N$5&lt;100)),
VLOOKUP(FLOOR((Midterm!N56/N$5)*100,1),new_transmute,2,FALSE),
VLOOKUP(Midterm!N56,new_transmute,2,FALSE)
),
IF(Info!$B$4="Board program",
IF(OR(AND(N$5&gt;0,N$5&gt;100),AND(N$5&gt;0,N$5&lt;100)),
VLOOKUP(FLOOR((Midterm!N56/N$5)*100,1),new_transmute,3,FALSE),
VLOOKUP(Midterm!N56,new_transmute,3,FALSE)
),
IF(Info!$B$4="Board program (Medicine)",
IF(OR(AND(N$5&gt;0,N$5&gt;100),AND(N$5&gt;0,N$5&lt;100)),
VLOOKUP(FLOOR((Midterm!N56/N$5)*100,1),new_transmute,4,FALSE),
VLOOKUP(Midterm!N56,new_transmute,4,FALSE)
),
""
)
)
)
)
)
)
)
)
))</f>
        <v/>
      </c>
      <c r="O56" s="14" t="str">
        <f>IF($B56="","",
IF(O$5="","",
IF(Midterm!O56="",0,
IF(NOT(ISNUMBER(Midterm!O56)),"NAN",
IF(Midterm!O56&lt;0,"NEG",
IF(Midterm!O56&gt;O$5,"OVER",
IF(AND(O$5&lt;=100,Midterm!O56&gt;100),"ERR",
IF(Info!$B$4="Non-board program",
IF(OR(AND(O$5&gt;0,O$5&gt;100),AND(O$5&gt;0,O$5&lt;100)),
VLOOKUP(FLOOR((Midterm!O56/O$5)*100,1),new_transmute,2,FALSE),
VLOOKUP(Midterm!O56,new_transmute,2,FALSE)
),
IF(Info!$B$4="Board program",
IF(OR(AND(O$5&gt;0,O$5&gt;100),AND(O$5&gt;0,O$5&lt;100)),
VLOOKUP(FLOOR((Midterm!O56/O$5)*100,1),new_transmute,3,FALSE),
VLOOKUP(Midterm!O56,new_transmute,3,FALSE)
),
IF(Info!$B$4="Board program (Medicine)",
IF(OR(AND(O$5&gt;0,O$5&gt;100),AND(O$5&gt;0,O$5&lt;100)),
VLOOKUP(FLOOR((Midterm!O56/O$5)*100,1),new_transmute,4,FALSE),
VLOOKUP(Midterm!O56,new_transmute,4,FALSE)
),
""
)
)
)
)
)
)
)
)
))</f>
        <v/>
      </c>
      <c r="P56" s="14" t="str">
        <f>IF($B56="","",
IF(P$5="","",
IF(Midterm!P56="",0,
IF(NOT(ISNUMBER(Midterm!P56)),"NAN",
IF(Midterm!P56&lt;0,"NEG",
IF(Midterm!P56&gt;P$5,"OVER",
IF(AND(P$5&lt;=100,Midterm!P56&gt;100),"ERR",
IF(Info!$B$4="Non-board program",
IF(OR(AND(P$5&gt;0,P$5&gt;100),AND(P$5&gt;0,P$5&lt;100)),
VLOOKUP(FLOOR((Midterm!P56/P$5)*100,1),new_transmute,2,FALSE),
VLOOKUP(Midterm!P56,new_transmute,2,FALSE)
),
IF(Info!$B$4="Board program",
IF(OR(AND(P$5&gt;0,P$5&gt;100),AND(P$5&gt;0,P$5&lt;100)),
VLOOKUP(FLOOR((Midterm!P56/P$5)*100,1),new_transmute,3,FALSE),
VLOOKUP(Midterm!P56,new_transmute,3,FALSE)
),
IF(Info!$B$4="Board program (Medicine)",
IF(OR(AND(P$5&gt;0,P$5&gt;100),AND(P$5&gt;0,P$5&lt;100)),
VLOOKUP(FLOOR((Midterm!P56/P$5)*100,1),new_transmute,4,FALSE),
VLOOKUP(Midterm!P56,new_transmute,4,FALSE)
),
""
)
)
)
)
)
)
)
)
))</f>
        <v/>
      </c>
      <c r="Q56" s="14" t="str">
        <f>IF($B56="","",
IF(Q$5="","",
IF(Midterm!Q56="",0,
IF(NOT(ISNUMBER(Midterm!Q56)),"NAN",
IF(Midterm!Q56&lt;0,"NEG",
IF(Midterm!Q56&gt;Q$5,"OVER",
IF(AND(Q$5&lt;=100,Midterm!Q56&gt;100),"ERR",
IF(Info!$B$4="Non-board program",
IF(OR(AND(Q$5&gt;0,Q$5&gt;100),AND(Q$5&gt;0,Q$5&lt;100)),
VLOOKUP(FLOOR((Midterm!Q56/Q$5)*100,1),new_transmute,2,FALSE),
VLOOKUP(Midterm!Q56,new_transmute,2,FALSE)
),
IF(Info!$B$4="Board program",
IF(OR(AND(Q$5&gt;0,Q$5&gt;100),AND(Q$5&gt;0,Q$5&lt;100)),
VLOOKUP(FLOOR((Midterm!Q56/Q$5)*100,1),new_transmute,3,FALSE),
VLOOKUP(Midterm!Q56,new_transmute,3,FALSE)
),
IF(Info!$B$4="Board program (Medicine)",
IF(OR(AND(Q$5&gt;0,Q$5&gt;100),AND(Q$5&gt;0,Q$5&lt;100)),
VLOOKUP(FLOOR((Midterm!Q56/Q$5)*100,1),new_transmute,4,FALSE),
VLOOKUP(Midterm!Q56,new_transmute,4,FALSE)
),
""
)
)
)
)
)
)
)
)
))</f>
        <v/>
      </c>
      <c r="R56" s="14" t="str">
        <f>IF($B56="","",
IF(R$5="","",
IF(Midterm!R56="",0,
IF(NOT(ISNUMBER(Midterm!R56)),"NAN",
IF(Midterm!R56&lt;0,"NEG",
IF(Midterm!R56&gt;R$5,"OVER",
IF(AND(R$5&lt;=100,Midterm!R56&gt;100),"ERR",
IF(Info!$B$4="Non-board program",
IF(OR(AND(R$5&gt;0,R$5&gt;100),AND(R$5&gt;0,R$5&lt;100)),
VLOOKUP(FLOOR((Midterm!R56/R$5)*100,1),new_transmute,2,FALSE),
VLOOKUP(Midterm!R56,new_transmute,2,FALSE)
),
IF(Info!$B$4="Board program",
IF(OR(AND(R$5&gt;0,R$5&gt;100),AND(R$5&gt;0,R$5&lt;100)),
VLOOKUP(FLOOR((Midterm!R56/R$5)*100,1),new_transmute,3,FALSE),
VLOOKUP(Midterm!R56,new_transmute,3,FALSE)
),
IF(Info!$B$4="Board program (Medicine)",
IF(OR(AND(R$5&gt;0,R$5&gt;100),AND(R$5&gt;0,R$5&lt;100)),
VLOOKUP(FLOOR((Midterm!R56/R$5)*100,1),new_transmute,4,FALSE),
VLOOKUP(Midterm!R56,new_transmute,4,FALSE)
),
""
)
)
)
)
)
)
)
)
))</f>
        <v/>
      </c>
      <c r="S56" s="115" t="str">
        <f t="shared" si="3"/>
        <v/>
      </c>
      <c r="T56" s="14" t="str">
        <f>IF($B56="","",
IF(T$5="","",
IF(Midterm!T56="",0,
IF(NOT(ISNUMBER(Midterm!T56)),"NAN",
IF(Midterm!T56&lt;0,"NEG",
IF(Midterm!T56&gt;T$5,"OVER",
IF(AND(T$5&lt;=100,Midterm!T56&gt;100),"ERR",
IF(Info!$B$4="Non-board program",
IF(OR(AND(T$5&gt;0,T$5&gt;100),AND(T$5&gt;0,T$5&lt;100)),
VLOOKUP(FLOOR((Midterm!T56/T$5)*100,1),new_transmute,2,FALSE),
VLOOKUP(Midterm!T56,new_transmute,2,FALSE)
),
IF(Info!$B$4="Board program",
IF(OR(AND(T$5&gt;0,T$5&gt;100),AND(T$5&gt;0,T$5&lt;100)),
VLOOKUP(FLOOR((Midterm!T56/T$5)*100,1),new_transmute,3,FALSE),
VLOOKUP(Midterm!T56,new_transmute,3,FALSE)
),
IF(Info!$B$4="Board program (Medicine)",
IF(OR(AND(T$5&gt;0,T$5&gt;100),AND(T$5&gt;0,T$5&lt;100)),
VLOOKUP(FLOOR((Midterm!T56/T$5)*100,1),new_transmute,4,FALSE),
VLOOKUP(Midterm!T56,new_transmute,4,FALSE)
),
""
)
)
)
)
)
)
)
)
))</f>
        <v/>
      </c>
      <c r="U56" s="14" t="str">
        <f>IF($B56="","",
IF(U$5="","",
IF(Midterm!U56="",0,
IF(NOT(ISNUMBER(Midterm!U56)),"NAN",
IF(Midterm!U56&lt;0,"NEG",
IF(Midterm!U56&gt;U$5,"OVER",
IF(AND(U$5&lt;=100,Midterm!U56&gt;100),"ERR",
IF(Info!$B$4="Non-board program",
IF(OR(AND(U$5&gt;0,U$5&gt;100),AND(U$5&gt;0,U$5&lt;100)),
VLOOKUP(FLOOR((Midterm!U56/U$5)*100,1),new_transmute,2,FALSE),
VLOOKUP(Midterm!U56,new_transmute,2,FALSE)
),
IF(Info!$B$4="Board program",
IF(OR(AND(U$5&gt;0,U$5&gt;100),AND(U$5&gt;0,U$5&lt;100)),
VLOOKUP(FLOOR((Midterm!U56/U$5)*100,1),new_transmute,3,FALSE),
VLOOKUP(Midterm!U56,new_transmute,3,FALSE)
),
IF(Info!$B$4="Board program (Medicine)",
IF(OR(AND(U$5&gt;0,U$5&gt;100),AND(U$5&gt;0,U$5&lt;100)),
VLOOKUP(FLOOR((Midterm!U56/U$5)*100,1),new_transmute,4,FALSE),
VLOOKUP(Midterm!U56,new_transmute,4,FALSE)
),
""
)
)
)
)
)
)
)
)
))</f>
        <v/>
      </c>
      <c r="V56" s="14" t="str">
        <f>IF($B56="","",
IF(V$5="","",
IF(Midterm!V56="",0,
IF(NOT(ISNUMBER(Midterm!V56)),"NAN",
IF(Midterm!V56&lt;0,"NEG",
IF(Midterm!V56&gt;V$5,"OVER",
IF(AND(V$5&lt;=100,Midterm!V56&gt;100),"ERR",
IF(Info!$B$4="Non-board program",
IF(OR(AND(V$5&gt;0,V$5&gt;100),AND(V$5&gt;0,V$5&lt;100)),
VLOOKUP(FLOOR((Midterm!V56/V$5)*100,1),new_transmute,2,FALSE),
VLOOKUP(Midterm!V56,new_transmute,2,FALSE)
),
IF(Info!$B$4="Board program",
IF(OR(AND(V$5&gt;0,V$5&gt;100),AND(V$5&gt;0,V$5&lt;100)),
VLOOKUP(FLOOR((Midterm!V56/V$5)*100,1),new_transmute,3,FALSE),
VLOOKUP(Midterm!V56,new_transmute,3,FALSE)
),
IF(Info!$B$4="Board program (Medicine)",
IF(OR(AND(V$5&gt;0,V$5&gt;100),AND(V$5&gt;0,V$5&lt;100)),
VLOOKUP(FLOOR((Midterm!V56/V$5)*100,1),new_transmute,4,FALSE),
VLOOKUP(Midterm!V56,new_transmute,4,FALSE)
),
""
)
)
)
)
)
)
)
)
))</f>
        <v/>
      </c>
      <c r="W56" s="14" t="str">
        <f>IF($B56="","",
IF(W$5="","",
IF(Midterm!W56="",0,
IF(NOT(ISNUMBER(Midterm!W56)),"NAN",
IF(Midterm!W56&lt;0,"NEG",
IF(Midterm!W56&gt;W$5,"OVER",
IF(AND(W$5&lt;=100,Midterm!W56&gt;100),"ERR",
IF(Info!$B$4="Non-board program",
IF(OR(AND(W$5&gt;0,W$5&gt;100),AND(W$5&gt;0,W$5&lt;100)),
VLOOKUP(FLOOR((Midterm!W56/W$5)*100,1),new_transmute,2,FALSE),
VLOOKUP(Midterm!W56,new_transmute,2,FALSE)
),
IF(Info!$B$4="Board program",
IF(OR(AND(W$5&gt;0,W$5&gt;100),AND(W$5&gt;0,W$5&lt;100)),
VLOOKUP(FLOOR((Midterm!W56/W$5)*100,1),new_transmute,3,FALSE),
VLOOKUP(Midterm!W56,new_transmute,3,FALSE)
),
IF(Info!$B$4="Board program (Medicine)",
IF(OR(AND(W$5&gt;0,W$5&gt;100),AND(W$5&gt;0,W$5&lt;100)),
VLOOKUP(FLOOR((Midterm!W56/W$5)*100,1),new_transmute,4,FALSE),
VLOOKUP(Midterm!W56,new_transmute,4,FALSE)
),
""
)
)
)
)
)
)
)
)
))</f>
        <v/>
      </c>
      <c r="X56" s="14" t="str">
        <f>IF($B56="","",
IF(X$5="","",
IF(Midterm!X56="",0,
IF(NOT(ISNUMBER(Midterm!X56)),"NAN",
IF(Midterm!X56&lt;0,"NEG",
IF(Midterm!X56&gt;X$5,"OVER",
IF(AND(X$5&lt;=100,Midterm!X56&gt;100),"ERR",
IF(Info!$B$4="Non-board program",
IF(OR(AND(X$5&gt;0,X$5&gt;100),AND(X$5&gt;0,X$5&lt;100)),
VLOOKUP(FLOOR((Midterm!X56/X$5)*100,1),new_transmute,2,FALSE),
VLOOKUP(Midterm!X56,new_transmute,2,FALSE)
),
IF(Info!$B$4="Board program",
IF(OR(AND(X$5&gt;0,X$5&gt;100),AND(X$5&gt;0,X$5&lt;100)),
VLOOKUP(FLOOR((Midterm!X56/X$5)*100,1),new_transmute,3,FALSE),
VLOOKUP(Midterm!X56,new_transmute,3,FALSE)
),
IF(Info!$B$4="Board program (Medicine)",
IF(OR(AND(X$5&gt;0,X$5&gt;100),AND(X$5&gt;0,X$5&lt;100)),
VLOOKUP(FLOOR((Midterm!X56/X$5)*100,1),new_transmute,4,FALSE),
VLOOKUP(Midterm!X56,new_transmute,4,FALSE)
),
""
)
)
)
)
)
)
)
)
))</f>
        <v/>
      </c>
      <c r="Y56" s="112" t="str">
        <f t="shared" si="4"/>
        <v/>
      </c>
      <c r="Z56" s="14" t="str">
        <f>IF($B56="","",
IF(Z$5="","",
IF(Midterm!Z56="",0,
IF(NOT(ISNUMBER(Midterm!Z56)),"NAN",
IF(Midterm!Z56&lt;0,"NEG",
IF(Midterm!Z56&gt;Z$5,"OVER",
IF(AND(Z$5&lt;=100,Midterm!Z56&gt;100),"ERR",
IF(Info!$B$4="Non-board program",
IF(OR(AND(Z$5&gt;0,Z$5&gt;100),AND(Z$5&gt;0,Z$5&lt;100)),
VLOOKUP(FLOOR((Midterm!Z56/Z$5)*100,1),new_transmute,2,FALSE),
VLOOKUP(Midterm!Z56,new_transmute,2,FALSE)
),
IF(Info!$B$4="Board program",
IF(OR(AND(Z$5&gt;0,Z$5&gt;100),AND(Z$5&gt;0,Z$5&lt;100)),
VLOOKUP(FLOOR((Midterm!Z56/Z$5)*100,1),new_transmute,3,FALSE),
VLOOKUP(Midterm!Z56,new_transmute,3,FALSE)
),
IF(Info!$B$4="Board program (Medicine)",
IF(OR(AND(Z$5&gt;0,Z$5&gt;100),AND(Z$5&gt;0,Z$5&lt;100)),
VLOOKUP(FLOOR((Midterm!Z56/Z$5)*100,1),new_transmute,4,FALSE),
VLOOKUP(Midterm!Z56,new_transmute,4,FALSE)
),
""
)
)
)
)
)
)
)
)
))</f>
        <v/>
      </c>
      <c r="AA56" s="14" t="str">
        <f>IF($B56="","",
IF(AA$5="","",
IF(Midterm!AA56="",0,
IF(NOT(ISNUMBER(Midterm!AA56)),"NAN",
IF(Midterm!AA56&lt;0,"NEG",
IF(Midterm!AA56&gt;AA$5,"OVER",
IF(AND(AA$5&lt;=100,Midterm!AA56&gt;100),"ERR",
IF(Info!$B$4="Non-board program",
IF(OR(AND(AA$5&gt;0,AA$5&gt;100),AND(AA$5&gt;0,AA$5&lt;100)),
VLOOKUP(FLOOR((Midterm!AA56/AA$5)*100,1),new_transmute,2,FALSE),
VLOOKUP(Midterm!AA56,new_transmute,2,FALSE)
),
IF(Info!$B$4="Board program",
IF(OR(AND(AA$5&gt;0,AA$5&gt;100),AND(AA$5&gt;0,AA$5&lt;100)),
VLOOKUP(FLOOR((Midterm!AA56/AA$5)*100,1),new_transmute,3,FALSE),
VLOOKUP(Midterm!AA56,new_transmute,3,FALSE)
),
IF(Info!$B$4="Board program (Medicine)",
IF(OR(AND(AA$5&gt;0,AA$5&gt;100),AND(AA$5&gt;0,AA$5&lt;100)),
VLOOKUP(FLOOR((Midterm!AA56/AA$5)*100,1),new_transmute,4,FALSE),
VLOOKUP(Midterm!AA56,new_transmute,4,FALSE)
),
""
)
)
)
)
)
)
)
)
))</f>
        <v/>
      </c>
      <c r="AB56" s="14" t="str">
        <f>IF($B56="","",
IF(AB$5="","",
IF(Midterm!AB56="",0,
IF(NOT(ISNUMBER(Midterm!AB56)),"NAN",
IF(Midterm!AB56&lt;0,"NEG",
IF(Midterm!AB56&gt;AB$5,"OVER",
IF(AND(AB$5&lt;=100,Midterm!AB56&gt;100),"ERR",
IF(Info!$B$4="Non-board program",
IF(OR(AND(AB$5&gt;0,AB$5&gt;100),AND(AB$5&gt;0,AB$5&lt;100)),
VLOOKUP(FLOOR((Midterm!AB56/AB$5)*100,1),new_transmute,2,FALSE),
VLOOKUP(Midterm!AB56,new_transmute,2,FALSE)
),
IF(Info!$B$4="Board program",
IF(OR(AND(AB$5&gt;0,AB$5&gt;100),AND(AB$5&gt;0,AB$5&lt;100)),
VLOOKUP(FLOOR((Midterm!AB56/AB$5)*100,1),new_transmute,3,FALSE),
VLOOKUP(Midterm!AB56,new_transmute,3,FALSE)
),
IF(Info!$B$4="Board program (Medicine)",
IF(OR(AND(AB$5&gt;0,AB$5&gt;100),AND(AB$5&gt;0,AB$5&lt;100)),
VLOOKUP(FLOOR((Midterm!AB56/AB$5)*100,1),new_transmute,4,FALSE),
VLOOKUP(Midterm!AB56,new_transmute,4,FALSE)
),
""
)
)
)
)
)
)
)
)
))</f>
        <v/>
      </c>
      <c r="AC56" s="14" t="str">
        <f>IF($B56="","",
IF(AC$5="","",
IF(Midterm!AC56="",0,
IF(NOT(ISNUMBER(Midterm!AC56)),"NAN",
IF(Midterm!AC56&lt;0,"NEG",
IF(Midterm!AC56&gt;AC$5,"OVER",
IF(AND(AC$5&lt;=100,Midterm!AC56&gt;100),"ERR",
IF(Info!$B$4="Non-board program",
IF(OR(AND(AC$5&gt;0,AC$5&gt;100),AND(AC$5&gt;0,AC$5&lt;100)),
VLOOKUP(FLOOR((Midterm!AC56/AC$5)*100,1),new_transmute,2,FALSE),
VLOOKUP(Midterm!AC56,new_transmute,2,FALSE)
),
IF(Info!$B$4="Board program",
IF(OR(AND(AC$5&gt;0,AC$5&gt;100),AND(AC$5&gt;0,AC$5&lt;100)),
VLOOKUP(FLOOR((Midterm!AC56/AC$5)*100,1),new_transmute,3,FALSE),
VLOOKUP(Midterm!AC56,new_transmute,3,FALSE)
),
IF(Info!$B$4="Board program (Medicine)",
IF(OR(AND(AC$5&gt;0,AC$5&gt;100),AND(AC$5&gt;0,AC$5&lt;100)),
VLOOKUP(FLOOR((Midterm!AC56/AC$5)*100,1),new_transmute,4,FALSE),
VLOOKUP(Midterm!AC56,new_transmute,4,FALSE)
),
""
)
)
)
)
)
)
)
)
))</f>
        <v/>
      </c>
      <c r="AD56" s="14" t="str">
        <f>IF($B56="","",
IF(AD$5="","",
IF(Midterm!AD56="",0,
IF(NOT(ISNUMBER(Midterm!AD56)),"NAN",
IF(Midterm!AD56&lt;0,"NEG",
IF(Midterm!AD56&gt;AD$5,"OVER",
IF(AND(AD$5&lt;=100,Midterm!AD56&gt;100),"ERR",
IF(Info!$B$4="Non-board program",
IF(OR(AND(AD$5&gt;0,AD$5&gt;100),AND(AD$5&gt;0,AD$5&lt;100)),
VLOOKUP(FLOOR((Midterm!AD56/AD$5)*100,1),new_transmute,2,FALSE),
VLOOKUP(Midterm!AD56,new_transmute,2,FALSE)
),
IF(Info!$B$4="Board program",
IF(OR(AND(AD$5&gt;0,AD$5&gt;100),AND(AD$5&gt;0,AD$5&lt;100)),
VLOOKUP(FLOOR((Midterm!AD56/AD$5)*100,1),new_transmute,3,FALSE),
VLOOKUP(Midterm!AD56,new_transmute,3,FALSE)
),
IF(Info!$B$4="Board program (Medicine)",
IF(OR(AND(AD$5&gt;0,AD$5&gt;100),AND(AD$5&gt;0,AD$5&lt;100)),
VLOOKUP(FLOOR((Midterm!AD56/AD$5)*100,1),new_transmute,4,FALSE),
VLOOKUP(Midterm!AD56,new_transmute,4,FALSE)
),
""
)
)
)
)
)
)
)
)
))</f>
        <v/>
      </c>
      <c r="AE56" s="58" t="str">
        <f t="shared" si="5"/>
        <v/>
      </c>
      <c r="AF56" s="14" t="str">
        <f>IF($B56="","",
IF(AF$5="","",
IF(Midterm!AF56="",0,
IF(NOT(ISNUMBER(Midterm!AF56)),"NAN",
IF(Midterm!AF56&lt;0,"NEG",
IF(Midterm!AF56&gt;AF$5,"OVER",
IF(AND(AF$5&lt;=100,Midterm!AF56&gt;100),"ERR",
IF(Info!$B$4="Non-board program",
IF(OR(AND(AF$5&gt;0,AF$5&gt;100),AND(AF$5&gt;0,AF$5&lt;100)),
VLOOKUP(FLOOR((Midterm!AF56/AF$5)*100,1),new_transmute,2,FALSE),
VLOOKUP(Midterm!AF56,new_transmute,2,FALSE)
),
IF(Info!$B$4="Board program",
IF(OR(AND(AF$5&gt;0,AF$5&gt;100),AND(AF$5&gt;0,AF$5&lt;100)),
VLOOKUP(FLOOR((Midterm!AF56/AF$5)*100,1),new_transmute,3,FALSE),
VLOOKUP(Midterm!AF56,new_transmute,3,FALSE)
),
IF(Info!$B$4="Board program (Medicine)",
IF(OR(AND(AF$5&gt;0,AF$5&gt;100),AND(AF$5&gt;0,AF$5&lt;100)),
VLOOKUP(FLOOR((Midterm!AF56/AF$5)*100,1),new_transmute,4,FALSE),
VLOOKUP(Midterm!AF56,new_transmute,4,FALSE)
),
""
)
)
)
)
)
)
)
)
))</f>
        <v/>
      </c>
      <c r="AG56" s="14" t="str">
        <f>IF($B56="","",
IF(AG$5="","",
IF(Midterm!AG56="",0,
IF(NOT(ISNUMBER(Midterm!AG56)),"NAN",
IF(Midterm!AG56&lt;0,"NEG",
IF(Midterm!AG56&gt;AG$5,"OVER",
IF(AND(AG$5&lt;=100,Midterm!AG56&gt;100),"ERR",
IF(Info!$B$4="Non-board program",
IF(OR(AND(AG$5&gt;0,AG$5&gt;100),AND(AG$5&gt;0,AG$5&lt;100)),
VLOOKUP(FLOOR((Midterm!AG56/AG$5)*100,1),new_transmute,2,FALSE),
VLOOKUP(Midterm!AG56,new_transmute,2,FALSE)
),
IF(Info!$B$4="Board program",
IF(OR(AND(AG$5&gt;0,AG$5&gt;100),AND(AG$5&gt;0,AG$5&lt;100)),
VLOOKUP(FLOOR((Midterm!AG56/AG$5)*100,1),new_transmute,3,FALSE),
VLOOKUP(Midterm!AG56,new_transmute,3,FALSE)
),
IF(Info!$B$4="Board program (Medicine)",
IF(OR(AND(AG$5&gt;0,AG$5&gt;100),AND(AG$5&gt;0,AG$5&lt;100)),
VLOOKUP(FLOOR((Midterm!AG56/AG$5)*100,1),new_transmute,4,FALSE),
VLOOKUP(Midterm!AG56,new_transmute,4,FALSE)
),
""
)
)
)
)
)
)
)
)
))</f>
        <v/>
      </c>
      <c r="AH56" s="14" t="str">
        <f>IF($B56="","",
IF(AH$5="","",
IF(Midterm!AH56="",0,
IF(NOT(ISNUMBER(Midterm!AH56)),"NAN",
IF(Midterm!AH56&lt;0,"NEG",
IF(Midterm!AH56&gt;AH$5,"OVER",
IF(AND(AH$5&lt;=100,Midterm!AH56&gt;100),"ERR",
IF(Info!$B$4="Non-board program",
IF(OR(AND(AH$5&gt;0,AH$5&gt;100),AND(AH$5&gt;0,AH$5&lt;100)),
VLOOKUP(FLOOR((Midterm!AH56/AH$5)*100,1),new_transmute,2,FALSE),
VLOOKUP(Midterm!AH56,new_transmute,2,FALSE)
),
IF(Info!$B$4="Board program",
IF(OR(AND(AH$5&gt;0,AH$5&gt;100),AND(AH$5&gt;0,AH$5&lt;100)),
VLOOKUP(FLOOR((Midterm!AH56/AH$5)*100,1),new_transmute,3,FALSE),
VLOOKUP(Midterm!AH56,new_transmute,3,FALSE)
),
IF(Info!$B$4="Board program (Medicine)",
IF(OR(AND(AH$5&gt;0,AH$5&gt;100),AND(AH$5&gt;0,AH$5&lt;100)),
VLOOKUP(FLOOR((Midterm!AH56/AH$5)*100,1),new_transmute,4,FALSE),
VLOOKUP(Midterm!AH56,new_transmute,4,FALSE)
),
""
)
)
)
)
)
)
)
)
))</f>
        <v/>
      </c>
      <c r="AI56" s="14" t="str">
        <f>IF($B56="","",
IF(AI$5="","",
IF(Midterm!AI56="",0,
IF(NOT(ISNUMBER(Midterm!AI56)),"NAN",
IF(Midterm!AI56&lt;0,"NEG",
IF(Midterm!AI56&gt;AI$5,"OVER",
IF(AND(AI$5&lt;=100,Midterm!AI56&gt;100),"ERR",
IF(Info!$B$4="Non-board program",
IF(OR(AND(AI$5&gt;0,AI$5&gt;100),AND(AI$5&gt;0,AI$5&lt;100)),
VLOOKUP(FLOOR((Midterm!AI56/AI$5)*100,1),new_transmute,2,FALSE),
VLOOKUP(Midterm!AI56,new_transmute,2,FALSE)
),
IF(Info!$B$4="Board program",
IF(OR(AND(AI$5&gt;0,AI$5&gt;100),AND(AI$5&gt;0,AI$5&lt;100)),
VLOOKUP(FLOOR((Midterm!AI56/AI$5)*100,1),new_transmute,3,FALSE),
VLOOKUP(Midterm!AI56,new_transmute,3,FALSE)
),
IF(Info!$B$4="Board program (Medicine)",
IF(OR(AND(AI$5&gt;0,AI$5&gt;100),AND(AI$5&gt;0,AI$5&lt;100)),
VLOOKUP(FLOOR((Midterm!AI56/AI$5)*100,1),new_transmute,4,FALSE),
VLOOKUP(Midterm!AI56,new_transmute,4,FALSE)
),
""
)
)
)
)
)
)
)
)
))</f>
        <v/>
      </c>
      <c r="AJ56" s="14" t="str">
        <f>IF($B56="","",
IF(AJ$5="","",
IF(Midterm!AJ56="",0,
IF(NOT(ISNUMBER(Midterm!AJ56)),"NAN",
IF(Midterm!AJ56&lt;0,"NEG",
IF(Midterm!AJ56&gt;AJ$5,"OVER",
IF(AND(AJ$5&lt;=100,Midterm!AJ56&gt;100),"ERR",
IF(Info!$B$4="Non-board program",
IF(OR(AND(AJ$5&gt;0,AJ$5&gt;100),AND(AJ$5&gt;0,AJ$5&lt;100)),
VLOOKUP(FLOOR((Midterm!AJ56/AJ$5)*100,1),new_transmute,2,FALSE),
VLOOKUP(Midterm!AJ56,new_transmute,2,FALSE)
),
IF(Info!$B$4="Board program",
IF(OR(AND(AJ$5&gt;0,AJ$5&gt;100),AND(AJ$5&gt;0,AJ$5&lt;100)),
VLOOKUP(FLOOR((Midterm!AJ56/AJ$5)*100,1),new_transmute,3,FALSE),
VLOOKUP(Midterm!AJ56,new_transmute,3,FALSE)
),
IF(Info!$B$4="Board program (Medicine)",
IF(OR(AND(AJ$5&gt;0,AJ$5&gt;100),AND(AJ$5&gt;0,AJ$5&lt;100)),
VLOOKUP(FLOOR((Midterm!AJ56/AJ$5)*100,1),new_transmute,4,FALSE),
VLOOKUP(Midterm!AJ56,new_transmute,4,FALSE)
),
""
)
)
)
)
)
)
)
)
))</f>
        <v/>
      </c>
      <c r="AK56" s="59" t="str">
        <f t="shared" si="6"/>
        <v/>
      </c>
      <c r="AL56" s="60" t="str">
        <f>IF(B56="", "",
    IF(OR(M56="OVER", S56="OVER", Y56="OVER", AE56="OVER", AK56="OVER"),
        "OVER",
        IF(Info!$B$4="Non-board program",
            VLOOKUP(IFERROR(FLOOR(SUM((M56*$M$4), (S56*$S$4), (Y56*$Y$4), (AE56*$AE$4), (AK56*$AK$4)) * (100 / 60), 1), 0), new_transmute, 2, FALSE),
            IF(Info!$B$4="Board program",
                VLOOKUP(IFERROR(FLOOR(SUM((M56*$M$4), (S56*$S$4), (Y56*$Y$4), (AE56*$AE$4), (AK56*$AK$4)) * (100 / 60), 1), 0), new_transmute, 3, FALSE),
                IF(Info!$B$4="Board program (Medicine)",
                    VLOOKUP(IFERROR(FLOOR(SUM((M56*$M$4), (S56*$S$4), (Y56*$Y$4), (AE56*$AE$4), (AK56*$AK$4)) * (100 / 60), 1), 0), new_transmute, 4, FALSE),
                    ""
                )
            )
        )
    )
)</f>
        <v/>
      </c>
      <c r="AM56" s="14" t="str">
        <f>IF($B56="","",
IF(AM$5="","",
IF(Midterm!AM56="",0,
IF(NOT(ISNUMBER(Midterm!AM56)),"NAN",
IF(Midterm!AM56&lt;0,"NEG",
IF(Midterm!AM56&gt;AM$5,"OVER",
IF(AND(AM$5&lt;=100,Midterm!AM56&gt;100),"ERR",
IF(Info!$B$4="Non-board program",
IF(OR(AND(AM$5&gt;0,AM$5&gt;100),AND(AM$5&gt;0,AM$5&lt;100)),
VLOOKUP(FLOOR((Midterm!AM56/AM$5)*100,1),new_transmute,2,FALSE),
VLOOKUP(Midterm!AM56,new_transmute,2,FALSE)
),
IF(Info!$B$4="Board program",
IF(OR(AND(AM$5&gt;0,AM$5&gt;100),AND(AM$5&gt;0,AM$5&lt;100)),
VLOOKUP(FLOOR((Midterm!AM56/AM$5)*100,1),new_transmute,3,FALSE),
VLOOKUP(Midterm!AM56,new_transmute,3,FALSE)
),
IF(Info!$B$4="Board program (Medicine)",
IF(OR(AND(AM$5&gt;0,AM$5&gt;100),AND(AM$5&gt;0,AM$5&lt;100)),
VLOOKUP(FLOOR((Midterm!AM56/AM$5)*100,1),new_transmute,4,FALSE),
VLOOKUP(Midterm!AM56,new_transmute,4,FALSE)
),
""
)
)
)
)
)
)
)
)
))</f>
        <v/>
      </c>
      <c r="AN56" s="14" t="str">
        <f>IF($B56="","",
IF(AN$5="","",
IF(Midterm!AN56="",0,
IF(NOT(ISNUMBER(Midterm!AN56)),"NAN",
IF(Midterm!AN56&lt;0,"NEG",
IF(Midterm!AN56&gt;AN$5,"OVER",
IF(AND(AN$5&lt;=100,Midterm!AN56&gt;100),"ERR",
IF(Info!$B$4="Non-board program",
IF(OR(AND(AN$5&gt;0,AN$5&gt;100),AND(AN$5&gt;0,AN$5&lt;100)),
VLOOKUP(FLOOR((Midterm!AN56/AN$5)*100,1),new_transmute,2,FALSE),
VLOOKUP(Midterm!AN56,new_transmute,2,FALSE)
),
IF(Info!$B$4="Board program",
IF(OR(AND(AN$5&gt;0,AN$5&gt;100),AND(AN$5&gt;0,AN$5&lt;100)),
VLOOKUP(FLOOR((Midterm!AN56/AN$5)*100,1),new_transmute,3,FALSE),
VLOOKUP(Midterm!AN56,new_transmute,3,FALSE)
),
IF(Info!$B$4="Board program (Medicine)",
IF(OR(AND(AN$5&gt;0,AN$5&gt;100),AND(AN$5&gt;0,AN$5&lt;100)),
VLOOKUP(FLOOR((Midterm!AN56/AN$5)*100,1),new_transmute,4,FALSE),
VLOOKUP(Midterm!AN56,new_transmute,4,FALSE)
),
""
)
)
)
)
)
)
)
)
))</f>
        <v/>
      </c>
      <c r="AO56" s="14" t="str">
        <f>IF($B56="","",
IF(AO$5="","",
IF(Midterm!AO56="",0,
IF(NOT(ISNUMBER(Midterm!AO56)),"NAN",
IF(Midterm!AO56&lt;0,"NEG",
IF(Midterm!AO56&gt;AO$5,"OVER",
IF(AND(AO$5&lt;=100,Midterm!AO56&gt;100),"ERR",
IF(Info!$B$4="Non-board program",
IF(OR(AND(AO$5&gt;0,AO$5&gt;100),AND(AO$5&gt;0,AO$5&lt;100)),
VLOOKUP(FLOOR((Midterm!AO56/AO$5)*100,1),new_transmute,2,FALSE),
VLOOKUP(Midterm!AO56,new_transmute,2,FALSE)
),
IF(Info!$B$4="Board program",
IF(OR(AND(AO$5&gt;0,AO$5&gt;100),AND(AO$5&gt;0,AO$5&lt;100)),
VLOOKUP(FLOOR((Midterm!AO56/AO$5)*100,1),new_transmute,3,FALSE),
VLOOKUP(Midterm!AO56,new_transmute,3,FALSE)
),
IF(Info!$B$4="Board program (Medicine)",
IF(OR(AND(AO$5&gt;0,AO$5&gt;100),AND(AO$5&gt;0,AO$5&lt;100)),
VLOOKUP(FLOOR((Midterm!AO56/AO$5)*100,1),new_transmute,4,FALSE),
VLOOKUP(Midterm!AO56,new_transmute,4,FALSE)
),
""
)
)
)
)
)
)
)
)
))</f>
        <v/>
      </c>
      <c r="AP56" s="14" t="str">
        <f>IF($B56="","",
IF(AP$5="","",
IF(Midterm!AP56="",0,
IF(NOT(ISNUMBER(Midterm!AP56)),"NAN",
IF(Midterm!AP56&lt;0,"NEG",
IF(Midterm!AP56&gt;AP$5,"OVER",
IF(AND(AP$5&lt;=100,Midterm!AP56&gt;100),"ERR",
IF(Info!$B$4="Non-board program",
IF(OR(AND(AP$5&gt;0,AP$5&gt;100),AND(AP$5&gt;0,AP$5&lt;100)),
VLOOKUP(FLOOR((Midterm!AP56/AP$5)*100,1),new_transmute,2,FALSE),
VLOOKUP(Midterm!AP56,new_transmute,2,FALSE)
),
IF(Info!$B$4="Board program",
IF(OR(AND(AP$5&gt;0,AP$5&gt;100),AND(AP$5&gt;0,AP$5&lt;100)),
VLOOKUP(FLOOR((Midterm!AP56/AP$5)*100,1),new_transmute,3,FALSE),
VLOOKUP(Midterm!AP56,new_transmute,3,FALSE)
),
IF(Info!$B$4="Board program (Medicine)",
IF(OR(AND(AP$5&gt;0,AP$5&gt;100),AND(AP$5&gt;0,AP$5&lt;100)),
VLOOKUP(FLOOR((Midterm!AP56/AP$5)*100,1),new_transmute,4,FALSE),
VLOOKUP(Midterm!AP56,new_transmute,4,FALSE)
),
""
)
)
)
)
)
)
)
)
))</f>
        <v/>
      </c>
      <c r="AQ56" s="61" t="str">
        <f t="shared" si="7"/>
        <v/>
      </c>
      <c r="AR56" s="48" t="str">
        <f>IF(Midterm!AR56="","",Midterm!AR56)</f>
        <v/>
      </c>
      <c r="AS56" s="165" t="str">
        <f t="shared" si="8"/>
        <v/>
      </c>
      <c r="AT56" s="14" t="str">
        <f t="shared" si="9"/>
        <v/>
      </c>
      <c r="AU56" s="14" t="str">
        <f>IF(B56="","",VLOOKUP(AT56,'New Grade Equivalent'!$B$3:$C$47,2,FALSE))</f>
        <v/>
      </c>
    </row>
    <row r="57" spans="1:47" x14ac:dyDescent="0.25">
      <c r="A57" s="8">
        <v>52</v>
      </c>
      <c r="B57" s="2" t="str">
        <f>IF('Student List'!C61="","",UPPER(LEFT('Student List'!C61,FIND(",",'Student List'!C61)-1)))</f>
        <v/>
      </c>
      <c r="C57" s="12" t="str">
        <f>IF('Student List'!C61="","",PROPER(MID('Student List'!C61, FIND(",", 'Student List'!C61) + 2, LEN('Student List'!C61) - FIND(",", 'Student List'!C61) - 1)))</f>
        <v/>
      </c>
      <c r="D57" s="127" t="str">
        <f>IF(B57="","",IF(Midterm!D57="", "NA", Midterm!D57))</f>
        <v/>
      </c>
      <c r="E57" s="8" t="str">
        <f>IF(B57="","",
  IF(Info!$B$5="First Year",
    IF(D57="Yes", "DRP",
      IF(D57="No", "WF", "")
    )
  )
)</f>
        <v/>
      </c>
      <c r="F57" s="14" t="str">
        <f>IF($B57="","",
IF(F$5="","",
IF(Midterm!F57="",0,
IF(NOT(ISNUMBER(Midterm!F57)),"NAN",
IF(Midterm!F57&lt;0,"NEG",
IF(Midterm!F57&gt;F$5,"OVER",
IF(AND(F$5&lt;=100,Midterm!F57&gt;100),"ERR",
IF(Info!$B$4="Non-board program",
IF(OR(AND(F$5&gt;0,F$5&gt;100),AND(F$5&gt;0,F$5&lt;100)),
VLOOKUP(FLOOR((Midterm!F57/F$5)*100,1),new_transmute,2,FALSE),
VLOOKUP(Midterm!F57,new_transmute,2,FALSE)
),
IF(Info!$B$4="Board program",
IF(OR(AND(F$5&gt;0,F$5&gt;100),AND(F$5&gt;0,F$5&lt;100)),
VLOOKUP(FLOOR((Midterm!F57/F$5)*100,1),new_transmute,3,FALSE),
VLOOKUP(Midterm!F57,new_transmute,3,FALSE)
),
IF(Info!$B$4="Board program (Medicine)",
IF(OR(AND(F$5&gt;0,F$5&gt;100),AND(F$5&gt;0,F$5&lt;100)),
VLOOKUP(FLOOR((Midterm!F57/F$5)*100,1),new_transmute,4,FALSE),
VLOOKUP(Midterm!F57,new_transmute,4,FALSE)
),
""
)
)
)
)
)
)
)
)
))</f>
        <v/>
      </c>
      <c r="G57" s="57" t="str">
        <f t="shared" si="1"/>
        <v/>
      </c>
      <c r="H57" s="14" t="str">
        <f>IF($B57="","",
IF(H$5="","",
IF(Midterm!H57="",0,
IF(NOT(ISNUMBER(Midterm!H57)),"NAN",
IF(Midterm!H57&lt;0,"NEG",
IF(Midterm!H57&gt;H$5,"OVER",
IF(AND(H$5&lt;=100,Midterm!H57&gt;100),"ERR",
IF(Info!$B$4="Non-board program",
IF(OR(AND(H$5&gt;0,H$5&gt;100),AND(H$5&gt;0,H$5&lt;100)),
VLOOKUP(FLOOR((Midterm!H57/H$5)*100,1),new_transmute,2,FALSE),
VLOOKUP(Midterm!H57,new_transmute,2,FALSE)
),
IF(Info!$B$4="Board program",
IF(OR(AND(H$5&gt;0,H$5&gt;100),AND(H$5&gt;0,H$5&lt;100)),
VLOOKUP(FLOOR((Midterm!H57/H$5)*100,1),new_transmute,3,FALSE),
VLOOKUP(Midterm!H57,new_transmute,3,FALSE)
),
IF(Info!$B$4="Board program (Medicine)",
IF(OR(AND(H$5&gt;0,H$5&gt;100),AND(H$5&gt;0,H$5&lt;100)),
VLOOKUP(FLOOR((Midterm!H57/H$5)*100,1),new_transmute,4,FALSE),
VLOOKUP(Midterm!H57,new_transmute,4,FALSE)
),
""
)
)
)
)
)
)
)
)
))</f>
        <v/>
      </c>
      <c r="I57" s="14" t="str">
        <f>IF($B57="","",
IF(I$5="","",
IF(Midterm!I57="",0,
IF(NOT(ISNUMBER(Midterm!I57)),"NAN",
IF(Midterm!I57&lt;0,"NEG",
IF(Midterm!I57&gt;I$5,"OVER",
IF(AND(I$5&lt;=100,Midterm!I57&gt;100),"ERR",
IF(Info!$B$4="Non-board program",
IF(OR(AND(I$5&gt;0,I$5&gt;100),AND(I$5&gt;0,I$5&lt;100)),
VLOOKUP(FLOOR((Midterm!I57/I$5)*100,1),new_transmute,2,FALSE),
VLOOKUP(Midterm!I57,new_transmute,2,FALSE)
),
IF(Info!$B$4="Board program",
IF(OR(AND(I$5&gt;0,I$5&gt;100),AND(I$5&gt;0,I$5&lt;100)),
VLOOKUP(FLOOR((Midterm!I57/I$5)*100,1),new_transmute,3,FALSE),
VLOOKUP(Midterm!I57,new_transmute,3,FALSE)
),
IF(Info!$B$4="Board program (Medicine)",
IF(OR(AND(I$5&gt;0,I$5&gt;100),AND(I$5&gt;0,I$5&lt;100)),
VLOOKUP(FLOOR((Midterm!I57/I$5)*100,1),new_transmute,4,FALSE),
VLOOKUP(Midterm!I57,new_transmute,4,FALSE)
),
""
)
)
)
)
)
)
)
)
))</f>
        <v/>
      </c>
      <c r="J57" s="14" t="str">
        <f>IF($B57="","",
IF(J$5="","",
IF(Midterm!J57="",0,
IF(NOT(ISNUMBER(Midterm!J57)),"NAN",
IF(Midterm!J57&lt;0,"NEG",
IF(Midterm!J57&gt;J$5,"OVER",
IF(AND(J$5&lt;=100,Midterm!J57&gt;100),"ERR",
IF(Info!$B$4="Non-board program",
IF(OR(AND(J$5&gt;0,J$5&gt;100),AND(J$5&gt;0,J$5&lt;100)),
VLOOKUP(FLOOR((Midterm!J57/J$5)*100,1),new_transmute,2,FALSE),
VLOOKUP(Midterm!J57,new_transmute,2,FALSE)
),
IF(Info!$B$4="Board program",
IF(OR(AND(J$5&gt;0,J$5&gt;100),AND(J$5&gt;0,J$5&lt;100)),
VLOOKUP(FLOOR((Midterm!J57/J$5)*100,1),new_transmute,3,FALSE),
VLOOKUP(Midterm!J57,new_transmute,3,FALSE)
),
IF(Info!$B$4="Board program (Medicine)",
IF(OR(AND(J$5&gt;0,J$5&gt;100),AND(J$5&gt;0,J$5&lt;100)),
VLOOKUP(FLOOR((Midterm!J57/J$5)*100,1),new_transmute,4,FALSE),
VLOOKUP(Midterm!J57,new_transmute,4,FALSE)
),
""
)
)
)
)
)
)
)
)
))</f>
        <v/>
      </c>
      <c r="K57" s="14" t="str">
        <f>IF($B57="","",
IF(K$5="","",
IF(Midterm!K57="",0,
IF(NOT(ISNUMBER(Midterm!K57)),"NAN",
IF(Midterm!K57&lt;0,"NEG",
IF(Midterm!K57&gt;K$5,"OVER",
IF(AND(K$5&lt;=100,Midterm!K57&gt;100),"ERR",
IF(Info!$B$4="Non-board program",
IF(OR(AND(K$5&gt;0,K$5&gt;100),AND(K$5&gt;0,K$5&lt;100)),
VLOOKUP(FLOOR((Midterm!K57/K$5)*100,1),new_transmute,2,FALSE),
VLOOKUP(Midterm!K57,new_transmute,2,FALSE)
),
IF(Info!$B$4="Board program",
IF(OR(AND(K$5&gt;0,K$5&gt;100),AND(K$5&gt;0,K$5&lt;100)),
VLOOKUP(FLOOR((Midterm!K57/K$5)*100,1),new_transmute,3,FALSE),
VLOOKUP(Midterm!K57,new_transmute,3,FALSE)
),
IF(Info!$B$4="Board program (Medicine)",
IF(OR(AND(K$5&gt;0,K$5&gt;100),AND(K$5&gt;0,K$5&lt;100)),
VLOOKUP(FLOOR((Midterm!K57/K$5)*100,1),new_transmute,4,FALSE),
VLOOKUP(Midterm!K57,new_transmute,4,FALSE)
),
""
)
)
)
)
)
)
)
)
))</f>
        <v/>
      </c>
      <c r="L57" s="14" t="str">
        <f>IF($B57="","",
IF(L$5="","",
IF(Midterm!L57="",0,
IF(NOT(ISNUMBER(Midterm!L57)),"NAN",
IF(Midterm!L57&lt;0,"NEG",
IF(Midterm!L57&gt;L$5,"OVER",
IF(AND(L$5&lt;=100,Midterm!L57&gt;100),"ERR",
IF(Info!$B$4="Non-board program",
IF(OR(AND(L$5&gt;0,L$5&gt;100),AND(L$5&gt;0,L$5&lt;100)),
VLOOKUP(FLOOR((Midterm!L57/L$5)*100,1),new_transmute,2,FALSE),
VLOOKUP(Midterm!L57,new_transmute,2,FALSE)
),
IF(Info!$B$4="Board program",
IF(OR(AND(L$5&gt;0,L$5&gt;100),AND(L$5&gt;0,L$5&lt;100)),
VLOOKUP(FLOOR((Midterm!L57/L$5)*100,1),new_transmute,3,FALSE),
VLOOKUP(Midterm!L57,new_transmute,3,FALSE)
),
IF(Info!$B$4="Board program (Medicine)",
IF(OR(AND(L$5&gt;0,L$5&gt;100),AND(L$5&gt;0,L$5&lt;100)),
VLOOKUP(FLOOR((Midterm!L57/L$5)*100,1),new_transmute,4,FALSE),
VLOOKUP(Midterm!L57,new_transmute,4,FALSE)
),
""
)
)
)
)
)
)
)
)
))</f>
        <v/>
      </c>
      <c r="M57" s="111" t="str">
        <f t="shared" si="2"/>
        <v/>
      </c>
      <c r="N57" s="14" t="str">
        <f>IF($B57="","",
IF(N$5="","",
IF(Midterm!N57="",0,
IF(NOT(ISNUMBER(Midterm!N57)),"NAN",
IF(Midterm!N57&lt;0,"NEG",
IF(Midterm!N57&gt;N$5,"OVER",
IF(AND(N$5&lt;=100,Midterm!N57&gt;100),"ERR",
IF(Info!$B$4="Non-board program",
IF(OR(AND(N$5&gt;0,N$5&gt;100),AND(N$5&gt;0,N$5&lt;100)),
VLOOKUP(FLOOR((Midterm!N57/N$5)*100,1),new_transmute,2,FALSE),
VLOOKUP(Midterm!N57,new_transmute,2,FALSE)
),
IF(Info!$B$4="Board program",
IF(OR(AND(N$5&gt;0,N$5&gt;100),AND(N$5&gt;0,N$5&lt;100)),
VLOOKUP(FLOOR((Midterm!N57/N$5)*100,1),new_transmute,3,FALSE),
VLOOKUP(Midterm!N57,new_transmute,3,FALSE)
),
IF(Info!$B$4="Board program (Medicine)",
IF(OR(AND(N$5&gt;0,N$5&gt;100),AND(N$5&gt;0,N$5&lt;100)),
VLOOKUP(FLOOR((Midterm!N57/N$5)*100,1),new_transmute,4,FALSE),
VLOOKUP(Midterm!N57,new_transmute,4,FALSE)
),
""
)
)
)
)
)
)
)
)
))</f>
        <v/>
      </c>
      <c r="O57" s="14" t="str">
        <f>IF($B57="","",
IF(O$5="","",
IF(Midterm!O57="",0,
IF(NOT(ISNUMBER(Midterm!O57)),"NAN",
IF(Midterm!O57&lt;0,"NEG",
IF(Midterm!O57&gt;O$5,"OVER",
IF(AND(O$5&lt;=100,Midterm!O57&gt;100),"ERR",
IF(Info!$B$4="Non-board program",
IF(OR(AND(O$5&gt;0,O$5&gt;100),AND(O$5&gt;0,O$5&lt;100)),
VLOOKUP(FLOOR((Midterm!O57/O$5)*100,1),new_transmute,2,FALSE),
VLOOKUP(Midterm!O57,new_transmute,2,FALSE)
),
IF(Info!$B$4="Board program",
IF(OR(AND(O$5&gt;0,O$5&gt;100),AND(O$5&gt;0,O$5&lt;100)),
VLOOKUP(FLOOR((Midterm!O57/O$5)*100,1),new_transmute,3,FALSE),
VLOOKUP(Midterm!O57,new_transmute,3,FALSE)
),
IF(Info!$B$4="Board program (Medicine)",
IF(OR(AND(O$5&gt;0,O$5&gt;100),AND(O$5&gt;0,O$5&lt;100)),
VLOOKUP(FLOOR((Midterm!O57/O$5)*100,1),new_transmute,4,FALSE),
VLOOKUP(Midterm!O57,new_transmute,4,FALSE)
),
""
)
)
)
)
)
)
)
)
))</f>
        <v/>
      </c>
      <c r="P57" s="14" t="str">
        <f>IF($B57="","",
IF(P$5="","",
IF(Midterm!P57="",0,
IF(NOT(ISNUMBER(Midterm!P57)),"NAN",
IF(Midterm!P57&lt;0,"NEG",
IF(Midterm!P57&gt;P$5,"OVER",
IF(AND(P$5&lt;=100,Midterm!P57&gt;100),"ERR",
IF(Info!$B$4="Non-board program",
IF(OR(AND(P$5&gt;0,P$5&gt;100),AND(P$5&gt;0,P$5&lt;100)),
VLOOKUP(FLOOR((Midterm!P57/P$5)*100,1),new_transmute,2,FALSE),
VLOOKUP(Midterm!P57,new_transmute,2,FALSE)
),
IF(Info!$B$4="Board program",
IF(OR(AND(P$5&gt;0,P$5&gt;100),AND(P$5&gt;0,P$5&lt;100)),
VLOOKUP(FLOOR((Midterm!P57/P$5)*100,1),new_transmute,3,FALSE),
VLOOKUP(Midterm!P57,new_transmute,3,FALSE)
),
IF(Info!$B$4="Board program (Medicine)",
IF(OR(AND(P$5&gt;0,P$5&gt;100),AND(P$5&gt;0,P$5&lt;100)),
VLOOKUP(FLOOR((Midterm!P57/P$5)*100,1),new_transmute,4,FALSE),
VLOOKUP(Midterm!P57,new_transmute,4,FALSE)
),
""
)
)
)
)
)
)
)
)
))</f>
        <v/>
      </c>
      <c r="Q57" s="14" t="str">
        <f>IF($B57="","",
IF(Q$5="","",
IF(Midterm!Q57="",0,
IF(NOT(ISNUMBER(Midterm!Q57)),"NAN",
IF(Midterm!Q57&lt;0,"NEG",
IF(Midterm!Q57&gt;Q$5,"OVER",
IF(AND(Q$5&lt;=100,Midterm!Q57&gt;100),"ERR",
IF(Info!$B$4="Non-board program",
IF(OR(AND(Q$5&gt;0,Q$5&gt;100),AND(Q$5&gt;0,Q$5&lt;100)),
VLOOKUP(FLOOR((Midterm!Q57/Q$5)*100,1),new_transmute,2,FALSE),
VLOOKUP(Midterm!Q57,new_transmute,2,FALSE)
),
IF(Info!$B$4="Board program",
IF(OR(AND(Q$5&gt;0,Q$5&gt;100),AND(Q$5&gt;0,Q$5&lt;100)),
VLOOKUP(FLOOR((Midterm!Q57/Q$5)*100,1),new_transmute,3,FALSE),
VLOOKUP(Midterm!Q57,new_transmute,3,FALSE)
),
IF(Info!$B$4="Board program (Medicine)",
IF(OR(AND(Q$5&gt;0,Q$5&gt;100),AND(Q$5&gt;0,Q$5&lt;100)),
VLOOKUP(FLOOR((Midterm!Q57/Q$5)*100,1),new_transmute,4,FALSE),
VLOOKUP(Midterm!Q57,new_transmute,4,FALSE)
),
""
)
)
)
)
)
)
)
)
))</f>
        <v/>
      </c>
      <c r="R57" s="14" t="str">
        <f>IF($B57="","",
IF(R$5="","",
IF(Midterm!R57="",0,
IF(NOT(ISNUMBER(Midterm!R57)),"NAN",
IF(Midterm!R57&lt;0,"NEG",
IF(Midterm!R57&gt;R$5,"OVER",
IF(AND(R$5&lt;=100,Midterm!R57&gt;100),"ERR",
IF(Info!$B$4="Non-board program",
IF(OR(AND(R$5&gt;0,R$5&gt;100),AND(R$5&gt;0,R$5&lt;100)),
VLOOKUP(FLOOR((Midterm!R57/R$5)*100,1),new_transmute,2,FALSE),
VLOOKUP(Midterm!R57,new_transmute,2,FALSE)
),
IF(Info!$B$4="Board program",
IF(OR(AND(R$5&gt;0,R$5&gt;100),AND(R$5&gt;0,R$5&lt;100)),
VLOOKUP(FLOOR((Midterm!R57/R$5)*100,1),new_transmute,3,FALSE),
VLOOKUP(Midterm!R57,new_transmute,3,FALSE)
),
IF(Info!$B$4="Board program (Medicine)",
IF(OR(AND(R$5&gt;0,R$5&gt;100),AND(R$5&gt;0,R$5&lt;100)),
VLOOKUP(FLOOR((Midterm!R57/R$5)*100,1),new_transmute,4,FALSE),
VLOOKUP(Midterm!R57,new_transmute,4,FALSE)
),
""
)
)
)
)
)
)
)
)
))</f>
        <v/>
      </c>
      <c r="S57" s="115" t="str">
        <f t="shared" si="3"/>
        <v/>
      </c>
      <c r="T57" s="14" t="str">
        <f>IF($B57="","",
IF(T$5="","",
IF(Midterm!T57="",0,
IF(NOT(ISNUMBER(Midterm!T57)),"NAN",
IF(Midterm!T57&lt;0,"NEG",
IF(Midterm!T57&gt;T$5,"OVER",
IF(AND(T$5&lt;=100,Midterm!T57&gt;100),"ERR",
IF(Info!$B$4="Non-board program",
IF(OR(AND(T$5&gt;0,T$5&gt;100),AND(T$5&gt;0,T$5&lt;100)),
VLOOKUP(FLOOR((Midterm!T57/T$5)*100,1),new_transmute,2,FALSE),
VLOOKUP(Midterm!T57,new_transmute,2,FALSE)
),
IF(Info!$B$4="Board program",
IF(OR(AND(T$5&gt;0,T$5&gt;100),AND(T$5&gt;0,T$5&lt;100)),
VLOOKUP(FLOOR((Midterm!T57/T$5)*100,1),new_transmute,3,FALSE),
VLOOKUP(Midterm!T57,new_transmute,3,FALSE)
),
IF(Info!$B$4="Board program (Medicine)",
IF(OR(AND(T$5&gt;0,T$5&gt;100),AND(T$5&gt;0,T$5&lt;100)),
VLOOKUP(FLOOR((Midterm!T57/T$5)*100,1),new_transmute,4,FALSE),
VLOOKUP(Midterm!T57,new_transmute,4,FALSE)
),
""
)
)
)
)
)
)
)
)
))</f>
        <v/>
      </c>
      <c r="U57" s="14" t="str">
        <f>IF($B57="","",
IF(U$5="","",
IF(Midterm!U57="",0,
IF(NOT(ISNUMBER(Midterm!U57)),"NAN",
IF(Midterm!U57&lt;0,"NEG",
IF(Midterm!U57&gt;U$5,"OVER",
IF(AND(U$5&lt;=100,Midterm!U57&gt;100),"ERR",
IF(Info!$B$4="Non-board program",
IF(OR(AND(U$5&gt;0,U$5&gt;100),AND(U$5&gt;0,U$5&lt;100)),
VLOOKUP(FLOOR((Midterm!U57/U$5)*100,1),new_transmute,2,FALSE),
VLOOKUP(Midterm!U57,new_transmute,2,FALSE)
),
IF(Info!$B$4="Board program",
IF(OR(AND(U$5&gt;0,U$5&gt;100),AND(U$5&gt;0,U$5&lt;100)),
VLOOKUP(FLOOR((Midterm!U57/U$5)*100,1),new_transmute,3,FALSE),
VLOOKUP(Midterm!U57,new_transmute,3,FALSE)
),
IF(Info!$B$4="Board program (Medicine)",
IF(OR(AND(U$5&gt;0,U$5&gt;100),AND(U$5&gt;0,U$5&lt;100)),
VLOOKUP(FLOOR((Midterm!U57/U$5)*100,1),new_transmute,4,FALSE),
VLOOKUP(Midterm!U57,new_transmute,4,FALSE)
),
""
)
)
)
)
)
)
)
)
))</f>
        <v/>
      </c>
      <c r="V57" s="14" t="str">
        <f>IF($B57="","",
IF(V$5="","",
IF(Midterm!V57="",0,
IF(NOT(ISNUMBER(Midterm!V57)),"NAN",
IF(Midterm!V57&lt;0,"NEG",
IF(Midterm!V57&gt;V$5,"OVER",
IF(AND(V$5&lt;=100,Midterm!V57&gt;100),"ERR",
IF(Info!$B$4="Non-board program",
IF(OR(AND(V$5&gt;0,V$5&gt;100),AND(V$5&gt;0,V$5&lt;100)),
VLOOKUP(FLOOR((Midterm!V57/V$5)*100,1),new_transmute,2,FALSE),
VLOOKUP(Midterm!V57,new_transmute,2,FALSE)
),
IF(Info!$B$4="Board program",
IF(OR(AND(V$5&gt;0,V$5&gt;100),AND(V$5&gt;0,V$5&lt;100)),
VLOOKUP(FLOOR((Midterm!V57/V$5)*100,1),new_transmute,3,FALSE),
VLOOKUP(Midterm!V57,new_transmute,3,FALSE)
),
IF(Info!$B$4="Board program (Medicine)",
IF(OR(AND(V$5&gt;0,V$5&gt;100),AND(V$5&gt;0,V$5&lt;100)),
VLOOKUP(FLOOR((Midterm!V57/V$5)*100,1),new_transmute,4,FALSE),
VLOOKUP(Midterm!V57,new_transmute,4,FALSE)
),
""
)
)
)
)
)
)
)
)
))</f>
        <v/>
      </c>
      <c r="W57" s="14" t="str">
        <f>IF($B57="","",
IF(W$5="","",
IF(Midterm!W57="",0,
IF(NOT(ISNUMBER(Midterm!W57)),"NAN",
IF(Midterm!W57&lt;0,"NEG",
IF(Midterm!W57&gt;W$5,"OVER",
IF(AND(W$5&lt;=100,Midterm!W57&gt;100),"ERR",
IF(Info!$B$4="Non-board program",
IF(OR(AND(W$5&gt;0,W$5&gt;100),AND(W$5&gt;0,W$5&lt;100)),
VLOOKUP(FLOOR((Midterm!W57/W$5)*100,1),new_transmute,2,FALSE),
VLOOKUP(Midterm!W57,new_transmute,2,FALSE)
),
IF(Info!$B$4="Board program",
IF(OR(AND(W$5&gt;0,W$5&gt;100),AND(W$5&gt;0,W$5&lt;100)),
VLOOKUP(FLOOR((Midterm!W57/W$5)*100,1),new_transmute,3,FALSE),
VLOOKUP(Midterm!W57,new_transmute,3,FALSE)
),
IF(Info!$B$4="Board program (Medicine)",
IF(OR(AND(W$5&gt;0,W$5&gt;100),AND(W$5&gt;0,W$5&lt;100)),
VLOOKUP(FLOOR((Midterm!W57/W$5)*100,1),new_transmute,4,FALSE),
VLOOKUP(Midterm!W57,new_transmute,4,FALSE)
),
""
)
)
)
)
)
)
)
)
))</f>
        <v/>
      </c>
      <c r="X57" s="14" t="str">
        <f>IF($B57="","",
IF(X$5="","",
IF(Midterm!X57="",0,
IF(NOT(ISNUMBER(Midterm!X57)),"NAN",
IF(Midterm!X57&lt;0,"NEG",
IF(Midterm!X57&gt;X$5,"OVER",
IF(AND(X$5&lt;=100,Midterm!X57&gt;100),"ERR",
IF(Info!$B$4="Non-board program",
IF(OR(AND(X$5&gt;0,X$5&gt;100),AND(X$5&gt;0,X$5&lt;100)),
VLOOKUP(FLOOR((Midterm!X57/X$5)*100,1),new_transmute,2,FALSE),
VLOOKUP(Midterm!X57,new_transmute,2,FALSE)
),
IF(Info!$B$4="Board program",
IF(OR(AND(X$5&gt;0,X$5&gt;100),AND(X$5&gt;0,X$5&lt;100)),
VLOOKUP(FLOOR((Midterm!X57/X$5)*100,1),new_transmute,3,FALSE),
VLOOKUP(Midterm!X57,new_transmute,3,FALSE)
),
IF(Info!$B$4="Board program (Medicine)",
IF(OR(AND(X$5&gt;0,X$5&gt;100),AND(X$5&gt;0,X$5&lt;100)),
VLOOKUP(FLOOR((Midterm!X57/X$5)*100,1),new_transmute,4,FALSE),
VLOOKUP(Midterm!X57,new_transmute,4,FALSE)
),
""
)
)
)
)
)
)
)
)
))</f>
        <v/>
      </c>
      <c r="Y57" s="112" t="str">
        <f t="shared" si="4"/>
        <v/>
      </c>
      <c r="Z57" s="14" t="str">
        <f>IF($B57="","",
IF(Z$5="","",
IF(Midterm!Z57="",0,
IF(NOT(ISNUMBER(Midterm!Z57)),"NAN",
IF(Midterm!Z57&lt;0,"NEG",
IF(Midterm!Z57&gt;Z$5,"OVER",
IF(AND(Z$5&lt;=100,Midterm!Z57&gt;100),"ERR",
IF(Info!$B$4="Non-board program",
IF(OR(AND(Z$5&gt;0,Z$5&gt;100),AND(Z$5&gt;0,Z$5&lt;100)),
VLOOKUP(FLOOR((Midterm!Z57/Z$5)*100,1),new_transmute,2,FALSE),
VLOOKUP(Midterm!Z57,new_transmute,2,FALSE)
),
IF(Info!$B$4="Board program",
IF(OR(AND(Z$5&gt;0,Z$5&gt;100),AND(Z$5&gt;0,Z$5&lt;100)),
VLOOKUP(FLOOR((Midterm!Z57/Z$5)*100,1),new_transmute,3,FALSE),
VLOOKUP(Midterm!Z57,new_transmute,3,FALSE)
),
IF(Info!$B$4="Board program (Medicine)",
IF(OR(AND(Z$5&gt;0,Z$5&gt;100),AND(Z$5&gt;0,Z$5&lt;100)),
VLOOKUP(FLOOR((Midterm!Z57/Z$5)*100,1),new_transmute,4,FALSE),
VLOOKUP(Midterm!Z57,new_transmute,4,FALSE)
),
""
)
)
)
)
)
)
)
)
))</f>
        <v/>
      </c>
      <c r="AA57" s="14" t="str">
        <f>IF($B57="","",
IF(AA$5="","",
IF(Midterm!AA57="",0,
IF(NOT(ISNUMBER(Midterm!AA57)),"NAN",
IF(Midterm!AA57&lt;0,"NEG",
IF(Midterm!AA57&gt;AA$5,"OVER",
IF(AND(AA$5&lt;=100,Midterm!AA57&gt;100),"ERR",
IF(Info!$B$4="Non-board program",
IF(OR(AND(AA$5&gt;0,AA$5&gt;100),AND(AA$5&gt;0,AA$5&lt;100)),
VLOOKUP(FLOOR((Midterm!AA57/AA$5)*100,1),new_transmute,2,FALSE),
VLOOKUP(Midterm!AA57,new_transmute,2,FALSE)
),
IF(Info!$B$4="Board program",
IF(OR(AND(AA$5&gt;0,AA$5&gt;100),AND(AA$5&gt;0,AA$5&lt;100)),
VLOOKUP(FLOOR((Midterm!AA57/AA$5)*100,1),new_transmute,3,FALSE),
VLOOKUP(Midterm!AA57,new_transmute,3,FALSE)
),
IF(Info!$B$4="Board program (Medicine)",
IF(OR(AND(AA$5&gt;0,AA$5&gt;100),AND(AA$5&gt;0,AA$5&lt;100)),
VLOOKUP(FLOOR((Midterm!AA57/AA$5)*100,1),new_transmute,4,FALSE),
VLOOKUP(Midterm!AA57,new_transmute,4,FALSE)
),
""
)
)
)
)
)
)
)
)
))</f>
        <v/>
      </c>
      <c r="AB57" s="14" t="str">
        <f>IF($B57="","",
IF(AB$5="","",
IF(Midterm!AB57="",0,
IF(NOT(ISNUMBER(Midterm!AB57)),"NAN",
IF(Midterm!AB57&lt;0,"NEG",
IF(Midterm!AB57&gt;AB$5,"OVER",
IF(AND(AB$5&lt;=100,Midterm!AB57&gt;100),"ERR",
IF(Info!$B$4="Non-board program",
IF(OR(AND(AB$5&gt;0,AB$5&gt;100),AND(AB$5&gt;0,AB$5&lt;100)),
VLOOKUP(FLOOR((Midterm!AB57/AB$5)*100,1),new_transmute,2,FALSE),
VLOOKUP(Midterm!AB57,new_transmute,2,FALSE)
),
IF(Info!$B$4="Board program",
IF(OR(AND(AB$5&gt;0,AB$5&gt;100),AND(AB$5&gt;0,AB$5&lt;100)),
VLOOKUP(FLOOR((Midterm!AB57/AB$5)*100,1),new_transmute,3,FALSE),
VLOOKUP(Midterm!AB57,new_transmute,3,FALSE)
),
IF(Info!$B$4="Board program (Medicine)",
IF(OR(AND(AB$5&gt;0,AB$5&gt;100),AND(AB$5&gt;0,AB$5&lt;100)),
VLOOKUP(FLOOR((Midterm!AB57/AB$5)*100,1),new_transmute,4,FALSE),
VLOOKUP(Midterm!AB57,new_transmute,4,FALSE)
),
""
)
)
)
)
)
)
)
)
))</f>
        <v/>
      </c>
      <c r="AC57" s="14" t="str">
        <f>IF($B57="","",
IF(AC$5="","",
IF(Midterm!AC57="",0,
IF(NOT(ISNUMBER(Midterm!AC57)),"NAN",
IF(Midterm!AC57&lt;0,"NEG",
IF(Midterm!AC57&gt;AC$5,"OVER",
IF(AND(AC$5&lt;=100,Midterm!AC57&gt;100),"ERR",
IF(Info!$B$4="Non-board program",
IF(OR(AND(AC$5&gt;0,AC$5&gt;100),AND(AC$5&gt;0,AC$5&lt;100)),
VLOOKUP(FLOOR((Midterm!AC57/AC$5)*100,1),new_transmute,2,FALSE),
VLOOKUP(Midterm!AC57,new_transmute,2,FALSE)
),
IF(Info!$B$4="Board program",
IF(OR(AND(AC$5&gt;0,AC$5&gt;100),AND(AC$5&gt;0,AC$5&lt;100)),
VLOOKUP(FLOOR((Midterm!AC57/AC$5)*100,1),new_transmute,3,FALSE),
VLOOKUP(Midterm!AC57,new_transmute,3,FALSE)
),
IF(Info!$B$4="Board program (Medicine)",
IF(OR(AND(AC$5&gt;0,AC$5&gt;100),AND(AC$5&gt;0,AC$5&lt;100)),
VLOOKUP(FLOOR((Midterm!AC57/AC$5)*100,1),new_transmute,4,FALSE),
VLOOKUP(Midterm!AC57,new_transmute,4,FALSE)
),
""
)
)
)
)
)
)
)
)
))</f>
        <v/>
      </c>
      <c r="AD57" s="14" t="str">
        <f>IF($B57="","",
IF(AD$5="","",
IF(Midterm!AD57="",0,
IF(NOT(ISNUMBER(Midterm!AD57)),"NAN",
IF(Midterm!AD57&lt;0,"NEG",
IF(Midterm!AD57&gt;AD$5,"OVER",
IF(AND(AD$5&lt;=100,Midterm!AD57&gt;100),"ERR",
IF(Info!$B$4="Non-board program",
IF(OR(AND(AD$5&gt;0,AD$5&gt;100),AND(AD$5&gt;0,AD$5&lt;100)),
VLOOKUP(FLOOR((Midterm!AD57/AD$5)*100,1),new_transmute,2,FALSE),
VLOOKUP(Midterm!AD57,new_transmute,2,FALSE)
),
IF(Info!$B$4="Board program",
IF(OR(AND(AD$5&gt;0,AD$5&gt;100),AND(AD$5&gt;0,AD$5&lt;100)),
VLOOKUP(FLOOR((Midterm!AD57/AD$5)*100,1),new_transmute,3,FALSE),
VLOOKUP(Midterm!AD57,new_transmute,3,FALSE)
),
IF(Info!$B$4="Board program (Medicine)",
IF(OR(AND(AD$5&gt;0,AD$5&gt;100),AND(AD$5&gt;0,AD$5&lt;100)),
VLOOKUP(FLOOR((Midterm!AD57/AD$5)*100,1),new_transmute,4,FALSE),
VLOOKUP(Midterm!AD57,new_transmute,4,FALSE)
),
""
)
)
)
)
)
)
)
)
))</f>
        <v/>
      </c>
      <c r="AE57" s="58" t="str">
        <f t="shared" si="5"/>
        <v/>
      </c>
      <c r="AF57" s="14" t="str">
        <f>IF($B57="","",
IF(AF$5="","",
IF(Midterm!AF57="",0,
IF(NOT(ISNUMBER(Midterm!AF57)),"NAN",
IF(Midterm!AF57&lt;0,"NEG",
IF(Midterm!AF57&gt;AF$5,"OVER",
IF(AND(AF$5&lt;=100,Midterm!AF57&gt;100),"ERR",
IF(Info!$B$4="Non-board program",
IF(OR(AND(AF$5&gt;0,AF$5&gt;100),AND(AF$5&gt;0,AF$5&lt;100)),
VLOOKUP(FLOOR((Midterm!AF57/AF$5)*100,1),new_transmute,2,FALSE),
VLOOKUP(Midterm!AF57,new_transmute,2,FALSE)
),
IF(Info!$B$4="Board program",
IF(OR(AND(AF$5&gt;0,AF$5&gt;100),AND(AF$5&gt;0,AF$5&lt;100)),
VLOOKUP(FLOOR((Midterm!AF57/AF$5)*100,1),new_transmute,3,FALSE),
VLOOKUP(Midterm!AF57,new_transmute,3,FALSE)
),
IF(Info!$B$4="Board program (Medicine)",
IF(OR(AND(AF$5&gt;0,AF$5&gt;100),AND(AF$5&gt;0,AF$5&lt;100)),
VLOOKUP(FLOOR((Midterm!AF57/AF$5)*100,1),new_transmute,4,FALSE),
VLOOKUP(Midterm!AF57,new_transmute,4,FALSE)
),
""
)
)
)
)
)
)
)
)
))</f>
        <v/>
      </c>
      <c r="AG57" s="14" t="str">
        <f>IF($B57="","",
IF(AG$5="","",
IF(Midterm!AG57="",0,
IF(NOT(ISNUMBER(Midterm!AG57)),"NAN",
IF(Midterm!AG57&lt;0,"NEG",
IF(Midterm!AG57&gt;AG$5,"OVER",
IF(AND(AG$5&lt;=100,Midterm!AG57&gt;100),"ERR",
IF(Info!$B$4="Non-board program",
IF(OR(AND(AG$5&gt;0,AG$5&gt;100),AND(AG$5&gt;0,AG$5&lt;100)),
VLOOKUP(FLOOR((Midterm!AG57/AG$5)*100,1),new_transmute,2,FALSE),
VLOOKUP(Midterm!AG57,new_transmute,2,FALSE)
),
IF(Info!$B$4="Board program",
IF(OR(AND(AG$5&gt;0,AG$5&gt;100),AND(AG$5&gt;0,AG$5&lt;100)),
VLOOKUP(FLOOR((Midterm!AG57/AG$5)*100,1),new_transmute,3,FALSE),
VLOOKUP(Midterm!AG57,new_transmute,3,FALSE)
),
IF(Info!$B$4="Board program (Medicine)",
IF(OR(AND(AG$5&gt;0,AG$5&gt;100),AND(AG$5&gt;0,AG$5&lt;100)),
VLOOKUP(FLOOR((Midterm!AG57/AG$5)*100,1),new_transmute,4,FALSE),
VLOOKUP(Midterm!AG57,new_transmute,4,FALSE)
),
""
)
)
)
)
)
)
)
)
))</f>
        <v/>
      </c>
      <c r="AH57" s="14" t="str">
        <f>IF($B57="","",
IF(AH$5="","",
IF(Midterm!AH57="",0,
IF(NOT(ISNUMBER(Midterm!AH57)),"NAN",
IF(Midterm!AH57&lt;0,"NEG",
IF(Midterm!AH57&gt;AH$5,"OVER",
IF(AND(AH$5&lt;=100,Midterm!AH57&gt;100),"ERR",
IF(Info!$B$4="Non-board program",
IF(OR(AND(AH$5&gt;0,AH$5&gt;100),AND(AH$5&gt;0,AH$5&lt;100)),
VLOOKUP(FLOOR((Midterm!AH57/AH$5)*100,1),new_transmute,2,FALSE),
VLOOKUP(Midterm!AH57,new_transmute,2,FALSE)
),
IF(Info!$B$4="Board program",
IF(OR(AND(AH$5&gt;0,AH$5&gt;100),AND(AH$5&gt;0,AH$5&lt;100)),
VLOOKUP(FLOOR((Midterm!AH57/AH$5)*100,1),new_transmute,3,FALSE),
VLOOKUP(Midterm!AH57,new_transmute,3,FALSE)
),
IF(Info!$B$4="Board program (Medicine)",
IF(OR(AND(AH$5&gt;0,AH$5&gt;100),AND(AH$5&gt;0,AH$5&lt;100)),
VLOOKUP(FLOOR((Midterm!AH57/AH$5)*100,1),new_transmute,4,FALSE),
VLOOKUP(Midterm!AH57,new_transmute,4,FALSE)
),
""
)
)
)
)
)
)
)
)
))</f>
        <v/>
      </c>
      <c r="AI57" s="14" t="str">
        <f>IF($B57="","",
IF(AI$5="","",
IF(Midterm!AI57="",0,
IF(NOT(ISNUMBER(Midterm!AI57)),"NAN",
IF(Midterm!AI57&lt;0,"NEG",
IF(Midterm!AI57&gt;AI$5,"OVER",
IF(AND(AI$5&lt;=100,Midterm!AI57&gt;100),"ERR",
IF(Info!$B$4="Non-board program",
IF(OR(AND(AI$5&gt;0,AI$5&gt;100),AND(AI$5&gt;0,AI$5&lt;100)),
VLOOKUP(FLOOR((Midterm!AI57/AI$5)*100,1),new_transmute,2,FALSE),
VLOOKUP(Midterm!AI57,new_transmute,2,FALSE)
),
IF(Info!$B$4="Board program",
IF(OR(AND(AI$5&gt;0,AI$5&gt;100),AND(AI$5&gt;0,AI$5&lt;100)),
VLOOKUP(FLOOR((Midterm!AI57/AI$5)*100,1),new_transmute,3,FALSE),
VLOOKUP(Midterm!AI57,new_transmute,3,FALSE)
),
IF(Info!$B$4="Board program (Medicine)",
IF(OR(AND(AI$5&gt;0,AI$5&gt;100),AND(AI$5&gt;0,AI$5&lt;100)),
VLOOKUP(FLOOR((Midterm!AI57/AI$5)*100,1),new_transmute,4,FALSE),
VLOOKUP(Midterm!AI57,new_transmute,4,FALSE)
),
""
)
)
)
)
)
)
)
)
))</f>
        <v/>
      </c>
      <c r="AJ57" s="14" t="str">
        <f>IF($B57="","",
IF(AJ$5="","",
IF(Midterm!AJ57="",0,
IF(NOT(ISNUMBER(Midterm!AJ57)),"NAN",
IF(Midterm!AJ57&lt;0,"NEG",
IF(Midterm!AJ57&gt;AJ$5,"OVER",
IF(AND(AJ$5&lt;=100,Midterm!AJ57&gt;100),"ERR",
IF(Info!$B$4="Non-board program",
IF(OR(AND(AJ$5&gt;0,AJ$5&gt;100),AND(AJ$5&gt;0,AJ$5&lt;100)),
VLOOKUP(FLOOR((Midterm!AJ57/AJ$5)*100,1),new_transmute,2,FALSE),
VLOOKUP(Midterm!AJ57,new_transmute,2,FALSE)
),
IF(Info!$B$4="Board program",
IF(OR(AND(AJ$5&gt;0,AJ$5&gt;100),AND(AJ$5&gt;0,AJ$5&lt;100)),
VLOOKUP(FLOOR((Midterm!AJ57/AJ$5)*100,1),new_transmute,3,FALSE),
VLOOKUP(Midterm!AJ57,new_transmute,3,FALSE)
),
IF(Info!$B$4="Board program (Medicine)",
IF(OR(AND(AJ$5&gt;0,AJ$5&gt;100),AND(AJ$5&gt;0,AJ$5&lt;100)),
VLOOKUP(FLOOR((Midterm!AJ57/AJ$5)*100,1),new_transmute,4,FALSE),
VLOOKUP(Midterm!AJ57,new_transmute,4,FALSE)
),
""
)
)
)
)
)
)
)
)
))</f>
        <v/>
      </c>
      <c r="AK57" s="59" t="str">
        <f t="shared" si="6"/>
        <v/>
      </c>
      <c r="AL57" s="60" t="str">
        <f>IF(B57="", "",
    IF(OR(M57="OVER", S57="OVER", Y57="OVER", AE57="OVER", AK57="OVER"),
        "OVER",
        IF(Info!$B$4="Non-board program",
            VLOOKUP(IFERROR(FLOOR(SUM((M57*$M$4), (S57*$S$4), (Y57*$Y$4), (AE57*$AE$4), (AK57*$AK$4)) * (100 / 60), 1), 0), new_transmute, 2, FALSE),
            IF(Info!$B$4="Board program",
                VLOOKUP(IFERROR(FLOOR(SUM((M57*$M$4), (S57*$S$4), (Y57*$Y$4), (AE57*$AE$4), (AK57*$AK$4)) * (100 / 60), 1), 0), new_transmute, 3, FALSE),
                IF(Info!$B$4="Board program (Medicine)",
                    VLOOKUP(IFERROR(FLOOR(SUM((M57*$M$4), (S57*$S$4), (Y57*$Y$4), (AE57*$AE$4), (AK57*$AK$4)) * (100 / 60), 1), 0), new_transmute, 4, FALSE),
                    ""
                )
            )
        )
    )
)</f>
        <v/>
      </c>
      <c r="AM57" s="14" t="str">
        <f>IF($B57="","",
IF(AM$5="","",
IF(Midterm!AM57="",0,
IF(NOT(ISNUMBER(Midterm!AM57)),"NAN",
IF(Midterm!AM57&lt;0,"NEG",
IF(Midterm!AM57&gt;AM$5,"OVER",
IF(AND(AM$5&lt;=100,Midterm!AM57&gt;100),"ERR",
IF(Info!$B$4="Non-board program",
IF(OR(AND(AM$5&gt;0,AM$5&gt;100),AND(AM$5&gt;0,AM$5&lt;100)),
VLOOKUP(FLOOR((Midterm!AM57/AM$5)*100,1),new_transmute,2,FALSE),
VLOOKUP(Midterm!AM57,new_transmute,2,FALSE)
),
IF(Info!$B$4="Board program",
IF(OR(AND(AM$5&gt;0,AM$5&gt;100),AND(AM$5&gt;0,AM$5&lt;100)),
VLOOKUP(FLOOR((Midterm!AM57/AM$5)*100,1),new_transmute,3,FALSE),
VLOOKUP(Midterm!AM57,new_transmute,3,FALSE)
),
IF(Info!$B$4="Board program (Medicine)",
IF(OR(AND(AM$5&gt;0,AM$5&gt;100),AND(AM$5&gt;0,AM$5&lt;100)),
VLOOKUP(FLOOR((Midterm!AM57/AM$5)*100,1),new_transmute,4,FALSE),
VLOOKUP(Midterm!AM57,new_transmute,4,FALSE)
),
""
)
)
)
)
)
)
)
)
))</f>
        <v/>
      </c>
      <c r="AN57" s="14" t="str">
        <f>IF($B57="","",
IF(AN$5="","",
IF(Midterm!AN57="",0,
IF(NOT(ISNUMBER(Midterm!AN57)),"NAN",
IF(Midterm!AN57&lt;0,"NEG",
IF(Midterm!AN57&gt;AN$5,"OVER",
IF(AND(AN$5&lt;=100,Midterm!AN57&gt;100),"ERR",
IF(Info!$B$4="Non-board program",
IF(OR(AND(AN$5&gt;0,AN$5&gt;100),AND(AN$5&gt;0,AN$5&lt;100)),
VLOOKUP(FLOOR((Midterm!AN57/AN$5)*100,1),new_transmute,2,FALSE),
VLOOKUP(Midterm!AN57,new_transmute,2,FALSE)
),
IF(Info!$B$4="Board program",
IF(OR(AND(AN$5&gt;0,AN$5&gt;100),AND(AN$5&gt;0,AN$5&lt;100)),
VLOOKUP(FLOOR((Midterm!AN57/AN$5)*100,1),new_transmute,3,FALSE),
VLOOKUP(Midterm!AN57,new_transmute,3,FALSE)
),
IF(Info!$B$4="Board program (Medicine)",
IF(OR(AND(AN$5&gt;0,AN$5&gt;100),AND(AN$5&gt;0,AN$5&lt;100)),
VLOOKUP(FLOOR((Midterm!AN57/AN$5)*100,1),new_transmute,4,FALSE),
VLOOKUP(Midterm!AN57,new_transmute,4,FALSE)
),
""
)
)
)
)
)
)
)
)
))</f>
        <v/>
      </c>
      <c r="AO57" s="14" t="str">
        <f>IF($B57="","",
IF(AO$5="","",
IF(Midterm!AO57="",0,
IF(NOT(ISNUMBER(Midterm!AO57)),"NAN",
IF(Midterm!AO57&lt;0,"NEG",
IF(Midterm!AO57&gt;AO$5,"OVER",
IF(AND(AO$5&lt;=100,Midterm!AO57&gt;100),"ERR",
IF(Info!$B$4="Non-board program",
IF(OR(AND(AO$5&gt;0,AO$5&gt;100),AND(AO$5&gt;0,AO$5&lt;100)),
VLOOKUP(FLOOR((Midterm!AO57/AO$5)*100,1),new_transmute,2,FALSE),
VLOOKUP(Midterm!AO57,new_transmute,2,FALSE)
),
IF(Info!$B$4="Board program",
IF(OR(AND(AO$5&gt;0,AO$5&gt;100),AND(AO$5&gt;0,AO$5&lt;100)),
VLOOKUP(FLOOR((Midterm!AO57/AO$5)*100,1),new_transmute,3,FALSE),
VLOOKUP(Midterm!AO57,new_transmute,3,FALSE)
),
IF(Info!$B$4="Board program (Medicine)",
IF(OR(AND(AO$5&gt;0,AO$5&gt;100),AND(AO$5&gt;0,AO$5&lt;100)),
VLOOKUP(FLOOR((Midterm!AO57/AO$5)*100,1),new_transmute,4,FALSE),
VLOOKUP(Midterm!AO57,new_transmute,4,FALSE)
),
""
)
)
)
)
)
)
)
)
))</f>
        <v/>
      </c>
      <c r="AP57" s="14" t="str">
        <f>IF($B57="","",
IF(AP$5="","",
IF(Midterm!AP57="",0,
IF(NOT(ISNUMBER(Midterm!AP57)),"NAN",
IF(Midterm!AP57&lt;0,"NEG",
IF(Midterm!AP57&gt;AP$5,"OVER",
IF(AND(AP$5&lt;=100,Midterm!AP57&gt;100),"ERR",
IF(Info!$B$4="Non-board program",
IF(OR(AND(AP$5&gt;0,AP$5&gt;100),AND(AP$5&gt;0,AP$5&lt;100)),
VLOOKUP(FLOOR((Midterm!AP57/AP$5)*100,1),new_transmute,2,FALSE),
VLOOKUP(Midterm!AP57,new_transmute,2,FALSE)
),
IF(Info!$B$4="Board program",
IF(OR(AND(AP$5&gt;0,AP$5&gt;100),AND(AP$5&gt;0,AP$5&lt;100)),
VLOOKUP(FLOOR((Midterm!AP57/AP$5)*100,1),new_transmute,3,FALSE),
VLOOKUP(Midterm!AP57,new_transmute,3,FALSE)
),
IF(Info!$B$4="Board program (Medicine)",
IF(OR(AND(AP$5&gt;0,AP$5&gt;100),AND(AP$5&gt;0,AP$5&lt;100)),
VLOOKUP(FLOOR((Midterm!AP57/AP$5)*100,1),new_transmute,4,FALSE),
VLOOKUP(Midterm!AP57,new_transmute,4,FALSE)
),
""
)
)
)
)
)
)
)
)
))</f>
        <v/>
      </c>
      <c r="AQ57" s="61" t="str">
        <f t="shared" si="7"/>
        <v/>
      </c>
      <c r="AR57" s="48" t="str">
        <f>IF(Midterm!AR57="","",Midterm!AR57)</f>
        <v/>
      </c>
      <c r="AS57" s="165" t="str">
        <f t="shared" si="8"/>
        <v/>
      </c>
      <c r="AT57" s="14" t="str">
        <f t="shared" si="9"/>
        <v/>
      </c>
      <c r="AU57" s="14" t="str">
        <f>IF(B57="","",VLOOKUP(AT57,'New Grade Equivalent'!$B$3:$C$47,2,FALSE))</f>
        <v/>
      </c>
    </row>
    <row r="58" spans="1:47" x14ac:dyDescent="0.25">
      <c r="A58" s="8">
        <v>53</v>
      </c>
      <c r="B58" s="2" t="str">
        <f>IF('Student List'!C62="","",UPPER(LEFT('Student List'!C62,FIND(",",'Student List'!C62)-1)))</f>
        <v/>
      </c>
      <c r="C58" s="12" t="str">
        <f>IF('Student List'!C62="","",PROPER(MID('Student List'!C62, FIND(",", 'Student List'!C62) + 2, LEN('Student List'!C62) - FIND(",", 'Student List'!C62) - 1)))</f>
        <v/>
      </c>
      <c r="D58" s="127" t="str">
        <f>IF(B58="","",IF(Midterm!D58="", "NA", Midterm!D58))</f>
        <v/>
      </c>
      <c r="E58" s="8" t="str">
        <f>IF(B58="","",
  IF(Info!$B$5="First Year",
    IF(D58="Yes", "DRP",
      IF(D58="No", "WF", "")
    )
  )
)</f>
        <v/>
      </c>
      <c r="F58" s="14" t="str">
        <f>IF($B58="","",
IF(F$5="","",
IF(Midterm!F58="",0,
IF(NOT(ISNUMBER(Midterm!F58)),"NAN",
IF(Midterm!F58&lt;0,"NEG",
IF(Midterm!F58&gt;F$5,"OVER",
IF(AND(F$5&lt;=100,Midterm!F58&gt;100),"ERR",
IF(Info!$B$4="Non-board program",
IF(OR(AND(F$5&gt;0,F$5&gt;100),AND(F$5&gt;0,F$5&lt;100)),
VLOOKUP(FLOOR((Midterm!F58/F$5)*100,1),new_transmute,2,FALSE),
VLOOKUP(Midterm!F58,new_transmute,2,FALSE)
),
IF(Info!$B$4="Board program",
IF(OR(AND(F$5&gt;0,F$5&gt;100),AND(F$5&gt;0,F$5&lt;100)),
VLOOKUP(FLOOR((Midterm!F58/F$5)*100,1),new_transmute,3,FALSE),
VLOOKUP(Midterm!F58,new_transmute,3,FALSE)
),
IF(Info!$B$4="Board program (Medicine)",
IF(OR(AND(F$5&gt;0,F$5&gt;100),AND(F$5&gt;0,F$5&lt;100)),
VLOOKUP(FLOOR((Midterm!F58/F$5)*100,1),new_transmute,4,FALSE),
VLOOKUP(Midterm!F58,new_transmute,4,FALSE)
),
""
)
)
)
)
)
)
)
)
))</f>
        <v/>
      </c>
      <c r="G58" s="57" t="str">
        <f t="shared" si="1"/>
        <v/>
      </c>
      <c r="H58" s="14" t="str">
        <f>IF($B58="","",
IF(H$5="","",
IF(Midterm!H58="",0,
IF(NOT(ISNUMBER(Midterm!H58)),"NAN",
IF(Midterm!H58&lt;0,"NEG",
IF(Midterm!H58&gt;H$5,"OVER",
IF(AND(H$5&lt;=100,Midterm!H58&gt;100),"ERR",
IF(Info!$B$4="Non-board program",
IF(OR(AND(H$5&gt;0,H$5&gt;100),AND(H$5&gt;0,H$5&lt;100)),
VLOOKUP(FLOOR((Midterm!H58/H$5)*100,1),new_transmute,2,FALSE),
VLOOKUP(Midterm!H58,new_transmute,2,FALSE)
),
IF(Info!$B$4="Board program",
IF(OR(AND(H$5&gt;0,H$5&gt;100),AND(H$5&gt;0,H$5&lt;100)),
VLOOKUP(FLOOR((Midterm!H58/H$5)*100,1),new_transmute,3,FALSE),
VLOOKUP(Midterm!H58,new_transmute,3,FALSE)
),
IF(Info!$B$4="Board program (Medicine)",
IF(OR(AND(H$5&gt;0,H$5&gt;100),AND(H$5&gt;0,H$5&lt;100)),
VLOOKUP(FLOOR((Midterm!H58/H$5)*100,1),new_transmute,4,FALSE),
VLOOKUP(Midterm!H58,new_transmute,4,FALSE)
),
""
)
)
)
)
)
)
)
)
))</f>
        <v/>
      </c>
      <c r="I58" s="14" t="str">
        <f>IF($B58="","",
IF(I$5="","",
IF(Midterm!I58="",0,
IF(NOT(ISNUMBER(Midterm!I58)),"NAN",
IF(Midterm!I58&lt;0,"NEG",
IF(Midterm!I58&gt;I$5,"OVER",
IF(AND(I$5&lt;=100,Midterm!I58&gt;100),"ERR",
IF(Info!$B$4="Non-board program",
IF(OR(AND(I$5&gt;0,I$5&gt;100),AND(I$5&gt;0,I$5&lt;100)),
VLOOKUP(FLOOR((Midterm!I58/I$5)*100,1),new_transmute,2,FALSE),
VLOOKUP(Midterm!I58,new_transmute,2,FALSE)
),
IF(Info!$B$4="Board program",
IF(OR(AND(I$5&gt;0,I$5&gt;100),AND(I$5&gt;0,I$5&lt;100)),
VLOOKUP(FLOOR((Midterm!I58/I$5)*100,1),new_transmute,3,FALSE),
VLOOKUP(Midterm!I58,new_transmute,3,FALSE)
),
IF(Info!$B$4="Board program (Medicine)",
IF(OR(AND(I$5&gt;0,I$5&gt;100),AND(I$5&gt;0,I$5&lt;100)),
VLOOKUP(FLOOR((Midterm!I58/I$5)*100,1),new_transmute,4,FALSE),
VLOOKUP(Midterm!I58,new_transmute,4,FALSE)
),
""
)
)
)
)
)
)
)
)
))</f>
        <v/>
      </c>
      <c r="J58" s="14" t="str">
        <f>IF($B58="","",
IF(J$5="","",
IF(Midterm!J58="",0,
IF(NOT(ISNUMBER(Midterm!J58)),"NAN",
IF(Midterm!J58&lt;0,"NEG",
IF(Midterm!J58&gt;J$5,"OVER",
IF(AND(J$5&lt;=100,Midterm!J58&gt;100),"ERR",
IF(Info!$B$4="Non-board program",
IF(OR(AND(J$5&gt;0,J$5&gt;100),AND(J$5&gt;0,J$5&lt;100)),
VLOOKUP(FLOOR((Midterm!J58/J$5)*100,1),new_transmute,2,FALSE),
VLOOKUP(Midterm!J58,new_transmute,2,FALSE)
),
IF(Info!$B$4="Board program",
IF(OR(AND(J$5&gt;0,J$5&gt;100),AND(J$5&gt;0,J$5&lt;100)),
VLOOKUP(FLOOR((Midterm!J58/J$5)*100,1),new_transmute,3,FALSE),
VLOOKUP(Midterm!J58,new_transmute,3,FALSE)
),
IF(Info!$B$4="Board program (Medicine)",
IF(OR(AND(J$5&gt;0,J$5&gt;100),AND(J$5&gt;0,J$5&lt;100)),
VLOOKUP(FLOOR((Midterm!J58/J$5)*100,1),new_transmute,4,FALSE),
VLOOKUP(Midterm!J58,new_transmute,4,FALSE)
),
""
)
)
)
)
)
)
)
)
))</f>
        <v/>
      </c>
      <c r="K58" s="14" t="str">
        <f>IF($B58="","",
IF(K$5="","",
IF(Midterm!K58="",0,
IF(NOT(ISNUMBER(Midterm!K58)),"NAN",
IF(Midterm!K58&lt;0,"NEG",
IF(Midterm!K58&gt;K$5,"OVER",
IF(AND(K$5&lt;=100,Midterm!K58&gt;100),"ERR",
IF(Info!$B$4="Non-board program",
IF(OR(AND(K$5&gt;0,K$5&gt;100),AND(K$5&gt;0,K$5&lt;100)),
VLOOKUP(FLOOR((Midterm!K58/K$5)*100,1),new_transmute,2,FALSE),
VLOOKUP(Midterm!K58,new_transmute,2,FALSE)
),
IF(Info!$B$4="Board program",
IF(OR(AND(K$5&gt;0,K$5&gt;100),AND(K$5&gt;0,K$5&lt;100)),
VLOOKUP(FLOOR((Midterm!K58/K$5)*100,1),new_transmute,3,FALSE),
VLOOKUP(Midterm!K58,new_transmute,3,FALSE)
),
IF(Info!$B$4="Board program (Medicine)",
IF(OR(AND(K$5&gt;0,K$5&gt;100),AND(K$5&gt;0,K$5&lt;100)),
VLOOKUP(FLOOR((Midterm!K58/K$5)*100,1),new_transmute,4,FALSE),
VLOOKUP(Midterm!K58,new_transmute,4,FALSE)
),
""
)
)
)
)
)
)
)
)
))</f>
        <v/>
      </c>
      <c r="L58" s="14" t="str">
        <f>IF($B58="","",
IF(L$5="","",
IF(Midterm!L58="",0,
IF(NOT(ISNUMBER(Midterm!L58)),"NAN",
IF(Midterm!L58&lt;0,"NEG",
IF(Midterm!L58&gt;L$5,"OVER",
IF(AND(L$5&lt;=100,Midterm!L58&gt;100),"ERR",
IF(Info!$B$4="Non-board program",
IF(OR(AND(L$5&gt;0,L$5&gt;100),AND(L$5&gt;0,L$5&lt;100)),
VLOOKUP(FLOOR((Midterm!L58/L$5)*100,1),new_transmute,2,FALSE),
VLOOKUP(Midterm!L58,new_transmute,2,FALSE)
),
IF(Info!$B$4="Board program",
IF(OR(AND(L$5&gt;0,L$5&gt;100),AND(L$5&gt;0,L$5&lt;100)),
VLOOKUP(FLOOR((Midterm!L58/L$5)*100,1),new_transmute,3,FALSE),
VLOOKUP(Midterm!L58,new_transmute,3,FALSE)
),
IF(Info!$B$4="Board program (Medicine)",
IF(OR(AND(L$5&gt;0,L$5&gt;100),AND(L$5&gt;0,L$5&lt;100)),
VLOOKUP(FLOOR((Midterm!L58/L$5)*100,1),new_transmute,4,FALSE),
VLOOKUP(Midterm!L58,new_transmute,4,FALSE)
),
""
)
)
)
)
)
)
)
)
))</f>
        <v/>
      </c>
      <c r="M58" s="111" t="str">
        <f t="shared" si="2"/>
        <v/>
      </c>
      <c r="N58" s="14" t="str">
        <f>IF($B58="","",
IF(N$5="","",
IF(Midterm!N58="",0,
IF(NOT(ISNUMBER(Midterm!N58)),"NAN",
IF(Midterm!N58&lt;0,"NEG",
IF(Midterm!N58&gt;N$5,"OVER",
IF(AND(N$5&lt;=100,Midterm!N58&gt;100),"ERR",
IF(Info!$B$4="Non-board program",
IF(OR(AND(N$5&gt;0,N$5&gt;100),AND(N$5&gt;0,N$5&lt;100)),
VLOOKUP(FLOOR((Midterm!N58/N$5)*100,1),new_transmute,2,FALSE),
VLOOKUP(Midterm!N58,new_transmute,2,FALSE)
),
IF(Info!$B$4="Board program",
IF(OR(AND(N$5&gt;0,N$5&gt;100),AND(N$5&gt;0,N$5&lt;100)),
VLOOKUP(FLOOR((Midterm!N58/N$5)*100,1),new_transmute,3,FALSE),
VLOOKUP(Midterm!N58,new_transmute,3,FALSE)
),
IF(Info!$B$4="Board program (Medicine)",
IF(OR(AND(N$5&gt;0,N$5&gt;100),AND(N$5&gt;0,N$5&lt;100)),
VLOOKUP(FLOOR((Midterm!N58/N$5)*100,1),new_transmute,4,FALSE),
VLOOKUP(Midterm!N58,new_transmute,4,FALSE)
),
""
)
)
)
)
)
)
)
)
))</f>
        <v/>
      </c>
      <c r="O58" s="14" t="str">
        <f>IF($B58="","",
IF(O$5="","",
IF(Midterm!O58="",0,
IF(NOT(ISNUMBER(Midterm!O58)),"NAN",
IF(Midterm!O58&lt;0,"NEG",
IF(Midterm!O58&gt;O$5,"OVER",
IF(AND(O$5&lt;=100,Midterm!O58&gt;100),"ERR",
IF(Info!$B$4="Non-board program",
IF(OR(AND(O$5&gt;0,O$5&gt;100),AND(O$5&gt;0,O$5&lt;100)),
VLOOKUP(FLOOR((Midterm!O58/O$5)*100,1),new_transmute,2,FALSE),
VLOOKUP(Midterm!O58,new_transmute,2,FALSE)
),
IF(Info!$B$4="Board program",
IF(OR(AND(O$5&gt;0,O$5&gt;100),AND(O$5&gt;0,O$5&lt;100)),
VLOOKUP(FLOOR((Midterm!O58/O$5)*100,1),new_transmute,3,FALSE),
VLOOKUP(Midterm!O58,new_transmute,3,FALSE)
),
IF(Info!$B$4="Board program (Medicine)",
IF(OR(AND(O$5&gt;0,O$5&gt;100),AND(O$5&gt;0,O$5&lt;100)),
VLOOKUP(FLOOR((Midterm!O58/O$5)*100,1),new_transmute,4,FALSE),
VLOOKUP(Midterm!O58,new_transmute,4,FALSE)
),
""
)
)
)
)
)
)
)
)
))</f>
        <v/>
      </c>
      <c r="P58" s="14" t="str">
        <f>IF($B58="","",
IF(P$5="","",
IF(Midterm!P58="",0,
IF(NOT(ISNUMBER(Midterm!P58)),"NAN",
IF(Midterm!P58&lt;0,"NEG",
IF(Midterm!P58&gt;P$5,"OVER",
IF(AND(P$5&lt;=100,Midterm!P58&gt;100),"ERR",
IF(Info!$B$4="Non-board program",
IF(OR(AND(P$5&gt;0,P$5&gt;100),AND(P$5&gt;0,P$5&lt;100)),
VLOOKUP(FLOOR((Midterm!P58/P$5)*100,1),new_transmute,2,FALSE),
VLOOKUP(Midterm!P58,new_transmute,2,FALSE)
),
IF(Info!$B$4="Board program",
IF(OR(AND(P$5&gt;0,P$5&gt;100),AND(P$5&gt;0,P$5&lt;100)),
VLOOKUP(FLOOR((Midterm!P58/P$5)*100,1),new_transmute,3,FALSE),
VLOOKUP(Midterm!P58,new_transmute,3,FALSE)
),
IF(Info!$B$4="Board program (Medicine)",
IF(OR(AND(P$5&gt;0,P$5&gt;100),AND(P$5&gt;0,P$5&lt;100)),
VLOOKUP(FLOOR((Midterm!P58/P$5)*100,1),new_transmute,4,FALSE),
VLOOKUP(Midterm!P58,new_transmute,4,FALSE)
),
""
)
)
)
)
)
)
)
)
))</f>
        <v/>
      </c>
      <c r="Q58" s="14" t="str">
        <f>IF($B58="","",
IF(Q$5="","",
IF(Midterm!Q58="",0,
IF(NOT(ISNUMBER(Midterm!Q58)),"NAN",
IF(Midterm!Q58&lt;0,"NEG",
IF(Midterm!Q58&gt;Q$5,"OVER",
IF(AND(Q$5&lt;=100,Midterm!Q58&gt;100),"ERR",
IF(Info!$B$4="Non-board program",
IF(OR(AND(Q$5&gt;0,Q$5&gt;100),AND(Q$5&gt;0,Q$5&lt;100)),
VLOOKUP(FLOOR((Midterm!Q58/Q$5)*100,1),new_transmute,2,FALSE),
VLOOKUP(Midterm!Q58,new_transmute,2,FALSE)
),
IF(Info!$B$4="Board program",
IF(OR(AND(Q$5&gt;0,Q$5&gt;100),AND(Q$5&gt;0,Q$5&lt;100)),
VLOOKUP(FLOOR((Midterm!Q58/Q$5)*100,1),new_transmute,3,FALSE),
VLOOKUP(Midterm!Q58,new_transmute,3,FALSE)
),
IF(Info!$B$4="Board program (Medicine)",
IF(OR(AND(Q$5&gt;0,Q$5&gt;100),AND(Q$5&gt;0,Q$5&lt;100)),
VLOOKUP(FLOOR((Midterm!Q58/Q$5)*100,1),new_transmute,4,FALSE),
VLOOKUP(Midterm!Q58,new_transmute,4,FALSE)
),
""
)
)
)
)
)
)
)
)
))</f>
        <v/>
      </c>
      <c r="R58" s="14" t="str">
        <f>IF($B58="","",
IF(R$5="","",
IF(Midterm!R58="",0,
IF(NOT(ISNUMBER(Midterm!R58)),"NAN",
IF(Midterm!R58&lt;0,"NEG",
IF(Midterm!R58&gt;R$5,"OVER",
IF(AND(R$5&lt;=100,Midterm!R58&gt;100),"ERR",
IF(Info!$B$4="Non-board program",
IF(OR(AND(R$5&gt;0,R$5&gt;100),AND(R$5&gt;0,R$5&lt;100)),
VLOOKUP(FLOOR((Midterm!R58/R$5)*100,1),new_transmute,2,FALSE),
VLOOKUP(Midterm!R58,new_transmute,2,FALSE)
),
IF(Info!$B$4="Board program",
IF(OR(AND(R$5&gt;0,R$5&gt;100),AND(R$5&gt;0,R$5&lt;100)),
VLOOKUP(FLOOR((Midterm!R58/R$5)*100,1),new_transmute,3,FALSE),
VLOOKUP(Midterm!R58,new_transmute,3,FALSE)
),
IF(Info!$B$4="Board program (Medicine)",
IF(OR(AND(R$5&gt;0,R$5&gt;100),AND(R$5&gt;0,R$5&lt;100)),
VLOOKUP(FLOOR((Midterm!R58/R$5)*100,1),new_transmute,4,FALSE),
VLOOKUP(Midterm!R58,new_transmute,4,FALSE)
),
""
)
)
)
)
)
)
)
)
))</f>
        <v/>
      </c>
      <c r="S58" s="115" t="str">
        <f t="shared" si="3"/>
        <v/>
      </c>
      <c r="T58" s="14" t="str">
        <f>IF($B58="","",
IF(T$5="","",
IF(Midterm!T58="",0,
IF(NOT(ISNUMBER(Midterm!T58)),"NAN",
IF(Midterm!T58&lt;0,"NEG",
IF(Midterm!T58&gt;T$5,"OVER",
IF(AND(T$5&lt;=100,Midterm!T58&gt;100),"ERR",
IF(Info!$B$4="Non-board program",
IF(OR(AND(T$5&gt;0,T$5&gt;100),AND(T$5&gt;0,T$5&lt;100)),
VLOOKUP(FLOOR((Midterm!T58/T$5)*100,1),new_transmute,2,FALSE),
VLOOKUP(Midterm!T58,new_transmute,2,FALSE)
),
IF(Info!$B$4="Board program",
IF(OR(AND(T$5&gt;0,T$5&gt;100),AND(T$5&gt;0,T$5&lt;100)),
VLOOKUP(FLOOR((Midterm!T58/T$5)*100,1),new_transmute,3,FALSE),
VLOOKUP(Midterm!T58,new_transmute,3,FALSE)
),
IF(Info!$B$4="Board program (Medicine)",
IF(OR(AND(T$5&gt;0,T$5&gt;100),AND(T$5&gt;0,T$5&lt;100)),
VLOOKUP(FLOOR((Midterm!T58/T$5)*100,1),new_transmute,4,FALSE),
VLOOKUP(Midterm!T58,new_transmute,4,FALSE)
),
""
)
)
)
)
)
)
)
)
))</f>
        <v/>
      </c>
      <c r="U58" s="14" t="str">
        <f>IF($B58="","",
IF(U$5="","",
IF(Midterm!U58="",0,
IF(NOT(ISNUMBER(Midterm!U58)),"NAN",
IF(Midterm!U58&lt;0,"NEG",
IF(Midterm!U58&gt;U$5,"OVER",
IF(AND(U$5&lt;=100,Midterm!U58&gt;100),"ERR",
IF(Info!$B$4="Non-board program",
IF(OR(AND(U$5&gt;0,U$5&gt;100),AND(U$5&gt;0,U$5&lt;100)),
VLOOKUP(FLOOR((Midterm!U58/U$5)*100,1),new_transmute,2,FALSE),
VLOOKUP(Midterm!U58,new_transmute,2,FALSE)
),
IF(Info!$B$4="Board program",
IF(OR(AND(U$5&gt;0,U$5&gt;100),AND(U$5&gt;0,U$5&lt;100)),
VLOOKUP(FLOOR((Midterm!U58/U$5)*100,1),new_transmute,3,FALSE),
VLOOKUP(Midterm!U58,new_transmute,3,FALSE)
),
IF(Info!$B$4="Board program (Medicine)",
IF(OR(AND(U$5&gt;0,U$5&gt;100),AND(U$5&gt;0,U$5&lt;100)),
VLOOKUP(FLOOR((Midterm!U58/U$5)*100,1),new_transmute,4,FALSE),
VLOOKUP(Midterm!U58,new_transmute,4,FALSE)
),
""
)
)
)
)
)
)
)
)
))</f>
        <v/>
      </c>
      <c r="V58" s="14" t="str">
        <f>IF($B58="","",
IF(V$5="","",
IF(Midterm!V58="",0,
IF(NOT(ISNUMBER(Midterm!V58)),"NAN",
IF(Midterm!V58&lt;0,"NEG",
IF(Midterm!V58&gt;V$5,"OVER",
IF(AND(V$5&lt;=100,Midterm!V58&gt;100),"ERR",
IF(Info!$B$4="Non-board program",
IF(OR(AND(V$5&gt;0,V$5&gt;100),AND(V$5&gt;0,V$5&lt;100)),
VLOOKUP(FLOOR((Midterm!V58/V$5)*100,1),new_transmute,2,FALSE),
VLOOKUP(Midterm!V58,new_transmute,2,FALSE)
),
IF(Info!$B$4="Board program",
IF(OR(AND(V$5&gt;0,V$5&gt;100),AND(V$5&gt;0,V$5&lt;100)),
VLOOKUP(FLOOR((Midterm!V58/V$5)*100,1),new_transmute,3,FALSE),
VLOOKUP(Midterm!V58,new_transmute,3,FALSE)
),
IF(Info!$B$4="Board program (Medicine)",
IF(OR(AND(V$5&gt;0,V$5&gt;100),AND(V$5&gt;0,V$5&lt;100)),
VLOOKUP(FLOOR((Midterm!V58/V$5)*100,1),new_transmute,4,FALSE),
VLOOKUP(Midterm!V58,new_transmute,4,FALSE)
),
""
)
)
)
)
)
)
)
)
))</f>
        <v/>
      </c>
      <c r="W58" s="14" t="str">
        <f>IF($B58="","",
IF(W$5="","",
IF(Midterm!W58="",0,
IF(NOT(ISNUMBER(Midterm!W58)),"NAN",
IF(Midterm!W58&lt;0,"NEG",
IF(Midterm!W58&gt;W$5,"OVER",
IF(AND(W$5&lt;=100,Midterm!W58&gt;100),"ERR",
IF(Info!$B$4="Non-board program",
IF(OR(AND(W$5&gt;0,W$5&gt;100),AND(W$5&gt;0,W$5&lt;100)),
VLOOKUP(FLOOR((Midterm!W58/W$5)*100,1),new_transmute,2,FALSE),
VLOOKUP(Midterm!W58,new_transmute,2,FALSE)
),
IF(Info!$B$4="Board program",
IF(OR(AND(W$5&gt;0,W$5&gt;100),AND(W$5&gt;0,W$5&lt;100)),
VLOOKUP(FLOOR((Midterm!W58/W$5)*100,1),new_transmute,3,FALSE),
VLOOKUP(Midterm!W58,new_transmute,3,FALSE)
),
IF(Info!$B$4="Board program (Medicine)",
IF(OR(AND(W$5&gt;0,W$5&gt;100),AND(W$5&gt;0,W$5&lt;100)),
VLOOKUP(FLOOR((Midterm!W58/W$5)*100,1),new_transmute,4,FALSE),
VLOOKUP(Midterm!W58,new_transmute,4,FALSE)
),
""
)
)
)
)
)
)
)
)
))</f>
        <v/>
      </c>
      <c r="X58" s="14" t="str">
        <f>IF($B58="","",
IF(X$5="","",
IF(Midterm!X58="",0,
IF(NOT(ISNUMBER(Midterm!X58)),"NAN",
IF(Midterm!X58&lt;0,"NEG",
IF(Midterm!X58&gt;X$5,"OVER",
IF(AND(X$5&lt;=100,Midterm!X58&gt;100),"ERR",
IF(Info!$B$4="Non-board program",
IF(OR(AND(X$5&gt;0,X$5&gt;100),AND(X$5&gt;0,X$5&lt;100)),
VLOOKUP(FLOOR((Midterm!X58/X$5)*100,1),new_transmute,2,FALSE),
VLOOKUP(Midterm!X58,new_transmute,2,FALSE)
),
IF(Info!$B$4="Board program",
IF(OR(AND(X$5&gt;0,X$5&gt;100),AND(X$5&gt;0,X$5&lt;100)),
VLOOKUP(FLOOR((Midterm!X58/X$5)*100,1),new_transmute,3,FALSE),
VLOOKUP(Midterm!X58,new_transmute,3,FALSE)
),
IF(Info!$B$4="Board program (Medicine)",
IF(OR(AND(X$5&gt;0,X$5&gt;100),AND(X$5&gt;0,X$5&lt;100)),
VLOOKUP(FLOOR((Midterm!X58/X$5)*100,1),new_transmute,4,FALSE),
VLOOKUP(Midterm!X58,new_transmute,4,FALSE)
),
""
)
)
)
)
)
)
)
)
))</f>
        <v/>
      </c>
      <c r="Y58" s="112" t="str">
        <f t="shared" si="4"/>
        <v/>
      </c>
      <c r="Z58" s="14" t="str">
        <f>IF($B58="","",
IF(Z$5="","",
IF(Midterm!Z58="",0,
IF(NOT(ISNUMBER(Midterm!Z58)),"NAN",
IF(Midterm!Z58&lt;0,"NEG",
IF(Midterm!Z58&gt;Z$5,"OVER",
IF(AND(Z$5&lt;=100,Midterm!Z58&gt;100),"ERR",
IF(Info!$B$4="Non-board program",
IF(OR(AND(Z$5&gt;0,Z$5&gt;100),AND(Z$5&gt;0,Z$5&lt;100)),
VLOOKUP(FLOOR((Midterm!Z58/Z$5)*100,1),new_transmute,2,FALSE),
VLOOKUP(Midterm!Z58,new_transmute,2,FALSE)
),
IF(Info!$B$4="Board program",
IF(OR(AND(Z$5&gt;0,Z$5&gt;100),AND(Z$5&gt;0,Z$5&lt;100)),
VLOOKUP(FLOOR((Midterm!Z58/Z$5)*100,1),new_transmute,3,FALSE),
VLOOKUP(Midterm!Z58,new_transmute,3,FALSE)
),
IF(Info!$B$4="Board program (Medicine)",
IF(OR(AND(Z$5&gt;0,Z$5&gt;100),AND(Z$5&gt;0,Z$5&lt;100)),
VLOOKUP(FLOOR((Midterm!Z58/Z$5)*100,1),new_transmute,4,FALSE),
VLOOKUP(Midterm!Z58,new_transmute,4,FALSE)
),
""
)
)
)
)
)
)
)
)
))</f>
        <v/>
      </c>
      <c r="AA58" s="14" t="str">
        <f>IF($B58="","",
IF(AA$5="","",
IF(Midterm!AA58="",0,
IF(NOT(ISNUMBER(Midterm!AA58)),"NAN",
IF(Midterm!AA58&lt;0,"NEG",
IF(Midterm!AA58&gt;AA$5,"OVER",
IF(AND(AA$5&lt;=100,Midterm!AA58&gt;100),"ERR",
IF(Info!$B$4="Non-board program",
IF(OR(AND(AA$5&gt;0,AA$5&gt;100),AND(AA$5&gt;0,AA$5&lt;100)),
VLOOKUP(FLOOR((Midterm!AA58/AA$5)*100,1),new_transmute,2,FALSE),
VLOOKUP(Midterm!AA58,new_transmute,2,FALSE)
),
IF(Info!$B$4="Board program",
IF(OR(AND(AA$5&gt;0,AA$5&gt;100),AND(AA$5&gt;0,AA$5&lt;100)),
VLOOKUP(FLOOR((Midterm!AA58/AA$5)*100,1),new_transmute,3,FALSE),
VLOOKUP(Midterm!AA58,new_transmute,3,FALSE)
),
IF(Info!$B$4="Board program (Medicine)",
IF(OR(AND(AA$5&gt;0,AA$5&gt;100),AND(AA$5&gt;0,AA$5&lt;100)),
VLOOKUP(FLOOR((Midterm!AA58/AA$5)*100,1),new_transmute,4,FALSE),
VLOOKUP(Midterm!AA58,new_transmute,4,FALSE)
),
""
)
)
)
)
)
)
)
)
))</f>
        <v/>
      </c>
      <c r="AB58" s="14" t="str">
        <f>IF($B58="","",
IF(AB$5="","",
IF(Midterm!AB58="",0,
IF(NOT(ISNUMBER(Midterm!AB58)),"NAN",
IF(Midterm!AB58&lt;0,"NEG",
IF(Midterm!AB58&gt;AB$5,"OVER",
IF(AND(AB$5&lt;=100,Midterm!AB58&gt;100),"ERR",
IF(Info!$B$4="Non-board program",
IF(OR(AND(AB$5&gt;0,AB$5&gt;100),AND(AB$5&gt;0,AB$5&lt;100)),
VLOOKUP(FLOOR((Midterm!AB58/AB$5)*100,1),new_transmute,2,FALSE),
VLOOKUP(Midterm!AB58,new_transmute,2,FALSE)
),
IF(Info!$B$4="Board program",
IF(OR(AND(AB$5&gt;0,AB$5&gt;100),AND(AB$5&gt;0,AB$5&lt;100)),
VLOOKUP(FLOOR((Midterm!AB58/AB$5)*100,1),new_transmute,3,FALSE),
VLOOKUP(Midterm!AB58,new_transmute,3,FALSE)
),
IF(Info!$B$4="Board program (Medicine)",
IF(OR(AND(AB$5&gt;0,AB$5&gt;100),AND(AB$5&gt;0,AB$5&lt;100)),
VLOOKUP(FLOOR((Midterm!AB58/AB$5)*100,1),new_transmute,4,FALSE),
VLOOKUP(Midterm!AB58,new_transmute,4,FALSE)
),
""
)
)
)
)
)
)
)
)
))</f>
        <v/>
      </c>
      <c r="AC58" s="14" t="str">
        <f>IF($B58="","",
IF(AC$5="","",
IF(Midterm!AC58="",0,
IF(NOT(ISNUMBER(Midterm!AC58)),"NAN",
IF(Midterm!AC58&lt;0,"NEG",
IF(Midterm!AC58&gt;AC$5,"OVER",
IF(AND(AC$5&lt;=100,Midterm!AC58&gt;100),"ERR",
IF(Info!$B$4="Non-board program",
IF(OR(AND(AC$5&gt;0,AC$5&gt;100),AND(AC$5&gt;0,AC$5&lt;100)),
VLOOKUP(FLOOR((Midterm!AC58/AC$5)*100,1),new_transmute,2,FALSE),
VLOOKUP(Midterm!AC58,new_transmute,2,FALSE)
),
IF(Info!$B$4="Board program",
IF(OR(AND(AC$5&gt;0,AC$5&gt;100),AND(AC$5&gt;0,AC$5&lt;100)),
VLOOKUP(FLOOR((Midterm!AC58/AC$5)*100,1),new_transmute,3,FALSE),
VLOOKUP(Midterm!AC58,new_transmute,3,FALSE)
),
IF(Info!$B$4="Board program (Medicine)",
IF(OR(AND(AC$5&gt;0,AC$5&gt;100),AND(AC$5&gt;0,AC$5&lt;100)),
VLOOKUP(FLOOR((Midterm!AC58/AC$5)*100,1),new_transmute,4,FALSE),
VLOOKUP(Midterm!AC58,new_transmute,4,FALSE)
),
""
)
)
)
)
)
)
)
)
))</f>
        <v/>
      </c>
      <c r="AD58" s="14" t="str">
        <f>IF($B58="","",
IF(AD$5="","",
IF(Midterm!AD58="",0,
IF(NOT(ISNUMBER(Midterm!AD58)),"NAN",
IF(Midterm!AD58&lt;0,"NEG",
IF(Midterm!AD58&gt;AD$5,"OVER",
IF(AND(AD$5&lt;=100,Midterm!AD58&gt;100),"ERR",
IF(Info!$B$4="Non-board program",
IF(OR(AND(AD$5&gt;0,AD$5&gt;100),AND(AD$5&gt;0,AD$5&lt;100)),
VLOOKUP(FLOOR((Midterm!AD58/AD$5)*100,1),new_transmute,2,FALSE),
VLOOKUP(Midterm!AD58,new_transmute,2,FALSE)
),
IF(Info!$B$4="Board program",
IF(OR(AND(AD$5&gt;0,AD$5&gt;100),AND(AD$5&gt;0,AD$5&lt;100)),
VLOOKUP(FLOOR((Midterm!AD58/AD$5)*100,1),new_transmute,3,FALSE),
VLOOKUP(Midterm!AD58,new_transmute,3,FALSE)
),
IF(Info!$B$4="Board program (Medicine)",
IF(OR(AND(AD$5&gt;0,AD$5&gt;100),AND(AD$5&gt;0,AD$5&lt;100)),
VLOOKUP(FLOOR((Midterm!AD58/AD$5)*100,1),new_transmute,4,FALSE),
VLOOKUP(Midterm!AD58,new_transmute,4,FALSE)
),
""
)
)
)
)
)
)
)
)
))</f>
        <v/>
      </c>
      <c r="AE58" s="58" t="str">
        <f t="shared" si="5"/>
        <v/>
      </c>
      <c r="AF58" s="14" t="str">
        <f>IF($B58="","",
IF(AF$5="","",
IF(Midterm!AF58="",0,
IF(NOT(ISNUMBER(Midterm!AF58)),"NAN",
IF(Midterm!AF58&lt;0,"NEG",
IF(Midterm!AF58&gt;AF$5,"OVER",
IF(AND(AF$5&lt;=100,Midterm!AF58&gt;100),"ERR",
IF(Info!$B$4="Non-board program",
IF(OR(AND(AF$5&gt;0,AF$5&gt;100),AND(AF$5&gt;0,AF$5&lt;100)),
VLOOKUP(FLOOR((Midterm!AF58/AF$5)*100,1),new_transmute,2,FALSE),
VLOOKUP(Midterm!AF58,new_transmute,2,FALSE)
),
IF(Info!$B$4="Board program",
IF(OR(AND(AF$5&gt;0,AF$5&gt;100),AND(AF$5&gt;0,AF$5&lt;100)),
VLOOKUP(FLOOR((Midterm!AF58/AF$5)*100,1),new_transmute,3,FALSE),
VLOOKUP(Midterm!AF58,new_transmute,3,FALSE)
),
IF(Info!$B$4="Board program (Medicine)",
IF(OR(AND(AF$5&gt;0,AF$5&gt;100),AND(AF$5&gt;0,AF$5&lt;100)),
VLOOKUP(FLOOR((Midterm!AF58/AF$5)*100,1),new_transmute,4,FALSE),
VLOOKUP(Midterm!AF58,new_transmute,4,FALSE)
),
""
)
)
)
)
)
)
)
)
))</f>
        <v/>
      </c>
      <c r="AG58" s="14" t="str">
        <f>IF($B58="","",
IF(AG$5="","",
IF(Midterm!AG58="",0,
IF(NOT(ISNUMBER(Midterm!AG58)),"NAN",
IF(Midterm!AG58&lt;0,"NEG",
IF(Midterm!AG58&gt;AG$5,"OVER",
IF(AND(AG$5&lt;=100,Midterm!AG58&gt;100),"ERR",
IF(Info!$B$4="Non-board program",
IF(OR(AND(AG$5&gt;0,AG$5&gt;100),AND(AG$5&gt;0,AG$5&lt;100)),
VLOOKUP(FLOOR((Midterm!AG58/AG$5)*100,1),new_transmute,2,FALSE),
VLOOKUP(Midterm!AG58,new_transmute,2,FALSE)
),
IF(Info!$B$4="Board program",
IF(OR(AND(AG$5&gt;0,AG$5&gt;100),AND(AG$5&gt;0,AG$5&lt;100)),
VLOOKUP(FLOOR((Midterm!AG58/AG$5)*100,1),new_transmute,3,FALSE),
VLOOKUP(Midterm!AG58,new_transmute,3,FALSE)
),
IF(Info!$B$4="Board program (Medicine)",
IF(OR(AND(AG$5&gt;0,AG$5&gt;100),AND(AG$5&gt;0,AG$5&lt;100)),
VLOOKUP(FLOOR((Midterm!AG58/AG$5)*100,1),new_transmute,4,FALSE),
VLOOKUP(Midterm!AG58,new_transmute,4,FALSE)
),
""
)
)
)
)
)
)
)
)
))</f>
        <v/>
      </c>
      <c r="AH58" s="14" t="str">
        <f>IF($B58="","",
IF(AH$5="","",
IF(Midterm!AH58="",0,
IF(NOT(ISNUMBER(Midterm!AH58)),"NAN",
IF(Midterm!AH58&lt;0,"NEG",
IF(Midterm!AH58&gt;AH$5,"OVER",
IF(AND(AH$5&lt;=100,Midterm!AH58&gt;100),"ERR",
IF(Info!$B$4="Non-board program",
IF(OR(AND(AH$5&gt;0,AH$5&gt;100),AND(AH$5&gt;0,AH$5&lt;100)),
VLOOKUP(FLOOR((Midterm!AH58/AH$5)*100,1),new_transmute,2,FALSE),
VLOOKUP(Midterm!AH58,new_transmute,2,FALSE)
),
IF(Info!$B$4="Board program",
IF(OR(AND(AH$5&gt;0,AH$5&gt;100),AND(AH$5&gt;0,AH$5&lt;100)),
VLOOKUP(FLOOR((Midterm!AH58/AH$5)*100,1),new_transmute,3,FALSE),
VLOOKUP(Midterm!AH58,new_transmute,3,FALSE)
),
IF(Info!$B$4="Board program (Medicine)",
IF(OR(AND(AH$5&gt;0,AH$5&gt;100),AND(AH$5&gt;0,AH$5&lt;100)),
VLOOKUP(FLOOR((Midterm!AH58/AH$5)*100,1),new_transmute,4,FALSE),
VLOOKUP(Midterm!AH58,new_transmute,4,FALSE)
),
""
)
)
)
)
)
)
)
)
))</f>
        <v/>
      </c>
      <c r="AI58" s="14" t="str">
        <f>IF($B58="","",
IF(AI$5="","",
IF(Midterm!AI58="",0,
IF(NOT(ISNUMBER(Midterm!AI58)),"NAN",
IF(Midterm!AI58&lt;0,"NEG",
IF(Midterm!AI58&gt;AI$5,"OVER",
IF(AND(AI$5&lt;=100,Midterm!AI58&gt;100),"ERR",
IF(Info!$B$4="Non-board program",
IF(OR(AND(AI$5&gt;0,AI$5&gt;100),AND(AI$5&gt;0,AI$5&lt;100)),
VLOOKUP(FLOOR((Midterm!AI58/AI$5)*100,1),new_transmute,2,FALSE),
VLOOKUP(Midterm!AI58,new_transmute,2,FALSE)
),
IF(Info!$B$4="Board program",
IF(OR(AND(AI$5&gt;0,AI$5&gt;100),AND(AI$5&gt;0,AI$5&lt;100)),
VLOOKUP(FLOOR((Midterm!AI58/AI$5)*100,1),new_transmute,3,FALSE),
VLOOKUP(Midterm!AI58,new_transmute,3,FALSE)
),
IF(Info!$B$4="Board program (Medicine)",
IF(OR(AND(AI$5&gt;0,AI$5&gt;100),AND(AI$5&gt;0,AI$5&lt;100)),
VLOOKUP(FLOOR((Midterm!AI58/AI$5)*100,1),new_transmute,4,FALSE),
VLOOKUP(Midterm!AI58,new_transmute,4,FALSE)
),
""
)
)
)
)
)
)
)
)
))</f>
        <v/>
      </c>
      <c r="AJ58" s="14" t="str">
        <f>IF($B58="","",
IF(AJ$5="","",
IF(Midterm!AJ58="",0,
IF(NOT(ISNUMBER(Midterm!AJ58)),"NAN",
IF(Midterm!AJ58&lt;0,"NEG",
IF(Midterm!AJ58&gt;AJ$5,"OVER",
IF(AND(AJ$5&lt;=100,Midterm!AJ58&gt;100),"ERR",
IF(Info!$B$4="Non-board program",
IF(OR(AND(AJ$5&gt;0,AJ$5&gt;100),AND(AJ$5&gt;0,AJ$5&lt;100)),
VLOOKUP(FLOOR((Midterm!AJ58/AJ$5)*100,1),new_transmute,2,FALSE),
VLOOKUP(Midterm!AJ58,new_transmute,2,FALSE)
),
IF(Info!$B$4="Board program",
IF(OR(AND(AJ$5&gt;0,AJ$5&gt;100),AND(AJ$5&gt;0,AJ$5&lt;100)),
VLOOKUP(FLOOR((Midterm!AJ58/AJ$5)*100,1),new_transmute,3,FALSE),
VLOOKUP(Midterm!AJ58,new_transmute,3,FALSE)
),
IF(Info!$B$4="Board program (Medicine)",
IF(OR(AND(AJ$5&gt;0,AJ$5&gt;100),AND(AJ$5&gt;0,AJ$5&lt;100)),
VLOOKUP(FLOOR((Midterm!AJ58/AJ$5)*100,1),new_transmute,4,FALSE),
VLOOKUP(Midterm!AJ58,new_transmute,4,FALSE)
),
""
)
)
)
)
)
)
)
)
))</f>
        <v/>
      </c>
      <c r="AK58" s="59" t="str">
        <f t="shared" si="6"/>
        <v/>
      </c>
      <c r="AL58" s="60" t="str">
        <f>IF(B58="", "",
    IF(OR(M58="OVER", S58="OVER", Y58="OVER", AE58="OVER", AK58="OVER"),
        "OVER",
        IF(Info!$B$4="Non-board program",
            VLOOKUP(IFERROR(FLOOR(SUM((M58*$M$4), (S58*$S$4), (Y58*$Y$4), (AE58*$AE$4), (AK58*$AK$4)) * (100 / 60), 1), 0), new_transmute, 2, FALSE),
            IF(Info!$B$4="Board program",
                VLOOKUP(IFERROR(FLOOR(SUM((M58*$M$4), (S58*$S$4), (Y58*$Y$4), (AE58*$AE$4), (AK58*$AK$4)) * (100 / 60), 1), 0), new_transmute, 3, FALSE),
                IF(Info!$B$4="Board program (Medicine)",
                    VLOOKUP(IFERROR(FLOOR(SUM((M58*$M$4), (S58*$S$4), (Y58*$Y$4), (AE58*$AE$4), (AK58*$AK$4)) * (100 / 60), 1), 0), new_transmute, 4, FALSE),
                    ""
                )
            )
        )
    )
)</f>
        <v/>
      </c>
      <c r="AM58" s="14" t="str">
        <f>IF($B58="","",
IF(AM$5="","",
IF(Midterm!AM58="",0,
IF(NOT(ISNUMBER(Midterm!AM58)),"NAN",
IF(Midterm!AM58&lt;0,"NEG",
IF(Midterm!AM58&gt;AM$5,"OVER",
IF(AND(AM$5&lt;=100,Midterm!AM58&gt;100),"ERR",
IF(Info!$B$4="Non-board program",
IF(OR(AND(AM$5&gt;0,AM$5&gt;100),AND(AM$5&gt;0,AM$5&lt;100)),
VLOOKUP(FLOOR((Midterm!AM58/AM$5)*100,1),new_transmute,2,FALSE),
VLOOKUP(Midterm!AM58,new_transmute,2,FALSE)
),
IF(Info!$B$4="Board program",
IF(OR(AND(AM$5&gt;0,AM$5&gt;100),AND(AM$5&gt;0,AM$5&lt;100)),
VLOOKUP(FLOOR((Midterm!AM58/AM$5)*100,1),new_transmute,3,FALSE),
VLOOKUP(Midterm!AM58,new_transmute,3,FALSE)
),
IF(Info!$B$4="Board program (Medicine)",
IF(OR(AND(AM$5&gt;0,AM$5&gt;100),AND(AM$5&gt;0,AM$5&lt;100)),
VLOOKUP(FLOOR((Midterm!AM58/AM$5)*100,1),new_transmute,4,FALSE),
VLOOKUP(Midterm!AM58,new_transmute,4,FALSE)
),
""
)
)
)
)
)
)
)
)
))</f>
        <v/>
      </c>
      <c r="AN58" s="14" t="str">
        <f>IF($B58="","",
IF(AN$5="","",
IF(Midterm!AN58="",0,
IF(NOT(ISNUMBER(Midterm!AN58)),"NAN",
IF(Midterm!AN58&lt;0,"NEG",
IF(Midterm!AN58&gt;AN$5,"OVER",
IF(AND(AN$5&lt;=100,Midterm!AN58&gt;100),"ERR",
IF(Info!$B$4="Non-board program",
IF(OR(AND(AN$5&gt;0,AN$5&gt;100),AND(AN$5&gt;0,AN$5&lt;100)),
VLOOKUP(FLOOR((Midterm!AN58/AN$5)*100,1),new_transmute,2,FALSE),
VLOOKUP(Midterm!AN58,new_transmute,2,FALSE)
),
IF(Info!$B$4="Board program",
IF(OR(AND(AN$5&gt;0,AN$5&gt;100),AND(AN$5&gt;0,AN$5&lt;100)),
VLOOKUP(FLOOR((Midterm!AN58/AN$5)*100,1),new_transmute,3,FALSE),
VLOOKUP(Midterm!AN58,new_transmute,3,FALSE)
),
IF(Info!$B$4="Board program (Medicine)",
IF(OR(AND(AN$5&gt;0,AN$5&gt;100),AND(AN$5&gt;0,AN$5&lt;100)),
VLOOKUP(FLOOR((Midterm!AN58/AN$5)*100,1),new_transmute,4,FALSE),
VLOOKUP(Midterm!AN58,new_transmute,4,FALSE)
),
""
)
)
)
)
)
)
)
)
))</f>
        <v/>
      </c>
      <c r="AO58" s="14" t="str">
        <f>IF($B58="","",
IF(AO$5="","",
IF(Midterm!AO58="",0,
IF(NOT(ISNUMBER(Midterm!AO58)),"NAN",
IF(Midterm!AO58&lt;0,"NEG",
IF(Midterm!AO58&gt;AO$5,"OVER",
IF(AND(AO$5&lt;=100,Midterm!AO58&gt;100),"ERR",
IF(Info!$B$4="Non-board program",
IF(OR(AND(AO$5&gt;0,AO$5&gt;100),AND(AO$5&gt;0,AO$5&lt;100)),
VLOOKUP(FLOOR((Midterm!AO58/AO$5)*100,1),new_transmute,2,FALSE),
VLOOKUP(Midterm!AO58,new_transmute,2,FALSE)
),
IF(Info!$B$4="Board program",
IF(OR(AND(AO$5&gt;0,AO$5&gt;100),AND(AO$5&gt;0,AO$5&lt;100)),
VLOOKUP(FLOOR((Midterm!AO58/AO$5)*100,1),new_transmute,3,FALSE),
VLOOKUP(Midterm!AO58,new_transmute,3,FALSE)
),
IF(Info!$B$4="Board program (Medicine)",
IF(OR(AND(AO$5&gt;0,AO$5&gt;100),AND(AO$5&gt;0,AO$5&lt;100)),
VLOOKUP(FLOOR((Midterm!AO58/AO$5)*100,1),new_transmute,4,FALSE),
VLOOKUP(Midterm!AO58,new_transmute,4,FALSE)
),
""
)
)
)
)
)
)
)
)
))</f>
        <v/>
      </c>
      <c r="AP58" s="14" t="str">
        <f>IF($B58="","",
IF(AP$5="","",
IF(Midterm!AP58="",0,
IF(NOT(ISNUMBER(Midterm!AP58)),"NAN",
IF(Midterm!AP58&lt;0,"NEG",
IF(Midterm!AP58&gt;AP$5,"OVER",
IF(AND(AP$5&lt;=100,Midterm!AP58&gt;100),"ERR",
IF(Info!$B$4="Non-board program",
IF(OR(AND(AP$5&gt;0,AP$5&gt;100),AND(AP$5&gt;0,AP$5&lt;100)),
VLOOKUP(FLOOR((Midterm!AP58/AP$5)*100,1),new_transmute,2,FALSE),
VLOOKUP(Midterm!AP58,new_transmute,2,FALSE)
),
IF(Info!$B$4="Board program",
IF(OR(AND(AP$5&gt;0,AP$5&gt;100),AND(AP$5&gt;0,AP$5&lt;100)),
VLOOKUP(FLOOR((Midterm!AP58/AP$5)*100,1),new_transmute,3,FALSE),
VLOOKUP(Midterm!AP58,new_transmute,3,FALSE)
),
IF(Info!$B$4="Board program (Medicine)",
IF(OR(AND(AP$5&gt;0,AP$5&gt;100),AND(AP$5&gt;0,AP$5&lt;100)),
VLOOKUP(FLOOR((Midterm!AP58/AP$5)*100,1),new_transmute,4,FALSE),
VLOOKUP(Midterm!AP58,new_transmute,4,FALSE)
),
""
)
)
)
)
)
)
)
)
))</f>
        <v/>
      </c>
      <c r="AQ58" s="61" t="str">
        <f t="shared" si="7"/>
        <v/>
      </c>
      <c r="AR58" s="48" t="str">
        <f>IF(Midterm!AR58="","",Midterm!AR58)</f>
        <v/>
      </c>
      <c r="AS58" s="165" t="str">
        <f t="shared" si="8"/>
        <v/>
      </c>
      <c r="AT58" s="14" t="str">
        <f t="shared" si="9"/>
        <v/>
      </c>
      <c r="AU58" s="14" t="str">
        <f>IF(B58="","",VLOOKUP(AT58,'New Grade Equivalent'!$B$3:$C$47,2,FALSE))</f>
        <v/>
      </c>
    </row>
    <row r="59" spans="1:47" x14ac:dyDescent="0.25">
      <c r="A59" s="8">
        <v>54</v>
      </c>
      <c r="B59" s="2" t="str">
        <f>IF('Student List'!C63="","",UPPER(LEFT('Student List'!C63,FIND(",",'Student List'!C63)-1)))</f>
        <v/>
      </c>
      <c r="C59" s="12" t="str">
        <f>IF('Student List'!C63="","",PROPER(MID('Student List'!C63, FIND(",", 'Student List'!C63) + 2, LEN('Student List'!C63) - FIND(",", 'Student List'!C63) - 1)))</f>
        <v/>
      </c>
      <c r="D59" s="127" t="str">
        <f>IF(B59="","",IF(Midterm!D59="", "NA", Midterm!D59))</f>
        <v/>
      </c>
      <c r="E59" s="8" t="str">
        <f>IF(B59="","",
  IF(Info!$B$5="First Year",
    IF(D59="Yes", "DRP",
      IF(D59="No", "WF", "")
    )
  )
)</f>
        <v/>
      </c>
      <c r="F59" s="14" t="str">
        <f>IF($B59="","",
IF(F$5="","",
IF(Midterm!F59="",0,
IF(NOT(ISNUMBER(Midterm!F59)),"NAN",
IF(Midterm!F59&lt;0,"NEG",
IF(Midterm!F59&gt;F$5,"OVER",
IF(AND(F$5&lt;=100,Midterm!F59&gt;100),"ERR",
IF(Info!$B$4="Non-board program",
IF(OR(AND(F$5&gt;0,F$5&gt;100),AND(F$5&gt;0,F$5&lt;100)),
VLOOKUP(FLOOR((Midterm!F59/F$5)*100,1),new_transmute,2,FALSE),
VLOOKUP(Midterm!F59,new_transmute,2,FALSE)
),
IF(Info!$B$4="Board program",
IF(OR(AND(F$5&gt;0,F$5&gt;100),AND(F$5&gt;0,F$5&lt;100)),
VLOOKUP(FLOOR((Midterm!F59/F$5)*100,1),new_transmute,3,FALSE),
VLOOKUP(Midterm!F59,new_transmute,3,FALSE)
),
IF(Info!$B$4="Board program (Medicine)",
IF(OR(AND(F$5&gt;0,F$5&gt;100),AND(F$5&gt;0,F$5&lt;100)),
VLOOKUP(FLOOR((Midterm!F59/F$5)*100,1),new_transmute,4,FALSE),
VLOOKUP(Midterm!F59,new_transmute,4,FALSE)
),
""
)
)
)
)
)
)
)
)
))</f>
        <v/>
      </c>
      <c r="G59" s="57" t="str">
        <f t="shared" si="1"/>
        <v/>
      </c>
      <c r="H59" s="14" t="str">
        <f>IF($B59="","",
IF(H$5="","",
IF(Midterm!H59="",0,
IF(NOT(ISNUMBER(Midterm!H59)),"NAN",
IF(Midterm!H59&lt;0,"NEG",
IF(Midterm!H59&gt;H$5,"OVER",
IF(AND(H$5&lt;=100,Midterm!H59&gt;100),"ERR",
IF(Info!$B$4="Non-board program",
IF(OR(AND(H$5&gt;0,H$5&gt;100),AND(H$5&gt;0,H$5&lt;100)),
VLOOKUP(FLOOR((Midterm!H59/H$5)*100,1),new_transmute,2,FALSE),
VLOOKUP(Midterm!H59,new_transmute,2,FALSE)
),
IF(Info!$B$4="Board program",
IF(OR(AND(H$5&gt;0,H$5&gt;100),AND(H$5&gt;0,H$5&lt;100)),
VLOOKUP(FLOOR((Midterm!H59/H$5)*100,1),new_transmute,3,FALSE),
VLOOKUP(Midterm!H59,new_transmute,3,FALSE)
),
IF(Info!$B$4="Board program (Medicine)",
IF(OR(AND(H$5&gt;0,H$5&gt;100),AND(H$5&gt;0,H$5&lt;100)),
VLOOKUP(FLOOR((Midterm!H59/H$5)*100,1),new_transmute,4,FALSE),
VLOOKUP(Midterm!H59,new_transmute,4,FALSE)
),
""
)
)
)
)
)
)
)
)
))</f>
        <v/>
      </c>
      <c r="I59" s="14" t="str">
        <f>IF($B59="","",
IF(I$5="","",
IF(Midterm!I59="",0,
IF(NOT(ISNUMBER(Midterm!I59)),"NAN",
IF(Midterm!I59&lt;0,"NEG",
IF(Midterm!I59&gt;I$5,"OVER",
IF(AND(I$5&lt;=100,Midterm!I59&gt;100),"ERR",
IF(Info!$B$4="Non-board program",
IF(OR(AND(I$5&gt;0,I$5&gt;100),AND(I$5&gt;0,I$5&lt;100)),
VLOOKUP(FLOOR((Midterm!I59/I$5)*100,1),new_transmute,2,FALSE),
VLOOKUP(Midterm!I59,new_transmute,2,FALSE)
),
IF(Info!$B$4="Board program",
IF(OR(AND(I$5&gt;0,I$5&gt;100),AND(I$5&gt;0,I$5&lt;100)),
VLOOKUP(FLOOR((Midterm!I59/I$5)*100,1),new_transmute,3,FALSE),
VLOOKUP(Midterm!I59,new_transmute,3,FALSE)
),
IF(Info!$B$4="Board program (Medicine)",
IF(OR(AND(I$5&gt;0,I$5&gt;100),AND(I$5&gt;0,I$5&lt;100)),
VLOOKUP(FLOOR((Midterm!I59/I$5)*100,1),new_transmute,4,FALSE),
VLOOKUP(Midterm!I59,new_transmute,4,FALSE)
),
""
)
)
)
)
)
)
)
)
))</f>
        <v/>
      </c>
      <c r="J59" s="14" t="str">
        <f>IF($B59="","",
IF(J$5="","",
IF(Midterm!J59="",0,
IF(NOT(ISNUMBER(Midterm!J59)),"NAN",
IF(Midterm!J59&lt;0,"NEG",
IF(Midterm!J59&gt;J$5,"OVER",
IF(AND(J$5&lt;=100,Midterm!J59&gt;100),"ERR",
IF(Info!$B$4="Non-board program",
IF(OR(AND(J$5&gt;0,J$5&gt;100),AND(J$5&gt;0,J$5&lt;100)),
VLOOKUP(FLOOR((Midterm!J59/J$5)*100,1),new_transmute,2,FALSE),
VLOOKUP(Midterm!J59,new_transmute,2,FALSE)
),
IF(Info!$B$4="Board program",
IF(OR(AND(J$5&gt;0,J$5&gt;100),AND(J$5&gt;0,J$5&lt;100)),
VLOOKUP(FLOOR((Midterm!J59/J$5)*100,1),new_transmute,3,FALSE),
VLOOKUP(Midterm!J59,new_transmute,3,FALSE)
),
IF(Info!$B$4="Board program (Medicine)",
IF(OR(AND(J$5&gt;0,J$5&gt;100),AND(J$5&gt;0,J$5&lt;100)),
VLOOKUP(FLOOR((Midterm!J59/J$5)*100,1),new_transmute,4,FALSE),
VLOOKUP(Midterm!J59,new_transmute,4,FALSE)
),
""
)
)
)
)
)
)
)
)
))</f>
        <v/>
      </c>
      <c r="K59" s="14" t="str">
        <f>IF($B59="","",
IF(K$5="","",
IF(Midterm!K59="",0,
IF(NOT(ISNUMBER(Midterm!K59)),"NAN",
IF(Midterm!K59&lt;0,"NEG",
IF(Midterm!K59&gt;K$5,"OVER",
IF(AND(K$5&lt;=100,Midterm!K59&gt;100),"ERR",
IF(Info!$B$4="Non-board program",
IF(OR(AND(K$5&gt;0,K$5&gt;100),AND(K$5&gt;0,K$5&lt;100)),
VLOOKUP(FLOOR((Midterm!K59/K$5)*100,1),new_transmute,2,FALSE),
VLOOKUP(Midterm!K59,new_transmute,2,FALSE)
),
IF(Info!$B$4="Board program",
IF(OR(AND(K$5&gt;0,K$5&gt;100),AND(K$5&gt;0,K$5&lt;100)),
VLOOKUP(FLOOR((Midterm!K59/K$5)*100,1),new_transmute,3,FALSE),
VLOOKUP(Midterm!K59,new_transmute,3,FALSE)
),
IF(Info!$B$4="Board program (Medicine)",
IF(OR(AND(K$5&gt;0,K$5&gt;100),AND(K$5&gt;0,K$5&lt;100)),
VLOOKUP(FLOOR((Midterm!K59/K$5)*100,1),new_transmute,4,FALSE),
VLOOKUP(Midterm!K59,new_transmute,4,FALSE)
),
""
)
)
)
)
)
)
)
)
))</f>
        <v/>
      </c>
      <c r="L59" s="14" t="str">
        <f>IF($B59="","",
IF(L$5="","",
IF(Midterm!L59="",0,
IF(NOT(ISNUMBER(Midterm!L59)),"NAN",
IF(Midterm!L59&lt;0,"NEG",
IF(Midterm!L59&gt;L$5,"OVER",
IF(AND(L$5&lt;=100,Midterm!L59&gt;100),"ERR",
IF(Info!$B$4="Non-board program",
IF(OR(AND(L$5&gt;0,L$5&gt;100),AND(L$5&gt;0,L$5&lt;100)),
VLOOKUP(FLOOR((Midterm!L59/L$5)*100,1),new_transmute,2,FALSE),
VLOOKUP(Midterm!L59,new_transmute,2,FALSE)
),
IF(Info!$B$4="Board program",
IF(OR(AND(L$5&gt;0,L$5&gt;100),AND(L$5&gt;0,L$5&lt;100)),
VLOOKUP(FLOOR((Midterm!L59/L$5)*100,1),new_transmute,3,FALSE),
VLOOKUP(Midterm!L59,new_transmute,3,FALSE)
),
IF(Info!$B$4="Board program (Medicine)",
IF(OR(AND(L$5&gt;0,L$5&gt;100),AND(L$5&gt;0,L$5&lt;100)),
VLOOKUP(FLOOR((Midterm!L59/L$5)*100,1),new_transmute,4,FALSE),
VLOOKUP(Midterm!L59,new_transmute,4,FALSE)
),
""
)
)
)
)
)
)
)
)
))</f>
        <v/>
      </c>
      <c r="M59" s="111" t="str">
        <f t="shared" si="2"/>
        <v/>
      </c>
      <c r="N59" s="14" t="str">
        <f>IF($B59="","",
IF(N$5="","",
IF(Midterm!N59="",0,
IF(NOT(ISNUMBER(Midterm!N59)),"NAN",
IF(Midterm!N59&lt;0,"NEG",
IF(Midterm!N59&gt;N$5,"OVER",
IF(AND(N$5&lt;=100,Midterm!N59&gt;100),"ERR",
IF(Info!$B$4="Non-board program",
IF(OR(AND(N$5&gt;0,N$5&gt;100),AND(N$5&gt;0,N$5&lt;100)),
VLOOKUP(FLOOR((Midterm!N59/N$5)*100,1),new_transmute,2,FALSE),
VLOOKUP(Midterm!N59,new_transmute,2,FALSE)
),
IF(Info!$B$4="Board program",
IF(OR(AND(N$5&gt;0,N$5&gt;100),AND(N$5&gt;0,N$5&lt;100)),
VLOOKUP(FLOOR((Midterm!N59/N$5)*100,1),new_transmute,3,FALSE),
VLOOKUP(Midterm!N59,new_transmute,3,FALSE)
),
IF(Info!$B$4="Board program (Medicine)",
IF(OR(AND(N$5&gt;0,N$5&gt;100),AND(N$5&gt;0,N$5&lt;100)),
VLOOKUP(FLOOR((Midterm!N59/N$5)*100,1),new_transmute,4,FALSE),
VLOOKUP(Midterm!N59,new_transmute,4,FALSE)
),
""
)
)
)
)
)
)
)
)
))</f>
        <v/>
      </c>
      <c r="O59" s="14" t="str">
        <f>IF($B59="","",
IF(O$5="","",
IF(Midterm!O59="",0,
IF(NOT(ISNUMBER(Midterm!O59)),"NAN",
IF(Midterm!O59&lt;0,"NEG",
IF(Midterm!O59&gt;O$5,"OVER",
IF(AND(O$5&lt;=100,Midterm!O59&gt;100),"ERR",
IF(Info!$B$4="Non-board program",
IF(OR(AND(O$5&gt;0,O$5&gt;100),AND(O$5&gt;0,O$5&lt;100)),
VLOOKUP(FLOOR((Midterm!O59/O$5)*100,1),new_transmute,2,FALSE),
VLOOKUP(Midterm!O59,new_transmute,2,FALSE)
),
IF(Info!$B$4="Board program",
IF(OR(AND(O$5&gt;0,O$5&gt;100),AND(O$5&gt;0,O$5&lt;100)),
VLOOKUP(FLOOR((Midterm!O59/O$5)*100,1),new_transmute,3,FALSE),
VLOOKUP(Midterm!O59,new_transmute,3,FALSE)
),
IF(Info!$B$4="Board program (Medicine)",
IF(OR(AND(O$5&gt;0,O$5&gt;100),AND(O$5&gt;0,O$5&lt;100)),
VLOOKUP(FLOOR((Midterm!O59/O$5)*100,1),new_transmute,4,FALSE),
VLOOKUP(Midterm!O59,new_transmute,4,FALSE)
),
""
)
)
)
)
)
)
)
)
))</f>
        <v/>
      </c>
      <c r="P59" s="14" t="str">
        <f>IF($B59="","",
IF(P$5="","",
IF(Midterm!P59="",0,
IF(NOT(ISNUMBER(Midterm!P59)),"NAN",
IF(Midterm!P59&lt;0,"NEG",
IF(Midterm!P59&gt;P$5,"OVER",
IF(AND(P$5&lt;=100,Midterm!P59&gt;100),"ERR",
IF(Info!$B$4="Non-board program",
IF(OR(AND(P$5&gt;0,P$5&gt;100),AND(P$5&gt;0,P$5&lt;100)),
VLOOKUP(FLOOR((Midterm!P59/P$5)*100,1),new_transmute,2,FALSE),
VLOOKUP(Midterm!P59,new_transmute,2,FALSE)
),
IF(Info!$B$4="Board program",
IF(OR(AND(P$5&gt;0,P$5&gt;100),AND(P$5&gt;0,P$5&lt;100)),
VLOOKUP(FLOOR((Midterm!P59/P$5)*100,1),new_transmute,3,FALSE),
VLOOKUP(Midterm!P59,new_transmute,3,FALSE)
),
IF(Info!$B$4="Board program (Medicine)",
IF(OR(AND(P$5&gt;0,P$5&gt;100),AND(P$5&gt;0,P$5&lt;100)),
VLOOKUP(FLOOR((Midterm!P59/P$5)*100,1),new_transmute,4,FALSE),
VLOOKUP(Midterm!P59,new_transmute,4,FALSE)
),
""
)
)
)
)
)
)
)
)
))</f>
        <v/>
      </c>
      <c r="Q59" s="14" t="str">
        <f>IF($B59="","",
IF(Q$5="","",
IF(Midterm!Q59="",0,
IF(NOT(ISNUMBER(Midterm!Q59)),"NAN",
IF(Midterm!Q59&lt;0,"NEG",
IF(Midterm!Q59&gt;Q$5,"OVER",
IF(AND(Q$5&lt;=100,Midterm!Q59&gt;100),"ERR",
IF(Info!$B$4="Non-board program",
IF(OR(AND(Q$5&gt;0,Q$5&gt;100),AND(Q$5&gt;0,Q$5&lt;100)),
VLOOKUP(FLOOR((Midterm!Q59/Q$5)*100,1),new_transmute,2,FALSE),
VLOOKUP(Midterm!Q59,new_transmute,2,FALSE)
),
IF(Info!$B$4="Board program",
IF(OR(AND(Q$5&gt;0,Q$5&gt;100),AND(Q$5&gt;0,Q$5&lt;100)),
VLOOKUP(FLOOR((Midterm!Q59/Q$5)*100,1),new_transmute,3,FALSE),
VLOOKUP(Midterm!Q59,new_transmute,3,FALSE)
),
IF(Info!$B$4="Board program (Medicine)",
IF(OR(AND(Q$5&gt;0,Q$5&gt;100),AND(Q$5&gt;0,Q$5&lt;100)),
VLOOKUP(FLOOR((Midterm!Q59/Q$5)*100,1),new_transmute,4,FALSE),
VLOOKUP(Midterm!Q59,new_transmute,4,FALSE)
),
""
)
)
)
)
)
)
)
)
))</f>
        <v/>
      </c>
      <c r="R59" s="14" t="str">
        <f>IF($B59="","",
IF(R$5="","",
IF(Midterm!R59="",0,
IF(NOT(ISNUMBER(Midterm!R59)),"NAN",
IF(Midterm!R59&lt;0,"NEG",
IF(Midterm!R59&gt;R$5,"OVER",
IF(AND(R$5&lt;=100,Midterm!R59&gt;100),"ERR",
IF(Info!$B$4="Non-board program",
IF(OR(AND(R$5&gt;0,R$5&gt;100),AND(R$5&gt;0,R$5&lt;100)),
VLOOKUP(FLOOR((Midterm!R59/R$5)*100,1),new_transmute,2,FALSE),
VLOOKUP(Midterm!R59,new_transmute,2,FALSE)
),
IF(Info!$B$4="Board program",
IF(OR(AND(R$5&gt;0,R$5&gt;100),AND(R$5&gt;0,R$5&lt;100)),
VLOOKUP(FLOOR((Midterm!R59/R$5)*100,1),new_transmute,3,FALSE),
VLOOKUP(Midterm!R59,new_transmute,3,FALSE)
),
IF(Info!$B$4="Board program (Medicine)",
IF(OR(AND(R$5&gt;0,R$5&gt;100),AND(R$5&gt;0,R$5&lt;100)),
VLOOKUP(FLOOR((Midterm!R59/R$5)*100,1),new_transmute,4,FALSE),
VLOOKUP(Midterm!R59,new_transmute,4,FALSE)
),
""
)
)
)
)
)
)
)
)
))</f>
        <v/>
      </c>
      <c r="S59" s="115" t="str">
        <f t="shared" si="3"/>
        <v/>
      </c>
      <c r="T59" s="14" t="str">
        <f>IF($B59="","",
IF(T$5="","",
IF(Midterm!T59="",0,
IF(NOT(ISNUMBER(Midterm!T59)),"NAN",
IF(Midterm!T59&lt;0,"NEG",
IF(Midterm!T59&gt;T$5,"OVER",
IF(AND(T$5&lt;=100,Midterm!T59&gt;100),"ERR",
IF(Info!$B$4="Non-board program",
IF(OR(AND(T$5&gt;0,T$5&gt;100),AND(T$5&gt;0,T$5&lt;100)),
VLOOKUP(FLOOR((Midterm!T59/T$5)*100,1),new_transmute,2,FALSE),
VLOOKUP(Midterm!T59,new_transmute,2,FALSE)
),
IF(Info!$B$4="Board program",
IF(OR(AND(T$5&gt;0,T$5&gt;100),AND(T$5&gt;0,T$5&lt;100)),
VLOOKUP(FLOOR((Midterm!T59/T$5)*100,1),new_transmute,3,FALSE),
VLOOKUP(Midterm!T59,new_transmute,3,FALSE)
),
IF(Info!$B$4="Board program (Medicine)",
IF(OR(AND(T$5&gt;0,T$5&gt;100),AND(T$5&gt;0,T$5&lt;100)),
VLOOKUP(FLOOR((Midterm!T59/T$5)*100,1),new_transmute,4,FALSE),
VLOOKUP(Midterm!T59,new_transmute,4,FALSE)
),
""
)
)
)
)
)
)
)
)
))</f>
        <v/>
      </c>
      <c r="U59" s="14" t="str">
        <f>IF($B59="","",
IF(U$5="","",
IF(Midterm!U59="",0,
IF(NOT(ISNUMBER(Midterm!U59)),"NAN",
IF(Midterm!U59&lt;0,"NEG",
IF(Midterm!U59&gt;U$5,"OVER",
IF(AND(U$5&lt;=100,Midterm!U59&gt;100),"ERR",
IF(Info!$B$4="Non-board program",
IF(OR(AND(U$5&gt;0,U$5&gt;100),AND(U$5&gt;0,U$5&lt;100)),
VLOOKUP(FLOOR((Midterm!U59/U$5)*100,1),new_transmute,2,FALSE),
VLOOKUP(Midterm!U59,new_transmute,2,FALSE)
),
IF(Info!$B$4="Board program",
IF(OR(AND(U$5&gt;0,U$5&gt;100),AND(U$5&gt;0,U$5&lt;100)),
VLOOKUP(FLOOR((Midterm!U59/U$5)*100,1),new_transmute,3,FALSE),
VLOOKUP(Midterm!U59,new_transmute,3,FALSE)
),
IF(Info!$B$4="Board program (Medicine)",
IF(OR(AND(U$5&gt;0,U$5&gt;100),AND(U$5&gt;0,U$5&lt;100)),
VLOOKUP(FLOOR((Midterm!U59/U$5)*100,1),new_transmute,4,FALSE),
VLOOKUP(Midterm!U59,new_transmute,4,FALSE)
),
""
)
)
)
)
)
)
)
)
))</f>
        <v/>
      </c>
      <c r="V59" s="14" t="str">
        <f>IF($B59="","",
IF(V$5="","",
IF(Midterm!V59="",0,
IF(NOT(ISNUMBER(Midterm!V59)),"NAN",
IF(Midterm!V59&lt;0,"NEG",
IF(Midterm!V59&gt;V$5,"OVER",
IF(AND(V$5&lt;=100,Midterm!V59&gt;100),"ERR",
IF(Info!$B$4="Non-board program",
IF(OR(AND(V$5&gt;0,V$5&gt;100),AND(V$5&gt;0,V$5&lt;100)),
VLOOKUP(FLOOR((Midterm!V59/V$5)*100,1),new_transmute,2,FALSE),
VLOOKUP(Midterm!V59,new_transmute,2,FALSE)
),
IF(Info!$B$4="Board program",
IF(OR(AND(V$5&gt;0,V$5&gt;100),AND(V$5&gt;0,V$5&lt;100)),
VLOOKUP(FLOOR((Midterm!V59/V$5)*100,1),new_transmute,3,FALSE),
VLOOKUP(Midterm!V59,new_transmute,3,FALSE)
),
IF(Info!$B$4="Board program (Medicine)",
IF(OR(AND(V$5&gt;0,V$5&gt;100),AND(V$5&gt;0,V$5&lt;100)),
VLOOKUP(FLOOR((Midterm!V59/V$5)*100,1),new_transmute,4,FALSE),
VLOOKUP(Midterm!V59,new_transmute,4,FALSE)
),
""
)
)
)
)
)
)
)
)
))</f>
        <v/>
      </c>
      <c r="W59" s="14" t="str">
        <f>IF($B59="","",
IF(W$5="","",
IF(Midterm!W59="",0,
IF(NOT(ISNUMBER(Midterm!W59)),"NAN",
IF(Midterm!W59&lt;0,"NEG",
IF(Midterm!W59&gt;W$5,"OVER",
IF(AND(W$5&lt;=100,Midterm!W59&gt;100),"ERR",
IF(Info!$B$4="Non-board program",
IF(OR(AND(W$5&gt;0,W$5&gt;100),AND(W$5&gt;0,W$5&lt;100)),
VLOOKUP(FLOOR((Midterm!W59/W$5)*100,1),new_transmute,2,FALSE),
VLOOKUP(Midterm!W59,new_transmute,2,FALSE)
),
IF(Info!$B$4="Board program",
IF(OR(AND(W$5&gt;0,W$5&gt;100),AND(W$5&gt;0,W$5&lt;100)),
VLOOKUP(FLOOR((Midterm!W59/W$5)*100,1),new_transmute,3,FALSE),
VLOOKUP(Midterm!W59,new_transmute,3,FALSE)
),
IF(Info!$B$4="Board program (Medicine)",
IF(OR(AND(W$5&gt;0,W$5&gt;100),AND(W$5&gt;0,W$5&lt;100)),
VLOOKUP(FLOOR((Midterm!W59/W$5)*100,1),new_transmute,4,FALSE),
VLOOKUP(Midterm!W59,new_transmute,4,FALSE)
),
""
)
)
)
)
)
)
)
)
))</f>
        <v/>
      </c>
      <c r="X59" s="14" t="str">
        <f>IF($B59="","",
IF(X$5="","",
IF(Midterm!X59="",0,
IF(NOT(ISNUMBER(Midterm!X59)),"NAN",
IF(Midterm!X59&lt;0,"NEG",
IF(Midterm!X59&gt;X$5,"OVER",
IF(AND(X$5&lt;=100,Midterm!X59&gt;100),"ERR",
IF(Info!$B$4="Non-board program",
IF(OR(AND(X$5&gt;0,X$5&gt;100),AND(X$5&gt;0,X$5&lt;100)),
VLOOKUP(FLOOR((Midterm!X59/X$5)*100,1),new_transmute,2,FALSE),
VLOOKUP(Midterm!X59,new_transmute,2,FALSE)
),
IF(Info!$B$4="Board program",
IF(OR(AND(X$5&gt;0,X$5&gt;100),AND(X$5&gt;0,X$5&lt;100)),
VLOOKUP(FLOOR((Midterm!X59/X$5)*100,1),new_transmute,3,FALSE),
VLOOKUP(Midterm!X59,new_transmute,3,FALSE)
),
IF(Info!$B$4="Board program (Medicine)",
IF(OR(AND(X$5&gt;0,X$5&gt;100),AND(X$5&gt;0,X$5&lt;100)),
VLOOKUP(FLOOR((Midterm!X59/X$5)*100,1),new_transmute,4,FALSE),
VLOOKUP(Midterm!X59,new_transmute,4,FALSE)
),
""
)
)
)
)
)
)
)
)
))</f>
        <v/>
      </c>
      <c r="Y59" s="112" t="str">
        <f t="shared" si="4"/>
        <v/>
      </c>
      <c r="Z59" s="14" t="str">
        <f>IF($B59="","",
IF(Z$5="","",
IF(Midterm!Z59="",0,
IF(NOT(ISNUMBER(Midterm!Z59)),"NAN",
IF(Midterm!Z59&lt;0,"NEG",
IF(Midterm!Z59&gt;Z$5,"OVER",
IF(AND(Z$5&lt;=100,Midterm!Z59&gt;100),"ERR",
IF(Info!$B$4="Non-board program",
IF(OR(AND(Z$5&gt;0,Z$5&gt;100),AND(Z$5&gt;0,Z$5&lt;100)),
VLOOKUP(FLOOR((Midterm!Z59/Z$5)*100,1),new_transmute,2,FALSE),
VLOOKUP(Midterm!Z59,new_transmute,2,FALSE)
),
IF(Info!$B$4="Board program",
IF(OR(AND(Z$5&gt;0,Z$5&gt;100),AND(Z$5&gt;0,Z$5&lt;100)),
VLOOKUP(FLOOR((Midterm!Z59/Z$5)*100,1),new_transmute,3,FALSE),
VLOOKUP(Midterm!Z59,new_transmute,3,FALSE)
),
IF(Info!$B$4="Board program (Medicine)",
IF(OR(AND(Z$5&gt;0,Z$5&gt;100),AND(Z$5&gt;0,Z$5&lt;100)),
VLOOKUP(FLOOR((Midterm!Z59/Z$5)*100,1),new_transmute,4,FALSE),
VLOOKUP(Midterm!Z59,new_transmute,4,FALSE)
),
""
)
)
)
)
)
)
)
)
))</f>
        <v/>
      </c>
      <c r="AA59" s="14" t="str">
        <f>IF($B59="","",
IF(AA$5="","",
IF(Midterm!AA59="",0,
IF(NOT(ISNUMBER(Midterm!AA59)),"NAN",
IF(Midterm!AA59&lt;0,"NEG",
IF(Midterm!AA59&gt;AA$5,"OVER",
IF(AND(AA$5&lt;=100,Midterm!AA59&gt;100),"ERR",
IF(Info!$B$4="Non-board program",
IF(OR(AND(AA$5&gt;0,AA$5&gt;100),AND(AA$5&gt;0,AA$5&lt;100)),
VLOOKUP(FLOOR((Midterm!AA59/AA$5)*100,1),new_transmute,2,FALSE),
VLOOKUP(Midterm!AA59,new_transmute,2,FALSE)
),
IF(Info!$B$4="Board program",
IF(OR(AND(AA$5&gt;0,AA$5&gt;100),AND(AA$5&gt;0,AA$5&lt;100)),
VLOOKUP(FLOOR((Midterm!AA59/AA$5)*100,1),new_transmute,3,FALSE),
VLOOKUP(Midterm!AA59,new_transmute,3,FALSE)
),
IF(Info!$B$4="Board program (Medicine)",
IF(OR(AND(AA$5&gt;0,AA$5&gt;100),AND(AA$5&gt;0,AA$5&lt;100)),
VLOOKUP(FLOOR((Midterm!AA59/AA$5)*100,1),new_transmute,4,FALSE),
VLOOKUP(Midterm!AA59,new_transmute,4,FALSE)
),
""
)
)
)
)
)
)
)
)
))</f>
        <v/>
      </c>
      <c r="AB59" s="14" t="str">
        <f>IF($B59="","",
IF(AB$5="","",
IF(Midterm!AB59="",0,
IF(NOT(ISNUMBER(Midterm!AB59)),"NAN",
IF(Midterm!AB59&lt;0,"NEG",
IF(Midterm!AB59&gt;AB$5,"OVER",
IF(AND(AB$5&lt;=100,Midterm!AB59&gt;100),"ERR",
IF(Info!$B$4="Non-board program",
IF(OR(AND(AB$5&gt;0,AB$5&gt;100),AND(AB$5&gt;0,AB$5&lt;100)),
VLOOKUP(FLOOR((Midterm!AB59/AB$5)*100,1),new_transmute,2,FALSE),
VLOOKUP(Midterm!AB59,new_transmute,2,FALSE)
),
IF(Info!$B$4="Board program",
IF(OR(AND(AB$5&gt;0,AB$5&gt;100),AND(AB$5&gt;0,AB$5&lt;100)),
VLOOKUP(FLOOR((Midterm!AB59/AB$5)*100,1),new_transmute,3,FALSE),
VLOOKUP(Midterm!AB59,new_transmute,3,FALSE)
),
IF(Info!$B$4="Board program (Medicine)",
IF(OR(AND(AB$5&gt;0,AB$5&gt;100),AND(AB$5&gt;0,AB$5&lt;100)),
VLOOKUP(FLOOR((Midterm!AB59/AB$5)*100,1),new_transmute,4,FALSE),
VLOOKUP(Midterm!AB59,new_transmute,4,FALSE)
),
""
)
)
)
)
)
)
)
)
))</f>
        <v/>
      </c>
      <c r="AC59" s="14" t="str">
        <f>IF($B59="","",
IF(AC$5="","",
IF(Midterm!AC59="",0,
IF(NOT(ISNUMBER(Midterm!AC59)),"NAN",
IF(Midterm!AC59&lt;0,"NEG",
IF(Midterm!AC59&gt;AC$5,"OVER",
IF(AND(AC$5&lt;=100,Midterm!AC59&gt;100),"ERR",
IF(Info!$B$4="Non-board program",
IF(OR(AND(AC$5&gt;0,AC$5&gt;100),AND(AC$5&gt;0,AC$5&lt;100)),
VLOOKUP(FLOOR((Midterm!AC59/AC$5)*100,1),new_transmute,2,FALSE),
VLOOKUP(Midterm!AC59,new_transmute,2,FALSE)
),
IF(Info!$B$4="Board program",
IF(OR(AND(AC$5&gt;0,AC$5&gt;100),AND(AC$5&gt;0,AC$5&lt;100)),
VLOOKUP(FLOOR((Midterm!AC59/AC$5)*100,1),new_transmute,3,FALSE),
VLOOKUP(Midterm!AC59,new_transmute,3,FALSE)
),
IF(Info!$B$4="Board program (Medicine)",
IF(OR(AND(AC$5&gt;0,AC$5&gt;100),AND(AC$5&gt;0,AC$5&lt;100)),
VLOOKUP(FLOOR((Midterm!AC59/AC$5)*100,1),new_transmute,4,FALSE),
VLOOKUP(Midterm!AC59,new_transmute,4,FALSE)
),
""
)
)
)
)
)
)
)
)
))</f>
        <v/>
      </c>
      <c r="AD59" s="14" t="str">
        <f>IF($B59="","",
IF(AD$5="","",
IF(Midterm!AD59="",0,
IF(NOT(ISNUMBER(Midterm!AD59)),"NAN",
IF(Midterm!AD59&lt;0,"NEG",
IF(Midterm!AD59&gt;AD$5,"OVER",
IF(AND(AD$5&lt;=100,Midterm!AD59&gt;100),"ERR",
IF(Info!$B$4="Non-board program",
IF(OR(AND(AD$5&gt;0,AD$5&gt;100),AND(AD$5&gt;0,AD$5&lt;100)),
VLOOKUP(FLOOR((Midterm!AD59/AD$5)*100,1),new_transmute,2,FALSE),
VLOOKUP(Midterm!AD59,new_transmute,2,FALSE)
),
IF(Info!$B$4="Board program",
IF(OR(AND(AD$5&gt;0,AD$5&gt;100),AND(AD$5&gt;0,AD$5&lt;100)),
VLOOKUP(FLOOR((Midterm!AD59/AD$5)*100,1),new_transmute,3,FALSE),
VLOOKUP(Midterm!AD59,new_transmute,3,FALSE)
),
IF(Info!$B$4="Board program (Medicine)",
IF(OR(AND(AD$5&gt;0,AD$5&gt;100),AND(AD$5&gt;0,AD$5&lt;100)),
VLOOKUP(FLOOR((Midterm!AD59/AD$5)*100,1),new_transmute,4,FALSE),
VLOOKUP(Midterm!AD59,new_transmute,4,FALSE)
),
""
)
)
)
)
)
)
)
)
))</f>
        <v/>
      </c>
      <c r="AE59" s="58" t="str">
        <f t="shared" si="5"/>
        <v/>
      </c>
      <c r="AF59" s="14" t="str">
        <f>IF($B59="","",
IF(AF$5="","",
IF(Midterm!AF59="",0,
IF(NOT(ISNUMBER(Midterm!AF59)),"NAN",
IF(Midterm!AF59&lt;0,"NEG",
IF(Midterm!AF59&gt;AF$5,"OVER",
IF(AND(AF$5&lt;=100,Midterm!AF59&gt;100),"ERR",
IF(Info!$B$4="Non-board program",
IF(OR(AND(AF$5&gt;0,AF$5&gt;100),AND(AF$5&gt;0,AF$5&lt;100)),
VLOOKUP(FLOOR((Midterm!AF59/AF$5)*100,1),new_transmute,2,FALSE),
VLOOKUP(Midterm!AF59,new_transmute,2,FALSE)
),
IF(Info!$B$4="Board program",
IF(OR(AND(AF$5&gt;0,AF$5&gt;100),AND(AF$5&gt;0,AF$5&lt;100)),
VLOOKUP(FLOOR((Midterm!AF59/AF$5)*100,1),new_transmute,3,FALSE),
VLOOKUP(Midterm!AF59,new_transmute,3,FALSE)
),
IF(Info!$B$4="Board program (Medicine)",
IF(OR(AND(AF$5&gt;0,AF$5&gt;100),AND(AF$5&gt;0,AF$5&lt;100)),
VLOOKUP(FLOOR((Midterm!AF59/AF$5)*100,1),new_transmute,4,FALSE),
VLOOKUP(Midterm!AF59,new_transmute,4,FALSE)
),
""
)
)
)
)
)
)
)
)
))</f>
        <v/>
      </c>
      <c r="AG59" s="14" t="str">
        <f>IF($B59="","",
IF(AG$5="","",
IF(Midterm!AG59="",0,
IF(NOT(ISNUMBER(Midterm!AG59)),"NAN",
IF(Midterm!AG59&lt;0,"NEG",
IF(Midterm!AG59&gt;AG$5,"OVER",
IF(AND(AG$5&lt;=100,Midterm!AG59&gt;100),"ERR",
IF(Info!$B$4="Non-board program",
IF(OR(AND(AG$5&gt;0,AG$5&gt;100),AND(AG$5&gt;0,AG$5&lt;100)),
VLOOKUP(FLOOR((Midterm!AG59/AG$5)*100,1),new_transmute,2,FALSE),
VLOOKUP(Midterm!AG59,new_transmute,2,FALSE)
),
IF(Info!$B$4="Board program",
IF(OR(AND(AG$5&gt;0,AG$5&gt;100),AND(AG$5&gt;0,AG$5&lt;100)),
VLOOKUP(FLOOR((Midterm!AG59/AG$5)*100,1),new_transmute,3,FALSE),
VLOOKUP(Midterm!AG59,new_transmute,3,FALSE)
),
IF(Info!$B$4="Board program (Medicine)",
IF(OR(AND(AG$5&gt;0,AG$5&gt;100),AND(AG$5&gt;0,AG$5&lt;100)),
VLOOKUP(FLOOR((Midterm!AG59/AG$5)*100,1),new_transmute,4,FALSE),
VLOOKUP(Midterm!AG59,new_transmute,4,FALSE)
),
""
)
)
)
)
)
)
)
)
))</f>
        <v/>
      </c>
      <c r="AH59" s="14" t="str">
        <f>IF($B59="","",
IF(AH$5="","",
IF(Midterm!AH59="",0,
IF(NOT(ISNUMBER(Midterm!AH59)),"NAN",
IF(Midterm!AH59&lt;0,"NEG",
IF(Midterm!AH59&gt;AH$5,"OVER",
IF(AND(AH$5&lt;=100,Midterm!AH59&gt;100),"ERR",
IF(Info!$B$4="Non-board program",
IF(OR(AND(AH$5&gt;0,AH$5&gt;100),AND(AH$5&gt;0,AH$5&lt;100)),
VLOOKUP(FLOOR((Midterm!AH59/AH$5)*100,1),new_transmute,2,FALSE),
VLOOKUP(Midterm!AH59,new_transmute,2,FALSE)
),
IF(Info!$B$4="Board program",
IF(OR(AND(AH$5&gt;0,AH$5&gt;100),AND(AH$5&gt;0,AH$5&lt;100)),
VLOOKUP(FLOOR((Midterm!AH59/AH$5)*100,1),new_transmute,3,FALSE),
VLOOKUP(Midterm!AH59,new_transmute,3,FALSE)
),
IF(Info!$B$4="Board program (Medicine)",
IF(OR(AND(AH$5&gt;0,AH$5&gt;100),AND(AH$5&gt;0,AH$5&lt;100)),
VLOOKUP(FLOOR((Midterm!AH59/AH$5)*100,1),new_transmute,4,FALSE),
VLOOKUP(Midterm!AH59,new_transmute,4,FALSE)
),
""
)
)
)
)
)
)
)
)
))</f>
        <v/>
      </c>
      <c r="AI59" s="14" t="str">
        <f>IF($B59="","",
IF(AI$5="","",
IF(Midterm!AI59="",0,
IF(NOT(ISNUMBER(Midterm!AI59)),"NAN",
IF(Midterm!AI59&lt;0,"NEG",
IF(Midterm!AI59&gt;AI$5,"OVER",
IF(AND(AI$5&lt;=100,Midterm!AI59&gt;100),"ERR",
IF(Info!$B$4="Non-board program",
IF(OR(AND(AI$5&gt;0,AI$5&gt;100),AND(AI$5&gt;0,AI$5&lt;100)),
VLOOKUP(FLOOR((Midterm!AI59/AI$5)*100,1),new_transmute,2,FALSE),
VLOOKUP(Midterm!AI59,new_transmute,2,FALSE)
),
IF(Info!$B$4="Board program",
IF(OR(AND(AI$5&gt;0,AI$5&gt;100),AND(AI$5&gt;0,AI$5&lt;100)),
VLOOKUP(FLOOR((Midterm!AI59/AI$5)*100,1),new_transmute,3,FALSE),
VLOOKUP(Midterm!AI59,new_transmute,3,FALSE)
),
IF(Info!$B$4="Board program (Medicine)",
IF(OR(AND(AI$5&gt;0,AI$5&gt;100),AND(AI$5&gt;0,AI$5&lt;100)),
VLOOKUP(FLOOR((Midterm!AI59/AI$5)*100,1),new_transmute,4,FALSE),
VLOOKUP(Midterm!AI59,new_transmute,4,FALSE)
),
""
)
)
)
)
)
)
)
)
))</f>
        <v/>
      </c>
      <c r="AJ59" s="14" t="str">
        <f>IF($B59="","",
IF(AJ$5="","",
IF(Midterm!AJ59="",0,
IF(NOT(ISNUMBER(Midterm!AJ59)),"NAN",
IF(Midterm!AJ59&lt;0,"NEG",
IF(Midterm!AJ59&gt;AJ$5,"OVER",
IF(AND(AJ$5&lt;=100,Midterm!AJ59&gt;100),"ERR",
IF(Info!$B$4="Non-board program",
IF(OR(AND(AJ$5&gt;0,AJ$5&gt;100),AND(AJ$5&gt;0,AJ$5&lt;100)),
VLOOKUP(FLOOR((Midterm!AJ59/AJ$5)*100,1),new_transmute,2,FALSE),
VLOOKUP(Midterm!AJ59,new_transmute,2,FALSE)
),
IF(Info!$B$4="Board program",
IF(OR(AND(AJ$5&gt;0,AJ$5&gt;100),AND(AJ$5&gt;0,AJ$5&lt;100)),
VLOOKUP(FLOOR((Midterm!AJ59/AJ$5)*100,1),new_transmute,3,FALSE),
VLOOKUP(Midterm!AJ59,new_transmute,3,FALSE)
),
IF(Info!$B$4="Board program (Medicine)",
IF(OR(AND(AJ$5&gt;0,AJ$5&gt;100),AND(AJ$5&gt;0,AJ$5&lt;100)),
VLOOKUP(FLOOR((Midterm!AJ59/AJ$5)*100,1),new_transmute,4,FALSE),
VLOOKUP(Midterm!AJ59,new_transmute,4,FALSE)
),
""
)
)
)
)
)
)
)
)
))</f>
        <v/>
      </c>
      <c r="AK59" s="59" t="str">
        <f t="shared" si="6"/>
        <v/>
      </c>
      <c r="AL59" s="60" t="str">
        <f>IF(B59="", "",
    IF(OR(M59="OVER", S59="OVER", Y59="OVER", AE59="OVER", AK59="OVER"),
        "OVER",
        IF(Info!$B$4="Non-board program",
            VLOOKUP(IFERROR(FLOOR(SUM((M59*$M$4), (S59*$S$4), (Y59*$Y$4), (AE59*$AE$4), (AK59*$AK$4)) * (100 / 60), 1), 0), new_transmute, 2, FALSE),
            IF(Info!$B$4="Board program",
                VLOOKUP(IFERROR(FLOOR(SUM((M59*$M$4), (S59*$S$4), (Y59*$Y$4), (AE59*$AE$4), (AK59*$AK$4)) * (100 / 60), 1), 0), new_transmute, 3, FALSE),
                IF(Info!$B$4="Board program (Medicine)",
                    VLOOKUP(IFERROR(FLOOR(SUM((M59*$M$4), (S59*$S$4), (Y59*$Y$4), (AE59*$AE$4), (AK59*$AK$4)) * (100 / 60), 1), 0), new_transmute, 4, FALSE),
                    ""
                )
            )
        )
    )
)</f>
        <v/>
      </c>
      <c r="AM59" s="14" t="str">
        <f>IF($B59="","",
IF(AM$5="","",
IF(Midterm!AM59="",0,
IF(NOT(ISNUMBER(Midterm!AM59)),"NAN",
IF(Midterm!AM59&lt;0,"NEG",
IF(Midterm!AM59&gt;AM$5,"OVER",
IF(AND(AM$5&lt;=100,Midterm!AM59&gt;100),"ERR",
IF(Info!$B$4="Non-board program",
IF(OR(AND(AM$5&gt;0,AM$5&gt;100),AND(AM$5&gt;0,AM$5&lt;100)),
VLOOKUP(FLOOR((Midterm!AM59/AM$5)*100,1),new_transmute,2,FALSE),
VLOOKUP(Midterm!AM59,new_transmute,2,FALSE)
),
IF(Info!$B$4="Board program",
IF(OR(AND(AM$5&gt;0,AM$5&gt;100),AND(AM$5&gt;0,AM$5&lt;100)),
VLOOKUP(FLOOR((Midterm!AM59/AM$5)*100,1),new_transmute,3,FALSE),
VLOOKUP(Midterm!AM59,new_transmute,3,FALSE)
),
IF(Info!$B$4="Board program (Medicine)",
IF(OR(AND(AM$5&gt;0,AM$5&gt;100),AND(AM$5&gt;0,AM$5&lt;100)),
VLOOKUP(FLOOR((Midterm!AM59/AM$5)*100,1),new_transmute,4,FALSE),
VLOOKUP(Midterm!AM59,new_transmute,4,FALSE)
),
""
)
)
)
)
)
)
)
)
))</f>
        <v/>
      </c>
      <c r="AN59" s="14" t="str">
        <f>IF($B59="","",
IF(AN$5="","",
IF(Midterm!AN59="",0,
IF(NOT(ISNUMBER(Midterm!AN59)),"NAN",
IF(Midterm!AN59&lt;0,"NEG",
IF(Midterm!AN59&gt;AN$5,"OVER",
IF(AND(AN$5&lt;=100,Midterm!AN59&gt;100),"ERR",
IF(Info!$B$4="Non-board program",
IF(OR(AND(AN$5&gt;0,AN$5&gt;100),AND(AN$5&gt;0,AN$5&lt;100)),
VLOOKUP(FLOOR((Midterm!AN59/AN$5)*100,1),new_transmute,2,FALSE),
VLOOKUP(Midterm!AN59,new_transmute,2,FALSE)
),
IF(Info!$B$4="Board program",
IF(OR(AND(AN$5&gt;0,AN$5&gt;100),AND(AN$5&gt;0,AN$5&lt;100)),
VLOOKUP(FLOOR((Midterm!AN59/AN$5)*100,1),new_transmute,3,FALSE),
VLOOKUP(Midterm!AN59,new_transmute,3,FALSE)
),
IF(Info!$B$4="Board program (Medicine)",
IF(OR(AND(AN$5&gt;0,AN$5&gt;100),AND(AN$5&gt;0,AN$5&lt;100)),
VLOOKUP(FLOOR((Midterm!AN59/AN$5)*100,1),new_transmute,4,FALSE),
VLOOKUP(Midterm!AN59,new_transmute,4,FALSE)
),
""
)
)
)
)
)
)
)
)
))</f>
        <v/>
      </c>
      <c r="AO59" s="14" t="str">
        <f>IF($B59="","",
IF(AO$5="","",
IF(Midterm!AO59="",0,
IF(NOT(ISNUMBER(Midterm!AO59)),"NAN",
IF(Midterm!AO59&lt;0,"NEG",
IF(Midterm!AO59&gt;AO$5,"OVER",
IF(AND(AO$5&lt;=100,Midterm!AO59&gt;100),"ERR",
IF(Info!$B$4="Non-board program",
IF(OR(AND(AO$5&gt;0,AO$5&gt;100),AND(AO$5&gt;0,AO$5&lt;100)),
VLOOKUP(FLOOR((Midterm!AO59/AO$5)*100,1),new_transmute,2,FALSE),
VLOOKUP(Midterm!AO59,new_transmute,2,FALSE)
),
IF(Info!$B$4="Board program",
IF(OR(AND(AO$5&gt;0,AO$5&gt;100),AND(AO$5&gt;0,AO$5&lt;100)),
VLOOKUP(FLOOR((Midterm!AO59/AO$5)*100,1),new_transmute,3,FALSE),
VLOOKUP(Midterm!AO59,new_transmute,3,FALSE)
),
IF(Info!$B$4="Board program (Medicine)",
IF(OR(AND(AO$5&gt;0,AO$5&gt;100),AND(AO$5&gt;0,AO$5&lt;100)),
VLOOKUP(FLOOR((Midterm!AO59/AO$5)*100,1),new_transmute,4,FALSE),
VLOOKUP(Midterm!AO59,new_transmute,4,FALSE)
),
""
)
)
)
)
)
)
)
)
))</f>
        <v/>
      </c>
      <c r="AP59" s="14" t="str">
        <f>IF($B59="","",
IF(AP$5="","",
IF(Midterm!AP59="",0,
IF(NOT(ISNUMBER(Midterm!AP59)),"NAN",
IF(Midterm!AP59&lt;0,"NEG",
IF(Midterm!AP59&gt;AP$5,"OVER",
IF(AND(AP$5&lt;=100,Midterm!AP59&gt;100),"ERR",
IF(Info!$B$4="Non-board program",
IF(OR(AND(AP$5&gt;0,AP$5&gt;100),AND(AP$5&gt;0,AP$5&lt;100)),
VLOOKUP(FLOOR((Midterm!AP59/AP$5)*100,1),new_transmute,2,FALSE),
VLOOKUP(Midterm!AP59,new_transmute,2,FALSE)
),
IF(Info!$B$4="Board program",
IF(OR(AND(AP$5&gt;0,AP$5&gt;100),AND(AP$5&gt;0,AP$5&lt;100)),
VLOOKUP(FLOOR((Midterm!AP59/AP$5)*100,1),new_transmute,3,FALSE),
VLOOKUP(Midterm!AP59,new_transmute,3,FALSE)
),
IF(Info!$B$4="Board program (Medicine)",
IF(OR(AND(AP$5&gt;0,AP$5&gt;100),AND(AP$5&gt;0,AP$5&lt;100)),
VLOOKUP(FLOOR((Midterm!AP59/AP$5)*100,1),new_transmute,4,FALSE),
VLOOKUP(Midterm!AP59,new_transmute,4,FALSE)
),
""
)
)
)
)
)
)
)
)
))</f>
        <v/>
      </c>
      <c r="AQ59" s="61" t="str">
        <f t="shared" si="7"/>
        <v/>
      </c>
      <c r="AR59" s="48" t="str">
        <f>IF(Midterm!AR59="","",Midterm!AR59)</f>
        <v/>
      </c>
      <c r="AS59" s="165" t="str">
        <f t="shared" si="8"/>
        <v/>
      </c>
      <c r="AT59" s="14" t="str">
        <f t="shared" si="9"/>
        <v/>
      </c>
      <c r="AU59" s="14" t="str">
        <f>IF(B59="","",VLOOKUP(AT59,'New Grade Equivalent'!$B$3:$C$47,2,FALSE))</f>
        <v/>
      </c>
    </row>
    <row r="60" spans="1:47" x14ac:dyDescent="0.25">
      <c r="A60" s="8">
        <v>55</v>
      </c>
      <c r="B60" s="2" t="str">
        <f>IF('Student List'!C64="","",UPPER(LEFT('Student List'!C64,FIND(",",'Student List'!C64)-1)))</f>
        <v/>
      </c>
      <c r="C60" s="12" t="str">
        <f>IF('Student List'!C64="","",PROPER(MID('Student List'!C64, FIND(",", 'Student List'!C64) + 2, LEN('Student List'!C64) - FIND(",", 'Student List'!C64) - 1)))</f>
        <v/>
      </c>
      <c r="D60" s="127" t="str">
        <f>IF(B60="","",IF(Midterm!D60="", "NA", Midterm!D60))</f>
        <v/>
      </c>
      <c r="E60" s="8" t="str">
        <f>IF(B60="","",
  IF(Info!$B$5="First Year",
    IF(D60="Yes", "DRP",
      IF(D60="No", "WF", "")
    )
  )
)</f>
        <v/>
      </c>
      <c r="F60" s="14" t="str">
        <f>IF($B60="","",
IF(F$5="","",
IF(Midterm!F60="",0,
IF(NOT(ISNUMBER(Midterm!F60)),"NAN",
IF(Midterm!F60&lt;0,"NEG",
IF(Midterm!F60&gt;F$5,"OVER",
IF(AND(F$5&lt;=100,Midterm!F60&gt;100),"ERR",
IF(Info!$B$4="Non-board program",
IF(OR(AND(F$5&gt;0,F$5&gt;100),AND(F$5&gt;0,F$5&lt;100)),
VLOOKUP(FLOOR((Midterm!F60/F$5)*100,1),new_transmute,2,FALSE),
VLOOKUP(Midterm!F60,new_transmute,2,FALSE)
),
IF(Info!$B$4="Board program",
IF(OR(AND(F$5&gt;0,F$5&gt;100),AND(F$5&gt;0,F$5&lt;100)),
VLOOKUP(FLOOR((Midterm!F60/F$5)*100,1),new_transmute,3,FALSE),
VLOOKUP(Midterm!F60,new_transmute,3,FALSE)
),
IF(Info!$B$4="Board program (Medicine)",
IF(OR(AND(F$5&gt;0,F$5&gt;100),AND(F$5&gt;0,F$5&lt;100)),
VLOOKUP(FLOOR((Midterm!F60/F$5)*100,1),new_transmute,4,FALSE),
VLOOKUP(Midterm!F60,new_transmute,4,FALSE)
),
""
)
)
)
)
)
)
)
)
))</f>
        <v/>
      </c>
      <c r="G60" s="57" t="str">
        <f t="shared" si="1"/>
        <v/>
      </c>
      <c r="H60" s="14" t="str">
        <f>IF($B60="","",
IF(H$5="","",
IF(Midterm!H60="",0,
IF(NOT(ISNUMBER(Midterm!H60)),"NAN",
IF(Midterm!H60&lt;0,"NEG",
IF(Midterm!H60&gt;H$5,"OVER",
IF(AND(H$5&lt;=100,Midterm!H60&gt;100),"ERR",
IF(Info!$B$4="Non-board program",
IF(OR(AND(H$5&gt;0,H$5&gt;100),AND(H$5&gt;0,H$5&lt;100)),
VLOOKUP(FLOOR((Midterm!H60/H$5)*100,1),new_transmute,2,FALSE),
VLOOKUP(Midterm!H60,new_transmute,2,FALSE)
),
IF(Info!$B$4="Board program",
IF(OR(AND(H$5&gt;0,H$5&gt;100),AND(H$5&gt;0,H$5&lt;100)),
VLOOKUP(FLOOR((Midterm!H60/H$5)*100,1),new_transmute,3,FALSE),
VLOOKUP(Midterm!H60,new_transmute,3,FALSE)
),
IF(Info!$B$4="Board program (Medicine)",
IF(OR(AND(H$5&gt;0,H$5&gt;100),AND(H$5&gt;0,H$5&lt;100)),
VLOOKUP(FLOOR((Midterm!H60/H$5)*100,1),new_transmute,4,FALSE),
VLOOKUP(Midterm!H60,new_transmute,4,FALSE)
),
""
)
)
)
)
)
)
)
)
))</f>
        <v/>
      </c>
      <c r="I60" s="14" t="str">
        <f>IF($B60="","",
IF(I$5="","",
IF(Midterm!I60="",0,
IF(NOT(ISNUMBER(Midterm!I60)),"NAN",
IF(Midterm!I60&lt;0,"NEG",
IF(Midterm!I60&gt;I$5,"OVER",
IF(AND(I$5&lt;=100,Midterm!I60&gt;100),"ERR",
IF(Info!$B$4="Non-board program",
IF(OR(AND(I$5&gt;0,I$5&gt;100),AND(I$5&gt;0,I$5&lt;100)),
VLOOKUP(FLOOR((Midterm!I60/I$5)*100,1),new_transmute,2,FALSE),
VLOOKUP(Midterm!I60,new_transmute,2,FALSE)
),
IF(Info!$B$4="Board program",
IF(OR(AND(I$5&gt;0,I$5&gt;100),AND(I$5&gt;0,I$5&lt;100)),
VLOOKUP(FLOOR((Midterm!I60/I$5)*100,1),new_transmute,3,FALSE),
VLOOKUP(Midterm!I60,new_transmute,3,FALSE)
),
IF(Info!$B$4="Board program (Medicine)",
IF(OR(AND(I$5&gt;0,I$5&gt;100),AND(I$5&gt;0,I$5&lt;100)),
VLOOKUP(FLOOR((Midterm!I60/I$5)*100,1),new_transmute,4,FALSE),
VLOOKUP(Midterm!I60,new_transmute,4,FALSE)
),
""
)
)
)
)
)
)
)
)
))</f>
        <v/>
      </c>
      <c r="J60" s="14" t="str">
        <f>IF($B60="","",
IF(J$5="","",
IF(Midterm!J60="",0,
IF(NOT(ISNUMBER(Midterm!J60)),"NAN",
IF(Midterm!J60&lt;0,"NEG",
IF(Midterm!J60&gt;J$5,"OVER",
IF(AND(J$5&lt;=100,Midterm!J60&gt;100),"ERR",
IF(Info!$B$4="Non-board program",
IF(OR(AND(J$5&gt;0,J$5&gt;100),AND(J$5&gt;0,J$5&lt;100)),
VLOOKUP(FLOOR((Midterm!J60/J$5)*100,1),new_transmute,2,FALSE),
VLOOKUP(Midterm!J60,new_transmute,2,FALSE)
),
IF(Info!$B$4="Board program",
IF(OR(AND(J$5&gt;0,J$5&gt;100),AND(J$5&gt;0,J$5&lt;100)),
VLOOKUP(FLOOR((Midterm!J60/J$5)*100,1),new_transmute,3,FALSE),
VLOOKUP(Midterm!J60,new_transmute,3,FALSE)
),
IF(Info!$B$4="Board program (Medicine)",
IF(OR(AND(J$5&gt;0,J$5&gt;100),AND(J$5&gt;0,J$5&lt;100)),
VLOOKUP(FLOOR((Midterm!J60/J$5)*100,1),new_transmute,4,FALSE),
VLOOKUP(Midterm!J60,new_transmute,4,FALSE)
),
""
)
)
)
)
)
)
)
)
))</f>
        <v/>
      </c>
      <c r="K60" s="14" t="str">
        <f>IF($B60="","",
IF(K$5="","",
IF(Midterm!K60="",0,
IF(NOT(ISNUMBER(Midterm!K60)),"NAN",
IF(Midterm!K60&lt;0,"NEG",
IF(Midterm!K60&gt;K$5,"OVER",
IF(AND(K$5&lt;=100,Midterm!K60&gt;100),"ERR",
IF(Info!$B$4="Non-board program",
IF(OR(AND(K$5&gt;0,K$5&gt;100),AND(K$5&gt;0,K$5&lt;100)),
VLOOKUP(FLOOR((Midterm!K60/K$5)*100,1),new_transmute,2,FALSE),
VLOOKUP(Midterm!K60,new_transmute,2,FALSE)
),
IF(Info!$B$4="Board program",
IF(OR(AND(K$5&gt;0,K$5&gt;100),AND(K$5&gt;0,K$5&lt;100)),
VLOOKUP(FLOOR((Midterm!K60/K$5)*100,1),new_transmute,3,FALSE),
VLOOKUP(Midterm!K60,new_transmute,3,FALSE)
),
IF(Info!$B$4="Board program (Medicine)",
IF(OR(AND(K$5&gt;0,K$5&gt;100),AND(K$5&gt;0,K$5&lt;100)),
VLOOKUP(FLOOR((Midterm!K60/K$5)*100,1),new_transmute,4,FALSE),
VLOOKUP(Midterm!K60,new_transmute,4,FALSE)
),
""
)
)
)
)
)
)
)
)
))</f>
        <v/>
      </c>
      <c r="L60" s="14" t="str">
        <f>IF($B60="","",
IF(L$5="","",
IF(Midterm!L60="",0,
IF(NOT(ISNUMBER(Midterm!L60)),"NAN",
IF(Midterm!L60&lt;0,"NEG",
IF(Midterm!L60&gt;L$5,"OVER",
IF(AND(L$5&lt;=100,Midterm!L60&gt;100),"ERR",
IF(Info!$B$4="Non-board program",
IF(OR(AND(L$5&gt;0,L$5&gt;100),AND(L$5&gt;0,L$5&lt;100)),
VLOOKUP(FLOOR((Midterm!L60/L$5)*100,1),new_transmute,2,FALSE),
VLOOKUP(Midterm!L60,new_transmute,2,FALSE)
),
IF(Info!$B$4="Board program",
IF(OR(AND(L$5&gt;0,L$5&gt;100),AND(L$5&gt;0,L$5&lt;100)),
VLOOKUP(FLOOR((Midterm!L60/L$5)*100,1),new_transmute,3,FALSE),
VLOOKUP(Midterm!L60,new_transmute,3,FALSE)
),
IF(Info!$B$4="Board program (Medicine)",
IF(OR(AND(L$5&gt;0,L$5&gt;100),AND(L$5&gt;0,L$5&lt;100)),
VLOOKUP(FLOOR((Midterm!L60/L$5)*100,1),new_transmute,4,FALSE),
VLOOKUP(Midterm!L60,new_transmute,4,FALSE)
),
""
)
)
)
)
)
)
)
)
))</f>
        <v/>
      </c>
      <c r="M60" s="111" t="str">
        <f t="shared" si="2"/>
        <v/>
      </c>
      <c r="N60" s="14" t="str">
        <f>IF($B60="","",
IF(N$5="","",
IF(Midterm!N60="",0,
IF(NOT(ISNUMBER(Midterm!N60)),"NAN",
IF(Midterm!N60&lt;0,"NEG",
IF(Midterm!N60&gt;N$5,"OVER",
IF(AND(N$5&lt;=100,Midterm!N60&gt;100),"ERR",
IF(Info!$B$4="Non-board program",
IF(OR(AND(N$5&gt;0,N$5&gt;100),AND(N$5&gt;0,N$5&lt;100)),
VLOOKUP(FLOOR((Midterm!N60/N$5)*100,1),new_transmute,2,FALSE),
VLOOKUP(Midterm!N60,new_transmute,2,FALSE)
),
IF(Info!$B$4="Board program",
IF(OR(AND(N$5&gt;0,N$5&gt;100),AND(N$5&gt;0,N$5&lt;100)),
VLOOKUP(FLOOR((Midterm!N60/N$5)*100,1),new_transmute,3,FALSE),
VLOOKUP(Midterm!N60,new_transmute,3,FALSE)
),
IF(Info!$B$4="Board program (Medicine)",
IF(OR(AND(N$5&gt;0,N$5&gt;100),AND(N$5&gt;0,N$5&lt;100)),
VLOOKUP(FLOOR((Midterm!N60/N$5)*100,1),new_transmute,4,FALSE),
VLOOKUP(Midterm!N60,new_transmute,4,FALSE)
),
""
)
)
)
)
)
)
)
)
))</f>
        <v/>
      </c>
      <c r="O60" s="14" t="str">
        <f>IF($B60="","",
IF(O$5="","",
IF(Midterm!O60="",0,
IF(NOT(ISNUMBER(Midterm!O60)),"NAN",
IF(Midterm!O60&lt;0,"NEG",
IF(Midterm!O60&gt;O$5,"OVER",
IF(AND(O$5&lt;=100,Midterm!O60&gt;100),"ERR",
IF(Info!$B$4="Non-board program",
IF(OR(AND(O$5&gt;0,O$5&gt;100),AND(O$5&gt;0,O$5&lt;100)),
VLOOKUP(FLOOR((Midterm!O60/O$5)*100,1),new_transmute,2,FALSE),
VLOOKUP(Midterm!O60,new_transmute,2,FALSE)
),
IF(Info!$B$4="Board program",
IF(OR(AND(O$5&gt;0,O$5&gt;100),AND(O$5&gt;0,O$5&lt;100)),
VLOOKUP(FLOOR((Midterm!O60/O$5)*100,1),new_transmute,3,FALSE),
VLOOKUP(Midterm!O60,new_transmute,3,FALSE)
),
IF(Info!$B$4="Board program (Medicine)",
IF(OR(AND(O$5&gt;0,O$5&gt;100),AND(O$5&gt;0,O$5&lt;100)),
VLOOKUP(FLOOR((Midterm!O60/O$5)*100,1),new_transmute,4,FALSE),
VLOOKUP(Midterm!O60,new_transmute,4,FALSE)
),
""
)
)
)
)
)
)
)
)
))</f>
        <v/>
      </c>
      <c r="P60" s="14" t="str">
        <f>IF($B60="","",
IF(P$5="","",
IF(Midterm!P60="",0,
IF(NOT(ISNUMBER(Midterm!P60)),"NAN",
IF(Midterm!P60&lt;0,"NEG",
IF(Midterm!P60&gt;P$5,"OVER",
IF(AND(P$5&lt;=100,Midterm!P60&gt;100),"ERR",
IF(Info!$B$4="Non-board program",
IF(OR(AND(P$5&gt;0,P$5&gt;100),AND(P$5&gt;0,P$5&lt;100)),
VLOOKUP(FLOOR((Midterm!P60/P$5)*100,1),new_transmute,2,FALSE),
VLOOKUP(Midterm!P60,new_transmute,2,FALSE)
),
IF(Info!$B$4="Board program",
IF(OR(AND(P$5&gt;0,P$5&gt;100),AND(P$5&gt;0,P$5&lt;100)),
VLOOKUP(FLOOR((Midterm!P60/P$5)*100,1),new_transmute,3,FALSE),
VLOOKUP(Midterm!P60,new_transmute,3,FALSE)
),
IF(Info!$B$4="Board program (Medicine)",
IF(OR(AND(P$5&gt;0,P$5&gt;100),AND(P$5&gt;0,P$5&lt;100)),
VLOOKUP(FLOOR((Midterm!P60/P$5)*100,1),new_transmute,4,FALSE),
VLOOKUP(Midterm!P60,new_transmute,4,FALSE)
),
""
)
)
)
)
)
)
)
)
))</f>
        <v/>
      </c>
      <c r="Q60" s="14" t="str">
        <f>IF($B60="","",
IF(Q$5="","",
IF(Midterm!Q60="",0,
IF(NOT(ISNUMBER(Midterm!Q60)),"NAN",
IF(Midterm!Q60&lt;0,"NEG",
IF(Midterm!Q60&gt;Q$5,"OVER",
IF(AND(Q$5&lt;=100,Midterm!Q60&gt;100),"ERR",
IF(Info!$B$4="Non-board program",
IF(OR(AND(Q$5&gt;0,Q$5&gt;100),AND(Q$5&gt;0,Q$5&lt;100)),
VLOOKUP(FLOOR((Midterm!Q60/Q$5)*100,1),new_transmute,2,FALSE),
VLOOKUP(Midterm!Q60,new_transmute,2,FALSE)
),
IF(Info!$B$4="Board program",
IF(OR(AND(Q$5&gt;0,Q$5&gt;100),AND(Q$5&gt;0,Q$5&lt;100)),
VLOOKUP(FLOOR((Midterm!Q60/Q$5)*100,1),new_transmute,3,FALSE),
VLOOKUP(Midterm!Q60,new_transmute,3,FALSE)
),
IF(Info!$B$4="Board program (Medicine)",
IF(OR(AND(Q$5&gt;0,Q$5&gt;100),AND(Q$5&gt;0,Q$5&lt;100)),
VLOOKUP(FLOOR((Midterm!Q60/Q$5)*100,1),new_transmute,4,FALSE),
VLOOKUP(Midterm!Q60,new_transmute,4,FALSE)
),
""
)
)
)
)
)
)
)
)
))</f>
        <v/>
      </c>
      <c r="R60" s="14" t="str">
        <f>IF($B60="","",
IF(R$5="","",
IF(Midterm!R60="",0,
IF(NOT(ISNUMBER(Midterm!R60)),"NAN",
IF(Midterm!R60&lt;0,"NEG",
IF(Midterm!R60&gt;R$5,"OVER",
IF(AND(R$5&lt;=100,Midterm!R60&gt;100),"ERR",
IF(Info!$B$4="Non-board program",
IF(OR(AND(R$5&gt;0,R$5&gt;100),AND(R$5&gt;0,R$5&lt;100)),
VLOOKUP(FLOOR((Midterm!R60/R$5)*100,1),new_transmute,2,FALSE),
VLOOKUP(Midterm!R60,new_transmute,2,FALSE)
),
IF(Info!$B$4="Board program",
IF(OR(AND(R$5&gt;0,R$5&gt;100),AND(R$5&gt;0,R$5&lt;100)),
VLOOKUP(FLOOR((Midterm!R60/R$5)*100,1),new_transmute,3,FALSE),
VLOOKUP(Midterm!R60,new_transmute,3,FALSE)
),
IF(Info!$B$4="Board program (Medicine)",
IF(OR(AND(R$5&gt;0,R$5&gt;100),AND(R$5&gt;0,R$5&lt;100)),
VLOOKUP(FLOOR((Midterm!R60/R$5)*100,1),new_transmute,4,FALSE),
VLOOKUP(Midterm!R60,new_transmute,4,FALSE)
),
""
)
)
)
)
)
)
)
)
))</f>
        <v/>
      </c>
      <c r="S60" s="115" t="str">
        <f t="shared" si="3"/>
        <v/>
      </c>
      <c r="T60" s="14" t="str">
        <f>IF($B60="","",
IF(T$5="","",
IF(Midterm!T60="",0,
IF(NOT(ISNUMBER(Midterm!T60)),"NAN",
IF(Midterm!T60&lt;0,"NEG",
IF(Midterm!T60&gt;T$5,"OVER",
IF(AND(T$5&lt;=100,Midterm!T60&gt;100),"ERR",
IF(Info!$B$4="Non-board program",
IF(OR(AND(T$5&gt;0,T$5&gt;100),AND(T$5&gt;0,T$5&lt;100)),
VLOOKUP(FLOOR((Midterm!T60/T$5)*100,1),new_transmute,2,FALSE),
VLOOKUP(Midterm!T60,new_transmute,2,FALSE)
),
IF(Info!$B$4="Board program",
IF(OR(AND(T$5&gt;0,T$5&gt;100),AND(T$5&gt;0,T$5&lt;100)),
VLOOKUP(FLOOR((Midterm!T60/T$5)*100,1),new_transmute,3,FALSE),
VLOOKUP(Midterm!T60,new_transmute,3,FALSE)
),
IF(Info!$B$4="Board program (Medicine)",
IF(OR(AND(T$5&gt;0,T$5&gt;100),AND(T$5&gt;0,T$5&lt;100)),
VLOOKUP(FLOOR((Midterm!T60/T$5)*100,1),new_transmute,4,FALSE),
VLOOKUP(Midterm!T60,new_transmute,4,FALSE)
),
""
)
)
)
)
)
)
)
)
))</f>
        <v/>
      </c>
      <c r="U60" s="14" t="str">
        <f>IF($B60="","",
IF(U$5="","",
IF(Midterm!U60="",0,
IF(NOT(ISNUMBER(Midterm!U60)),"NAN",
IF(Midterm!U60&lt;0,"NEG",
IF(Midterm!U60&gt;U$5,"OVER",
IF(AND(U$5&lt;=100,Midterm!U60&gt;100),"ERR",
IF(Info!$B$4="Non-board program",
IF(OR(AND(U$5&gt;0,U$5&gt;100),AND(U$5&gt;0,U$5&lt;100)),
VLOOKUP(FLOOR((Midterm!U60/U$5)*100,1),new_transmute,2,FALSE),
VLOOKUP(Midterm!U60,new_transmute,2,FALSE)
),
IF(Info!$B$4="Board program",
IF(OR(AND(U$5&gt;0,U$5&gt;100),AND(U$5&gt;0,U$5&lt;100)),
VLOOKUP(FLOOR((Midterm!U60/U$5)*100,1),new_transmute,3,FALSE),
VLOOKUP(Midterm!U60,new_transmute,3,FALSE)
),
IF(Info!$B$4="Board program (Medicine)",
IF(OR(AND(U$5&gt;0,U$5&gt;100),AND(U$5&gt;0,U$5&lt;100)),
VLOOKUP(FLOOR((Midterm!U60/U$5)*100,1),new_transmute,4,FALSE),
VLOOKUP(Midterm!U60,new_transmute,4,FALSE)
),
""
)
)
)
)
)
)
)
)
))</f>
        <v/>
      </c>
      <c r="V60" s="14" t="str">
        <f>IF($B60="","",
IF(V$5="","",
IF(Midterm!V60="",0,
IF(NOT(ISNUMBER(Midterm!V60)),"NAN",
IF(Midterm!V60&lt;0,"NEG",
IF(Midterm!V60&gt;V$5,"OVER",
IF(AND(V$5&lt;=100,Midterm!V60&gt;100),"ERR",
IF(Info!$B$4="Non-board program",
IF(OR(AND(V$5&gt;0,V$5&gt;100),AND(V$5&gt;0,V$5&lt;100)),
VLOOKUP(FLOOR((Midterm!V60/V$5)*100,1),new_transmute,2,FALSE),
VLOOKUP(Midterm!V60,new_transmute,2,FALSE)
),
IF(Info!$B$4="Board program",
IF(OR(AND(V$5&gt;0,V$5&gt;100),AND(V$5&gt;0,V$5&lt;100)),
VLOOKUP(FLOOR((Midterm!V60/V$5)*100,1),new_transmute,3,FALSE),
VLOOKUP(Midterm!V60,new_transmute,3,FALSE)
),
IF(Info!$B$4="Board program (Medicine)",
IF(OR(AND(V$5&gt;0,V$5&gt;100),AND(V$5&gt;0,V$5&lt;100)),
VLOOKUP(FLOOR((Midterm!V60/V$5)*100,1),new_transmute,4,FALSE),
VLOOKUP(Midterm!V60,new_transmute,4,FALSE)
),
""
)
)
)
)
)
)
)
)
))</f>
        <v/>
      </c>
      <c r="W60" s="14" t="str">
        <f>IF($B60="","",
IF(W$5="","",
IF(Midterm!W60="",0,
IF(NOT(ISNUMBER(Midterm!W60)),"NAN",
IF(Midterm!W60&lt;0,"NEG",
IF(Midterm!W60&gt;W$5,"OVER",
IF(AND(W$5&lt;=100,Midterm!W60&gt;100),"ERR",
IF(Info!$B$4="Non-board program",
IF(OR(AND(W$5&gt;0,W$5&gt;100),AND(W$5&gt;0,W$5&lt;100)),
VLOOKUP(FLOOR((Midterm!W60/W$5)*100,1),new_transmute,2,FALSE),
VLOOKUP(Midterm!W60,new_transmute,2,FALSE)
),
IF(Info!$B$4="Board program",
IF(OR(AND(W$5&gt;0,W$5&gt;100),AND(W$5&gt;0,W$5&lt;100)),
VLOOKUP(FLOOR((Midterm!W60/W$5)*100,1),new_transmute,3,FALSE),
VLOOKUP(Midterm!W60,new_transmute,3,FALSE)
),
IF(Info!$B$4="Board program (Medicine)",
IF(OR(AND(W$5&gt;0,W$5&gt;100),AND(W$5&gt;0,W$5&lt;100)),
VLOOKUP(FLOOR((Midterm!W60/W$5)*100,1),new_transmute,4,FALSE),
VLOOKUP(Midterm!W60,new_transmute,4,FALSE)
),
""
)
)
)
)
)
)
)
)
))</f>
        <v/>
      </c>
      <c r="X60" s="14" t="str">
        <f>IF($B60="","",
IF(X$5="","",
IF(Midterm!X60="",0,
IF(NOT(ISNUMBER(Midterm!X60)),"NAN",
IF(Midterm!X60&lt;0,"NEG",
IF(Midterm!X60&gt;X$5,"OVER",
IF(AND(X$5&lt;=100,Midterm!X60&gt;100),"ERR",
IF(Info!$B$4="Non-board program",
IF(OR(AND(X$5&gt;0,X$5&gt;100),AND(X$5&gt;0,X$5&lt;100)),
VLOOKUP(FLOOR((Midterm!X60/X$5)*100,1),new_transmute,2,FALSE),
VLOOKUP(Midterm!X60,new_transmute,2,FALSE)
),
IF(Info!$B$4="Board program",
IF(OR(AND(X$5&gt;0,X$5&gt;100),AND(X$5&gt;0,X$5&lt;100)),
VLOOKUP(FLOOR((Midterm!X60/X$5)*100,1),new_transmute,3,FALSE),
VLOOKUP(Midterm!X60,new_transmute,3,FALSE)
),
IF(Info!$B$4="Board program (Medicine)",
IF(OR(AND(X$5&gt;0,X$5&gt;100),AND(X$5&gt;0,X$5&lt;100)),
VLOOKUP(FLOOR((Midterm!X60/X$5)*100,1),new_transmute,4,FALSE),
VLOOKUP(Midterm!X60,new_transmute,4,FALSE)
),
""
)
)
)
)
)
)
)
)
))</f>
        <v/>
      </c>
      <c r="Y60" s="112" t="str">
        <f t="shared" si="4"/>
        <v/>
      </c>
      <c r="Z60" s="14" t="str">
        <f>IF($B60="","",
IF(Z$5="","",
IF(Midterm!Z60="",0,
IF(NOT(ISNUMBER(Midterm!Z60)),"NAN",
IF(Midterm!Z60&lt;0,"NEG",
IF(Midterm!Z60&gt;Z$5,"OVER",
IF(AND(Z$5&lt;=100,Midterm!Z60&gt;100),"ERR",
IF(Info!$B$4="Non-board program",
IF(OR(AND(Z$5&gt;0,Z$5&gt;100),AND(Z$5&gt;0,Z$5&lt;100)),
VLOOKUP(FLOOR((Midterm!Z60/Z$5)*100,1),new_transmute,2,FALSE),
VLOOKUP(Midterm!Z60,new_transmute,2,FALSE)
),
IF(Info!$B$4="Board program",
IF(OR(AND(Z$5&gt;0,Z$5&gt;100),AND(Z$5&gt;0,Z$5&lt;100)),
VLOOKUP(FLOOR((Midterm!Z60/Z$5)*100,1),new_transmute,3,FALSE),
VLOOKUP(Midterm!Z60,new_transmute,3,FALSE)
),
IF(Info!$B$4="Board program (Medicine)",
IF(OR(AND(Z$5&gt;0,Z$5&gt;100),AND(Z$5&gt;0,Z$5&lt;100)),
VLOOKUP(FLOOR((Midterm!Z60/Z$5)*100,1),new_transmute,4,FALSE),
VLOOKUP(Midterm!Z60,new_transmute,4,FALSE)
),
""
)
)
)
)
)
)
)
)
))</f>
        <v/>
      </c>
      <c r="AA60" s="14" t="str">
        <f>IF($B60="","",
IF(AA$5="","",
IF(Midterm!AA60="",0,
IF(NOT(ISNUMBER(Midterm!AA60)),"NAN",
IF(Midterm!AA60&lt;0,"NEG",
IF(Midterm!AA60&gt;AA$5,"OVER",
IF(AND(AA$5&lt;=100,Midterm!AA60&gt;100),"ERR",
IF(Info!$B$4="Non-board program",
IF(OR(AND(AA$5&gt;0,AA$5&gt;100),AND(AA$5&gt;0,AA$5&lt;100)),
VLOOKUP(FLOOR((Midterm!AA60/AA$5)*100,1),new_transmute,2,FALSE),
VLOOKUP(Midterm!AA60,new_transmute,2,FALSE)
),
IF(Info!$B$4="Board program",
IF(OR(AND(AA$5&gt;0,AA$5&gt;100),AND(AA$5&gt;0,AA$5&lt;100)),
VLOOKUP(FLOOR((Midterm!AA60/AA$5)*100,1),new_transmute,3,FALSE),
VLOOKUP(Midterm!AA60,new_transmute,3,FALSE)
),
IF(Info!$B$4="Board program (Medicine)",
IF(OR(AND(AA$5&gt;0,AA$5&gt;100),AND(AA$5&gt;0,AA$5&lt;100)),
VLOOKUP(FLOOR((Midterm!AA60/AA$5)*100,1),new_transmute,4,FALSE),
VLOOKUP(Midterm!AA60,new_transmute,4,FALSE)
),
""
)
)
)
)
)
)
)
)
))</f>
        <v/>
      </c>
      <c r="AB60" s="14" t="str">
        <f>IF($B60="","",
IF(AB$5="","",
IF(Midterm!AB60="",0,
IF(NOT(ISNUMBER(Midterm!AB60)),"NAN",
IF(Midterm!AB60&lt;0,"NEG",
IF(Midterm!AB60&gt;AB$5,"OVER",
IF(AND(AB$5&lt;=100,Midterm!AB60&gt;100),"ERR",
IF(Info!$B$4="Non-board program",
IF(OR(AND(AB$5&gt;0,AB$5&gt;100),AND(AB$5&gt;0,AB$5&lt;100)),
VLOOKUP(FLOOR((Midterm!AB60/AB$5)*100,1),new_transmute,2,FALSE),
VLOOKUP(Midterm!AB60,new_transmute,2,FALSE)
),
IF(Info!$B$4="Board program",
IF(OR(AND(AB$5&gt;0,AB$5&gt;100),AND(AB$5&gt;0,AB$5&lt;100)),
VLOOKUP(FLOOR((Midterm!AB60/AB$5)*100,1),new_transmute,3,FALSE),
VLOOKUP(Midterm!AB60,new_transmute,3,FALSE)
),
IF(Info!$B$4="Board program (Medicine)",
IF(OR(AND(AB$5&gt;0,AB$5&gt;100),AND(AB$5&gt;0,AB$5&lt;100)),
VLOOKUP(FLOOR((Midterm!AB60/AB$5)*100,1),new_transmute,4,FALSE),
VLOOKUP(Midterm!AB60,new_transmute,4,FALSE)
),
""
)
)
)
)
)
)
)
)
))</f>
        <v/>
      </c>
      <c r="AC60" s="14" t="str">
        <f>IF($B60="","",
IF(AC$5="","",
IF(Midterm!AC60="",0,
IF(NOT(ISNUMBER(Midterm!AC60)),"NAN",
IF(Midterm!AC60&lt;0,"NEG",
IF(Midterm!AC60&gt;AC$5,"OVER",
IF(AND(AC$5&lt;=100,Midterm!AC60&gt;100),"ERR",
IF(Info!$B$4="Non-board program",
IF(OR(AND(AC$5&gt;0,AC$5&gt;100),AND(AC$5&gt;0,AC$5&lt;100)),
VLOOKUP(FLOOR((Midterm!AC60/AC$5)*100,1),new_transmute,2,FALSE),
VLOOKUP(Midterm!AC60,new_transmute,2,FALSE)
),
IF(Info!$B$4="Board program",
IF(OR(AND(AC$5&gt;0,AC$5&gt;100),AND(AC$5&gt;0,AC$5&lt;100)),
VLOOKUP(FLOOR((Midterm!AC60/AC$5)*100,1),new_transmute,3,FALSE),
VLOOKUP(Midterm!AC60,new_transmute,3,FALSE)
),
IF(Info!$B$4="Board program (Medicine)",
IF(OR(AND(AC$5&gt;0,AC$5&gt;100),AND(AC$5&gt;0,AC$5&lt;100)),
VLOOKUP(FLOOR((Midterm!AC60/AC$5)*100,1),new_transmute,4,FALSE),
VLOOKUP(Midterm!AC60,new_transmute,4,FALSE)
),
""
)
)
)
)
)
)
)
)
))</f>
        <v/>
      </c>
      <c r="AD60" s="14" t="str">
        <f>IF($B60="","",
IF(AD$5="","",
IF(Midterm!AD60="",0,
IF(NOT(ISNUMBER(Midterm!AD60)),"NAN",
IF(Midterm!AD60&lt;0,"NEG",
IF(Midterm!AD60&gt;AD$5,"OVER",
IF(AND(AD$5&lt;=100,Midterm!AD60&gt;100),"ERR",
IF(Info!$B$4="Non-board program",
IF(OR(AND(AD$5&gt;0,AD$5&gt;100),AND(AD$5&gt;0,AD$5&lt;100)),
VLOOKUP(FLOOR((Midterm!AD60/AD$5)*100,1),new_transmute,2,FALSE),
VLOOKUP(Midterm!AD60,new_transmute,2,FALSE)
),
IF(Info!$B$4="Board program",
IF(OR(AND(AD$5&gt;0,AD$5&gt;100),AND(AD$5&gt;0,AD$5&lt;100)),
VLOOKUP(FLOOR((Midterm!AD60/AD$5)*100,1),new_transmute,3,FALSE),
VLOOKUP(Midterm!AD60,new_transmute,3,FALSE)
),
IF(Info!$B$4="Board program (Medicine)",
IF(OR(AND(AD$5&gt;0,AD$5&gt;100),AND(AD$5&gt;0,AD$5&lt;100)),
VLOOKUP(FLOOR((Midterm!AD60/AD$5)*100,1),new_transmute,4,FALSE),
VLOOKUP(Midterm!AD60,new_transmute,4,FALSE)
),
""
)
)
)
)
)
)
)
)
))</f>
        <v/>
      </c>
      <c r="AE60" s="58" t="str">
        <f t="shared" si="5"/>
        <v/>
      </c>
      <c r="AF60" s="14" t="str">
        <f>IF($B60="","",
IF(AF$5="","",
IF(Midterm!AF60="",0,
IF(NOT(ISNUMBER(Midterm!AF60)),"NAN",
IF(Midterm!AF60&lt;0,"NEG",
IF(Midterm!AF60&gt;AF$5,"OVER",
IF(AND(AF$5&lt;=100,Midterm!AF60&gt;100),"ERR",
IF(Info!$B$4="Non-board program",
IF(OR(AND(AF$5&gt;0,AF$5&gt;100),AND(AF$5&gt;0,AF$5&lt;100)),
VLOOKUP(FLOOR((Midterm!AF60/AF$5)*100,1),new_transmute,2,FALSE),
VLOOKUP(Midterm!AF60,new_transmute,2,FALSE)
),
IF(Info!$B$4="Board program",
IF(OR(AND(AF$5&gt;0,AF$5&gt;100),AND(AF$5&gt;0,AF$5&lt;100)),
VLOOKUP(FLOOR((Midterm!AF60/AF$5)*100,1),new_transmute,3,FALSE),
VLOOKUP(Midterm!AF60,new_transmute,3,FALSE)
),
IF(Info!$B$4="Board program (Medicine)",
IF(OR(AND(AF$5&gt;0,AF$5&gt;100),AND(AF$5&gt;0,AF$5&lt;100)),
VLOOKUP(FLOOR((Midterm!AF60/AF$5)*100,1),new_transmute,4,FALSE),
VLOOKUP(Midterm!AF60,new_transmute,4,FALSE)
),
""
)
)
)
)
)
)
)
)
))</f>
        <v/>
      </c>
      <c r="AG60" s="14" t="str">
        <f>IF($B60="","",
IF(AG$5="","",
IF(Midterm!AG60="",0,
IF(NOT(ISNUMBER(Midterm!AG60)),"NAN",
IF(Midterm!AG60&lt;0,"NEG",
IF(Midterm!AG60&gt;AG$5,"OVER",
IF(AND(AG$5&lt;=100,Midterm!AG60&gt;100),"ERR",
IF(Info!$B$4="Non-board program",
IF(OR(AND(AG$5&gt;0,AG$5&gt;100),AND(AG$5&gt;0,AG$5&lt;100)),
VLOOKUP(FLOOR((Midterm!AG60/AG$5)*100,1),new_transmute,2,FALSE),
VLOOKUP(Midterm!AG60,new_transmute,2,FALSE)
),
IF(Info!$B$4="Board program",
IF(OR(AND(AG$5&gt;0,AG$5&gt;100),AND(AG$5&gt;0,AG$5&lt;100)),
VLOOKUP(FLOOR((Midterm!AG60/AG$5)*100,1),new_transmute,3,FALSE),
VLOOKUP(Midterm!AG60,new_transmute,3,FALSE)
),
IF(Info!$B$4="Board program (Medicine)",
IF(OR(AND(AG$5&gt;0,AG$5&gt;100),AND(AG$5&gt;0,AG$5&lt;100)),
VLOOKUP(FLOOR((Midterm!AG60/AG$5)*100,1),new_transmute,4,FALSE),
VLOOKUP(Midterm!AG60,new_transmute,4,FALSE)
),
""
)
)
)
)
)
)
)
)
))</f>
        <v/>
      </c>
      <c r="AH60" s="14" t="str">
        <f>IF($B60="","",
IF(AH$5="","",
IF(Midterm!AH60="",0,
IF(NOT(ISNUMBER(Midterm!AH60)),"NAN",
IF(Midterm!AH60&lt;0,"NEG",
IF(Midterm!AH60&gt;AH$5,"OVER",
IF(AND(AH$5&lt;=100,Midterm!AH60&gt;100),"ERR",
IF(Info!$B$4="Non-board program",
IF(OR(AND(AH$5&gt;0,AH$5&gt;100),AND(AH$5&gt;0,AH$5&lt;100)),
VLOOKUP(FLOOR((Midterm!AH60/AH$5)*100,1),new_transmute,2,FALSE),
VLOOKUP(Midterm!AH60,new_transmute,2,FALSE)
),
IF(Info!$B$4="Board program",
IF(OR(AND(AH$5&gt;0,AH$5&gt;100),AND(AH$5&gt;0,AH$5&lt;100)),
VLOOKUP(FLOOR((Midterm!AH60/AH$5)*100,1),new_transmute,3,FALSE),
VLOOKUP(Midterm!AH60,new_transmute,3,FALSE)
),
IF(Info!$B$4="Board program (Medicine)",
IF(OR(AND(AH$5&gt;0,AH$5&gt;100),AND(AH$5&gt;0,AH$5&lt;100)),
VLOOKUP(FLOOR((Midterm!AH60/AH$5)*100,1),new_transmute,4,FALSE),
VLOOKUP(Midterm!AH60,new_transmute,4,FALSE)
),
""
)
)
)
)
)
)
)
)
))</f>
        <v/>
      </c>
      <c r="AI60" s="14" t="str">
        <f>IF($B60="","",
IF(AI$5="","",
IF(Midterm!AI60="",0,
IF(NOT(ISNUMBER(Midterm!AI60)),"NAN",
IF(Midterm!AI60&lt;0,"NEG",
IF(Midterm!AI60&gt;AI$5,"OVER",
IF(AND(AI$5&lt;=100,Midterm!AI60&gt;100),"ERR",
IF(Info!$B$4="Non-board program",
IF(OR(AND(AI$5&gt;0,AI$5&gt;100),AND(AI$5&gt;0,AI$5&lt;100)),
VLOOKUP(FLOOR((Midterm!AI60/AI$5)*100,1),new_transmute,2,FALSE),
VLOOKUP(Midterm!AI60,new_transmute,2,FALSE)
),
IF(Info!$B$4="Board program",
IF(OR(AND(AI$5&gt;0,AI$5&gt;100),AND(AI$5&gt;0,AI$5&lt;100)),
VLOOKUP(FLOOR((Midterm!AI60/AI$5)*100,1),new_transmute,3,FALSE),
VLOOKUP(Midterm!AI60,new_transmute,3,FALSE)
),
IF(Info!$B$4="Board program (Medicine)",
IF(OR(AND(AI$5&gt;0,AI$5&gt;100),AND(AI$5&gt;0,AI$5&lt;100)),
VLOOKUP(FLOOR((Midterm!AI60/AI$5)*100,1),new_transmute,4,FALSE),
VLOOKUP(Midterm!AI60,new_transmute,4,FALSE)
),
""
)
)
)
)
)
)
)
)
))</f>
        <v/>
      </c>
      <c r="AJ60" s="14" t="str">
        <f>IF($B60="","",
IF(AJ$5="","",
IF(Midterm!AJ60="",0,
IF(NOT(ISNUMBER(Midterm!AJ60)),"NAN",
IF(Midterm!AJ60&lt;0,"NEG",
IF(Midterm!AJ60&gt;AJ$5,"OVER",
IF(AND(AJ$5&lt;=100,Midterm!AJ60&gt;100),"ERR",
IF(Info!$B$4="Non-board program",
IF(OR(AND(AJ$5&gt;0,AJ$5&gt;100),AND(AJ$5&gt;0,AJ$5&lt;100)),
VLOOKUP(FLOOR((Midterm!AJ60/AJ$5)*100,1),new_transmute,2,FALSE),
VLOOKUP(Midterm!AJ60,new_transmute,2,FALSE)
),
IF(Info!$B$4="Board program",
IF(OR(AND(AJ$5&gt;0,AJ$5&gt;100),AND(AJ$5&gt;0,AJ$5&lt;100)),
VLOOKUP(FLOOR((Midterm!AJ60/AJ$5)*100,1),new_transmute,3,FALSE),
VLOOKUP(Midterm!AJ60,new_transmute,3,FALSE)
),
IF(Info!$B$4="Board program (Medicine)",
IF(OR(AND(AJ$5&gt;0,AJ$5&gt;100),AND(AJ$5&gt;0,AJ$5&lt;100)),
VLOOKUP(FLOOR((Midterm!AJ60/AJ$5)*100,1),new_transmute,4,FALSE),
VLOOKUP(Midterm!AJ60,new_transmute,4,FALSE)
),
""
)
)
)
)
)
)
)
)
))</f>
        <v/>
      </c>
      <c r="AK60" s="59" t="str">
        <f t="shared" si="6"/>
        <v/>
      </c>
      <c r="AL60" s="60" t="str">
        <f>IF(B60="", "",
    IF(OR(M60="OVER", S60="OVER", Y60="OVER", AE60="OVER", AK60="OVER"),
        "OVER",
        IF(Info!$B$4="Non-board program",
            VLOOKUP(IFERROR(FLOOR(SUM((M60*$M$4), (S60*$S$4), (Y60*$Y$4), (AE60*$AE$4), (AK60*$AK$4)) * (100 / 60), 1), 0), new_transmute, 2, FALSE),
            IF(Info!$B$4="Board program",
                VLOOKUP(IFERROR(FLOOR(SUM((M60*$M$4), (S60*$S$4), (Y60*$Y$4), (AE60*$AE$4), (AK60*$AK$4)) * (100 / 60), 1), 0), new_transmute, 3, FALSE),
                IF(Info!$B$4="Board program (Medicine)",
                    VLOOKUP(IFERROR(FLOOR(SUM((M60*$M$4), (S60*$S$4), (Y60*$Y$4), (AE60*$AE$4), (AK60*$AK$4)) * (100 / 60), 1), 0), new_transmute, 4, FALSE),
                    ""
                )
            )
        )
    )
)</f>
        <v/>
      </c>
      <c r="AM60" s="14" t="str">
        <f>IF($B60="","",
IF(AM$5="","",
IF(Midterm!AM60="",0,
IF(NOT(ISNUMBER(Midterm!AM60)),"NAN",
IF(Midterm!AM60&lt;0,"NEG",
IF(Midterm!AM60&gt;AM$5,"OVER",
IF(AND(AM$5&lt;=100,Midterm!AM60&gt;100),"ERR",
IF(Info!$B$4="Non-board program",
IF(OR(AND(AM$5&gt;0,AM$5&gt;100),AND(AM$5&gt;0,AM$5&lt;100)),
VLOOKUP(FLOOR((Midterm!AM60/AM$5)*100,1),new_transmute,2,FALSE),
VLOOKUP(Midterm!AM60,new_transmute,2,FALSE)
),
IF(Info!$B$4="Board program",
IF(OR(AND(AM$5&gt;0,AM$5&gt;100),AND(AM$5&gt;0,AM$5&lt;100)),
VLOOKUP(FLOOR((Midterm!AM60/AM$5)*100,1),new_transmute,3,FALSE),
VLOOKUP(Midterm!AM60,new_transmute,3,FALSE)
),
IF(Info!$B$4="Board program (Medicine)",
IF(OR(AND(AM$5&gt;0,AM$5&gt;100),AND(AM$5&gt;0,AM$5&lt;100)),
VLOOKUP(FLOOR((Midterm!AM60/AM$5)*100,1),new_transmute,4,FALSE),
VLOOKUP(Midterm!AM60,new_transmute,4,FALSE)
),
""
)
)
)
)
)
)
)
)
))</f>
        <v/>
      </c>
      <c r="AN60" s="14" t="str">
        <f>IF($B60="","",
IF(AN$5="","",
IF(Midterm!AN60="",0,
IF(NOT(ISNUMBER(Midterm!AN60)),"NAN",
IF(Midterm!AN60&lt;0,"NEG",
IF(Midterm!AN60&gt;AN$5,"OVER",
IF(AND(AN$5&lt;=100,Midterm!AN60&gt;100),"ERR",
IF(Info!$B$4="Non-board program",
IF(OR(AND(AN$5&gt;0,AN$5&gt;100),AND(AN$5&gt;0,AN$5&lt;100)),
VLOOKUP(FLOOR((Midterm!AN60/AN$5)*100,1),new_transmute,2,FALSE),
VLOOKUP(Midterm!AN60,new_transmute,2,FALSE)
),
IF(Info!$B$4="Board program",
IF(OR(AND(AN$5&gt;0,AN$5&gt;100),AND(AN$5&gt;0,AN$5&lt;100)),
VLOOKUP(FLOOR((Midterm!AN60/AN$5)*100,1),new_transmute,3,FALSE),
VLOOKUP(Midterm!AN60,new_transmute,3,FALSE)
),
IF(Info!$B$4="Board program (Medicine)",
IF(OR(AND(AN$5&gt;0,AN$5&gt;100),AND(AN$5&gt;0,AN$5&lt;100)),
VLOOKUP(FLOOR((Midterm!AN60/AN$5)*100,1),new_transmute,4,FALSE),
VLOOKUP(Midterm!AN60,new_transmute,4,FALSE)
),
""
)
)
)
)
)
)
)
)
))</f>
        <v/>
      </c>
      <c r="AO60" s="14" t="str">
        <f>IF($B60="","",
IF(AO$5="","",
IF(Midterm!AO60="",0,
IF(NOT(ISNUMBER(Midterm!AO60)),"NAN",
IF(Midterm!AO60&lt;0,"NEG",
IF(Midterm!AO60&gt;AO$5,"OVER",
IF(AND(AO$5&lt;=100,Midterm!AO60&gt;100),"ERR",
IF(Info!$B$4="Non-board program",
IF(OR(AND(AO$5&gt;0,AO$5&gt;100),AND(AO$5&gt;0,AO$5&lt;100)),
VLOOKUP(FLOOR((Midterm!AO60/AO$5)*100,1),new_transmute,2,FALSE),
VLOOKUP(Midterm!AO60,new_transmute,2,FALSE)
),
IF(Info!$B$4="Board program",
IF(OR(AND(AO$5&gt;0,AO$5&gt;100),AND(AO$5&gt;0,AO$5&lt;100)),
VLOOKUP(FLOOR((Midterm!AO60/AO$5)*100,1),new_transmute,3,FALSE),
VLOOKUP(Midterm!AO60,new_transmute,3,FALSE)
),
IF(Info!$B$4="Board program (Medicine)",
IF(OR(AND(AO$5&gt;0,AO$5&gt;100),AND(AO$5&gt;0,AO$5&lt;100)),
VLOOKUP(FLOOR((Midterm!AO60/AO$5)*100,1),new_transmute,4,FALSE),
VLOOKUP(Midterm!AO60,new_transmute,4,FALSE)
),
""
)
)
)
)
)
)
)
)
))</f>
        <v/>
      </c>
      <c r="AP60" s="14" t="str">
        <f>IF($B60="","",
IF(AP$5="","",
IF(Midterm!AP60="",0,
IF(NOT(ISNUMBER(Midterm!AP60)),"NAN",
IF(Midterm!AP60&lt;0,"NEG",
IF(Midterm!AP60&gt;AP$5,"OVER",
IF(AND(AP$5&lt;=100,Midterm!AP60&gt;100),"ERR",
IF(Info!$B$4="Non-board program",
IF(OR(AND(AP$5&gt;0,AP$5&gt;100),AND(AP$5&gt;0,AP$5&lt;100)),
VLOOKUP(FLOOR((Midterm!AP60/AP$5)*100,1),new_transmute,2,FALSE),
VLOOKUP(Midterm!AP60,new_transmute,2,FALSE)
),
IF(Info!$B$4="Board program",
IF(OR(AND(AP$5&gt;0,AP$5&gt;100),AND(AP$5&gt;0,AP$5&lt;100)),
VLOOKUP(FLOOR((Midterm!AP60/AP$5)*100,1),new_transmute,3,FALSE),
VLOOKUP(Midterm!AP60,new_transmute,3,FALSE)
),
IF(Info!$B$4="Board program (Medicine)",
IF(OR(AND(AP$5&gt;0,AP$5&gt;100),AND(AP$5&gt;0,AP$5&lt;100)),
VLOOKUP(FLOOR((Midterm!AP60/AP$5)*100,1),new_transmute,4,FALSE),
VLOOKUP(Midterm!AP60,new_transmute,4,FALSE)
),
""
)
)
)
)
)
)
)
)
))</f>
        <v/>
      </c>
      <c r="AQ60" s="61" t="str">
        <f t="shared" si="7"/>
        <v/>
      </c>
      <c r="AR60" s="48" t="str">
        <f>IF(Midterm!AR60="","",Midterm!AR60)</f>
        <v/>
      </c>
      <c r="AS60" s="165" t="str">
        <f t="shared" si="8"/>
        <v/>
      </c>
      <c r="AT60" s="14" t="str">
        <f t="shared" si="9"/>
        <v/>
      </c>
      <c r="AU60" s="14" t="str">
        <f>IF(B60="","",VLOOKUP(AT60,'New Grade Equivalent'!$B$3:$C$47,2,FALSE))</f>
        <v/>
      </c>
    </row>
    <row r="61" spans="1:47" x14ac:dyDescent="0.25">
      <c r="A61" s="8">
        <v>56</v>
      </c>
      <c r="B61" s="2" t="str">
        <f>IF('Student List'!C65="","",UPPER(LEFT('Student List'!C65,FIND(",",'Student List'!C65)-1)))</f>
        <v/>
      </c>
      <c r="C61" s="12" t="str">
        <f>IF('Student List'!C65="","",PROPER(MID('Student List'!C65, FIND(",", 'Student List'!C65) + 2, LEN('Student List'!C65) - FIND(",", 'Student List'!C65) - 1)))</f>
        <v/>
      </c>
      <c r="D61" s="127" t="str">
        <f>IF(B61="","",IF(Midterm!D61="", "NA", Midterm!D61))</f>
        <v/>
      </c>
      <c r="E61" s="8" t="str">
        <f>IF(B61="","",
  IF(Info!$B$5="First Year",
    IF(D61="Yes", "DRP",
      IF(D61="No", "WF", "")
    )
  )
)</f>
        <v/>
      </c>
      <c r="F61" s="14" t="str">
        <f>IF($B61="","",
IF(F$5="","",
IF(Midterm!F61="",0,
IF(NOT(ISNUMBER(Midterm!F61)),"NAN",
IF(Midterm!F61&lt;0,"NEG",
IF(Midterm!F61&gt;F$5,"OVER",
IF(AND(F$5&lt;=100,Midterm!F61&gt;100),"ERR",
IF(Info!$B$4="Non-board program",
IF(OR(AND(F$5&gt;0,F$5&gt;100),AND(F$5&gt;0,F$5&lt;100)),
VLOOKUP(FLOOR((Midterm!F61/F$5)*100,1),new_transmute,2,FALSE),
VLOOKUP(Midterm!F61,new_transmute,2,FALSE)
),
IF(Info!$B$4="Board program",
IF(OR(AND(F$5&gt;0,F$5&gt;100),AND(F$5&gt;0,F$5&lt;100)),
VLOOKUP(FLOOR((Midterm!F61/F$5)*100,1),new_transmute,3,FALSE),
VLOOKUP(Midterm!F61,new_transmute,3,FALSE)
),
IF(Info!$B$4="Board program (Medicine)",
IF(OR(AND(F$5&gt;0,F$5&gt;100),AND(F$5&gt;0,F$5&lt;100)),
VLOOKUP(FLOOR((Midterm!F61/F$5)*100,1),new_transmute,4,FALSE),
VLOOKUP(Midterm!F61,new_transmute,4,FALSE)
),
""
)
)
)
)
)
)
)
)
))</f>
        <v/>
      </c>
      <c r="G61" s="57" t="str">
        <f t="shared" si="1"/>
        <v/>
      </c>
      <c r="H61" s="14" t="str">
        <f>IF($B61="","",
IF(H$5="","",
IF(Midterm!H61="",0,
IF(NOT(ISNUMBER(Midterm!H61)),"NAN",
IF(Midterm!H61&lt;0,"NEG",
IF(Midterm!H61&gt;H$5,"OVER",
IF(AND(H$5&lt;=100,Midterm!H61&gt;100),"ERR",
IF(Info!$B$4="Non-board program",
IF(OR(AND(H$5&gt;0,H$5&gt;100),AND(H$5&gt;0,H$5&lt;100)),
VLOOKUP(FLOOR((Midterm!H61/H$5)*100,1),new_transmute,2,FALSE),
VLOOKUP(Midterm!H61,new_transmute,2,FALSE)
),
IF(Info!$B$4="Board program",
IF(OR(AND(H$5&gt;0,H$5&gt;100),AND(H$5&gt;0,H$5&lt;100)),
VLOOKUP(FLOOR((Midterm!H61/H$5)*100,1),new_transmute,3,FALSE),
VLOOKUP(Midterm!H61,new_transmute,3,FALSE)
),
IF(Info!$B$4="Board program (Medicine)",
IF(OR(AND(H$5&gt;0,H$5&gt;100),AND(H$5&gt;0,H$5&lt;100)),
VLOOKUP(FLOOR((Midterm!H61/H$5)*100,1),new_transmute,4,FALSE),
VLOOKUP(Midterm!H61,new_transmute,4,FALSE)
),
""
)
)
)
)
)
)
)
)
))</f>
        <v/>
      </c>
      <c r="I61" s="14" t="str">
        <f>IF($B61="","",
IF(I$5="","",
IF(Midterm!I61="",0,
IF(NOT(ISNUMBER(Midterm!I61)),"NAN",
IF(Midterm!I61&lt;0,"NEG",
IF(Midterm!I61&gt;I$5,"OVER",
IF(AND(I$5&lt;=100,Midterm!I61&gt;100),"ERR",
IF(Info!$B$4="Non-board program",
IF(OR(AND(I$5&gt;0,I$5&gt;100),AND(I$5&gt;0,I$5&lt;100)),
VLOOKUP(FLOOR((Midterm!I61/I$5)*100,1),new_transmute,2,FALSE),
VLOOKUP(Midterm!I61,new_transmute,2,FALSE)
),
IF(Info!$B$4="Board program",
IF(OR(AND(I$5&gt;0,I$5&gt;100),AND(I$5&gt;0,I$5&lt;100)),
VLOOKUP(FLOOR((Midterm!I61/I$5)*100,1),new_transmute,3,FALSE),
VLOOKUP(Midterm!I61,new_transmute,3,FALSE)
),
IF(Info!$B$4="Board program (Medicine)",
IF(OR(AND(I$5&gt;0,I$5&gt;100),AND(I$5&gt;0,I$5&lt;100)),
VLOOKUP(FLOOR((Midterm!I61/I$5)*100,1),new_transmute,4,FALSE),
VLOOKUP(Midterm!I61,new_transmute,4,FALSE)
),
""
)
)
)
)
)
)
)
)
))</f>
        <v/>
      </c>
      <c r="J61" s="14" t="str">
        <f>IF($B61="","",
IF(J$5="","",
IF(Midterm!J61="",0,
IF(NOT(ISNUMBER(Midterm!J61)),"NAN",
IF(Midterm!J61&lt;0,"NEG",
IF(Midterm!J61&gt;J$5,"OVER",
IF(AND(J$5&lt;=100,Midterm!J61&gt;100),"ERR",
IF(Info!$B$4="Non-board program",
IF(OR(AND(J$5&gt;0,J$5&gt;100),AND(J$5&gt;0,J$5&lt;100)),
VLOOKUP(FLOOR((Midterm!J61/J$5)*100,1),new_transmute,2,FALSE),
VLOOKUP(Midterm!J61,new_transmute,2,FALSE)
),
IF(Info!$B$4="Board program",
IF(OR(AND(J$5&gt;0,J$5&gt;100),AND(J$5&gt;0,J$5&lt;100)),
VLOOKUP(FLOOR((Midterm!J61/J$5)*100,1),new_transmute,3,FALSE),
VLOOKUP(Midterm!J61,new_transmute,3,FALSE)
),
IF(Info!$B$4="Board program (Medicine)",
IF(OR(AND(J$5&gt;0,J$5&gt;100),AND(J$5&gt;0,J$5&lt;100)),
VLOOKUP(FLOOR((Midterm!J61/J$5)*100,1),new_transmute,4,FALSE),
VLOOKUP(Midterm!J61,new_transmute,4,FALSE)
),
""
)
)
)
)
)
)
)
)
))</f>
        <v/>
      </c>
      <c r="K61" s="14" t="str">
        <f>IF($B61="","",
IF(K$5="","",
IF(Midterm!K61="",0,
IF(NOT(ISNUMBER(Midterm!K61)),"NAN",
IF(Midterm!K61&lt;0,"NEG",
IF(Midterm!K61&gt;K$5,"OVER",
IF(AND(K$5&lt;=100,Midterm!K61&gt;100),"ERR",
IF(Info!$B$4="Non-board program",
IF(OR(AND(K$5&gt;0,K$5&gt;100),AND(K$5&gt;0,K$5&lt;100)),
VLOOKUP(FLOOR((Midterm!K61/K$5)*100,1),new_transmute,2,FALSE),
VLOOKUP(Midterm!K61,new_transmute,2,FALSE)
),
IF(Info!$B$4="Board program",
IF(OR(AND(K$5&gt;0,K$5&gt;100),AND(K$5&gt;0,K$5&lt;100)),
VLOOKUP(FLOOR((Midterm!K61/K$5)*100,1),new_transmute,3,FALSE),
VLOOKUP(Midterm!K61,new_transmute,3,FALSE)
),
IF(Info!$B$4="Board program (Medicine)",
IF(OR(AND(K$5&gt;0,K$5&gt;100),AND(K$5&gt;0,K$5&lt;100)),
VLOOKUP(FLOOR((Midterm!K61/K$5)*100,1),new_transmute,4,FALSE),
VLOOKUP(Midterm!K61,new_transmute,4,FALSE)
),
""
)
)
)
)
)
)
)
)
))</f>
        <v/>
      </c>
      <c r="L61" s="14" t="str">
        <f>IF($B61="","",
IF(L$5="","",
IF(Midterm!L61="",0,
IF(NOT(ISNUMBER(Midterm!L61)),"NAN",
IF(Midterm!L61&lt;0,"NEG",
IF(Midterm!L61&gt;L$5,"OVER",
IF(AND(L$5&lt;=100,Midterm!L61&gt;100),"ERR",
IF(Info!$B$4="Non-board program",
IF(OR(AND(L$5&gt;0,L$5&gt;100),AND(L$5&gt;0,L$5&lt;100)),
VLOOKUP(FLOOR((Midterm!L61/L$5)*100,1),new_transmute,2,FALSE),
VLOOKUP(Midterm!L61,new_transmute,2,FALSE)
),
IF(Info!$B$4="Board program",
IF(OR(AND(L$5&gt;0,L$5&gt;100),AND(L$5&gt;0,L$5&lt;100)),
VLOOKUP(FLOOR((Midterm!L61/L$5)*100,1),new_transmute,3,FALSE),
VLOOKUP(Midterm!L61,new_transmute,3,FALSE)
),
IF(Info!$B$4="Board program (Medicine)",
IF(OR(AND(L$5&gt;0,L$5&gt;100),AND(L$5&gt;0,L$5&lt;100)),
VLOOKUP(FLOOR((Midterm!L61/L$5)*100,1),new_transmute,4,FALSE),
VLOOKUP(Midterm!L61,new_transmute,4,FALSE)
),
""
)
)
)
)
)
)
)
)
))</f>
        <v/>
      </c>
      <c r="M61" s="111" t="str">
        <f t="shared" si="2"/>
        <v/>
      </c>
      <c r="N61" s="14" t="str">
        <f>IF($B61="","",
IF(N$5="","",
IF(Midterm!N61="",0,
IF(NOT(ISNUMBER(Midterm!N61)),"NAN",
IF(Midterm!N61&lt;0,"NEG",
IF(Midterm!N61&gt;N$5,"OVER",
IF(AND(N$5&lt;=100,Midterm!N61&gt;100),"ERR",
IF(Info!$B$4="Non-board program",
IF(OR(AND(N$5&gt;0,N$5&gt;100),AND(N$5&gt;0,N$5&lt;100)),
VLOOKUP(FLOOR((Midterm!N61/N$5)*100,1),new_transmute,2,FALSE),
VLOOKUP(Midterm!N61,new_transmute,2,FALSE)
),
IF(Info!$B$4="Board program",
IF(OR(AND(N$5&gt;0,N$5&gt;100),AND(N$5&gt;0,N$5&lt;100)),
VLOOKUP(FLOOR((Midterm!N61/N$5)*100,1),new_transmute,3,FALSE),
VLOOKUP(Midterm!N61,new_transmute,3,FALSE)
),
IF(Info!$B$4="Board program (Medicine)",
IF(OR(AND(N$5&gt;0,N$5&gt;100),AND(N$5&gt;0,N$5&lt;100)),
VLOOKUP(FLOOR((Midterm!N61/N$5)*100,1),new_transmute,4,FALSE),
VLOOKUP(Midterm!N61,new_transmute,4,FALSE)
),
""
)
)
)
)
)
)
)
)
))</f>
        <v/>
      </c>
      <c r="O61" s="14" t="str">
        <f>IF($B61="","",
IF(O$5="","",
IF(Midterm!O61="",0,
IF(NOT(ISNUMBER(Midterm!O61)),"NAN",
IF(Midterm!O61&lt;0,"NEG",
IF(Midterm!O61&gt;O$5,"OVER",
IF(AND(O$5&lt;=100,Midterm!O61&gt;100),"ERR",
IF(Info!$B$4="Non-board program",
IF(OR(AND(O$5&gt;0,O$5&gt;100),AND(O$5&gt;0,O$5&lt;100)),
VLOOKUP(FLOOR((Midterm!O61/O$5)*100,1),new_transmute,2,FALSE),
VLOOKUP(Midterm!O61,new_transmute,2,FALSE)
),
IF(Info!$B$4="Board program",
IF(OR(AND(O$5&gt;0,O$5&gt;100),AND(O$5&gt;0,O$5&lt;100)),
VLOOKUP(FLOOR((Midterm!O61/O$5)*100,1),new_transmute,3,FALSE),
VLOOKUP(Midterm!O61,new_transmute,3,FALSE)
),
IF(Info!$B$4="Board program (Medicine)",
IF(OR(AND(O$5&gt;0,O$5&gt;100),AND(O$5&gt;0,O$5&lt;100)),
VLOOKUP(FLOOR((Midterm!O61/O$5)*100,1),new_transmute,4,FALSE),
VLOOKUP(Midterm!O61,new_transmute,4,FALSE)
),
""
)
)
)
)
)
)
)
)
))</f>
        <v/>
      </c>
      <c r="P61" s="14" t="str">
        <f>IF($B61="","",
IF(P$5="","",
IF(Midterm!P61="",0,
IF(NOT(ISNUMBER(Midterm!P61)),"NAN",
IF(Midterm!P61&lt;0,"NEG",
IF(Midterm!P61&gt;P$5,"OVER",
IF(AND(P$5&lt;=100,Midterm!P61&gt;100),"ERR",
IF(Info!$B$4="Non-board program",
IF(OR(AND(P$5&gt;0,P$5&gt;100),AND(P$5&gt;0,P$5&lt;100)),
VLOOKUP(FLOOR((Midterm!P61/P$5)*100,1),new_transmute,2,FALSE),
VLOOKUP(Midterm!P61,new_transmute,2,FALSE)
),
IF(Info!$B$4="Board program",
IF(OR(AND(P$5&gt;0,P$5&gt;100),AND(P$5&gt;0,P$5&lt;100)),
VLOOKUP(FLOOR((Midterm!P61/P$5)*100,1),new_transmute,3,FALSE),
VLOOKUP(Midterm!P61,new_transmute,3,FALSE)
),
IF(Info!$B$4="Board program (Medicine)",
IF(OR(AND(P$5&gt;0,P$5&gt;100),AND(P$5&gt;0,P$5&lt;100)),
VLOOKUP(FLOOR((Midterm!P61/P$5)*100,1),new_transmute,4,FALSE),
VLOOKUP(Midterm!P61,new_transmute,4,FALSE)
),
""
)
)
)
)
)
)
)
)
))</f>
        <v/>
      </c>
      <c r="Q61" s="14" t="str">
        <f>IF($B61="","",
IF(Q$5="","",
IF(Midterm!Q61="",0,
IF(NOT(ISNUMBER(Midterm!Q61)),"NAN",
IF(Midterm!Q61&lt;0,"NEG",
IF(Midterm!Q61&gt;Q$5,"OVER",
IF(AND(Q$5&lt;=100,Midterm!Q61&gt;100),"ERR",
IF(Info!$B$4="Non-board program",
IF(OR(AND(Q$5&gt;0,Q$5&gt;100),AND(Q$5&gt;0,Q$5&lt;100)),
VLOOKUP(FLOOR((Midterm!Q61/Q$5)*100,1),new_transmute,2,FALSE),
VLOOKUP(Midterm!Q61,new_transmute,2,FALSE)
),
IF(Info!$B$4="Board program",
IF(OR(AND(Q$5&gt;0,Q$5&gt;100),AND(Q$5&gt;0,Q$5&lt;100)),
VLOOKUP(FLOOR((Midterm!Q61/Q$5)*100,1),new_transmute,3,FALSE),
VLOOKUP(Midterm!Q61,new_transmute,3,FALSE)
),
IF(Info!$B$4="Board program (Medicine)",
IF(OR(AND(Q$5&gt;0,Q$5&gt;100),AND(Q$5&gt;0,Q$5&lt;100)),
VLOOKUP(FLOOR((Midterm!Q61/Q$5)*100,1),new_transmute,4,FALSE),
VLOOKUP(Midterm!Q61,new_transmute,4,FALSE)
),
""
)
)
)
)
)
)
)
)
))</f>
        <v/>
      </c>
      <c r="R61" s="14" t="str">
        <f>IF($B61="","",
IF(R$5="","",
IF(Midterm!R61="",0,
IF(NOT(ISNUMBER(Midterm!R61)),"NAN",
IF(Midterm!R61&lt;0,"NEG",
IF(Midterm!R61&gt;R$5,"OVER",
IF(AND(R$5&lt;=100,Midterm!R61&gt;100),"ERR",
IF(Info!$B$4="Non-board program",
IF(OR(AND(R$5&gt;0,R$5&gt;100),AND(R$5&gt;0,R$5&lt;100)),
VLOOKUP(FLOOR((Midterm!R61/R$5)*100,1),new_transmute,2,FALSE),
VLOOKUP(Midterm!R61,new_transmute,2,FALSE)
),
IF(Info!$B$4="Board program",
IF(OR(AND(R$5&gt;0,R$5&gt;100),AND(R$5&gt;0,R$5&lt;100)),
VLOOKUP(FLOOR((Midterm!R61/R$5)*100,1),new_transmute,3,FALSE),
VLOOKUP(Midterm!R61,new_transmute,3,FALSE)
),
IF(Info!$B$4="Board program (Medicine)",
IF(OR(AND(R$5&gt;0,R$5&gt;100),AND(R$5&gt;0,R$5&lt;100)),
VLOOKUP(FLOOR((Midterm!R61/R$5)*100,1),new_transmute,4,FALSE),
VLOOKUP(Midterm!R61,new_transmute,4,FALSE)
),
""
)
)
)
)
)
)
)
)
))</f>
        <v/>
      </c>
      <c r="S61" s="115" t="str">
        <f t="shared" si="3"/>
        <v/>
      </c>
      <c r="T61" s="14" t="str">
        <f>IF($B61="","",
IF(T$5="","",
IF(Midterm!T61="",0,
IF(NOT(ISNUMBER(Midterm!T61)),"NAN",
IF(Midterm!T61&lt;0,"NEG",
IF(Midterm!T61&gt;T$5,"OVER",
IF(AND(T$5&lt;=100,Midterm!T61&gt;100),"ERR",
IF(Info!$B$4="Non-board program",
IF(OR(AND(T$5&gt;0,T$5&gt;100),AND(T$5&gt;0,T$5&lt;100)),
VLOOKUP(FLOOR((Midterm!T61/T$5)*100,1),new_transmute,2,FALSE),
VLOOKUP(Midterm!T61,new_transmute,2,FALSE)
),
IF(Info!$B$4="Board program",
IF(OR(AND(T$5&gt;0,T$5&gt;100),AND(T$5&gt;0,T$5&lt;100)),
VLOOKUP(FLOOR((Midterm!T61/T$5)*100,1),new_transmute,3,FALSE),
VLOOKUP(Midterm!T61,new_transmute,3,FALSE)
),
IF(Info!$B$4="Board program (Medicine)",
IF(OR(AND(T$5&gt;0,T$5&gt;100),AND(T$5&gt;0,T$5&lt;100)),
VLOOKUP(FLOOR((Midterm!T61/T$5)*100,1),new_transmute,4,FALSE),
VLOOKUP(Midterm!T61,new_transmute,4,FALSE)
),
""
)
)
)
)
)
)
)
)
))</f>
        <v/>
      </c>
      <c r="U61" s="14" t="str">
        <f>IF($B61="","",
IF(U$5="","",
IF(Midterm!U61="",0,
IF(NOT(ISNUMBER(Midterm!U61)),"NAN",
IF(Midterm!U61&lt;0,"NEG",
IF(Midterm!U61&gt;U$5,"OVER",
IF(AND(U$5&lt;=100,Midterm!U61&gt;100),"ERR",
IF(Info!$B$4="Non-board program",
IF(OR(AND(U$5&gt;0,U$5&gt;100),AND(U$5&gt;0,U$5&lt;100)),
VLOOKUP(FLOOR((Midterm!U61/U$5)*100,1),new_transmute,2,FALSE),
VLOOKUP(Midterm!U61,new_transmute,2,FALSE)
),
IF(Info!$B$4="Board program",
IF(OR(AND(U$5&gt;0,U$5&gt;100),AND(U$5&gt;0,U$5&lt;100)),
VLOOKUP(FLOOR((Midterm!U61/U$5)*100,1),new_transmute,3,FALSE),
VLOOKUP(Midterm!U61,new_transmute,3,FALSE)
),
IF(Info!$B$4="Board program (Medicine)",
IF(OR(AND(U$5&gt;0,U$5&gt;100),AND(U$5&gt;0,U$5&lt;100)),
VLOOKUP(FLOOR((Midterm!U61/U$5)*100,1),new_transmute,4,FALSE),
VLOOKUP(Midterm!U61,new_transmute,4,FALSE)
),
""
)
)
)
)
)
)
)
)
))</f>
        <v/>
      </c>
      <c r="V61" s="14" t="str">
        <f>IF($B61="","",
IF(V$5="","",
IF(Midterm!V61="",0,
IF(NOT(ISNUMBER(Midterm!V61)),"NAN",
IF(Midterm!V61&lt;0,"NEG",
IF(Midterm!V61&gt;V$5,"OVER",
IF(AND(V$5&lt;=100,Midterm!V61&gt;100),"ERR",
IF(Info!$B$4="Non-board program",
IF(OR(AND(V$5&gt;0,V$5&gt;100),AND(V$5&gt;0,V$5&lt;100)),
VLOOKUP(FLOOR((Midterm!V61/V$5)*100,1),new_transmute,2,FALSE),
VLOOKUP(Midterm!V61,new_transmute,2,FALSE)
),
IF(Info!$B$4="Board program",
IF(OR(AND(V$5&gt;0,V$5&gt;100),AND(V$5&gt;0,V$5&lt;100)),
VLOOKUP(FLOOR((Midterm!V61/V$5)*100,1),new_transmute,3,FALSE),
VLOOKUP(Midterm!V61,new_transmute,3,FALSE)
),
IF(Info!$B$4="Board program (Medicine)",
IF(OR(AND(V$5&gt;0,V$5&gt;100),AND(V$5&gt;0,V$5&lt;100)),
VLOOKUP(FLOOR((Midterm!V61/V$5)*100,1),new_transmute,4,FALSE),
VLOOKUP(Midterm!V61,new_transmute,4,FALSE)
),
""
)
)
)
)
)
)
)
)
))</f>
        <v/>
      </c>
      <c r="W61" s="14" t="str">
        <f>IF($B61="","",
IF(W$5="","",
IF(Midterm!W61="",0,
IF(NOT(ISNUMBER(Midterm!W61)),"NAN",
IF(Midterm!W61&lt;0,"NEG",
IF(Midterm!W61&gt;W$5,"OVER",
IF(AND(W$5&lt;=100,Midterm!W61&gt;100),"ERR",
IF(Info!$B$4="Non-board program",
IF(OR(AND(W$5&gt;0,W$5&gt;100),AND(W$5&gt;0,W$5&lt;100)),
VLOOKUP(FLOOR((Midterm!W61/W$5)*100,1),new_transmute,2,FALSE),
VLOOKUP(Midterm!W61,new_transmute,2,FALSE)
),
IF(Info!$B$4="Board program",
IF(OR(AND(W$5&gt;0,W$5&gt;100),AND(W$5&gt;0,W$5&lt;100)),
VLOOKUP(FLOOR((Midterm!W61/W$5)*100,1),new_transmute,3,FALSE),
VLOOKUP(Midterm!W61,new_transmute,3,FALSE)
),
IF(Info!$B$4="Board program (Medicine)",
IF(OR(AND(W$5&gt;0,W$5&gt;100),AND(W$5&gt;0,W$5&lt;100)),
VLOOKUP(FLOOR((Midterm!W61/W$5)*100,1),new_transmute,4,FALSE),
VLOOKUP(Midterm!W61,new_transmute,4,FALSE)
),
""
)
)
)
)
)
)
)
)
))</f>
        <v/>
      </c>
      <c r="X61" s="14" t="str">
        <f>IF($B61="","",
IF(X$5="","",
IF(Midterm!X61="",0,
IF(NOT(ISNUMBER(Midterm!X61)),"NAN",
IF(Midterm!X61&lt;0,"NEG",
IF(Midterm!X61&gt;X$5,"OVER",
IF(AND(X$5&lt;=100,Midterm!X61&gt;100),"ERR",
IF(Info!$B$4="Non-board program",
IF(OR(AND(X$5&gt;0,X$5&gt;100),AND(X$5&gt;0,X$5&lt;100)),
VLOOKUP(FLOOR((Midterm!X61/X$5)*100,1),new_transmute,2,FALSE),
VLOOKUP(Midterm!X61,new_transmute,2,FALSE)
),
IF(Info!$B$4="Board program",
IF(OR(AND(X$5&gt;0,X$5&gt;100),AND(X$5&gt;0,X$5&lt;100)),
VLOOKUP(FLOOR((Midterm!X61/X$5)*100,1),new_transmute,3,FALSE),
VLOOKUP(Midterm!X61,new_transmute,3,FALSE)
),
IF(Info!$B$4="Board program (Medicine)",
IF(OR(AND(X$5&gt;0,X$5&gt;100),AND(X$5&gt;0,X$5&lt;100)),
VLOOKUP(FLOOR((Midterm!X61/X$5)*100,1),new_transmute,4,FALSE),
VLOOKUP(Midterm!X61,new_transmute,4,FALSE)
),
""
)
)
)
)
)
)
)
)
))</f>
        <v/>
      </c>
      <c r="Y61" s="112" t="str">
        <f t="shared" si="4"/>
        <v/>
      </c>
      <c r="Z61" s="14" t="str">
        <f>IF($B61="","",
IF(Z$5="","",
IF(Midterm!Z61="",0,
IF(NOT(ISNUMBER(Midterm!Z61)),"NAN",
IF(Midterm!Z61&lt;0,"NEG",
IF(Midterm!Z61&gt;Z$5,"OVER",
IF(AND(Z$5&lt;=100,Midterm!Z61&gt;100),"ERR",
IF(Info!$B$4="Non-board program",
IF(OR(AND(Z$5&gt;0,Z$5&gt;100),AND(Z$5&gt;0,Z$5&lt;100)),
VLOOKUP(FLOOR((Midterm!Z61/Z$5)*100,1),new_transmute,2,FALSE),
VLOOKUP(Midterm!Z61,new_transmute,2,FALSE)
),
IF(Info!$B$4="Board program",
IF(OR(AND(Z$5&gt;0,Z$5&gt;100),AND(Z$5&gt;0,Z$5&lt;100)),
VLOOKUP(FLOOR((Midterm!Z61/Z$5)*100,1),new_transmute,3,FALSE),
VLOOKUP(Midterm!Z61,new_transmute,3,FALSE)
),
IF(Info!$B$4="Board program (Medicine)",
IF(OR(AND(Z$5&gt;0,Z$5&gt;100),AND(Z$5&gt;0,Z$5&lt;100)),
VLOOKUP(FLOOR((Midterm!Z61/Z$5)*100,1),new_transmute,4,FALSE),
VLOOKUP(Midterm!Z61,new_transmute,4,FALSE)
),
""
)
)
)
)
)
)
)
)
))</f>
        <v/>
      </c>
      <c r="AA61" s="14" t="str">
        <f>IF($B61="","",
IF(AA$5="","",
IF(Midterm!AA61="",0,
IF(NOT(ISNUMBER(Midterm!AA61)),"NAN",
IF(Midterm!AA61&lt;0,"NEG",
IF(Midterm!AA61&gt;AA$5,"OVER",
IF(AND(AA$5&lt;=100,Midterm!AA61&gt;100),"ERR",
IF(Info!$B$4="Non-board program",
IF(OR(AND(AA$5&gt;0,AA$5&gt;100),AND(AA$5&gt;0,AA$5&lt;100)),
VLOOKUP(FLOOR((Midterm!AA61/AA$5)*100,1),new_transmute,2,FALSE),
VLOOKUP(Midterm!AA61,new_transmute,2,FALSE)
),
IF(Info!$B$4="Board program",
IF(OR(AND(AA$5&gt;0,AA$5&gt;100),AND(AA$5&gt;0,AA$5&lt;100)),
VLOOKUP(FLOOR((Midterm!AA61/AA$5)*100,1),new_transmute,3,FALSE),
VLOOKUP(Midterm!AA61,new_transmute,3,FALSE)
),
IF(Info!$B$4="Board program (Medicine)",
IF(OR(AND(AA$5&gt;0,AA$5&gt;100),AND(AA$5&gt;0,AA$5&lt;100)),
VLOOKUP(FLOOR((Midterm!AA61/AA$5)*100,1),new_transmute,4,FALSE),
VLOOKUP(Midterm!AA61,new_transmute,4,FALSE)
),
""
)
)
)
)
)
)
)
)
))</f>
        <v/>
      </c>
      <c r="AB61" s="14" t="str">
        <f>IF($B61="","",
IF(AB$5="","",
IF(Midterm!AB61="",0,
IF(NOT(ISNUMBER(Midterm!AB61)),"NAN",
IF(Midterm!AB61&lt;0,"NEG",
IF(Midterm!AB61&gt;AB$5,"OVER",
IF(AND(AB$5&lt;=100,Midterm!AB61&gt;100),"ERR",
IF(Info!$B$4="Non-board program",
IF(OR(AND(AB$5&gt;0,AB$5&gt;100),AND(AB$5&gt;0,AB$5&lt;100)),
VLOOKUP(FLOOR((Midterm!AB61/AB$5)*100,1),new_transmute,2,FALSE),
VLOOKUP(Midterm!AB61,new_transmute,2,FALSE)
),
IF(Info!$B$4="Board program",
IF(OR(AND(AB$5&gt;0,AB$5&gt;100),AND(AB$5&gt;0,AB$5&lt;100)),
VLOOKUP(FLOOR((Midterm!AB61/AB$5)*100,1),new_transmute,3,FALSE),
VLOOKUP(Midterm!AB61,new_transmute,3,FALSE)
),
IF(Info!$B$4="Board program (Medicine)",
IF(OR(AND(AB$5&gt;0,AB$5&gt;100),AND(AB$5&gt;0,AB$5&lt;100)),
VLOOKUP(FLOOR((Midterm!AB61/AB$5)*100,1),new_transmute,4,FALSE),
VLOOKUP(Midterm!AB61,new_transmute,4,FALSE)
),
""
)
)
)
)
)
)
)
)
))</f>
        <v/>
      </c>
      <c r="AC61" s="14" t="str">
        <f>IF($B61="","",
IF(AC$5="","",
IF(Midterm!AC61="",0,
IF(NOT(ISNUMBER(Midterm!AC61)),"NAN",
IF(Midterm!AC61&lt;0,"NEG",
IF(Midterm!AC61&gt;AC$5,"OVER",
IF(AND(AC$5&lt;=100,Midterm!AC61&gt;100),"ERR",
IF(Info!$B$4="Non-board program",
IF(OR(AND(AC$5&gt;0,AC$5&gt;100),AND(AC$5&gt;0,AC$5&lt;100)),
VLOOKUP(FLOOR((Midterm!AC61/AC$5)*100,1),new_transmute,2,FALSE),
VLOOKUP(Midterm!AC61,new_transmute,2,FALSE)
),
IF(Info!$B$4="Board program",
IF(OR(AND(AC$5&gt;0,AC$5&gt;100),AND(AC$5&gt;0,AC$5&lt;100)),
VLOOKUP(FLOOR((Midterm!AC61/AC$5)*100,1),new_transmute,3,FALSE),
VLOOKUP(Midterm!AC61,new_transmute,3,FALSE)
),
IF(Info!$B$4="Board program (Medicine)",
IF(OR(AND(AC$5&gt;0,AC$5&gt;100),AND(AC$5&gt;0,AC$5&lt;100)),
VLOOKUP(FLOOR((Midterm!AC61/AC$5)*100,1),new_transmute,4,FALSE),
VLOOKUP(Midterm!AC61,new_transmute,4,FALSE)
),
""
)
)
)
)
)
)
)
)
))</f>
        <v/>
      </c>
      <c r="AD61" s="14" t="str">
        <f>IF($B61="","",
IF(AD$5="","",
IF(Midterm!AD61="",0,
IF(NOT(ISNUMBER(Midterm!AD61)),"NAN",
IF(Midterm!AD61&lt;0,"NEG",
IF(Midterm!AD61&gt;AD$5,"OVER",
IF(AND(AD$5&lt;=100,Midterm!AD61&gt;100),"ERR",
IF(Info!$B$4="Non-board program",
IF(OR(AND(AD$5&gt;0,AD$5&gt;100),AND(AD$5&gt;0,AD$5&lt;100)),
VLOOKUP(FLOOR((Midterm!AD61/AD$5)*100,1),new_transmute,2,FALSE),
VLOOKUP(Midterm!AD61,new_transmute,2,FALSE)
),
IF(Info!$B$4="Board program",
IF(OR(AND(AD$5&gt;0,AD$5&gt;100),AND(AD$5&gt;0,AD$5&lt;100)),
VLOOKUP(FLOOR((Midterm!AD61/AD$5)*100,1),new_transmute,3,FALSE),
VLOOKUP(Midterm!AD61,new_transmute,3,FALSE)
),
IF(Info!$B$4="Board program (Medicine)",
IF(OR(AND(AD$5&gt;0,AD$5&gt;100),AND(AD$5&gt;0,AD$5&lt;100)),
VLOOKUP(FLOOR((Midterm!AD61/AD$5)*100,1),new_transmute,4,FALSE),
VLOOKUP(Midterm!AD61,new_transmute,4,FALSE)
),
""
)
)
)
)
)
)
)
)
))</f>
        <v/>
      </c>
      <c r="AE61" s="58" t="str">
        <f t="shared" si="5"/>
        <v/>
      </c>
      <c r="AF61" s="14" t="str">
        <f>IF($B61="","",
IF(AF$5="","",
IF(Midterm!AF61="",0,
IF(NOT(ISNUMBER(Midterm!AF61)),"NAN",
IF(Midterm!AF61&lt;0,"NEG",
IF(Midterm!AF61&gt;AF$5,"OVER",
IF(AND(AF$5&lt;=100,Midterm!AF61&gt;100),"ERR",
IF(Info!$B$4="Non-board program",
IF(OR(AND(AF$5&gt;0,AF$5&gt;100),AND(AF$5&gt;0,AF$5&lt;100)),
VLOOKUP(FLOOR((Midterm!AF61/AF$5)*100,1),new_transmute,2,FALSE),
VLOOKUP(Midterm!AF61,new_transmute,2,FALSE)
),
IF(Info!$B$4="Board program",
IF(OR(AND(AF$5&gt;0,AF$5&gt;100),AND(AF$5&gt;0,AF$5&lt;100)),
VLOOKUP(FLOOR((Midterm!AF61/AF$5)*100,1),new_transmute,3,FALSE),
VLOOKUP(Midterm!AF61,new_transmute,3,FALSE)
),
IF(Info!$B$4="Board program (Medicine)",
IF(OR(AND(AF$5&gt;0,AF$5&gt;100),AND(AF$5&gt;0,AF$5&lt;100)),
VLOOKUP(FLOOR((Midterm!AF61/AF$5)*100,1),new_transmute,4,FALSE),
VLOOKUP(Midterm!AF61,new_transmute,4,FALSE)
),
""
)
)
)
)
)
)
)
)
))</f>
        <v/>
      </c>
      <c r="AG61" s="14" t="str">
        <f>IF($B61="","",
IF(AG$5="","",
IF(Midterm!AG61="",0,
IF(NOT(ISNUMBER(Midterm!AG61)),"NAN",
IF(Midterm!AG61&lt;0,"NEG",
IF(Midterm!AG61&gt;AG$5,"OVER",
IF(AND(AG$5&lt;=100,Midterm!AG61&gt;100),"ERR",
IF(Info!$B$4="Non-board program",
IF(OR(AND(AG$5&gt;0,AG$5&gt;100),AND(AG$5&gt;0,AG$5&lt;100)),
VLOOKUP(FLOOR((Midterm!AG61/AG$5)*100,1),new_transmute,2,FALSE),
VLOOKUP(Midterm!AG61,new_transmute,2,FALSE)
),
IF(Info!$B$4="Board program",
IF(OR(AND(AG$5&gt;0,AG$5&gt;100),AND(AG$5&gt;0,AG$5&lt;100)),
VLOOKUP(FLOOR((Midterm!AG61/AG$5)*100,1),new_transmute,3,FALSE),
VLOOKUP(Midterm!AG61,new_transmute,3,FALSE)
),
IF(Info!$B$4="Board program (Medicine)",
IF(OR(AND(AG$5&gt;0,AG$5&gt;100),AND(AG$5&gt;0,AG$5&lt;100)),
VLOOKUP(FLOOR((Midterm!AG61/AG$5)*100,1),new_transmute,4,FALSE),
VLOOKUP(Midterm!AG61,new_transmute,4,FALSE)
),
""
)
)
)
)
)
)
)
)
))</f>
        <v/>
      </c>
      <c r="AH61" s="14" t="str">
        <f>IF($B61="","",
IF(AH$5="","",
IF(Midterm!AH61="",0,
IF(NOT(ISNUMBER(Midterm!AH61)),"NAN",
IF(Midterm!AH61&lt;0,"NEG",
IF(Midterm!AH61&gt;AH$5,"OVER",
IF(AND(AH$5&lt;=100,Midterm!AH61&gt;100),"ERR",
IF(Info!$B$4="Non-board program",
IF(OR(AND(AH$5&gt;0,AH$5&gt;100),AND(AH$5&gt;0,AH$5&lt;100)),
VLOOKUP(FLOOR((Midterm!AH61/AH$5)*100,1),new_transmute,2,FALSE),
VLOOKUP(Midterm!AH61,new_transmute,2,FALSE)
),
IF(Info!$B$4="Board program",
IF(OR(AND(AH$5&gt;0,AH$5&gt;100),AND(AH$5&gt;0,AH$5&lt;100)),
VLOOKUP(FLOOR((Midterm!AH61/AH$5)*100,1),new_transmute,3,FALSE),
VLOOKUP(Midterm!AH61,new_transmute,3,FALSE)
),
IF(Info!$B$4="Board program (Medicine)",
IF(OR(AND(AH$5&gt;0,AH$5&gt;100),AND(AH$5&gt;0,AH$5&lt;100)),
VLOOKUP(FLOOR((Midterm!AH61/AH$5)*100,1),new_transmute,4,FALSE),
VLOOKUP(Midterm!AH61,new_transmute,4,FALSE)
),
""
)
)
)
)
)
)
)
)
))</f>
        <v/>
      </c>
      <c r="AI61" s="14" t="str">
        <f>IF($B61="","",
IF(AI$5="","",
IF(Midterm!AI61="",0,
IF(NOT(ISNUMBER(Midterm!AI61)),"NAN",
IF(Midterm!AI61&lt;0,"NEG",
IF(Midterm!AI61&gt;AI$5,"OVER",
IF(AND(AI$5&lt;=100,Midterm!AI61&gt;100),"ERR",
IF(Info!$B$4="Non-board program",
IF(OR(AND(AI$5&gt;0,AI$5&gt;100),AND(AI$5&gt;0,AI$5&lt;100)),
VLOOKUP(FLOOR((Midterm!AI61/AI$5)*100,1),new_transmute,2,FALSE),
VLOOKUP(Midterm!AI61,new_transmute,2,FALSE)
),
IF(Info!$B$4="Board program",
IF(OR(AND(AI$5&gt;0,AI$5&gt;100),AND(AI$5&gt;0,AI$5&lt;100)),
VLOOKUP(FLOOR((Midterm!AI61/AI$5)*100,1),new_transmute,3,FALSE),
VLOOKUP(Midterm!AI61,new_transmute,3,FALSE)
),
IF(Info!$B$4="Board program (Medicine)",
IF(OR(AND(AI$5&gt;0,AI$5&gt;100),AND(AI$5&gt;0,AI$5&lt;100)),
VLOOKUP(FLOOR((Midterm!AI61/AI$5)*100,1),new_transmute,4,FALSE),
VLOOKUP(Midterm!AI61,new_transmute,4,FALSE)
),
""
)
)
)
)
)
)
)
)
))</f>
        <v/>
      </c>
      <c r="AJ61" s="14" t="str">
        <f>IF($B61="","",
IF(AJ$5="","",
IF(Midterm!AJ61="",0,
IF(NOT(ISNUMBER(Midterm!AJ61)),"NAN",
IF(Midterm!AJ61&lt;0,"NEG",
IF(Midterm!AJ61&gt;AJ$5,"OVER",
IF(AND(AJ$5&lt;=100,Midterm!AJ61&gt;100),"ERR",
IF(Info!$B$4="Non-board program",
IF(OR(AND(AJ$5&gt;0,AJ$5&gt;100),AND(AJ$5&gt;0,AJ$5&lt;100)),
VLOOKUP(FLOOR((Midterm!AJ61/AJ$5)*100,1),new_transmute,2,FALSE),
VLOOKUP(Midterm!AJ61,new_transmute,2,FALSE)
),
IF(Info!$B$4="Board program",
IF(OR(AND(AJ$5&gt;0,AJ$5&gt;100),AND(AJ$5&gt;0,AJ$5&lt;100)),
VLOOKUP(FLOOR((Midterm!AJ61/AJ$5)*100,1),new_transmute,3,FALSE),
VLOOKUP(Midterm!AJ61,new_transmute,3,FALSE)
),
IF(Info!$B$4="Board program (Medicine)",
IF(OR(AND(AJ$5&gt;0,AJ$5&gt;100),AND(AJ$5&gt;0,AJ$5&lt;100)),
VLOOKUP(FLOOR((Midterm!AJ61/AJ$5)*100,1),new_transmute,4,FALSE),
VLOOKUP(Midterm!AJ61,new_transmute,4,FALSE)
),
""
)
)
)
)
)
)
)
)
))</f>
        <v/>
      </c>
      <c r="AK61" s="59" t="str">
        <f t="shared" si="6"/>
        <v/>
      </c>
      <c r="AL61" s="60" t="str">
        <f>IF(B61="", "",
    IF(OR(M61="OVER", S61="OVER", Y61="OVER", AE61="OVER", AK61="OVER"),
        "OVER",
        IF(Info!$B$4="Non-board program",
            VLOOKUP(IFERROR(FLOOR(SUM((M61*$M$4), (S61*$S$4), (Y61*$Y$4), (AE61*$AE$4), (AK61*$AK$4)) * (100 / 60), 1), 0), new_transmute, 2, FALSE),
            IF(Info!$B$4="Board program",
                VLOOKUP(IFERROR(FLOOR(SUM((M61*$M$4), (S61*$S$4), (Y61*$Y$4), (AE61*$AE$4), (AK61*$AK$4)) * (100 / 60), 1), 0), new_transmute, 3, FALSE),
                IF(Info!$B$4="Board program (Medicine)",
                    VLOOKUP(IFERROR(FLOOR(SUM((M61*$M$4), (S61*$S$4), (Y61*$Y$4), (AE61*$AE$4), (AK61*$AK$4)) * (100 / 60), 1), 0), new_transmute, 4, FALSE),
                    ""
                )
            )
        )
    )
)</f>
        <v/>
      </c>
      <c r="AM61" s="14" t="str">
        <f>IF($B61="","",
IF(AM$5="","",
IF(Midterm!AM61="",0,
IF(NOT(ISNUMBER(Midterm!AM61)),"NAN",
IF(Midterm!AM61&lt;0,"NEG",
IF(Midterm!AM61&gt;AM$5,"OVER",
IF(AND(AM$5&lt;=100,Midterm!AM61&gt;100),"ERR",
IF(Info!$B$4="Non-board program",
IF(OR(AND(AM$5&gt;0,AM$5&gt;100),AND(AM$5&gt;0,AM$5&lt;100)),
VLOOKUP(FLOOR((Midterm!AM61/AM$5)*100,1),new_transmute,2,FALSE),
VLOOKUP(Midterm!AM61,new_transmute,2,FALSE)
),
IF(Info!$B$4="Board program",
IF(OR(AND(AM$5&gt;0,AM$5&gt;100),AND(AM$5&gt;0,AM$5&lt;100)),
VLOOKUP(FLOOR((Midterm!AM61/AM$5)*100,1),new_transmute,3,FALSE),
VLOOKUP(Midterm!AM61,new_transmute,3,FALSE)
),
IF(Info!$B$4="Board program (Medicine)",
IF(OR(AND(AM$5&gt;0,AM$5&gt;100),AND(AM$5&gt;0,AM$5&lt;100)),
VLOOKUP(FLOOR((Midterm!AM61/AM$5)*100,1),new_transmute,4,FALSE),
VLOOKUP(Midterm!AM61,new_transmute,4,FALSE)
),
""
)
)
)
)
)
)
)
)
))</f>
        <v/>
      </c>
      <c r="AN61" s="14" t="str">
        <f>IF($B61="","",
IF(AN$5="","",
IF(Midterm!AN61="",0,
IF(NOT(ISNUMBER(Midterm!AN61)),"NAN",
IF(Midterm!AN61&lt;0,"NEG",
IF(Midterm!AN61&gt;AN$5,"OVER",
IF(AND(AN$5&lt;=100,Midterm!AN61&gt;100),"ERR",
IF(Info!$B$4="Non-board program",
IF(OR(AND(AN$5&gt;0,AN$5&gt;100),AND(AN$5&gt;0,AN$5&lt;100)),
VLOOKUP(FLOOR((Midterm!AN61/AN$5)*100,1),new_transmute,2,FALSE),
VLOOKUP(Midterm!AN61,new_transmute,2,FALSE)
),
IF(Info!$B$4="Board program",
IF(OR(AND(AN$5&gt;0,AN$5&gt;100),AND(AN$5&gt;0,AN$5&lt;100)),
VLOOKUP(FLOOR((Midterm!AN61/AN$5)*100,1),new_transmute,3,FALSE),
VLOOKUP(Midterm!AN61,new_transmute,3,FALSE)
),
IF(Info!$B$4="Board program (Medicine)",
IF(OR(AND(AN$5&gt;0,AN$5&gt;100),AND(AN$5&gt;0,AN$5&lt;100)),
VLOOKUP(FLOOR((Midterm!AN61/AN$5)*100,1),new_transmute,4,FALSE),
VLOOKUP(Midterm!AN61,new_transmute,4,FALSE)
),
""
)
)
)
)
)
)
)
)
))</f>
        <v/>
      </c>
      <c r="AO61" s="14" t="str">
        <f>IF($B61="","",
IF(AO$5="","",
IF(Midterm!AO61="",0,
IF(NOT(ISNUMBER(Midterm!AO61)),"NAN",
IF(Midterm!AO61&lt;0,"NEG",
IF(Midterm!AO61&gt;AO$5,"OVER",
IF(AND(AO$5&lt;=100,Midterm!AO61&gt;100),"ERR",
IF(Info!$B$4="Non-board program",
IF(OR(AND(AO$5&gt;0,AO$5&gt;100),AND(AO$5&gt;0,AO$5&lt;100)),
VLOOKUP(FLOOR((Midterm!AO61/AO$5)*100,1),new_transmute,2,FALSE),
VLOOKUP(Midterm!AO61,new_transmute,2,FALSE)
),
IF(Info!$B$4="Board program",
IF(OR(AND(AO$5&gt;0,AO$5&gt;100),AND(AO$5&gt;0,AO$5&lt;100)),
VLOOKUP(FLOOR((Midterm!AO61/AO$5)*100,1),new_transmute,3,FALSE),
VLOOKUP(Midterm!AO61,new_transmute,3,FALSE)
),
IF(Info!$B$4="Board program (Medicine)",
IF(OR(AND(AO$5&gt;0,AO$5&gt;100),AND(AO$5&gt;0,AO$5&lt;100)),
VLOOKUP(FLOOR((Midterm!AO61/AO$5)*100,1),new_transmute,4,FALSE),
VLOOKUP(Midterm!AO61,new_transmute,4,FALSE)
),
""
)
)
)
)
)
)
)
)
))</f>
        <v/>
      </c>
      <c r="AP61" s="14" t="str">
        <f>IF($B61="","",
IF(AP$5="","",
IF(Midterm!AP61="",0,
IF(NOT(ISNUMBER(Midterm!AP61)),"NAN",
IF(Midterm!AP61&lt;0,"NEG",
IF(Midterm!AP61&gt;AP$5,"OVER",
IF(AND(AP$5&lt;=100,Midterm!AP61&gt;100),"ERR",
IF(Info!$B$4="Non-board program",
IF(OR(AND(AP$5&gt;0,AP$5&gt;100),AND(AP$5&gt;0,AP$5&lt;100)),
VLOOKUP(FLOOR((Midterm!AP61/AP$5)*100,1),new_transmute,2,FALSE),
VLOOKUP(Midterm!AP61,new_transmute,2,FALSE)
),
IF(Info!$B$4="Board program",
IF(OR(AND(AP$5&gt;0,AP$5&gt;100),AND(AP$5&gt;0,AP$5&lt;100)),
VLOOKUP(FLOOR((Midterm!AP61/AP$5)*100,1),new_transmute,3,FALSE),
VLOOKUP(Midterm!AP61,new_transmute,3,FALSE)
),
IF(Info!$B$4="Board program (Medicine)",
IF(OR(AND(AP$5&gt;0,AP$5&gt;100),AND(AP$5&gt;0,AP$5&lt;100)),
VLOOKUP(FLOOR((Midterm!AP61/AP$5)*100,1),new_transmute,4,FALSE),
VLOOKUP(Midterm!AP61,new_transmute,4,FALSE)
),
""
)
)
)
)
)
)
)
)
))</f>
        <v/>
      </c>
      <c r="AQ61" s="61" t="str">
        <f t="shared" si="7"/>
        <v/>
      </c>
      <c r="AR61" s="48" t="str">
        <f>IF(Midterm!AR61="","",Midterm!AR61)</f>
        <v/>
      </c>
      <c r="AS61" s="165" t="str">
        <f t="shared" si="8"/>
        <v/>
      </c>
      <c r="AT61" s="14" t="str">
        <f t="shared" si="9"/>
        <v/>
      </c>
      <c r="AU61" s="14" t="str">
        <f>IF(B61="","",VLOOKUP(AT61,'New Grade Equivalent'!$B$3:$C$47,2,FALSE))</f>
        <v/>
      </c>
    </row>
    <row r="62" spans="1:47" x14ac:dyDescent="0.25">
      <c r="A62" s="8">
        <v>57</v>
      </c>
      <c r="B62" s="2" t="str">
        <f>IF('Student List'!C66="","",UPPER(LEFT('Student List'!C66,FIND(",",'Student List'!C66)-1)))</f>
        <v/>
      </c>
      <c r="C62" s="12" t="str">
        <f>IF('Student List'!C66="","",PROPER(MID('Student List'!C66, FIND(",", 'Student List'!C66) + 2, LEN('Student List'!C66) - FIND(",", 'Student List'!C66) - 1)))</f>
        <v/>
      </c>
      <c r="D62" s="127" t="str">
        <f>IF(B62="","",IF(Midterm!D62="", "NA", Midterm!D62))</f>
        <v/>
      </c>
      <c r="E62" s="8" t="str">
        <f>IF(B62="","",
  IF(Info!$B$5="First Year",
    IF(D62="Yes", "DRP",
      IF(D62="No", "WF", "")
    )
  )
)</f>
        <v/>
      </c>
      <c r="F62" s="14" t="str">
        <f>IF($B62="","",
IF(F$5="","",
IF(Midterm!F62="",0,
IF(NOT(ISNUMBER(Midterm!F62)),"NAN",
IF(Midterm!F62&lt;0,"NEG",
IF(Midterm!F62&gt;F$5,"OVER",
IF(AND(F$5&lt;=100,Midterm!F62&gt;100),"ERR",
IF(Info!$B$4="Non-board program",
IF(OR(AND(F$5&gt;0,F$5&gt;100),AND(F$5&gt;0,F$5&lt;100)),
VLOOKUP(FLOOR((Midterm!F62/F$5)*100,1),new_transmute,2,FALSE),
VLOOKUP(Midterm!F62,new_transmute,2,FALSE)
),
IF(Info!$B$4="Board program",
IF(OR(AND(F$5&gt;0,F$5&gt;100),AND(F$5&gt;0,F$5&lt;100)),
VLOOKUP(FLOOR((Midterm!F62/F$5)*100,1),new_transmute,3,FALSE),
VLOOKUP(Midterm!F62,new_transmute,3,FALSE)
),
IF(Info!$B$4="Board program (Medicine)",
IF(OR(AND(F$5&gt;0,F$5&gt;100),AND(F$5&gt;0,F$5&lt;100)),
VLOOKUP(FLOOR((Midterm!F62/F$5)*100,1),new_transmute,4,FALSE),
VLOOKUP(Midterm!F62,new_transmute,4,FALSE)
),
""
)
)
)
)
)
)
)
)
))</f>
        <v/>
      </c>
      <c r="G62" s="57" t="str">
        <f t="shared" si="1"/>
        <v/>
      </c>
      <c r="H62" s="14" t="str">
        <f>IF($B62="","",
IF(H$5="","",
IF(Midterm!H62="",0,
IF(NOT(ISNUMBER(Midterm!H62)),"NAN",
IF(Midterm!H62&lt;0,"NEG",
IF(Midterm!H62&gt;H$5,"OVER",
IF(AND(H$5&lt;=100,Midterm!H62&gt;100),"ERR",
IF(Info!$B$4="Non-board program",
IF(OR(AND(H$5&gt;0,H$5&gt;100),AND(H$5&gt;0,H$5&lt;100)),
VLOOKUP(FLOOR((Midterm!H62/H$5)*100,1),new_transmute,2,FALSE),
VLOOKUP(Midterm!H62,new_transmute,2,FALSE)
),
IF(Info!$B$4="Board program",
IF(OR(AND(H$5&gt;0,H$5&gt;100),AND(H$5&gt;0,H$5&lt;100)),
VLOOKUP(FLOOR((Midterm!H62/H$5)*100,1),new_transmute,3,FALSE),
VLOOKUP(Midterm!H62,new_transmute,3,FALSE)
),
IF(Info!$B$4="Board program (Medicine)",
IF(OR(AND(H$5&gt;0,H$5&gt;100),AND(H$5&gt;0,H$5&lt;100)),
VLOOKUP(FLOOR((Midterm!H62/H$5)*100,1),new_transmute,4,FALSE),
VLOOKUP(Midterm!H62,new_transmute,4,FALSE)
),
""
)
)
)
)
)
)
)
)
))</f>
        <v/>
      </c>
      <c r="I62" s="14" t="str">
        <f>IF($B62="","",
IF(I$5="","",
IF(Midterm!I62="",0,
IF(NOT(ISNUMBER(Midterm!I62)),"NAN",
IF(Midterm!I62&lt;0,"NEG",
IF(Midterm!I62&gt;I$5,"OVER",
IF(AND(I$5&lt;=100,Midterm!I62&gt;100),"ERR",
IF(Info!$B$4="Non-board program",
IF(OR(AND(I$5&gt;0,I$5&gt;100),AND(I$5&gt;0,I$5&lt;100)),
VLOOKUP(FLOOR((Midterm!I62/I$5)*100,1),new_transmute,2,FALSE),
VLOOKUP(Midterm!I62,new_transmute,2,FALSE)
),
IF(Info!$B$4="Board program",
IF(OR(AND(I$5&gt;0,I$5&gt;100),AND(I$5&gt;0,I$5&lt;100)),
VLOOKUP(FLOOR((Midterm!I62/I$5)*100,1),new_transmute,3,FALSE),
VLOOKUP(Midterm!I62,new_transmute,3,FALSE)
),
IF(Info!$B$4="Board program (Medicine)",
IF(OR(AND(I$5&gt;0,I$5&gt;100),AND(I$5&gt;0,I$5&lt;100)),
VLOOKUP(FLOOR((Midterm!I62/I$5)*100,1),new_transmute,4,FALSE),
VLOOKUP(Midterm!I62,new_transmute,4,FALSE)
),
""
)
)
)
)
)
)
)
)
))</f>
        <v/>
      </c>
      <c r="J62" s="14" t="str">
        <f>IF($B62="","",
IF(J$5="","",
IF(Midterm!J62="",0,
IF(NOT(ISNUMBER(Midterm!J62)),"NAN",
IF(Midterm!J62&lt;0,"NEG",
IF(Midterm!J62&gt;J$5,"OVER",
IF(AND(J$5&lt;=100,Midterm!J62&gt;100),"ERR",
IF(Info!$B$4="Non-board program",
IF(OR(AND(J$5&gt;0,J$5&gt;100),AND(J$5&gt;0,J$5&lt;100)),
VLOOKUP(FLOOR((Midterm!J62/J$5)*100,1),new_transmute,2,FALSE),
VLOOKUP(Midterm!J62,new_transmute,2,FALSE)
),
IF(Info!$B$4="Board program",
IF(OR(AND(J$5&gt;0,J$5&gt;100),AND(J$5&gt;0,J$5&lt;100)),
VLOOKUP(FLOOR((Midterm!J62/J$5)*100,1),new_transmute,3,FALSE),
VLOOKUP(Midterm!J62,new_transmute,3,FALSE)
),
IF(Info!$B$4="Board program (Medicine)",
IF(OR(AND(J$5&gt;0,J$5&gt;100),AND(J$5&gt;0,J$5&lt;100)),
VLOOKUP(FLOOR((Midterm!J62/J$5)*100,1),new_transmute,4,FALSE),
VLOOKUP(Midterm!J62,new_transmute,4,FALSE)
),
""
)
)
)
)
)
)
)
)
))</f>
        <v/>
      </c>
      <c r="K62" s="14" t="str">
        <f>IF($B62="","",
IF(K$5="","",
IF(Midterm!K62="",0,
IF(NOT(ISNUMBER(Midterm!K62)),"NAN",
IF(Midterm!K62&lt;0,"NEG",
IF(Midterm!K62&gt;K$5,"OVER",
IF(AND(K$5&lt;=100,Midterm!K62&gt;100),"ERR",
IF(Info!$B$4="Non-board program",
IF(OR(AND(K$5&gt;0,K$5&gt;100),AND(K$5&gt;0,K$5&lt;100)),
VLOOKUP(FLOOR((Midterm!K62/K$5)*100,1),new_transmute,2,FALSE),
VLOOKUP(Midterm!K62,new_transmute,2,FALSE)
),
IF(Info!$B$4="Board program",
IF(OR(AND(K$5&gt;0,K$5&gt;100),AND(K$5&gt;0,K$5&lt;100)),
VLOOKUP(FLOOR((Midterm!K62/K$5)*100,1),new_transmute,3,FALSE),
VLOOKUP(Midterm!K62,new_transmute,3,FALSE)
),
IF(Info!$B$4="Board program (Medicine)",
IF(OR(AND(K$5&gt;0,K$5&gt;100),AND(K$5&gt;0,K$5&lt;100)),
VLOOKUP(FLOOR((Midterm!K62/K$5)*100,1),new_transmute,4,FALSE),
VLOOKUP(Midterm!K62,new_transmute,4,FALSE)
),
""
)
)
)
)
)
)
)
)
))</f>
        <v/>
      </c>
      <c r="L62" s="14" t="str">
        <f>IF($B62="","",
IF(L$5="","",
IF(Midterm!L62="",0,
IF(NOT(ISNUMBER(Midterm!L62)),"NAN",
IF(Midterm!L62&lt;0,"NEG",
IF(Midterm!L62&gt;L$5,"OVER",
IF(AND(L$5&lt;=100,Midterm!L62&gt;100),"ERR",
IF(Info!$B$4="Non-board program",
IF(OR(AND(L$5&gt;0,L$5&gt;100),AND(L$5&gt;0,L$5&lt;100)),
VLOOKUP(FLOOR((Midterm!L62/L$5)*100,1),new_transmute,2,FALSE),
VLOOKUP(Midterm!L62,new_transmute,2,FALSE)
),
IF(Info!$B$4="Board program",
IF(OR(AND(L$5&gt;0,L$5&gt;100),AND(L$5&gt;0,L$5&lt;100)),
VLOOKUP(FLOOR((Midterm!L62/L$5)*100,1),new_transmute,3,FALSE),
VLOOKUP(Midterm!L62,new_transmute,3,FALSE)
),
IF(Info!$B$4="Board program (Medicine)",
IF(OR(AND(L$5&gt;0,L$5&gt;100),AND(L$5&gt;0,L$5&lt;100)),
VLOOKUP(FLOOR((Midterm!L62/L$5)*100,1),new_transmute,4,FALSE),
VLOOKUP(Midterm!L62,new_transmute,4,FALSE)
),
""
)
)
)
)
)
)
)
)
))</f>
        <v/>
      </c>
      <c r="M62" s="111" t="str">
        <f t="shared" si="2"/>
        <v/>
      </c>
      <c r="N62" s="14" t="str">
        <f>IF($B62="","",
IF(N$5="","",
IF(Midterm!N62="",0,
IF(NOT(ISNUMBER(Midterm!N62)),"NAN",
IF(Midterm!N62&lt;0,"NEG",
IF(Midterm!N62&gt;N$5,"OVER",
IF(AND(N$5&lt;=100,Midterm!N62&gt;100),"ERR",
IF(Info!$B$4="Non-board program",
IF(OR(AND(N$5&gt;0,N$5&gt;100),AND(N$5&gt;0,N$5&lt;100)),
VLOOKUP(FLOOR((Midterm!N62/N$5)*100,1),new_transmute,2,FALSE),
VLOOKUP(Midterm!N62,new_transmute,2,FALSE)
),
IF(Info!$B$4="Board program",
IF(OR(AND(N$5&gt;0,N$5&gt;100),AND(N$5&gt;0,N$5&lt;100)),
VLOOKUP(FLOOR((Midterm!N62/N$5)*100,1),new_transmute,3,FALSE),
VLOOKUP(Midterm!N62,new_transmute,3,FALSE)
),
IF(Info!$B$4="Board program (Medicine)",
IF(OR(AND(N$5&gt;0,N$5&gt;100),AND(N$5&gt;0,N$5&lt;100)),
VLOOKUP(FLOOR((Midterm!N62/N$5)*100,1),new_transmute,4,FALSE),
VLOOKUP(Midterm!N62,new_transmute,4,FALSE)
),
""
)
)
)
)
)
)
)
)
))</f>
        <v/>
      </c>
      <c r="O62" s="14" t="str">
        <f>IF($B62="","",
IF(O$5="","",
IF(Midterm!O62="",0,
IF(NOT(ISNUMBER(Midterm!O62)),"NAN",
IF(Midterm!O62&lt;0,"NEG",
IF(Midterm!O62&gt;O$5,"OVER",
IF(AND(O$5&lt;=100,Midterm!O62&gt;100),"ERR",
IF(Info!$B$4="Non-board program",
IF(OR(AND(O$5&gt;0,O$5&gt;100),AND(O$5&gt;0,O$5&lt;100)),
VLOOKUP(FLOOR((Midterm!O62/O$5)*100,1),new_transmute,2,FALSE),
VLOOKUP(Midterm!O62,new_transmute,2,FALSE)
),
IF(Info!$B$4="Board program",
IF(OR(AND(O$5&gt;0,O$5&gt;100),AND(O$5&gt;0,O$5&lt;100)),
VLOOKUP(FLOOR((Midterm!O62/O$5)*100,1),new_transmute,3,FALSE),
VLOOKUP(Midterm!O62,new_transmute,3,FALSE)
),
IF(Info!$B$4="Board program (Medicine)",
IF(OR(AND(O$5&gt;0,O$5&gt;100),AND(O$5&gt;0,O$5&lt;100)),
VLOOKUP(FLOOR((Midterm!O62/O$5)*100,1),new_transmute,4,FALSE),
VLOOKUP(Midterm!O62,new_transmute,4,FALSE)
),
""
)
)
)
)
)
)
)
)
))</f>
        <v/>
      </c>
      <c r="P62" s="14" t="str">
        <f>IF($B62="","",
IF(P$5="","",
IF(Midterm!P62="",0,
IF(NOT(ISNUMBER(Midterm!P62)),"NAN",
IF(Midterm!P62&lt;0,"NEG",
IF(Midterm!P62&gt;P$5,"OVER",
IF(AND(P$5&lt;=100,Midterm!P62&gt;100),"ERR",
IF(Info!$B$4="Non-board program",
IF(OR(AND(P$5&gt;0,P$5&gt;100),AND(P$5&gt;0,P$5&lt;100)),
VLOOKUP(FLOOR((Midterm!P62/P$5)*100,1),new_transmute,2,FALSE),
VLOOKUP(Midterm!P62,new_transmute,2,FALSE)
),
IF(Info!$B$4="Board program",
IF(OR(AND(P$5&gt;0,P$5&gt;100),AND(P$5&gt;0,P$5&lt;100)),
VLOOKUP(FLOOR((Midterm!P62/P$5)*100,1),new_transmute,3,FALSE),
VLOOKUP(Midterm!P62,new_transmute,3,FALSE)
),
IF(Info!$B$4="Board program (Medicine)",
IF(OR(AND(P$5&gt;0,P$5&gt;100),AND(P$5&gt;0,P$5&lt;100)),
VLOOKUP(FLOOR((Midterm!P62/P$5)*100,1),new_transmute,4,FALSE),
VLOOKUP(Midterm!P62,new_transmute,4,FALSE)
),
""
)
)
)
)
)
)
)
)
))</f>
        <v/>
      </c>
      <c r="Q62" s="14" t="str">
        <f>IF($B62="","",
IF(Q$5="","",
IF(Midterm!Q62="",0,
IF(NOT(ISNUMBER(Midterm!Q62)),"NAN",
IF(Midterm!Q62&lt;0,"NEG",
IF(Midterm!Q62&gt;Q$5,"OVER",
IF(AND(Q$5&lt;=100,Midterm!Q62&gt;100),"ERR",
IF(Info!$B$4="Non-board program",
IF(OR(AND(Q$5&gt;0,Q$5&gt;100),AND(Q$5&gt;0,Q$5&lt;100)),
VLOOKUP(FLOOR((Midterm!Q62/Q$5)*100,1),new_transmute,2,FALSE),
VLOOKUP(Midterm!Q62,new_transmute,2,FALSE)
),
IF(Info!$B$4="Board program",
IF(OR(AND(Q$5&gt;0,Q$5&gt;100),AND(Q$5&gt;0,Q$5&lt;100)),
VLOOKUP(FLOOR((Midterm!Q62/Q$5)*100,1),new_transmute,3,FALSE),
VLOOKUP(Midterm!Q62,new_transmute,3,FALSE)
),
IF(Info!$B$4="Board program (Medicine)",
IF(OR(AND(Q$5&gt;0,Q$5&gt;100),AND(Q$5&gt;0,Q$5&lt;100)),
VLOOKUP(FLOOR((Midterm!Q62/Q$5)*100,1),new_transmute,4,FALSE),
VLOOKUP(Midterm!Q62,new_transmute,4,FALSE)
),
""
)
)
)
)
)
)
)
)
))</f>
        <v/>
      </c>
      <c r="R62" s="14" t="str">
        <f>IF($B62="","",
IF(R$5="","",
IF(Midterm!R62="",0,
IF(NOT(ISNUMBER(Midterm!R62)),"NAN",
IF(Midterm!R62&lt;0,"NEG",
IF(Midterm!R62&gt;R$5,"OVER",
IF(AND(R$5&lt;=100,Midterm!R62&gt;100),"ERR",
IF(Info!$B$4="Non-board program",
IF(OR(AND(R$5&gt;0,R$5&gt;100),AND(R$5&gt;0,R$5&lt;100)),
VLOOKUP(FLOOR((Midterm!R62/R$5)*100,1),new_transmute,2,FALSE),
VLOOKUP(Midterm!R62,new_transmute,2,FALSE)
),
IF(Info!$B$4="Board program",
IF(OR(AND(R$5&gt;0,R$5&gt;100),AND(R$5&gt;0,R$5&lt;100)),
VLOOKUP(FLOOR((Midterm!R62/R$5)*100,1),new_transmute,3,FALSE),
VLOOKUP(Midterm!R62,new_transmute,3,FALSE)
),
IF(Info!$B$4="Board program (Medicine)",
IF(OR(AND(R$5&gt;0,R$5&gt;100),AND(R$5&gt;0,R$5&lt;100)),
VLOOKUP(FLOOR((Midterm!R62/R$5)*100,1),new_transmute,4,FALSE),
VLOOKUP(Midterm!R62,new_transmute,4,FALSE)
),
""
)
)
)
)
)
)
)
)
))</f>
        <v/>
      </c>
      <c r="S62" s="115" t="str">
        <f t="shared" si="3"/>
        <v/>
      </c>
      <c r="T62" s="14" t="str">
        <f>IF($B62="","",
IF(T$5="","",
IF(Midterm!T62="",0,
IF(NOT(ISNUMBER(Midterm!T62)),"NAN",
IF(Midterm!T62&lt;0,"NEG",
IF(Midterm!T62&gt;T$5,"OVER",
IF(AND(T$5&lt;=100,Midterm!T62&gt;100),"ERR",
IF(Info!$B$4="Non-board program",
IF(OR(AND(T$5&gt;0,T$5&gt;100),AND(T$5&gt;0,T$5&lt;100)),
VLOOKUP(FLOOR((Midterm!T62/T$5)*100,1),new_transmute,2,FALSE),
VLOOKUP(Midterm!T62,new_transmute,2,FALSE)
),
IF(Info!$B$4="Board program",
IF(OR(AND(T$5&gt;0,T$5&gt;100),AND(T$5&gt;0,T$5&lt;100)),
VLOOKUP(FLOOR((Midterm!T62/T$5)*100,1),new_transmute,3,FALSE),
VLOOKUP(Midterm!T62,new_transmute,3,FALSE)
),
IF(Info!$B$4="Board program (Medicine)",
IF(OR(AND(T$5&gt;0,T$5&gt;100),AND(T$5&gt;0,T$5&lt;100)),
VLOOKUP(FLOOR((Midterm!T62/T$5)*100,1),new_transmute,4,FALSE),
VLOOKUP(Midterm!T62,new_transmute,4,FALSE)
),
""
)
)
)
)
)
)
)
)
))</f>
        <v/>
      </c>
      <c r="U62" s="14" t="str">
        <f>IF($B62="","",
IF(U$5="","",
IF(Midterm!U62="",0,
IF(NOT(ISNUMBER(Midterm!U62)),"NAN",
IF(Midterm!U62&lt;0,"NEG",
IF(Midterm!U62&gt;U$5,"OVER",
IF(AND(U$5&lt;=100,Midterm!U62&gt;100),"ERR",
IF(Info!$B$4="Non-board program",
IF(OR(AND(U$5&gt;0,U$5&gt;100),AND(U$5&gt;0,U$5&lt;100)),
VLOOKUP(FLOOR((Midterm!U62/U$5)*100,1),new_transmute,2,FALSE),
VLOOKUP(Midterm!U62,new_transmute,2,FALSE)
),
IF(Info!$B$4="Board program",
IF(OR(AND(U$5&gt;0,U$5&gt;100),AND(U$5&gt;0,U$5&lt;100)),
VLOOKUP(FLOOR((Midterm!U62/U$5)*100,1),new_transmute,3,FALSE),
VLOOKUP(Midterm!U62,new_transmute,3,FALSE)
),
IF(Info!$B$4="Board program (Medicine)",
IF(OR(AND(U$5&gt;0,U$5&gt;100),AND(U$5&gt;0,U$5&lt;100)),
VLOOKUP(FLOOR((Midterm!U62/U$5)*100,1),new_transmute,4,FALSE),
VLOOKUP(Midterm!U62,new_transmute,4,FALSE)
),
""
)
)
)
)
)
)
)
)
))</f>
        <v/>
      </c>
      <c r="V62" s="14" t="str">
        <f>IF($B62="","",
IF(V$5="","",
IF(Midterm!V62="",0,
IF(NOT(ISNUMBER(Midterm!V62)),"NAN",
IF(Midterm!V62&lt;0,"NEG",
IF(Midterm!V62&gt;V$5,"OVER",
IF(AND(V$5&lt;=100,Midterm!V62&gt;100),"ERR",
IF(Info!$B$4="Non-board program",
IF(OR(AND(V$5&gt;0,V$5&gt;100),AND(V$5&gt;0,V$5&lt;100)),
VLOOKUP(FLOOR((Midterm!V62/V$5)*100,1),new_transmute,2,FALSE),
VLOOKUP(Midterm!V62,new_transmute,2,FALSE)
),
IF(Info!$B$4="Board program",
IF(OR(AND(V$5&gt;0,V$5&gt;100),AND(V$5&gt;0,V$5&lt;100)),
VLOOKUP(FLOOR((Midterm!V62/V$5)*100,1),new_transmute,3,FALSE),
VLOOKUP(Midterm!V62,new_transmute,3,FALSE)
),
IF(Info!$B$4="Board program (Medicine)",
IF(OR(AND(V$5&gt;0,V$5&gt;100),AND(V$5&gt;0,V$5&lt;100)),
VLOOKUP(FLOOR((Midterm!V62/V$5)*100,1),new_transmute,4,FALSE),
VLOOKUP(Midterm!V62,new_transmute,4,FALSE)
),
""
)
)
)
)
)
)
)
)
))</f>
        <v/>
      </c>
      <c r="W62" s="14" t="str">
        <f>IF($B62="","",
IF(W$5="","",
IF(Midterm!W62="",0,
IF(NOT(ISNUMBER(Midterm!W62)),"NAN",
IF(Midterm!W62&lt;0,"NEG",
IF(Midterm!W62&gt;W$5,"OVER",
IF(AND(W$5&lt;=100,Midterm!W62&gt;100),"ERR",
IF(Info!$B$4="Non-board program",
IF(OR(AND(W$5&gt;0,W$5&gt;100),AND(W$5&gt;0,W$5&lt;100)),
VLOOKUP(FLOOR((Midterm!W62/W$5)*100,1),new_transmute,2,FALSE),
VLOOKUP(Midterm!W62,new_transmute,2,FALSE)
),
IF(Info!$B$4="Board program",
IF(OR(AND(W$5&gt;0,W$5&gt;100),AND(W$5&gt;0,W$5&lt;100)),
VLOOKUP(FLOOR((Midterm!W62/W$5)*100,1),new_transmute,3,FALSE),
VLOOKUP(Midterm!W62,new_transmute,3,FALSE)
),
IF(Info!$B$4="Board program (Medicine)",
IF(OR(AND(W$5&gt;0,W$5&gt;100),AND(W$5&gt;0,W$5&lt;100)),
VLOOKUP(FLOOR((Midterm!W62/W$5)*100,1),new_transmute,4,FALSE),
VLOOKUP(Midterm!W62,new_transmute,4,FALSE)
),
""
)
)
)
)
)
)
)
)
))</f>
        <v/>
      </c>
      <c r="X62" s="14" t="str">
        <f>IF($B62="","",
IF(X$5="","",
IF(Midterm!X62="",0,
IF(NOT(ISNUMBER(Midterm!X62)),"NAN",
IF(Midterm!X62&lt;0,"NEG",
IF(Midterm!X62&gt;X$5,"OVER",
IF(AND(X$5&lt;=100,Midterm!X62&gt;100),"ERR",
IF(Info!$B$4="Non-board program",
IF(OR(AND(X$5&gt;0,X$5&gt;100),AND(X$5&gt;0,X$5&lt;100)),
VLOOKUP(FLOOR((Midterm!X62/X$5)*100,1),new_transmute,2,FALSE),
VLOOKUP(Midterm!X62,new_transmute,2,FALSE)
),
IF(Info!$B$4="Board program",
IF(OR(AND(X$5&gt;0,X$5&gt;100),AND(X$5&gt;0,X$5&lt;100)),
VLOOKUP(FLOOR((Midterm!X62/X$5)*100,1),new_transmute,3,FALSE),
VLOOKUP(Midterm!X62,new_transmute,3,FALSE)
),
IF(Info!$B$4="Board program (Medicine)",
IF(OR(AND(X$5&gt;0,X$5&gt;100),AND(X$5&gt;0,X$5&lt;100)),
VLOOKUP(FLOOR((Midterm!X62/X$5)*100,1),new_transmute,4,FALSE),
VLOOKUP(Midterm!X62,new_transmute,4,FALSE)
),
""
)
)
)
)
)
)
)
)
))</f>
        <v/>
      </c>
      <c r="Y62" s="112" t="str">
        <f t="shared" si="4"/>
        <v/>
      </c>
      <c r="Z62" s="14" t="str">
        <f>IF($B62="","",
IF(Z$5="","",
IF(Midterm!Z62="",0,
IF(NOT(ISNUMBER(Midterm!Z62)),"NAN",
IF(Midterm!Z62&lt;0,"NEG",
IF(Midterm!Z62&gt;Z$5,"OVER",
IF(AND(Z$5&lt;=100,Midterm!Z62&gt;100),"ERR",
IF(Info!$B$4="Non-board program",
IF(OR(AND(Z$5&gt;0,Z$5&gt;100),AND(Z$5&gt;0,Z$5&lt;100)),
VLOOKUP(FLOOR((Midterm!Z62/Z$5)*100,1),new_transmute,2,FALSE),
VLOOKUP(Midterm!Z62,new_transmute,2,FALSE)
),
IF(Info!$B$4="Board program",
IF(OR(AND(Z$5&gt;0,Z$5&gt;100),AND(Z$5&gt;0,Z$5&lt;100)),
VLOOKUP(FLOOR((Midterm!Z62/Z$5)*100,1),new_transmute,3,FALSE),
VLOOKUP(Midterm!Z62,new_transmute,3,FALSE)
),
IF(Info!$B$4="Board program (Medicine)",
IF(OR(AND(Z$5&gt;0,Z$5&gt;100),AND(Z$5&gt;0,Z$5&lt;100)),
VLOOKUP(FLOOR((Midterm!Z62/Z$5)*100,1),new_transmute,4,FALSE),
VLOOKUP(Midterm!Z62,new_transmute,4,FALSE)
),
""
)
)
)
)
)
)
)
)
))</f>
        <v/>
      </c>
      <c r="AA62" s="14" t="str">
        <f>IF($B62="","",
IF(AA$5="","",
IF(Midterm!AA62="",0,
IF(NOT(ISNUMBER(Midterm!AA62)),"NAN",
IF(Midterm!AA62&lt;0,"NEG",
IF(Midterm!AA62&gt;AA$5,"OVER",
IF(AND(AA$5&lt;=100,Midterm!AA62&gt;100),"ERR",
IF(Info!$B$4="Non-board program",
IF(OR(AND(AA$5&gt;0,AA$5&gt;100),AND(AA$5&gt;0,AA$5&lt;100)),
VLOOKUP(FLOOR((Midterm!AA62/AA$5)*100,1),new_transmute,2,FALSE),
VLOOKUP(Midterm!AA62,new_transmute,2,FALSE)
),
IF(Info!$B$4="Board program",
IF(OR(AND(AA$5&gt;0,AA$5&gt;100),AND(AA$5&gt;0,AA$5&lt;100)),
VLOOKUP(FLOOR((Midterm!AA62/AA$5)*100,1),new_transmute,3,FALSE),
VLOOKUP(Midterm!AA62,new_transmute,3,FALSE)
),
IF(Info!$B$4="Board program (Medicine)",
IF(OR(AND(AA$5&gt;0,AA$5&gt;100),AND(AA$5&gt;0,AA$5&lt;100)),
VLOOKUP(FLOOR((Midterm!AA62/AA$5)*100,1),new_transmute,4,FALSE),
VLOOKUP(Midterm!AA62,new_transmute,4,FALSE)
),
""
)
)
)
)
)
)
)
)
))</f>
        <v/>
      </c>
      <c r="AB62" s="14" t="str">
        <f>IF($B62="","",
IF(AB$5="","",
IF(Midterm!AB62="",0,
IF(NOT(ISNUMBER(Midterm!AB62)),"NAN",
IF(Midterm!AB62&lt;0,"NEG",
IF(Midterm!AB62&gt;AB$5,"OVER",
IF(AND(AB$5&lt;=100,Midterm!AB62&gt;100),"ERR",
IF(Info!$B$4="Non-board program",
IF(OR(AND(AB$5&gt;0,AB$5&gt;100),AND(AB$5&gt;0,AB$5&lt;100)),
VLOOKUP(FLOOR((Midterm!AB62/AB$5)*100,1),new_transmute,2,FALSE),
VLOOKUP(Midterm!AB62,new_transmute,2,FALSE)
),
IF(Info!$B$4="Board program",
IF(OR(AND(AB$5&gt;0,AB$5&gt;100),AND(AB$5&gt;0,AB$5&lt;100)),
VLOOKUP(FLOOR((Midterm!AB62/AB$5)*100,1),new_transmute,3,FALSE),
VLOOKUP(Midterm!AB62,new_transmute,3,FALSE)
),
IF(Info!$B$4="Board program (Medicine)",
IF(OR(AND(AB$5&gt;0,AB$5&gt;100),AND(AB$5&gt;0,AB$5&lt;100)),
VLOOKUP(FLOOR((Midterm!AB62/AB$5)*100,1),new_transmute,4,FALSE),
VLOOKUP(Midterm!AB62,new_transmute,4,FALSE)
),
""
)
)
)
)
)
)
)
)
))</f>
        <v/>
      </c>
      <c r="AC62" s="14" t="str">
        <f>IF($B62="","",
IF(AC$5="","",
IF(Midterm!AC62="",0,
IF(NOT(ISNUMBER(Midterm!AC62)),"NAN",
IF(Midterm!AC62&lt;0,"NEG",
IF(Midterm!AC62&gt;AC$5,"OVER",
IF(AND(AC$5&lt;=100,Midterm!AC62&gt;100),"ERR",
IF(Info!$B$4="Non-board program",
IF(OR(AND(AC$5&gt;0,AC$5&gt;100),AND(AC$5&gt;0,AC$5&lt;100)),
VLOOKUP(FLOOR((Midterm!AC62/AC$5)*100,1),new_transmute,2,FALSE),
VLOOKUP(Midterm!AC62,new_transmute,2,FALSE)
),
IF(Info!$B$4="Board program",
IF(OR(AND(AC$5&gt;0,AC$5&gt;100),AND(AC$5&gt;0,AC$5&lt;100)),
VLOOKUP(FLOOR((Midterm!AC62/AC$5)*100,1),new_transmute,3,FALSE),
VLOOKUP(Midterm!AC62,new_transmute,3,FALSE)
),
IF(Info!$B$4="Board program (Medicine)",
IF(OR(AND(AC$5&gt;0,AC$5&gt;100),AND(AC$5&gt;0,AC$5&lt;100)),
VLOOKUP(FLOOR((Midterm!AC62/AC$5)*100,1),new_transmute,4,FALSE),
VLOOKUP(Midterm!AC62,new_transmute,4,FALSE)
),
""
)
)
)
)
)
)
)
)
))</f>
        <v/>
      </c>
      <c r="AD62" s="14" t="str">
        <f>IF($B62="","",
IF(AD$5="","",
IF(Midterm!AD62="",0,
IF(NOT(ISNUMBER(Midterm!AD62)),"NAN",
IF(Midterm!AD62&lt;0,"NEG",
IF(Midterm!AD62&gt;AD$5,"OVER",
IF(AND(AD$5&lt;=100,Midterm!AD62&gt;100),"ERR",
IF(Info!$B$4="Non-board program",
IF(OR(AND(AD$5&gt;0,AD$5&gt;100),AND(AD$5&gt;0,AD$5&lt;100)),
VLOOKUP(FLOOR((Midterm!AD62/AD$5)*100,1),new_transmute,2,FALSE),
VLOOKUP(Midterm!AD62,new_transmute,2,FALSE)
),
IF(Info!$B$4="Board program",
IF(OR(AND(AD$5&gt;0,AD$5&gt;100),AND(AD$5&gt;0,AD$5&lt;100)),
VLOOKUP(FLOOR((Midterm!AD62/AD$5)*100,1),new_transmute,3,FALSE),
VLOOKUP(Midterm!AD62,new_transmute,3,FALSE)
),
IF(Info!$B$4="Board program (Medicine)",
IF(OR(AND(AD$5&gt;0,AD$5&gt;100),AND(AD$5&gt;0,AD$5&lt;100)),
VLOOKUP(FLOOR((Midterm!AD62/AD$5)*100,1),new_transmute,4,FALSE),
VLOOKUP(Midterm!AD62,new_transmute,4,FALSE)
),
""
)
)
)
)
)
)
)
)
))</f>
        <v/>
      </c>
      <c r="AE62" s="58" t="str">
        <f t="shared" si="5"/>
        <v/>
      </c>
      <c r="AF62" s="14" t="str">
        <f>IF($B62="","",
IF(AF$5="","",
IF(Midterm!AF62="",0,
IF(NOT(ISNUMBER(Midterm!AF62)),"NAN",
IF(Midterm!AF62&lt;0,"NEG",
IF(Midterm!AF62&gt;AF$5,"OVER",
IF(AND(AF$5&lt;=100,Midterm!AF62&gt;100),"ERR",
IF(Info!$B$4="Non-board program",
IF(OR(AND(AF$5&gt;0,AF$5&gt;100),AND(AF$5&gt;0,AF$5&lt;100)),
VLOOKUP(FLOOR((Midterm!AF62/AF$5)*100,1),new_transmute,2,FALSE),
VLOOKUP(Midterm!AF62,new_transmute,2,FALSE)
),
IF(Info!$B$4="Board program",
IF(OR(AND(AF$5&gt;0,AF$5&gt;100),AND(AF$5&gt;0,AF$5&lt;100)),
VLOOKUP(FLOOR((Midterm!AF62/AF$5)*100,1),new_transmute,3,FALSE),
VLOOKUP(Midterm!AF62,new_transmute,3,FALSE)
),
IF(Info!$B$4="Board program (Medicine)",
IF(OR(AND(AF$5&gt;0,AF$5&gt;100),AND(AF$5&gt;0,AF$5&lt;100)),
VLOOKUP(FLOOR((Midterm!AF62/AF$5)*100,1),new_transmute,4,FALSE),
VLOOKUP(Midterm!AF62,new_transmute,4,FALSE)
),
""
)
)
)
)
)
)
)
)
))</f>
        <v/>
      </c>
      <c r="AG62" s="14" t="str">
        <f>IF($B62="","",
IF(AG$5="","",
IF(Midterm!AG62="",0,
IF(NOT(ISNUMBER(Midterm!AG62)),"NAN",
IF(Midterm!AG62&lt;0,"NEG",
IF(Midterm!AG62&gt;AG$5,"OVER",
IF(AND(AG$5&lt;=100,Midterm!AG62&gt;100),"ERR",
IF(Info!$B$4="Non-board program",
IF(OR(AND(AG$5&gt;0,AG$5&gt;100),AND(AG$5&gt;0,AG$5&lt;100)),
VLOOKUP(FLOOR((Midterm!AG62/AG$5)*100,1),new_transmute,2,FALSE),
VLOOKUP(Midterm!AG62,new_transmute,2,FALSE)
),
IF(Info!$B$4="Board program",
IF(OR(AND(AG$5&gt;0,AG$5&gt;100),AND(AG$5&gt;0,AG$5&lt;100)),
VLOOKUP(FLOOR((Midterm!AG62/AG$5)*100,1),new_transmute,3,FALSE),
VLOOKUP(Midterm!AG62,new_transmute,3,FALSE)
),
IF(Info!$B$4="Board program (Medicine)",
IF(OR(AND(AG$5&gt;0,AG$5&gt;100),AND(AG$5&gt;0,AG$5&lt;100)),
VLOOKUP(FLOOR((Midterm!AG62/AG$5)*100,1),new_transmute,4,FALSE),
VLOOKUP(Midterm!AG62,new_transmute,4,FALSE)
),
""
)
)
)
)
)
)
)
)
))</f>
        <v/>
      </c>
      <c r="AH62" s="14" t="str">
        <f>IF($B62="","",
IF(AH$5="","",
IF(Midterm!AH62="",0,
IF(NOT(ISNUMBER(Midterm!AH62)),"NAN",
IF(Midterm!AH62&lt;0,"NEG",
IF(Midterm!AH62&gt;AH$5,"OVER",
IF(AND(AH$5&lt;=100,Midterm!AH62&gt;100),"ERR",
IF(Info!$B$4="Non-board program",
IF(OR(AND(AH$5&gt;0,AH$5&gt;100),AND(AH$5&gt;0,AH$5&lt;100)),
VLOOKUP(FLOOR((Midterm!AH62/AH$5)*100,1),new_transmute,2,FALSE),
VLOOKUP(Midterm!AH62,new_transmute,2,FALSE)
),
IF(Info!$B$4="Board program",
IF(OR(AND(AH$5&gt;0,AH$5&gt;100),AND(AH$5&gt;0,AH$5&lt;100)),
VLOOKUP(FLOOR((Midterm!AH62/AH$5)*100,1),new_transmute,3,FALSE),
VLOOKUP(Midterm!AH62,new_transmute,3,FALSE)
),
IF(Info!$B$4="Board program (Medicine)",
IF(OR(AND(AH$5&gt;0,AH$5&gt;100),AND(AH$5&gt;0,AH$5&lt;100)),
VLOOKUP(FLOOR((Midterm!AH62/AH$5)*100,1),new_transmute,4,FALSE),
VLOOKUP(Midterm!AH62,new_transmute,4,FALSE)
),
""
)
)
)
)
)
)
)
)
))</f>
        <v/>
      </c>
      <c r="AI62" s="14" t="str">
        <f>IF($B62="","",
IF(AI$5="","",
IF(Midterm!AI62="",0,
IF(NOT(ISNUMBER(Midterm!AI62)),"NAN",
IF(Midterm!AI62&lt;0,"NEG",
IF(Midterm!AI62&gt;AI$5,"OVER",
IF(AND(AI$5&lt;=100,Midterm!AI62&gt;100),"ERR",
IF(Info!$B$4="Non-board program",
IF(OR(AND(AI$5&gt;0,AI$5&gt;100),AND(AI$5&gt;0,AI$5&lt;100)),
VLOOKUP(FLOOR((Midterm!AI62/AI$5)*100,1),new_transmute,2,FALSE),
VLOOKUP(Midterm!AI62,new_transmute,2,FALSE)
),
IF(Info!$B$4="Board program",
IF(OR(AND(AI$5&gt;0,AI$5&gt;100),AND(AI$5&gt;0,AI$5&lt;100)),
VLOOKUP(FLOOR((Midterm!AI62/AI$5)*100,1),new_transmute,3,FALSE),
VLOOKUP(Midterm!AI62,new_transmute,3,FALSE)
),
IF(Info!$B$4="Board program (Medicine)",
IF(OR(AND(AI$5&gt;0,AI$5&gt;100),AND(AI$5&gt;0,AI$5&lt;100)),
VLOOKUP(FLOOR((Midterm!AI62/AI$5)*100,1),new_transmute,4,FALSE),
VLOOKUP(Midterm!AI62,new_transmute,4,FALSE)
),
""
)
)
)
)
)
)
)
)
))</f>
        <v/>
      </c>
      <c r="AJ62" s="14" t="str">
        <f>IF($B62="","",
IF(AJ$5="","",
IF(Midterm!AJ62="",0,
IF(NOT(ISNUMBER(Midterm!AJ62)),"NAN",
IF(Midterm!AJ62&lt;0,"NEG",
IF(Midterm!AJ62&gt;AJ$5,"OVER",
IF(AND(AJ$5&lt;=100,Midterm!AJ62&gt;100),"ERR",
IF(Info!$B$4="Non-board program",
IF(OR(AND(AJ$5&gt;0,AJ$5&gt;100),AND(AJ$5&gt;0,AJ$5&lt;100)),
VLOOKUP(FLOOR((Midterm!AJ62/AJ$5)*100,1),new_transmute,2,FALSE),
VLOOKUP(Midterm!AJ62,new_transmute,2,FALSE)
),
IF(Info!$B$4="Board program",
IF(OR(AND(AJ$5&gt;0,AJ$5&gt;100),AND(AJ$5&gt;0,AJ$5&lt;100)),
VLOOKUP(FLOOR((Midterm!AJ62/AJ$5)*100,1),new_transmute,3,FALSE),
VLOOKUP(Midterm!AJ62,new_transmute,3,FALSE)
),
IF(Info!$B$4="Board program (Medicine)",
IF(OR(AND(AJ$5&gt;0,AJ$5&gt;100),AND(AJ$5&gt;0,AJ$5&lt;100)),
VLOOKUP(FLOOR((Midterm!AJ62/AJ$5)*100,1),new_transmute,4,FALSE),
VLOOKUP(Midterm!AJ62,new_transmute,4,FALSE)
),
""
)
)
)
)
)
)
)
)
))</f>
        <v/>
      </c>
      <c r="AK62" s="59" t="str">
        <f t="shared" si="6"/>
        <v/>
      </c>
      <c r="AL62" s="60" t="str">
        <f>IF(B62="", "",
    IF(OR(M62="OVER", S62="OVER", Y62="OVER", AE62="OVER", AK62="OVER"),
        "OVER",
        IF(Info!$B$4="Non-board program",
            VLOOKUP(IFERROR(FLOOR(SUM((M62*$M$4), (S62*$S$4), (Y62*$Y$4), (AE62*$AE$4), (AK62*$AK$4)) * (100 / 60), 1), 0), new_transmute, 2, FALSE),
            IF(Info!$B$4="Board program",
                VLOOKUP(IFERROR(FLOOR(SUM((M62*$M$4), (S62*$S$4), (Y62*$Y$4), (AE62*$AE$4), (AK62*$AK$4)) * (100 / 60), 1), 0), new_transmute, 3, FALSE),
                IF(Info!$B$4="Board program (Medicine)",
                    VLOOKUP(IFERROR(FLOOR(SUM((M62*$M$4), (S62*$S$4), (Y62*$Y$4), (AE62*$AE$4), (AK62*$AK$4)) * (100 / 60), 1), 0), new_transmute, 4, FALSE),
                    ""
                )
            )
        )
    )
)</f>
        <v/>
      </c>
      <c r="AM62" s="14" t="str">
        <f>IF($B62="","",
IF(AM$5="","",
IF(Midterm!AM62="",0,
IF(NOT(ISNUMBER(Midterm!AM62)),"NAN",
IF(Midterm!AM62&lt;0,"NEG",
IF(Midterm!AM62&gt;AM$5,"OVER",
IF(AND(AM$5&lt;=100,Midterm!AM62&gt;100),"ERR",
IF(Info!$B$4="Non-board program",
IF(OR(AND(AM$5&gt;0,AM$5&gt;100),AND(AM$5&gt;0,AM$5&lt;100)),
VLOOKUP(FLOOR((Midterm!AM62/AM$5)*100,1),new_transmute,2,FALSE),
VLOOKUP(Midterm!AM62,new_transmute,2,FALSE)
),
IF(Info!$B$4="Board program",
IF(OR(AND(AM$5&gt;0,AM$5&gt;100),AND(AM$5&gt;0,AM$5&lt;100)),
VLOOKUP(FLOOR((Midterm!AM62/AM$5)*100,1),new_transmute,3,FALSE),
VLOOKUP(Midterm!AM62,new_transmute,3,FALSE)
),
IF(Info!$B$4="Board program (Medicine)",
IF(OR(AND(AM$5&gt;0,AM$5&gt;100),AND(AM$5&gt;0,AM$5&lt;100)),
VLOOKUP(FLOOR((Midterm!AM62/AM$5)*100,1),new_transmute,4,FALSE),
VLOOKUP(Midterm!AM62,new_transmute,4,FALSE)
),
""
)
)
)
)
)
)
)
)
))</f>
        <v/>
      </c>
      <c r="AN62" s="14" t="str">
        <f>IF($B62="","",
IF(AN$5="","",
IF(Midterm!AN62="",0,
IF(NOT(ISNUMBER(Midterm!AN62)),"NAN",
IF(Midterm!AN62&lt;0,"NEG",
IF(Midterm!AN62&gt;AN$5,"OVER",
IF(AND(AN$5&lt;=100,Midterm!AN62&gt;100),"ERR",
IF(Info!$B$4="Non-board program",
IF(OR(AND(AN$5&gt;0,AN$5&gt;100),AND(AN$5&gt;0,AN$5&lt;100)),
VLOOKUP(FLOOR((Midterm!AN62/AN$5)*100,1),new_transmute,2,FALSE),
VLOOKUP(Midterm!AN62,new_transmute,2,FALSE)
),
IF(Info!$B$4="Board program",
IF(OR(AND(AN$5&gt;0,AN$5&gt;100),AND(AN$5&gt;0,AN$5&lt;100)),
VLOOKUP(FLOOR((Midterm!AN62/AN$5)*100,1),new_transmute,3,FALSE),
VLOOKUP(Midterm!AN62,new_transmute,3,FALSE)
),
IF(Info!$B$4="Board program (Medicine)",
IF(OR(AND(AN$5&gt;0,AN$5&gt;100),AND(AN$5&gt;0,AN$5&lt;100)),
VLOOKUP(FLOOR((Midterm!AN62/AN$5)*100,1),new_transmute,4,FALSE),
VLOOKUP(Midterm!AN62,new_transmute,4,FALSE)
),
""
)
)
)
)
)
)
)
)
))</f>
        <v/>
      </c>
      <c r="AO62" s="14" t="str">
        <f>IF($B62="","",
IF(AO$5="","",
IF(Midterm!AO62="",0,
IF(NOT(ISNUMBER(Midterm!AO62)),"NAN",
IF(Midterm!AO62&lt;0,"NEG",
IF(Midterm!AO62&gt;AO$5,"OVER",
IF(AND(AO$5&lt;=100,Midterm!AO62&gt;100),"ERR",
IF(Info!$B$4="Non-board program",
IF(OR(AND(AO$5&gt;0,AO$5&gt;100),AND(AO$5&gt;0,AO$5&lt;100)),
VLOOKUP(FLOOR((Midterm!AO62/AO$5)*100,1),new_transmute,2,FALSE),
VLOOKUP(Midterm!AO62,new_transmute,2,FALSE)
),
IF(Info!$B$4="Board program",
IF(OR(AND(AO$5&gt;0,AO$5&gt;100),AND(AO$5&gt;0,AO$5&lt;100)),
VLOOKUP(FLOOR((Midterm!AO62/AO$5)*100,1),new_transmute,3,FALSE),
VLOOKUP(Midterm!AO62,new_transmute,3,FALSE)
),
IF(Info!$B$4="Board program (Medicine)",
IF(OR(AND(AO$5&gt;0,AO$5&gt;100),AND(AO$5&gt;0,AO$5&lt;100)),
VLOOKUP(FLOOR((Midterm!AO62/AO$5)*100,1),new_transmute,4,FALSE),
VLOOKUP(Midterm!AO62,new_transmute,4,FALSE)
),
""
)
)
)
)
)
)
)
)
))</f>
        <v/>
      </c>
      <c r="AP62" s="14" t="str">
        <f>IF($B62="","",
IF(AP$5="","",
IF(Midterm!AP62="",0,
IF(NOT(ISNUMBER(Midterm!AP62)),"NAN",
IF(Midterm!AP62&lt;0,"NEG",
IF(Midterm!AP62&gt;AP$5,"OVER",
IF(AND(AP$5&lt;=100,Midterm!AP62&gt;100),"ERR",
IF(Info!$B$4="Non-board program",
IF(OR(AND(AP$5&gt;0,AP$5&gt;100),AND(AP$5&gt;0,AP$5&lt;100)),
VLOOKUP(FLOOR((Midterm!AP62/AP$5)*100,1),new_transmute,2,FALSE),
VLOOKUP(Midterm!AP62,new_transmute,2,FALSE)
),
IF(Info!$B$4="Board program",
IF(OR(AND(AP$5&gt;0,AP$5&gt;100),AND(AP$5&gt;0,AP$5&lt;100)),
VLOOKUP(FLOOR((Midterm!AP62/AP$5)*100,1),new_transmute,3,FALSE),
VLOOKUP(Midterm!AP62,new_transmute,3,FALSE)
),
IF(Info!$B$4="Board program (Medicine)",
IF(OR(AND(AP$5&gt;0,AP$5&gt;100),AND(AP$5&gt;0,AP$5&lt;100)),
VLOOKUP(FLOOR((Midterm!AP62/AP$5)*100,1),new_transmute,4,FALSE),
VLOOKUP(Midterm!AP62,new_transmute,4,FALSE)
),
""
)
)
)
)
)
)
)
)
))</f>
        <v/>
      </c>
      <c r="AQ62" s="61" t="str">
        <f t="shared" si="7"/>
        <v/>
      </c>
      <c r="AR62" s="48" t="str">
        <f>IF(Midterm!AR62="","",Midterm!AR62)</f>
        <v/>
      </c>
      <c r="AS62" s="165" t="str">
        <f t="shared" si="8"/>
        <v/>
      </c>
      <c r="AT62" s="14" t="str">
        <f t="shared" si="9"/>
        <v/>
      </c>
      <c r="AU62" s="14" t="str">
        <f>IF(B62="","",VLOOKUP(AT62,'New Grade Equivalent'!$B$3:$C$47,2,FALSE))</f>
        <v/>
      </c>
    </row>
    <row r="63" spans="1:47" x14ac:dyDescent="0.25">
      <c r="A63" s="8">
        <v>58</v>
      </c>
      <c r="B63" s="2" t="str">
        <f>IF('Student List'!C67="","",UPPER(LEFT('Student List'!C67,FIND(",",'Student List'!C67)-1)))</f>
        <v/>
      </c>
      <c r="C63" s="12" t="str">
        <f>IF('Student List'!C67="","",PROPER(MID('Student List'!C67, FIND(",", 'Student List'!C67) + 2, LEN('Student List'!C67) - FIND(",", 'Student List'!C67) - 1)))</f>
        <v/>
      </c>
      <c r="D63" s="127" t="str">
        <f>IF(B63="","",IF(Midterm!D63="", "NA", Midterm!D63))</f>
        <v/>
      </c>
      <c r="E63" s="8" t="str">
        <f>IF(B63="","",
  IF(Info!$B$5="First Year",
    IF(D63="Yes", "DRP",
      IF(D63="No", "WF", "")
    )
  )
)</f>
        <v/>
      </c>
      <c r="F63" s="14" t="str">
        <f>IF($B63="","",
IF(F$5="","",
IF(Midterm!F63="",0,
IF(NOT(ISNUMBER(Midterm!F63)),"NAN",
IF(Midterm!F63&lt;0,"NEG",
IF(Midterm!F63&gt;F$5,"OVER",
IF(AND(F$5&lt;=100,Midterm!F63&gt;100),"ERR",
IF(Info!$B$4="Non-board program",
IF(OR(AND(F$5&gt;0,F$5&gt;100),AND(F$5&gt;0,F$5&lt;100)),
VLOOKUP(FLOOR((Midterm!F63/F$5)*100,1),new_transmute,2,FALSE),
VLOOKUP(Midterm!F63,new_transmute,2,FALSE)
),
IF(Info!$B$4="Board program",
IF(OR(AND(F$5&gt;0,F$5&gt;100),AND(F$5&gt;0,F$5&lt;100)),
VLOOKUP(FLOOR((Midterm!F63/F$5)*100,1),new_transmute,3,FALSE),
VLOOKUP(Midterm!F63,new_transmute,3,FALSE)
),
IF(Info!$B$4="Board program (Medicine)",
IF(OR(AND(F$5&gt;0,F$5&gt;100),AND(F$5&gt;0,F$5&lt;100)),
VLOOKUP(FLOOR((Midterm!F63/F$5)*100,1),new_transmute,4,FALSE),
VLOOKUP(Midterm!F63,new_transmute,4,FALSE)
),
""
)
)
)
)
)
)
)
)
))</f>
        <v/>
      </c>
      <c r="G63" s="57" t="str">
        <f t="shared" si="1"/>
        <v/>
      </c>
      <c r="H63" s="14" t="str">
        <f>IF($B63="","",
IF(H$5="","",
IF(Midterm!H63="",0,
IF(NOT(ISNUMBER(Midterm!H63)),"NAN",
IF(Midterm!H63&lt;0,"NEG",
IF(Midterm!H63&gt;H$5,"OVER",
IF(AND(H$5&lt;=100,Midterm!H63&gt;100),"ERR",
IF(Info!$B$4="Non-board program",
IF(OR(AND(H$5&gt;0,H$5&gt;100),AND(H$5&gt;0,H$5&lt;100)),
VLOOKUP(FLOOR((Midterm!H63/H$5)*100,1),new_transmute,2,FALSE),
VLOOKUP(Midterm!H63,new_transmute,2,FALSE)
),
IF(Info!$B$4="Board program",
IF(OR(AND(H$5&gt;0,H$5&gt;100),AND(H$5&gt;0,H$5&lt;100)),
VLOOKUP(FLOOR((Midterm!H63/H$5)*100,1),new_transmute,3,FALSE),
VLOOKUP(Midterm!H63,new_transmute,3,FALSE)
),
IF(Info!$B$4="Board program (Medicine)",
IF(OR(AND(H$5&gt;0,H$5&gt;100),AND(H$5&gt;0,H$5&lt;100)),
VLOOKUP(FLOOR((Midterm!H63/H$5)*100,1),new_transmute,4,FALSE),
VLOOKUP(Midterm!H63,new_transmute,4,FALSE)
),
""
)
)
)
)
)
)
)
)
))</f>
        <v/>
      </c>
      <c r="I63" s="14" t="str">
        <f>IF($B63="","",
IF(I$5="","",
IF(Midterm!I63="",0,
IF(NOT(ISNUMBER(Midterm!I63)),"NAN",
IF(Midterm!I63&lt;0,"NEG",
IF(Midterm!I63&gt;I$5,"OVER",
IF(AND(I$5&lt;=100,Midterm!I63&gt;100),"ERR",
IF(Info!$B$4="Non-board program",
IF(OR(AND(I$5&gt;0,I$5&gt;100),AND(I$5&gt;0,I$5&lt;100)),
VLOOKUP(FLOOR((Midterm!I63/I$5)*100,1),new_transmute,2,FALSE),
VLOOKUP(Midterm!I63,new_transmute,2,FALSE)
),
IF(Info!$B$4="Board program",
IF(OR(AND(I$5&gt;0,I$5&gt;100),AND(I$5&gt;0,I$5&lt;100)),
VLOOKUP(FLOOR((Midterm!I63/I$5)*100,1),new_transmute,3,FALSE),
VLOOKUP(Midterm!I63,new_transmute,3,FALSE)
),
IF(Info!$B$4="Board program (Medicine)",
IF(OR(AND(I$5&gt;0,I$5&gt;100),AND(I$5&gt;0,I$5&lt;100)),
VLOOKUP(FLOOR((Midterm!I63/I$5)*100,1),new_transmute,4,FALSE),
VLOOKUP(Midterm!I63,new_transmute,4,FALSE)
),
""
)
)
)
)
)
)
)
)
))</f>
        <v/>
      </c>
      <c r="J63" s="14" t="str">
        <f>IF($B63="","",
IF(J$5="","",
IF(Midterm!J63="",0,
IF(NOT(ISNUMBER(Midterm!J63)),"NAN",
IF(Midterm!J63&lt;0,"NEG",
IF(Midterm!J63&gt;J$5,"OVER",
IF(AND(J$5&lt;=100,Midterm!J63&gt;100),"ERR",
IF(Info!$B$4="Non-board program",
IF(OR(AND(J$5&gt;0,J$5&gt;100),AND(J$5&gt;0,J$5&lt;100)),
VLOOKUP(FLOOR((Midterm!J63/J$5)*100,1),new_transmute,2,FALSE),
VLOOKUP(Midterm!J63,new_transmute,2,FALSE)
),
IF(Info!$B$4="Board program",
IF(OR(AND(J$5&gt;0,J$5&gt;100),AND(J$5&gt;0,J$5&lt;100)),
VLOOKUP(FLOOR((Midterm!J63/J$5)*100,1),new_transmute,3,FALSE),
VLOOKUP(Midterm!J63,new_transmute,3,FALSE)
),
IF(Info!$B$4="Board program (Medicine)",
IF(OR(AND(J$5&gt;0,J$5&gt;100),AND(J$5&gt;0,J$5&lt;100)),
VLOOKUP(FLOOR((Midterm!J63/J$5)*100,1),new_transmute,4,FALSE),
VLOOKUP(Midterm!J63,new_transmute,4,FALSE)
),
""
)
)
)
)
)
)
)
)
))</f>
        <v/>
      </c>
      <c r="K63" s="14" t="str">
        <f>IF($B63="","",
IF(K$5="","",
IF(Midterm!K63="",0,
IF(NOT(ISNUMBER(Midterm!K63)),"NAN",
IF(Midterm!K63&lt;0,"NEG",
IF(Midterm!K63&gt;K$5,"OVER",
IF(AND(K$5&lt;=100,Midterm!K63&gt;100),"ERR",
IF(Info!$B$4="Non-board program",
IF(OR(AND(K$5&gt;0,K$5&gt;100),AND(K$5&gt;0,K$5&lt;100)),
VLOOKUP(FLOOR((Midterm!K63/K$5)*100,1),new_transmute,2,FALSE),
VLOOKUP(Midterm!K63,new_transmute,2,FALSE)
),
IF(Info!$B$4="Board program",
IF(OR(AND(K$5&gt;0,K$5&gt;100),AND(K$5&gt;0,K$5&lt;100)),
VLOOKUP(FLOOR((Midterm!K63/K$5)*100,1),new_transmute,3,FALSE),
VLOOKUP(Midterm!K63,new_transmute,3,FALSE)
),
IF(Info!$B$4="Board program (Medicine)",
IF(OR(AND(K$5&gt;0,K$5&gt;100),AND(K$5&gt;0,K$5&lt;100)),
VLOOKUP(FLOOR((Midterm!K63/K$5)*100,1),new_transmute,4,FALSE),
VLOOKUP(Midterm!K63,new_transmute,4,FALSE)
),
""
)
)
)
)
)
)
)
)
))</f>
        <v/>
      </c>
      <c r="L63" s="14" t="str">
        <f>IF($B63="","",
IF(L$5="","",
IF(Midterm!L63="",0,
IF(NOT(ISNUMBER(Midterm!L63)),"NAN",
IF(Midterm!L63&lt;0,"NEG",
IF(Midterm!L63&gt;L$5,"OVER",
IF(AND(L$5&lt;=100,Midterm!L63&gt;100),"ERR",
IF(Info!$B$4="Non-board program",
IF(OR(AND(L$5&gt;0,L$5&gt;100),AND(L$5&gt;0,L$5&lt;100)),
VLOOKUP(FLOOR((Midterm!L63/L$5)*100,1),new_transmute,2,FALSE),
VLOOKUP(Midterm!L63,new_transmute,2,FALSE)
),
IF(Info!$B$4="Board program",
IF(OR(AND(L$5&gt;0,L$5&gt;100),AND(L$5&gt;0,L$5&lt;100)),
VLOOKUP(FLOOR((Midterm!L63/L$5)*100,1),new_transmute,3,FALSE),
VLOOKUP(Midterm!L63,new_transmute,3,FALSE)
),
IF(Info!$B$4="Board program (Medicine)",
IF(OR(AND(L$5&gt;0,L$5&gt;100),AND(L$5&gt;0,L$5&lt;100)),
VLOOKUP(FLOOR((Midterm!L63/L$5)*100,1),new_transmute,4,FALSE),
VLOOKUP(Midterm!L63,new_transmute,4,FALSE)
),
""
)
)
)
)
)
)
)
)
))</f>
        <v/>
      </c>
      <c r="M63" s="111" t="str">
        <f t="shared" si="2"/>
        <v/>
      </c>
      <c r="N63" s="14" t="str">
        <f>IF($B63="","",
IF(N$5="","",
IF(Midterm!N63="",0,
IF(NOT(ISNUMBER(Midterm!N63)),"NAN",
IF(Midterm!N63&lt;0,"NEG",
IF(Midterm!N63&gt;N$5,"OVER",
IF(AND(N$5&lt;=100,Midterm!N63&gt;100),"ERR",
IF(Info!$B$4="Non-board program",
IF(OR(AND(N$5&gt;0,N$5&gt;100),AND(N$5&gt;0,N$5&lt;100)),
VLOOKUP(FLOOR((Midterm!N63/N$5)*100,1),new_transmute,2,FALSE),
VLOOKUP(Midterm!N63,new_transmute,2,FALSE)
),
IF(Info!$B$4="Board program",
IF(OR(AND(N$5&gt;0,N$5&gt;100),AND(N$5&gt;0,N$5&lt;100)),
VLOOKUP(FLOOR((Midterm!N63/N$5)*100,1),new_transmute,3,FALSE),
VLOOKUP(Midterm!N63,new_transmute,3,FALSE)
),
IF(Info!$B$4="Board program (Medicine)",
IF(OR(AND(N$5&gt;0,N$5&gt;100),AND(N$5&gt;0,N$5&lt;100)),
VLOOKUP(FLOOR((Midterm!N63/N$5)*100,1),new_transmute,4,FALSE),
VLOOKUP(Midterm!N63,new_transmute,4,FALSE)
),
""
)
)
)
)
)
)
)
)
))</f>
        <v/>
      </c>
      <c r="O63" s="14" t="str">
        <f>IF($B63="","",
IF(O$5="","",
IF(Midterm!O63="",0,
IF(NOT(ISNUMBER(Midterm!O63)),"NAN",
IF(Midterm!O63&lt;0,"NEG",
IF(Midterm!O63&gt;O$5,"OVER",
IF(AND(O$5&lt;=100,Midterm!O63&gt;100),"ERR",
IF(Info!$B$4="Non-board program",
IF(OR(AND(O$5&gt;0,O$5&gt;100),AND(O$5&gt;0,O$5&lt;100)),
VLOOKUP(FLOOR((Midterm!O63/O$5)*100,1),new_transmute,2,FALSE),
VLOOKUP(Midterm!O63,new_transmute,2,FALSE)
),
IF(Info!$B$4="Board program",
IF(OR(AND(O$5&gt;0,O$5&gt;100),AND(O$5&gt;0,O$5&lt;100)),
VLOOKUP(FLOOR((Midterm!O63/O$5)*100,1),new_transmute,3,FALSE),
VLOOKUP(Midterm!O63,new_transmute,3,FALSE)
),
IF(Info!$B$4="Board program (Medicine)",
IF(OR(AND(O$5&gt;0,O$5&gt;100),AND(O$5&gt;0,O$5&lt;100)),
VLOOKUP(FLOOR((Midterm!O63/O$5)*100,1),new_transmute,4,FALSE),
VLOOKUP(Midterm!O63,new_transmute,4,FALSE)
),
""
)
)
)
)
)
)
)
)
))</f>
        <v/>
      </c>
      <c r="P63" s="14" t="str">
        <f>IF($B63="","",
IF(P$5="","",
IF(Midterm!P63="",0,
IF(NOT(ISNUMBER(Midterm!P63)),"NAN",
IF(Midterm!P63&lt;0,"NEG",
IF(Midterm!P63&gt;P$5,"OVER",
IF(AND(P$5&lt;=100,Midterm!P63&gt;100),"ERR",
IF(Info!$B$4="Non-board program",
IF(OR(AND(P$5&gt;0,P$5&gt;100),AND(P$5&gt;0,P$5&lt;100)),
VLOOKUP(FLOOR((Midterm!P63/P$5)*100,1),new_transmute,2,FALSE),
VLOOKUP(Midterm!P63,new_transmute,2,FALSE)
),
IF(Info!$B$4="Board program",
IF(OR(AND(P$5&gt;0,P$5&gt;100),AND(P$5&gt;0,P$5&lt;100)),
VLOOKUP(FLOOR((Midterm!P63/P$5)*100,1),new_transmute,3,FALSE),
VLOOKUP(Midterm!P63,new_transmute,3,FALSE)
),
IF(Info!$B$4="Board program (Medicine)",
IF(OR(AND(P$5&gt;0,P$5&gt;100),AND(P$5&gt;0,P$5&lt;100)),
VLOOKUP(FLOOR((Midterm!P63/P$5)*100,1),new_transmute,4,FALSE),
VLOOKUP(Midterm!P63,new_transmute,4,FALSE)
),
""
)
)
)
)
)
)
)
)
))</f>
        <v/>
      </c>
      <c r="Q63" s="14" t="str">
        <f>IF($B63="","",
IF(Q$5="","",
IF(Midterm!Q63="",0,
IF(NOT(ISNUMBER(Midterm!Q63)),"NAN",
IF(Midterm!Q63&lt;0,"NEG",
IF(Midterm!Q63&gt;Q$5,"OVER",
IF(AND(Q$5&lt;=100,Midterm!Q63&gt;100),"ERR",
IF(Info!$B$4="Non-board program",
IF(OR(AND(Q$5&gt;0,Q$5&gt;100),AND(Q$5&gt;0,Q$5&lt;100)),
VLOOKUP(FLOOR((Midterm!Q63/Q$5)*100,1),new_transmute,2,FALSE),
VLOOKUP(Midterm!Q63,new_transmute,2,FALSE)
),
IF(Info!$B$4="Board program",
IF(OR(AND(Q$5&gt;0,Q$5&gt;100),AND(Q$5&gt;0,Q$5&lt;100)),
VLOOKUP(FLOOR((Midterm!Q63/Q$5)*100,1),new_transmute,3,FALSE),
VLOOKUP(Midterm!Q63,new_transmute,3,FALSE)
),
IF(Info!$B$4="Board program (Medicine)",
IF(OR(AND(Q$5&gt;0,Q$5&gt;100),AND(Q$5&gt;0,Q$5&lt;100)),
VLOOKUP(FLOOR((Midterm!Q63/Q$5)*100,1),new_transmute,4,FALSE),
VLOOKUP(Midterm!Q63,new_transmute,4,FALSE)
),
""
)
)
)
)
)
)
)
)
))</f>
        <v/>
      </c>
      <c r="R63" s="14" t="str">
        <f>IF($B63="","",
IF(R$5="","",
IF(Midterm!R63="",0,
IF(NOT(ISNUMBER(Midterm!R63)),"NAN",
IF(Midterm!R63&lt;0,"NEG",
IF(Midterm!R63&gt;R$5,"OVER",
IF(AND(R$5&lt;=100,Midterm!R63&gt;100),"ERR",
IF(Info!$B$4="Non-board program",
IF(OR(AND(R$5&gt;0,R$5&gt;100),AND(R$5&gt;0,R$5&lt;100)),
VLOOKUP(FLOOR((Midterm!R63/R$5)*100,1),new_transmute,2,FALSE),
VLOOKUP(Midterm!R63,new_transmute,2,FALSE)
),
IF(Info!$B$4="Board program",
IF(OR(AND(R$5&gt;0,R$5&gt;100),AND(R$5&gt;0,R$5&lt;100)),
VLOOKUP(FLOOR((Midterm!R63/R$5)*100,1),new_transmute,3,FALSE),
VLOOKUP(Midterm!R63,new_transmute,3,FALSE)
),
IF(Info!$B$4="Board program (Medicine)",
IF(OR(AND(R$5&gt;0,R$5&gt;100),AND(R$5&gt;0,R$5&lt;100)),
VLOOKUP(FLOOR((Midterm!R63/R$5)*100,1),new_transmute,4,FALSE),
VLOOKUP(Midterm!R63,new_transmute,4,FALSE)
),
""
)
)
)
)
)
)
)
)
))</f>
        <v/>
      </c>
      <c r="S63" s="115" t="str">
        <f t="shared" si="3"/>
        <v/>
      </c>
      <c r="T63" s="14" t="str">
        <f>IF($B63="","",
IF(T$5="","",
IF(Midterm!T63="",0,
IF(NOT(ISNUMBER(Midterm!T63)),"NAN",
IF(Midterm!T63&lt;0,"NEG",
IF(Midterm!T63&gt;T$5,"OVER",
IF(AND(T$5&lt;=100,Midterm!T63&gt;100),"ERR",
IF(Info!$B$4="Non-board program",
IF(OR(AND(T$5&gt;0,T$5&gt;100),AND(T$5&gt;0,T$5&lt;100)),
VLOOKUP(FLOOR((Midterm!T63/T$5)*100,1),new_transmute,2,FALSE),
VLOOKUP(Midterm!T63,new_transmute,2,FALSE)
),
IF(Info!$B$4="Board program",
IF(OR(AND(T$5&gt;0,T$5&gt;100),AND(T$5&gt;0,T$5&lt;100)),
VLOOKUP(FLOOR((Midterm!T63/T$5)*100,1),new_transmute,3,FALSE),
VLOOKUP(Midterm!T63,new_transmute,3,FALSE)
),
IF(Info!$B$4="Board program (Medicine)",
IF(OR(AND(T$5&gt;0,T$5&gt;100),AND(T$5&gt;0,T$5&lt;100)),
VLOOKUP(FLOOR((Midterm!T63/T$5)*100,1),new_transmute,4,FALSE),
VLOOKUP(Midterm!T63,new_transmute,4,FALSE)
),
""
)
)
)
)
)
)
)
)
))</f>
        <v/>
      </c>
      <c r="U63" s="14" t="str">
        <f>IF($B63="","",
IF(U$5="","",
IF(Midterm!U63="",0,
IF(NOT(ISNUMBER(Midterm!U63)),"NAN",
IF(Midterm!U63&lt;0,"NEG",
IF(Midterm!U63&gt;U$5,"OVER",
IF(AND(U$5&lt;=100,Midterm!U63&gt;100),"ERR",
IF(Info!$B$4="Non-board program",
IF(OR(AND(U$5&gt;0,U$5&gt;100),AND(U$5&gt;0,U$5&lt;100)),
VLOOKUP(FLOOR((Midterm!U63/U$5)*100,1),new_transmute,2,FALSE),
VLOOKUP(Midterm!U63,new_transmute,2,FALSE)
),
IF(Info!$B$4="Board program",
IF(OR(AND(U$5&gt;0,U$5&gt;100),AND(U$5&gt;0,U$5&lt;100)),
VLOOKUP(FLOOR((Midterm!U63/U$5)*100,1),new_transmute,3,FALSE),
VLOOKUP(Midterm!U63,new_transmute,3,FALSE)
),
IF(Info!$B$4="Board program (Medicine)",
IF(OR(AND(U$5&gt;0,U$5&gt;100),AND(U$5&gt;0,U$5&lt;100)),
VLOOKUP(FLOOR((Midterm!U63/U$5)*100,1),new_transmute,4,FALSE),
VLOOKUP(Midterm!U63,new_transmute,4,FALSE)
),
""
)
)
)
)
)
)
)
)
))</f>
        <v/>
      </c>
      <c r="V63" s="14" t="str">
        <f>IF($B63="","",
IF(V$5="","",
IF(Midterm!V63="",0,
IF(NOT(ISNUMBER(Midterm!V63)),"NAN",
IF(Midterm!V63&lt;0,"NEG",
IF(Midterm!V63&gt;V$5,"OVER",
IF(AND(V$5&lt;=100,Midterm!V63&gt;100),"ERR",
IF(Info!$B$4="Non-board program",
IF(OR(AND(V$5&gt;0,V$5&gt;100),AND(V$5&gt;0,V$5&lt;100)),
VLOOKUP(FLOOR((Midterm!V63/V$5)*100,1),new_transmute,2,FALSE),
VLOOKUP(Midterm!V63,new_transmute,2,FALSE)
),
IF(Info!$B$4="Board program",
IF(OR(AND(V$5&gt;0,V$5&gt;100),AND(V$5&gt;0,V$5&lt;100)),
VLOOKUP(FLOOR((Midterm!V63/V$5)*100,1),new_transmute,3,FALSE),
VLOOKUP(Midterm!V63,new_transmute,3,FALSE)
),
IF(Info!$B$4="Board program (Medicine)",
IF(OR(AND(V$5&gt;0,V$5&gt;100),AND(V$5&gt;0,V$5&lt;100)),
VLOOKUP(FLOOR((Midterm!V63/V$5)*100,1),new_transmute,4,FALSE),
VLOOKUP(Midterm!V63,new_transmute,4,FALSE)
),
""
)
)
)
)
)
)
)
)
))</f>
        <v/>
      </c>
      <c r="W63" s="14" t="str">
        <f>IF($B63="","",
IF(W$5="","",
IF(Midterm!W63="",0,
IF(NOT(ISNUMBER(Midterm!W63)),"NAN",
IF(Midterm!W63&lt;0,"NEG",
IF(Midterm!W63&gt;W$5,"OVER",
IF(AND(W$5&lt;=100,Midterm!W63&gt;100),"ERR",
IF(Info!$B$4="Non-board program",
IF(OR(AND(W$5&gt;0,W$5&gt;100),AND(W$5&gt;0,W$5&lt;100)),
VLOOKUP(FLOOR((Midterm!W63/W$5)*100,1),new_transmute,2,FALSE),
VLOOKUP(Midterm!W63,new_transmute,2,FALSE)
),
IF(Info!$B$4="Board program",
IF(OR(AND(W$5&gt;0,W$5&gt;100),AND(W$5&gt;0,W$5&lt;100)),
VLOOKUP(FLOOR((Midterm!W63/W$5)*100,1),new_transmute,3,FALSE),
VLOOKUP(Midterm!W63,new_transmute,3,FALSE)
),
IF(Info!$B$4="Board program (Medicine)",
IF(OR(AND(W$5&gt;0,W$5&gt;100),AND(W$5&gt;0,W$5&lt;100)),
VLOOKUP(FLOOR((Midterm!W63/W$5)*100,1),new_transmute,4,FALSE),
VLOOKUP(Midterm!W63,new_transmute,4,FALSE)
),
""
)
)
)
)
)
)
)
)
))</f>
        <v/>
      </c>
      <c r="X63" s="14" t="str">
        <f>IF($B63="","",
IF(X$5="","",
IF(Midterm!X63="",0,
IF(NOT(ISNUMBER(Midterm!X63)),"NAN",
IF(Midterm!X63&lt;0,"NEG",
IF(Midterm!X63&gt;X$5,"OVER",
IF(AND(X$5&lt;=100,Midterm!X63&gt;100),"ERR",
IF(Info!$B$4="Non-board program",
IF(OR(AND(X$5&gt;0,X$5&gt;100),AND(X$5&gt;0,X$5&lt;100)),
VLOOKUP(FLOOR((Midterm!X63/X$5)*100,1),new_transmute,2,FALSE),
VLOOKUP(Midterm!X63,new_transmute,2,FALSE)
),
IF(Info!$B$4="Board program",
IF(OR(AND(X$5&gt;0,X$5&gt;100),AND(X$5&gt;0,X$5&lt;100)),
VLOOKUP(FLOOR((Midterm!X63/X$5)*100,1),new_transmute,3,FALSE),
VLOOKUP(Midterm!X63,new_transmute,3,FALSE)
),
IF(Info!$B$4="Board program (Medicine)",
IF(OR(AND(X$5&gt;0,X$5&gt;100),AND(X$5&gt;0,X$5&lt;100)),
VLOOKUP(FLOOR((Midterm!X63/X$5)*100,1),new_transmute,4,FALSE),
VLOOKUP(Midterm!X63,new_transmute,4,FALSE)
),
""
)
)
)
)
)
)
)
)
))</f>
        <v/>
      </c>
      <c r="Y63" s="112" t="str">
        <f t="shared" si="4"/>
        <v/>
      </c>
      <c r="Z63" s="14" t="str">
        <f>IF($B63="","",
IF(Z$5="","",
IF(Midterm!Z63="",0,
IF(NOT(ISNUMBER(Midterm!Z63)),"NAN",
IF(Midterm!Z63&lt;0,"NEG",
IF(Midterm!Z63&gt;Z$5,"OVER",
IF(AND(Z$5&lt;=100,Midterm!Z63&gt;100),"ERR",
IF(Info!$B$4="Non-board program",
IF(OR(AND(Z$5&gt;0,Z$5&gt;100),AND(Z$5&gt;0,Z$5&lt;100)),
VLOOKUP(FLOOR((Midterm!Z63/Z$5)*100,1),new_transmute,2,FALSE),
VLOOKUP(Midterm!Z63,new_transmute,2,FALSE)
),
IF(Info!$B$4="Board program",
IF(OR(AND(Z$5&gt;0,Z$5&gt;100),AND(Z$5&gt;0,Z$5&lt;100)),
VLOOKUP(FLOOR((Midterm!Z63/Z$5)*100,1),new_transmute,3,FALSE),
VLOOKUP(Midterm!Z63,new_transmute,3,FALSE)
),
IF(Info!$B$4="Board program (Medicine)",
IF(OR(AND(Z$5&gt;0,Z$5&gt;100),AND(Z$5&gt;0,Z$5&lt;100)),
VLOOKUP(FLOOR((Midterm!Z63/Z$5)*100,1),new_transmute,4,FALSE),
VLOOKUP(Midterm!Z63,new_transmute,4,FALSE)
),
""
)
)
)
)
)
)
)
)
))</f>
        <v/>
      </c>
      <c r="AA63" s="14" t="str">
        <f>IF($B63="","",
IF(AA$5="","",
IF(Midterm!AA63="",0,
IF(NOT(ISNUMBER(Midterm!AA63)),"NAN",
IF(Midterm!AA63&lt;0,"NEG",
IF(Midterm!AA63&gt;AA$5,"OVER",
IF(AND(AA$5&lt;=100,Midterm!AA63&gt;100),"ERR",
IF(Info!$B$4="Non-board program",
IF(OR(AND(AA$5&gt;0,AA$5&gt;100),AND(AA$5&gt;0,AA$5&lt;100)),
VLOOKUP(FLOOR((Midterm!AA63/AA$5)*100,1),new_transmute,2,FALSE),
VLOOKUP(Midterm!AA63,new_transmute,2,FALSE)
),
IF(Info!$B$4="Board program",
IF(OR(AND(AA$5&gt;0,AA$5&gt;100),AND(AA$5&gt;0,AA$5&lt;100)),
VLOOKUP(FLOOR((Midterm!AA63/AA$5)*100,1),new_transmute,3,FALSE),
VLOOKUP(Midterm!AA63,new_transmute,3,FALSE)
),
IF(Info!$B$4="Board program (Medicine)",
IF(OR(AND(AA$5&gt;0,AA$5&gt;100),AND(AA$5&gt;0,AA$5&lt;100)),
VLOOKUP(FLOOR((Midterm!AA63/AA$5)*100,1),new_transmute,4,FALSE),
VLOOKUP(Midterm!AA63,new_transmute,4,FALSE)
),
""
)
)
)
)
)
)
)
)
))</f>
        <v/>
      </c>
      <c r="AB63" s="14" t="str">
        <f>IF($B63="","",
IF(AB$5="","",
IF(Midterm!AB63="",0,
IF(NOT(ISNUMBER(Midterm!AB63)),"NAN",
IF(Midterm!AB63&lt;0,"NEG",
IF(Midterm!AB63&gt;AB$5,"OVER",
IF(AND(AB$5&lt;=100,Midterm!AB63&gt;100),"ERR",
IF(Info!$B$4="Non-board program",
IF(OR(AND(AB$5&gt;0,AB$5&gt;100),AND(AB$5&gt;0,AB$5&lt;100)),
VLOOKUP(FLOOR((Midterm!AB63/AB$5)*100,1),new_transmute,2,FALSE),
VLOOKUP(Midterm!AB63,new_transmute,2,FALSE)
),
IF(Info!$B$4="Board program",
IF(OR(AND(AB$5&gt;0,AB$5&gt;100),AND(AB$5&gt;0,AB$5&lt;100)),
VLOOKUP(FLOOR((Midterm!AB63/AB$5)*100,1),new_transmute,3,FALSE),
VLOOKUP(Midterm!AB63,new_transmute,3,FALSE)
),
IF(Info!$B$4="Board program (Medicine)",
IF(OR(AND(AB$5&gt;0,AB$5&gt;100),AND(AB$5&gt;0,AB$5&lt;100)),
VLOOKUP(FLOOR((Midterm!AB63/AB$5)*100,1),new_transmute,4,FALSE),
VLOOKUP(Midterm!AB63,new_transmute,4,FALSE)
),
""
)
)
)
)
)
)
)
)
))</f>
        <v/>
      </c>
      <c r="AC63" s="14" t="str">
        <f>IF($B63="","",
IF(AC$5="","",
IF(Midterm!AC63="",0,
IF(NOT(ISNUMBER(Midterm!AC63)),"NAN",
IF(Midterm!AC63&lt;0,"NEG",
IF(Midterm!AC63&gt;AC$5,"OVER",
IF(AND(AC$5&lt;=100,Midterm!AC63&gt;100),"ERR",
IF(Info!$B$4="Non-board program",
IF(OR(AND(AC$5&gt;0,AC$5&gt;100),AND(AC$5&gt;0,AC$5&lt;100)),
VLOOKUP(FLOOR((Midterm!AC63/AC$5)*100,1),new_transmute,2,FALSE),
VLOOKUP(Midterm!AC63,new_transmute,2,FALSE)
),
IF(Info!$B$4="Board program",
IF(OR(AND(AC$5&gt;0,AC$5&gt;100),AND(AC$5&gt;0,AC$5&lt;100)),
VLOOKUP(FLOOR((Midterm!AC63/AC$5)*100,1),new_transmute,3,FALSE),
VLOOKUP(Midterm!AC63,new_transmute,3,FALSE)
),
IF(Info!$B$4="Board program (Medicine)",
IF(OR(AND(AC$5&gt;0,AC$5&gt;100),AND(AC$5&gt;0,AC$5&lt;100)),
VLOOKUP(FLOOR((Midterm!AC63/AC$5)*100,1),new_transmute,4,FALSE),
VLOOKUP(Midterm!AC63,new_transmute,4,FALSE)
),
""
)
)
)
)
)
)
)
)
))</f>
        <v/>
      </c>
      <c r="AD63" s="14" t="str">
        <f>IF($B63="","",
IF(AD$5="","",
IF(Midterm!AD63="",0,
IF(NOT(ISNUMBER(Midterm!AD63)),"NAN",
IF(Midterm!AD63&lt;0,"NEG",
IF(Midterm!AD63&gt;AD$5,"OVER",
IF(AND(AD$5&lt;=100,Midterm!AD63&gt;100),"ERR",
IF(Info!$B$4="Non-board program",
IF(OR(AND(AD$5&gt;0,AD$5&gt;100),AND(AD$5&gt;0,AD$5&lt;100)),
VLOOKUP(FLOOR((Midterm!AD63/AD$5)*100,1),new_transmute,2,FALSE),
VLOOKUP(Midterm!AD63,new_transmute,2,FALSE)
),
IF(Info!$B$4="Board program",
IF(OR(AND(AD$5&gt;0,AD$5&gt;100),AND(AD$5&gt;0,AD$5&lt;100)),
VLOOKUP(FLOOR((Midterm!AD63/AD$5)*100,1),new_transmute,3,FALSE),
VLOOKUP(Midterm!AD63,new_transmute,3,FALSE)
),
IF(Info!$B$4="Board program (Medicine)",
IF(OR(AND(AD$5&gt;0,AD$5&gt;100),AND(AD$5&gt;0,AD$5&lt;100)),
VLOOKUP(FLOOR((Midterm!AD63/AD$5)*100,1),new_transmute,4,FALSE),
VLOOKUP(Midterm!AD63,new_transmute,4,FALSE)
),
""
)
)
)
)
)
)
)
)
))</f>
        <v/>
      </c>
      <c r="AE63" s="58" t="str">
        <f t="shared" si="5"/>
        <v/>
      </c>
      <c r="AF63" s="14" t="str">
        <f>IF($B63="","",
IF(AF$5="","",
IF(Midterm!AF63="",0,
IF(NOT(ISNUMBER(Midterm!AF63)),"NAN",
IF(Midterm!AF63&lt;0,"NEG",
IF(Midterm!AF63&gt;AF$5,"OVER",
IF(AND(AF$5&lt;=100,Midterm!AF63&gt;100),"ERR",
IF(Info!$B$4="Non-board program",
IF(OR(AND(AF$5&gt;0,AF$5&gt;100),AND(AF$5&gt;0,AF$5&lt;100)),
VLOOKUP(FLOOR((Midterm!AF63/AF$5)*100,1),new_transmute,2,FALSE),
VLOOKUP(Midterm!AF63,new_transmute,2,FALSE)
),
IF(Info!$B$4="Board program",
IF(OR(AND(AF$5&gt;0,AF$5&gt;100),AND(AF$5&gt;0,AF$5&lt;100)),
VLOOKUP(FLOOR((Midterm!AF63/AF$5)*100,1),new_transmute,3,FALSE),
VLOOKUP(Midterm!AF63,new_transmute,3,FALSE)
),
IF(Info!$B$4="Board program (Medicine)",
IF(OR(AND(AF$5&gt;0,AF$5&gt;100),AND(AF$5&gt;0,AF$5&lt;100)),
VLOOKUP(FLOOR((Midterm!AF63/AF$5)*100,1),new_transmute,4,FALSE),
VLOOKUP(Midterm!AF63,new_transmute,4,FALSE)
),
""
)
)
)
)
)
)
)
)
))</f>
        <v/>
      </c>
      <c r="AG63" s="14" t="str">
        <f>IF($B63="","",
IF(AG$5="","",
IF(Midterm!AG63="",0,
IF(NOT(ISNUMBER(Midterm!AG63)),"NAN",
IF(Midterm!AG63&lt;0,"NEG",
IF(Midterm!AG63&gt;AG$5,"OVER",
IF(AND(AG$5&lt;=100,Midterm!AG63&gt;100),"ERR",
IF(Info!$B$4="Non-board program",
IF(OR(AND(AG$5&gt;0,AG$5&gt;100),AND(AG$5&gt;0,AG$5&lt;100)),
VLOOKUP(FLOOR((Midterm!AG63/AG$5)*100,1),new_transmute,2,FALSE),
VLOOKUP(Midterm!AG63,new_transmute,2,FALSE)
),
IF(Info!$B$4="Board program",
IF(OR(AND(AG$5&gt;0,AG$5&gt;100),AND(AG$5&gt;0,AG$5&lt;100)),
VLOOKUP(FLOOR((Midterm!AG63/AG$5)*100,1),new_transmute,3,FALSE),
VLOOKUP(Midterm!AG63,new_transmute,3,FALSE)
),
IF(Info!$B$4="Board program (Medicine)",
IF(OR(AND(AG$5&gt;0,AG$5&gt;100),AND(AG$5&gt;0,AG$5&lt;100)),
VLOOKUP(FLOOR((Midterm!AG63/AG$5)*100,1),new_transmute,4,FALSE),
VLOOKUP(Midterm!AG63,new_transmute,4,FALSE)
),
""
)
)
)
)
)
)
)
)
))</f>
        <v/>
      </c>
      <c r="AH63" s="14" t="str">
        <f>IF($B63="","",
IF(AH$5="","",
IF(Midterm!AH63="",0,
IF(NOT(ISNUMBER(Midterm!AH63)),"NAN",
IF(Midterm!AH63&lt;0,"NEG",
IF(Midterm!AH63&gt;AH$5,"OVER",
IF(AND(AH$5&lt;=100,Midterm!AH63&gt;100),"ERR",
IF(Info!$B$4="Non-board program",
IF(OR(AND(AH$5&gt;0,AH$5&gt;100),AND(AH$5&gt;0,AH$5&lt;100)),
VLOOKUP(FLOOR((Midterm!AH63/AH$5)*100,1),new_transmute,2,FALSE),
VLOOKUP(Midterm!AH63,new_transmute,2,FALSE)
),
IF(Info!$B$4="Board program",
IF(OR(AND(AH$5&gt;0,AH$5&gt;100),AND(AH$5&gt;0,AH$5&lt;100)),
VLOOKUP(FLOOR((Midterm!AH63/AH$5)*100,1),new_transmute,3,FALSE),
VLOOKUP(Midterm!AH63,new_transmute,3,FALSE)
),
IF(Info!$B$4="Board program (Medicine)",
IF(OR(AND(AH$5&gt;0,AH$5&gt;100),AND(AH$5&gt;0,AH$5&lt;100)),
VLOOKUP(FLOOR((Midterm!AH63/AH$5)*100,1),new_transmute,4,FALSE),
VLOOKUP(Midterm!AH63,new_transmute,4,FALSE)
),
""
)
)
)
)
)
)
)
)
))</f>
        <v/>
      </c>
      <c r="AI63" s="14" t="str">
        <f>IF($B63="","",
IF(AI$5="","",
IF(Midterm!AI63="",0,
IF(NOT(ISNUMBER(Midterm!AI63)),"NAN",
IF(Midterm!AI63&lt;0,"NEG",
IF(Midterm!AI63&gt;AI$5,"OVER",
IF(AND(AI$5&lt;=100,Midterm!AI63&gt;100),"ERR",
IF(Info!$B$4="Non-board program",
IF(OR(AND(AI$5&gt;0,AI$5&gt;100),AND(AI$5&gt;0,AI$5&lt;100)),
VLOOKUP(FLOOR((Midterm!AI63/AI$5)*100,1),new_transmute,2,FALSE),
VLOOKUP(Midterm!AI63,new_transmute,2,FALSE)
),
IF(Info!$B$4="Board program",
IF(OR(AND(AI$5&gt;0,AI$5&gt;100),AND(AI$5&gt;0,AI$5&lt;100)),
VLOOKUP(FLOOR((Midterm!AI63/AI$5)*100,1),new_transmute,3,FALSE),
VLOOKUP(Midterm!AI63,new_transmute,3,FALSE)
),
IF(Info!$B$4="Board program (Medicine)",
IF(OR(AND(AI$5&gt;0,AI$5&gt;100),AND(AI$5&gt;0,AI$5&lt;100)),
VLOOKUP(FLOOR((Midterm!AI63/AI$5)*100,1),new_transmute,4,FALSE),
VLOOKUP(Midterm!AI63,new_transmute,4,FALSE)
),
""
)
)
)
)
)
)
)
)
))</f>
        <v/>
      </c>
      <c r="AJ63" s="14" t="str">
        <f>IF($B63="","",
IF(AJ$5="","",
IF(Midterm!AJ63="",0,
IF(NOT(ISNUMBER(Midterm!AJ63)),"NAN",
IF(Midterm!AJ63&lt;0,"NEG",
IF(Midterm!AJ63&gt;AJ$5,"OVER",
IF(AND(AJ$5&lt;=100,Midterm!AJ63&gt;100),"ERR",
IF(Info!$B$4="Non-board program",
IF(OR(AND(AJ$5&gt;0,AJ$5&gt;100),AND(AJ$5&gt;0,AJ$5&lt;100)),
VLOOKUP(FLOOR((Midterm!AJ63/AJ$5)*100,1),new_transmute,2,FALSE),
VLOOKUP(Midterm!AJ63,new_transmute,2,FALSE)
),
IF(Info!$B$4="Board program",
IF(OR(AND(AJ$5&gt;0,AJ$5&gt;100),AND(AJ$5&gt;0,AJ$5&lt;100)),
VLOOKUP(FLOOR((Midterm!AJ63/AJ$5)*100,1),new_transmute,3,FALSE),
VLOOKUP(Midterm!AJ63,new_transmute,3,FALSE)
),
IF(Info!$B$4="Board program (Medicine)",
IF(OR(AND(AJ$5&gt;0,AJ$5&gt;100),AND(AJ$5&gt;0,AJ$5&lt;100)),
VLOOKUP(FLOOR((Midterm!AJ63/AJ$5)*100,1),new_transmute,4,FALSE),
VLOOKUP(Midterm!AJ63,new_transmute,4,FALSE)
),
""
)
)
)
)
)
)
)
)
))</f>
        <v/>
      </c>
      <c r="AK63" s="59" t="str">
        <f t="shared" si="6"/>
        <v/>
      </c>
      <c r="AL63" s="60" t="str">
        <f>IF(B63="", "",
    IF(OR(M63="OVER", S63="OVER", Y63="OVER", AE63="OVER", AK63="OVER"),
        "OVER",
        IF(Info!$B$4="Non-board program",
            VLOOKUP(IFERROR(FLOOR(SUM((M63*$M$4), (S63*$S$4), (Y63*$Y$4), (AE63*$AE$4), (AK63*$AK$4)) * (100 / 60), 1), 0), new_transmute, 2, FALSE),
            IF(Info!$B$4="Board program",
                VLOOKUP(IFERROR(FLOOR(SUM((M63*$M$4), (S63*$S$4), (Y63*$Y$4), (AE63*$AE$4), (AK63*$AK$4)) * (100 / 60), 1), 0), new_transmute, 3, FALSE),
                IF(Info!$B$4="Board program (Medicine)",
                    VLOOKUP(IFERROR(FLOOR(SUM((M63*$M$4), (S63*$S$4), (Y63*$Y$4), (AE63*$AE$4), (AK63*$AK$4)) * (100 / 60), 1), 0), new_transmute, 4, FALSE),
                    ""
                )
            )
        )
    )
)</f>
        <v/>
      </c>
      <c r="AM63" s="14" t="str">
        <f>IF($B63="","",
IF(AM$5="","",
IF(Midterm!AM63="",0,
IF(NOT(ISNUMBER(Midterm!AM63)),"NAN",
IF(Midterm!AM63&lt;0,"NEG",
IF(Midterm!AM63&gt;AM$5,"OVER",
IF(AND(AM$5&lt;=100,Midterm!AM63&gt;100),"ERR",
IF(Info!$B$4="Non-board program",
IF(OR(AND(AM$5&gt;0,AM$5&gt;100),AND(AM$5&gt;0,AM$5&lt;100)),
VLOOKUP(FLOOR((Midterm!AM63/AM$5)*100,1),new_transmute,2,FALSE),
VLOOKUP(Midterm!AM63,new_transmute,2,FALSE)
),
IF(Info!$B$4="Board program",
IF(OR(AND(AM$5&gt;0,AM$5&gt;100),AND(AM$5&gt;0,AM$5&lt;100)),
VLOOKUP(FLOOR((Midterm!AM63/AM$5)*100,1),new_transmute,3,FALSE),
VLOOKUP(Midterm!AM63,new_transmute,3,FALSE)
),
IF(Info!$B$4="Board program (Medicine)",
IF(OR(AND(AM$5&gt;0,AM$5&gt;100),AND(AM$5&gt;0,AM$5&lt;100)),
VLOOKUP(FLOOR((Midterm!AM63/AM$5)*100,1),new_transmute,4,FALSE),
VLOOKUP(Midterm!AM63,new_transmute,4,FALSE)
),
""
)
)
)
)
)
)
)
)
))</f>
        <v/>
      </c>
      <c r="AN63" s="14" t="str">
        <f>IF($B63="","",
IF(AN$5="","",
IF(Midterm!AN63="",0,
IF(NOT(ISNUMBER(Midterm!AN63)),"NAN",
IF(Midterm!AN63&lt;0,"NEG",
IF(Midterm!AN63&gt;AN$5,"OVER",
IF(AND(AN$5&lt;=100,Midterm!AN63&gt;100),"ERR",
IF(Info!$B$4="Non-board program",
IF(OR(AND(AN$5&gt;0,AN$5&gt;100),AND(AN$5&gt;0,AN$5&lt;100)),
VLOOKUP(FLOOR((Midterm!AN63/AN$5)*100,1),new_transmute,2,FALSE),
VLOOKUP(Midterm!AN63,new_transmute,2,FALSE)
),
IF(Info!$B$4="Board program",
IF(OR(AND(AN$5&gt;0,AN$5&gt;100),AND(AN$5&gt;0,AN$5&lt;100)),
VLOOKUP(FLOOR((Midterm!AN63/AN$5)*100,1),new_transmute,3,FALSE),
VLOOKUP(Midterm!AN63,new_transmute,3,FALSE)
),
IF(Info!$B$4="Board program (Medicine)",
IF(OR(AND(AN$5&gt;0,AN$5&gt;100),AND(AN$5&gt;0,AN$5&lt;100)),
VLOOKUP(FLOOR((Midterm!AN63/AN$5)*100,1),new_transmute,4,FALSE),
VLOOKUP(Midterm!AN63,new_transmute,4,FALSE)
),
""
)
)
)
)
)
)
)
)
))</f>
        <v/>
      </c>
      <c r="AO63" s="14" t="str">
        <f>IF($B63="","",
IF(AO$5="","",
IF(Midterm!AO63="",0,
IF(NOT(ISNUMBER(Midterm!AO63)),"NAN",
IF(Midterm!AO63&lt;0,"NEG",
IF(Midterm!AO63&gt;AO$5,"OVER",
IF(AND(AO$5&lt;=100,Midterm!AO63&gt;100),"ERR",
IF(Info!$B$4="Non-board program",
IF(OR(AND(AO$5&gt;0,AO$5&gt;100),AND(AO$5&gt;0,AO$5&lt;100)),
VLOOKUP(FLOOR((Midterm!AO63/AO$5)*100,1),new_transmute,2,FALSE),
VLOOKUP(Midterm!AO63,new_transmute,2,FALSE)
),
IF(Info!$B$4="Board program",
IF(OR(AND(AO$5&gt;0,AO$5&gt;100),AND(AO$5&gt;0,AO$5&lt;100)),
VLOOKUP(FLOOR((Midterm!AO63/AO$5)*100,1),new_transmute,3,FALSE),
VLOOKUP(Midterm!AO63,new_transmute,3,FALSE)
),
IF(Info!$B$4="Board program (Medicine)",
IF(OR(AND(AO$5&gt;0,AO$5&gt;100),AND(AO$5&gt;0,AO$5&lt;100)),
VLOOKUP(FLOOR((Midterm!AO63/AO$5)*100,1),new_transmute,4,FALSE),
VLOOKUP(Midterm!AO63,new_transmute,4,FALSE)
),
""
)
)
)
)
)
)
)
)
))</f>
        <v/>
      </c>
      <c r="AP63" s="14" t="str">
        <f>IF($B63="","",
IF(AP$5="","",
IF(Midterm!AP63="",0,
IF(NOT(ISNUMBER(Midterm!AP63)),"NAN",
IF(Midterm!AP63&lt;0,"NEG",
IF(Midterm!AP63&gt;AP$5,"OVER",
IF(AND(AP$5&lt;=100,Midterm!AP63&gt;100),"ERR",
IF(Info!$B$4="Non-board program",
IF(OR(AND(AP$5&gt;0,AP$5&gt;100),AND(AP$5&gt;0,AP$5&lt;100)),
VLOOKUP(FLOOR((Midterm!AP63/AP$5)*100,1),new_transmute,2,FALSE),
VLOOKUP(Midterm!AP63,new_transmute,2,FALSE)
),
IF(Info!$B$4="Board program",
IF(OR(AND(AP$5&gt;0,AP$5&gt;100),AND(AP$5&gt;0,AP$5&lt;100)),
VLOOKUP(FLOOR((Midterm!AP63/AP$5)*100,1),new_transmute,3,FALSE),
VLOOKUP(Midterm!AP63,new_transmute,3,FALSE)
),
IF(Info!$B$4="Board program (Medicine)",
IF(OR(AND(AP$5&gt;0,AP$5&gt;100),AND(AP$5&gt;0,AP$5&lt;100)),
VLOOKUP(FLOOR((Midterm!AP63/AP$5)*100,1),new_transmute,4,FALSE),
VLOOKUP(Midterm!AP63,new_transmute,4,FALSE)
),
""
)
)
)
)
)
)
)
)
))</f>
        <v/>
      </c>
      <c r="AQ63" s="61" t="str">
        <f t="shared" si="7"/>
        <v/>
      </c>
      <c r="AR63" s="48" t="str">
        <f>IF(Midterm!AR63="","",Midterm!AR63)</f>
        <v/>
      </c>
      <c r="AS63" s="165" t="str">
        <f t="shared" si="8"/>
        <v/>
      </c>
      <c r="AT63" s="14" t="str">
        <f t="shared" si="9"/>
        <v/>
      </c>
      <c r="AU63" s="14" t="str">
        <f>IF(B63="","",VLOOKUP(AT63,'New Grade Equivalent'!$B$3:$C$47,2,FALSE))</f>
        <v/>
      </c>
    </row>
    <row r="64" spans="1:47" x14ac:dyDescent="0.25">
      <c r="A64" s="8">
        <v>59</v>
      </c>
      <c r="B64" s="2" t="str">
        <f>IF('Student List'!C68="","",UPPER(LEFT('Student List'!C68,FIND(",",'Student List'!C68)-1)))</f>
        <v/>
      </c>
      <c r="C64" s="12" t="str">
        <f>IF('Student List'!C68="","",PROPER(MID('Student List'!C68, FIND(",", 'Student List'!C68) + 2, LEN('Student List'!C68) - FIND(",", 'Student List'!C68) - 1)))</f>
        <v/>
      </c>
      <c r="D64" s="127" t="str">
        <f>IF(B64="","",IF(Midterm!D64="", "NA", Midterm!D64))</f>
        <v/>
      </c>
      <c r="E64" s="8" t="str">
        <f>IF(B64="","",
  IF(Info!$B$5="First Year",
    IF(D64="Yes", "DRP",
      IF(D64="No", "WF", "")
    )
  )
)</f>
        <v/>
      </c>
      <c r="F64" s="14" t="str">
        <f>IF($B64="","",
IF(F$5="","",
IF(Midterm!F64="",0,
IF(NOT(ISNUMBER(Midterm!F64)),"NAN",
IF(Midterm!F64&lt;0,"NEG",
IF(Midterm!F64&gt;F$5,"OVER",
IF(AND(F$5&lt;=100,Midterm!F64&gt;100),"ERR",
IF(Info!$B$4="Non-board program",
IF(OR(AND(F$5&gt;0,F$5&gt;100),AND(F$5&gt;0,F$5&lt;100)),
VLOOKUP(FLOOR((Midterm!F64/F$5)*100,1),new_transmute,2,FALSE),
VLOOKUP(Midterm!F64,new_transmute,2,FALSE)
),
IF(Info!$B$4="Board program",
IF(OR(AND(F$5&gt;0,F$5&gt;100),AND(F$5&gt;0,F$5&lt;100)),
VLOOKUP(FLOOR((Midterm!F64/F$5)*100,1),new_transmute,3,FALSE),
VLOOKUP(Midterm!F64,new_transmute,3,FALSE)
),
IF(Info!$B$4="Board program (Medicine)",
IF(OR(AND(F$5&gt;0,F$5&gt;100),AND(F$5&gt;0,F$5&lt;100)),
VLOOKUP(FLOOR((Midterm!F64/F$5)*100,1),new_transmute,4,FALSE),
VLOOKUP(Midterm!F64,new_transmute,4,FALSE)
),
""
)
)
)
)
)
)
)
)
))</f>
        <v/>
      </c>
      <c r="G64" s="57" t="str">
        <f t="shared" si="1"/>
        <v/>
      </c>
      <c r="H64" s="14" t="str">
        <f>IF($B64="","",
IF(H$5="","",
IF(Midterm!H64="",0,
IF(NOT(ISNUMBER(Midterm!H64)),"NAN",
IF(Midterm!H64&lt;0,"NEG",
IF(Midterm!H64&gt;H$5,"OVER",
IF(AND(H$5&lt;=100,Midterm!H64&gt;100),"ERR",
IF(Info!$B$4="Non-board program",
IF(OR(AND(H$5&gt;0,H$5&gt;100),AND(H$5&gt;0,H$5&lt;100)),
VLOOKUP(FLOOR((Midterm!H64/H$5)*100,1),new_transmute,2,FALSE),
VLOOKUP(Midterm!H64,new_transmute,2,FALSE)
),
IF(Info!$B$4="Board program",
IF(OR(AND(H$5&gt;0,H$5&gt;100),AND(H$5&gt;0,H$5&lt;100)),
VLOOKUP(FLOOR((Midterm!H64/H$5)*100,1),new_transmute,3,FALSE),
VLOOKUP(Midterm!H64,new_transmute,3,FALSE)
),
IF(Info!$B$4="Board program (Medicine)",
IF(OR(AND(H$5&gt;0,H$5&gt;100),AND(H$5&gt;0,H$5&lt;100)),
VLOOKUP(FLOOR((Midterm!H64/H$5)*100,1),new_transmute,4,FALSE),
VLOOKUP(Midterm!H64,new_transmute,4,FALSE)
),
""
)
)
)
)
)
)
)
)
))</f>
        <v/>
      </c>
      <c r="I64" s="14" t="str">
        <f>IF($B64="","",
IF(I$5="","",
IF(Midterm!I64="",0,
IF(NOT(ISNUMBER(Midterm!I64)),"NAN",
IF(Midterm!I64&lt;0,"NEG",
IF(Midterm!I64&gt;I$5,"OVER",
IF(AND(I$5&lt;=100,Midterm!I64&gt;100),"ERR",
IF(Info!$B$4="Non-board program",
IF(OR(AND(I$5&gt;0,I$5&gt;100),AND(I$5&gt;0,I$5&lt;100)),
VLOOKUP(FLOOR((Midterm!I64/I$5)*100,1),new_transmute,2,FALSE),
VLOOKUP(Midterm!I64,new_transmute,2,FALSE)
),
IF(Info!$B$4="Board program",
IF(OR(AND(I$5&gt;0,I$5&gt;100),AND(I$5&gt;0,I$5&lt;100)),
VLOOKUP(FLOOR((Midterm!I64/I$5)*100,1),new_transmute,3,FALSE),
VLOOKUP(Midterm!I64,new_transmute,3,FALSE)
),
IF(Info!$B$4="Board program (Medicine)",
IF(OR(AND(I$5&gt;0,I$5&gt;100),AND(I$5&gt;0,I$5&lt;100)),
VLOOKUP(FLOOR((Midterm!I64/I$5)*100,1),new_transmute,4,FALSE),
VLOOKUP(Midterm!I64,new_transmute,4,FALSE)
),
""
)
)
)
)
)
)
)
)
))</f>
        <v/>
      </c>
      <c r="J64" s="14" t="str">
        <f>IF($B64="","",
IF(J$5="","",
IF(Midterm!J64="",0,
IF(NOT(ISNUMBER(Midterm!J64)),"NAN",
IF(Midterm!J64&lt;0,"NEG",
IF(Midterm!J64&gt;J$5,"OVER",
IF(AND(J$5&lt;=100,Midterm!J64&gt;100),"ERR",
IF(Info!$B$4="Non-board program",
IF(OR(AND(J$5&gt;0,J$5&gt;100),AND(J$5&gt;0,J$5&lt;100)),
VLOOKUP(FLOOR((Midterm!J64/J$5)*100,1),new_transmute,2,FALSE),
VLOOKUP(Midterm!J64,new_transmute,2,FALSE)
),
IF(Info!$B$4="Board program",
IF(OR(AND(J$5&gt;0,J$5&gt;100),AND(J$5&gt;0,J$5&lt;100)),
VLOOKUP(FLOOR((Midterm!J64/J$5)*100,1),new_transmute,3,FALSE),
VLOOKUP(Midterm!J64,new_transmute,3,FALSE)
),
IF(Info!$B$4="Board program (Medicine)",
IF(OR(AND(J$5&gt;0,J$5&gt;100),AND(J$5&gt;0,J$5&lt;100)),
VLOOKUP(FLOOR((Midterm!J64/J$5)*100,1),new_transmute,4,FALSE),
VLOOKUP(Midterm!J64,new_transmute,4,FALSE)
),
""
)
)
)
)
)
)
)
)
))</f>
        <v/>
      </c>
      <c r="K64" s="14" t="str">
        <f>IF($B64="","",
IF(K$5="","",
IF(Midterm!K64="",0,
IF(NOT(ISNUMBER(Midterm!K64)),"NAN",
IF(Midterm!K64&lt;0,"NEG",
IF(Midterm!K64&gt;K$5,"OVER",
IF(AND(K$5&lt;=100,Midterm!K64&gt;100),"ERR",
IF(Info!$B$4="Non-board program",
IF(OR(AND(K$5&gt;0,K$5&gt;100),AND(K$5&gt;0,K$5&lt;100)),
VLOOKUP(FLOOR((Midterm!K64/K$5)*100,1),new_transmute,2,FALSE),
VLOOKUP(Midterm!K64,new_transmute,2,FALSE)
),
IF(Info!$B$4="Board program",
IF(OR(AND(K$5&gt;0,K$5&gt;100),AND(K$5&gt;0,K$5&lt;100)),
VLOOKUP(FLOOR((Midterm!K64/K$5)*100,1),new_transmute,3,FALSE),
VLOOKUP(Midterm!K64,new_transmute,3,FALSE)
),
IF(Info!$B$4="Board program (Medicine)",
IF(OR(AND(K$5&gt;0,K$5&gt;100),AND(K$5&gt;0,K$5&lt;100)),
VLOOKUP(FLOOR((Midterm!K64/K$5)*100,1),new_transmute,4,FALSE),
VLOOKUP(Midterm!K64,new_transmute,4,FALSE)
),
""
)
)
)
)
)
)
)
)
))</f>
        <v/>
      </c>
      <c r="L64" s="14" t="str">
        <f>IF($B64="","",
IF(L$5="","",
IF(Midterm!L64="",0,
IF(NOT(ISNUMBER(Midterm!L64)),"NAN",
IF(Midterm!L64&lt;0,"NEG",
IF(Midterm!L64&gt;L$5,"OVER",
IF(AND(L$5&lt;=100,Midterm!L64&gt;100),"ERR",
IF(Info!$B$4="Non-board program",
IF(OR(AND(L$5&gt;0,L$5&gt;100),AND(L$5&gt;0,L$5&lt;100)),
VLOOKUP(FLOOR((Midterm!L64/L$5)*100,1),new_transmute,2,FALSE),
VLOOKUP(Midterm!L64,new_transmute,2,FALSE)
),
IF(Info!$B$4="Board program",
IF(OR(AND(L$5&gt;0,L$5&gt;100),AND(L$5&gt;0,L$5&lt;100)),
VLOOKUP(FLOOR((Midterm!L64/L$5)*100,1),new_transmute,3,FALSE),
VLOOKUP(Midterm!L64,new_transmute,3,FALSE)
),
IF(Info!$B$4="Board program (Medicine)",
IF(OR(AND(L$5&gt;0,L$5&gt;100),AND(L$5&gt;0,L$5&lt;100)),
VLOOKUP(FLOOR((Midterm!L64/L$5)*100,1),new_transmute,4,FALSE),
VLOOKUP(Midterm!L64,new_transmute,4,FALSE)
),
""
)
)
)
)
)
)
)
)
))</f>
        <v/>
      </c>
      <c r="M64" s="111" t="str">
        <f t="shared" si="2"/>
        <v/>
      </c>
      <c r="N64" s="14" t="str">
        <f>IF($B64="","",
IF(N$5="","",
IF(Midterm!N64="",0,
IF(NOT(ISNUMBER(Midterm!N64)),"NAN",
IF(Midterm!N64&lt;0,"NEG",
IF(Midterm!N64&gt;N$5,"OVER",
IF(AND(N$5&lt;=100,Midterm!N64&gt;100),"ERR",
IF(Info!$B$4="Non-board program",
IF(OR(AND(N$5&gt;0,N$5&gt;100),AND(N$5&gt;0,N$5&lt;100)),
VLOOKUP(FLOOR((Midterm!N64/N$5)*100,1),new_transmute,2,FALSE),
VLOOKUP(Midterm!N64,new_transmute,2,FALSE)
),
IF(Info!$B$4="Board program",
IF(OR(AND(N$5&gt;0,N$5&gt;100),AND(N$5&gt;0,N$5&lt;100)),
VLOOKUP(FLOOR((Midterm!N64/N$5)*100,1),new_transmute,3,FALSE),
VLOOKUP(Midterm!N64,new_transmute,3,FALSE)
),
IF(Info!$B$4="Board program (Medicine)",
IF(OR(AND(N$5&gt;0,N$5&gt;100),AND(N$5&gt;0,N$5&lt;100)),
VLOOKUP(FLOOR((Midterm!N64/N$5)*100,1),new_transmute,4,FALSE),
VLOOKUP(Midterm!N64,new_transmute,4,FALSE)
),
""
)
)
)
)
)
)
)
)
))</f>
        <v/>
      </c>
      <c r="O64" s="14" t="str">
        <f>IF($B64="","",
IF(O$5="","",
IF(Midterm!O64="",0,
IF(NOT(ISNUMBER(Midterm!O64)),"NAN",
IF(Midterm!O64&lt;0,"NEG",
IF(Midterm!O64&gt;O$5,"OVER",
IF(AND(O$5&lt;=100,Midterm!O64&gt;100),"ERR",
IF(Info!$B$4="Non-board program",
IF(OR(AND(O$5&gt;0,O$5&gt;100),AND(O$5&gt;0,O$5&lt;100)),
VLOOKUP(FLOOR((Midterm!O64/O$5)*100,1),new_transmute,2,FALSE),
VLOOKUP(Midterm!O64,new_transmute,2,FALSE)
),
IF(Info!$B$4="Board program",
IF(OR(AND(O$5&gt;0,O$5&gt;100),AND(O$5&gt;0,O$5&lt;100)),
VLOOKUP(FLOOR((Midterm!O64/O$5)*100,1),new_transmute,3,FALSE),
VLOOKUP(Midterm!O64,new_transmute,3,FALSE)
),
IF(Info!$B$4="Board program (Medicine)",
IF(OR(AND(O$5&gt;0,O$5&gt;100),AND(O$5&gt;0,O$5&lt;100)),
VLOOKUP(FLOOR((Midterm!O64/O$5)*100,1),new_transmute,4,FALSE),
VLOOKUP(Midterm!O64,new_transmute,4,FALSE)
),
""
)
)
)
)
)
)
)
)
))</f>
        <v/>
      </c>
      <c r="P64" s="14" t="str">
        <f>IF($B64="","",
IF(P$5="","",
IF(Midterm!P64="",0,
IF(NOT(ISNUMBER(Midterm!P64)),"NAN",
IF(Midterm!P64&lt;0,"NEG",
IF(Midterm!P64&gt;P$5,"OVER",
IF(AND(P$5&lt;=100,Midterm!P64&gt;100),"ERR",
IF(Info!$B$4="Non-board program",
IF(OR(AND(P$5&gt;0,P$5&gt;100),AND(P$5&gt;0,P$5&lt;100)),
VLOOKUP(FLOOR((Midterm!P64/P$5)*100,1),new_transmute,2,FALSE),
VLOOKUP(Midterm!P64,new_transmute,2,FALSE)
),
IF(Info!$B$4="Board program",
IF(OR(AND(P$5&gt;0,P$5&gt;100),AND(P$5&gt;0,P$5&lt;100)),
VLOOKUP(FLOOR((Midterm!P64/P$5)*100,1),new_transmute,3,FALSE),
VLOOKUP(Midterm!P64,new_transmute,3,FALSE)
),
IF(Info!$B$4="Board program (Medicine)",
IF(OR(AND(P$5&gt;0,P$5&gt;100),AND(P$5&gt;0,P$5&lt;100)),
VLOOKUP(FLOOR((Midterm!P64/P$5)*100,1),new_transmute,4,FALSE),
VLOOKUP(Midterm!P64,new_transmute,4,FALSE)
),
""
)
)
)
)
)
)
)
)
))</f>
        <v/>
      </c>
      <c r="Q64" s="14" t="str">
        <f>IF($B64="","",
IF(Q$5="","",
IF(Midterm!Q64="",0,
IF(NOT(ISNUMBER(Midterm!Q64)),"NAN",
IF(Midterm!Q64&lt;0,"NEG",
IF(Midterm!Q64&gt;Q$5,"OVER",
IF(AND(Q$5&lt;=100,Midterm!Q64&gt;100),"ERR",
IF(Info!$B$4="Non-board program",
IF(OR(AND(Q$5&gt;0,Q$5&gt;100),AND(Q$5&gt;0,Q$5&lt;100)),
VLOOKUP(FLOOR((Midterm!Q64/Q$5)*100,1),new_transmute,2,FALSE),
VLOOKUP(Midterm!Q64,new_transmute,2,FALSE)
),
IF(Info!$B$4="Board program",
IF(OR(AND(Q$5&gt;0,Q$5&gt;100),AND(Q$5&gt;0,Q$5&lt;100)),
VLOOKUP(FLOOR((Midterm!Q64/Q$5)*100,1),new_transmute,3,FALSE),
VLOOKUP(Midterm!Q64,new_transmute,3,FALSE)
),
IF(Info!$B$4="Board program (Medicine)",
IF(OR(AND(Q$5&gt;0,Q$5&gt;100),AND(Q$5&gt;0,Q$5&lt;100)),
VLOOKUP(FLOOR((Midterm!Q64/Q$5)*100,1),new_transmute,4,FALSE),
VLOOKUP(Midterm!Q64,new_transmute,4,FALSE)
),
""
)
)
)
)
)
)
)
)
))</f>
        <v/>
      </c>
      <c r="R64" s="14" t="str">
        <f>IF($B64="","",
IF(R$5="","",
IF(Midterm!R64="",0,
IF(NOT(ISNUMBER(Midterm!R64)),"NAN",
IF(Midterm!R64&lt;0,"NEG",
IF(Midterm!R64&gt;R$5,"OVER",
IF(AND(R$5&lt;=100,Midterm!R64&gt;100),"ERR",
IF(Info!$B$4="Non-board program",
IF(OR(AND(R$5&gt;0,R$5&gt;100),AND(R$5&gt;0,R$5&lt;100)),
VLOOKUP(FLOOR((Midterm!R64/R$5)*100,1),new_transmute,2,FALSE),
VLOOKUP(Midterm!R64,new_transmute,2,FALSE)
),
IF(Info!$B$4="Board program",
IF(OR(AND(R$5&gt;0,R$5&gt;100),AND(R$5&gt;0,R$5&lt;100)),
VLOOKUP(FLOOR((Midterm!R64/R$5)*100,1),new_transmute,3,FALSE),
VLOOKUP(Midterm!R64,new_transmute,3,FALSE)
),
IF(Info!$B$4="Board program (Medicine)",
IF(OR(AND(R$5&gt;0,R$5&gt;100),AND(R$5&gt;0,R$5&lt;100)),
VLOOKUP(FLOOR((Midterm!R64/R$5)*100,1),new_transmute,4,FALSE),
VLOOKUP(Midterm!R64,new_transmute,4,FALSE)
),
""
)
)
)
)
)
)
)
)
))</f>
        <v/>
      </c>
      <c r="S64" s="115" t="str">
        <f t="shared" si="3"/>
        <v/>
      </c>
      <c r="T64" s="14" t="str">
        <f>IF($B64="","",
IF(T$5="","",
IF(Midterm!T64="",0,
IF(NOT(ISNUMBER(Midterm!T64)),"NAN",
IF(Midterm!T64&lt;0,"NEG",
IF(Midterm!T64&gt;T$5,"OVER",
IF(AND(T$5&lt;=100,Midterm!T64&gt;100),"ERR",
IF(Info!$B$4="Non-board program",
IF(OR(AND(T$5&gt;0,T$5&gt;100),AND(T$5&gt;0,T$5&lt;100)),
VLOOKUP(FLOOR((Midterm!T64/T$5)*100,1),new_transmute,2,FALSE),
VLOOKUP(Midterm!T64,new_transmute,2,FALSE)
),
IF(Info!$B$4="Board program",
IF(OR(AND(T$5&gt;0,T$5&gt;100),AND(T$5&gt;0,T$5&lt;100)),
VLOOKUP(FLOOR((Midterm!T64/T$5)*100,1),new_transmute,3,FALSE),
VLOOKUP(Midterm!T64,new_transmute,3,FALSE)
),
IF(Info!$B$4="Board program (Medicine)",
IF(OR(AND(T$5&gt;0,T$5&gt;100),AND(T$5&gt;0,T$5&lt;100)),
VLOOKUP(FLOOR((Midterm!T64/T$5)*100,1),new_transmute,4,FALSE),
VLOOKUP(Midterm!T64,new_transmute,4,FALSE)
),
""
)
)
)
)
)
)
)
)
))</f>
        <v/>
      </c>
      <c r="U64" s="14" t="str">
        <f>IF($B64="","",
IF(U$5="","",
IF(Midterm!U64="",0,
IF(NOT(ISNUMBER(Midterm!U64)),"NAN",
IF(Midterm!U64&lt;0,"NEG",
IF(Midterm!U64&gt;U$5,"OVER",
IF(AND(U$5&lt;=100,Midterm!U64&gt;100),"ERR",
IF(Info!$B$4="Non-board program",
IF(OR(AND(U$5&gt;0,U$5&gt;100),AND(U$5&gt;0,U$5&lt;100)),
VLOOKUP(FLOOR((Midterm!U64/U$5)*100,1),new_transmute,2,FALSE),
VLOOKUP(Midterm!U64,new_transmute,2,FALSE)
),
IF(Info!$B$4="Board program",
IF(OR(AND(U$5&gt;0,U$5&gt;100),AND(U$5&gt;0,U$5&lt;100)),
VLOOKUP(FLOOR((Midterm!U64/U$5)*100,1),new_transmute,3,FALSE),
VLOOKUP(Midterm!U64,new_transmute,3,FALSE)
),
IF(Info!$B$4="Board program (Medicine)",
IF(OR(AND(U$5&gt;0,U$5&gt;100),AND(U$5&gt;0,U$5&lt;100)),
VLOOKUP(FLOOR((Midterm!U64/U$5)*100,1),new_transmute,4,FALSE),
VLOOKUP(Midterm!U64,new_transmute,4,FALSE)
),
""
)
)
)
)
)
)
)
)
))</f>
        <v/>
      </c>
      <c r="V64" s="14" t="str">
        <f>IF($B64="","",
IF(V$5="","",
IF(Midterm!V64="",0,
IF(NOT(ISNUMBER(Midterm!V64)),"NAN",
IF(Midterm!V64&lt;0,"NEG",
IF(Midterm!V64&gt;V$5,"OVER",
IF(AND(V$5&lt;=100,Midterm!V64&gt;100),"ERR",
IF(Info!$B$4="Non-board program",
IF(OR(AND(V$5&gt;0,V$5&gt;100),AND(V$5&gt;0,V$5&lt;100)),
VLOOKUP(FLOOR((Midterm!V64/V$5)*100,1),new_transmute,2,FALSE),
VLOOKUP(Midterm!V64,new_transmute,2,FALSE)
),
IF(Info!$B$4="Board program",
IF(OR(AND(V$5&gt;0,V$5&gt;100),AND(V$5&gt;0,V$5&lt;100)),
VLOOKUP(FLOOR((Midterm!V64/V$5)*100,1),new_transmute,3,FALSE),
VLOOKUP(Midterm!V64,new_transmute,3,FALSE)
),
IF(Info!$B$4="Board program (Medicine)",
IF(OR(AND(V$5&gt;0,V$5&gt;100),AND(V$5&gt;0,V$5&lt;100)),
VLOOKUP(FLOOR((Midterm!V64/V$5)*100,1),new_transmute,4,FALSE),
VLOOKUP(Midterm!V64,new_transmute,4,FALSE)
),
""
)
)
)
)
)
)
)
)
))</f>
        <v/>
      </c>
      <c r="W64" s="14" t="str">
        <f>IF($B64="","",
IF(W$5="","",
IF(Midterm!W64="",0,
IF(NOT(ISNUMBER(Midterm!W64)),"NAN",
IF(Midterm!W64&lt;0,"NEG",
IF(Midterm!W64&gt;W$5,"OVER",
IF(AND(W$5&lt;=100,Midterm!W64&gt;100),"ERR",
IF(Info!$B$4="Non-board program",
IF(OR(AND(W$5&gt;0,W$5&gt;100),AND(W$5&gt;0,W$5&lt;100)),
VLOOKUP(FLOOR((Midterm!W64/W$5)*100,1),new_transmute,2,FALSE),
VLOOKUP(Midterm!W64,new_transmute,2,FALSE)
),
IF(Info!$B$4="Board program",
IF(OR(AND(W$5&gt;0,W$5&gt;100),AND(W$5&gt;0,W$5&lt;100)),
VLOOKUP(FLOOR((Midterm!W64/W$5)*100,1),new_transmute,3,FALSE),
VLOOKUP(Midterm!W64,new_transmute,3,FALSE)
),
IF(Info!$B$4="Board program (Medicine)",
IF(OR(AND(W$5&gt;0,W$5&gt;100),AND(W$5&gt;0,W$5&lt;100)),
VLOOKUP(FLOOR((Midterm!W64/W$5)*100,1),new_transmute,4,FALSE),
VLOOKUP(Midterm!W64,new_transmute,4,FALSE)
),
""
)
)
)
)
)
)
)
)
))</f>
        <v/>
      </c>
      <c r="X64" s="14" t="str">
        <f>IF($B64="","",
IF(X$5="","",
IF(Midterm!X64="",0,
IF(NOT(ISNUMBER(Midterm!X64)),"NAN",
IF(Midterm!X64&lt;0,"NEG",
IF(Midterm!X64&gt;X$5,"OVER",
IF(AND(X$5&lt;=100,Midterm!X64&gt;100),"ERR",
IF(Info!$B$4="Non-board program",
IF(OR(AND(X$5&gt;0,X$5&gt;100),AND(X$5&gt;0,X$5&lt;100)),
VLOOKUP(FLOOR((Midterm!X64/X$5)*100,1),new_transmute,2,FALSE),
VLOOKUP(Midterm!X64,new_transmute,2,FALSE)
),
IF(Info!$B$4="Board program",
IF(OR(AND(X$5&gt;0,X$5&gt;100),AND(X$5&gt;0,X$5&lt;100)),
VLOOKUP(FLOOR((Midterm!X64/X$5)*100,1),new_transmute,3,FALSE),
VLOOKUP(Midterm!X64,new_transmute,3,FALSE)
),
IF(Info!$B$4="Board program (Medicine)",
IF(OR(AND(X$5&gt;0,X$5&gt;100),AND(X$5&gt;0,X$5&lt;100)),
VLOOKUP(FLOOR((Midterm!X64/X$5)*100,1),new_transmute,4,FALSE),
VLOOKUP(Midterm!X64,new_transmute,4,FALSE)
),
""
)
)
)
)
)
)
)
)
))</f>
        <v/>
      </c>
      <c r="Y64" s="112" t="str">
        <f t="shared" si="4"/>
        <v/>
      </c>
      <c r="Z64" s="14" t="str">
        <f>IF($B64="","",
IF(Z$5="","",
IF(Midterm!Z64="",0,
IF(NOT(ISNUMBER(Midterm!Z64)),"NAN",
IF(Midterm!Z64&lt;0,"NEG",
IF(Midterm!Z64&gt;Z$5,"OVER",
IF(AND(Z$5&lt;=100,Midterm!Z64&gt;100),"ERR",
IF(Info!$B$4="Non-board program",
IF(OR(AND(Z$5&gt;0,Z$5&gt;100),AND(Z$5&gt;0,Z$5&lt;100)),
VLOOKUP(FLOOR((Midterm!Z64/Z$5)*100,1),new_transmute,2,FALSE),
VLOOKUP(Midterm!Z64,new_transmute,2,FALSE)
),
IF(Info!$B$4="Board program",
IF(OR(AND(Z$5&gt;0,Z$5&gt;100),AND(Z$5&gt;0,Z$5&lt;100)),
VLOOKUP(FLOOR((Midterm!Z64/Z$5)*100,1),new_transmute,3,FALSE),
VLOOKUP(Midterm!Z64,new_transmute,3,FALSE)
),
IF(Info!$B$4="Board program (Medicine)",
IF(OR(AND(Z$5&gt;0,Z$5&gt;100),AND(Z$5&gt;0,Z$5&lt;100)),
VLOOKUP(FLOOR((Midterm!Z64/Z$5)*100,1),new_transmute,4,FALSE),
VLOOKUP(Midterm!Z64,new_transmute,4,FALSE)
),
""
)
)
)
)
)
)
)
)
))</f>
        <v/>
      </c>
      <c r="AA64" s="14" t="str">
        <f>IF($B64="","",
IF(AA$5="","",
IF(Midterm!AA64="",0,
IF(NOT(ISNUMBER(Midterm!AA64)),"NAN",
IF(Midterm!AA64&lt;0,"NEG",
IF(Midterm!AA64&gt;AA$5,"OVER",
IF(AND(AA$5&lt;=100,Midterm!AA64&gt;100),"ERR",
IF(Info!$B$4="Non-board program",
IF(OR(AND(AA$5&gt;0,AA$5&gt;100),AND(AA$5&gt;0,AA$5&lt;100)),
VLOOKUP(FLOOR((Midterm!AA64/AA$5)*100,1),new_transmute,2,FALSE),
VLOOKUP(Midterm!AA64,new_transmute,2,FALSE)
),
IF(Info!$B$4="Board program",
IF(OR(AND(AA$5&gt;0,AA$5&gt;100),AND(AA$5&gt;0,AA$5&lt;100)),
VLOOKUP(FLOOR((Midterm!AA64/AA$5)*100,1),new_transmute,3,FALSE),
VLOOKUP(Midterm!AA64,new_transmute,3,FALSE)
),
IF(Info!$B$4="Board program (Medicine)",
IF(OR(AND(AA$5&gt;0,AA$5&gt;100),AND(AA$5&gt;0,AA$5&lt;100)),
VLOOKUP(FLOOR((Midterm!AA64/AA$5)*100,1),new_transmute,4,FALSE),
VLOOKUP(Midterm!AA64,new_transmute,4,FALSE)
),
""
)
)
)
)
)
)
)
)
))</f>
        <v/>
      </c>
      <c r="AB64" s="14" t="str">
        <f>IF($B64="","",
IF(AB$5="","",
IF(Midterm!AB64="",0,
IF(NOT(ISNUMBER(Midterm!AB64)),"NAN",
IF(Midterm!AB64&lt;0,"NEG",
IF(Midterm!AB64&gt;AB$5,"OVER",
IF(AND(AB$5&lt;=100,Midterm!AB64&gt;100),"ERR",
IF(Info!$B$4="Non-board program",
IF(OR(AND(AB$5&gt;0,AB$5&gt;100),AND(AB$5&gt;0,AB$5&lt;100)),
VLOOKUP(FLOOR((Midterm!AB64/AB$5)*100,1),new_transmute,2,FALSE),
VLOOKUP(Midterm!AB64,new_transmute,2,FALSE)
),
IF(Info!$B$4="Board program",
IF(OR(AND(AB$5&gt;0,AB$5&gt;100),AND(AB$5&gt;0,AB$5&lt;100)),
VLOOKUP(FLOOR((Midterm!AB64/AB$5)*100,1),new_transmute,3,FALSE),
VLOOKUP(Midterm!AB64,new_transmute,3,FALSE)
),
IF(Info!$B$4="Board program (Medicine)",
IF(OR(AND(AB$5&gt;0,AB$5&gt;100),AND(AB$5&gt;0,AB$5&lt;100)),
VLOOKUP(FLOOR((Midterm!AB64/AB$5)*100,1),new_transmute,4,FALSE),
VLOOKUP(Midterm!AB64,new_transmute,4,FALSE)
),
""
)
)
)
)
)
)
)
)
))</f>
        <v/>
      </c>
      <c r="AC64" s="14" t="str">
        <f>IF($B64="","",
IF(AC$5="","",
IF(Midterm!AC64="",0,
IF(NOT(ISNUMBER(Midterm!AC64)),"NAN",
IF(Midterm!AC64&lt;0,"NEG",
IF(Midterm!AC64&gt;AC$5,"OVER",
IF(AND(AC$5&lt;=100,Midterm!AC64&gt;100),"ERR",
IF(Info!$B$4="Non-board program",
IF(OR(AND(AC$5&gt;0,AC$5&gt;100),AND(AC$5&gt;0,AC$5&lt;100)),
VLOOKUP(FLOOR((Midterm!AC64/AC$5)*100,1),new_transmute,2,FALSE),
VLOOKUP(Midterm!AC64,new_transmute,2,FALSE)
),
IF(Info!$B$4="Board program",
IF(OR(AND(AC$5&gt;0,AC$5&gt;100),AND(AC$5&gt;0,AC$5&lt;100)),
VLOOKUP(FLOOR((Midterm!AC64/AC$5)*100,1),new_transmute,3,FALSE),
VLOOKUP(Midterm!AC64,new_transmute,3,FALSE)
),
IF(Info!$B$4="Board program (Medicine)",
IF(OR(AND(AC$5&gt;0,AC$5&gt;100),AND(AC$5&gt;0,AC$5&lt;100)),
VLOOKUP(FLOOR((Midterm!AC64/AC$5)*100,1),new_transmute,4,FALSE),
VLOOKUP(Midterm!AC64,new_transmute,4,FALSE)
),
""
)
)
)
)
)
)
)
)
))</f>
        <v/>
      </c>
      <c r="AD64" s="14" t="str">
        <f>IF($B64="","",
IF(AD$5="","",
IF(Midterm!AD64="",0,
IF(NOT(ISNUMBER(Midterm!AD64)),"NAN",
IF(Midterm!AD64&lt;0,"NEG",
IF(Midterm!AD64&gt;AD$5,"OVER",
IF(AND(AD$5&lt;=100,Midterm!AD64&gt;100),"ERR",
IF(Info!$B$4="Non-board program",
IF(OR(AND(AD$5&gt;0,AD$5&gt;100),AND(AD$5&gt;0,AD$5&lt;100)),
VLOOKUP(FLOOR((Midterm!AD64/AD$5)*100,1),new_transmute,2,FALSE),
VLOOKUP(Midterm!AD64,new_transmute,2,FALSE)
),
IF(Info!$B$4="Board program",
IF(OR(AND(AD$5&gt;0,AD$5&gt;100),AND(AD$5&gt;0,AD$5&lt;100)),
VLOOKUP(FLOOR((Midterm!AD64/AD$5)*100,1),new_transmute,3,FALSE),
VLOOKUP(Midterm!AD64,new_transmute,3,FALSE)
),
IF(Info!$B$4="Board program (Medicine)",
IF(OR(AND(AD$5&gt;0,AD$5&gt;100),AND(AD$5&gt;0,AD$5&lt;100)),
VLOOKUP(FLOOR((Midterm!AD64/AD$5)*100,1),new_transmute,4,FALSE),
VLOOKUP(Midterm!AD64,new_transmute,4,FALSE)
),
""
)
)
)
)
)
)
)
)
))</f>
        <v/>
      </c>
      <c r="AE64" s="58" t="str">
        <f t="shared" si="5"/>
        <v/>
      </c>
      <c r="AF64" s="14" t="str">
        <f>IF($B64="","",
IF(AF$5="","",
IF(Midterm!AF64="",0,
IF(NOT(ISNUMBER(Midterm!AF64)),"NAN",
IF(Midterm!AF64&lt;0,"NEG",
IF(Midterm!AF64&gt;AF$5,"OVER",
IF(AND(AF$5&lt;=100,Midterm!AF64&gt;100),"ERR",
IF(Info!$B$4="Non-board program",
IF(OR(AND(AF$5&gt;0,AF$5&gt;100),AND(AF$5&gt;0,AF$5&lt;100)),
VLOOKUP(FLOOR((Midterm!AF64/AF$5)*100,1),new_transmute,2,FALSE),
VLOOKUP(Midterm!AF64,new_transmute,2,FALSE)
),
IF(Info!$B$4="Board program",
IF(OR(AND(AF$5&gt;0,AF$5&gt;100),AND(AF$5&gt;0,AF$5&lt;100)),
VLOOKUP(FLOOR((Midterm!AF64/AF$5)*100,1),new_transmute,3,FALSE),
VLOOKUP(Midterm!AF64,new_transmute,3,FALSE)
),
IF(Info!$B$4="Board program (Medicine)",
IF(OR(AND(AF$5&gt;0,AF$5&gt;100),AND(AF$5&gt;0,AF$5&lt;100)),
VLOOKUP(FLOOR((Midterm!AF64/AF$5)*100,1),new_transmute,4,FALSE),
VLOOKUP(Midterm!AF64,new_transmute,4,FALSE)
),
""
)
)
)
)
)
)
)
)
))</f>
        <v/>
      </c>
      <c r="AG64" s="14" t="str">
        <f>IF($B64="","",
IF(AG$5="","",
IF(Midterm!AG64="",0,
IF(NOT(ISNUMBER(Midterm!AG64)),"NAN",
IF(Midterm!AG64&lt;0,"NEG",
IF(Midterm!AG64&gt;AG$5,"OVER",
IF(AND(AG$5&lt;=100,Midterm!AG64&gt;100),"ERR",
IF(Info!$B$4="Non-board program",
IF(OR(AND(AG$5&gt;0,AG$5&gt;100),AND(AG$5&gt;0,AG$5&lt;100)),
VLOOKUP(FLOOR((Midterm!AG64/AG$5)*100,1),new_transmute,2,FALSE),
VLOOKUP(Midterm!AG64,new_transmute,2,FALSE)
),
IF(Info!$B$4="Board program",
IF(OR(AND(AG$5&gt;0,AG$5&gt;100),AND(AG$5&gt;0,AG$5&lt;100)),
VLOOKUP(FLOOR((Midterm!AG64/AG$5)*100,1),new_transmute,3,FALSE),
VLOOKUP(Midterm!AG64,new_transmute,3,FALSE)
),
IF(Info!$B$4="Board program (Medicine)",
IF(OR(AND(AG$5&gt;0,AG$5&gt;100),AND(AG$5&gt;0,AG$5&lt;100)),
VLOOKUP(FLOOR((Midterm!AG64/AG$5)*100,1),new_transmute,4,FALSE),
VLOOKUP(Midterm!AG64,new_transmute,4,FALSE)
),
""
)
)
)
)
)
)
)
)
))</f>
        <v/>
      </c>
      <c r="AH64" s="14" t="str">
        <f>IF($B64="","",
IF(AH$5="","",
IF(Midterm!AH64="",0,
IF(NOT(ISNUMBER(Midterm!AH64)),"NAN",
IF(Midterm!AH64&lt;0,"NEG",
IF(Midterm!AH64&gt;AH$5,"OVER",
IF(AND(AH$5&lt;=100,Midterm!AH64&gt;100),"ERR",
IF(Info!$B$4="Non-board program",
IF(OR(AND(AH$5&gt;0,AH$5&gt;100),AND(AH$5&gt;0,AH$5&lt;100)),
VLOOKUP(FLOOR((Midterm!AH64/AH$5)*100,1),new_transmute,2,FALSE),
VLOOKUP(Midterm!AH64,new_transmute,2,FALSE)
),
IF(Info!$B$4="Board program",
IF(OR(AND(AH$5&gt;0,AH$5&gt;100),AND(AH$5&gt;0,AH$5&lt;100)),
VLOOKUP(FLOOR((Midterm!AH64/AH$5)*100,1),new_transmute,3,FALSE),
VLOOKUP(Midterm!AH64,new_transmute,3,FALSE)
),
IF(Info!$B$4="Board program (Medicine)",
IF(OR(AND(AH$5&gt;0,AH$5&gt;100),AND(AH$5&gt;0,AH$5&lt;100)),
VLOOKUP(FLOOR((Midterm!AH64/AH$5)*100,1),new_transmute,4,FALSE),
VLOOKUP(Midterm!AH64,new_transmute,4,FALSE)
),
""
)
)
)
)
)
)
)
)
))</f>
        <v/>
      </c>
      <c r="AI64" s="14" t="str">
        <f>IF($B64="","",
IF(AI$5="","",
IF(Midterm!AI64="",0,
IF(NOT(ISNUMBER(Midterm!AI64)),"NAN",
IF(Midterm!AI64&lt;0,"NEG",
IF(Midterm!AI64&gt;AI$5,"OVER",
IF(AND(AI$5&lt;=100,Midterm!AI64&gt;100),"ERR",
IF(Info!$B$4="Non-board program",
IF(OR(AND(AI$5&gt;0,AI$5&gt;100),AND(AI$5&gt;0,AI$5&lt;100)),
VLOOKUP(FLOOR((Midterm!AI64/AI$5)*100,1),new_transmute,2,FALSE),
VLOOKUP(Midterm!AI64,new_transmute,2,FALSE)
),
IF(Info!$B$4="Board program",
IF(OR(AND(AI$5&gt;0,AI$5&gt;100),AND(AI$5&gt;0,AI$5&lt;100)),
VLOOKUP(FLOOR((Midterm!AI64/AI$5)*100,1),new_transmute,3,FALSE),
VLOOKUP(Midterm!AI64,new_transmute,3,FALSE)
),
IF(Info!$B$4="Board program (Medicine)",
IF(OR(AND(AI$5&gt;0,AI$5&gt;100),AND(AI$5&gt;0,AI$5&lt;100)),
VLOOKUP(FLOOR((Midterm!AI64/AI$5)*100,1),new_transmute,4,FALSE),
VLOOKUP(Midterm!AI64,new_transmute,4,FALSE)
),
""
)
)
)
)
)
)
)
)
))</f>
        <v/>
      </c>
      <c r="AJ64" s="14" t="str">
        <f>IF($B64="","",
IF(AJ$5="","",
IF(Midterm!AJ64="",0,
IF(NOT(ISNUMBER(Midterm!AJ64)),"NAN",
IF(Midterm!AJ64&lt;0,"NEG",
IF(Midterm!AJ64&gt;AJ$5,"OVER",
IF(AND(AJ$5&lt;=100,Midterm!AJ64&gt;100),"ERR",
IF(Info!$B$4="Non-board program",
IF(OR(AND(AJ$5&gt;0,AJ$5&gt;100),AND(AJ$5&gt;0,AJ$5&lt;100)),
VLOOKUP(FLOOR((Midterm!AJ64/AJ$5)*100,1),new_transmute,2,FALSE),
VLOOKUP(Midterm!AJ64,new_transmute,2,FALSE)
),
IF(Info!$B$4="Board program",
IF(OR(AND(AJ$5&gt;0,AJ$5&gt;100),AND(AJ$5&gt;0,AJ$5&lt;100)),
VLOOKUP(FLOOR((Midterm!AJ64/AJ$5)*100,1),new_transmute,3,FALSE),
VLOOKUP(Midterm!AJ64,new_transmute,3,FALSE)
),
IF(Info!$B$4="Board program (Medicine)",
IF(OR(AND(AJ$5&gt;0,AJ$5&gt;100),AND(AJ$5&gt;0,AJ$5&lt;100)),
VLOOKUP(FLOOR((Midterm!AJ64/AJ$5)*100,1),new_transmute,4,FALSE),
VLOOKUP(Midterm!AJ64,new_transmute,4,FALSE)
),
""
)
)
)
)
)
)
)
)
))</f>
        <v/>
      </c>
      <c r="AK64" s="59" t="str">
        <f t="shared" si="6"/>
        <v/>
      </c>
      <c r="AL64" s="60" t="str">
        <f>IF(B64="", "",
    IF(OR(M64="OVER", S64="OVER", Y64="OVER", AE64="OVER", AK64="OVER"),
        "OVER",
        IF(Info!$B$4="Non-board program",
            VLOOKUP(IFERROR(FLOOR(SUM((M64*$M$4), (S64*$S$4), (Y64*$Y$4), (AE64*$AE$4), (AK64*$AK$4)) * (100 / 60), 1), 0), new_transmute, 2, FALSE),
            IF(Info!$B$4="Board program",
                VLOOKUP(IFERROR(FLOOR(SUM((M64*$M$4), (S64*$S$4), (Y64*$Y$4), (AE64*$AE$4), (AK64*$AK$4)) * (100 / 60), 1), 0), new_transmute, 3, FALSE),
                IF(Info!$B$4="Board program (Medicine)",
                    VLOOKUP(IFERROR(FLOOR(SUM((M64*$M$4), (S64*$S$4), (Y64*$Y$4), (AE64*$AE$4), (AK64*$AK$4)) * (100 / 60), 1), 0), new_transmute, 4, FALSE),
                    ""
                )
            )
        )
    )
)</f>
        <v/>
      </c>
      <c r="AM64" s="14" t="str">
        <f>IF($B64="","",
IF(AM$5="","",
IF(Midterm!AM64="",0,
IF(NOT(ISNUMBER(Midterm!AM64)),"NAN",
IF(Midterm!AM64&lt;0,"NEG",
IF(Midterm!AM64&gt;AM$5,"OVER",
IF(AND(AM$5&lt;=100,Midterm!AM64&gt;100),"ERR",
IF(Info!$B$4="Non-board program",
IF(OR(AND(AM$5&gt;0,AM$5&gt;100),AND(AM$5&gt;0,AM$5&lt;100)),
VLOOKUP(FLOOR((Midterm!AM64/AM$5)*100,1),new_transmute,2,FALSE),
VLOOKUP(Midterm!AM64,new_transmute,2,FALSE)
),
IF(Info!$B$4="Board program",
IF(OR(AND(AM$5&gt;0,AM$5&gt;100),AND(AM$5&gt;0,AM$5&lt;100)),
VLOOKUP(FLOOR((Midterm!AM64/AM$5)*100,1),new_transmute,3,FALSE),
VLOOKUP(Midterm!AM64,new_transmute,3,FALSE)
),
IF(Info!$B$4="Board program (Medicine)",
IF(OR(AND(AM$5&gt;0,AM$5&gt;100),AND(AM$5&gt;0,AM$5&lt;100)),
VLOOKUP(FLOOR((Midterm!AM64/AM$5)*100,1),new_transmute,4,FALSE),
VLOOKUP(Midterm!AM64,new_transmute,4,FALSE)
),
""
)
)
)
)
)
)
)
)
))</f>
        <v/>
      </c>
      <c r="AN64" s="14" t="str">
        <f>IF($B64="","",
IF(AN$5="","",
IF(Midterm!AN64="",0,
IF(NOT(ISNUMBER(Midterm!AN64)),"NAN",
IF(Midterm!AN64&lt;0,"NEG",
IF(Midterm!AN64&gt;AN$5,"OVER",
IF(AND(AN$5&lt;=100,Midterm!AN64&gt;100),"ERR",
IF(Info!$B$4="Non-board program",
IF(OR(AND(AN$5&gt;0,AN$5&gt;100),AND(AN$5&gt;0,AN$5&lt;100)),
VLOOKUP(FLOOR((Midterm!AN64/AN$5)*100,1),new_transmute,2,FALSE),
VLOOKUP(Midterm!AN64,new_transmute,2,FALSE)
),
IF(Info!$B$4="Board program",
IF(OR(AND(AN$5&gt;0,AN$5&gt;100),AND(AN$5&gt;0,AN$5&lt;100)),
VLOOKUP(FLOOR((Midterm!AN64/AN$5)*100,1),new_transmute,3,FALSE),
VLOOKUP(Midterm!AN64,new_transmute,3,FALSE)
),
IF(Info!$B$4="Board program (Medicine)",
IF(OR(AND(AN$5&gt;0,AN$5&gt;100),AND(AN$5&gt;0,AN$5&lt;100)),
VLOOKUP(FLOOR((Midterm!AN64/AN$5)*100,1),new_transmute,4,FALSE),
VLOOKUP(Midterm!AN64,new_transmute,4,FALSE)
),
""
)
)
)
)
)
)
)
)
))</f>
        <v/>
      </c>
      <c r="AO64" s="14" t="str">
        <f>IF($B64="","",
IF(AO$5="","",
IF(Midterm!AO64="",0,
IF(NOT(ISNUMBER(Midterm!AO64)),"NAN",
IF(Midterm!AO64&lt;0,"NEG",
IF(Midterm!AO64&gt;AO$5,"OVER",
IF(AND(AO$5&lt;=100,Midterm!AO64&gt;100),"ERR",
IF(Info!$B$4="Non-board program",
IF(OR(AND(AO$5&gt;0,AO$5&gt;100),AND(AO$5&gt;0,AO$5&lt;100)),
VLOOKUP(FLOOR((Midterm!AO64/AO$5)*100,1),new_transmute,2,FALSE),
VLOOKUP(Midterm!AO64,new_transmute,2,FALSE)
),
IF(Info!$B$4="Board program",
IF(OR(AND(AO$5&gt;0,AO$5&gt;100),AND(AO$5&gt;0,AO$5&lt;100)),
VLOOKUP(FLOOR((Midterm!AO64/AO$5)*100,1),new_transmute,3,FALSE),
VLOOKUP(Midterm!AO64,new_transmute,3,FALSE)
),
IF(Info!$B$4="Board program (Medicine)",
IF(OR(AND(AO$5&gt;0,AO$5&gt;100),AND(AO$5&gt;0,AO$5&lt;100)),
VLOOKUP(FLOOR((Midterm!AO64/AO$5)*100,1),new_transmute,4,FALSE),
VLOOKUP(Midterm!AO64,new_transmute,4,FALSE)
),
""
)
)
)
)
)
)
)
)
))</f>
        <v/>
      </c>
      <c r="AP64" s="14" t="str">
        <f>IF($B64="","",
IF(AP$5="","",
IF(Midterm!AP64="",0,
IF(NOT(ISNUMBER(Midterm!AP64)),"NAN",
IF(Midterm!AP64&lt;0,"NEG",
IF(Midterm!AP64&gt;AP$5,"OVER",
IF(AND(AP$5&lt;=100,Midterm!AP64&gt;100),"ERR",
IF(Info!$B$4="Non-board program",
IF(OR(AND(AP$5&gt;0,AP$5&gt;100),AND(AP$5&gt;0,AP$5&lt;100)),
VLOOKUP(FLOOR((Midterm!AP64/AP$5)*100,1),new_transmute,2,FALSE),
VLOOKUP(Midterm!AP64,new_transmute,2,FALSE)
),
IF(Info!$B$4="Board program",
IF(OR(AND(AP$5&gt;0,AP$5&gt;100),AND(AP$5&gt;0,AP$5&lt;100)),
VLOOKUP(FLOOR((Midterm!AP64/AP$5)*100,1),new_transmute,3,FALSE),
VLOOKUP(Midterm!AP64,new_transmute,3,FALSE)
),
IF(Info!$B$4="Board program (Medicine)",
IF(OR(AND(AP$5&gt;0,AP$5&gt;100),AND(AP$5&gt;0,AP$5&lt;100)),
VLOOKUP(FLOOR((Midterm!AP64/AP$5)*100,1),new_transmute,4,FALSE),
VLOOKUP(Midterm!AP64,new_transmute,4,FALSE)
),
""
)
)
)
)
)
)
)
)
))</f>
        <v/>
      </c>
      <c r="AQ64" s="61" t="str">
        <f t="shared" si="7"/>
        <v/>
      </c>
      <c r="AR64" s="48" t="str">
        <f>IF(Midterm!AR64="","",Midterm!AR64)</f>
        <v/>
      </c>
      <c r="AS64" s="165" t="str">
        <f t="shared" si="8"/>
        <v/>
      </c>
      <c r="AT64" s="14" t="str">
        <f t="shared" si="9"/>
        <v/>
      </c>
      <c r="AU64" s="14" t="str">
        <f>IF(B64="","",VLOOKUP(AT64,'New Grade Equivalent'!$B$3:$C$47,2,FALSE))</f>
        <v/>
      </c>
    </row>
    <row r="65" spans="1:47" x14ac:dyDescent="0.25">
      <c r="A65" s="8">
        <v>60</v>
      </c>
      <c r="B65" s="2" t="str">
        <f>IF('Student List'!C69="","",UPPER(LEFT('Student List'!C69,FIND(",",'Student List'!C69)-1)))</f>
        <v/>
      </c>
      <c r="C65" s="12" t="str">
        <f>IF('Student List'!C69="","",PROPER(MID('Student List'!C69, FIND(",", 'Student List'!C69) + 2, LEN('Student List'!C69) - FIND(",", 'Student List'!C69) - 1)))</f>
        <v/>
      </c>
      <c r="D65" s="127" t="str">
        <f>IF(B65="","",IF(Midterm!D65="", "NA", Midterm!D65))</f>
        <v/>
      </c>
      <c r="E65" s="8" t="str">
        <f>IF(B65="","",
  IF(Info!$B$5="First Year",
    IF(D65="Yes", "DRP",
      IF(D65="No", "WF", "")
    )
  )
)</f>
        <v/>
      </c>
      <c r="F65" s="14" t="str">
        <f>IF($B65="","",
IF(F$5="","",
IF(Midterm!F65="",0,
IF(NOT(ISNUMBER(Midterm!F65)),"NAN",
IF(Midterm!F65&lt;0,"NEG",
IF(Midterm!F65&gt;F$5,"OVER",
IF(AND(F$5&lt;=100,Midterm!F65&gt;100),"ERR",
IF(Info!$B$4="Non-board program",
IF(OR(AND(F$5&gt;0,F$5&gt;100),AND(F$5&gt;0,F$5&lt;100)),
VLOOKUP(FLOOR((Midterm!F65/F$5)*100,1),new_transmute,2,FALSE),
VLOOKUP(Midterm!F65,new_transmute,2,FALSE)
),
IF(Info!$B$4="Board program",
IF(OR(AND(F$5&gt;0,F$5&gt;100),AND(F$5&gt;0,F$5&lt;100)),
VLOOKUP(FLOOR((Midterm!F65/F$5)*100,1),new_transmute,3,FALSE),
VLOOKUP(Midterm!F65,new_transmute,3,FALSE)
),
IF(Info!$B$4="Board program (Medicine)",
IF(OR(AND(F$5&gt;0,F$5&gt;100),AND(F$5&gt;0,F$5&lt;100)),
VLOOKUP(FLOOR((Midterm!F65/F$5)*100,1),new_transmute,4,FALSE),
VLOOKUP(Midterm!F65,new_transmute,4,FALSE)
),
""
)
)
)
)
)
)
)
)
))</f>
        <v/>
      </c>
      <c r="G65" s="57" t="str">
        <f t="shared" si="1"/>
        <v/>
      </c>
      <c r="H65" s="14" t="str">
        <f>IF($B65="","",
IF(H$5="","",
IF(Midterm!H65="",0,
IF(NOT(ISNUMBER(Midterm!H65)),"NAN",
IF(Midterm!H65&lt;0,"NEG",
IF(Midterm!H65&gt;H$5,"OVER",
IF(AND(H$5&lt;=100,Midterm!H65&gt;100),"ERR",
IF(Info!$B$4="Non-board program",
IF(OR(AND(H$5&gt;0,H$5&gt;100),AND(H$5&gt;0,H$5&lt;100)),
VLOOKUP(FLOOR((Midterm!H65/H$5)*100,1),new_transmute,2,FALSE),
VLOOKUP(Midterm!H65,new_transmute,2,FALSE)
),
IF(Info!$B$4="Board program",
IF(OR(AND(H$5&gt;0,H$5&gt;100),AND(H$5&gt;0,H$5&lt;100)),
VLOOKUP(FLOOR((Midterm!H65/H$5)*100,1),new_transmute,3,FALSE),
VLOOKUP(Midterm!H65,new_transmute,3,FALSE)
),
IF(Info!$B$4="Board program (Medicine)",
IF(OR(AND(H$5&gt;0,H$5&gt;100),AND(H$5&gt;0,H$5&lt;100)),
VLOOKUP(FLOOR((Midterm!H65/H$5)*100,1),new_transmute,4,FALSE),
VLOOKUP(Midterm!H65,new_transmute,4,FALSE)
),
""
)
)
)
)
)
)
)
)
))</f>
        <v/>
      </c>
      <c r="I65" s="14" t="str">
        <f>IF($B65="","",
IF(I$5="","",
IF(Midterm!I65="",0,
IF(NOT(ISNUMBER(Midterm!I65)),"NAN",
IF(Midterm!I65&lt;0,"NEG",
IF(Midterm!I65&gt;I$5,"OVER",
IF(AND(I$5&lt;=100,Midterm!I65&gt;100),"ERR",
IF(Info!$B$4="Non-board program",
IF(OR(AND(I$5&gt;0,I$5&gt;100),AND(I$5&gt;0,I$5&lt;100)),
VLOOKUP(FLOOR((Midterm!I65/I$5)*100,1),new_transmute,2,FALSE),
VLOOKUP(Midterm!I65,new_transmute,2,FALSE)
),
IF(Info!$B$4="Board program",
IF(OR(AND(I$5&gt;0,I$5&gt;100),AND(I$5&gt;0,I$5&lt;100)),
VLOOKUP(FLOOR((Midterm!I65/I$5)*100,1),new_transmute,3,FALSE),
VLOOKUP(Midterm!I65,new_transmute,3,FALSE)
),
IF(Info!$B$4="Board program (Medicine)",
IF(OR(AND(I$5&gt;0,I$5&gt;100),AND(I$5&gt;0,I$5&lt;100)),
VLOOKUP(FLOOR((Midterm!I65/I$5)*100,1),new_transmute,4,FALSE),
VLOOKUP(Midterm!I65,new_transmute,4,FALSE)
),
""
)
)
)
)
)
)
)
)
))</f>
        <v/>
      </c>
      <c r="J65" s="14" t="str">
        <f>IF($B65="","",
IF(J$5="","",
IF(Midterm!J65="",0,
IF(NOT(ISNUMBER(Midterm!J65)),"NAN",
IF(Midterm!J65&lt;0,"NEG",
IF(Midterm!J65&gt;J$5,"OVER",
IF(AND(J$5&lt;=100,Midterm!J65&gt;100),"ERR",
IF(Info!$B$4="Non-board program",
IF(OR(AND(J$5&gt;0,J$5&gt;100),AND(J$5&gt;0,J$5&lt;100)),
VLOOKUP(FLOOR((Midterm!J65/J$5)*100,1),new_transmute,2,FALSE),
VLOOKUP(Midterm!J65,new_transmute,2,FALSE)
),
IF(Info!$B$4="Board program",
IF(OR(AND(J$5&gt;0,J$5&gt;100),AND(J$5&gt;0,J$5&lt;100)),
VLOOKUP(FLOOR((Midterm!J65/J$5)*100,1),new_transmute,3,FALSE),
VLOOKUP(Midterm!J65,new_transmute,3,FALSE)
),
IF(Info!$B$4="Board program (Medicine)",
IF(OR(AND(J$5&gt;0,J$5&gt;100),AND(J$5&gt;0,J$5&lt;100)),
VLOOKUP(FLOOR((Midterm!J65/J$5)*100,1),new_transmute,4,FALSE),
VLOOKUP(Midterm!J65,new_transmute,4,FALSE)
),
""
)
)
)
)
)
)
)
)
))</f>
        <v/>
      </c>
      <c r="K65" s="14" t="str">
        <f>IF($B65="","",
IF(K$5="","",
IF(Midterm!K65="",0,
IF(NOT(ISNUMBER(Midterm!K65)),"NAN",
IF(Midterm!K65&lt;0,"NEG",
IF(Midterm!K65&gt;K$5,"OVER",
IF(AND(K$5&lt;=100,Midterm!K65&gt;100),"ERR",
IF(Info!$B$4="Non-board program",
IF(OR(AND(K$5&gt;0,K$5&gt;100),AND(K$5&gt;0,K$5&lt;100)),
VLOOKUP(FLOOR((Midterm!K65/K$5)*100,1),new_transmute,2,FALSE),
VLOOKUP(Midterm!K65,new_transmute,2,FALSE)
),
IF(Info!$B$4="Board program",
IF(OR(AND(K$5&gt;0,K$5&gt;100),AND(K$5&gt;0,K$5&lt;100)),
VLOOKUP(FLOOR((Midterm!K65/K$5)*100,1),new_transmute,3,FALSE),
VLOOKUP(Midterm!K65,new_transmute,3,FALSE)
),
IF(Info!$B$4="Board program (Medicine)",
IF(OR(AND(K$5&gt;0,K$5&gt;100),AND(K$5&gt;0,K$5&lt;100)),
VLOOKUP(FLOOR((Midterm!K65/K$5)*100,1),new_transmute,4,FALSE),
VLOOKUP(Midterm!K65,new_transmute,4,FALSE)
),
""
)
)
)
)
)
)
)
)
))</f>
        <v/>
      </c>
      <c r="L65" s="14" t="str">
        <f>IF($B65="","",
IF(L$5="","",
IF(Midterm!L65="",0,
IF(NOT(ISNUMBER(Midterm!L65)),"NAN",
IF(Midterm!L65&lt;0,"NEG",
IF(Midterm!L65&gt;L$5,"OVER",
IF(AND(L$5&lt;=100,Midterm!L65&gt;100),"ERR",
IF(Info!$B$4="Non-board program",
IF(OR(AND(L$5&gt;0,L$5&gt;100),AND(L$5&gt;0,L$5&lt;100)),
VLOOKUP(FLOOR((Midterm!L65/L$5)*100,1),new_transmute,2,FALSE),
VLOOKUP(Midterm!L65,new_transmute,2,FALSE)
),
IF(Info!$B$4="Board program",
IF(OR(AND(L$5&gt;0,L$5&gt;100),AND(L$5&gt;0,L$5&lt;100)),
VLOOKUP(FLOOR((Midterm!L65/L$5)*100,1),new_transmute,3,FALSE),
VLOOKUP(Midterm!L65,new_transmute,3,FALSE)
),
IF(Info!$B$4="Board program (Medicine)",
IF(OR(AND(L$5&gt;0,L$5&gt;100),AND(L$5&gt;0,L$5&lt;100)),
VLOOKUP(FLOOR((Midterm!L65/L$5)*100,1),new_transmute,4,FALSE),
VLOOKUP(Midterm!L65,new_transmute,4,FALSE)
),
""
)
)
)
)
)
)
)
)
))</f>
        <v/>
      </c>
      <c r="M65" s="111" t="str">
        <f t="shared" si="2"/>
        <v/>
      </c>
      <c r="N65" s="14" t="str">
        <f>IF($B65="","",
IF(N$5="","",
IF(Midterm!N65="",0,
IF(NOT(ISNUMBER(Midterm!N65)),"NAN",
IF(Midterm!N65&lt;0,"NEG",
IF(Midterm!N65&gt;N$5,"OVER",
IF(AND(N$5&lt;=100,Midterm!N65&gt;100),"ERR",
IF(Info!$B$4="Non-board program",
IF(OR(AND(N$5&gt;0,N$5&gt;100),AND(N$5&gt;0,N$5&lt;100)),
VLOOKUP(FLOOR((Midterm!N65/N$5)*100,1),new_transmute,2,FALSE),
VLOOKUP(Midterm!N65,new_transmute,2,FALSE)
),
IF(Info!$B$4="Board program",
IF(OR(AND(N$5&gt;0,N$5&gt;100),AND(N$5&gt;0,N$5&lt;100)),
VLOOKUP(FLOOR((Midterm!N65/N$5)*100,1),new_transmute,3,FALSE),
VLOOKUP(Midterm!N65,new_transmute,3,FALSE)
),
IF(Info!$B$4="Board program (Medicine)",
IF(OR(AND(N$5&gt;0,N$5&gt;100),AND(N$5&gt;0,N$5&lt;100)),
VLOOKUP(FLOOR((Midterm!N65/N$5)*100,1),new_transmute,4,FALSE),
VLOOKUP(Midterm!N65,new_transmute,4,FALSE)
),
""
)
)
)
)
)
)
)
)
))</f>
        <v/>
      </c>
      <c r="O65" s="14" t="str">
        <f>IF($B65="","",
IF(O$5="","",
IF(Midterm!O65="",0,
IF(NOT(ISNUMBER(Midterm!O65)),"NAN",
IF(Midterm!O65&lt;0,"NEG",
IF(Midterm!O65&gt;O$5,"OVER",
IF(AND(O$5&lt;=100,Midterm!O65&gt;100),"ERR",
IF(Info!$B$4="Non-board program",
IF(OR(AND(O$5&gt;0,O$5&gt;100),AND(O$5&gt;0,O$5&lt;100)),
VLOOKUP(FLOOR((Midterm!O65/O$5)*100,1),new_transmute,2,FALSE),
VLOOKUP(Midterm!O65,new_transmute,2,FALSE)
),
IF(Info!$B$4="Board program",
IF(OR(AND(O$5&gt;0,O$5&gt;100),AND(O$5&gt;0,O$5&lt;100)),
VLOOKUP(FLOOR((Midterm!O65/O$5)*100,1),new_transmute,3,FALSE),
VLOOKUP(Midterm!O65,new_transmute,3,FALSE)
),
IF(Info!$B$4="Board program (Medicine)",
IF(OR(AND(O$5&gt;0,O$5&gt;100),AND(O$5&gt;0,O$5&lt;100)),
VLOOKUP(FLOOR((Midterm!O65/O$5)*100,1),new_transmute,4,FALSE),
VLOOKUP(Midterm!O65,new_transmute,4,FALSE)
),
""
)
)
)
)
)
)
)
)
))</f>
        <v/>
      </c>
      <c r="P65" s="14" t="str">
        <f>IF($B65="","",
IF(P$5="","",
IF(Midterm!P65="",0,
IF(NOT(ISNUMBER(Midterm!P65)),"NAN",
IF(Midterm!P65&lt;0,"NEG",
IF(Midterm!P65&gt;P$5,"OVER",
IF(AND(P$5&lt;=100,Midterm!P65&gt;100),"ERR",
IF(Info!$B$4="Non-board program",
IF(OR(AND(P$5&gt;0,P$5&gt;100),AND(P$5&gt;0,P$5&lt;100)),
VLOOKUP(FLOOR((Midterm!P65/P$5)*100,1),new_transmute,2,FALSE),
VLOOKUP(Midterm!P65,new_transmute,2,FALSE)
),
IF(Info!$B$4="Board program",
IF(OR(AND(P$5&gt;0,P$5&gt;100),AND(P$5&gt;0,P$5&lt;100)),
VLOOKUP(FLOOR((Midterm!P65/P$5)*100,1),new_transmute,3,FALSE),
VLOOKUP(Midterm!P65,new_transmute,3,FALSE)
),
IF(Info!$B$4="Board program (Medicine)",
IF(OR(AND(P$5&gt;0,P$5&gt;100),AND(P$5&gt;0,P$5&lt;100)),
VLOOKUP(FLOOR((Midterm!P65/P$5)*100,1),new_transmute,4,FALSE),
VLOOKUP(Midterm!P65,new_transmute,4,FALSE)
),
""
)
)
)
)
)
)
)
)
))</f>
        <v/>
      </c>
      <c r="Q65" s="14" t="str">
        <f>IF($B65="","",
IF(Q$5="","",
IF(Midterm!Q65="",0,
IF(NOT(ISNUMBER(Midterm!Q65)),"NAN",
IF(Midterm!Q65&lt;0,"NEG",
IF(Midterm!Q65&gt;Q$5,"OVER",
IF(AND(Q$5&lt;=100,Midterm!Q65&gt;100),"ERR",
IF(Info!$B$4="Non-board program",
IF(OR(AND(Q$5&gt;0,Q$5&gt;100),AND(Q$5&gt;0,Q$5&lt;100)),
VLOOKUP(FLOOR((Midterm!Q65/Q$5)*100,1),new_transmute,2,FALSE),
VLOOKUP(Midterm!Q65,new_transmute,2,FALSE)
),
IF(Info!$B$4="Board program",
IF(OR(AND(Q$5&gt;0,Q$5&gt;100),AND(Q$5&gt;0,Q$5&lt;100)),
VLOOKUP(FLOOR((Midterm!Q65/Q$5)*100,1),new_transmute,3,FALSE),
VLOOKUP(Midterm!Q65,new_transmute,3,FALSE)
),
IF(Info!$B$4="Board program (Medicine)",
IF(OR(AND(Q$5&gt;0,Q$5&gt;100),AND(Q$5&gt;0,Q$5&lt;100)),
VLOOKUP(FLOOR((Midterm!Q65/Q$5)*100,1),new_transmute,4,FALSE),
VLOOKUP(Midterm!Q65,new_transmute,4,FALSE)
),
""
)
)
)
)
)
)
)
)
))</f>
        <v/>
      </c>
      <c r="R65" s="14" t="str">
        <f>IF($B65="","",
IF(R$5="","",
IF(Midterm!R65="",0,
IF(NOT(ISNUMBER(Midterm!R65)),"NAN",
IF(Midterm!R65&lt;0,"NEG",
IF(Midterm!R65&gt;R$5,"OVER",
IF(AND(R$5&lt;=100,Midterm!R65&gt;100),"ERR",
IF(Info!$B$4="Non-board program",
IF(OR(AND(R$5&gt;0,R$5&gt;100),AND(R$5&gt;0,R$5&lt;100)),
VLOOKUP(FLOOR((Midterm!R65/R$5)*100,1),new_transmute,2,FALSE),
VLOOKUP(Midterm!R65,new_transmute,2,FALSE)
),
IF(Info!$B$4="Board program",
IF(OR(AND(R$5&gt;0,R$5&gt;100),AND(R$5&gt;0,R$5&lt;100)),
VLOOKUP(FLOOR((Midterm!R65/R$5)*100,1),new_transmute,3,FALSE),
VLOOKUP(Midterm!R65,new_transmute,3,FALSE)
),
IF(Info!$B$4="Board program (Medicine)",
IF(OR(AND(R$5&gt;0,R$5&gt;100),AND(R$5&gt;0,R$5&lt;100)),
VLOOKUP(FLOOR((Midterm!R65/R$5)*100,1),new_transmute,4,FALSE),
VLOOKUP(Midterm!R65,new_transmute,4,FALSE)
),
""
)
)
)
)
)
)
)
)
))</f>
        <v/>
      </c>
      <c r="S65" s="115" t="str">
        <f t="shared" si="3"/>
        <v/>
      </c>
      <c r="T65" s="14" t="str">
        <f>IF($B65="","",
IF(T$5="","",
IF(Midterm!T65="",0,
IF(NOT(ISNUMBER(Midterm!T65)),"NAN",
IF(Midterm!T65&lt;0,"NEG",
IF(Midterm!T65&gt;T$5,"OVER",
IF(AND(T$5&lt;=100,Midterm!T65&gt;100),"ERR",
IF(Info!$B$4="Non-board program",
IF(OR(AND(T$5&gt;0,T$5&gt;100),AND(T$5&gt;0,T$5&lt;100)),
VLOOKUP(FLOOR((Midterm!T65/T$5)*100,1),new_transmute,2,FALSE),
VLOOKUP(Midterm!T65,new_transmute,2,FALSE)
),
IF(Info!$B$4="Board program",
IF(OR(AND(T$5&gt;0,T$5&gt;100),AND(T$5&gt;0,T$5&lt;100)),
VLOOKUP(FLOOR((Midterm!T65/T$5)*100,1),new_transmute,3,FALSE),
VLOOKUP(Midterm!T65,new_transmute,3,FALSE)
),
IF(Info!$B$4="Board program (Medicine)",
IF(OR(AND(T$5&gt;0,T$5&gt;100),AND(T$5&gt;0,T$5&lt;100)),
VLOOKUP(FLOOR((Midterm!T65/T$5)*100,1),new_transmute,4,FALSE),
VLOOKUP(Midterm!T65,new_transmute,4,FALSE)
),
""
)
)
)
)
)
)
)
)
))</f>
        <v/>
      </c>
      <c r="U65" s="14" t="str">
        <f>IF($B65="","",
IF(U$5="","",
IF(Midterm!U65="",0,
IF(NOT(ISNUMBER(Midterm!U65)),"NAN",
IF(Midterm!U65&lt;0,"NEG",
IF(Midterm!U65&gt;U$5,"OVER",
IF(AND(U$5&lt;=100,Midterm!U65&gt;100),"ERR",
IF(Info!$B$4="Non-board program",
IF(OR(AND(U$5&gt;0,U$5&gt;100),AND(U$5&gt;0,U$5&lt;100)),
VLOOKUP(FLOOR((Midterm!U65/U$5)*100,1),new_transmute,2,FALSE),
VLOOKUP(Midterm!U65,new_transmute,2,FALSE)
),
IF(Info!$B$4="Board program",
IF(OR(AND(U$5&gt;0,U$5&gt;100),AND(U$5&gt;0,U$5&lt;100)),
VLOOKUP(FLOOR((Midterm!U65/U$5)*100,1),new_transmute,3,FALSE),
VLOOKUP(Midterm!U65,new_transmute,3,FALSE)
),
IF(Info!$B$4="Board program (Medicine)",
IF(OR(AND(U$5&gt;0,U$5&gt;100),AND(U$5&gt;0,U$5&lt;100)),
VLOOKUP(FLOOR((Midterm!U65/U$5)*100,1),new_transmute,4,FALSE),
VLOOKUP(Midterm!U65,new_transmute,4,FALSE)
),
""
)
)
)
)
)
)
)
)
))</f>
        <v/>
      </c>
      <c r="V65" s="14" t="str">
        <f>IF($B65="","",
IF(V$5="","",
IF(Midterm!V65="",0,
IF(NOT(ISNUMBER(Midterm!V65)),"NAN",
IF(Midterm!V65&lt;0,"NEG",
IF(Midterm!V65&gt;V$5,"OVER",
IF(AND(V$5&lt;=100,Midterm!V65&gt;100),"ERR",
IF(Info!$B$4="Non-board program",
IF(OR(AND(V$5&gt;0,V$5&gt;100),AND(V$5&gt;0,V$5&lt;100)),
VLOOKUP(FLOOR((Midterm!V65/V$5)*100,1),new_transmute,2,FALSE),
VLOOKUP(Midterm!V65,new_transmute,2,FALSE)
),
IF(Info!$B$4="Board program",
IF(OR(AND(V$5&gt;0,V$5&gt;100),AND(V$5&gt;0,V$5&lt;100)),
VLOOKUP(FLOOR((Midterm!V65/V$5)*100,1),new_transmute,3,FALSE),
VLOOKUP(Midterm!V65,new_transmute,3,FALSE)
),
IF(Info!$B$4="Board program (Medicine)",
IF(OR(AND(V$5&gt;0,V$5&gt;100),AND(V$5&gt;0,V$5&lt;100)),
VLOOKUP(FLOOR((Midterm!V65/V$5)*100,1),new_transmute,4,FALSE),
VLOOKUP(Midterm!V65,new_transmute,4,FALSE)
),
""
)
)
)
)
)
)
)
)
))</f>
        <v/>
      </c>
      <c r="W65" s="14" t="str">
        <f>IF($B65="","",
IF(W$5="","",
IF(Midterm!W65="",0,
IF(NOT(ISNUMBER(Midterm!W65)),"NAN",
IF(Midterm!W65&lt;0,"NEG",
IF(Midterm!W65&gt;W$5,"OVER",
IF(AND(W$5&lt;=100,Midterm!W65&gt;100),"ERR",
IF(Info!$B$4="Non-board program",
IF(OR(AND(W$5&gt;0,W$5&gt;100),AND(W$5&gt;0,W$5&lt;100)),
VLOOKUP(FLOOR((Midterm!W65/W$5)*100,1),new_transmute,2,FALSE),
VLOOKUP(Midterm!W65,new_transmute,2,FALSE)
),
IF(Info!$B$4="Board program",
IF(OR(AND(W$5&gt;0,W$5&gt;100),AND(W$5&gt;0,W$5&lt;100)),
VLOOKUP(FLOOR((Midterm!W65/W$5)*100,1),new_transmute,3,FALSE),
VLOOKUP(Midterm!W65,new_transmute,3,FALSE)
),
IF(Info!$B$4="Board program (Medicine)",
IF(OR(AND(W$5&gt;0,W$5&gt;100),AND(W$5&gt;0,W$5&lt;100)),
VLOOKUP(FLOOR((Midterm!W65/W$5)*100,1),new_transmute,4,FALSE),
VLOOKUP(Midterm!W65,new_transmute,4,FALSE)
),
""
)
)
)
)
)
)
)
)
))</f>
        <v/>
      </c>
      <c r="X65" s="14" t="str">
        <f>IF($B65="","",
IF(X$5="","",
IF(Midterm!X65="",0,
IF(NOT(ISNUMBER(Midterm!X65)),"NAN",
IF(Midterm!X65&lt;0,"NEG",
IF(Midterm!X65&gt;X$5,"OVER",
IF(AND(X$5&lt;=100,Midterm!X65&gt;100),"ERR",
IF(Info!$B$4="Non-board program",
IF(OR(AND(X$5&gt;0,X$5&gt;100),AND(X$5&gt;0,X$5&lt;100)),
VLOOKUP(FLOOR((Midterm!X65/X$5)*100,1),new_transmute,2,FALSE),
VLOOKUP(Midterm!X65,new_transmute,2,FALSE)
),
IF(Info!$B$4="Board program",
IF(OR(AND(X$5&gt;0,X$5&gt;100),AND(X$5&gt;0,X$5&lt;100)),
VLOOKUP(FLOOR((Midterm!X65/X$5)*100,1),new_transmute,3,FALSE),
VLOOKUP(Midterm!X65,new_transmute,3,FALSE)
),
IF(Info!$B$4="Board program (Medicine)",
IF(OR(AND(X$5&gt;0,X$5&gt;100),AND(X$5&gt;0,X$5&lt;100)),
VLOOKUP(FLOOR((Midterm!X65/X$5)*100,1),new_transmute,4,FALSE),
VLOOKUP(Midterm!X65,new_transmute,4,FALSE)
),
""
)
)
)
)
)
)
)
)
))</f>
        <v/>
      </c>
      <c r="Y65" s="112" t="str">
        <f t="shared" si="4"/>
        <v/>
      </c>
      <c r="Z65" s="14" t="str">
        <f>IF($B65="","",
IF(Z$5="","",
IF(Midterm!Z65="",0,
IF(NOT(ISNUMBER(Midterm!Z65)),"NAN",
IF(Midterm!Z65&lt;0,"NEG",
IF(Midterm!Z65&gt;Z$5,"OVER",
IF(AND(Z$5&lt;=100,Midterm!Z65&gt;100),"ERR",
IF(Info!$B$4="Non-board program",
IF(OR(AND(Z$5&gt;0,Z$5&gt;100),AND(Z$5&gt;0,Z$5&lt;100)),
VLOOKUP(FLOOR((Midterm!Z65/Z$5)*100,1),new_transmute,2,FALSE),
VLOOKUP(Midterm!Z65,new_transmute,2,FALSE)
),
IF(Info!$B$4="Board program",
IF(OR(AND(Z$5&gt;0,Z$5&gt;100),AND(Z$5&gt;0,Z$5&lt;100)),
VLOOKUP(FLOOR((Midterm!Z65/Z$5)*100,1),new_transmute,3,FALSE),
VLOOKUP(Midterm!Z65,new_transmute,3,FALSE)
),
IF(Info!$B$4="Board program (Medicine)",
IF(OR(AND(Z$5&gt;0,Z$5&gt;100),AND(Z$5&gt;0,Z$5&lt;100)),
VLOOKUP(FLOOR((Midterm!Z65/Z$5)*100,1),new_transmute,4,FALSE),
VLOOKUP(Midterm!Z65,new_transmute,4,FALSE)
),
""
)
)
)
)
)
)
)
)
))</f>
        <v/>
      </c>
      <c r="AA65" s="14" t="str">
        <f>IF($B65="","",
IF(AA$5="","",
IF(Midterm!AA65="",0,
IF(NOT(ISNUMBER(Midterm!AA65)),"NAN",
IF(Midterm!AA65&lt;0,"NEG",
IF(Midterm!AA65&gt;AA$5,"OVER",
IF(AND(AA$5&lt;=100,Midterm!AA65&gt;100),"ERR",
IF(Info!$B$4="Non-board program",
IF(OR(AND(AA$5&gt;0,AA$5&gt;100),AND(AA$5&gt;0,AA$5&lt;100)),
VLOOKUP(FLOOR((Midterm!AA65/AA$5)*100,1),new_transmute,2,FALSE),
VLOOKUP(Midterm!AA65,new_transmute,2,FALSE)
),
IF(Info!$B$4="Board program",
IF(OR(AND(AA$5&gt;0,AA$5&gt;100),AND(AA$5&gt;0,AA$5&lt;100)),
VLOOKUP(FLOOR((Midterm!AA65/AA$5)*100,1),new_transmute,3,FALSE),
VLOOKUP(Midterm!AA65,new_transmute,3,FALSE)
),
IF(Info!$B$4="Board program (Medicine)",
IF(OR(AND(AA$5&gt;0,AA$5&gt;100),AND(AA$5&gt;0,AA$5&lt;100)),
VLOOKUP(FLOOR((Midterm!AA65/AA$5)*100,1),new_transmute,4,FALSE),
VLOOKUP(Midterm!AA65,new_transmute,4,FALSE)
),
""
)
)
)
)
)
)
)
)
))</f>
        <v/>
      </c>
      <c r="AB65" s="14" t="str">
        <f>IF($B65="","",
IF(AB$5="","",
IF(Midterm!AB65="",0,
IF(NOT(ISNUMBER(Midterm!AB65)),"NAN",
IF(Midterm!AB65&lt;0,"NEG",
IF(Midterm!AB65&gt;AB$5,"OVER",
IF(AND(AB$5&lt;=100,Midterm!AB65&gt;100),"ERR",
IF(Info!$B$4="Non-board program",
IF(OR(AND(AB$5&gt;0,AB$5&gt;100),AND(AB$5&gt;0,AB$5&lt;100)),
VLOOKUP(FLOOR((Midterm!AB65/AB$5)*100,1),new_transmute,2,FALSE),
VLOOKUP(Midterm!AB65,new_transmute,2,FALSE)
),
IF(Info!$B$4="Board program",
IF(OR(AND(AB$5&gt;0,AB$5&gt;100),AND(AB$5&gt;0,AB$5&lt;100)),
VLOOKUP(FLOOR((Midterm!AB65/AB$5)*100,1),new_transmute,3,FALSE),
VLOOKUP(Midterm!AB65,new_transmute,3,FALSE)
),
IF(Info!$B$4="Board program (Medicine)",
IF(OR(AND(AB$5&gt;0,AB$5&gt;100),AND(AB$5&gt;0,AB$5&lt;100)),
VLOOKUP(FLOOR((Midterm!AB65/AB$5)*100,1),new_transmute,4,FALSE),
VLOOKUP(Midterm!AB65,new_transmute,4,FALSE)
),
""
)
)
)
)
)
)
)
)
))</f>
        <v/>
      </c>
      <c r="AC65" s="14" t="str">
        <f>IF($B65="","",
IF(AC$5="","",
IF(Midterm!AC65="",0,
IF(NOT(ISNUMBER(Midterm!AC65)),"NAN",
IF(Midterm!AC65&lt;0,"NEG",
IF(Midterm!AC65&gt;AC$5,"OVER",
IF(AND(AC$5&lt;=100,Midterm!AC65&gt;100),"ERR",
IF(Info!$B$4="Non-board program",
IF(OR(AND(AC$5&gt;0,AC$5&gt;100),AND(AC$5&gt;0,AC$5&lt;100)),
VLOOKUP(FLOOR((Midterm!AC65/AC$5)*100,1),new_transmute,2,FALSE),
VLOOKUP(Midterm!AC65,new_transmute,2,FALSE)
),
IF(Info!$B$4="Board program",
IF(OR(AND(AC$5&gt;0,AC$5&gt;100),AND(AC$5&gt;0,AC$5&lt;100)),
VLOOKUP(FLOOR((Midterm!AC65/AC$5)*100,1),new_transmute,3,FALSE),
VLOOKUP(Midterm!AC65,new_transmute,3,FALSE)
),
IF(Info!$B$4="Board program (Medicine)",
IF(OR(AND(AC$5&gt;0,AC$5&gt;100),AND(AC$5&gt;0,AC$5&lt;100)),
VLOOKUP(FLOOR((Midterm!AC65/AC$5)*100,1),new_transmute,4,FALSE),
VLOOKUP(Midterm!AC65,new_transmute,4,FALSE)
),
""
)
)
)
)
)
)
)
)
))</f>
        <v/>
      </c>
      <c r="AD65" s="14" t="str">
        <f>IF($B65="","",
IF(AD$5="","",
IF(Midterm!AD65="",0,
IF(NOT(ISNUMBER(Midterm!AD65)),"NAN",
IF(Midterm!AD65&lt;0,"NEG",
IF(Midterm!AD65&gt;AD$5,"OVER",
IF(AND(AD$5&lt;=100,Midterm!AD65&gt;100),"ERR",
IF(Info!$B$4="Non-board program",
IF(OR(AND(AD$5&gt;0,AD$5&gt;100),AND(AD$5&gt;0,AD$5&lt;100)),
VLOOKUP(FLOOR((Midterm!AD65/AD$5)*100,1),new_transmute,2,FALSE),
VLOOKUP(Midterm!AD65,new_transmute,2,FALSE)
),
IF(Info!$B$4="Board program",
IF(OR(AND(AD$5&gt;0,AD$5&gt;100),AND(AD$5&gt;0,AD$5&lt;100)),
VLOOKUP(FLOOR((Midterm!AD65/AD$5)*100,1),new_transmute,3,FALSE),
VLOOKUP(Midterm!AD65,new_transmute,3,FALSE)
),
IF(Info!$B$4="Board program (Medicine)",
IF(OR(AND(AD$5&gt;0,AD$5&gt;100),AND(AD$5&gt;0,AD$5&lt;100)),
VLOOKUP(FLOOR((Midterm!AD65/AD$5)*100,1),new_transmute,4,FALSE),
VLOOKUP(Midterm!AD65,new_transmute,4,FALSE)
),
""
)
)
)
)
)
)
)
)
))</f>
        <v/>
      </c>
      <c r="AE65" s="58" t="str">
        <f t="shared" si="5"/>
        <v/>
      </c>
      <c r="AF65" s="14" t="str">
        <f>IF($B65="","",
IF(AF$5="","",
IF(Midterm!AF65="",0,
IF(NOT(ISNUMBER(Midterm!AF65)),"NAN",
IF(Midterm!AF65&lt;0,"NEG",
IF(Midterm!AF65&gt;AF$5,"OVER",
IF(AND(AF$5&lt;=100,Midterm!AF65&gt;100),"ERR",
IF(Info!$B$4="Non-board program",
IF(OR(AND(AF$5&gt;0,AF$5&gt;100),AND(AF$5&gt;0,AF$5&lt;100)),
VLOOKUP(FLOOR((Midterm!AF65/AF$5)*100,1),new_transmute,2,FALSE),
VLOOKUP(Midterm!AF65,new_transmute,2,FALSE)
),
IF(Info!$B$4="Board program",
IF(OR(AND(AF$5&gt;0,AF$5&gt;100),AND(AF$5&gt;0,AF$5&lt;100)),
VLOOKUP(FLOOR((Midterm!AF65/AF$5)*100,1),new_transmute,3,FALSE),
VLOOKUP(Midterm!AF65,new_transmute,3,FALSE)
),
IF(Info!$B$4="Board program (Medicine)",
IF(OR(AND(AF$5&gt;0,AF$5&gt;100),AND(AF$5&gt;0,AF$5&lt;100)),
VLOOKUP(FLOOR((Midterm!AF65/AF$5)*100,1),new_transmute,4,FALSE),
VLOOKUP(Midterm!AF65,new_transmute,4,FALSE)
),
""
)
)
)
)
)
)
)
)
))</f>
        <v/>
      </c>
      <c r="AG65" s="14" t="str">
        <f>IF($B65="","",
IF(AG$5="","",
IF(Midterm!AG65="",0,
IF(NOT(ISNUMBER(Midterm!AG65)),"NAN",
IF(Midterm!AG65&lt;0,"NEG",
IF(Midterm!AG65&gt;AG$5,"OVER",
IF(AND(AG$5&lt;=100,Midterm!AG65&gt;100),"ERR",
IF(Info!$B$4="Non-board program",
IF(OR(AND(AG$5&gt;0,AG$5&gt;100),AND(AG$5&gt;0,AG$5&lt;100)),
VLOOKUP(FLOOR((Midterm!AG65/AG$5)*100,1),new_transmute,2,FALSE),
VLOOKUP(Midterm!AG65,new_transmute,2,FALSE)
),
IF(Info!$B$4="Board program",
IF(OR(AND(AG$5&gt;0,AG$5&gt;100),AND(AG$5&gt;0,AG$5&lt;100)),
VLOOKUP(FLOOR((Midterm!AG65/AG$5)*100,1),new_transmute,3,FALSE),
VLOOKUP(Midterm!AG65,new_transmute,3,FALSE)
),
IF(Info!$B$4="Board program (Medicine)",
IF(OR(AND(AG$5&gt;0,AG$5&gt;100),AND(AG$5&gt;0,AG$5&lt;100)),
VLOOKUP(FLOOR((Midterm!AG65/AG$5)*100,1),new_transmute,4,FALSE),
VLOOKUP(Midterm!AG65,new_transmute,4,FALSE)
),
""
)
)
)
)
)
)
)
)
))</f>
        <v/>
      </c>
      <c r="AH65" s="14" t="str">
        <f>IF($B65="","",
IF(AH$5="","",
IF(Midterm!AH65="",0,
IF(NOT(ISNUMBER(Midterm!AH65)),"NAN",
IF(Midterm!AH65&lt;0,"NEG",
IF(Midterm!AH65&gt;AH$5,"OVER",
IF(AND(AH$5&lt;=100,Midterm!AH65&gt;100),"ERR",
IF(Info!$B$4="Non-board program",
IF(OR(AND(AH$5&gt;0,AH$5&gt;100),AND(AH$5&gt;0,AH$5&lt;100)),
VLOOKUP(FLOOR((Midterm!AH65/AH$5)*100,1),new_transmute,2,FALSE),
VLOOKUP(Midterm!AH65,new_transmute,2,FALSE)
),
IF(Info!$B$4="Board program",
IF(OR(AND(AH$5&gt;0,AH$5&gt;100),AND(AH$5&gt;0,AH$5&lt;100)),
VLOOKUP(FLOOR((Midterm!AH65/AH$5)*100,1),new_transmute,3,FALSE),
VLOOKUP(Midterm!AH65,new_transmute,3,FALSE)
),
IF(Info!$B$4="Board program (Medicine)",
IF(OR(AND(AH$5&gt;0,AH$5&gt;100),AND(AH$5&gt;0,AH$5&lt;100)),
VLOOKUP(FLOOR((Midterm!AH65/AH$5)*100,1),new_transmute,4,FALSE),
VLOOKUP(Midterm!AH65,new_transmute,4,FALSE)
),
""
)
)
)
)
)
)
)
)
))</f>
        <v/>
      </c>
      <c r="AI65" s="14" t="str">
        <f>IF($B65="","",
IF(AI$5="","",
IF(Midterm!AI65="",0,
IF(NOT(ISNUMBER(Midterm!AI65)),"NAN",
IF(Midterm!AI65&lt;0,"NEG",
IF(Midterm!AI65&gt;AI$5,"OVER",
IF(AND(AI$5&lt;=100,Midterm!AI65&gt;100),"ERR",
IF(Info!$B$4="Non-board program",
IF(OR(AND(AI$5&gt;0,AI$5&gt;100),AND(AI$5&gt;0,AI$5&lt;100)),
VLOOKUP(FLOOR((Midterm!AI65/AI$5)*100,1),new_transmute,2,FALSE),
VLOOKUP(Midterm!AI65,new_transmute,2,FALSE)
),
IF(Info!$B$4="Board program",
IF(OR(AND(AI$5&gt;0,AI$5&gt;100),AND(AI$5&gt;0,AI$5&lt;100)),
VLOOKUP(FLOOR((Midterm!AI65/AI$5)*100,1),new_transmute,3,FALSE),
VLOOKUP(Midterm!AI65,new_transmute,3,FALSE)
),
IF(Info!$B$4="Board program (Medicine)",
IF(OR(AND(AI$5&gt;0,AI$5&gt;100),AND(AI$5&gt;0,AI$5&lt;100)),
VLOOKUP(FLOOR((Midterm!AI65/AI$5)*100,1),new_transmute,4,FALSE),
VLOOKUP(Midterm!AI65,new_transmute,4,FALSE)
),
""
)
)
)
)
)
)
)
)
))</f>
        <v/>
      </c>
      <c r="AJ65" s="14" t="str">
        <f>IF($B65="","",
IF(AJ$5="","",
IF(Midterm!AJ65="",0,
IF(NOT(ISNUMBER(Midterm!AJ65)),"NAN",
IF(Midterm!AJ65&lt;0,"NEG",
IF(Midterm!AJ65&gt;AJ$5,"OVER",
IF(AND(AJ$5&lt;=100,Midterm!AJ65&gt;100),"ERR",
IF(Info!$B$4="Non-board program",
IF(OR(AND(AJ$5&gt;0,AJ$5&gt;100),AND(AJ$5&gt;0,AJ$5&lt;100)),
VLOOKUP(FLOOR((Midterm!AJ65/AJ$5)*100,1),new_transmute,2,FALSE),
VLOOKUP(Midterm!AJ65,new_transmute,2,FALSE)
),
IF(Info!$B$4="Board program",
IF(OR(AND(AJ$5&gt;0,AJ$5&gt;100),AND(AJ$5&gt;0,AJ$5&lt;100)),
VLOOKUP(FLOOR((Midterm!AJ65/AJ$5)*100,1),new_transmute,3,FALSE),
VLOOKUP(Midterm!AJ65,new_transmute,3,FALSE)
),
IF(Info!$B$4="Board program (Medicine)",
IF(OR(AND(AJ$5&gt;0,AJ$5&gt;100),AND(AJ$5&gt;0,AJ$5&lt;100)),
VLOOKUP(FLOOR((Midterm!AJ65/AJ$5)*100,1),new_transmute,4,FALSE),
VLOOKUP(Midterm!AJ65,new_transmute,4,FALSE)
),
""
)
)
)
)
)
)
)
)
))</f>
        <v/>
      </c>
      <c r="AK65" s="59" t="str">
        <f t="shared" si="6"/>
        <v/>
      </c>
      <c r="AL65" s="60" t="str">
        <f>IF(B65="", "",
    IF(OR(M65="OVER", S65="OVER", Y65="OVER", AE65="OVER", AK65="OVER"),
        "OVER",
        IF(Info!$B$4="Non-board program",
            VLOOKUP(IFERROR(FLOOR(SUM((M65*$M$4), (S65*$S$4), (Y65*$Y$4), (AE65*$AE$4), (AK65*$AK$4)) * (100 / 60), 1), 0), new_transmute, 2, FALSE),
            IF(Info!$B$4="Board program",
                VLOOKUP(IFERROR(FLOOR(SUM((M65*$M$4), (S65*$S$4), (Y65*$Y$4), (AE65*$AE$4), (AK65*$AK$4)) * (100 / 60), 1), 0), new_transmute, 3, FALSE),
                IF(Info!$B$4="Board program (Medicine)",
                    VLOOKUP(IFERROR(FLOOR(SUM((M65*$M$4), (S65*$S$4), (Y65*$Y$4), (AE65*$AE$4), (AK65*$AK$4)) * (100 / 60), 1), 0), new_transmute, 4, FALSE),
                    ""
                )
            )
        )
    )
)</f>
        <v/>
      </c>
      <c r="AM65" s="14" t="str">
        <f>IF($B65="","",
IF(AM$5="","",
IF(Midterm!AM65="",0,
IF(NOT(ISNUMBER(Midterm!AM65)),"NAN",
IF(Midterm!AM65&lt;0,"NEG",
IF(Midterm!AM65&gt;AM$5,"OVER",
IF(AND(AM$5&lt;=100,Midterm!AM65&gt;100),"ERR",
IF(Info!$B$4="Non-board program",
IF(OR(AND(AM$5&gt;0,AM$5&gt;100),AND(AM$5&gt;0,AM$5&lt;100)),
VLOOKUP(FLOOR((Midterm!AM65/AM$5)*100,1),new_transmute,2,FALSE),
VLOOKUP(Midterm!AM65,new_transmute,2,FALSE)
),
IF(Info!$B$4="Board program",
IF(OR(AND(AM$5&gt;0,AM$5&gt;100),AND(AM$5&gt;0,AM$5&lt;100)),
VLOOKUP(FLOOR((Midterm!AM65/AM$5)*100,1),new_transmute,3,FALSE),
VLOOKUP(Midterm!AM65,new_transmute,3,FALSE)
),
IF(Info!$B$4="Board program (Medicine)",
IF(OR(AND(AM$5&gt;0,AM$5&gt;100),AND(AM$5&gt;0,AM$5&lt;100)),
VLOOKUP(FLOOR((Midterm!AM65/AM$5)*100,1),new_transmute,4,FALSE),
VLOOKUP(Midterm!AM65,new_transmute,4,FALSE)
),
""
)
)
)
)
)
)
)
)
))</f>
        <v/>
      </c>
      <c r="AN65" s="14" t="str">
        <f>IF($B65="","",
IF(AN$5="","",
IF(Midterm!AN65="",0,
IF(NOT(ISNUMBER(Midterm!AN65)),"NAN",
IF(Midterm!AN65&lt;0,"NEG",
IF(Midterm!AN65&gt;AN$5,"OVER",
IF(AND(AN$5&lt;=100,Midterm!AN65&gt;100),"ERR",
IF(Info!$B$4="Non-board program",
IF(OR(AND(AN$5&gt;0,AN$5&gt;100),AND(AN$5&gt;0,AN$5&lt;100)),
VLOOKUP(FLOOR((Midterm!AN65/AN$5)*100,1),new_transmute,2,FALSE),
VLOOKUP(Midterm!AN65,new_transmute,2,FALSE)
),
IF(Info!$B$4="Board program",
IF(OR(AND(AN$5&gt;0,AN$5&gt;100),AND(AN$5&gt;0,AN$5&lt;100)),
VLOOKUP(FLOOR((Midterm!AN65/AN$5)*100,1),new_transmute,3,FALSE),
VLOOKUP(Midterm!AN65,new_transmute,3,FALSE)
),
IF(Info!$B$4="Board program (Medicine)",
IF(OR(AND(AN$5&gt;0,AN$5&gt;100),AND(AN$5&gt;0,AN$5&lt;100)),
VLOOKUP(FLOOR((Midterm!AN65/AN$5)*100,1),new_transmute,4,FALSE),
VLOOKUP(Midterm!AN65,new_transmute,4,FALSE)
),
""
)
)
)
)
)
)
)
)
))</f>
        <v/>
      </c>
      <c r="AO65" s="14" t="str">
        <f>IF($B65="","",
IF(AO$5="","",
IF(Midterm!AO65="",0,
IF(NOT(ISNUMBER(Midterm!AO65)),"NAN",
IF(Midterm!AO65&lt;0,"NEG",
IF(Midterm!AO65&gt;AO$5,"OVER",
IF(AND(AO$5&lt;=100,Midterm!AO65&gt;100),"ERR",
IF(Info!$B$4="Non-board program",
IF(OR(AND(AO$5&gt;0,AO$5&gt;100),AND(AO$5&gt;0,AO$5&lt;100)),
VLOOKUP(FLOOR((Midterm!AO65/AO$5)*100,1),new_transmute,2,FALSE),
VLOOKUP(Midterm!AO65,new_transmute,2,FALSE)
),
IF(Info!$B$4="Board program",
IF(OR(AND(AO$5&gt;0,AO$5&gt;100),AND(AO$5&gt;0,AO$5&lt;100)),
VLOOKUP(FLOOR((Midterm!AO65/AO$5)*100,1),new_transmute,3,FALSE),
VLOOKUP(Midterm!AO65,new_transmute,3,FALSE)
),
IF(Info!$B$4="Board program (Medicine)",
IF(OR(AND(AO$5&gt;0,AO$5&gt;100),AND(AO$5&gt;0,AO$5&lt;100)),
VLOOKUP(FLOOR((Midterm!AO65/AO$5)*100,1),new_transmute,4,FALSE),
VLOOKUP(Midterm!AO65,new_transmute,4,FALSE)
),
""
)
)
)
)
)
)
)
)
))</f>
        <v/>
      </c>
      <c r="AP65" s="14" t="str">
        <f>IF($B65="","",
IF(AP$5="","",
IF(Midterm!AP65="",0,
IF(NOT(ISNUMBER(Midterm!AP65)),"NAN",
IF(Midterm!AP65&lt;0,"NEG",
IF(Midterm!AP65&gt;AP$5,"OVER",
IF(AND(AP$5&lt;=100,Midterm!AP65&gt;100),"ERR",
IF(Info!$B$4="Non-board program",
IF(OR(AND(AP$5&gt;0,AP$5&gt;100),AND(AP$5&gt;0,AP$5&lt;100)),
VLOOKUP(FLOOR((Midterm!AP65/AP$5)*100,1),new_transmute,2,FALSE),
VLOOKUP(Midterm!AP65,new_transmute,2,FALSE)
),
IF(Info!$B$4="Board program",
IF(OR(AND(AP$5&gt;0,AP$5&gt;100),AND(AP$5&gt;0,AP$5&lt;100)),
VLOOKUP(FLOOR((Midterm!AP65/AP$5)*100,1),new_transmute,3,FALSE),
VLOOKUP(Midterm!AP65,new_transmute,3,FALSE)
),
IF(Info!$B$4="Board program (Medicine)",
IF(OR(AND(AP$5&gt;0,AP$5&gt;100),AND(AP$5&gt;0,AP$5&lt;100)),
VLOOKUP(FLOOR((Midterm!AP65/AP$5)*100,1),new_transmute,4,FALSE),
VLOOKUP(Midterm!AP65,new_transmute,4,FALSE)
),
""
)
)
)
)
)
)
)
)
))</f>
        <v/>
      </c>
      <c r="AQ65" s="61" t="str">
        <f t="shared" si="7"/>
        <v/>
      </c>
      <c r="AR65" s="48" t="str">
        <f>IF(Midterm!AR65="","",Midterm!AR65)</f>
        <v/>
      </c>
      <c r="AS65" s="165" t="str">
        <f t="shared" si="8"/>
        <v/>
      </c>
      <c r="AT65" s="14" t="str">
        <f t="shared" si="9"/>
        <v/>
      </c>
      <c r="AU65" s="14" t="str">
        <f>IF(B65="","",VLOOKUP(AT65,'New Grade Equivalent'!$B$3:$C$47,2,FALSE))</f>
        <v/>
      </c>
    </row>
    <row r="66" spans="1:47" x14ac:dyDescent="0.25">
      <c r="A66" s="8">
        <v>61</v>
      </c>
      <c r="B66" s="2" t="str">
        <f>IF('Student List'!C70="","",UPPER(LEFT('Student List'!C70,FIND(",",'Student List'!C70)-1)))</f>
        <v/>
      </c>
      <c r="C66" s="12" t="str">
        <f>IF('Student List'!C70="","",PROPER(MID('Student List'!C70, FIND(",", 'Student List'!C70) + 2, LEN('Student List'!C70) - FIND(",", 'Student List'!C70) - 1)))</f>
        <v/>
      </c>
      <c r="D66" s="127" t="str">
        <f>IF(B66="","",IF(Midterm!D66="", "NA", Midterm!D66))</f>
        <v/>
      </c>
      <c r="E66" s="8" t="str">
        <f>IF(B66="","",
  IF(Info!$B$5="First Year",
    IF(D66="Yes", "DRP",
      IF(D66="No", "WF", "")
    )
  )
)</f>
        <v/>
      </c>
      <c r="F66" s="14" t="str">
        <f>IF($B66="","",
IF(F$5="","",
IF(Midterm!F66="",0,
IF(NOT(ISNUMBER(Midterm!F66)),"NAN",
IF(Midterm!F66&lt;0,"NEG",
IF(Midterm!F66&gt;F$5,"OVER",
IF(AND(F$5&lt;=100,Midterm!F66&gt;100),"ERR",
IF(Info!$B$4="Non-board program",
IF(OR(AND(F$5&gt;0,F$5&gt;100),AND(F$5&gt;0,F$5&lt;100)),
VLOOKUP(FLOOR((Midterm!F66/F$5)*100,1),new_transmute,2,FALSE),
VLOOKUP(Midterm!F66,new_transmute,2,FALSE)
),
IF(Info!$B$4="Board program",
IF(OR(AND(F$5&gt;0,F$5&gt;100),AND(F$5&gt;0,F$5&lt;100)),
VLOOKUP(FLOOR((Midterm!F66/F$5)*100,1),new_transmute,3,FALSE),
VLOOKUP(Midterm!F66,new_transmute,3,FALSE)
),
IF(Info!$B$4="Board program (Medicine)",
IF(OR(AND(F$5&gt;0,F$5&gt;100),AND(F$5&gt;0,F$5&lt;100)),
VLOOKUP(FLOOR((Midterm!F66/F$5)*100,1),new_transmute,4,FALSE),
VLOOKUP(Midterm!F66,new_transmute,4,FALSE)
),
""
)
)
)
)
)
)
)
)
))</f>
        <v/>
      </c>
      <c r="G66" s="57" t="str">
        <f t="shared" si="1"/>
        <v/>
      </c>
      <c r="H66" s="14" t="str">
        <f>IF($B66="","",
IF(H$5="","",
IF(Midterm!H66="",0,
IF(NOT(ISNUMBER(Midterm!H66)),"NAN",
IF(Midterm!H66&lt;0,"NEG",
IF(Midterm!H66&gt;H$5,"OVER",
IF(AND(H$5&lt;=100,Midterm!H66&gt;100),"ERR",
IF(Info!$B$4="Non-board program",
IF(OR(AND(H$5&gt;0,H$5&gt;100),AND(H$5&gt;0,H$5&lt;100)),
VLOOKUP(FLOOR((Midterm!H66/H$5)*100,1),new_transmute,2,FALSE),
VLOOKUP(Midterm!H66,new_transmute,2,FALSE)
),
IF(Info!$B$4="Board program",
IF(OR(AND(H$5&gt;0,H$5&gt;100),AND(H$5&gt;0,H$5&lt;100)),
VLOOKUP(FLOOR((Midterm!H66/H$5)*100,1),new_transmute,3,FALSE),
VLOOKUP(Midterm!H66,new_transmute,3,FALSE)
),
IF(Info!$B$4="Board program (Medicine)",
IF(OR(AND(H$5&gt;0,H$5&gt;100),AND(H$5&gt;0,H$5&lt;100)),
VLOOKUP(FLOOR((Midterm!H66/H$5)*100,1),new_transmute,4,FALSE),
VLOOKUP(Midterm!H66,new_transmute,4,FALSE)
),
""
)
)
)
)
)
)
)
)
))</f>
        <v/>
      </c>
      <c r="I66" s="14" t="str">
        <f>IF($B66="","",
IF(I$5="","",
IF(Midterm!I66="",0,
IF(NOT(ISNUMBER(Midterm!I66)),"NAN",
IF(Midterm!I66&lt;0,"NEG",
IF(Midterm!I66&gt;I$5,"OVER",
IF(AND(I$5&lt;=100,Midterm!I66&gt;100),"ERR",
IF(Info!$B$4="Non-board program",
IF(OR(AND(I$5&gt;0,I$5&gt;100),AND(I$5&gt;0,I$5&lt;100)),
VLOOKUP(FLOOR((Midterm!I66/I$5)*100,1),new_transmute,2,FALSE),
VLOOKUP(Midterm!I66,new_transmute,2,FALSE)
),
IF(Info!$B$4="Board program",
IF(OR(AND(I$5&gt;0,I$5&gt;100),AND(I$5&gt;0,I$5&lt;100)),
VLOOKUP(FLOOR((Midterm!I66/I$5)*100,1),new_transmute,3,FALSE),
VLOOKUP(Midterm!I66,new_transmute,3,FALSE)
),
IF(Info!$B$4="Board program (Medicine)",
IF(OR(AND(I$5&gt;0,I$5&gt;100),AND(I$5&gt;0,I$5&lt;100)),
VLOOKUP(FLOOR((Midterm!I66/I$5)*100,1),new_transmute,4,FALSE),
VLOOKUP(Midterm!I66,new_transmute,4,FALSE)
),
""
)
)
)
)
)
)
)
)
))</f>
        <v/>
      </c>
      <c r="J66" s="14" t="str">
        <f>IF($B66="","",
IF(J$5="","",
IF(Midterm!J66="",0,
IF(NOT(ISNUMBER(Midterm!J66)),"NAN",
IF(Midterm!J66&lt;0,"NEG",
IF(Midterm!J66&gt;J$5,"OVER",
IF(AND(J$5&lt;=100,Midterm!J66&gt;100),"ERR",
IF(Info!$B$4="Non-board program",
IF(OR(AND(J$5&gt;0,J$5&gt;100),AND(J$5&gt;0,J$5&lt;100)),
VLOOKUP(FLOOR((Midterm!J66/J$5)*100,1),new_transmute,2,FALSE),
VLOOKUP(Midterm!J66,new_transmute,2,FALSE)
),
IF(Info!$B$4="Board program",
IF(OR(AND(J$5&gt;0,J$5&gt;100),AND(J$5&gt;0,J$5&lt;100)),
VLOOKUP(FLOOR((Midterm!J66/J$5)*100,1),new_transmute,3,FALSE),
VLOOKUP(Midterm!J66,new_transmute,3,FALSE)
),
IF(Info!$B$4="Board program (Medicine)",
IF(OR(AND(J$5&gt;0,J$5&gt;100),AND(J$5&gt;0,J$5&lt;100)),
VLOOKUP(FLOOR((Midterm!J66/J$5)*100,1),new_transmute,4,FALSE),
VLOOKUP(Midterm!J66,new_transmute,4,FALSE)
),
""
)
)
)
)
)
)
)
)
))</f>
        <v/>
      </c>
      <c r="K66" s="14" t="str">
        <f>IF($B66="","",
IF(K$5="","",
IF(Midterm!K66="",0,
IF(NOT(ISNUMBER(Midterm!K66)),"NAN",
IF(Midterm!K66&lt;0,"NEG",
IF(Midterm!K66&gt;K$5,"OVER",
IF(AND(K$5&lt;=100,Midterm!K66&gt;100),"ERR",
IF(Info!$B$4="Non-board program",
IF(OR(AND(K$5&gt;0,K$5&gt;100),AND(K$5&gt;0,K$5&lt;100)),
VLOOKUP(FLOOR((Midterm!K66/K$5)*100,1),new_transmute,2,FALSE),
VLOOKUP(Midterm!K66,new_transmute,2,FALSE)
),
IF(Info!$B$4="Board program",
IF(OR(AND(K$5&gt;0,K$5&gt;100),AND(K$5&gt;0,K$5&lt;100)),
VLOOKUP(FLOOR((Midterm!K66/K$5)*100,1),new_transmute,3,FALSE),
VLOOKUP(Midterm!K66,new_transmute,3,FALSE)
),
IF(Info!$B$4="Board program (Medicine)",
IF(OR(AND(K$5&gt;0,K$5&gt;100),AND(K$5&gt;0,K$5&lt;100)),
VLOOKUP(FLOOR((Midterm!K66/K$5)*100,1),new_transmute,4,FALSE),
VLOOKUP(Midterm!K66,new_transmute,4,FALSE)
),
""
)
)
)
)
)
)
)
)
))</f>
        <v/>
      </c>
      <c r="L66" s="14" t="str">
        <f>IF($B66="","",
IF(L$5="","",
IF(Midterm!L66="",0,
IF(NOT(ISNUMBER(Midterm!L66)),"NAN",
IF(Midterm!L66&lt;0,"NEG",
IF(Midterm!L66&gt;L$5,"OVER",
IF(AND(L$5&lt;=100,Midterm!L66&gt;100),"ERR",
IF(Info!$B$4="Non-board program",
IF(OR(AND(L$5&gt;0,L$5&gt;100),AND(L$5&gt;0,L$5&lt;100)),
VLOOKUP(FLOOR((Midterm!L66/L$5)*100,1),new_transmute,2,FALSE),
VLOOKUP(Midterm!L66,new_transmute,2,FALSE)
),
IF(Info!$B$4="Board program",
IF(OR(AND(L$5&gt;0,L$5&gt;100),AND(L$5&gt;0,L$5&lt;100)),
VLOOKUP(FLOOR((Midterm!L66/L$5)*100,1),new_transmute,3,FALSE),
VLOOKUP(Midterm!L66,new_transmute,3,FALSE)
),
IF(Info!$B$4="Board program (Medicine)",
IF(OR(AND(L$5&gt;0,L$5&gt;100),AND(L$5&gt;0,L$5&lt;100)),
VLOOKUP(FLOOR((Midterm!L66/L$5)*100,1),new_transmute,4,FALSE),
VLOOKUP(Midterm!L66,new_transmute,4,FALSE)
),
""
)
)
)
)
)
)
)
)
))</f>
        <v/>
      </c>
      <c r="M66" s="111" t="str">
        <f t="shared" si="2"/>
        <v/>
      </c>
      <c r="N66" s="14" t="str">
        <f>IF($B66="","",
IF(N$5="","",
IF(Midterm!N66="",0,
IF(NOT(ISNUMBER(Midterm!N66)),"NAN",
IF(Midterm!N66&lt;0,"NEG",
IF(Midterm!N66&gt;N$5,"OVER",
IF(AND(N$5&lt;=100,Midterm!N66&gt;100),"ERR",
IF(Info!$B$4="Non-board program",
IF(OR(AND(N$5&gt;0,N$5&gt;100),AND(N$5&gt;0,N$5&lt;100)),
VLOOKUP(FLOOR((Midterm!N66/N$5)*100,1),new_transmute,2,FALSE),
VLOOKUP(Midterm!N66,new_transmute,2,FALSE)
),
IF(Info!$B$4="Board program",
IF(OR(AND(N$5&gt;0,N$5&gt;100),AND(N$5&gt;0,N$5&lt;100)),
VLOOKUP(FLOOR((Midterm!N66/N$5)*100,1),new_transmute,3,FALSE),
VLOOKUP(Midterm!N66,new_transmute,3,FALSE)
),
IF(Info!$B$4="Board program (Medicine)",
IF(OR(AND(N$5&gt;0,N$5&gt;100),AND(N$5&gt;0,N$5&lt;100)),
VLOOKUP(FLOOR((Midterm!N66/N$5)*100,1),new_transmute,4,FALSE),
VLOOKUP(Midterm!N66,new_transmute,4,FALSE)
),
""
)
)
)
)
)
)
)
)
))</f>
        <v/>
      </c>
      <c r="O66" s="14" t="str">
        <f>IF($B66="","",
IF(O$5="","",
IF(Midterm!O66="",0,
IF(NOT(ISNUMBER(Midterm!O66)),"NAN",
IF(Midterm!O66&lt;0,"NEG",
IF(Midterm!O66&gt;O$5,"OVER",
IF(AND(O$5&lt;=100,Midterm!O66&gt;100),"ERR",
IF(Info!$B$4="Non-board program",
IF(OR(AND(O$5&gt;0,O$5&gt;100),AND(O$5&gt;0,O$5&lt;100)),
VLOOKUP(FLOOR((Midterm!O66/O$5)*100,1),new_transmute,2,FALSE),
VLOOKUP(Midterm!O66,new_transmute,2,FALSE)
),
IF(Info!$B$4="Board program",
IF(OR(AND(O$5&gt;0,O$5&gt;100),AND(O$5&gt;0,O$5&lt;100)),
VLOOKUP(FLOOR((Midterm!O66/O$5)*100,1),new_transmute,3,FALSE),
VLOOKUP(Midterm!O66,new_transmute,3,FALSE)
),
IF(Info!$B$4="Board program (Medicine)",
IF(OR(AND(O$5&gt;0,O$5&gt;100),AND(O$5&gt;0,O$5&lt;100)),
VLOOKUP(FLOOR((Midterm!O66/O$5)*100,1),new_transmute,4,FALSE),
VLOOKUP(Midterm!O66,new_transmute,4,FALSE)
),
""
)
)
)
)
)
)
)
)
))</f>
        <v/>
      </c>
      <c r="P66" s="14" t="str">
        <f>IF($B66="","",
IF(P$5="","",
IF(Midterm!P66="",0,
IF(NOT(ISNUMBER(Midterm!P66)),"NAN",
IF(Midterm!P66&lt;0,"NEG",
IF(Midterm!P66&gt;P$5,"OVER",
IF(AND(P$5&lt;=100,Midterm!P66&gt;100),"ERR",
IF(Info!$B$4="Non-board program",
IF(OR(AND(P$5&gt;0,P$5&gt;100),AND(P$5&gt;0,P$5&lt;100)),
VLOOKUP(FLOOR((Midterm!P66/P$5)*100,1),new_transmute,2,FALSE),
VLOOKUP(Midterm!P66,new_transmute,2,FALSE)
),
IF(Info!$B$4="Board program",
IF(OR(AND(P$5&gt;0,P$5&gt;100),AND(P$5&gt;0,P$5&lt;100)),
VLOOKUP(FLOOR((Midterm!P66/P$5)*100,1),new_transmute,3,FALSE),
VLOOKUP(Midterm!P66,new_transmute,3,FALSE)
),
IF(Info!$B$4="Board program (Medicine)",
IF(OR(AND(P$5&gt;0,P$5&gt;100),AND(P$5&gt;0,P$5&lt;100)),
VLOOKUP(FLOOR((Midterm!P66/P$5)*100,1),new_transmute,4,FALSE),
VLOOKUP(Midterm!P66,new_transmute,4,FALSE)
),
""
)
)
)
)
)
)
)
)
))</f>
        <v/>
      </c>
      <c r="Q66" s="14" t="str">
        <f>IF($B66="","",
IF(Q$5="","",
IF(Midterm!Q66="",0,
IF(NOT(ISNUMBER(Midterm!Q66)),"NAN",
IF(Midterm!Q66&lt;0,"NEG",
IF(Midterm!Q66&gt;Q$5,"OVER",
IF(AND(Q$5&lt;=100,Midterm!Q66&gt;100),"ERR",
IF(Info!$B$4="Non-board program",
IF(OR(AND(Q$5&gt;0,Q$5&gt;100),AND(Q$5&gt;0,Q$5&lt;100)),
VLOOKUP(FLOOR((Midterm!Q66/Q$5)*100,1),new_transmute,2,FALSE),
VLOOKUP(Midterm!Q66,new_transmute,2,FALSE)
),
IF(Info!$B$4="Board program",
IF(OR(AND(Q$5&gt;0,Q$5&gt;100),AND(Q$5&gt;0,Q$5&lt;100)),
VLOOKUP(FLOOR((Midterm!Q66/Q$5)*100,1),new_transmute,3,FALSE),
VLOOKUP(Midterm!Q66,new_transmute,3,FALSE)
),
IF(Info!$B$4="Board program (Medicine)",
IF(OR(AND(Q$5&gt;0,Q$5&gt;100),AND(Q$5&gt;0,Q$5&lt;100)),
VLOOKUP(FLOOR((Midterm!Q66/Q$5)*100,1),new_transmute,4,FALSE),
VLOOKUP(Midterm!Q66,new_transmute,4,FALSE)
),
""
)
)
)
)
)
)
)
)
))</f>
        <v/>
      </c>
      <c r="R66" s="14" t="str">
        <f>IF($B66="","",
IF(R$5="","",
IF(Midterm!R66="",0,
IF(NOT(ISNUMBER(Midterm!R66)),"NAN",
IF(Midterm!R66&lt;0,"NEG",
IF(Midterm!R66&gt;R$5,"OVER",
IF(AND(R$5&lt;=100,Midterm!R66&gt;100),"ERR",
IF(Info!$B$4="Non-board program",
IF(OR(AND(R$5&gt;0,R$5&gt;100),AND(R$5&gt;0,R$5&lt;100)),
VLOOKUP(FLOOR((Midterm!R66/R$5)*100,1),new_transmute,2,FALSE),
VLOOKUP(Midterm!R66,new_transmute,2,FALSE)
),
IF(Info!$B$4="Board program",
IF(OR(AND(R$5&gt;0,R$5&gt;100),AND(R$5&gt;0,R$5&lt;100)),
VLOOKUP(FLOOR((Midterm!R66/R$5)*100,1),new_transmute,3,FALSE),
VLOOKUP(Midterm!R66,new_transmute,3,FALSE)
),
IF(Info!$B$4="Board program (Medicine)",
IF(OR(AND(R$5&gt;0,R$5&gt;100),AND(R$5&gt;0,R$5&lt;100)),
VLOOKUP(FLOOR((Midterm!R66/R$5)*100,1),new_transmute,4,FALSE),
VLOOKUP(Midterm!R66,new_transmute,4,FALSE)
),
""
)
)
)
)
)
)
)
)
))</f>
        <v/>
      </c>
      <c r="S66" s="115" t="str">
        <f t="shared" si="3"/>
        <v/>
      </c>
      <c r="T66" s="14" t="str">
        <f>IF($B66="","",
IF(T$5="","",
IF(Midterm!T66="",0,
IF(NOT(ISNUMBER(Midterm!T66)),"NAN",
IF(Midterm!T66&lt;0,"NEG",
IF(Midterm!T66&gt;T$5,"OVER",
IF(AND(T$5&lt;=100,Midterm!T66&gt;100),"ERR",
IF(Info!$B$4="Non-board program",
IF(OR(AND(T$5&gt;0,T$5&gt;100),AND(T$5&gt;0,T$5&lt;100)),
VLOOKUP(FLOOR((Midterm!T66/T$5)*100,1),new_transmute,2,FALSE),
VLOOKUP(Midterm!T66,new_transmute,2,FALSE)
),
IF(Info!$B$4="Board program",
IF(OR(AND(T$5&gt;0,T$5&gt;100),AND(T$5&gt;0,T$5&lt;100)),
VLOOKUP(FLOOR((Midterm!T66/T$5)*100,1),new_transmute,3,FALSE),
VLOOKUP(Midterm!T66,new_transmute,3,FALSE)
),
IF(Info!$B$4="Board program (Medicine)",
IF(OR(AND(T$5&gt;0,T$5&gt;100),AND(T$5&gt;0,T$5&lt;100)),
VLOOKUP(FLOOR((Midterm!T66/T$5)*100,1),new_transmute,4,FALSE),
VLOOKUP(Midterm!T66,new_transmute,4,FALSE)
),
""
)
)
)
)
)
)
)
)
))</f>
        <v/>
      </c>
      <c r="U66" s="14" t="str">
        <f>IF($B66="","",
IF(U$5="","",
IF(Midterm!U66="",0,
IF(NOT(ISNUMBER(Midterm!U66)),"NAN",
IF(Midterm!U66&lt;0,"NEG",
IF(Midterm!U66&gt;U$5,"OVER",
IF(AND(U$5&lt;=100,Midterm!U66&gt;100),"ERR",
IF(Info!$B$4="Non-board program",
IF(OR(AND(U$5&gt;0,U$5&gt;100),AND(U$5&gt;0,U$5&lt;100)),
VLOOKUP(FLOOR((Midterm!U66/U$5)*100,1),new_transmute,2,FALSE),
VLOOKUP(Midterm!U66,new_transmute,2,FALSE)
),
IF(Info!$B$4="Board program",
IF(OR(AND(U$5&gt;0,U$5&gt;100),AND(U$5&gt;0,U$5&lt;100)),
VLOOKUP(FLOOR((Midterm!U66/U$5)*100,1),new_transmute,3,FALSE),
VLOOKUP(Midterm!U66,new_transmute,3,FALSE)
),
IF(Info!$B$4="Board program (Medicine)",
IF(OR(AND(U$5&gt;0,U$5&gt;100),AND(U$5&gt;0,U$5&lt;100)),
VLOOKUP(FLOOR((Midterm!U66/U$5)*100,1),new_transmute,4,FALSE),
VLOOKUP(Midterm!U66,new_transmute,4,FALSE)
),
""
)
)
)
)
)
)
)
)
))</f>
        <v/>
      </c>
      <c r="V66" s="14" t="str">
        <f>IF($B66="","",
IF(V$5="","",
IF(Midterm!V66="",0,
IF(NOT(ISNUMBER(Midterm!V66)),"NAN",
IF(Midterm!V66&lt;0,"NEG",
IF(Midterm!V66&gt;V$5,"OVER",
IF(AND(V$5&lt;=100,Midterm!V66&gt;100),"ERR",
IF(Info!$B$4="Non-board program",
IF(OR(AND(V$5&gt;0,V$5&gt;100),AND(V$5&gt;0,V$5&lt;100)),
VLOOKUP(FLOOR((Midterm!V66/V$5)*100,1),new_transmute,2,FALSE),
VLOOKUP(Midterm!V66,new_transmute,2,FALSE)
),
IF(Info!$B$4="Board program",
IF(OR(AND(V$5&gt;0,V$5&gt;100),AND(V$5&gt;0,V$5&lt;100)),
VLOOKUP(FLOOR((Midterm!V66/V$5)*100,1),new_transmute,3,FALSE),
VLOOKUP(Midterm!V66,new_transmute,3,FALSE)
),
IF(Info!$B$4="Board program (Medicine)",
IF(OR(AND(V$5&gt;0,V$5&gt;100),AND(V$5&gt;0,V$5&lt;100)),
VLOOKUP(FLOOR((Midterm!V66/V$5)*100,1),new_transmute,4,FALSE),
VLOOKUP(Midterm!V66,new_transmute,4,FALSE)
),
""
)
)
)
)
)
)
)
)
))</f>
        <v/>
      </c>
      <c r="W66" s="14" t="str">
        <f>IF($B66="","",
IF(W$5="","",
IF(Midterm!W66="",0,
IF(NOT(ISNUMBER(Midterm!W66)),"NAN",
IF(Midterm!W66&lt;0,"NEG",
IF(Midterm!W66&gt;W$5,"OVER",
IF(AND(W$5&lt;=100,Midterm!W66&gt;100),"ERR",
IF(Info!$B$4="Non-board program",
IF(OR(AND(W$5&gt;0,W$5&gt;100),AND(W$5&gt;0,W$5&lt;100)),
VLOOKUP(FLOOR((Midterm!W66/W$5)*100,1),new_transmute,2,FALSE),
VLOOKUP(Midterm!W66,new_transmute,2,FALSE)
),
IF(Info!$B$4="Board program",
IF(OR(AND(W$5&gt;0,W$5&gt;100),AND(W$5&gt;0,W$5&lt;100)),
VLOOKUP(FLOOR((Midterm!W66/W$5)*100,1),new_transmute,3,FALSE),
VLOOKUP(Midterm!W66,new_transmute,3,FALSE)
),
IF(Info!$B$4="Board program (Medicine)",
IF(OR(AND(W$5&gt;0,W$5&gt;100),AND(W$5&gt;0,W$5&lt;100)),
VLOOKUP(FLOOR((Midterm!W66/W$5)*100,1),new_transmute,4,FALSE),
VLOOKUP(Midterm!W66,new_transmute,4,FALSE)
),
""
)
)
)
)
)
)
)
)
))</f>
        <v/>
      </c>
      <c r="X66" s="14" t="str">
        <f>IF($B66="","",
IF(X$5="","",
IF(Midterm!X66="",0,
IF(NOT(ISNUMBER(Midterm!X66)),"NAN",
IF(Midterm!X66&lt;0,"NEG",
IF(Midterm!X66&gt;X$5,"OVER",
IF(AND(X$5&lt;=100,Midterm!X66&gt;100),"ERR",
IF(Info!$B$4="Non-board program",
IF(OR(AND(X$5&gt;0,X$5&gt;100),AND(X$5&gt;0,X$5&lt;100)),
VLOOKUP(FLOOR((Midterm!X66/X$5)*100,1),new_transmute,2,FALSE),
VLOOKUP(Midterm!X66,new_transmute,2,FALSE)
),
IF(Info!$B$4="Board program",
IF(OR(AND(X$5&gt;0,X$5&gt;100),AND(X$5&gt;0,X$5&lt;100)),
VLOOKUP(FLOOR((Midterm!X66/X$5)*100,1),new_transmute,3,FALSE),
VLOOKUP(Midterm!X66,new_transmute,3,FALSE)
),
IF(Info!$B$4="Board program (Medicine)",
IF(OR(AND(X$5&gt;0,X$5&gt;100),AND(X$5&gt;0,X$5&lt;100)),
VLOOKUP(FLOOR((Midterm!X66/X$5)*100,1),new_transmute,4,FALSE),
VLOOKUP(Midterm!X66,new_transmute,4,FALSE)
),
""
)
)
)
)
)
)
)
)
))</f>
        <v/>
      </c>
      <c r="Y66" s="112" t="str">
        <f t="shared" si="4"/>
        <v/>
      </c>
      <c r="Z66" s="14" t="str">
        <f>IF($B66="","",
IF(Z$5="","",
IF(Midterm!Z66="",0,
IF(NOT(ISNUMBER(Midterm!Z66)),"NAN",
IF(Midterm!Z66&lt;0,"NEG",
IF(Midterm!Z66&gt;Z$5,"OVER",
IF(AND(Z$5&lt;=100,Midterm!Z66&gt;100),"ERR",
IF(Info!$B$4="Non-board program",
IF(OR(AND(Z$5&gt;0,Z$5&gt;100),AND(Z$5&gt;0,Z$5&lt;100)),
VLOOKUP(FLOOR((Midterm!Z66/Z$5)*100,1),new_transmute,2,FALSE),
VLOOKUP(Midterm!Z66,new_transmute,2,FALSE)
),
IF(Info!$B$4="Board program",
IF(OR(AND(Z$5&gt;0,Z$5&gt;100),AND(Z$5&gt;0,Z$5&lt;100)),
VLOOKUP(FLOOR((Midterm!Z66/Z$5)*100,1),new_transmute,3,FALSE),
VLOOKUP(Midterm!Z66,new_transmute,3,FALSE)
),
IF(Info!$B$4="Board program (Medicine)",
IF(OR(AND(Z$5&gt;0,Z$5&gt;100),AND(Z$5&gt;0,Z$5&lt;100)),
VLOOKUP(FLOOR((Midterm!Z66/Z$5)*100,1),new_transmute,4,FALSE),
VLOOKUP(Midterm!Z66,new_transmute,4,FALSE)
),
""
)
)
)
)
)
)
)
)
))</f>
        <v/>
      </c>
      <c r="AA66" s="14" t="str">
        <f>IF($B66="","",
IF(AA$5="","",
IF(Midterm!AA66="",0,
IF(NOT(ISNUMBER(Midterm!AA66)),"NAN",
IF(Midterm!AA66&lt;0,"NEG",
IF(Midterm!AA66&gt;AA$5,"OVER",
IF(AND(AA$5&lt;=100,Midterm!AA66&gt;100),"ERR",
IF(Info!$B$4="Non-board program",
IF(OR(AND(AA$5&gt;0,AA$5&gt;100),AND(AA$5&gt;0,AA$5&lt;100)),
VLOOKUP(FLOOR((Midterm!AA66/AA$5)*100,1),new_transmute,2,FALSE),
VLOOKUP(Midterm!AA66,new_transmute,2,FALSE)
),
IF(Info!$B$4="Board program",
IF(OR(AND(AA$5&gt;0,AA$5&gt;100),AND(AA$5&gt;0,AA$5&lt;100)),
VLOOKUP(FLOOR((Midterm!AA66/AA$5)*100,1),new_transmute,3,FALSE),
VLOOKUP(Midterm!AA66,new_transmute,3,FALSE)
),
IF(Info!$B$4="Board program (Medicine)",
IF(OR(AND(AA$5&gt;0,AA$5&gt;100),AND(AA$5&gt;0,AA$5&lt;100)),
VLOOKUP(FLOOR((Midterm!AA66/AA$5)*100,1),new_transmute,4,FALSE),
VLOOKUP(Midterm!AA66,new_transmute,4,FALSE)
),
""
)
)
)
)
)
)
)
)
))</f>
        <v/>
      </c>
      <c r="AB66" s="14" t="str">
        <f>IF($B66="","",
IF(AB$5="","",
IF(Midterm!AB66="",0,
IF(NOT(ISNUMBER(Midterm!AB66)),"NAN",
IF(Midterm!AB66&lt;0,"NEG",
IF(Midterm!AB66&gt;AB$5,"OVER",
IF(AND(AB$5&lt;=100,Midterm!AB66&gt;100),"ERR",
IF(Info!$B$4="Non-board program",
IF(OR(AND(AB$5&gt;0,AB$5&gt;100),AND(AB$5&gt;0,AB$5&lt;100)),
VLOOKUP(FLOOR((Midterm!AB66/AB$5)*100,1),new_transmute,2,FALSE),
VLOOKUP(Midterm!AB66,new_transmute,2,FALSE)
),
IF(Info!$B$4="Board program",
IF(OR(AND(AB$5&gt;0,AB$5&gt;100),AND(AB$5&gt;0,AB$5&lt;100)),
VLOOKUP(FLOOR((Midterm!AB66/AB$5)*100,1),new_transmute,3,FALSE),
VLOOKUP(Midterm!AB66,new_transmute,3,FALSE)
),
IF(Info!$B$4="Board program (Medicine)",
IF(OR(AND(AB$5&gt;0,AB$5&gt;100),AND(AB$5&gt;0,AB$5&lt;100)),
VLOOKUP(FLOOR((Midterm!AB66/AB$5)*100,1),new_transmute,4,FALSE),
VLOOKUP(Midterm!AB66,new_transmute,4,FALSE)
),
""
)
)
)
)
)
)
)
)
))</f>
        <v/>
      </c>
      <c r="AC66" s="14" t="str">
        <f>IF($B66="","",
IF(AC$5="","",
IF(Midterm!AC66="",0,
IF(NOT(ISNUMBER(Midterm!AC66)),"NAN",
IF(Midterm!AC66&lt;0,"NEG",
IF(Midterm!AC66&gt;AC$5,"OVER",
IF(AND(AC$5&lt;=100,Midterm!AC66&gt;100),"ERR",
IF(Info!$B$4="Non-board program",
IF(OR(AND(AC$5&gt;0,AC$5&gt;100),AND(AC$5&gt;0,AC$5&lt;100)),
VLOOKUP(FLOOR((Midterm!AC66/AC$5)*100,1),new_transmute,2,FALSE),
VLOOKUP(Midterm!AC66,new_transmute,2,FALSE)
),
IF(Info!$B$4="Board program",
IF(OR(AND(AC$5&gt;0,AC$5&gt;100),AND(AC$5&gt;0,AC$5&lt;100)),
VLOOKUP(FLOOR((Midterm!AC66/AC$5)*100,1),new_transmute,3,FALSE),
VLOOKUP(Midterm!AC66,new_transmute,3,FALSE)
),
IF(Info!$B$4="Board program (Medicine)",
IF(OR(AND(AC$5&gt;0,AC$5&gt;100),AND(AC$5&gt;0,AC$5&lt;100)),
VLOOKUP(FLOOR((Midterm!AC66/AC$5)*100,1),new_transmute,4,FALSE),
VLOOKUP(Midterm!AC66,new_transmute,4,FALSE)
),
""
)
)
)
)
)
)
)
)
))</f>
        <v/>
      </c>
      <c r="AD66" s="14" t="str">
        <f>IF($B66="","",
IF(AD$5="","",
IF(Midterm!AD66="",0,
IF(NOT(ISNUMBER(Midterm!AD66)),"NAN",
IF(Midterm!AD66&lt;0,"NEG",
IF(Midterm!AD66&gt;AD$5,"OVER",
IF(AND(AD$5&lt;=100,Midterm!AD66&gt;100),"ERR",
IF(Info!$B$4="Non-board program",
IF(OR(AND(AD$5&gt;0,AD$5&gt;100),AND(AD$5&gt;0,AD$5&lt;100)),
VLOOKUP(FLOOR((Midterm!AD66/AD$5)*100,1),new_transmute,2,FALSE),
VLOOKUP(Midterm!AD66,new_transmute,2,FALSE)
),
IF(Info!$B$4="Board program",
IF(OR(AND(AD$5&gt;0,AD$5&gt;100),AND(AD$5&gt;0,AD$5&lt;100)),
VLOOKUP(FLOOR((Midterm!AD66/AD$5)*100,1),new_transmute,3,FALSE),
VLOOKUP(Midterm!AD66,new_transmute,3,FALSE)
),
IF(Info!$B$4="Board program (Medicine)",
IF(OR(AND(AD$5&gt;0,AD$5&gt;100),AND(AD$5&gt;0,AD$5&lt;100)),
VLOOKUP(FLOOR((Midterm!AD66/AD$5)*100,1),new_transmute,4,FALSE),
VLOOKUP(Midterm!AD66,new_transmute,4,FALSE)
),
""
)
)
)
)
)
)
)
)
))</f>
        <v/>
      </c>
      <c r="AE66" s="58" t="str">
        <f t="shared" si="5"/>
        <v/>
      </c>
      <c r="AF66" s="14" t="str">
        <f>IF($B66="","",
IF(AF$5="","",
IF(Midterm!AF66="",0,
IF(NOT(ISNUMBER(Midterm!AF66)),"NAN",
IF(Midterm!AF66&lt;0,"NEG",
IF(Midterm!AF66&gt;AF$5,"OVER",
IF(AND(AF$5&lt;=100,Midterm!AF66&gt;100),"ERR",
IF(Info!$B$4="Non-board program",
IF(OR(AND(AF$5&gt;0,AF$5&gt;100),AND(AF$5&gt;0,AF$5&lt;100)),
VLOOKUP(FLOOR((Midterm!AF66/AF$5)*100,1),new_transmute,2,FALSE),
VLOOKUP(Midterm!AF66,new_transmute,2,FALSE)
),
IF(Info!$B$4="Board program",
IF(OR(AND(AF$5&gt;0,AF$5&gt;100),AND(AF$5&gt;0,AF$5&lt;100)),
VLOOKUP(FLOOR((Midterm!AF66/AF$5)*100,1),new_transmute,3,FALSE),
VLOOKUP(Midterm!AF66,new_transmute,3,FALSE)
),
IF(Info!$B$4="Board program (Medicine)",
IF(OR(AND(AF$5&gt;0,AF$5&gt;100),AND(AF$5&gt;0,AF$5&lt;100)),
VLOOKUP(FLOOR((Midterm!AF66/AF$5)*100,1),new_transmute,4,FALSE),
VLOOKUP(Midterm!AF66,new_transmute,4,FALSE)
),
""
)
)
)
)
)
)
)
)
))</f>
        <v/>
      </c>
      <c r="AG66" s="14" t="str">
        <f>IF($B66="","",
IF(AG$5="","",
IF(Midterm!AG66="",0,
IF(NOT(ISNUMBER(Midterm!AG66)),"NAN",
IF(Midterm!AG66&lt;0,"NEG",
IF(Midterm!AG66&gt;AG$5,"OVER",
IF(AND(AG$5&lt;=100,Midterm!AG66&gt;100),"ERR",
IF(Info!$B$4="Non-board program",
IF(OR(AND(AG$5&gt;0,AG$5&gt;100),AND(AG$5&gt;0,AG$5&lt;100)),
VLOOKUP(FLOOR((Midterm!AG66/AG$5)*100,1),new_transmute,2,FALSE),
VLOOKUP(Midterm!AG66,new_transmute,2,FALSE)
),
IF(Info!$B$4="Board program",
IF(OR(AND(AG$5&gt;0,AG$5&gt;100),AND(AG$5&gt;0,AG$5&lt;100)),
VLOOKUP(FLOOR((Midterm!AG66/AG$5)*100,1),new_transmute,3,FALSE),
VLOOKUP(Midterm!AG66,new_transmute,3,FALSE)
),
IF(Info!$B$4="Board program (Medicine)",
IF(OR(AND(AG$5&gt;0,AG$5&gt;100),AND(AG$5&gt;0,AG$5&lt;100)),
VLOOKUP(FLOOR((Midterm!AG66/AG$5)*100,1),new_transmute,4,FALSE),
VLOOKUP(Midterm!AG66,new_transmute,4,FALSE)
),
""
)
)
)
)
)
)
)
)
))</f>
        <v/>
      </c>
      <c r="AH66" s="14" t="str">
        <f>IF($B66="","",
IF(AH$5="","",
IF(Midterm!AH66="",0,
IF(NOT(ISNUMBER(Midterm!AH66)),"NAN",
IF(Midterm!AH66&lt;0,"NEG",
IF(Midterm!AH66&gt;AH$5,"OVER",
IF(AND(AH$5&lt;=100,Midterm!AH66&gt;100),"ERR",
IF(Info!$B$4="Non-board program",
IF(OR(AND(AH$5&gt;0,AH$5&gt;100),AND(AH$5&gt;0,AH$5&lt;100)),
VLOOKUP(FLOOR((Midterm!AH66/AH$5)*100,1),new_transmute,2,FALSE),
VLOOKUP(Midterm!AH66,new_transmute,2,FALSE)
),
IF(Info!$B$4="Board program",
IF(OR(AND(AH$5&gt;0,AH$5&gt;100),AND(AH$5&gt;0,AH$5&lt;100)),
VLOOKUP(FLOOR((Midterm!AH66/AH$5)*100,1),new_transmute,3,FALSE),
VLOOKUP(Midterm!AH66,new_transmute,3,FALSE)
),
IF(Info!$B$4="Board program (Medicine)",
IF(OR(AND(AH$5&gt;0,AH$5&gt;100),AND(AH$5&gt;0,AH$5&lt;100)),
VLOOKUP(FLOOR((Midterm!AH66/AH$5)*100,1),new_transmute,4,FALSE),
VLOOKUP(Midterm!AH66,new_transmute,4,FALSE)
),
""
)
)
)
)
)
)
)
)
))</f>
        <v/>
      </c>
      <c r="AI66" s="14" t="str">
        <f>IF($B66="","",
IF(AI$5="","",
IF(Midterm!AI66="",0,
IF(NOT(ISNUMBER(Midterm!AI66)),"NAN",
IF(Midterm!AI66&lt;0,"NEG",
IF(Midterm!AI66&gt;AI$5,"OVER",
IF(AND(AI$5&lt;=100,Midterm!AI66&gt;100),"ERR",
IF(Info!$B$4="Non-board program",
IF(OR(AND(AI$5&gt;0,AI$5&gt;100),AND(AI$5&gt;0,AI$5&lt;100)),
VLOOKUP(FLOOR((Midterm!AI66/AI$5)*100,1),new_transmute,2,FALSE),
VLOOKUP(Midterm!AI66,new_transmute,2,FALSE)
),
IF(Info!$B$4="Board program",
IF(OR(AND(AI$5&gt;0,AI$5&gt;100),AND(AI$5&gt;0,AI$5&lt;100)),
VLOOKUP(FLOOR((Midterm!AI66/AI$5)*100,1),new_transmute,3,FALSE),
VLOOKUP(Midterm!AI66,new_transmute,3,FALSE)
),
IF(Info!$B$4="Board program (Medicine)",
IF(OR(AND(AI$5&gt;0,AI$5&gt;100),AND(AI$5&gt;0,AI$5&lt;100)),
VLOOKUP(FLOOR((Midterm!AI66/AI$5)*100,1),new_transmute,4,FALSE),
VLOOKUP(Midterm!AI66,new_transmute,4,FALSE)
),
""
)
)
)
)
)
)
)
)
))</f>
        <v/>
      </c>
      <c r="AJ66" s="14" t="str">
        <f>IF($B66="","",
IF(AJ$5="","",
IF(Midterm!AJ66="",0,
IF(NOT(ISNUMBER(Midterm!AJ66)),"NAN",
IF(Midterm!AJ66&lt;0,"NEG",
IF(Midterm!AJ66&gt;AJ$5,"OVER",
IF(AND(AJ$5&lt;=100,Midterm!AJ66&gt;100),"ERR",
IF(Info!$B$4="Non-board program",
IF(OR(AND(AJ$5&gt;0,AJ$5&gt;100),AND(AJ$5&gt;0,AJ$5&lt;100)),
VLOOKUP(FLOOR((Midterm!AJ66/AJ$5)*100,1),new_transmute,2,FALSE),
VLOOKUP(Midterm!AJ66,new_transmute,2,FALSE)
),
IF(Info!$B$4="Board program",
IF(OR(AND(AJ$5&gt;0,AJ$5&gt;100),AND(AJ$5&gt;0,AJ$5&lt;100)),
VLOOKUP(FLOOR((Midterm!AJ66/AJ$5)*100,1),new_transmute,3,FALSE),
VLOOKUP(Midterm!AJ66,new_transmute,3,FALSE)
),
IF(Info!$B$4="Board program (Medicine)",
IF(OR(AND(AJ$5&gt;0,AJ$5&gt;100),AND(AJ$5&gt;0,AJ$5&lt;100)),
VLOOKUP(FLOOR((Midterm!AJ66/AJ$5)*100,1),new_transmute,4,FALSE),
VLOOKUP(Midterm!AJ66,new_transmute,4,FALSE)
),
""
)
)
)
)
)
)
)
)
))</f>
        <v/>
      </c>
      <c r="AK66" s="59" t="str">
        <f t="shared" si="6"/>
        <v/>
      </c>
      <c r="AL66" s="60" t="str">
        <f>IF(B66="", "",
    IF(OR(M66="OVER", S66="OVER", Y66="OVER", AE66="OVER", AK66="OVER"),
        "OVER",
        IF(Info!$B$4="Non-board program",
            VLOOKUP(IFERROR(FLOOR(SUM((M66*$M$4), (S66*$S$4), (Y66*$Y$4), (AE66*$AE$4), (AK66*$AK$4)) * (100 / 60), 1), 0), new_transmute, 2, FALSE),
            IF(Info!$B$4="Board program",
                VLOOKUP(IFERROR(FLOOR(SUM((M66*$M$4), (S66*$S$4), (Y66*$Y$4), (AE66*$AE$4), (AK66*$AK$4)) * (100 / 60), 1), 0), new_transmute, 3, FALSE),
                IF(Info!$B$4="Board program (Medicine)",
                    VLOOKUP(IFERROR(FLOOR(SUM((M66*$M$4), (S66*$S$4), (Y66*$Y$4), (AE66*$AE$4), (AK66*$AK$4)) * (100 / 60), 1), 0), new_transmute, 4, FALSE),
                    ""
                )
            )
        )
    )
)</f>
        <v/>
      </c>
      <c r="AM66" s="14" t="str">
        <f>IF($B66="","",
IF(AM$5="","",
IF(Midterm!AM66="",0,
IF(NOT(ISNUMBER(Midterm!AM66)),"NAN",
IF(Midterm!AM66&lt;0,"NEG",
IF(Midterm!AM66&gt;AM$5,"OVER",
IF(AND(AM$5&lt;=100,Midterm!AM66&gt;100),"ERR",
IF(Info!$B$4="Non-board program",
IF(OR(AND(AM$5&gt;0,AM$5&gt;100),AND(AM$5&gt;0,AM$5&lt;100)),
VLOOKUP(FLOOR((Midterm!AM66/AM$5)*100,1),new_transmute,2,FALSE),
VLOOKUP(Midterm!AM66,new_transmute,2,FALSE)
),
IF(Info!$B$4="Board program",
IF(OR(AND(AM$5&gt;0,AM$5&gt;100),AND(AM$5&gt;0,AM$5&lt;100)),
VLOOKUP(FLOOR((Midterm!AM66/AM$5)*100,1),new_transmute,3,FALSE),
VLOOKUP(Midterm!AM66,new_transmute,3,FALSE)
),
IF(Info!$B$4="Board program (Medicine)",
IF(OR(AND(AM$5&gt;0,AM$5&gt;100),AND(AM$5&gt;0,AM$5&lt;100)),
VLOOKUP(FLOOR((Midterm!AM66/AM$5)*100,1),new_transmute,4,FALSE),
VLOOKUP(Midterm!AM66,new_transmute,4,FALSE)
),
""
)
)
)
)
)
)
)
)
))</f>
        <v/>
      </c>
      <c r="AN66" s="14" t="str">
        <f>IF($B66="","",
IF(AN$5="","",
IF(Midterm!AN66="",0,
IF(NOT(ISNUMBER(Midterm!AN66)),"NAN",
IF(Midterm!AN66&lt;0,"NEG",
IF(Midterm!AN66&gt;AN$5,"OVER",
IF(AND(AN$5&lt;=100,Midterm!AN66&gt;100),"ERR",
IF(Info!$B$4="Non-board program",
IF(OR(AND(AN$5&gt;0,AN$5&gt;100),AND(AN$5&gt;0,AN$5&lt;100)),
VLOOKUP(FLOOR((Midterm!AN66/AN$5)*100,1),new_transmute,2,FALSE),
VLOOKUP(Midterm!AN66,new_transmute,2,FALSE)
),
IF(Info!$B$4="Board program",
IF(OR(AND(AN$5&gt;0,AN$5&gt;100),AND(AN$5&gt;0,AN$5&lt;100)),
VLOOKUP(FLOOR((Midterm!AN66/AN$5)*100,1),new_transmute,3,FALSE),
VLOOKUP(Midterm!AN66,new_transmute,3,FALSE)
),
IF(Info!$B$4="Board program (Medicine)",
IF(OR(AND(AN$5&gt;0,AN$5&gt;100),AND(AN$5&gt;0,AN$5&lt;100)),
VLOOKUP(FLOOR((Midterm!AN66/AN$5)*100,1),new_transmute,4,FALSE),
VLOOKUP(Midterm!AN66,new_transmute,4,FALSE)
),
""
)
)
)
)
)
)
)
)
))</f>
        <v/>
      </c>
      <c r="AO66" s="14" t="str">
        <f>IF($B66="","",
IF(AO$5="","",
IF(Midterm!AO66="",0,
IF(NOT(ISNUMBER(Midterm!AO66)),"NAN",
IF(Midterm!AO66&lt;0,"NEG",
IF(Midterm!AO66&gt;AO$5,"OVER",
IF(AND(AO$5&lt;=100,Midterm!AO66&gt;100),"ERR",
IF(Info!$B$4="Non-board program",
IF(OR(AND(AO$5&gt;0,AO$5&gt;100),AND(AO$5&gt;0,AO$5&lt;100)),
VLOOKUP(FLOOR((Midterm!AO66/AO$5)*100,1),new_transmute,2,FALSE),
VLOOKUP(Midterm!AO66,new_transmute,2,FALSE)
),
IF(Info!$B$4="Board program",
IF(OR(AND(AO$5&gt;0,AO$5&gt;100),AND(AO$5&gt;0,AO$5&lt;100)),
VLOOKUP(FLOOR((Midterm!AO66/AO$5)*100,1),new_transmute,3,FALSE),
VLOOKUP(Midterm!AO66,new_transmute,3,FALSE)
),
IF(Info!$B$4="Board program (Medicine)",
IF(OR(AND(AO$5&gt;0,AO$5&gt;100),AND(AO$5&gt;0,AO$5&lt;100)),
VLOOKUP(FLOOR((Midterm!AO66/AO$5)*100,1),new_transmute,4,FALSE),
VLOOKUP(Midterm!AO66,new_transmute,4,FALSE)
),
""
)
)
)
)
)
)
)
)
))</f>
        <v/>
      </c>
      <c r="AP66" s="14" t="str">
        <f>IF($B66="","",
IF(AP$5="","",
IF(Midterm!AP66="",0,
IF(NOT(ISNUMBER(Midterm!AP66)),"NAN",
IF(Midterm!AP66&lt;0,"NEG",
IF(Midterm!AP66&gt;AP$5,"OVER",
IF(AND(AP$5&lt;=100,Midterm!AP66&gt;100),"ERR",
IF(Info!$B$4="Non-board program",
IF(OR(AND(AP$5&gt;0,AP$5&gt;100),AND(AP$5&gt;0,AP$5&lt;100)),
VLOOKUP(FLOOR((Midterm!AP66/AP$5)*100,1),new_transmute,2,FALSE),
VLOOKUP(Midterm!AP66,new_transmute,2,FALSE)
),
IF(Info!$B$4="Board program",
IF(OR(AND(AP$5&gt;0,AP$5&gt;100),AND(AP$5&gt;0,AP$5&lt;100)),
VLOOKUP(FLOOR((Midterm!AP66/AP$5)*100,1),new_transmute,3,FALSE),
VLOOKUP(Midterm!AP66,new_transmute,3,FALSE)
),
IF(Info!$B$4="Board program (Medicine)",
IF(OR(AND(AP$5&gt;0,AP$5&gt;100),AND(AP$5&gt;0,AP$5&lt;100)),
VLOOKUP(FLOOR((Midterm!AP66/AP$5)*100,1),new_transmute,4,FALSE),
VLOOKUP(Midterm!AP66,new_transmute,4,FALSE)
),
""
)
)
)
)
)
)
)
)
))</f>
        <v/>
      </c>
      <c r="AQ66" s="61" t="str">
        <f t="shared" si="7"/>
        <v/>
      </c>
      <c r="AR66" s="48" t="str">
        <f>IF(Midterm!AR66="","",Midterm!AR66)</f>
        <v/>
      </c>
      <c r="AS66" s="165" t="str">
        <f t="shared" si="8"/>
        <v/>
      </c>
      <c r="AT66" s="14" t="str">
        <f t="shared" si="9"/>
        <v/>
      </c>
      <c r="AU66" s="14" t="str">
        <f>IF(B66="","",VLOOKUP(AT66,'New Grade Equivalent'!$B$3:$C$47,2,FALSE))</f>
        <v/>
      </c>
    </row>
    <row r="67" spans="1:47" x14ac:dyDescent="0.25">
      <c r="A67" s="8">
        <v>62</v>
      </c>
      <c r="B67" s="2" t="str">
        <f>IF('Student List'!C71="","",UPPER(LEFT('Student List'!C71,FIND(",",'Student List'!C71)-1)))</f>
        <v/>
      </c>
      <c r="C67" s="12" t="str">
        <f>IF('Student List'!C71="","",PROPER(MID('Student List'!C71, FIND(",", 'Student List'!C71) + 2, LEN('Student List'!C71) - FIND(",", 'Student List'!C71) - 1)))</f>
        <v/>
      </c>
      <c r="D67" s="127" t="str">
        <f>IF(B67="","",IF(Midterm!D67="", "NA", Midterm!D67))</f>
        <v/>
      </c>
      <c r="E67" s="8" t="str">
        <f>IF(B67="","",
  IF(Info!$B$5="First Year",
    IF(D67="Yes", "DRP",
      IF(D67="No", "WF", "")
    )
  )
)</f>
        <v/>
      </c>
      <c r="F67" s="14" t="str">
        <f>IF($B67="","",
IF(F$5="","",
IF(Midterm!F67="",0,
IF(NOT(ISNUMBER(Midterm!F67)),"NAN",
IF(Midterm!F67&lt;0,"NEG",
IF(Midterm!F67&gt;F$5,"OVER",
IF(AND(F$5&lt;=100,Midterm!F67&gt;100),"ERR",
IF(Info!$B$4="Non-board program",
IF(OR(AND(F$5&gt;0,F$5&gt;100),AND(F$5&gt;0,F$5&lt;100)),
VLOOKUP(FLOOR((Midterm!F67/F$5)*100,1),new_transmute,2,FALSE),
VLOOKUP(Midterm!F67,new_transmute,2,FALSE)
),
IF(Info!$B$4="Board program",
IF(OR(AND(F$5&gt;0,F$5&gt;100),AND(F$5&gt;0,F$5&lt;100)),
VLOOKUP(FLOOR((Midterm!F67/F$5)*100,1),new_transmute,3,FALSE),
VLOOKUP(Midterm!F67,new_transmute,3,FALSE)
),
IF(Info!$B$4="Board program (Medicine)",
IF(OR(AND(F$5&gt;0,F$5&gt;100),AND(F$5&gt;0,F$5&lt;100)),
VLOOKUP(FLOOR((Midterm!F67/F$5)*100,1),new_transmute,4,FALSE),
VLOOKUP(Midterm!F67,new_transmute,4,FALSE)
),
""
)
)
)
)
)
)
)
)
))</f>
        <v/>
      </c>
      <c r="G67" s="57" t="str">
        <f t="shared" si="1"/>
        <v/>
      </c>
      <c r="H67" s="14" t="str">
        <f>IF($B67="","",
IF(H$5="","",
IF(Midterm!H67="",0,
IF(NOT(ISNUMBER(Midterm!H67)),"NAN",
IF(Midterm!H67&lt;0,"NEG",
IF(Midterm!H67&gt;H$5,"OVER",
IF(AND(H$5&lt;=100,Midterm!H67&gt;100),"ERR",
IF(Info!$B$4="Non-board program",
IF(OR(AND(H$5&gt;0,H$5&gt;100),AND(H$5&gt;0,H$5&lt;100)),
VLOOKUP(FLOOR((Midterm!H67/H$5)*100,1),new_transmute,2,FALSE),
VLOOKUP(Midterm!H67,new_transmute,2,FALSE)
),
IF(Info!$B$4="Board program",
IF(OR(AND(H$5&gt;0,H$5&gt;100),AND(H$5&gt;0,H$5&lt;100)),
VLOOKUP(FLOOR((Midterm!H67/H$5)*100,1),new_transmute,3,FALSE),
VLOOKUP(Midterm!H67,new_transmute,3,FALSE)
),
IF(Info!$B$4="Board program (Medicine)",
IF(OR(AND(H$5&gt;0,H$5&gt;100),AND(H$5&gt;0,H$5&lt;100)),
VLOOKUP(FLOOR((Midterm!H67/H$5)*100,1),new_transmute,4,FALSE),
VLOOKUP(Midterm!H67,new_transmute,4,FALSE)
),
""
)
)
)
)
)
)
)
)
))</f>
        <v/>
      </c>
      <c r="I67" s="14" t="str">
        <f>IF($B67="","",
IF(I$5="","",
IF(Midterm!I67="",0,
IF(NOT(ISNUMBER(Midterm!I67)),"NAN",
IF(Midterm!I67&lt;0,"NEG",
IF(Midterm!I67&gt;I$5,"OVER",
IF(AND(I$5&lt;=100,Midterm!I67&gt;100),"ERR",
IF(Info!$B$4="Non-board program",
IF(OR(AND(I$5&gt;0,I$5&gt;100),AND(I$5&gt;0,I$5&lt;100)),
VLOOKUP(FLOOR((Midterm!I67/I$5)*100,1),new_transmute,2,FALSE),
VLOOKUP(Midterm!I67,new_transmute,2,FALSE)
),
IF(Info!$B$4="Board program",
IF(OR(AND(I$5&gt;0,I$5&gt;100),AND(I$5&gt;0,I$5&lt;100)),
VLOOKUP(FLOOR((Midterm!I67/I$5)*100,1),new_transmute,3,FALSE),
VLOOKUP(Midterm!I67,new_transmute,3,FALSE)
),
IF(Info!$B$4="Board program (Medicine)",
IF(OR(AND(I$5&gt;0,I$5&gt;100),AND(I$5&gt;0,I$5&lt;100)),
VLOOKUP(FLOOR((Midterm!I67/I$5)*100,1),new_transmute,4,FALSE),
VLOOKUP(Midterm!I67,new_transmute,4,FALSE)
),
""
)
)
)
)
)
)
)
)
))</f>
        <v/>
      </c>
      <c r="J67" s="14" t="str">
        <f>IF($B67="","",
IF(J$5="","",
IF(Midterm!J67="",0,
IF(NOT(ISNUMBER(Midterm!J67)),"NAN",
IF(Midterm!J67&lt;0,"NEG",
IF(Midterm!J67&gt;J$5,"OVER",
IF(AND(J$5&lt;=100,Midterm!J67&gt;100),"ERR",
IF(Info!$B$4="Non-board program",
IF(OR(AND(J$5&gt;0,J$5&gt;100),AND(J$5&gt;0,J$5&lt;100)),
VLOOKUP(FLOOR((Midterm!J67/J$5)*100,1),new_transmute,2,FALSE),
VLOOKUP(Midterm!J67,new_transmute,2,FALSE)
),
IF(Info!$B$4="Board program",
IF(OR(AND(J$5&gt;0,J$5&gt;100),AND(J$5&gt;0,J$5&lt;100)),
VLOOKUP(FLOOR((Midterm!J67/J$5)*100,1),new_transmute,3,FALSE),
VLOOKUP(Midterm!J67,new_transmute,3,FALSE)
),
IF(Info!$B$4="Board program (Medicine)",
IF(OR(AND(J$5&gt;0,J$5&gt;100),AND(J$5&gt;0,J$5&lt;100)),
VLOOKUP(FLOOR((Midterm!J67/J$5)*100,1),new_transmute,4,FALSE),
VLOOKUP(Midterm!J67,new_transmute,4,FALSE)
),
""
)
)
)
)
)
)
)
)
))</f>
        <v/>
      </c>
      <c r="K67" s="14" t="str">
        <f>IF($B67="","",
IF(K$5="","",
IF(Midterm!K67="",0,
IF(NOT(ISNUMBER(Midterm!K67)),"NAN",
IF(Midterm!K67&lt;0,"NEG",
IF(Midterm!K67&gt;K$5,"OVER",
IF(AND(K$5&lt;=100,Midterm!K67&gt;100),"ERR",
IF(Info!$B$4="Non-board program",
IF(OR(AND(K$5&gt;0,K$5&gt;100),AND(K$5&gt;0,K$5&lt;100)),
VLOOKUP(FLOOR((Midterm!K67/K$5)*100,1),new_transmute,2,FALSE),
VLOOKUP(Midterm!K67,new_transmute,2,FALSE)
),
IF(Info!$B$4="Board program",
IF(OR(AND(K$5&gt;0,K$5&gt;100),AND(K$5&gt;0,K$5&lt;100)),
VLOOKUP(FLOOR((Midterm!K67/K$5)*100,1),new_transmute,3,FALSE),
VLOOKUP(Midterm!K67,new_transmute,3,FALSE)
),
IF(Info!$B$4="Board program (Medicine)",
IF(OR(AND(K$5&gt;0,K$5&gt;100),AND(K$5&gt;0,K$5&lt;100)),
VLOOKUP(FLOOR((Midterm!K67/K$5)*100,1),new_transmute,4,FALSE),
VLOOKUP(Midterm!K67,new_transmute,4,FALSE)
),
""
)
)
)
)
)
)
)
)
))</f>
        <v/>
      </c>
      <c r="L67" s="14" t="str">
        <f>IF($B67="","",
IF(L$5="","",
IF(Midterm!L67="",0,
IF(NOT(ISNUMBER(Midterm!L67)),"NAN",
IF(Midterm!L67&lt;0,"NEG",
IF(Midterm!L67&gt;L$5,"OVER",
IF(AND(L$5&lt;=100,Midterm!L67&gt;100),"ERR",
IF(Info!$B$4="Non-board program",
IF(OR(AND(L$5&gt;0,L$5&gt;100),AND(L$5&gt;0,L$5&lt;100)),
VLOOKUP(FLOOR((Midterm!L67/L$5)*100,1),new_transmute,2,FALSE),
VLOOKUP(Midterm!L67,new_transmute,2,FALSE)
),
IF(Info!$B$4="Board program",
IF(OR(AND(L$5&gt;0,L$5&gt;100),AND(L$5&gt;0,L$5&lt;100)),
VLOOKUP(FLOOR((Midterm!L67/L$5)*100,1),new_transmute,3,FALSE),
VLOOKUP(Midterm!L67,new_transmute,3,FALSE)
),
IF(Info!$B$4="Board program (Medicine)",
IF(OR(AND(L$5&gt;0,L$5&gt;100),AND(L$5&gt;0,L$5&lt;100)),
VLOOKUP(FLOOR((Midterm!L67/L$5)*100,1),new_transmute,4,FALSE),
VLOOKUP(Midterm!L67,new_transmute,4,FALSE)
),
""
)
)
)
)
)
)
)
)
))</f>
        <v/>
      </c>
      <c r="M67" s="111" t="str">
        <f t="shared" si="2"/>
        <v/>
      </c>
      <c r="N67" s="14" t="str">
        <f>IF($B67="","",
IF(N$5="","",
IF(Midterm!N67="",0,
IF(NOT(ISNUMBER(Midterm!N67)),"NAN",
IF(Midterm!N67&lt;0,"NEG",
IF(Midterm!N67&gt;N$5,"OVER",
IF(AND(N$5&lt;=100,Midterm!N67&gt;100),"ERR",
IF(Info!$B$4="Non-board program",
IF(OR(AND(N$5&gt;0,N$5&gt;100),AND(N$5&gt;0,N$5&lt;100)),
VLOOKUP(FLOOR((Midterm!N67/N$5)*100,1),new_transmute,2,FALSE),
VLOOKUP(Midterm!N67,new_transmute,2,FALSE)
),
IF(Info!$B$4="Board program",
IF(OR(AND(N$5&gt;0,N$5&gt;100),AND(N$5&gt;0,N$5&lt;100)),
VLOOKUP(FLOOR((Midterm!N67/N$5)*100,1),new_transmute,3,FALSE),
VLOOKUP(Midterm!N67,new_transmute,3,FALSE)
),
IF(Info!$B$4="Board program (Medicine)",
IF(OR(AND(N$5&gt;0,N$5&gt;100),AND(N$5&gt;0,N$5&lt;100)),
VLOOKUP(FLOOR((Midterm!N67/N$5)*100,1),new_transmute,4,FALSE),
VLOOKUP(Midterm!N67,new_transmute,4,FALSE)
),
""
)
)
)
)
)
)
)
)
))</f>
        <v/>
      </c>
      <c r="O67" s="14" t="str">
        <f>IF($B67="","",
IF(O$5="","",
IF(Midterm!O67="",0,
IF(NOT(ISNUMBER(Midterm!O67)),"NAN",
IF(Midterm!O67&lt;0,"NEG",
IF(Midterm!O67&gt;O$5,"OVER",
IF(AND(O$5&lt;=100,Midterm!O67&gt;100),"ERR",
IF(Info!$B$4="Non-board program",
IF(OR(AND(O$5&gt;0,O$5&gt;100),AND(O$5&gt;0,O$5&lt;100)),
VLOOKUP(FLOOR((Midterm!O67/O$5)*100,1),new_transmute,2,FALSE),
VLOOKUP(Midterm!O67,new_transmute,2,FALSE)
),
IF(Info!$B$4="Board program",
IF(OR(AND(O$5&gt;0,O$5&gt;100),AND(O$5&gt;0,O$5&lt;100)),
VLOOKUP(FLOOR((Midterm!O67/O$5)*100,1),new_transmute,3,FALSE),
VLOOKUP(Midterm!O67,new_transmute,3,FALSE)
),
IF(Info!$B$4="Board program (Medicine)",
IF(OR(AND(O$5&gt;0,O$5&gt;100),AND(O$5&gt;0,O$5&lt;100)),
VLOOKUP(FLOOR((Midterm!O67/O$5)*100,1),new_transmute,4,FALSE),
VLOOKUP(Midterm!O67,new_transmute,4,FALSE)
),
""
)
)
)
)
)
)
)
)
))</f>
        <v/>
      </c>
      <c r="P67" s="14" t="str">
        <f>IF($B67="","",
IF(P$5="","",
IF(Midterm!P67="",0,
IF(NOT(ISNUMBER(Midterm!P67)),"NAN",
IF(Midterm!P67&lt;0,"NEG",
IF(Midterm!P67&gt;P$5,"OVER",
IF(AND(P$5&lt;=100,Midterm!P67&gt;100),"ERR",
IF(Info!$B$4="Non-board program",
IF(OR(AND(P$5&gt;0,P$5&gt;100),AND(P$5&gt;0,P$5&lt;100)),
VLOOKUP(FLOOR((Midterm!P67/P$5)*100,1),new_transmute,2,FALSE),
VLOOKUP(Midterm!P67,new_transmute,2,FALSE)
),
IF(Info!$B$4="Board program",
IF(OR(AND(P$5&gt;0,P$5&gt;100),AND(P$5&gt;0,P$5&lt;100)),
VLOOKUP(FLOOR((Midterm!P67/P$5)*100,1),new_transmute,3,FALSE),
VLOOKUP(Midterm!P67,new_transmute,3,FALSE)
),
IF(Info!$B$4="Board program (Medicine)",
IF(OR(AND(P$5&gt;0,P$5&gt;100),AND(P$5&gt;0,P$5&lt;100)),
VLOOKUP(FLOOR((Midterm!P67/P$5)*100,1),new_transmute,4,FALSE),
VLOOKUP(Midterm!P67,new_transmute,4,FALSE)
),
""
)
)
)
)
)
)
)
)
))</f>
        <v/>
      </c>
      <c r="Q67" s="14" t="str">
        <f>IF($B67="","",
IF(Q$5="","",
IF(Midterm!Q67="",0,
IF(NOT(ISNUMBER(Midterm!Q67)),"NAN",
IF(Midterm!Q67&lt;0,"NEG",
IF(Midterm!Q67&gt;Q$5,"OVER",
IF(AND(Q$5&lt;=100,Midterm!Q67&gt;100),"ERR",
IF(Info!$B$4="Non-board program",
IF(OR(AND(Q$5&gt;0,Q$5&gt;100),AND(Q$5&gt;0,Q$5&lt;100)),
VLOOKUP(FLOOR((Midterm!Q67/Q$5)*100,1),new_transmute,2,FALSE),
VLOOKUP(Midterm!Q67,new_transmute,2,FALSE)
),
IF(Info!$B$4="Board program",
IF(OR(AND(Q$5&gt;0,Q$5&gt;100),AND(Q$5&gt;0,Q$5&lt;100)),
VLOOKUP(FLOOR((Midterm!Q67/Q$5)*100,1),new_transmute,3,FALSE),
VLOOKUP(Midterm!Q67,new_transmute,3,FALSE)
),
IF(Info!$B$4="Board program (Medicine)",
IF(OR(AND(Q$5&gt;0,Q$5&gt;100),AND(Q$5&gt;0,Q$5&lt;100)),
VLOOKUP(FLOOR((Midterm!Q67/Q$5)*100,1),new_transmute,4,FALSE),
VLOOKUP(Midterm!Q67,new_transmute,4,FALSE)
),
""
)
)
)
)
)
)
)
)
))</f>
        <v/>
      </c>
      <c r="R67" s="14" t="str">
        <f>IF($B67="","",
IF(R$5="","",
IF(Midterm!R67="",0,
IF(NOT(ISNUMBER(Midterm!R67)),"NAN",
IF(Midterm!R67&lt;0,"NEG",
IF(Midterm!R67&gt;R$5,"OVER",
IF(AND(R$5&lt;=100,Midterm!R67&gt;100),"ERR",
IF(Info!$B$4="Non-board program",
IF(OR(AND(R$5&gt;0,R$5&gt;100),AND(R$5&gt;0,R$5&lt;100)),
VLOOKUP(FLOOR((Midterm!R67/R$5)*100,1),new_transmute,2,FALSE),
VLOOKUP(Midterm!R67,new_transmute,2,FALSE)
),
IF(Info!$B$4="Board program",
IF(OR(AND(R$5&gt;0,R$5&gt;100),AND(R$5&gt;0,R$5&lt;100)),
VLOOKUP(FLOOR((Midterm!R67/R$5)*100,1),new_transmute,3,FALSE),
VLOOKUP(Midterm!R67,new_transmute,3,FALSE)
),
IF(Info!$B$4="Board program (Medicine)",
IF(OR(AND(R$5&gt;0,R$5&gt;100),AND(R$5&gt;0,R$5&lt;100)),
VLOOKUP(FLOOR((Midterm!R67/R$5)*100,1),new_transmute,4,FALSE),
VLOOKUP(Midterm!R67,new_transmute,4,FALSE)
),
""
)
)
)
)
)
)
)
)
))</f>
        <v/>
      </c>
      <c r="S67" s="115" t="str">
        <f t="shared" si="3"/>
        <v/>
      </c>
      <c r="T67" s="14" t="str">
        <f>IF($B67="","",
IF(T$5="","",
IF(Midterm!T67="",0,
IF(NOT(ISNUMBER(Midterm!T67)),"NAN",
IF(Midterm!T67&lt;0,"NEG",
IF(Midterm!T67&gt;T$5,"OVER",
IF(AND(T$5&lt;=100,Midterm!T67&gt;100),"ERR",
IF(Info!$B$4="Non-board program",
IF(OR(AND(T$5&gt;0,T$5&gt;100),AND(T$5&gt;0,T$5&lt;100)),
VLOOKUP(FLOOR((Midterm!T67/T$5)*100,1),new_transmute,2,FALSE),
VLOOKUP(Midterm!T67,new_transmute,2,FALSE)
),
IF(Info!$B$4="Board program",
IF(OR(AND(T$5&gt;0,T$5&gt;100),AND(T$5&gt;0,T$5&lt;100)),
VLOOKUP(FLOOR((Midterm!T67/T$5)*100,1),new_transmute,3,FALSE),
VLOOKUP(Midterm!T67,new_transmute,3,FALSE)
),
IF(Info!$B$4="Board program (Medicine)",
IF(OR(AND(T$5&gt;0,T$5&gt;100),AND(T$5&gt;0,T$5&lt;100)),
VLOOKUP(FLOOR((Midterm!T67/T$5)*100,1),new_transmute,4,FALSE),
VLOOKUP(Midterm!T67,new_transmute,4,FALSE)
),
""
)
)
)
)
)
)
)
)
))</f>
        <v/>
      </c>
      <c r="U67" s="14" t="str">
        <f>IF($B67="","",
IF(U$5="","",
IF(Midterm!U67="",0,
IF(NOT(ISNUMBER(Midterm!U67)),"NAN",
IF(Midterm!U67&lt;0,"NEG",
IF(Midterm!U67&gt;U$5,"OVER",
IF(AND(U$5&lt;=100,Midterm!U67&gt;100),"ERR",
IF(Info!$B$4="Non-board program",
IF(OR(AND(U$5&gt;0,U$5&gt;100),AND(U$5&gt;0,U$5&lt;100)),
VLOOKUP(FLOOR((Midterm!U67/U$5)*100,1),new_transmute,2,FALSE),
VLOOKUP(Midterm!U67,new_transmute,2,FALSE)
),
IF(Info!$B$4="Board program",
IF(OR(AND(U$5&gt;0,U$5&gt;100),AND(U$5&gt;0,U$5&lt;100)),
VLOOKUP(FLOOR((Midterm!U67/U$5)*100,1),new_transmute,3,FALSE),
VLOOKUP(Midterm!U67,new_transmute,3,FALSE)
),
IF(Info!$B$4="Board program (Medicine)",
IF(OR(AND(U$5&gt;0,U$5&gt;100),AND(U$5&gt;0,U$5&lt;100)),
VLOOKUP(FLOOR((Midterm!U67/U$5)*100,1),new_transmute,4,FALSE),
VLOOKUP(Midterm!U67,new_transmute,4,FALSE)
),
""
)
)
)
)
)
)
)
)
))</f>
        <v/>
      </c>
      <c r="V67" s="14" t="str">
        <f>IF($B67="","",
IF(V$5="","",
IF(Midterm!V67="",0,
IF(NOT(ISNUMBER(Midterm!V67)),"NAN",
IF(Midterm!V67&lt;0,"NEG",
IF(Midterm!V67&gt;V$5,"OVER",
IF(AND(V$5&lt;=100,Midterm!V67&gt;100),"ERR",
IF(Info!$B$4="Non-board program",
IF(OR(AND(V$5&gt;0,V$5&gt;100),AND(V$5&gt;0,V$5&lt;100)),
VLOOKUP(FLOOR((Midterm!V67/V$5)*100,1),new_transmute,2,FALSE),
VLOOKUP(Midterm!V67,new_transmute,2,FALSE)
),
IF(Info!$B$4="Board program",
IF(OR(AND(V$5&gt;0,V$5&gt;100),AND(V$5&gt;0,V$5&lt;100)),
VLOOKUP(FLOOR((Midterm!V67/V$5)*100,1),new_transmute,3,FALSE),
VLOOKUP(Midterm!V67,new_transmute,3,FALSE)
),
IF(Info!$B$4="Board program (Medicine)",
IF(OR(AND(V$5&gt;0,V$5&gt;100),AND(V$5&gt;0,V$5&lt;100)),
VLOOKUP(FLOOR((Midterm!V67/V$5)*100,1),new_transmute,4,FALSE),
VLOOKUP(Midterm!V67,new_transmute,4,FALSE)
),
""
)
)
)
)
)
)
)
)
))</f>
        <v/>
      </c>
      <c r="W67" s="14" t="str">
        <f>IF($B67="","",
IF(W$5="","",
IF(Midterm!W67="",0,
IF(NOT(ISNUMBER(Midterm!W67)),"NAN",
IF(Midterm!W67&lt;0,"NEG",
IF(Midterm!W67&gt;W$5,"OVER",
IF(AND(W$5&lt;=100,Midterm!W67&gt;100),"ERR",
IF(Info!$B$4="Non-board program",
IF(OR(AND(W$5&gt;0,W$5&gt;100),AND(W$5&gt;0,W$5&lt;100)),
VLOOKUP(FLOOR((Midterm!W67/W$5)*100,1),new_transmute,2,FALSE),
VLOOKUP(Midterm!W67,new_transmute,2,FALSE)
),
IF(Info!$B$4="Board program",
IF(OR(AND(W$5&gt;0,W$5&gt;100),AND(W$5&gt;0,W$5&lt;100)),
VLOOKUP(FLOOR((Midterm!W67/W$5)*100,1),new_transmute,3,FALSE),
VLOOKUP(Midterm!W67,new_transmute,3,FALSE)
),
IF(Info!$B$4="Board program (Medicine)",
IF(OR(AND(W$5&gt;0,W$5&gt;100),AND(W$5&gt;0,W$5&lt;100)),
VLOOKUP(FLOOR((Midterm!W67/W$5)*100,1),new_transmute,4,FALSE),
VLOOKUP(Midterm!W67,new_transmute,4,FALSE)
),
""
)
)
)
)
)
)
)
)
))</f>
        <v/>
      </c>
      <c r="X67" s="14" t="str">
        <f>IF($B67="","",
IF(X$5="","",
IF(Midterm!X67="",0,
IF(NOT(ISNUMBER(Midterm!X67)),"NAN",
IF(Midterm!X67&lt;0,"NEG",
IF(Midterm!X67&gt;X$5,"OVER",
IF(AND(X$5&lt;=100,Midterm!X67&gt;100),"ERR",
IF(Info!$B$4="Non-board program",
IF(OR(AND(X$5&gt;0,X$5&gt;100),AND(X$5&gt;0,X$5&lt;100)),
VLOOKUP(FLOOR((Midterm!X67/X$5)*100,1),new_transmute,2,FALSE),
VLOOKUP(Midterm!X67,new_transmute,2,FALSE)
),
IF(Info!$B$4="Board program",
IF(OR(AND(X$5&gt;0,X$5&gt;100),AND(X$5&gt;0,X$5&lt;100)),
VLOOKUP(FLOOR((Midterm!X67/X$5)*100,1),new_transmute,3,FALSE),
VLOOKUP(Midterm!X67,new_transmute,3,FALSE)
),
IF(Info!$B$4="Board program (Medicine)",
IF(OR(AND(X$5&gt;0,X$5&gt;100),AND(X$5&gt;0,X$5&lt;100)),
VLOOKUP(FLOOR((Midterm!X67/X$5)*100,1),new_transmute,4,FALSE),
VLOOKUP(Midterm!X67,new_transmute,4,FALSE)
),
""
)
)
)
)
)
)
)
)
))</f>
        <v/>
      </c>
      <c r="Y67" s="112" t="str">
        <f t="shared" si="4"/>
        <v/>
      </c>
      <c r="Z67" s="14" t="str">
        <f>IF($B67="","",
IF(Z$5="","",
IF(Midterm!Z67="",0,
IF(NOT(ISNUMBER(Midterm!Z67)),"NAN",
IF(Midterm!Z67&lt;0,"NEG",
IF(Midterm!Z67&gt;Z$5,"OVER",
IF(AND(Z$5&lt;=100,Midterm!Z67&gt;100),"ERR",
IF(Info!$B$4="Non-board program",
IF(OR(AND(Z$5&gt;0,Z$5&gt;100),AND(Z$5&gt;0,Z$5&lt;100)),
VLOOKUP(FLOOR((Midterm!Z67/Z$5)*100,1),new_transmute,2,FALSE),
VLOOKUP(Midterm!Z67,new_transmute,2,FALSE)
),
IF(Info!$B$4="Board program",
IF(OR(AND(Z$5&gt;0,Z$5&gt;100),AND(Z$5&gt;0,Z$5&lt;100)),
VLOOKUP(FLOOR((Midterm!Z67/Z$5)*100,1),new_transmute,3,FALSE),
VLOOKUP(Midterm!Z67,new_transmute,3,FALSE)
),
IF(Info!$B$4="Board program (Medicine)",
IF(OR(AND(Z$5&gt;0,Z$5&gt;100),AND(Z$5&gt;0,Z$5&lt;100)),
VLOOKUP(FLOOR((Midterm!Z67/Z$5)*100,1),new_transmute,4,FALSE),
VLOOKUP(Midterm!Z67,new_transmute,4,FALSE)
),
""
)
)
)
)
)
)
)
)
))</f>
        <v/>
      </c>
      <c r="AA67" s="14" t="str">
        <f>IF($B67="","",
IF(AA$5="","",
IF(Midterm!AA67="",0,
IF(NOT(ISNUMBER(Midterm!AA67)),"NAN",
IF(Midterm!AA67&lt;0,"NEG",
IF(Midterm!AA67&gt;AA$5,"OVER",
IF(AND(AA$5&lt;=100,Midterm!AA67&gt;100),"ERR",
IF(Info!$B$4="Non-board program",
IF(OR(AND(AA$5&gt;0,AA$5&gt;100),AND(AA$5&gt;0,AA$5&lt;100)),
VLOOKUP(FLOOR((Midterm!AA67/AA$5)*100,1),new_transmute,2,FALSE),
VLOOKUP(Midterm!AA67,new_transmute,2,FALSE)
),
IF(Info!$B$4="Board program",
IF(OR(AND(AA$5&gt;0,AA$5&gt;100),AND(AA$5&gt;0,AA$5&lt;100)),
VLOOKUP(FLOOR((Midterm!AA67/AA$5)*100,1),new_transmute,3,FALSE),
VLOOKUP(Midterm!AA67,new_transmute,3,FALSE)
),
IF(Info!$B$4="Board program (Medicine)",
IF(OR(AND(AA$5&gt;0,AA$5&gt;100),AND(AA$5&gt;0,AA$5&lt;100)),
VLOOKUP(FLOOR((Midterm!AA67/AA$5)*100,1),new_transmute,4,FALSE),
VLOOKUP(Midterm!AA67,new_transmute,4,FALSE)
),
""
)
)
)
)
)
)
)
)
))</f>
        <v/>
      </c>
      <c r="AB67" s="14" t="str">
        <f>IF($B67="","",
IF(AB$5="","",
IF(Midterm!AB67="",0,
IF(NOT(ISNUMBER(Midterm!AB67)),"NAN",
IF(Midterm!AB67&lt;0,"NEG",
IF(Midterm!AB67&gt;AB$5,"OVER",
IF(AND(AB$5&lt;=100,Midterm!AB67&gt;100),"ERR",
IF(Info!$B$4="Non-board program",
IF(OR(AND(AB$5&gt;0,AB$5&gt;100),AND(AB$5&gt;0,AB$5&lt;100)),
VLOOKUP(FLOOR((Midterm!AB67/AB$5)*100,1),new_transmute,2,FALSE),
VLOOKUP(Midterm!AB67,new_transmute,2,FALSE)
),
IF(Info!$B$4="Board program",
IF(OR(AND(AB$5&gt;0,AB$5&gt;100),AND(AB$5&gt;0,AB$5&lt;100)),
VLOOKUP(FLOOR((Midterm!AB67/AB$5)*100,1),new_transmute,3,FALSE),
VLOOKUP(Midterm!AB67,new_transmute,3,FALSE)
),
IF(Info!$B$4="Board program (Medicine)",
IF(OR(AND(AB$5&gt;0,AB$5&gt;100),AND(AB$5&gt;0,AB$5&lt;100)),
VLOOKUP(FLOOR((Midterm!AB67/AB$5)*100,1),new_transmute,4,FALSE),
VLOOKUP(Midterm!AB67,new_transmute,4,FALSE)
),
""
)
)
)
)
)
)
)
)
))</f>
        <v/>
      </c>
      <c r="AC67" s="14" t="str">
        <f>IF($B67="","",
IF(AC$5="","",
IF(Midterm!AC67="",0,
IF(NOT(ISNUMBER(Midterm!AC67)),"NAN",
IF(Midterm!AC67&lt;0,"NEG",
IF(Midterm!AC67&gt;AC$5,"OVER",
IF(AND(AC$5&lt;=100,Midterm!AC67&gt;100),"ERR",
IF(Info!$B$4="Non-board program",
IF(OR(AND(AC$5&gt;0,AC$5&gt;100),AND(AC$5&gt;0,AC$5&lt;100)),
VLOOKUP(FLOOR((Midterm!AC67/AC$5)*100,1),new_transmute,2,FALSE),
VLOOKUP(Midterm!AC67,new_transmute,2,FALSE)
),
IF(Info!$B$4="Board program",
IF(OR(AND(AC$5&gt;0,AC$5&gt;100),AND(AC$5&gt;0,AC$5&lt;100)),
VLOOKUP(FLOOR((Midterm!AC67/AC$5)*100,1),new_transmute,3,FALSE),
VLOOKUP(Midterm!AC67,new_transmute,3,FALSE)
),
IF(Info!$B$4="Board program (Medicine)",
IF(OR(AND(AC$5&gt;0,AC$5&gt;100),AND(AC$5&gt;0,AC$5&lt;100)),
VLOOKUP(FLOOR((Midterm!AC67/AC$5)*100,1),new_transmute,4,FALSE),
VLOOKUP(Midterm!AC67,new_transmute,4,FALSE)
),
""
)
)
)
)
)
)
)
)
))</f>
        <v/>
      </c>
      <c r="AD67" s="14" t="str">
        <f>IF($B67="","",
IF(AD$5="","",
IF(Midterm!AD67="",0,
IF(NOT(ISNUMBER(Midterm!AD67)),"NAN",
IF(Midterm!AD67&lt;0,"NEG",
IF(Midterm!AD67&gt;AD$5,"OVER",
IF(AND(AD$5&lt;=100,Midterm!AD67&gt;100),"ERR",
IF(Info!$B$4="Non-board program",
IF(OR(AND(AD$5&gt;0,AD$5&gt;100),AND(AD$5&gt;0,AD$5&lt;100)),
VLOOKUP(FLOOR((Midterm!AD67/AD$5)*100,1),new_transmute,2,FALSE),
VLOOKUP(Midterm!AD67,new_transmute,2,FALSE)
),
IF(Info!$B$4="Board program",
IF(OR(AND(AD$5&gt;0,AD$5&gt;100),AND(AD$5&gt;0,AD$5&lt;100)),
VLOOKUP(FLOOR((Midterm!AD67/AD$5)*100,1),new_transmute,3,FALSE),
VLOOKUP(Midterm!AD67,new_transmute,3,FALSE)
),
IF(Info!$B$4="Board program (Medicine)",
IF(OR(AND(AD$5&gt;0,AD$5&gt;100),AND(AD$5&gt;0,AD$5&lt;100)),
VLOOKUP(FLOOR((Midterm!AD67/AD$5)*100,1),new_transmute,4,FALSE),
VLOOKUP(Midterm!AD67,new_transmute,4,FALSE)
),
""
)
)
)
)
)
)
)
)
))</f>
        <v/>
      </c>
      <c r="AE67" s="58" t="str">
        <f t="shared" si="5"/>
        <v/>
      </c>
      <c r="AF67" s="14" t="str">
        <f>IF($B67="","",
IF(AF$5="","",
IF(Midterm!AF67="",0,
IF(NOT(ISNUMBER(Midterm!AF67)),"NAN",
IF(Midterm!AF67&lt;0,"NEG",
IF(Midterm!AF67&gt;AF$5,"OVER",
IF(AND(AF$5&lt;=100,Midterm!AF67&gt;100),"ERR",
IF(Info!$B$4="Non-board program",
IF(OR(AND(AF$5&gt;0,AF$5&gt;100),AND(AF$5&gt;0,AF$5&lt;100)),
VLOOKUP(FLOOR((Midterm!AF67/AF$5)*100,1),new_transmute,2,FALSE),
VLOOKUP(Midterm!AF67,new_transmute,2,FALSE)
),
IF(Info!$B$4="Board program",
IF(OR(AND(AF$5&gt;0,AF$5&gt;100),AND(AF$5&gt;0,AF$5&lt;100)),
VLOOKUP(FLOOR((Midterm!AF67/AF$5)*100,1),new_transmute,3,FALSE),
VLOOKUP(Midterm!AF67,new_transmute,3,FALSE)
),
IF(Info!$B$4="Board program (Medicine)",
IF(OR(AND(AF$5&gt;0,AF$5&gt;100),AND(AF$5&gt;0,AF$5&lt;100)),
VLOOKUP(FLOOR((Midterm!AF67/AF$5)*100,1),new_transmute,4,FALSE),
VLOOKUP(Midterm!AF67,new_transmute,4,FALSE)
),
""
)
)
)
)
)
)
)
)
))</f>
        <v/>
      </c>
      <c r="AG67" s="14" t="str">
        <f>IF($B67="","",
IF(AG$5="","",
IF(Midterm!AG67="",0,
IF(NOT(ISNUMBER(Midterm!AG67)),"NAN",
IF(Midterm!AG67&lt;0,"NEG",
IF(Midterm!AG67&gt;AG$5,"OVER",
IF(AND(AG$5&lt;=100,Midterm!AG67&gt;100),"ERR",
IF(Info!$B$4="Non-board program",
IF(OR(AND(AG$5&gt;0,AG$5&gt;100),AND(AG$5&gt;0,AG$5&lt;100)),
VLOOKUP(FLOOR((Midterm!AG67/AG$5)*100,1),new_transmute,2,FALSE),
VLOOKUP(Midterm!AG67,new_transmute,2,FALSE)
),
IF(Info!$B$4="Board program",
IF(OR(AND(AG$5&gt;0,AG$5&gt;100),AND(AG$5&gt;0,AG$5&lt;100)),
VLOOKUP(FLOOR((Midterm!AG67/AG$5)*100,1),new_transmute,3,FALSE),
VLOOKUP(Midterm!AG67,new_transmute,3,FALSE)
),
IF(Info!$B$4="Board program (Medicine)",
IF(OR(AND(AG$5&gt;0,AG$5&gt;100),AND(AG$5&gt;0,AG$5&lt;100)),
VLOOKUP(FLOOR((Midterm!AG67/AG$5)*100,1),new_transmute,4,FALSE),
VLOOKUP(Midterm!AG67,new_transmute,4,FALSE)
),
""
)
)
)
)
)
)
)
)
))</f>
        <v/>
      </c>
      <c r="AH67" s="14" t="str">
        <f>IF($B67="","",
IF(AH$5="","",
IF(Midterm!AH67="",0,
IF(NOT(ISNUMBER(Midterm!AH67)),"NAN",
IF(Midterm!AH67&lt;0,"NEG",
IF(Midterm!AH67&gt;AH$5,"OVER",
IF(AND(AH$5&lt;=100,Midterm!AH67&gt;100),"ERR",
IF(Info!$B$4="Non-board program",
IF(OR(AND(AH$5&gt;0,AH$5&gt;100),AND(AH$5&gt;0,AH$5&lt;100)),
VLOOKUP(FLOOR((Midterm!AH67/AH$5)*100,1),new_transmute,2,FALSE),
VLOOKUP(Midterm!AH67,new_transmute,2,FALSE)
),
IF(Info!$B$4="Board program",
IF(OR(AND(AH$5&gt;0,AH$5&gt;100),AND(AH$5&gt;0,AH$5&lt;100)),
VLOOKUP(FLOOR((Midterm!AH67/AH$5)*100,1),new_transmute,3,FALSE),
VLOOKUP(Midterm!AH67,new_transmute,3,FALSE)
),
IF(Info!$B$4="Board program (Medicine)",
IF(OR(AND(AH$5&gt;0,AH$5&gt;100),AND(AH$5&gt;0,AH$5&lt;100)),
VLOOKUP(FLOOR((Midterm!AH67/AH$5)*100,1),new_transmute,4,FALSE),
VLOOKUP(Midterm!AH67,new_transmute,4,FALSE)
),
""
)
)
)
)
)
)
)
)
))</f>
        <v/>
      </c>
      <c r="AI67" s="14" t="str">
        <f>IF($B67="","",
IF(AI$5="","",
IF(Midterm!AI67="",0,
IF(NOT(ISNUMBER(Midterm!AI67)),"NAN",
IF(Midterm!AI67&lt;0,"NEG",
IF(Midterm!AI67&gt;AI$5,"OVER",
IF(AND(AI$5&lt;=100,Midterm!AI67&gt;100),"ERR",
IF(Info!$B$4="Non-board program",
IF(OR(AND(AI$5&gt;0,AI$5&gt;100),AND(AI$5&gt;0,AI$5&lt;100)),
VLOOKUP(FLOOR((Midterm!AI67/AI$5)*100,1),new_transmute,2,FALSE),
VLOOKUP(Midterm!AI67,new_transmute,2,FALSE)
),
IF(Info!$B$4="Board program",
IF(OR(AND(AI$5&gt;0,AI$5&gt;100),AND(AI$5&gt;0,AI$5&lt;100)),
VLOOKUP(FLOOR((Midterm!AI67/AI$5)*100,1),new_transmute,3,FALSE),
VLOOKUP(Midterm!AI67,new_transmute,3,FALSE)
),
IF(Info!$B$4="Board program (Medicine)",
IF(OR(AND(AI$5&gt;0,AI$5&gt;100),AND(AI$5&gt;0,AI$5&lt;100)),
VLOOKUP(FLOOR((Midterm!AI67/AI$5)*100,1),new_transmute,4,FALSE),
VLOOKUP(Midterm!AI67,new_transmute,4,FALSE)
),
""
)
)
)
)
)
)
)
)
))</f>
        <v/>
      </c>
      <c r="AJ67" s="14" t="str">
        <f>IF($B67="","",
IF(AJ$5="","",
IF(Midterm!AJ67="",0,
IF(NOT(ISNUMBER(Midterm!AJ67)),"NAN",
IF(Midterm!AJ67&lt;0,"NEG",
IF(Midterm!AJ67&gt;AJ$5,"OVER",
IF(AND(AJ$5&lt;=100,Midterm!AJ67&gt;100),"ERR",
IF(Info!$B$4="Non-board program",
IF(OR(AND(AJ$5&gt;0,AJ$5&gt;100),AND(AJ$5&gt;0,AJ$5&lt;100)),
VLOOKUP(FLOOR((Midterm!AJ67/AJ$5)*100,1),new_transmute,2,FALSE),
VLOOKUP(Midterm!AJ67,new_transmute,2,FALSE)
),
IF(Info!$B$4="Board program",
IF(OR(AND(AJ$5&gt;0,AJ$5&gt;100),AND(AJ$5&gt;0,AJ$5&lt;100)),
VLOOKUP(FLOOR((Midterm!AJ67/AJ$5)*100,1),new_transmute,3,FALSE),
VLOOKUP(Midterm!AJ67,new_transmute,3,FALSE)
),
IF(Info!$B$4="Board program (Medicine)",
IF(OR(AND(AJ$5&gt;0,AJ$5&gt;100),AND(AJ$5&gt;0,AJ$5&lt;100)),
VLOOKUP(FLOOR((Midterm!AJ67/AJ$5)*100,1),new_transmute,4,FALSE),
VLOOKUP(Midterm!AJ67,new_transmute,4,FALSE)
),
""
)
)
)
)
)
)
)
)
))</f>
        <v/>
      </c>
      <c r="AK67" s="59" t="str">
        <f t="shared" si="6"/>
        <v/>
      </c>
      <c r="AL67" s="60" t="str">
        <f>IF(B67="", "",
    IF(OR(M67="OVER", S67="OVER", Y67="OVER", AE67="OVER", AK67="OVER"),
        "OVER",
        IF(Info!$B$4="Non-board program",
            VLOOKUP(IFERROR(FLOOR(SUM((M67*$M$4), (S67*$S$4), (Y67*$Y$4), (AE67*$AE$4), (AK67*$AK$4)) * (100 / 60), 1), 0), new_transmute, 2, FALSE),
            IF(Info!$B$4="Board program",
                VLOOKUP(IFERROR(FLOOR(SUM((M67*$M$4), (S67*$S$4), (Y67*$Y$4), (AE67*$AE$4), (AK67*$AK$4)) * (100 / 60), 1), 0), new_transmute, 3, FALSE),
                IF(Info!$B$4="Board program (Medicine)",
                    VLOOKUP(IFERROR(FLOOR(SUM((M67*$M$4), (S67*$S$4), (Y67*$Y$4), (AE67*$AE$4), (AK67*$AK$4)) * (100 / 60), 1), 0), new_transmute, 4, FALSE),
                    ""
                )
            )
        )
    )
)</f>
        <v/>
      </c>
      <c r="AM67" s="14" t="str">
        <f>IF($B67="","",
IF(AM$5="","",
IF(Midterm!AM67="",0,
IF(NOT(ISNUMBER(Midterm!AM67)),"NAN",
IF(Midterm!AM67&lt;0,"NEG",
IF(Midterm!AM67&gt;AM$5,"OVER",
IF(AND(AM$5&lt;=100,Midterm!AM67&gt;100),"ERR",
IF(Info!$B$4="Non-board program",
IF(OR(AND(AM$5&gt;0,AM$5&gt;100),AND(AM$5&gt;0,AM$5&lt;100)),
VLOOKUP(FLOOR((Midterm!AM67/AM$5)*100,1),new_transmute,2,FALSE),
VLOOKUP(Midterm!AM67,new_transmute,2,FALSE)
),
IF(Info!$B$4="Board program",
IF(OR(AND(AM$5&gt;0,AM$5&gt;100),AND(AM$5&gt;0,AM$5&lt;100)),
VLOOKUP(FLOOR((Midterm!AM67/AM$5)*100,1),new_transmute,3,FALSE),
VLOOKUP(Midterm!AM67,new_transmute,3,FALSE)
),
IF(Info!$B$4="Board program (Medicine)",
IF(OR(AND(AM$5&gt;0,AM$5&gt;100),AND(AM$5&gt;0,AM$5&lt;100)),
VLOOKUP(FLOOR((Midterm!AM67/AM$5)*100,1),new_transmute,4,FALSE),
VLOOKUP(Midterm!AM67,new_transmute,4,FALSE)
),
""
)
)
)
)
)
)
)
)
))</f>
        <v/>
      </c>
      <c r="AN67" s="14" t="str">
        <f>IF($B67="","",
IF(AN$5="","",
IF(Midterm!AN67="",0,
IF(NOT(ISNUMBER(Midterm!AN67)),"NAN",
IF(Midterm!AN67&lt;0,"NEG",
IF(Midterm!AN67&gt;AN$5,"OVER",
IF(AND(AN$5&lt;=100,Midterm!AN67&gt;100),"ERR",
IF(Info!$B$4="Non-board program",
IF(OR(AND(AN$5&gt;0,AN$5&gt;100),AND(AN$5&gt;0,AN$5&lt;100)),
VLOOKUP(FLOOR((Midterm!AN67/AN$5)*100,1),new_transmute,2,FALSE),
VLOOKUP(Midterm!AN67,new_transmute,2,FALSE)
),
IF(Info!$B$4="Board program",
IF(OR(AND(AN$5&gt;0,AN$5&gt;100),AND(AN$5&gt;0,AN$5&lt;100)),
VLOOKUP(FLOOR((Midterm!AN67/AN$5)*100,1),new_transmute,3,FALSE),
VLOOKUP(Midterm!AN67,new_transmute,3,FALSE)
),
IF(Info!$B$4="Board program (Medicine)",
IF(OR(AND(AN$5&gt;0,AN$5&gt;100),AND(AN$5&gt;0,AN$5&lt;100)),
VLOOKUP(FLOOR((Midterm!AN67/AN$5)*100,1),new_transmute,4,FALSE),
VLOOKUP(Midterm!AN67,new_transmute,4,FALSE)
),
""
)
)
)
)
)
)
)
)
))</f>
        <v/>
      </c>
      <c r="AO67" s="14" t="str">
        <f>IF($B67="","",
IF(AO$5="","",
IF(Midterm!AO67="",0,
IF(NOT(ISNUMBER(Midterm!AO67)),"NAN",
IF(Midterm!AO67&lt;0,"NEG",
IF(Midterm!AO67&gt;AO$5,"OVER",
IF(AND(AO$5&lt;=100,Midterm!AO67&gt;100),"ERR",
IF(Info!$B$4="Non-board program",
IF(OR(AND(AO$5&gt;0,AO$5&gt;100),AND(AO$5&gt;0,AO$5&lt;100)),
VLOOKUP(FLOOR((Midterm!AO67/AO$5)*100,1),new_transmute,2,FALSE),
VLOOKUP(Midterm!AO67,new_transmute,2,FALSE)
),
IF(Info!$B$4="Board program",
IF(OR(AND(AO$5&gt;0,AO$5&gt;100),AND(AO$5&gt;0,AO$5&lt;100)),
VLOOKUP(FLOOR((Midterm!AO67/AO$5)*100,1),new_transmute,3,FALSE),
VLOOKUP(Midterm!AO67,new_transmute,3,FALSE)
),
IF(Info!$B$4="Board program (Medicine)",
IF(OR(AND(AO$5&gt;0,AO$5&gt;100),AND(AO$5&gt;0,AO$5&lt;100)),
VLOOKUP(FLOOR((Midterm!AO67/AO$5)*100,1),new_transmute,4,FALSE),
VLOOKUP(Midterm!AO67,new_transmute,4,FALSE)
),
""
)
)
)
)
)
)
)
)
))</f>
        <v/>
      </c>
      <c r="AP67" s="14" t="str">
        <f>IF($B67="","",
IF(AP$5="","",
IF(Midterm!AP67="",0,
IF(NOT(ISNUMBER(Midterm!AP67)),"NAN",
IF(Midterm!AP67&lt;0,"NEG",
IF(Midterm!AP67&gt;AP$5,"OVER",
IF(AND(AP$5&lt;=100,Midterm!AP67&gt;100),"ERR",
IF(Info!$B$4="Non-board program",
IF(OR(AND(AP$5&gt;0,AP$5&gt;100),AND(AP$5&gt;0,AP$5&lt;100)),
VLOOKUP(FLOOR((Midterm!AP67/AP$5)*100,1),new_transmute,2,FALSE),
VLOOKUP(Midterm!AP67,new_transmute,2,FALSE)
),
IF(Info!$B$4="Board program",
IF(OR(AND(AP$5&gt;0,AP$5&gt;100),AND(AP$5&gt;0,AP$5&lt;100)),
VLOOKUP(FLOOR((Midterm!AP67/AP$5)*100,1),new_transmute,3,FALSE),
VLOOKUP(Midterm!AP67,new_transmute,3,FALSE)
),
IF(Info!$B$4="Board program (Medicine)",
IF(OR(AND(AP$5&gt;0,AP$5&gt;100),AND(AP$5&gt;0,AP$5&lt;100)),
VLOOKUP(FLOOR((Midterm!AP67/AP$5)*100,1),new_transmute,4,FALSE),
VLOOKUP(Midterm!AP67,new_transmute,4,FALSE)
),
""
)
)
)
)
)
)
)
)
))</f>
        <v/>
      </c>
      <c r="AQ67" s="61" t="str">
        <f t="shared" si="7"/>
        <v/>
      </c>
      <c r="AR67" s="48" t="str">
        <f>IF(Midterm!AR67="","",Midterm!AR67)</f>
        <v/>
      </c>
      <c r="AS67" s="165" t="str">
        <f t="shared" si="8"/>
        <v/>
      </c>
      <c r="AT67" s="14" t="str">
        <f t="shared" si="9"/>
        <v/>
      </c>
      <c r="AU67" s="14" t="str">
        <f>IF(B67="","",VLOOKUP(AT67,'New Grade Equivalent'!$B$3:$C$47,2,FALSE))</f>
        <v/>
      </c>
    </row>
    <row r="68" spans="1:47" x14ac:dyDescent="0.25">
      <c r="A68" s="8">
        <v>63</v>
      </c>
      <c r="B68" s="2" t="str">
        <f>IF('Student List'!C72="","",UPPER(LEFT('Student List'!C72,FIND(",",'Student List'!C72)-1)))</f>
        <v/>
      </c>
      <c r="C68" s="12" t="str">
        <f>IF('Student List'!C72="","",PROPER(MID('Student List'!C72, FIND(",", 'Student List'!C72) + 2, LEN('Student List'!C72) - FIND(",", 'Student List'!C72) - 1)))</f>
        <v/>
      </c>
      <c r="D68" s="127" t="str">
        <f>IF(B68="","",IF(Midterm!D68="", "NA", Midterm!D68))</f>
        <v/>
      </c>
      <c r="E68" s="8" t="str">
        <f>IF(B68="","",
  IF(Info!$B$5="First Year",
    IF(D68="Yes", "DRP",
      IF(D68="No", "WF", "")
    )
  )
)</f>
        <v/>
      </c>
      <c r="F68" s="14" t="str">
        <f>IF($B68="","",
IF(F$5="","",
IF(Midterm!F68="",0,
IF(NOT(ISNUMBER(Midterm!F68)),"NAN",
IF(Midterm!F68&lt;0,"NEG",
IF(Midterm!F68&gt;F$5,"OVER",
IF(AND(F$5&lt;=100,Midterm!F68&gt;100),"ERR",
IF(Info!$B$4="Non-board program",
IF(OR(AND(F$5&gt;0,F$5&gt;100),AND(F$5&gt;0,F$5&lt;100)),
VLOOKUP(FLOOR((Midterm!F68/F$5)*100,1),new_transmute,2,FALSE),
VLOOKUP(Midterm!F68,new_transmute,2,FALSE)
),
IF(Info!$B$4="Board program",
IF(OR(AND(F$5&gt;0,F$5&gt;100),AND(F$5&gt;0,F$5&lt;100)),
VLOOKUP(FLOOR((Midterm!F68/F$5)*100,1),new_transmute,3,FALSE),
VLOOKUP(Midterm!F68,new_transmute,3,FALSE)
),
IF(Info!$B$4="Board program (Medicine)",
IF(OR(AND(F$5&gt;0,F$5&gt;100),AND(F$5&gt;0,F$5&lt;100)),
VLOOKUP(FLOOR((Midterm!F68/F$5)*100,1),new_transmute,4,FALSE),
VLOOKUP(Midterm!F68,new_transmute,4,FALSE)
),
""
)
)
)
)
)
)
)
)
))</f>
        <v/>
      </c>
      <c r="G68" s="57" t="str">
        <f t="shared" si="1"/>
        <v/>
      </c>
      <c r="H68" s="14" t="str">
        <f>IF($B68="","",
IF(H$5="","",
IF(Midterm!H68="",0,
IF(NOT(ISNUMBER(Midterm!H68)),"NAN",
IF(Midterm!H68&lt;0,"NEG",
IF(Midterm!H68&gt;H$5,"OVER",
IF(AND(H$5&lt;=100,Midterm!H68&gt;100),"ERR",
IF(Info!$B$4="Non-board program",
IF(OR(AND(H$5&gt;0,H$5&gt;100),AND(H$5&gt;0,H$5&lt;100)),
VLOOKUP(FLOOR((Midterm!H68/H$5)*100,1),new_transmute,2,FALSE),
VLOOKUP(Midterm!H68,new_transmute,2,FALSE)
),
IF(Info!$B$4="Board program",
IF(OR(AND(H$5&gt;0,H$5&gt;100),AND(H$5&gt;0,H$5&lt;100)),
VLOOKUP(FLOOR((Midterm!H68/H$5)*100,1),new_transmute,3,FALSE),
VLOOKUP(Midterm!H68,new_transmute,3,FALSE)
),
IF(Info!$B$4="Board program (Medicine)",
IF(OR(AND(H$5&gt;0,H$5&gt;100),AND(H$5&gt;0,H$5&lt;100)),
VLOOKUP(FLOOR((Midterm!H68/H$5)*100,1),new_transmute,4,FALSE),
VLOOKUP(Midterm!H68,new_transmute,4,FALSE)
),
""
)
)
)
)
)
)
)
)
))</f>
        <v/>
      </c>
      <c r="I68" s="14" t="str">
        <f>IF($B68="","",
IF(I$5="","",
IF(Midterm!I68="",0,
IF(NOT(ISNUMBER(Midterm!I68)),"NAN",
IF(Midterm!I68&lt;0,"NEG",
IF(Midterm!I68&gt;I$5,"OVER",
IF(AND(I$5&lt;=100,Midterm!I68&gt;100),"ERR",
IF(Info!$B$4="Non-board program",
IF(OR(AND(I$5&gt;0,I$5&gt;100),AND(I$5&gt;0,I$5&lt;100)),
VLOOKUP(FLOOR((Midterm!I68/I$5)*100,1),new_transmute,2,FALSE),
VLOOKUP(Midterm!I68,new_transmute,2,FALSE)
),
IF(Info!$B$4="Board program",
IF(OR(AND(I$5&gt;0,I$5&gt;100),AND(I$5&gt;0,I$5&lt;100)),
VLOOKUP(FLOOR((Midterm!I68/I$5)*100,1),new_transmute,3,FALSE),
VLOOKUP(Midterm!I68,new_transmute,3,FALSE)
),
IF(Info!$B$4="Board program (Medicine)",
IF(OR(AND(I$5&gt;0,I$5&gt;100),AND(I$5&gt;0,I$5&lt;100)),
VLOOKUP(FLOOR((Midterm!I68/I$5)*100,1),new_transmute,4,FALSE),
VLOOKUP(Midterm!I68,new_transmute,4,FALSE)
),
""
)
)
)
)
)
)
)
)
))</f>
        <v/>
      </c>
      <c r="J68" s="14" t="str">
        <f>IF($B68="","",
IF(J$5="","",
IF(Midterm!J68="",0,
IF(NOT(ISNUMBER(Midterm!J68)),"NAN",
IF(Midterm!J68&lt;0,"NEG",
IF(Midterm!J68&gt;J$5,"OVER",
IF(AND(J$5&lt;=100,Midterm!J68&gt;100),"ERR",
IF(Info!$B$4="Non-board program",
IF(OR(AND(J$5&gt;0,J$5&gt;100),AND(J$5&gt;0,J$5&lt;100)),
VLOOKUP(FLOOR((Midterm!J68/J$5)*100,1),new_transmute,2,FALSE),
VLOOKUP(Midterm!J68,new_transmute,2,FALSE)
),
IF(Info!$B$4="Board program",
IF(OR(AND(J$5&gt;0,J$5&gt;100),AND(J$5&gt;0,J$5&lt;100)),
VLOOKUP(FLOOR((Midterm!J68/J$5)*100,1),new_transmute,3,FALSE),
VLOOKUP(Midterm!J68,new_transmute,3,FALSE)
),
IF(Info!$B$4="Board program (Medicine)",
IF(OR(AND(J$5&gt;0,J$5&gt;100),AND(J$5&gt;0,J$5&lt;100)),
VLOOKUP(FLOOR((Midterm!J68/J$5)*100,1),new_transmute,4,FALSE),
VLOOKUP(Midterm!J68,new_transmute,4,FALSE)
),
""
)
)
)
)
)
)
)
)
))</f>
        <v/>
      </c>
      <c r="K68" s="14" t="str">
        <f>IF($B68="","",
IF(K$5="","",
IF(Midterm!K68="",0,
IF(NOT(ISNUMBER(Midterm!K68)),"NAN",
IF(Midterm!K68&lt;0,"NEG",
IF(Midterm!K68&gt;K$5,"OVER",
IF(AND(K$5&lt;=100,Midterm!K68&gt;100),"ERR",
IF(Info!$B$4="Non-board program",
IF(OR(AND(K$5&gt;0,K$5&gt;100),AND(K$5&gt;0,K$5&lt;100)),
VLOOKUP(FLOOR((Midterm!K68/K$5)*100,1),new_transmute,2,FALSE),
VLOOKUP(Midterm!K68,new_transmute,2,FALSE)
),
IF(Info!$B$4="Board program",
IF(OR(AND(K$5&gt;0,K$5&gt;100),AND(K$5&gt;0,K$5&lt;100)),
VLOOKUP(FLOOR((Midterm!K68/K$5)*100,1),new_transmute,3,FALSE),
VLOOKUP(Midterm!K68,new_transmute,3,FALSE)
),
IF(Info!$B$4="Board program (Medicine)",
IF(OR(AND(K$5&gt;0,K$5&gt;100),AND(K$5&gt;0,K$5&lt;100)),
VLOOKUP(FLOOR((Midterm!K68/K$5)*100,1),new_transmute,4,FALSE),
VLOOKUP(Midterm!K68,new_transmute,4,FALSE)
),
""
)
)
)
)
)
)
)
)
))</f>
        <v/>
      </c>
      <c r="L68" s="14" t="str">
        <f>IF($B68="","",
IF(L$5="","",
IF(Midterm!L68="",0,
IF(NOT(ISNUMBER(Midterm!L68)),"NAN",
IF(Midterm!L68&lt;0,"NEG",
IF(Midterm!L68&gt;L$5,"OVER",
IF(AND(L$5&lt;=100,Midterm!L68&gt;100),"ERR",
IF(Info!$B$4="Non-board program",
IF(OR(AND(L$5&gt;0,L$5&gt;100),AND(L$5&gt;0,L$5&lt;100)),
VLOOKUP(FLOOR((Midterm!L68/L$5)*100,1),new_transmute,2,FALSE),
VLOOKUP(Midterm!L68,new_transmute,2,FALSE)
),
IF(Info!$B$4="Board program",
IF(OR(AND(L$5&gt;0,L$5&gt;100),AND(L$5&gt;0,L$5&lt;100)),
VLOOKUP(FLOOR((Midterm!L68/L$5)*100,1),new_transmute,3,FALSE),
VLOOKUP(Midterm!L68,new_transmute,3,FALSE)
),
IF(Info!$B$4="Board program (Medicine)",
IF(OR(AND(L$5&gt;0,L$5&gt;100),AND(L$5&gt;0,L$5&lt;100)),
VLOOKUP(FLOOR((Midterm!L68/L$5)*100,1),new_transmute,4,FALSE),
VLOOKUP(Midterm!L68,new_transmute,4,FALSE)
),
""
)
)
)
)
)
)
)
)
))</f>
        <v/>
      </c>
      <c r="M68" s="111" t="str">
        <f t="shared" si="2"/>
        <v/>
      </c>
      <c r="N68" s="14" t="str">
        <f>IF($B68="","",
IF(N$5="","",
IF(Midterm!N68="",0,
IF(NOT(ISNUMBER(Midterm!N68)),"NAN",
IF(Midterm!N68&lt;0,"NEG",
IF(Midterm!N68&gt;N$5,"OVER",
IF(AND(N$5&lt;=100,Midterm!N68&gt;100),"ERR",
IF(Info!$B$4="Non-board program",
IF(OR(AND(N$5&gt;0,N$5&gt;100),AND(N$5&gt;0,N$5&lt;100)),
VLOOKUP(FLOOR((Midterm!N68/N$5)*100,1),new_transmute,2,FALSE),
VLOOKUP(Midterm!N68,new_transmute,2,FALSE)
),
IF(Info!$B$4="Board program",
IF(OR(AND(N$5&gt;0,N$5&gt;100),AND(N$5&gt;0,N$5&lt;100)),
VLOOKUP(FLOOR((Midterm!N68/N$5)*100,1),new_transmute,3,FALSE),
VLOOKUP(Midterm!N68,new_transmute,3,FALSE)
),
IF(Info!$B$4="Board program (Medicine)",
IF(OR(AND(N$5&gt;0,N$5&gt;100),AND(N$5&gt;0,N$5&lt;100)),
VLOOKUP(FLOOR((Midterm!N68/N$5)*100,1),new_transmute,4,FALSE),
VLOOKUP(Midterm!N68,new_transmute,4,FALSE)
),
""
)
)
)
)
)
)
)
)
))</f>
        <v/>
      </c>
      <c r="O68" s="14" t="str">
        <f>IF($B68="","",
IF(O$5="","",
IF(Midterm!O68="",0,
IF(NOT(ISNUMBER(Midterm!O68)),"NAN",
IF(Midterm!O68&lt;0,"NEG",
IF(Midterm!O68&gt;O$5,"OVER",
IF(AND(O$5&lt;=100,Midterm!O68&gt;100),"ERR",
IF(Info!$B$4="Non-board program",
IF(OR(AND(O$5&gt;0,O$5&gt;100),AND(O$5&gt;0,O$5&lt;100)),
VLOOKUP(FLOOR((Midterm!O68/O$5)*100,1),new_transmute,2,FALSE),
VLOOKUP(Midterm!O68,new_transmute,2,FALSE)
),
IF(Info!$B$4="Board program",
IF(OR(AND(O$5&gt;0,O$5&gt;100),AND(O$5&gt;0,O$5&lt;100)),
VLOOKUP(FLOOR((Midterm!O68/O$5)*100,1),new_transmute,3,FALSE),
VLOOKUP(Midterm!O68,new_transmute,3,FALSE)
),
IF(Info!$B$4="Board program (Medicine)",
IF(OR(AND(O$5&gt;0,O$5&gt;100),AND(O$5&gt;0,O$5&lt;100)),
VLOOKUP(FLOOR((Midterm!O68/O$5)*100,1),new_transmute,4,FALSE),
VLOOKUP(Midterm!O68,new_transmute,4,FALSE)
),
""
)
)
)
)
)
)
)
)
))</f>
        <v/>
      </c>
      <c r="P68" s="14" t="str">
        <f>IF($B68="","",
IF(P$5="","",
IF(Midterm!P68="",0,
IF(NOT(ISNUMBER(Midterm!P68)),"NAN",
IF(Midterm!P68&lt;0,"NEG",
IF(Midterm!P68&gt;P$5,"OVER",
IF(AND(P$5&lt;=100,Midterm!P68&gt;100),"ERR",
IF(Info!$B$4="Non-board program",
IF(OR(AND(P$5&gt;0,P$5&gt;100),AND(P$5&gt;0,P$5&lt;100)),
VLOOKUP(FLOOR((Midterm!P68/P$5)*100,1),new_transmute,2,FALSE),
VLOOKUP(Midterm!P68,new_transmute,2,FALSE)
),
IF(Info!$B$4="Board program",
IF(OR(AND(P$5&gt;0,P$5&gt;100),AND(P$5&gt;0,P$5&lt;100)),
VLOOKUP(FLOOR((Midterm!P68/P$5)*100,1),new_transmute,3,FALSE),
VLOOKUP(Midterm!P68,new_transmute,3,FALSE)
),
IF(Info!$B$4="Board program (Medicine)",
IF(OR(AND(P$5&gt;0,P$5&gt;100),AND(P$5&gt;0,P$5&lt;100)),
VLOOKUP(FLOOR((Midterm!P68/P$5)*100,1),new_transmute,4,FALSE),
VLOOKUP(Midterm!P68,new_transmute,4,FALSE)
),
""
)
)
)
)
)
)
)
)
))</f>
        <v/>
      </c>
      <c r="Q68" s="14" t="str">
        <f>IF($B68="","",
IF(Q$5="","",
IF(Midterm!Q68="",0,
IF(NOT(ISNUMBER(Midterm!Q68)),"NAN",
IF(Midterm!Q68&lt;0,"NEG",
IF(Midterm!Q68&gt;Q$5,"OVER",
IF(AND(Q$5&lt;=100,Midterm!Q68&gt;100),"ERR",
IF(Info!$B$4="Non-board program",
IF(OR(AND(Q$5&gt;0,Q$5&gt;100),AND(Q$5&gt;0,Q$5&lt;100)),
VLOOKUP(FLOOR((Midterm!Q68/Q$5)*100,1),new_transmute,2,FALSE),
VLOOKUP(Midterm!Q68,new_transmute,2,FALSE)
),
IF(Info!$B$4="Board program",
IF(OR(AND(Q$5&gt;0,Q$5&gt;100),AND(Q$5&gt;0,Q$5&lt;100)),
VLOOKUP(FLOOR((Midterm!Q68/Q$5)*100,1),new_transmute,3,FALSE),
VLOOKUP(Midterm!Q68,new_transmute,3,FALSE)
),
IF(Info!$B$4="Board program (Medicine)",
IF(OR(AND(Q$5&gt;0,Q$5&gt;100),AND(Q$5&gt;0,Q$5&lt;100)),
VLOOKUP(FLOOR((Midterm!Q68/Q$5)*100,1),new_transmute,4,FALSE),
VLOOKUP(Midterm!Q68,new_transmute,4,FALSE)
),
""
)
)
)
)
)
)
)
)
))</f>
        <v/>
      </c>
      <c r="R68" s="14" t="str">
        <f>IF($B68="","",
IF(R$5="","",
IF(Midterm!R68="",0,
IF(NOT(ISNUMBER(Midterm!R68)),"NAN",
IF(Midterm!R68&lt;0,"NEG",
IF(Midterm!R68&gt;R$5,"OVER",
IF(AND(R$5&lt;=100,Midterm!R68&gt;100),"ERR",
IF(Info!$B$4="Non-board program",
IF(OR(AND(R$5&gt;0,R$5&gt;100),AND(R$5&gt;0,R$5&lt;100)),
VLOOKUP(FLOOR((Midterm!R68/R$5)*100,1),new_transmute,2,FALSE),
VLOOKUP(Midterm!R68,new_transmute,2,FALSE)
),
IF(Info!$B$4="Board program",
IF(OR(AND(R$5&gt;0,R$5&gt;100),AND(R$5&gt;0,R$5&lt;100)),
VLOOKUP(FLOOR((Midterm!R68/R$5)*100,1),new_transmute,3,FALSE),
VLOOKUP(Midterm!R68,new_transmute,3,FALSE)
),
IF(Info!$B$4="Board program (Medicine)",
IF(OR(AND(R$5&gt;0,R$5&gt;100),AND(R$5&gt;0,R$5&lt;100)),
VLOOKUP(FLOOR((Midterm!R68/R$5)*100,1),new_transmute,4,FALSE),
VLOOKUP(Midterm!R68,new_transmute,4,FALSE)
),
""
)
)
)
)
)
)
)
)
))</f>
        <v/>
      </c>
      <c r="S68" s="115" t="str">
        <f t="shared" si="3"/>
        <v/>
      </c>
      <c r="T68" s="14" t="str">
        <f>IF($B68="","",
IF(T$5="","",
IF(Midterm!T68="",0,
IF(NOT(ISNUMBER(Midterm!T68)),"NAN",
IF(Midterm!T68&lt;0,"NEG",
IF(Midterm!T68&gt;T$5,"OVER",
IF(AND(T$5&lt;=100,Midterm!T68&gt;100),"ERR",
IF(Info!$B$4="Non-board program",
IF(OR(AND(T$5&gt;0,T$5&gt;100),AND(T$5&gt;0,T$5&lt;100)),
VLOOKUP(FLOOR((Midterm!T68/T$5)*100,1),new_transmute,2,FALSE),
VLOOKUP(Midterm!T68,new_transmute,2,FALSE)
),
IF(Info!$B$4="Board program",
IF(OR(AND(T$5&gt;0,T$5&gt;100),AND(T$5&gt;0,T$5&lt;100)),
VLOOKUP(FLOOR((Midterm!T68/T$5)*100,1),new_transmute,3,FALSE),
VLOOKUP(Midterm!T68,new_transmute,3,FALSE)
),
IF(Info!$B$4="Board program (Medicine)",
IF(OR(AND(T$5&gt;0,T$5&gt;100),AND(T$5&gt;0,T$5&lt;100)),
VLOOKUP(FLOOR((Midterm!T68/T$5)*100,1),new_transmute,4,FALSE),
VLOOKUP(Midterm!T68,new_transmute,4,FALSE)
),
""
)
)
)
)
)
)
)
)
))</f>
        <v/>
      </c>
      <c r="U68" s="14" t="str">
        <f>IF($B68="","",
IF(U$5="","",
IF(Midterm!U68="",0,
IF(NOT(ISNUMBER(Midterm!U68)),"NAN",
IF(Midterm!U68&lt;0,"NEG",
IF(Midterm!U68&gt;U$5,"OVER",
IF(AND(U$5&lt;=100,Midterm!U68&gt;100),"ERR",
IF(Info!$B$4="Non-board program",
IF(OR(AND(U$5&gt;0,U$5&gt;100),AND(U$5&gt;0,U$5&lt;100)),
VLOOKUP(FLOOR((Midterm!U68/U$5)*100,1),new_transmute,2,FALSE),
VLOOKUP(Midterm!U68,new_transmute,2,FALSE)
),
IF(Info!$B$4="Board program",
IF(OR(AND(U$5&gt;0,U$5&gt;100),AND(U$5&gt;0,U$5&lt;100)),
VLOOKUP(FLOOR((Midterm!U68/U$5)*100,1),new_transmute,3,FALSE),
VLOOKUP(Midterm!U68,new_transmute,3,FALSE)
),
IF(Info!$B$4="Board program (Medicine)",
IF(OR(AND(U$5&gt;0,U$5&gt;100),AND(U$5&gt;0,U$5&lt;100)),
VLOOKUP(FLOOR((Midterm!U68/U$5)*100,1),new_transmute,4,FALSE),
VLOOKUP(Midterm!U68,new_transmute,4,FALSE)
),
""
)
)
)
)
)
)
)
)
))</f>
        <v/>
      </c>
      <c r="V68" s="14" t="str">
        <f>IF($B68="","",
IF(V$5="","",
IF(Midterm!V68="",0,
IF(NOT(ISNUMBER(Midterm!V68)),"NAN",
IF(Midterm!V68&lt;0,"NEG",
IF(Midterm!V68&gt;V$5,"OVER",
IF(AND(V$5&lt;=100,Midterm!V68&gt;100),"ERR",
IF(Info!$B$4="Non-board program",
IF(OR(AND(V$5&gt;0,V$5&gt;100),AND(V$5&gt;0,V$5&lt;100)),
VLOOKUP(FLOOR((Midterm!V68/V$5)*100,1),new_transmute,2,FALSE),
VLOOKUP(Midterm!V68,new_transmute,2,FALSE)
),
IF(Info!$B$4="Board program",
IF(OR(AND(V$5&gt;0,V$5&gt;100),AND(V$5&gt;0,V$5&lt;100)),
VLOOKUP(FLOOR((Midterm!V68/V$5)*100,1),new_transmute,3,FALSE),
VLOOKUP(Midterm!V68,new_transmute,3,FALSE)
),
IF(Info!$B$4="Board program (Medicine)",
IF(OR(AND(V$5&gt;0,V$5&gt;100),AND(V$5&gt;0,V$5&lt;100)),
VLOOKUP(FLOOR((Midterm!V68/V$5)*100,1),new_transmute,4,FALSE),
VLOOKUP(Midterm!V68,new_transmute,4,FALSE)
),
""
)
)
)
)
)
)
)
)
))</f>
        <v/>
      </c>
      <c r="W68" s="14" t="str">
        <f>IF($B68="","",
IF(W$5="","",
IF(Midterm!W68="",0,
IF(NOT(ISNUMBER(Midterm!W68)),"NAN",
IF(Midterm!W68&lt;0,"NEG",
IF(Midterm!W68&gt;W$5,"OVER",
IF(AND(W$5&lt;=100,Midterm!W68&gt;100),"ERR",
IF(Info!$B$4="Non-board program",
IF(OR(AND(W$5&gt;0,W$5&gt;100),AND(W$5&gt;0,W$5&lt;100)),
VLOOKUP(FLOOR((Midterm!W68/W$5)*100,1),new_transmute,2,FALSE),
VLOOKUP(Midterm!W68,new_transmute,2,FALSE)
),
IF(Info!$B$4="Board program",
IF(OR(AND(W$5&gt;0,W$5&gt;100),AND(W$5&gt;0,W$5&lt;100)),
VLOOKUP(FLOOR((Midterm!W68/W$5)*100,1),new_transmute,3,FALSE),
VLOOKUP(Midterm!W68,new_transmute,3,FALSE)
),
IF(Info!$B$4="Board program (Medicine)",
IF(OR(AND(W$5&gt;0,W$5&gt;100),AND(W$5&gt;0,W$5&lt;100)),
VLOOKUP(FLOOR((Midterm!W68/W$5)*100,1),new_transmute,4,FALSE),
VLOOKUP(Midterm!W68,new_transmute,4,FALSE)
),
""
)
)
)
)
)
)
)
)
))</f>
        <v/>
      </c>
      <c r="X68" s="14" t="str">
        <f>IF($B68="","",
IF(X$5="","",
IF(Midterm!X68="",0,
IF(NOT(ISNUMBER(Midterm!X68)),"NAN",
IF(Midterm!X68&lt;0,"NEG",
IF(Midterm!X68&gt;X$5,"OVER",
IF(AND(X$5&lt;=100,Midterm!X68&gt;100),"ERR",
IF(Info!$B$4="Non-board program",
IF(OR(AND(X$5&gt;0,X$5&gt;100),AND(X$5&gt;0,X$5&lt;100)),
VLOOKUP(FLOOR((Midterm!X68/X$5)*100,1),new_transmute,2,FALSE),
VLOOKUP(Midterm!X68,new_transmute,2,FALSE)
),
IF(Info!$B$4="Board program",
IF(OR(AND(X$5&gt;0,X$5&gt;100),AND(X$5&gt;0,X$5&lt;100)),
VLOOKUP(FLOOR((Midterm!X68/X$5)*100,1),new_transmute,3,FALSE),
VLOOKUP(Midterm!X68,new_transmute,3,FALSE)
),
IF(Info!$B$4="Board program (Medicine)",
IF(OR(AND(X$5&gt;0,X$5&gt;100),AND(X$5&gt;0,X$5&lt;100)),
VLOOKUP(FLOOR((Midterm!X68/X$5)*100,1),new_transmute,4,FALSE),
VLOOKUP(Midterm!X68,new_transmute,4,FALSE)
),
""
)
)
)
)
)
)
)
)
))</f>
        <v/>
      </c>
      <c r="Y68" s="112" t="str">
        <f t="shared" si="4"/>
        <v/>
      </c>
      <c r="Z68" s="14" t="str">
        <f>IF($B68="","",
IF(Z$5="","",
IF(Midterm!Z68="",0,
IF(NOT(ISNUMBER(Midterm!Z68)),"NAN",
IF(Midterm!Z68&lt;0,"NEG",
IF(Midterm!Z68&gt;Z$5,"OVER",
IF(AND(Z$5&lt;=100,Midterm!Z68&gt;100),"ERR",
IF(Info!$B$4="Non-board program",
IF(OR(AND(Z$5&gt;0,Z$5&gt;100),AND(Z$5&gt;0,Z$5&lt;100)),
VLOOKUP(FLOOR((Midterm!Z68/Z$5)*100,1),new_transmute,2,FALSE),
VLOOKUP(Midterm!Z68,new_transmute,2,FALSE)
),
IF(Info!$B$4="Board program",
IF(OR(AND(Z$5&gt;0,Z$5&gt;100),AND(Z$5&gt;0,Z$5&lt;100)),
VLOOKUP(FLOOR((Midterm!Z68/Z$5)*100,1),new_transmute,3,FALSE),
VLOOKUP(Midterm!Z68,new_transmute,3,FALSE)
),
IF(Info!$B$4="Board program (Medicine)",
IF(OR(AND(Z$5&gt;0,Z$5&gt;100),AND(Z$5&gt;0,Z$5&lt;100)),
VLOOKUP(FLOOR((Midterm!Z68/Z$5)*100,1),new_transmute,4,FALSE),
VLOOKUP(Midterm!Z68,new_transmute,4,FALSE)
),
""
)
)
)
)
)
)
)
)
))</f>
        <v/>
      </c>
      <c r="AA68" s="14" t="str">
        <f>IF($B68="","",
IF(AA$5="","",
IF(Midterm!AA68="",0,
IF(NOT(ISNUMBER(Midterm!AA68)),"NAN",
IF(Midterm!AA68&lt;0,"NEG",
IF(Midterm!AA68&gt;AA$5,"OVER",
IF(AND(AA$5&lt;=100,Midterm!AA68&gt;100),"ERR",
IF(Info!$B$4="Non-board program",
IF(OR(AND(AA$5&gt;0,AA$5&gt;100),AND(AA$5&gt;0,AA$5&lt;100)),
VLOOKUP(FLOOR((Midterm!AA68/AA$5)*100,1),new_transmute,2,FALSE),
VLOOKUP(Midterm!AA68,new_transmute,2,FALSE)
),
IF(Info!$B$4="Board program",
IF(OR(AND(AA$5&gt;0,AA$5&gt;100),AND(AA$5&gt;0,AA$5&lt;100)),
VLOOKUP(FLOOR((Midterm!AA68/AA$5)*100,1),new_transmute,3,FALSE),
VLOOKUP(Midterm!AA68,new_transmute,3,FALSE)
),
IF(Info!$B$4="Board program (Medicine)",
IF(OR(AND(AA$5&gt;0,AA$5&gt;100),AND(AA$5&gt;0,AA$5&lt;100)),
VLOOKUP(FLOOR((Midterm!AA68/AA$5)*100,1),new_transmute,4,FALSE),
VLOOKUP(Midterm!AA68,new_transmute,4,FALSE)
),
""
)
)
)
)
)
)
)
)
))</f>
        <v/>
      </c>
      <c r="AB68" s="14" t="str">
        <f>IF($B68="","",
IF(AB$5="","",
IF(Midterm!AB68="",0,
IF(NOT(ISNUMBER(Midterm!AB68)),"NAN",
IF(Midterm!AB68&lt;0,"NEG",
IF(Midterm!AB68&gt;AB$5,"OVER",
IF(AND(AB$5&lt;=100,Midterm!AB68&gt;100),"ERR",
IF(Info!$B$4="Non-board program",
IF(OR(AND(AB$5&gt;0,AB$5&gt;100),AND(AB$5&gt;0,AB$5&lt;100)),
VLOOKUP(FLOOR((Midterm!AB68/AB$5)*100,1),new_transmute,2,FALSE),
VLOOKUP(Midterm!AB68,new_transmute,2,FALSE)
),
IF(Info!$B$4="Board program",
IF(OR(AND(AB$5&gt;0,AB$5&gt;100),AND(AB$5&gt;0,AB$5&lt;100)),
VLOOKUP(FLOOR((Midterm!AB68/AB$5)*100,1),new_transmute,3,FALSE),
VLOOKUP(Midterm!AB68,new_transmute,3,FALSE)
),
IF(Info!$B$4="Board program (Medicine)",
IF(OR(AND(AB$5&gt;0,AB$5&gt;100),AND(AB$5&gt;0,AB$5&lt;100)),
VLOOKUP(FLOOR((Midterm!AB68/AB$5)*100,1),new_transmute,4,FALSE),
VLOOKUP(Midterm!AB68,new_transmute,4,FALSE)
),
""
)
)
)
)
)
)
)
)
))</f>
        <v/>
      </c>
      <c r="AC68" s="14" t="str">
        <f>IF($B68="","",
IF(AC$5="","",
IF(Midterm!AC68="",0,
IF(NOT(ISNUMBER(Midterm!AC68)),"NAN",
IF(Midterm!AC68&lt;0,"NEG",
IF(Midterm!AC68&gt;AC$5,"OVER",
IF(AND(AC$5&lt;=100,Midterm!AC68&gt;100),"ERR",
IF(Info!$B$4="Non-board program",
IF(OR(AND(AC$5&gt;0,AC$5&gt;100),AND(AC$5&gt;0,AC$5&lt;100)),
VLOOKUP(FLOOR((Midterm!AC68/AC$5)*100,1),new_transmute,2,FALSE),
VLOOKUP(Midterm!AC68,new_transmute,2,FALSE)
),
IF(Info!$B$4="Board program",
IF(OR(AND(AC$5&gt;0,AC$5&gt;100),AND(AC$5&gt;0,AC$5&lt;100)),
VLOOKUP(FLOOR((Midterm!AC68/AC$5)*100,1),new_transmute,3,FALSE),
VLOOKUP(Midterm!AC68,new_transmute,3,FALSE)
),
IF(Info!$B$4="Board program (Medicine)",
IF(OR(AND(AC$5&gt;0,AC$5&gt;100),AND(AC$5&gt;0,AC$5&lt;100)),
VLOOKUP(FLOOR((Midterm!AC68/AC$5)*100,1),new_transmute,4,FALSE),
VLOOKUP(Midterm!AC68,new_transmute,4,FALSE)
),
""
)
)
)
)
)
)
)
)
))</f>
        <v/>
      </c>
      <c r="AD68" s="14" t="str">
        <f>IF($B68="","",
IF(AD$5="","",
IF(Midterm!AD68="",0,
IF(NOT(ISNUMBER(Midterm!AD68)),"NAN",
IF(Midterm!AD68&lt;0,"NEG",
IF(Midterm!AD68&gt;AD$5,"OVER",
IF(AND(AD$5&lt;=100,Midterm!AD68&gt;100),"ERR",
IF(Info!$B$4="Non-board program",
IF(OR(AND(AD$5&gt;0,AD$5&gt;100),AND(AD$5&gt;0,AD$5&lt;100)),
VLOOKUP(FLOOR((Midterm!AD68/AD$5)*100,1),new_transmute,2,FALSE),
VLOOKUP(Midterm!AD68,new_transmute,2,FALSE)
),
IF(Info!$B$4="Board program",
IF(OR(AND(AD$5&gt;0,AD$5&gt;100),AND(AD$5&gt;0,AD$5&lt;100)),
VLOOKUP(FLOOR((Midterm!AD68/AD$5)*100,1),new_transmute,3,FALSE),
VLOOKUP(Midterm!AD68,new_transmute,3,FALSE)
),
IF(Info!$B$4="Board program (Medicine)",
IF(OR(AND(AD$5&gt;0,AD$5&gt;100),AND(AD$5&gt;0,AD$5&lt;100)),
VLOOKUP(FLOOR((Midterm!AD68/AD$5)*100,1),new_transmute,4,FALSE),
VLOOKUP(Midterm!AD68,new_transmute,4,FALSE)
),
""
)
)
)
)
)
)
)
)
))</f>
        <v/>
      </c>
      <c r="AE68" s="58" t="str">
        <f t="shared" si="5"/>
        <v/>
      </c>
      <c r="AF68" s="14" t="str">
        <f>IF($B68="","",
IF(AF$5="","",
IF(Midterm!AF68="",0,
IF(NOT(ISNUMBER(Midterm!AF68)),"NAN",
IF(Midterm!AF68&lt;0,"NEG",
IF(Midterm!AF68&gt;AF$5,"OVER",
IF(AND(AF$5&lt;=100,Midterm!AF68&gt;100),"ERR",
IF(Info!$B$4="Non-board program",
IF(OR(AND(AF$5&gt;0,AF$5&gt;100),AND(AF$5&gt;0,AF$5&lt;100)),
VLOOKUP(FLOOR((Midterm!AF68/AF$5)*100,1),new_transmute,2,FALSE),
VLOOKUP(Midterm!AF68,new_transmute,2,FALSE)
),
IF(Info!$B$4="Board program",
IF(OR(AND(AF$5&gt;0,AF$5&gt;100),AND(AF$5&gt;0,AF$5&lt;100)),
VLOOKUP(FLOOR((Midterm!AF68/AF$5)*100,1),new_transmute,3,FALSE),
VLOOKUP(Midterm!AF68,new_transmute,3,FALSE)
),
IF(Info!$B$4="Board program (Medicine)",
IF(OR(AND(AF$5&gt;0,AF$5&gt;100),AND(AF$5&gt;0,AF$5&lt;100)),
VLOOKUP(FLOOR((Midterm!AF68/AF$5)*100,1),new_transmute,4,FALSE),
VLOOKUP(Midterm!AF68,new_transmute,4,FALSE)
),
""
)
)
)
)
)
)
)
)
))</f>
        <v/>
      </c>
      <c r="AG68" s="14" t="str">
        <f>IF($B68="","",
IF(AG$5="","",
IF(Midterm!AG68="",0,
IF(NOT(ISNUMBER(Midterm!AG68)),"NAN",
IF(Midterm!AG68&lt;0,"NEG",
IF(Midterm!AG68&gt;AG$5,"OVER",
IF(AND(AG$5&lt;=100,Midterm!AG68&gt;100),"ERR",
IF(Info!$B$4="Non-board program",
IF(OR(AND(AG$5&gt;0,AG$5&gt;100),AND(AG$5&gt;0,AG$5&lt;100)),
VLOOKUP(FLOOR((Midterm!AG68/AG$5)*100,1),new_transmute,2,FALSE),
VLOOKUP(Midterm!AG68,new_transmute,2,FALSE)
),
IF(Info!$B$4="Board program",
IF(OR(AND(AG$5&gt;0,AG$5&gt;100),AND(AG$5&gt;0,AG$5&lt;100)),
VLOOKUP(FLOOR((Midterm!AG68/AG$5)*100,1),new_transmute,3,FALSE),
VLOOKUP(Midterm!AG68,new_transmute,3,FALSE)
),
IF(Info!$B$4="Board program (Medicine)",
IF(OR(AND(AG$5&gt;0,AG$5&gt;100),AND(AG$5&gt;0,AG$5&lt;100)),
VLOOKUP(FLOOR((Midterm!AG68/AG$5)*100,1),new_transmute,4,FALSE),
VLOOKUP(Midterm!AG68,new_transmute,4,FALSE)
),
""
)
)
)
)
)
)
)
)
))</f>
        <v/>
      </c>
      <c r="AH68" s="14" t="str">
        <f>IF($B68="","",
IF(AH$5="","",
IF(Midterm!AH68="",0,
IF(NOT(ISNUMBER(Midterm!AH68)),"NAN",
IF(Midterm!AH68&lt;0,"NEG",
IF(Midterm!AH68&gt;AH$5,"OVER",
IF(AND(AH$5&lt;=100,Midterm!AH68&gt;100),"ERR",
IF(Info!$B$4="Non-board program",
IF(OR(AND(AH$5&gt;0,AH$5&gt;100),AND(AH$5&gt;0,AH$5&lt;100)),
VLOOKUP(FLOOR((Midterm!AH68/AH$5)*100,1),new_transmute,2,FALSE),
VLOOKUP(Midterm!AH68,new_transmute,2,FALSE)
),
IF(Info!$B$4="Board program",
IF(OR(AND(AH$5&gt;0,AH$5&gt;100),AND(AH$5&gt;0,AH$5&lt;100)),
VLOOKUP(FLOOR((Midterm!AH68/AH$5)*100,1),new_transmute,3,FALSE),
VLOOKUP(Midterm!AH68,new_transmute,3,FALSE)
),
IF(Info!$B$4="Board program (Medicine)",
IF(OR(AND(AH$5&gt;0,AH$5&gt;100),AND(AH$5&gt;0,AH$5&lt;100)),
VLOOKUP(FLOOR((Midterm!AH68/AH$5)*100,1),new_transmute,4,FALSE),
VLOOKUP(Midterm!AH68,new_transmute,4,FALSE)
),
""
)
)
)
)
)
)
)
)
))</f>
        <v/>
      </c>
      <c r="AI68" s="14" t="str">
        <f>IF($B68="","",
IF(AI$5="","",
IF(Midterm!AI68="",0,
IF(NOT(ISNUMBER(Midterm!AI68)),"NAN",
IF(Midterm!AI68&lt;0,"NEG",
IF(Midterm!AI68&gt;AI$5,"OVER",
IF(AND(AI$5&lt;=100,Midterm!AI68&gt;100),"ERR",
IF(Info!$B$4="Non-board program",
IF(OR(AND(AI$5&gt;0,AI$5&gt;100),AND(AI$5&gt;0,AI$5&lt;100)),
VLOOKUP(FLOOR((Midterm!AI68/AI$5)*100,1),new_transmute,2,FALSE),
VLOOKUP(Midterm!AI68,new_transmute,2,FALSE)
),
IF(Info!$B$4="Board program",
IF(OR(AND(AI$5&gt;0,AI$5&gt;100),AND(AI$5&gt;0,AI$5&lt;100)),
VLOOKUP(FLOOR((Midterm!AI68/AI$5)*100,1),new_transmute,3,FALSE),
VLOOKUP(Midterm!AI68,new_transmute,3,FALSE)
),
IF(Info!$B$4="Board program (Medicine)",
IF(OR(AND(AI$5&gt;0,AI$5&gt;100),AND(AI$5&gt;0,AI$5&lt;100)),
VLOOKUP(FLOOR((Midterm!AI68/AI$5)*100,1),new_transmute,4,FALSE),
VLOOKUP(Midterm!AI68,new_transmute,4,FALSE)
),
""
)
)
)
)
)
)
)
)
))</f>
        <v/>
      </c>
      <c r="AJ68" s="14" t="str">
        <f>IF($B68="","",
IF(AJ$5="","",
IF(Midterm!AJ68="",0,
IF(NOT(ISNUMBER(Midterm!AJ68)),"NAN",
IF(Midterm!AJ68&lt;0,"NEG",
IF(Midterm!AJ68&gt;AJ$5,"OVER",
IF(AND(AJ$5&lt;=100,Midterm!AJ68&gt;100),"ERR",
IF(Info!$B$4="Non-board program",
IF(OR(AND(AJ$5&gt;0,AJ$5&gt;100),AND(AJ$5&gt;0,AJ$5&lt;100)),
VLOOKUP(FLOOR((Midterm!AJ68/AJ$5)*100,1),new_transmute,2,FALSE),
VLOOKUP(Midterm!AJ68,new_transmute,2,FALSE)
),
IF(Info!$B$4="Board program",
IF(OR(AND(AJ$5&gt;0,AJ$5&gt;100),AND(AJ$5&gt;0,AJ$5&lt;100)),
VLOOKUP(FLOOR((Midterm!AJ68/AJ$5)*100,1),new_transmute,3,FALSE),
VLOOKUP(Midterm!AJ68,new_transmute,3,FALSE)
),
IF(Info!$B$4="Board program (Medicine)",
IF(OR(AND(AJ$5&gt;0,AJ$5&gt;100),AND(AJ$5&gt;0,AJ$5&lt;100)),
VLOOKUP(FLOOR((Midterm!AJ68/AJ$5)*100,1),new_transmute,4,FALSE),
VLOOKUP(Midterm!AJ68,new_transmute,4,FALSE)
),
""
)
)
)
)
)
)
)
)
))</f>
        <v/>
      </c>
      <c r="AK68" s="59" t="str">
        <f t="shared" si="6"/>
        <v/>
      </c>
      <c r="AL68" s="60" t="str">
        <f>IF(B68="", "",
    IF(OR(M68="OVER", S68="OVER", Y68="OVER", AE68="OVER", AK68="OVER"),
        "OVER",
        IF(Info!$B$4="Non-board program",
            VLOOKUP(IFERROR(FLOOR(SUM((M68*$M$4), (S68*$S$4), (Y68*$Y$4), (AE68*$AE$4), (AK68*$AK$4)) * (100 / 60), 1), 0), new_transmute, 2, FALSE),
            IF(Info!$B$4="Board program",
                VLOOKUP(IFERROR(FLOOR(SUM((M68*$M$4), (S68*$S$4), (Y68*$Y$4), (AE68*$AE$4), (AK68*$AK$4)) * (100 / 60), 1), 0), new_transmute, 3, FALSE),
                IF(Info!$B$4="Board program (Medicine)",
                    VLOOKUP(IFERROR(FLOOR(SUM((M68*$M$4), (S68*$S$4), (Y68*$Y$4), (AE68*$AE$4), (AK68*$AK$4)) * (100 / 60), 1), 0), new_transmute, 4, FALSE),
                    ""
                )
            )
        )
    )
)</f>
        <v/>
      </c>
      <c r="AM68" s="14" t="str">
        <f>IF($B68="","",
IF(AM$5="","",
IF(Midterm!AM68="",0,
IF(NOT(ISNUMBER(Midterm!AM68)),"NAN",
IF(Midterm!AM68&lt;0,"NEG",
IF(Midterm!AM68&gt;AM$5,"OVER",
IF(AND(AM$5&lt;=100,Midterm!AM68&gt;100),"ERR",
IF(Info!$B$4="Non-board program",
IF(OR(AND(AM$5&gt;0,AM$5&gt;100),AND(AM$5&gt;0,AM$5&lt;100)),
VLOOKUP(FLOOR((Midterm!AM68/AM$5)*100,1),new_transmute,2,FALSE),
VLOOKUP(Midterm!AM68,new_transmute,2,FALSE)
),
IF(Info!$B$4="Board program",
IF(OR(AND(AM$5&gt;0,AM$5&gt;100),AND(AM$5&gt;0,AM$5&lt;100)),
VLOOKUP(FLOOR((Midterm!AM68/AM$5)*100,1),new_transmute,3,FALSE),
VLOOKUP(Midterm!AM68,new_transmute,3,FALSE)
),
IF(Info!$B$4="Board program (Medicine)",
IF(OR(AND(AM$5&gt;0,AM$5&gt;100),AND(AM$5&gt;0,AM$5&lt;100)),
VLOOKUP(FLOOR((Midterm!AM68/AM$5)*100,1),new_transmute,4,FALSE),
VLOOKUP(Midterm!AM68,new_transmute,4,FALSE)
),
""
)
)
)
)
)
)
)
)
))</f>
        <v/>
      </c>
      <c r="AN68" s="14" t="str">
        <f>IF($B68="","",
IF(AN$5="","",
IF(Midterm!AN68="",0,
IF(NOT(ISNUMBER(Midterm!AN68)),"NAN",
IF(Midterm!AN68&lt;0,"NEG",
IF(Midterm!AN68&gt;AN$5,"OVER",
IF(AND(AN$5&lt;=100,Midterm!AN68&gt;100),"ERR",
IF(Info!$B$4="Non-board program",
IF(OR(AND(AN$5&gt;0,AN$5&gt;100),AND(AN$5&gt;0,AN$5&lt;100)),
VLOOKUP(FLOOR((Midterm!AN68/AN$5)*100,1),new_transmute,2,FALSE),
VLOOKUP(Midterm!AN68,new_transmute,2,FALSE)
),
IF(Info!$B$4="Board program",
IF(OR(AND(AN$5&gt;0,AN$5&gt;100),AND(AN$5&gt;0,AN$5&lt;100)),
VLOOKUP(FLOOR((Midterm!AN68/AN$5)*100,1),new_transmute,3,FALSE),
VLOOKUP(Midterm!AN68,new_transmute,3,FALSE)
),
IF(Info!$B$4="Board program (Medicine)",
IF(OR(AND(AN$5&gt;0,AN$5&gt;100),AND(AN$5&gt;0,AN$5&lt;100)),
VLOOKUP(FLOOR((Midterm!AN68/AN$5)*100,1),new_transmute,4,FALSE),
VLOOKUP(Midterm!AN68,new_transmute,4,FALSE)
),
""
)
)
)
)
)
)
)
)
))</f>
        <v/>
      </c>
      <c r="AO68" s="14" t="str">
        <f>IF($B68="","",
IF(AO$5="","",
IF(Midterm!AO68="",0,
IF(NOT(ISNUMBER(Midterm!AO68)),"NAN",
IF(Midterm!AO68&lt;0,"NEG",
IF(Midterm!AO68&gt;AO$5,"OVER",
IF(AND(AO$5&lt;=100,Midterm!AO68&gt;100),"ERR",
IF(Info!$B$4="Non-board program",
IF(OR(AND(AO$5&gt;0,AO$5&gt;100),AND(AO$5&gt;0,AO$5&lt;100)),
VLOOKUP(FLOOR((Midterm!AO68/AO$5)*100,1),new_transmute,2,FALSE),
VLOOKUP(Midterm!AO68,new_transmute,2,FALSE)
),
IF(Info!$B$4="Board program",
IF(OR(AND(AO$5&gt;0,AO$5&gt;100),AND(AO$5&gt;0,AO$5&lt;100)),
VLOOKUP(FLOOR((Midterm!AO68/AO$5)*100,1),new_transmute,3,FALSE),
VLOOKUP(Midterm!AO68,new_transmute,3,FALSE)
),
IF(Info!$B$4="Board program (Medicine)",
IF(OR(AND(AO$5&gt;0,AO$5&gt;100),AND(AO$5&gt;0,AO$5&lt;100)),
VLOOKUP(FLOOR((Midterm!AO68/AO$5)*100,1),new_transmute,4,FALSE),
VLOOKUP(Midterm!AO68,new_transmute,4,FALSE)
),
""
)
)
)
)
)
)
)
)
))</f>
        <v/>
      </c>
      <c r="AP68" s="14" t="str">
        <f>IF($B68="","",
IF(AP$5="","",
IF(Midterm!AP68="",0,
IF(NOT(ISNUMBER(Midterm!AP68)),"NAN",
IF(Midterm!AP68&lt;0,"NEG",
IF(Midterm!AP68&gt;AP$5,"OVER",
IF(AND(AP$5&lt;=100,Midterm!AP68&gt;100),"ERR",
IF(Info!$B$4="Non-board program",
IF(OR(AND(AP$5&gt;0,AP$5&gt;100),AND(AP$5&gt;0,AP$5&lt;100)),
VLOOKUP(FLOOR((Midterm!AP68/AP$5)*100,1),new_transmute,2,FALSE),
VLOOKUP(Midterm!AP68,new_transmute,2,FALSE)
),
IF(Info!$B$4="Board program",
IF(OR(AND(AP$5&gt;0,AP$5&gt;100),AND(AP$5&gt;0,AP$5&lt;100)),
VLOOKUP(FLOOR((Midterm!AP68/AP$5)*100,1),new_transmute,3,FALSE),
VLOOKUP(Midterm!AP68,new_transmute,3,FALSE)
),
IF(Info!$B$4="Board program (Medicine)",
IF(OR(AND(AP$5&gt;0,AP$5&gt;100),AND(AP$5&gt;0,AP$5&lt;100)),
VLOOKUP(FLOOR((Midterm!AP68/AP$5)*100,1),new_transmute,4,FALSE),
VLOOKUP(Midterm!AP68,new_transmute,4,FALSE)
),
""
)
)
)
)
)
)
)
)
))</f>
        <v/>
      </c>
      <c r="AQ68" s="61" t="str">
        <f t="shared" si="7"/>
        <v/>
      </c>
      <c r="AR68" s="48" t="str">
        <f>IF(Midterm!AR68="","",Midterm!AR68)</f>
        <v/>
      </c>
      <c r="AS68" s="165" t="str">
        <f t="shared" si="8"/>
        <v/>
      </c>
      <c r="AT68" s="14" t="str">
        <f t="shared" si="9"/>
        <v/>
      </c>
      <c r="AU68" s="14" t="str">
        <f>IF(B68="","",VLOOKUP(AT68,'New Grade Equivalent'!$B$3:$C$47,2,FALSE))</f>
        <v/>
      </c>
    </row>
    <row r="69" spans="1:47" x14ac:dyDescent="0.25">
      <c r="A69" s="8">
        <v>64</v>
      </c>
      <c r="B69" s="2" t="str">
        <f>IF('Student List'!C73="","",UPPER(LEFT('Student List'!C73,FIND(",",'Student List'!C73)-1)))</f>
        <v/>
      </c>
      <c r="C69" s="12" t="str">
        <f>IF('Student List'!C73="","",PROPER(MID('Student List'!C73, FIND(",", 'Student List'!C73) + 2, LEN('Student List'!C73) - FIND(",", 'Student List'!C73) - 1)))</f>
        <v/>
      </c>
      <c r="D69" s="127" t="str">
        <f>IF(B69="","",IF(Midterm!D69="", "NA", Midterm!D69))</f>
        <v/>
      </c>
      <c r="E69" s="8" t="str">
        <f>IF(B69="","",
  IF(Info!$B$5="First Year",
    IF(D69="Yes", "DRP",
      IF(D69="No", "WF", "")
    )
  )
)</f>
        <v/>
      </c>
      <c r="F69" s="14" t="str">
        <f>IF($B69="","",
IF(F$5="","",
IF(Midterm!F69="",0,
IF(NOT(ISNUMBER(Midterm!F69)),"NAN",
IF(Midterm!F69&lt;0,"NEG",
IF(Midterm!F69&gt;F$5,"OVER",
IF(AND(F$5&lt;=100,Midterm!F69&gt;100),"ERR",
IF(Info!$B$4="Non-board program",
IF(OR(AND(F$5&gt;0,F$5&gt;100),AND(F$5&gt;0,F$5&lt;100)),
VLOOKUP(FLOOR((Midterm!F69/F$5)*100,1),new_transmute,2,FALSE),
VLOOKUP(Midterm!F69,new_transmute,2,FALSE)
),
IF(Info!$B$4="Board program",
IF(OR(AND(F$5&gt;0,F$5&gt;100),AND(F$5&gt;0,F$5&lt;100)),
VLOOKUP(FLOOR((Midterm!F69/F$5)*100,1),new_transmute,3,FALSE),
VLOOKUP(Midterm!F69,new_transmute,3,FALSE)
),
IF(Info!$B$4="Board program (Medicine)",
IF(OR(AND(F$5&gt;0,F$5&gt;100),AND(F$5&gt;0,F$5&lt;100)),
VLOOKUP(FLOOR((Midterm!F69/F$5)*100,1),new_transmute,4,FALSE),
VLOOKUP(Midterm!F69,new_transmute,4,FALSE)
),
""
)
)
)
)
)
)
)
)
))</f>
        <v/>
      </c>
      <c r="G69" s="57" t="str">
        <f t="shared" si="1"/>
        <v/>
      </c>
      <c r="H69" s="14" t="str">
        <f>IF($B69="","",
IF(H$5="","",
IF(Midterm!H69="",0,
IF(NOT(ISNUMBER(Midterm!H69)),"NAN",
IF(Midterm!H69&lt;0,"NEG",
IF(Midterm!H69&gt;H$5,"OVER",
IF(AND(H$5&lt;=100,Midterm!H69&gt;100),"ERR",
IF(Info!$B$4="Non-board program",
IF(OR(AND(H$5&gt;0,H$5&gt;100),AND(H$5&gt;0,H$5&lt;100)),
VLOOKUP(FLOOR((Midterm!H69/H$5)*100,1),new_transmute,2,FALSE),
VLOOKUP(Midterm!H69,new_transmute,2,FALSE)
),
IF(Info!$B$4="Board program",
IF(OR(AND(H$5&gt;0,H$5&gt;100),AND(H$5&gt;0,H$5&lt;100)),
VLOOKUP(FLOOR((Midterm!H69/H$5)*100,1),new_transmute,3,FALSE),
VLOOKUP(Midterm!H69,new_transmute,3,FALSE)
),
IF(Info!$B$4="Board program (Medicine)",
IF(OR(AND(H$5&gt;0,H$5&gt;100),AND(H$5&gt;0,H$5&lt;100)),
VLOOKUP(FLOOR((Midterm!H69/H$5)*100,1),new_transmute,4,FALSE),
VLOOKUP(Midterm!H69,new_transmute,4,FALSE)
),
""
)
)
)
)
)
)
)
)
))</f>
        <v/>
      </c>
      <c r="I69" s="14" t="str">
        <f>IF($B69="","",
IF(I$5="","",
IF(Midterm!I69="",0,
IF(NOT(ISNUMBER(Midterm!I69)),"NAN",
IF(Midterm!I69&lt;0,"NEG",
IF(Midterm!I69&gt;I$5,"OVER",
IF(AND(I$5&lt;=100,Midterm!I69&gt;100),"ERR",
IF(Info!$B$4="Non-board program",
IF(OR(AND(I$5&gt;0,I$5&gt;100),AND(I$5&gt;0,I$5&lt;100)),
VLOOKUP(FLOOR((Midterm!I69/I$5)*100,1),new_transmute,2,FALSE),
VLOOKUP(Midterm!I69,new_transmute,2,FALSE)
),
IF(Info!$B$4="Board program",
IF(OR(AND(I$5&gt;0,I$5&gt;100),AND(I$5&gt;0,I$5&lt;100)),
VLOOKUP(FLOOR((Midterm!I69/I$5)*100,1),new_transmute,3,FALSE),
VLOOKUP(Midterm!I69,new_transmute,3,FALSE)
),
IF(Info!$B$4="Board program (Medicine)",
IF(OR(AND(I$5&gt;0,I$5&gt;100),AND(I$5&gt;0,I$5&lt;100)),
VLOOKUP(FLOOR((Midterm!I69/I$5)*100,1),new_transmute,4,FALSE),
VLOOKUP(Midterm!I69,new_transmute,4,FALSE)
),
""
)
)
)
)
)
)
)
)
))</f>
        <v/>
      </c>
      <c r="J69" s="14" t="str">
        <f>IF($B69="","",
IF(J$5="","",
IF(Midterm!J69="",0,
IF(NOT(ISNUMBER(Midterm!J69)),"NAN",
IF(Midterm!J69&lt;0,"NEG",
IF(Midterm!J69&gt;J$5,"OVER",
IF(AND(J$5&lt;=100,Midterm!J69&gt;100),"ERR",
IF(Info!$B$4="Non-board program",
IF(OR(AND(J$5&gt;0,J$5&gt;100),AND(J$5&gt;0,J$5&lt;100)),
VLOOKUP(FLOOR((Midterm!J69/J$5)*100,1),new_transmute,2,FALSE),
VLOOKUP(Midterm!J69,new_transmute,2,FALSE)
),
IF(Info!$B$4="Board program",
IF(OR(AND(J$5&gt;0,J$5&gt;100),AND(J$5&gt;0,J$5&lt;100)),
VLOOKUP(FLOOR((Midterm!J69/J$5)*100,1),new_transmute,3,FALSE),
VLOOKUP(Midterm!J69,new_transmute,3,FALSE)
),
IF(Info!$B$4="Board program (Medicine)",
IF(OR(AND(J$5&gt;0,J$5&gt;100),AND(J$5&gt;0,J$5&lt;100)),
VLOOKUP(FLOOR((Midterm!J69/J$5)*100,1),new_transmute,4,FALSE),
VLOOKUP(Midterm!J69,new_transmute,4,FALSE)
),
""
)
)
)
)
)
)
)
)
))</f>
        <v/>
      </c>
      <c r="K69" s="14" t="str">
        <f>IF($B69="","",
IF(K$5="","",
IF(Midterm!K69="",0,
IF(NOT(ISNUMBER(Midterm!K69)),"NAN",
IF(Midterm!K69&lt;0,"NEG",
IF(Midterm!K69&gt;K$5,"OVER",
IF(AND(K$5&lt;=100,Midterm!K69&gt;100),"ERR",
IF(Info!$B$4="Non-board program",
IF(OR(AND(K$5&gt;0,K$5&gt;100),AND(K$5&gt;0,K$5&lt;100)),
VLOOKUP(FLOOR((Midterm!K69/K$5)*100,1),new_transmute,2,FALSE),
VLOOKUP(Midterm!K69,new_transmute,2,FALSE)
),
IF(Info!$B$4="Board program",
IF(OR(AND(K$5&gt;0,K$5&gt;100),AND(K$5&gt;0,K$5&lt;100)),
VLOOKUP(FLOOR((Midterm!K69/K$5)*100,1),new_transmute,3,FALSE),
VLOOKUP(Midterm!K69,new_transmute,3,FALSE)
),
IF(Info!$B$4="Board program (Medicine)",
IF(OR(AND(K$5&gt;0,K$5&gt;100),AND(K$5&gt;0,K$5&lt;100)),
VLOOKUP(FLOOR((Midterm!K69/K$5)*100,1),new_transmute,4,FALSE),
VLOOKUP(Midterm!K69,new_transmute,4,FALSE)
),
""
)
)
)
)
)
)
)
)
))</f>
        <v/>
      </c>
      <c r="L69" s="14" t="str">
        <f>IF($B69="","",
IF(L$5="","",
IF(Midterm!L69="",0,
IF(NOT(ISNUMBER(Midterm!L69)),"NAN",
IF(Midterm!L69&lt;0,"NEG",
IF(Midterm!L69&gt;L$5,"OVER",
IF(AND(L$5&lt;=100,Midterm!L69&gt;100),"ERR",
IF(Info!$B$4="Non-board program",
IF(OR(AND(L$5&gt;0,L$5&gt;100),AND(L$5&gt;0,L$5&lt;100)),
VLOOKUP(FLOOR((Midterm!L69/L$5)*100,1),new_transmute,2,FALSE),
VLOOKUP(Midterm!L69,new_transmute,2,FALSE)
),
IF(Info!$B$4="Board program",
IF(OR(AND(L$5&gt;0,L$5&gt;100),AND(L$5&gt;0,L$5&lt;100)),
VLOOKUP(FLOOR((Midterm!L69/L$5)*100,1),new_transmute,3,FALSE),
VLOOKUP(Midterm!L69,new_transmute,3,FALSE)
),
IF(Info!$B$4="Board program (Medicine)",
IF(OR(AND(L$5&gt;0,L$5&gt;100),AND(L$5&gt;0,L$5&lt;100)),
VLOOKUP(FLOOR((Midterm!L69/L$5)*100,1),new_transmute,4,FALSE),
VLOOKUP(Midterm!L69,new_transmute,4,FALSE)
),
""
)
)
)
)
)
)
)
)
))</f>
        <v/>
      </c>
      <c r="M69" s="111" t="str">
        <f t="shared" si="2"/>
        <v/>
      </c>
      <c r="N69" s="14" t="str">
        <f>IF($B69="","",
IF(N$5="","",
IF(Midterm!N69="",0,
IF(NOT(ISNUMBER(Midterm!N69)),"NAN",
IF(Midterm!N69&lt;0,"NEG",
IF(Midterm!N69&gt;N$5,"OVER",
IF(AND(N$5&lt;=100,Midterm!N69&gt;100),"ERR",
IF(Info!$B$4="Non-board program",
IF(OR(AND(N$5&gt;0,N$5&gt;100),AND(N$5&gt;0,N$5&lt;100)),
VLOOKUP(FLOOR((Midterm!N69/N$5)*100,1),new_transmute,2,FALSE),
VLOOKUP(Midterm!N69,new_transmute,2,FALSE)
),
IF(Info!$B$4="Board program",
IF(OR(AND(N$5&gt;0,N$5&gt;100),AND(N$5&gt;0,N$5&lt;100)),
VLOOKUP(FLOOR((Midterm!N69/N$5)*100,1),new_transmute,3,FALSE),
VLOOKUP(Midterm!N69,new_transmute,3,FALSE)
),
IF(Info!$B$4="Board program (Medicine)",
IF(OR(AND(N$5&gt;0,N$5&gt;100),AND(N$5&gt;0,N$5&lt;100)),
VLOOKUP(FLOOR((Midterm!N69/N$5)*100,1),new_transmute,4,FALSE),
VLOOKUP(Midterm!N69,new_transmute,4,FALSE)
),
""
)
)
)
)
)
)
)
)
))</f>
        <v/>
      </c>
      <c r="O69" s="14" t="str">
        <f>IF($B69="","",
IF(O$5="","",
IF(Midterm!O69="",0,
IF(NOT(ISNUMBER(Midterm!O69)),"NAN",
IF(Midterm!O69&lt;0,"NEG",
IF(Midterm!O69&gt;O$5,"OVER",
IF(AND(O$5&lt;=100,Midterm!O69&gt;100),"ERR",
IF(Info!$B$4="Non-board program",
IF(OR(AND(O$5&gt;0,O$5&gt;100),AND(O$5&gt;0,O$5&lt;100)),
VLOOKUP(FLOOR((Midterm!O69/O$5)*100,1),new_transmute,2,FALSE),
VLOOKUP(Midterm!O69,new_transmute,2,FALSE)
),
IF(Info!$B$4="Board program",
IF(OR(AND(O$5&gt;0,O$5&gt;100),AND(O$5&gt;0,O$5&lt;100)),
VLOOKUP(FLOOR((Midterm!O69/O$5)*100,1),new_transmute,3,FALSE),
VLOOKUP(Midterm!O69,new_transmute,3,FALSE)
),
IF(Info!$B$4="Board program (Medicine)",
IF(OR(AND(O$5&gt;0,O$5&gt;100),AND(O$5&gt;0,O$5&lt;100)),
VLOOKUP(FLOOR((Midterm!O69/O$5)*100,1),new_transmute,4,FALSE),
VLOOKUP(Midterm!O69,new_transmute,4,FALSE)
),
""
)
)
)
)
)
)
)
)
))</f>
        <v/>
      </c>
      <c r="P69" s="14" t="str">
        <f>IF($B69="","",
IF(P$5="","",
IF(Midterm!P69="",0,
IF(NOT(ISNUMBER(Midterm!P69)),"NAN",
IF(Midterm!P69&lt;0,"NEG",
IF(Midterm!P69&gt;P$5,"OVER",
IF(AND(P$5&lt;=100,Midterm!P69&gt;100),"ERR",
IF(Info!$B$4="Non-board program",
IF(OR(AND(P$5&gt;0,P$5&gt;100),AND(P$5&gt;0,P$5&lt;100)),
VLOOKUP(FLOOR((Midterm!P69/P$5)*100,1),new_transmute,2,FALSE),
VLOOKUP(Midterm!P69,new_transmute,2,FALSE)
),
IF(Info!$B$4="Board program",
IF(OR(AND(P$5&gt;0,P$5&gt;100),AND(P$5&gt;0,P$5&lt;100)),
VLOOKUP(FLOOR((Midterm!P69/P$5)*100,1),new_transmute,3,FALSE),
VLOOKUP(Midterm!P69,new_transmute,3,FALSE)
),
IF(Info!$B$4="Board program (Medicine)",
IF(OR(AND(P$5&gt;0,P$5&gt;100),AND(P$5&gt;0,P$5&lt;100)),
VLOOKUP(FLOOR((Midterm!P69/P$5)*100,1),new_transmute,4,FALSE),
VLOOKUP(Midterm!P69,new_transmute,4,FALSE)
),
""
)
)
)
)
)
)
)
)
))</f>
        <v/>
      </c>
      <c r="Q69" s="14" t="str">
        <f>IF($B69="","",
IF(Q$5="","",
IF(Midterm!Q69="",0,
IF(NOT(ISNUMBER(Midterm!Q69)),"NAN",
IF(Midterm!Q69&lt;0,"NEG",
IF(Midterm!Q69&gt;Q$5,"OVER",
IF(AND(Q$5&lt;=100,Midterm!Q69&gt;100),"ERR",
IF(Info!$B$4="Non-board program",
IF(OR(AND(Q$5&gt;0,Q$5&gt;100),AND(Q$5&gt;0,Q$5&lt;100)),
VLOOKUP(FLOOR((Midterm!Q69/Q$5)*100,1),new_transmute,2,FALSE),
VLOOKUP(Midterm!Q69,new_transmute,2,FALSE)
),
IF(Info!$B$4="Board program",
IF(OR(AND(Q$5&gt;0,Q$5&gt;100),AND(Q$5&gt;0,Q$5&lt;100)),
VLOOKUP(FLOOR((Midterm!Q69/Q$5)*100,1),new_transmute,3,FALSE),
VLOOKUP(Midterm!Q69,new_transmute,3,FALSE)
),
IF(Info!$B$4="Board program (Medicine)",
IF(OR(AND(Q$5&gt;0,Q$5&gt;100),AND(Q$5&gt;0,Q$5&lt;100)),
VLOOKUP(FLOOR((Midterm!Q69/Q$5)*100,1),new_transmute,4,FALSE),
VLOOKUP(Midterm!Q69,new_transmute,4,FALSE)
),
""
)
)
)
)
)
)
)
)
))</f>
        <v/>
      </c>
      <c r="R69" s="14" t="str">
        <f>IF($B69="","",
IF(R$5="","",
IF(Midterm!R69="",0,
IF(NOT(ISNUMBER(Midterm!R69)),"NAN",
IF(Midterm!R69&lt;0,"NEG",
IF(Midterm!R69&gt;R$5,"OVER",
IF(AND(R$5&lt;=100,Midterm!R69&gt;100),"ERR",
IF(Info!$B$4="Non-board program",
IF(OR(AND(R$5&gt;0,R$5&gt;100),AND(R$5&gt;0,R$5&lt;100)),
VLOOKUP(FLOOR((Midterm!R69/R$5)*100,1),new_transmute,2,FALSE),
VLOOKUP(Midterm!R69,new_transmute,2,FALSE)
),
IF(Info!$B$4="Board program",
IF(OR(AND(R$5&gt;0,R$5&gt;100),AND(R$5&gt;0,R$5&lt;100)),
VLOOKUP(FLOOR((Midterm!R69/R$5)*100,1),new_transmute,3,FALSE),
VLOOKUP(Midterm!R69,new_transmute,3,FALSE)
),
IF(Info!$B$4="Board program (Medicine)",
IF(OR(AND(R$5&gt;0,R$5&gt;100),AND(R$5&gt;0,R$5&lt;100)),
VLOOKUP(FLOOR((Midterm!R69/R$5)*100,1),new_transmute,4,FALSE),
VLOOKUP(Midterm!R69,new_transmute,4,FALSE)
),
""
)
)
)
)
)
)
)
)
))</f>
        <v/>
      </c>
      <c r="S69" s="115" t="str">
        <f t="shared" si="3"/>
        <v/>
      </c>
      <c r="T69" s="14" t="str">
        <f>IF($B69="","",
IF(T$5="","",
IF(Midterm!T69="",0,
IF(NOT(ISNUMBER(Midterm!T69)),"NAN",
IF(Midterm!T69&lt;0,"NEG",
IF(Midterm!T69&gt;T$5,"OVER",
IF(AND(T$5&lt;=100,Midterm!T69&gt;100),"ERR",
IF(Info!$B$4="Non-board program",
IF(OR(AND(T$5&gt;0,T$5&gt;100),AND(T$5&gt;0,T$5&lt;100)),
VLOOKUP(FLOOR((Midterm!T69/T$5)*100,1),new_transmute,2,FALSE),
VLOOKUP(Midterm!T69,new_transmute,2,FALSE)
),
IF(Info!$B$4="Board program",
IF(OR(AND(T$5&gt;0,T$5&gt;100),AND(T$5&gt;0,T$5&lt;100)),
VLOOKUP(FLOOR((Midterm!T69/T$5)*100,1),new_transmute,3,FALSE),
VLOOKUP(Midterm!T69,new_transmute,3,FALSE)
),
IF(Info!$B$4="Board program (Medicine)",
IF(OR(AND(T$5&gt;0,T$5&gt;100),AND(T$5&gt;0,T$5&lt;100)),
VLOOKUP(FLOOR((Midterm!T69/T$5)*100,1),new_transmute,4,FALSE),
VLOOKUP(Midterm!T69,new_transmute,4,FALSE)
),
""
)
)
)
)
)
)
)
)
))</f>
        <v/>
      </c>
      <c r="U69" s="14" t="str">
        <f>IF($B69="","",
IF(U$5="","",
IF(Midterm!U69="",0,
IF(NOT(ISNUMBER(Midterm!U69)),"NAN",
IF(Midterm!U69&lt;0,"NEG",
IF(Midterm!U69&gt;U$5,"OVER",
IF(AND(U$5&lt;=100,Midterm!U69&gt;100),"ERR",
IF(Info!$B$4="Non-board program",
IF(OR(AND(U$5&gt;0,U$5&gt;100),AND(U$5&gt;0,U$5&lt;100)),
VLOOKUP(FLOOR((Midterm!U69/U$5)*100,1),new_transmute,2,FALSE),
VLOOKUP(Midterm!U69,new_transmute,2,FALSE)
),
IF(Info!$B$4="Board program",
IF(OR(AND(U$5&gt;0,U$5&gt;100),AND(U$5&gt;0,U$5&lt;100)),
VLOOKUP(FLOOR((Midterm!U69/U$5)*100,1),new_transmute,3,FALSE),
VLOOKUP(Midterm!U69,new_transmute,3,FALSE)
),
IF(Info!$B$4="Board program (Medicine)",
IF(OR(AND(U$5&gt;0,U$5&gt;100),AND(U$5&gt;0,U$5&lt;100)),
VLOOKUP(FLOOR((Midterm!U69/U$5)*100,1),new_transmute,4,FALSE),
VLOOKUP(Midterm!U69,new_transmute,4,FALSE)
),
""
)
)
)
)
)
)
)
)
))</f>
        <v/>
      </c>
      <c r="V69" s="14" t="str">
        <f>IF($B69="","",
IF(V$5="","",
IF(Midterm!V69="",0,
IF(NOT(ISNUMBER(Midterm!V69)),"NAN",
IF(Midterm!V69&lt;0,"NEG",
IF(Midterm!V69&gt;V$5,"OVER",
IF(AND(V$5&lt;=100,Midterm!V69&gt;100),"ERR",
IF(Info!$B$4="Non-board program",
IF(OR(AND(V$5&gt;0,V$5&gt;100),AND(V$5&gt;0,V$5&lt;100)),
VLOOKUP(FLOOR((Midterm!V69/V$5)*100,1),new_transmute,2,FALSE),
VLOOKUP(Midterm!V69,new_transmute,2,FALSE)
),
IF(Info!$B$4="Board program",
IF(OR(AND(V$5&gt;0,V$5&gt;100),AND(V$5&gt;0,V$5&lt;100)),
VLOOKUP(FLOOR((Midterm!V69/V$5)*100,1),new_transmute,3,FALSE),
VLOOKUP(Midterm!V69,new_transmute,3,FALSE)
),
IF(Info!$B$4="Board program (Medicine)",
IF(OR(AND(V$5&gt;0,V$5&gt;100),AND(V$5&gt;0,V$5&lt;100)),
VLOOKUP(FLOOR((Midterm!V69/V$5)*100,1),new_transmute,4,FALSE),
VLOOKUP(Midterm!V69,new_transmute,4,FALSE)
),
""
)
)
)
)
)
)
)
)
))</f>
        <v/>
      </c>
      <c r="W69" s="14" t="str">
        <f>IF($B69="","",
IF(W$5="","",
IF(Midterm!W69="",0,
IF(NOT(ISNUMBER(Midterm!W69)),"NAN",
IF(Midterm!W69&lt;0,"NEG",
IF(Midterm!W69&gt;W$5,"OVER",
IF(AND(W$5&lt;=100,Midterm!W69&gt;100),"ERR",
IF(Info!$B$4="Non-board program",
IF(OR(AND(W$5&gt;0,W$5&gt;100),AND(W$5&gt;0,W$5&lt;100)),
VLOOKUP(FLOOR((Midterm!W69/W$5)*100,1),new_transmute,2,FALSE),
VLOOKUP(Midterm!W69,new_transmute,2,FALSE)
),
IF(Info!$B$4="Board program",
IF(OR(AND(W$5&gt;0,W$5&gt;100),AND(W$5&gt;0,W$5&lt;100)),
VLOOKUP(FLOOR((Midterm!W69/W$5)*100,1),new_transmute,3,FALSE),
VLOOKUP(Midterm!W69,new_transmute,3,FALSE)
),
IF(Info!$B$4="Board program (Medicine)",
IF(OR(AND(W$5&gt;0,W$5&gt;100),AND(W$5&gt;0,W$5&lt;100)),
VLOOKUP(FLOOR((Midterm!W69/W$5)*100,1),new_transmute,4,FALSE),
VLOOKUP(Midterm!W69,new_transmute,4,FALSE)
),
""
)
)
)
)
)
)
)
)
))</f>
        <v/>
      </c>
      <c r="X69" s="14" t="str">
        <f>IF($B69="","",
IF(X$5="","",
IF(Midterm!X69="",0,
IF(NOT(ISNUMBER(Midterm!X69)),"NAN",
IF(Midterm!X69&lt;0,"NEG",
IF(Midterm!X69&gt;X$5,"OVER",
IF(AND(X$5&lt;=100,Midterm!X69&gt;100),"ERR",
IF(Info!$B$4="Non-board program",
IF(OR(AND(X$5&gt;0,X$5&gt;100),AND(X$5&gt;0,X$5&lt;100)),
VLOOKUP(FLOOR((Midterm!X69/X$5)*100,1),new_transmute,2,FALSE),
VLOOKUP(Midterm!X69,new_transmute,2,FALSE)
),
IF(Info!$B$4="Board program",
IF(OR(AND(X$5&gt;0,X$5&gt;100),AND(X$5&gt;0,X$5&lt;100)),
VLOOKUP(FLOOR((Midterm!X69/X$5)*100,1),new_transmute,3,FALSE),
VLOOKUP(Midterm!X69,new_transmute,3,FALSE)
),
IF(Info!$B$4="Board program (Medicine)",
IF(OR(AND(X$5&gt;0,X$5&gt;100),AND(X$5&gt;0,X$5&lt;100)),
VLOOKUP(FLOOR((Midterm!X69/X$5)*100,1),new_transmute,4,FALSE),
VLOOKUP(Midterm!X69,new_transmute,4,FALSE)
),
""
)
)
)
)
)
)
)
)
))</f>
        <v/>
      </c>
      <c r="Y69" s="112" t="str">
        <f t="shared" si="4"/>
        <v/>
      </c>
      <c r="Z69" s="14" t="str">
        <f>IF($B69="","",
IF(Z$5="","",
IF(Midterm!Z69="",0,
IF(NOT(ISNUMBER(Midterm!Z69)),"NAN",
IF(Midterm!Z69&lt;0,"NEG",
IF(Midterm!Z69&gt;Z$5,"OVER",
IF(AND(Z$5&lt;=100,Midterm!Z69&gt;100),"ERR",
IF(Info!$B$4="Non-board program",
IF(OR(AND(Z$5&gt;0,Z$5&gt;100),AND(Z$5&gt;0,Z$5&lt;100)),
VLOOKUP(FLOOR((Midterm!Z69/Z$5)*100,1),new_transmute,2,FALSE),
VLOOKUP(Midterm!Z69,new_transmute,2,FALSE)
),
IF(Info!$B$4="Board program",
IF(OR(AND(Z$5&gt;0,Z$5&gt;100),AND(Z$5&gt;0,Z$5&lt;100)),
VLOOKUP(FLOOR((Midterm!Z69/Z$5)*100,1),new_transmute,3,FALSE),
VLOOKUP(Midterm!Z69,new_transmute,3,FALSE)
),
IF(Info!$B$4="Board program (Medicine)",
IF(OR(AND(Z$5&gt;0,Z$5&gt;100),AND(Z$5&gt;0,Z$5&lt;100)),
VLOOKUP(FLOOR((Midterm!Z69/Z$5)*100,1),new_transmute,4,FALSE),
VLOOKUP(Midterm!Z69,new_transmute,4,FALSE)
),
""
)
)
)
)
)
)
)
)
))</f>
        <v/>
      </c>
      <c r="AA69" s="14" t="str">
        <f>IF($B69="","",
IF(AA$5="","",
IF(Midterm!AA69="",0,
IF(NOT(ISNUMBER(Midterm!AA69)),"NAN",
IF(Midterm!AA69&lt;0,"NEG",
IF(Midterm!AA69&gt;AA$5,"OVER",
IF(AND(AA$5&lt;=100,Midterm!AA69&gt;100),"ERR",
IF(Info!$B$4="Non-board program",
IF(OR(AND(AA$5&gt;0,AA$5&gt;100),AND(AA$5&gt;0,AA$5&lt;100)),
VLOOKUP(FLOOR((Midterm!AA69/AA$5)*100,1),new_transmute,2,FALSE),
VLOOKUP(Midterm!AA69,new_transmute,2,FALSE)
),
IF(Info!$B$4="Board program",
IF(OR(AND(AA$5&gt;0,AA$5&gt;100),AND(AA$5&gt;0,AA$5&lt;100)),
VLOOKUP(FLOOR((Midterm!AA69/AA$5)*100,1),new_transmute,3,FALSE),
VLOOKUP(Midterm!AA69,new_transmute,3,FALSE)
),
IF(Info!$B$4="Board program (Medicine)",
IF(OR(AND(AA$5&gt;0,AA$5&gt;100),AND(AA$5&gt;0,AA$5&lt;100)),
VLOOKUP(FLOOR((Midterm!AA69/AA$5)*100,1),new_transmute,4,FALSE),
VLOOKUP(Midterm!AA69,new_transmute,4,FALSE)
),
""
)
)
)
)
)
)
)
)
))</f>
        <v/>
      </c>
      <c r="AB69" s="14" t="str">
        <f>IF($B69="","",
IF(AB$5="","",
IF(Midterm!AB69="",0,
IF(NOT(ISNUMBER(Midterm!AB69)),"NAN",
IF(Midterm!AB69&lt;0,"NEG",
IF(Midterm!AB69&gt;AB$5,"OVER",
IF(AND(AB$5&lt;=100,Midterm!AB69&gt;100),"ERR",
IF(Info!$B$4="Non-board program",
IF(OR(AND(AB$5&gt;0,AB$5&gt;100),AND(AB$5&gt;0,AB$5&lt;100)),
VLOOKUP(FLOOR((Midterm!AB69/AB$5)*100,1),new_transmute,2,FALSE),
VLOOKUP(Midterm!AB69,new_transmute,2,FALSE)
),
IF(Info!$B$4="Board program",
IF(OR(AND(AB$5&gt;0,AB$5&gt;100),AND(AB$5&gt;0,AB$5&lt;100)),
VLOOKUP(FLOOR((Midterm!AB69/AB$5)*100,1),new_transmute,3,FALSE),
VLOOKUP(Midterm!AB69,new_transmute,3,FALSE)
),
IF(Info!$B$4="Board program (Medicine)",
IF(OR(AND(AB$5&gt;0,AB$5&gt;100),AND(AB$5&gt;0,AB$5&lt;100)),
VLOOKUP(FLOOR((Midterm!AB69/AB$5)*100,1),new_transmute,4,FALSE),
VLOOKUP(Midterm!AB69,new_transmute,4,FALSE)
),
""
)
)
)
)
)
)
)
)
))</f>
        <v/>
      </c>
      <c r="AC69" s="14" t="str">
        <f>IF($B69="","",
IF(AC$5="","",
IF(Midterm!AC69="",0,
IF(NOT(ISNUMBER(Midterm!AC69)),"NAN",
IF(Midterm!AC69&lt;0,"NEG",
IF(Midterm!AC69&gt;AC$5,"OVER",
IF(AND(AC$5&lt;=100,Midterm!AC69&gt;100),"ERR",
IF(Info!$B$4="Non-board program",
IF(OR(AND(AC$5&gt;0,AC$5&gt;100),AND(AC$5&gt;0,AC$5&lt;100)),
VLOOKUP(FLOOR((Midterm!AC69/AC$5)*100,1),new_transmute,2,FALSE),
VLOOKUP(Midterm!AC69,new_transmute,2,FALSE)
),
IF(Info!$B$4="Board program",
IF(OR(AND(AC$5&gt;0,AC$5&gt;100),AND(AC$5&gt;0,AC$5&lt;100)),
VLOOKUP(FLOOR((Midterm!AC69/AC$5)*100,1),new_transmute,3,FALSE),
VLOOKUP(Midterm!AC69,new_transmute,3,FALSE)
),
IF(Info!$B$4="Board program (Medicine)",
IF(OR(AND(AC$5&gt;0,AC$5&gt;100),AND(AC$5&gt;0,AC$5&lt;100)),
VLOOKUP(FLOOR((Midterm!AC69/AC$5)*100,1),new_transmute,4,FALSE),
VLOOKUP(Midterm!AC69,new_transmute,4,FALSE)
),
""
)
)
)
)
)
)
)
)
))</f>
        <v/>
      </c>
      <c r="AD69" s="14" t="str">
        <f>IF($B69="","",
IF(AD$5="","",
IF(Midterm!AD69="",0,
IF(NOT(ISNUMBER(Midterm!AD69)),"NAN",
IF(Midterm!AD69&lt;0,"NEG",
IF(Midterm!AD69&gt;AD$5,"OVER",
IF(AND(AD$5&lt;=100,Midterm!AD69&gt;100),"ERR",
IF(Info!$B$4="Non-board program",
IF(OR(AND(AD$5&gt;0,AD$5&gt;100),AND(AD$5&gt;0,AD$5&lt;100)),
VLOOKUP(FLOOR((Midterm!AD69/AD$5)*100,1),new_transmute,2,FALSE),
VLOOKUP(Midterm!AD69,new_transmute,2,FALSE)
),
IF(Info!$B$4="Board program",
IF(OR(AND(AD$5&gt;0,AD$5&gt;100),AND(AD$5&gt;0,AD$5&lt;100)),
VLOOKUP(FLOOR((Midterm!AD69/AD$5)*100,1),new_transmute,3,FALSE),
VLOOKUP(Midterm!AD69,new_transmute,3,FALSE)
),
IF(Info!$B$4="Board program (Medicine)",
IF(OR(AND(AD$5&gt;0,AD$5&gt;100),AND(AD$5&gt;0,AD$5&lt;100)),
VLOOKUP(FLOOR((Midterm!AD69/AD$5)*100,1),new_transmute,4,FALSE),
VLOOKUP(Midterm!AD69,new_transmute,4,FALSE)
),
""
)
)
)
)
)
)
)
)
))</f>
        <v/>
      </c>
      <c r="AE69" s="58" t="str">
        <f t="shared" si="5"/>
        <v/>
      </c>
      <c r="AF69" s="14" t="str">
        <f>IF($B69="","",
IF(AF$5="","",
IF(Midterm!AF69="",0,
IF(NOT(ISNUMBER(Midterm!AF69)),"NAN",
IF(Midterm!AF69&lt;0,"NEG",
IF(Midterm!AF69&gt;AF$5,"OVER",
IF(AND(AF$5&lt;=100,Midterm!AF69&gt;100),"ERR",
IF(Info!$B$4="Non-board program",
IF(OR(AND(AF$5&gt;0,AF$5&gt;100),AND(AF$5&gt;0,AF$5&lt;100)),
VLOOKUP(FLOOR((Midterm!AF69/AF$5)*100,1),new_transmute,2,FALSE),
VLOOKUP(Midterm!AF69,new_transmute,2,FALSE)
),
IF(Info!$B$4="Board program",
IF(OR(AND(AF$5&gt;0,AF$5&gt;100),AND(AF$5&gt;0,AF$5&lt;100)),
VLOOKUP(FLOOR((Midterm!AF69/AF$5)*100,1),new_transmute,3,FALSE),
VLOOKUP(Midterm!AF69,new_transmute,3,FALSE)
),
IF(Info!$B$4="Board program (Medicine)",
IF(OR(AND(AF$5&gt;0,AF$5&gt;100),AND(AF$5&gt;0,AF$5&lt;100)),
VLOOKUP(FLOOR((Midterm!AF69/AF$5)*100,1),new_transmute,4,FALSE),
VLOOKUP(Midterm!AF69,new_transmute,4,FALSE)
),
""
)
)
)
)
)
)
)
)
))</f>
        <v/>
      </c>
      <c r="AG69" s="14" t="str">
        <f>IF($B69="","",
IF(AG$5="","",
IF(Midterm!AG69="",0,
IF(NOT(ISNUMBER(Midterm!AG69)),"NAN",
IF(Midterm!AG69&lt;0,"NEG",
IF(Midterm!AG69&gt;AG$5,"OVER",
IF(AND(AG$5&lt;=100,Midterm!AG69&gt;100),"ERR",
IF(Info!$B$4="Non-board program",
IF(OR(AND(AG$5&gt;0,AG$5&gt;100),AND(AG$5&gt;0,AG$5&lt;100)),
VLOOKUP(FLOOR((Midterm!AG69/AG$5)*100,1),new_transmute,2,FALSE),
VLOOKUP(Midterm!AG69,new_transmute,2,FALSE)
),
IF(Info!$B$4="Board program",
IF(OR(AND(AG$5&gt;0,AG$5&gt;100),AND(AG$5&gt;0,AG$5&lt;100)),
VLOOKUP(FLOOR((Midterm!AG69/AG$5)*100,1),new_transmute,3,FALSE),
VLOOKUP(Midterm!AG69,new_transmute,3,FALSE)
),
IF(Info!$B$4="Board program (Medicine)",
IF(OR(AND(AG$5&gt;0,AG$5&gt;100),AND(AG$5&gt;0,AG$5&lt;100)),
VLOOKUP(FLOOR((Midterm!AG69/AG$5)*100,1),new_transmute,4,FALSE),
VLOOKUP(Midterm!AG69,new_transmute,4,FALSE)
),
""
)
)
)
)
)
)
)
)
))</f>
        <v/>
      </c>
      <c r="AH69" s="14" t="str">
        <f>IF($B69="","",
IF(AH$5="","",
IF(Midterm!AH69="",0,
IF(NOT(ISNUMBER(Midterm!AH69)),"NAN",
IF(Midterm!AH69&lt;0,"NEG",
IF(Midterm!AH69&gt;AH$5,"OVER",
IF(AND(AH$5&lt;=100,Midterm!AH69&gt;100),"ERR",
IF(Info!$B$4="Non-board program",
IF(OR(AND(AH$5&gt;0,AH$5&gt;100),AND(AH$5&gt;0,AH$5&lt;100)),
VLOOKUP(FLOOR((Midterm!AH69/AH$5)*100,1),new_transmute,2,FALSE),
VLOOKUP(Midterm!AH69,new_transmute,2,FALSE)
),
IF(Info!$B$4="Board program",
IF(OR(AND(AH$5&gt;0,AH$5&gt;100),AND(AH$5&gt;0,AH$5&lt;100)),
VLOOKUP(FLOOR((Midterm!AH69/AH$5)*100,1),new_transmute,3,FALSE),
VLOOKUP(Midterm!AH69,new_transmute,3,FALSE)
),
IF(Info!$B$4="Board program (Medicine)",
IF(OR(AND(AH$5&gt;0,AH$5&gt;100),AND(AH$5&gt;0,AH$5&lt;100)),
VLOOKUP(FLOOR((Midterm!AH69/AH$5)*100,1),new_transmute,4,FALSE),
VLOOKUP(Midterm!AH69,new_transmute,4,FALSE)
),
""
)
)
)
)
)
)
)
)
))</f>
        <v/>
      </c>
      <c r="AI69" s="14" t="str">
        <f>IF($B69="","",
IF(AI$5="","",
IF(Midterm!AI69="",0,
IF(NOT(ISNUMBER(Midterm!AI69)),"NAN",
IF(Midterm!AI69&lt;0,"NEG",
IF(Midterm!AI69&gt;AI$5,"OVER",
IF(AND(AI$5&lt;=100,Midterm!AI69&gt;100),"ERR",
IF(Info!$B$4="Non-board program",
IF(OR(AND(AI$5&gt;0,AI$5&gt;100),AND(AI$5&gt;0,AI$5&lt;100)),
VLOOKUP(FLOOR((Midterm!AI69/AI$5)*100,1),new_transmute,2,FALSE),
VLOOKUP(Midterm!AI69,new_transmute,2,FALSE)
),
IF(Info!$B$4="Board program",
IF(OR(AND(AI$5&gt;0,AI$5&gt;100),AND(AI$5&gt;0,AI$5&lt;100)),
VLOOKUP(FLOOR((Midterm!AI69/AI$5)*100,1),new_transmute,3,FALSE),
VLOOKUP(Midterm!AI69,new_transmute,3,FALSE)
),
IF(Info!$B$4="Board program (Medicine)",
IF(OR(AND(AI$5&gt;0,AI$5&gt;100),AND(AI$5&gt;0,AI$5&lt;100)),
VLOOKUP(FLOOR((Midterm!AI69/AI$5)*100,1),new_transmute,4,FALSE),
VLOOKUP(Midterm!AI69,new_transmute,4,FALSE)
),
""
)
)
)
)
)
)
)
)
))</f>
        <v/>
      </c>
      <c r="AJ69" s="14" t="str">
        <f>IF($B69="","",
IF(AJ$5="","",
IF(Midterm!AJ69="",0,
IF(NOT(ISNUMBER(Midterm!AJ69)),"NAN",
IF(Midterm!AJ69&lt;0,"NEG",
IF(Midterm!AJ69&gt;AJ$5,"OVER",
IF(AND(AJ$5&lt;=100,Midterm!AJ69&gt;100),"ERR",
IF(Info!$B$4="Non-board program",
IF(OR(AND(AJ$5&gt;0,AJ$5&gt;100),AND(AJ$5&gt;0,AJ$5&lt;100)),
VLOOKUP(FLOOR((Midterm!AJ69/AJ$5)*100,1),new_transmute,2,FALSE),
VLOOKUP(Midterm!AJ69,new_transmute,2,FALSE)
),
IF(Info!$B$4="Board program",
IF(OR(AND(AJ$5&gt;0,AJ$5&gt;100),AND(AJ$5&gt;0,AJ$5&lt;100)),
VLOOKUP(FLOOR((Midterm!AJ69/AJ$5)*100,1),new_transmute,3,FALSE),
VLOOKUP(Midterm!AJ69,new_transmute,3,FALSE)
),
IF(Info!$B$4="Board program (Medicine)",
IF(OR(AND(AJ$5&gt;0,AJ$5&gt;100),AND(AJ$5&gt;0,AJ$5&lt;100)),
VLOOKUP(FLOOR((Midterm!AJ69/AJ$5)*100,1),new_transmute,4,FALSE),
VLOOKUP(Midterm!AJ69,new_transmute,4,FALSE)
),
""
)
)
)
)
)
)
)
)
))</f>
        <v/>
      </c>
      <c r="AK69" s="59" t="str">
        <f t="shared" si="6"/>
        <v/>
      </c>
      <c r="AL69" s="60" t="str">
        <f>IF(B69="", "",
    IF(OR(M69="OVER", S69="OVER", Y69="OVER", AE69="OVER", AK69="OVER"),
        "OVER",
        IF(Info!$B$4="Non-board program",
            VLOOKUP(IFERROR(FLOOR(SUM((M69*$M$4), (S69*$S$4), (Y69*$Y$4), (AE69*$AE$4), (AK69*$AK$4)) * (100 / 60), 1), 0), new_transmute, 2, FALSE),
            IF(Info!$B$4="Board program",
                VLOOKUP(IFERROR(FLOOR(SUM((M69*$M$4), (S69*$S$4), (Y69*$Y$4), (AE69*$AE$4), (AK69*$AK$4)) * (100 / 60), 1), 0), new_transmute, 3, FALSE),
                IF(Info!$B$4="Board program (Medicine)",
                    VLOOKUP(IFERROR(FLOOR(SUM((M69*$M$4), (S69*$S$4), (Y69*$Y$4), (AE69*$AE$4), (AK69*$AK$4)) * (100 / 60), 1), 0), new_transmute, 4, FALSE),
                    ""
                )
            )
        )
    )
)</f>
        <v/>
      </c>
      <c r="AM69" s="14" t="str">
        <f>IF($B69="","",
IF(AM$5="","",
IF(Midterm!AM69="",0,
IF(NOT(ISNUMBER(Midterm!AM69)),"NAN",
IF(Midterm!AM69&lt;0,"NEG",
IF(Midterm!AM69&gt;AM$5,"OVER",
IF(AND(AM$5&lt;=100,Midterm!AM69&gt;100),"ERR",
IF(Info!$B$4="Non-board program",
IF(OR(AND(AM$5&gt;0,AM$5&gt;100),AND(AM$5&gt;0,AM$5&lt;100)),
VLOOKUP(FLOOR((Midterm!AM69/AM$5)*100,1),new_transmute,2,FALSE),
VLOOKUP(Midterm!AM69,new_transmute,2,FALSE)
),
IF(Info!$B$4="Board program",
IF(OR(AND(AM$5&gt;0,AM$5&gt;100),AND(AM$5&gt;0,AM$5&lt;100)),
VLOOKUP(FLOOR((Midterm!AM69/AM$5)*100,1),new_transmute,3,FALSE),
VLOOKUP(Midterm!AM69,new_transmute,3,FALSE)
),
IF(Info!$B$4="Board program (Medicine)",
IF(OR(AND(AM$5&gt;0,AM$5&gt;100),AND(AM$5&gt;0,AM$5&lt;100)),
VLOOKUP(FLOOR((Midterm!AM69/AM$5)*100,1),new_transmute,4,FALSE),
VLOOKUP(Midterm!AM69,new_transmute,4,FALSE)
),
""
)
)
)
)
)
)
)
)
))</f>
        <v/>
      </c>
      <c r="AN69" s="14" t="str">
        <f>IF($B69="","",
IF(AN$5="","",
IF(Midterm!AN69="",0,
IF(NOT(ISNUMBER(Midterm!AN69)),"NAN",
IF(Midterm!AN69&lt;0,"NEG",
IF(Midterm!AN69&gt;AN$5,"OVER",
IF(AND(AN$5&lt;=100,Midterm!AN69&gt;100),"ERR",
IF(Info!$B$4="Non-board program",
IF(OR(AND(AN$5&gt;0,AN$5&gt;100),AND(AN$5&gt;0,AN$5&lt;100)),
VLOOKUP(FLOOR((Midterm!AN69/AN$5)*100,1),new_transmute,2,FALSE),
VLOOKUP(Midterm!AN69,new_transmute,2,FALSE)
),
IF(Info!$B$4="Board program",
IF(OR(AND(AN$5&gt;0,AN$5&gt;100),AND(AN$5&gt;0,AN$5&lt;100)),
VLOOKUP(FLOOR((Midterm!AN69/AN$5)*100,1),new_transmute,3,FALSE),
VLOOKUP(Midterm!AN69,new_transmute,3,FALSE)
),
IF(Info!$B$4="Board program (Medicine)",
IF(OR(AND(AN$5&gt;0,AN$5&gt;100),AND(AN$5&gt;0,AN$5&lt;100)),
VLOOKUP(FLOOR((Midterm!AN69/AN$5)*100,1),new_transmute,4,FALSE),
VLOOKUP(Midterm!AN69,new_transmute,4,FALSE)
),
""
)
)
)
)
)
)
)
)
))</f>
        <v/>
      </c>
      <c r="AO69" s="14" t="str">
        <f>IF($B69="","",
IF(AO$5="","",
IF(Midterm!AO69="",0,
IF(NOT(ISNUMBER(Midterm!AO69)),"NAN",
IF(Midterm!AO69&lt;0,"NEG",
IF(Midterm!AO69&gt;AO$5,"OVER",
IF(AND(AO$5&lt;=100,Midterm!AO69&gt;100),"ERR",
IF(Info!$B$4="Non-board program",
IF(OR(AND(AO$5&gt;0,AO$5&gt;100),AND(AO$5&gt;0,AO$5&lt;100)),
VLOOKUP(FLOOR((Midterm!AO69/AO$5)*100,1),new_transmute,2,FALSE),
VLOOKUP(Midterm!AO69,new_transmute,2,FALSE)
),
IF(Info!$B$4="Board program",
IF(OR(AND(AO$5&gt;0,AO$5&gt;100),AND(AO$5&gt;0,AO$5&lt;100)),
VLOOKUP(FLOOR((Midterm!AO69/AO$5)*100,1),new_transmute,3,FALSE),
VLOOKUP(Midterm!AO69,new_transmute,3,FALSE)
),
IF(Info!$B$4="Board program (Medicine)",
IF(OR(AND(AO$5&gt;0,AO$5&gt;100),AND(AO$5&gt;0,AO$5&lt;100)),
VLOOKUP(FLOOR((Midterm!AO69/AO$5)*100,1),new_transmute,4,FALSE),
VLOOKUP(Midterm!AO69,new_transmute,4,FALSE)
),
""
)
)
)
)
)
)
)
)
))</f>
        <v/>
      </c>
      <c r="AP69" s="14" t="str">
        <f>IF($B69="","",
IF(AP$5="","",
IF(Midterm!AP69="",0,
IF(NOT(ISNUMBER(Midterm!AP69)),"NAN",
IF(Midterm!AP69&lt;0,"NEG",
IF(Midterm!AP69&gt;AP$5,"OVER",
IF(AND(AP$5&lt;=100,Midterm!AP69&gt;100),"ERR",
IF(Info!$B$4="Non-board program",
IF(OR(AND(AP$5&gt;0,AP$5&gt;100),AND(AP$5&gt;0,AP$5&lt;100)),
VLOOKUP(FLOOR((Midterm!AP69/AP$5)*100,1),new_transmute,2,FALSE),
VLOOKUP(Midterm!AP69,new_transmute,2,FALSE)
),
IF(Info!$B$4="Board program",
IF(OR(AND(AP$5&gt;0,AP$5&gt;100),AND(AP$5&gt;0,AP$5&lt;100)),
VLOOKUP(FLOOR((Midterm!AP69/AP$5)*100,1),new_transmute,3,FALSE),
VLOOKUP(Midterm!AP69,new_transmute,3,FALSE)
),
IF(Info!$B$4="Board program (Medicine)",
IF(OR(AND(AP$5&gt;0,AP$5&gt;100),AND(AP$5&gt;0,AP$5&lt;100)),
VLOOKUP(FLOOR((Midterm!AP69/AP$5)*100,1),new_transmute,4,FALSE),
VLOOKUP(Midterm!AP69,new_transmute,4,FALSE)
),
""
)
)
)
)
)
)
)
)
))</f>
        <v/>
      </c>
      <c r="AQ69" s="61" t="str">
        <f t="shared" si="7"/>
        <v/>
      </c>
      <c r="AR69" s="48" t="str">
        <f>IF(Midterm!AR69="","",Midterm!AR69)</f>
        <v/>
      </c>
      <c r="AS69" s="165" t="str">
        <f t="shared" si="8"/>
        <v/>
      </c>
      <c r="AT69" s="14" t="str">
        <f t="shared" si="9"/>
        <v/>
      </c>
      <c r="AU69" s="14" t="str">
        <f>IF(B69="","",VLOOKUP(AT69,'New Grade Equivalent'!$B$3:$C$47,2,FALSE))</f>
        <v/>
      </c>
    </row>
    <row r="70" spans="1:47" x14ac:dyDescent="0.25">
      <c r="A70" s="8">
        <v>65</v>
      </c>
      <c r="B70" s="2" t="str">
        <f>IF('Student List'!C74="","",UPPER(LEFT('Student List'!C74,FIND(",",'Student List'!C74)-1)))</f>
        <v/>
      </c>
      <c r="C70" s="12" t="str">
        <f>IF('Student List'!C74="","",PROPER(MID('Student List'!C74, FIND(",", 'Student List'!C74) + 2, LEN('Student List'!C74) - FIND(",", 'Student List'!C74) - 1)))</f>
        <v/>
      </c>
      <c r="D70" s="127" t="str">
        <f>IF(B70="","",IF(Midterm!D70="", "NA", Midterm!D70))</f>
        <v/>
      </c>
      <c r="E70" s="8" t="str">
        <f>IF(B70="","",
  IF(Info!$B$5="First Year",
    IF(D70="Yes", "DRP",
      IF(D70="No", "WF", "")
    )
  )
)</f>
        <v/>
      </c>
      <c r="F70" s="14" t="str">
        <f>IF($B70="","",
IF(F$5="","",
IF(Midterm!F70="",0,
IF(NOT(ISNUMBER(Midterm!F70)),"NAN",
IF(Midterm!F70&lt;0,"NEG",
IF(Midterm!F70&gt;F$5,"OVER",
IF(AND(F$5&lt;=100,Midterm!F70&gt;100),"ERR",
IF(Info!$B$4="Non-board program",
IF(OR(AND(F$5&gt;0,F$5&gt;100),AND(F$5&gt;0,F$5&lt;100)),
VLOOKUP(FLOOR((Midterm!F70/F$5)*100,1),new_transmute,2,FALSE),
VLOOKUP(Midterm!F70,new_transmute,2,FALSE)
),
IF(Info!$B$4="Board program",
IF(OR(AND(F$5&gt;0,F$5&gt;100),AND(F$5&gt;0,F$5&lt;100)),
VLOOKUP(FLOOR((Midterm!F70/F$5)*100,1),new_transmute,3,FALSE),
VLOOKUP(Midterm!F70,new_transmute,3,FALSE)
),
IF(Info!$B$4="Board program (Medicine)",
IF(OR(AND(F$5&gt;0,F$5&gt;100),AND(F$5&gt;0,F$5&lt;100)),
VLOOKUP(FLOOR((Midterm!F70/F$5)*100,1),new_transmute,4,FALSE),
VLOOKUP(Midterm!F70,new_transmute,4,FALSE)
),
""
)
)
)
)
)
)
)
)
))</f>
        <v/>
      </c>
      <c r="G70" s="57" t="str">
        <f t="shared" si="1"/>
        <v/>
      </c>
      <c r="H70" s="14" t="str">
        <f>IF($B70="","",
IF(H$5="","",
IF(Midterm!H70="",0,
IF(NOT(ISNUMBER(Midterm!H70)),"NAN",
IF(Midterm!H70&lt;0,"NEG",
IF(Midterm!H70&gt;H$5,"OVER",
IF(AND(H$5&lt;=100,Midterm!H70&gt;100),"ERR",
IF(Info!$B$4="Non-board program",
IF(OR(AND(H$5&gt;0,H$5&gt;100),AND(H$5&gt;0,H$5&lt;100)),
VLOOKUP(FLOOR((Midterm!H70/H$5)*100,1),new_transmute,2,FALSE),
VLOOKUP(Midterm!H70,new_transmute,2,FALSE)
),
IF(Info!$B$4="Board program",
IF(OR(AND(H$5&gt;0,H$5&gt;100),AND(H$5&gt;0,H$5&lt;100)),
VLOOKUP(FLOOR((Midterm!H70/H$5)*100,1),new_transmute,3,FALSE),
VLOOKUP(Midterm!H70,new_transmute,3,FALSE)
),
IF(Info!$B$4="Board program (Medicine)",
IF(OR(AND(H$5&gt;0,H$5&gt;100),AND(H$5&gt;0,H$5&lt;100)),
VLOOKUP(FLOOR((Midterm!H70/H$5)*100,1),new_transmute,4,FALSE),
VLOOKUP(Midterm!H70,new_transmute,4,FALSE)
),
""
)
)
)
)
)
)
)
)
))</f>
        <v/>
      </c>
      <c r="I70" s="14" t="str">
        <f>IF($B70="","",
IF(I$5="","",
IF(Midterm!I70="",0,
IF(NOT(ISNUMBER(Midterm!I70)),"NAN",
IF(Midterm!I70&lt;0,"NEG",
IF(Midterm!I70&gt;I$5,"OVER",
IF(AND(I$5&lt;=100,Midterm!I70&gt;100),"ERR",
IF(Info!$B$4="Non-board program",
IF(OR(AND(I$5&gt;0,I$5&gt;100),AND(I$5&gt;0,I$5&lt;100)),
VLOOKUP(FLOOR((Midterm!I70/I$5)*100,1),new_transmute,2,FALSE),
VLOOKUP(Midterm!I70,new_transmute,2,FALSE)
),
IF(Info!$B$4="Board program",
IF(OR(AND(I$5&gt;0,I$5&gt;100),AND(I$5&gt;0,I$5&lt;100)),
VLOOKUP(FLOOR((Midterm!I70/I$5)*100,1),new_transmute,3,FALSE),
VLOOKUP(Midterm!I70,new_transmute,3,FALSE)
),
IF(Info!$B$4="Board program (Medicine)",
IF(OR(AND(I$5&gt;0,I$5&gt;100),AND(I$5&gt;0,I$5&lt;100)),
VLOOKUP(FLOOR((Midterm!I70/I$5)*100,1),new_transmute,4,FALSE),
VLOOKUP(Midterm!I70,new_transmute,4,FALSE)
),
""
)
)
)
)
)
)
)
)
))</f>
        <v/>
      </c>
      <c r="J70" s="14" t="str">
        <f>IF($B70="","",
IF(J$5="","",
IF(Midterm!J70="",0,
IF(NOT(ISNUMBER(Midterm!J70)),"NAN",
IF(Midterm!J70&lt;0,"NEG",
IF(Midterm!J70&gt;J$5,"OVER",
IF(AND(J$5&lt;=100,Midterm!J70&gt;100),"ERR",
IF(Info!$B$4="Non-board program",
IF(OR(AND(J$5&gt;0,J$5&gt;100),AND(J$5&gt;0,J$5&lt;100)),
VLOOKUP(FLOOR((Midterm!J70/J$5)*100,1),new_transmute,2,FALSE),
VLOOKUP(Midterm!J70,new_transmute,2,FALSE)
),
IF(Info!$B$4="Board program",
IF(OR(AND(J$5&gt;0,J$5&gt;100),AND(J$5&gt;0,J$5&lt;100)),
VLOOKUP(FLOOR((Midterm!J70/J$5)*100,1),new_transmute,3,FALSE),
VLOOKUP(Midterm!J70,new_transmute,3,FALSE)
),
IF(Info!$B$4="Board program (Medicine)",
IF(OR(AND(J$5&gt;0,J$5&gt;100),AND(J$5&gt;0,J$5&lt;100)),
VLOOKUP(FLOOR((Midterm!J70/J$5)*100,1),new_transmute,4,FALSE),
VLOOKUP(Midterm!J70,new_transmute,4,FALSE)
),
""
)
)
)
)
)
)
)
)
))</f>
        <v/>
      </c>
      <c r="K70" s="14" t="str">
        <f>IF($B70="","",
IF(K$5="","",
IF(Midterm!K70="",0,
IF(NOT(ISNUMBER(Midterm!K70)),"NAN",
IF(Midterm!K70&lt;0,"NEG",
IF(Midterm!K70&gt;K$5,"OVER",
IF(AND(K$5&lt;=100,Midterm!K70&gt;100),"ERR",
IF(Info!$B$4="Non-board program",
IF(OR(AND(K$5&gt;0,K$5&gt;100),AND(K$5&gt;0,K$5&lt;100)),
VLOOKUP(FLOOR((Midterm!K70/K$5)*100,1),new_transmute,2,FALSE),
VLOOKUP(Midterm!K70,new_transmute,2,FALSE)
),
IF(Info!$B$4="Board program",
IF(OR(AND(K$5&gt;0,K$5&gt;100),AND(K$5&gt;0,K$5&lt;100)),
VLOOKUP(FLOOR((Midterm!K70/K$5)*100,1),new_transmute,3,FALSE),
VLOOKUP(Midterm!K70,new_transmute,3,FALSE)
),
IF(Info!$B$4="Board program (Medicine)",
IF(OR(AND(K$5&gt;0,K$5&gt;100),AND(K$5&gt;0,K$5&lt;100)),
VLOOKUP(FLOOR((Midterm!K70/K$5)*100,1),new_transmute,4,FALSE),
VLOOKUP(Midterm!K70,new_transmute,4,FALSE)
),
""
)
)
)
)
)
)
)
)
))</f>
        <v/>
      </c>
      <c r="L70" s="14" t="str">
        <f>IF($B70="","",
IF(L$5="","",
IF(Midterm!L70="",0,
IF(NOT(ISNUMBER(Midterm!L70)),"NAN",
IF(Midterm!L70&lt;0,"NEG",
IF(Midterm!L70&gt;L$5,"OVER",
IF(AND(L$5&lt;=100,Midterm!L70&gt;100),"ERR",
IF(Info!$B$4="Non-board program",
IF(OR(AND(L$5&gt;0,L$5&gt;100),AND(L$5&gt;0,L$5&lt;100)),
VLOOKUP(FLOOR((Midterm!L70/L$5)*100,1),new_transmute,2,FALSE),
VLOOKUP(Midterm!L70,new_transmute,2,FALSE)
),
IF(Info!$B$4="Board program",
IF(OR(AND(L$5&gt;0,L$5&gt;100),AND(L$5&gt;0,L$5&lt;100)),
VLOOKUP(FLOOR((Midterm!L70/L$5)*100,1),new_transmute,3,FALSE),
VLOOKUP(Midterm!L70,new_transmute,3,FALSE)
),
IF(Info!$B$4="Board program (Medicine)",
IF(OR(AND(L$5&gt;0,L$5&gt;100),AND(L$5&gt;0,L$5&lt;100)),
VLOOKUP(FLOOR((Midterm!L70/L$5)*100,1),new_transmute,4,FALSE),
VLOOKUP(Midterm!L70,new_transmute,4,FALSE)
),
""
)
)
)
)
)
)
)
)
))</f>
        <v/>
      </c>
      <c r="M70" s="111" t="str">
        <f t="shared" si="2"/>
        <v/>
      </c>
      <c r="N70" s="14" t="str">
        <f>IF($B70="","",
IF(N$5="","",
IF(Midterm!N70="",0,
IF(NOT(ISNUMBER(Midterm!N70)),"NAN",
IF(Midterm!N70&lt;0,"NEG",
IF(Midterm!N70&gt;N$5,"OVER",
IF(AND(N$5&lt;=100,Midterm!N70&gt;100),"ERR",
IF(Info!$B$4="Non-board program",
IF(OR(AND(N$5&gt;0,N$5&gt;100),AND(N$5&gt;0,N$5&lt;100)),
VLOOKUP(FLOOR((Midterm!N70/N$5)*100,1),new_transmute,2,FALSE),
VLOOKUP(Midterm!N70,new_transmute,2,FALSE)
),
IF(Info!$B$4="Board program",
IF(OR(AND(N$5&gt;0,N$5&gt;100),AND(N$5&gt;0,N$5&lt;100)),
VLOOKUP(FLOOR((Midterm!N70/N$5)*100,1),new_transmute,3,FALSE),
VLOOKUP(Midterm!N70,new_transmute,3,FALSE)
),
IF(Info!$B$4="Board program (Medicine)",
IF(OR(AND(N$5&gt;0,N$5&gt;100),AND(N$5&gt;0,N$5&lt;100)),
VLOOKUP(FLOOR((Midterm!N70/N$5)*100,1),new_transmute,4,FALSE),
VLOOKUP(Midterm!N70,new_transmute,4,FALSE)
),
""
)
)
)
)
)
)
)
)
))</f>
        <v/>
      </c>
      <c r="O70" s="14" t="str">
        <f>IF($B70="","",
IF(O$5="","",
IF(Midterm!O70="",0,
IF(NOT(ISNUMBER(Midterm!O70)),"NAN",
IF(Midterm!O70&lt;0,"NEG",
IF(Midterm!O70&gt;O$5,"OVER",
IF(AND(O$5&lt;=100,Midterm!O70&gt;100),"ERR",
IF(Info!$B$4="Non-board program",
IF(OR(AND(O$5&gt;0,O$5&gt;100),AND(O$5&gt;0,O$5&lt;100)),
VLOOKUP(FLOOR((Midterm!O70/O$5)*100,1),new_transmute,2,FALSE),
VLOOKUP(Midterm!O70,new_transmute,2,FALSE)
),
IF(Info!$B$4="Board program",
IF(OR(AND(O$5&gt;0,O$5&gt;100),AND(O$5&gt;0,O$5&lt;100)),
VLOOKUP(FLOOR((Midterm!O70/O$5)*100,1),new_transmute,3,FALSE),
VLOOKUP(Midterm!O70,new_transmute,3,FALSE)
),
IF(Info!$B$4="Board program (Medicine)",
IF(OR(AND(O$5&gt;0,O$5&gt;100),AND(O$5&gt;0,O$5&lt;100)),
VLOOKUP(FLOOR((Midterm!O70/O$5)*100,1),new_transmute,4,FALSE),
VLOOKUP(Midterm!O70,new_transmute,4,FALSE)
),
""
)
)
)
)
)
)
)
)
))</f>
        <v/>
      </c>
      <c r="P70" s="14" t="str">
        <f>IF($B70="","",
IF(P$5="","",
IF(Midterm!P70="",0,
IF(NOT(ISNUMBER(Midterm!P70)),"NAN",
IF(Midterm!P70&lt;0,"NEG",
IF(Midterm!P70&gt;P$5,"OVER",
IF(AND(P$5&lt;=100,Midterm!P70&gt;100),"ERR",
IF(Info!$B$4="Non-board program",
IF(OR(AND(P$5&gt;0,P$5&gt;100),AND(P$5&gt;0,P$5&lt;100)),
VLOOKUP(FLOOR((Midterm!P70/P$5)*100,1),new_transmute,2,FALSE),
VLOOKUP(Midterm!P70,new_transmute,2,FALSE)
),
IF(Info!$B$4="Board program",
IF(OR(AND(P$5&gt;0,P$5&gt;100),AND(P$5&gt;0,P$5&lt;100)),
VLOOKUP(FLOOR((Midterm!P70/P$5)*100,1),new_transmute,3,FALSE),
VLOOKUP(Midterm!P70,new_transmute,3,FALSE)
),
IF(Info!$B$4="Board program (Medicine)",
IF(OR(AND(P$5&gt;0,P$5&gt;100),AND(P$5&gt;0,P$5&lt;100)),
VLOOKUP(FLOOR((Midterm!P70/P$5)*100,1),new_transmute,4,FALSE),
VLOOKUP(Midterm!P70,new_transmute,4,FALSE)
),
""
)
)
)
)
)
)
)
)
))</f>
        <v/>
      </c>
      <c r="Q70" s="14" t="str">
        <f>IF($B70="","",
IF(Q$5="","",
IF(Midterm!Q70="",0,
IF(NOT(ISNUMBER(Midterm!Q70)),"NAN",
IF(Midterm!Q70&lt;0,"NEG",
IF(Midterm!Q70&gt;Q$5,"OVER",
IF(AND(Q$5&lt;=100,Midterm!Q70&gt;100),"ERR",
IF(Info!$B$4="Non-board program",
IF(OR(AND(Q$5&gt;0,Q$5&gt;100),AND(Q$5&gt;0,Q$5&lt;100)),
VLOOKUP(FLOOR((Midterm!Q70/Q$5)*100,1),new_transmute,2,FALSE),
VLOOKUP(Midterm!Q70,new_transmute,2,FALSE)
),
IF(Info!$B$4="Board program",
IF(OR(AND(Q$5&gt;0,Q$5&gt;100),AND(Q$5&gt;0,Q$5&lt;100)),
VLOOKUP(FLOOR((Midterm!Q70/Q$5)*100,1),new_transmute,3,FALSE),
VLOOKUP(Midterm!Q70,new_transmute,3,FALSE)
),
IF(Info!$B$4="Board program (Medicine)",
IF(OR(AND(Q$5&gt;0,Q$5&gt;100),AND(Q$5&gt;0,Q$5&lt;100)),
VLOOKUP(FLOOR((Midterm!Q70/Q$5)*100,1),new_transmute,4,FALSE),
VLOOKUP(Midterm!Q70,new_transmute,4,FALSE)
),
""
)
)
)
)
)
)
)
)
))</f>
        <v/>
      </c>
      <c r="R70" s="14" t="str">
        <f>IF($B70="","",
IF(R$5="","",
IF(Midterm!R70="",0,
IF(NOT(ISNUMBER(Midterm!R70)),"NAN",
IF(Midterm!R70&lt;0,"NEG",
IF(Midterm!R70&gt;R$5,"OVER",
IF(AND(R$5&lt;=100,Midterm!R70&gt;100),"ERR",
IF(Info!$B$4="Non-board program",
IF(OR(AND(R$5&gt;0,R$5&gt;100),AND(R$5&gt;0,R$5&lt;100)),
VLOOKUP(FLOOR((Midterm!R70/R$5)*100,1),new_transmute,2,FALSE),
VLOOKUP(Midterm!R70,new_transmute,2,FALSE)
),
IF(Info!$B$4="Board program",
IF(OR(AND(R$5&gt;0,R$5&gt;100),AND(R$5&gt;0,R$5&lt;100)),
VLOOKUP(FLOOR((Midterm!R70/R$5)*100,1),new_transmute,3,FALSE),
VLOOKUP(Midterm!R70,new_transmute,3,FALSE)
),
IF(Info!$B$4="Board program (Medicine)",
IF(OR(AND(R$5&gt;0,R$5&gt;100),AND(R$5&gt;0,R$5&lt;100)),
VLOOKUP(FLOOR((Midterm!R70/R$5)*100,1),new_transmute,4,FALSE),
VLOOKUP(Midterm!R70,new_transmute,4,FALSE)
),
""
)
)
)
)
)
)
)
)
))</f>
        <v/>
      </c>
      <c r="S70" s="115" t="str">
        <f t="shared" si="3"/>
        <v/>
      </c>
      <c r="T70" s="14" t="str">
        <f>IF($B70="","",
IF(T$5="","",
IF(Midterm!T70="",0,
IF(NOT(ISNUMBER(Midterm!T70)),"NAN",
IF(Midterm!T70&lt;0,"NEG",
IF(Midterm!T70&gt;T$5,"OVER",
IF(AND(T$5&lt;=100,Midterm!T70&gt;100),"ERR",
IF(Info!$B$4="Non-board program",
IF(OR(AND(T$5&gt;0,T$5&gt;100),AND(T$5&gt;0,T$5&lt;100)),
VLOOKUP(FLOOR((Midterm!T70/T$5)*100,1),new_transmute,2,FALSE),
VLOOKUP(Midterm!T70,new_transmute,2,FALSE)
),
IF(Info!$B$4="Board program",
IF(OR(AND(T$5&gt;0,T$5&gt;100),AND(T$5&gt;0,T$5&lt;100)),
VLOOKUP(FLOOR((Midterm!T70/T$5)*100,1),new_transmute,3,FALSE),
VLOOKUP(Midterm!T70,new_transmute,3,FALSE)
),
IF(Info!$B$4="Board program (Medicine)",
IF(OR(AND(T$5&gt;0,T$5&gt;100),AND(T$5&gt;0,T$5&lt;100)),
VLOOKUP(FLOOR((Midterm!T70/T$5)*100,1),new_transmute,4,FALSE),
VLOOKUP(Midterm!T70,new_transmute,4,FALSE)
),
""
)
)
)
)
)
)
)
)
))</f>
        <v/>
      </c>
      <c r="U70" s="14" t="str">
        <f>IF($B70="","",
IF(U$5="","",
IF(Midterm!U70="",0,
IF(NOT(ISNUMBER(Midterm!U70)),"NAN",
IF(Midterm!U70&lt;0,"NEG",
IF(Midterm!U70&gt;U$5,"OVER",
IF(AND(U$5&lt;=100,Midterm!U70&gt;100),"ERR",
IF(Info!$B$4="Non-board program",
IF(OR(AND(U$5&gt;0,U$5&gt;100),AND(U$5&gt;0,U$5&lt;100)),
VLOOKUP(FLOOR((Midterm!U70/U$5)*100,1),new_transmute,2,FALSE),
VLOOKUP(Midterm!U70,new_transmute,2,FALSE)
),
IF(Info!$B$4="Board program",
IF(OR(AND(U$5&gt;0,U$5&gt;100),AND(U$5&gt;0,U$5&lt;100)),
VLOOKUP(FLOOR((Midterm!U70/U$5)*100,1),new_transmute,3,FALSE),
VLOOKUP(Midterm!U70,new_transmute,3,FALSE)
),
IF(Info!$B$4="Board program (Medicine)",
IF(OR(AND(U$5&gt;0,U$5&gt;100),AND(U$5&gt;0,U$5&lt;100)),
VLOOKUP(FLOOR((Midterm!U70/U$5)*100,1),new_transmute,4,FALSE),
VLOOKUP(Midterm!U70,new_transmute,4,FALSE)
),
""
)
)
)
)
)
)
)
)
))</f>
        <v/>
      </c>
      <c r="V70" s="14" t="str">
        <f>IF($B70="","",
IF(V$5="","",
IF(Midterm!V70="",0,
IF(NOT(ISNUMBER(Midterm!V70)),"NAN",
IF(Midterm!V70&lt;0,"NEG",
IF(Midterm!V70&gt;V$5,"OVER",
IF(AND(V$5&lt;=100,Midterm!V70&gt;100),"ERR",
IF(Info!$B$4="Non-board program",
IF(OR(AND(V$5&gt;0,V$5&gt;100),AND(V$5&gt;0,V$5&lt;100)),
VLOOKUP(FLOOR((Midterm!V70/V$5)*100,1),new_transmute,2,FALSE),
VLOOKUP(Midterm!V70,new_transmute,2,FALSE)
),
IF(Info!$B$4="Board program",
IF(OR(AND(V$5&gt;0,V$5&gt;100),AND(V$5&gt;0,V$5&lt;100)),
VLOOKUP(FLOOR((Midterm!V70/V$5)*100,1),new_transmute,3,FALSE),
VLOOKUP(Midterm!V70,new_transmute,3,FALSE)
),
IF(Info!$B$4="Board program (Medicine)",
IF(OR(AND(V$5&gt;0,V$5&gt;100),AND(V$5&gt;0,V$5&lt;100)),
VLOOKUP(FLOOR((Midterm!V70/V$5)*100,1),new_transmute,4,FALSE),
VLOOKUP(Midterm!V70,new_transmute,4,FALSE)
),
""
)
)
)
)
)
)
)
)
))</f>
        <v/>
      </c>
      <c r="W70" s="14" t="str">
        <f>IF($B70="","",
IF(W$5="","",
IF(Midterm!W70="",0,
IF(NOT(ISNUMBER(Midterm!W70)),"NAN",
IF(Midterm!W70&lt;0,"NEG",
IF(Midterm!W70&gt;W$5,"OVER",
IF(AND(W$5&lt;=100,Midterm!W70&gt;100),"ERR",
IF(Info!$B$4="Non-board program",
IF(OR(AND(W$5&gt;0,W$5&gt;100),AND(W$5&gt;0,W$5&lt;100)),
VLOOKUP(FLOOR((Midterm!W70/W$5)*100,1),new_transmute,2,FALSE),
VLOOKUP(Midterm!W70,new_transmute,2,FALSE)
),
IF(Info!$B$4="Board program",
IF(OR(AND(W$5&gt;0,W$5&gt;100),AND(W$5&gt;0,W$5&lt;100)),
VLOOKUP(FLOOR((Midterm!W70/W$5)*100,1),new_transmute,3,FALSE),
VLOOKUP(Midterm!W70,new_transmute,3,FALSE)
),
IF(Info!$B$4="Board program (Medicine)",
IF(OR(AND(W$5&gt;0,W$5&gt;100),AND(W$5&gt;0,W$5&lt;100)),
VLOOKUP(FLOOR((Midterm!W70/W$5)*100,1),new_transmute,4,FALSE),
VLOOKUP(Midterm!W70,new_transmute,4,FALSE)
),
""
)
)
)
)
)
)
)
)
))</f>
        <v/>
      </c>
      <c r="X70" s="14" t="str">
        <f>IF($B70="","",
IF(X$5="","",
IF(Midterm!X70="",0,
IF(NOT(ISNUMBER(Midterm!X70)),"NAN",
IF(Midterm!X70&lt;0,"NEG",
IF(Midterm!X70&gt;X$5,"OVER",
IF(AND(X$5&lt;=100,Midterm!X70&gt;100),"ERR",
IF(Info!$B$4="Non-board program",
IF(OR(AND(X$5&gt;0,X$5&gt;100),AND(X$5&gt;0,X$5&lt;100)),
VLOOKUP(FLOOR((Midterm!X70/X$5)*100,1),new_transmute,2,FALSE),
VLOOKUP(Midterm!X70,new_transmute,2,FALSE)
),
IF(Info!$B$4="Board program",
IF(OR(AND(X$5&gt;0,X$5&gt;100),AND(X$5&gt;0,X$5&lt;100)),
VLOOKUP(FLOOR((Midterm!X70/X$5)*100,1),new_transmute,3,FALSE),
VLOOKUP(Midterm!X70,new_transmute,3,FALSE)
),
IF(Info!$B$4="Board program (Medicine)",
IF(OR(AND(X$5&gt;0,X$5&gt;100),AND(X$5&gt;0,X$5&lt;100)),
VLOOKUP(FLOOR((Midterm!X70/X$5)*100,1),new_transmute,4,FALSE),
VLOOKUP(Midterm!X70,new_transmute,4,FALSE)
),
""
)
)
)
)
)
)
)
)
))</f>
        <v/>
      </c>
      <c r="Y70" s="112" t="str">
        <f t="shared" si="4"/>
        <v/>
      </c>
      <c r="Z70" s="14" t="str">
        <f>IF($B70="","",
IF(Z$5="","",
IF(Midterm!Z70="",0,
IF(NOT(ISNUMBER(Midterm!Z70)),"NAN",
IF(Midterm!Z70&lt;0,"NEG",
IF(Midterm!Z70&gt;Z$5,"OVER",
IF(AND(Z$5&lt;=100,Midterm!Z70&gt;100),"ERR",
IF(Info!$B$4="Non-board program",
IF(OR(AND(Z$5&gt;0,Z$5&gt;100),AND(Z$5&gt;0,Z$5&lt;100)),
VLOOKUP(FLOOR((Midterm!Z70/Z$5)*100,1),new_transmute,2,FALSE),
VLOOKUP(Midterm!Z70,new_transmute,2,FALSE)
),
IF(Info!$B$4="Board program",
IF(OR(AND(Z$5&gt;0,Z$5&gt;100),AND(Z$5&gt;0,Z$5&lt;100)),
VLOOKUP(FLOOR((Midterm!Z70/Z$5)*100,1),new_transmute,3,FALSE),
VLOOKUP(Midterm!Z70,new_transmute,3,FALSE)
),
IF(Info!$B$4="Board program (Medicine)",
IF(OR(AND(Z$5&gt;0,Z$5&gt;100),AND(Z$5&gt;0,Z$5&lt;100)),
VLOOKUP(FLOOR((Midterm!Z70/Z$5)*100,1),new_transmute,4,FALSE),
VLOOKUP(Midterm!Z70,new_transmute,4,FALSE)
),
""
)
)
)
)
)
)
)
)
))</f>
        <v/>
      </c>
      <c r="AA70" s="14" t="str">
        <f>IF($B70="","",
IF(AA$5="","",
IF(Midterm!AA70="",0,
IF(NOT(ISNUMBER(Midterm!AA70)),"NAN",
IF(Midterm!AA70&lt;0,"NEG",
IF(Midterm!AA70&gt;AA$5,"OVER",
IF(AND(AA$5&lt;=100,Midterm!AA70&gt;100),"ERR",
IF(Info!$B$4="Non-board program",
IF(OR(AND(AA$5&gt;0,AA$5&gt;100),AND(AA$5&gt;0,AA$5&lt;100)),
VLOOKUP(FLOOR((Midterm!AA70/AA$5)*100,1),new_transmute,2,FALSE),
VLOOKUP(Midterm!AA70,new_transmute,2,FALSE)
),
IF(Info!$B$4="Board program",
IF(OR(AND(AA$5&gt;0,AA$5&gt;100),AND(AA$5&gt;0,AA$5&lt;100)),
VLOOKUP(FLOOR((Midterm!AA70/AA$5)*100,1),new_transmute,3,FALSE),
VLOOKUP(Midterm!AA70,new_transmute,3,FALSE)
),
IF(Info!$B$4="Board program (Medicine)",
IF(OR(AND(AA$5&gt;0,AA$5&gt;100),AND(AA$5&gt;0,AA$5&lt;100)),
VLOOKUP(FLOOR((Midterm!AA70/AA$5)*100,1),new_transmute,4,FALSE),
VLOOKUP(Midterm!AA70,new_transmute,4,FALSE)
),
""
)
)
)
)
)
)
)
)
))</f>
        <v/>
      </c>
      <c r="AB70" s="14" t="str">
        <f>IF($B70="","",
IF(AB$5="","",
IF(Midterm!AB70="",0,
IF(NOT(ISNUMBER(Midterm!AB70)),"NAN",
IF(Midterm!AB70&lt;0,"NEG",
IF(Midterm!AB70&gt;AB$5,"OVER",
IF(AND(AB$5&lt;=100,Midterm!AB70&gt;100),"ERR",
IF(Info!$B$4="Non-board program",
IF(OR(AND(AB$5&gt;0,AB$5&gt;100),AND(AB$5&gt;0,AB$5&lt;100)),
VLOOKUP(FLOOR((Midterm!AB70/AB$5)*100,1),new_transmute,2,FALSE),
VLOOKUP(Midterm!AB70,new_transmute,2,FALSE)
),
IF(Info!$B$4="Board program",
IF(OR(AND(AB$5&gt;0,AB$5&gt;100),AND(AB$5&gt;0,AB$5&lt;100)),
VLOOKUP(FLOOR((Midterm!AB70/AB$5)*100,1),new_transmute,3,FALSE),
VLOOKUP(Midterm!AB70,new_transmute,3,FALSE)
),
IF(Info!$B$4="Board program (Medicine)",
IF(OR(AND(AB$5&gt;0,AB$5&gt;100),AND(AB$5&gt;0,AB$5&lt;100)),
VLOOKUP(FLOOR((Midterm!AB70/AB$5)*100,1),new_transmute,4,FALSE),
VLOOKUP(Midterm!AB70,new_transmute,4,FALSE)
),
""
)
)
)
)
)
)
)
)
))</f>
        <v/>
      </c>
      <c r="AC70" s="14" t="str">
        <f>IF($B70="","",
IF(AC$5="","",
IF(Midterm!AC70="",0,
IF(NOT(ISNUMBER(Midterm!AC70)),"NAN",
IF(Midterm!AC70&lt;0,"NEG",
IF(Midterm!AC70&gt;AC$5,"OVER",
IF(AND(AC$5&lt;=100,Midterm!AC70&gt;100),"ERR",
IF(Info!$B$4="Non-board program",
IF(OR(AND(AC$5&gt;0,AC$5&gt;100),AND(AC$5&gt;0,AC$5&lt;100)),
VLOOKUP(FLOOR((Midterm!AC70/AC$5)*100,1),new_transmute,2,FALSE),
VLOOKUP(Midterm!AC70,new_transmute,2,FALSE)
),
IF(Info!$B$4="Board program",
IF(OR(AND(AC$5&gt;0,AC$5&gt;100),AND(AC$5&gt;0,AC$5&lt;100)),
VLOOKUP(FLOOR((Midterm!AC70/AC$5)*100,1),new_transmute,3,FALSE),
VLOOKUP(Midterm!AC70,new_transmute,3,FALSE)
),
IF(Info!$B$4="Board program (Medicine)",
IF(OR(AND(AC$5&gt;0,AC$5&gt;100),AND(AC$5&gt;0,AC$5&lt;100)),
VLOOKUP(FLOOR((Midterm!AC70/AC$5)*100,1),new_transmute,4,FALSE),
VLOOKUP(Midterm!AC70,new_transmute,4,FALSE)
),
""
)
)
)
)
)
)
)
)
))</f>
        <v/>
      </c>
      <c r="AD70" s="14" t="str">
        <f>IF($B70="","",
IF(AD$5="","",
IF(Midterm!AD70="",0,
IF(NOT(ISNUMBER(Midterm!AD70)),"NAN",
IF(Midterm!AD70&lt;0,"NEG",
IF(Midterm!AD70&gt;AD$5,"OVER",
IF(AND(AD$5&lt;=100,Midterm!AD70&gt;100),"ERR",
IF(Info!$B$4="Non-board program",
IF(OR(AND(AD$5&gt;0,AD$5&gt;100),AND(AD$5&gt;0,AD$5&lt;100)),
VLOOKUP(FLOOR((Midterm!AD70/AD$5)*100,1),new_transmute,2,FALSE),
VLOOKUP(Midterm!AD70,new_transmute,2,FALSE)
),
IF(Info!$B$4="Board program",
IF(OR(AND(AD$5&gt;0,AD$5&gt;100),AND(AD$5&gt;0,AD$5&lt;100)),
VLOOKUP(FLOOR((Midterm!AD70/AD$5)*100,1),new_transmute,3,FALSE),
VLOOKUP(Midterm!AD70,new_transmute,3,FALSE)
),
IF(Info!$B$4="Board program (Medicine)",
IF(OR(AND(AD$5&gt;0,AD$5&gt;100),AND(AD$5&gt;0,AD$5&lt;100)),
VLOOKUP(FLOOR((Midterm!AD70/AD$5)*100,1),new_transmute,4,FALSE),
VLOOKUP(Midterm!AD70,new_transmute,4,FALSE)
),
""
)
)
)
)
)
)
)
)
))</f>
        <v/>
      </c>
      <c r="AE70" s="58" t="str">
        <f t="shared" si="5"/>
        <v/>
      </c>
      <c r="AF70" s="14" t="str">
        <f>IF($B70="","",
IF(AF$5="","",
IF(Midterm!AF70="",0,
IF(NOT(ISNUMBER(Midterm!AF70)),"NAN",
IF(Midterm!AF70&lt;0,"NEG",
IF(Midterm!AF70&gt;AF$5,"OVER",
IF(AND(AF$5&lt;=100,Midterm!AF70&gt;100),"ERR",
IF(Info!$B$4="Non-board program",
IF(OR(AND(AF$5&gt;0,AF$5&gt;100),AND(AF$5&gt;0,AF$5&lt;100)),
VLOOKUP(FLOOR((Midterm!AF70/AF$5)*100,1),new_transmute,2,FALSE),
VLOOKUP(Midterm!AF70,new_transmute,2,FALSE)
),
IF(Info!$B$4="Board program",
IF(OR(AND(AF$5&gt;0,AF$5&gt;100),AND(AF$5&gt;0,AF$5&lt;100)),
VLOOKUP(FLOOR((Midterm!AF70/AF$5)*100,1),new_transmute,3,FALSE),
VLOOKUP(Midterm!AF70,new_transmute,3,FALSE)
),
IF(Info!$B$4="Board program (Medicine)",
IF(OR(AND(AF$5&gt;0,AF$5&gt;100),AND(AF$5&gt;0,AF$5&lt;100)),
VLOOKUP(FLOOR((Midterm!AF70/AF$5)*100,1),new_transmute,4,FALSE),
VLOOKUP(Midterm!AF70,new_transmute,4,FALSE)
),
""
)
)
)
)
)
)
)
)
))</f>
        <v/>
      </c>
      <c r="AG70" s="14" t="str">
        <f>IF($B70="","",
IF(AG$5="","",
IF(Midterm!AG70="",0,
IF(NOT(ISNUMBER(Midterm!AG70)),"NAN",
IF(Midterm!AG70&lt;0,"NEG",
IF(Midterm!AG70&gt;AG$5,"OVER",
IF(AND(AG$5&lt;=100,Midterm!AG70&gt;100),"ERR",
IF(Info!$B$4="Non-board program",
IF(OR(AND(AG$5&gt;0,AG$5&gt;100),AND(AG$5&gt;0,AG$5&lt;100)),
VLOOKUP(FLOOR((Midterm!AG70/AG$5)*100,1),new_transmute,2,FALSE),
VLOOKUP(Midterm!AG70,new_transmute,2,FALSE)
),
IF(Info!$B$4="Board program",
IF(OR(AND(AG$5&gt;0,AG$5&gt;100),AND(AG$5&gt;0,AG$5&lt;100)),
VLOOKUP(FLOOR((Midterm!AG70/AG$5)*100,1),new_transmute,3,FALSE),
VLOOKUP(Midterm!AG70,new_transmute,3,FALSE)
),
IF(Info!$B$4="Board program (Medicine)",
IF(OR(AND(AG$5&gt;0,AG$5&gt;100),AND(AG$5&gt;0,AG$5&lt;100)),
VLOOKUP(FLOOR((Midterm!AG70/AG$5)*100,1),new_transmute,4,FALSE),
VLOOKUP(Midterm!AG70,new_transmute,4,FALSE)
),
""
)
)
)
)
)
)
)
)
))</f>
        <v/>
      </c>
      <c r="AH70" s="14" t="str">
        <f>IF($B70="","",
IF(AH$5="","",
IF(Midterm!AH70="",0,
IF(NOT(ISNUMBER(Midterm!AH70)),"NAN",
IF(Midterm!AH70&lt;0,"NEG",
IF(Midterm!AH70&gt;AH$5,"OVER",
IF(AND(AH$5&lt;=100,Midterm!AH70&gt;100),"ERR",
IF(Info!$B$4="Non-board program",
IF(OR(AND(AH$5&gt;0,AH$5&gt;100),AND(AH$5&gt;0,AH$5&lt;100)),
VLOOKUP(FLOOR((Midterm!AH70/AH$5)*100,1),new_transmute,2,FALSE),
VLOOKUP(Midterm!AH70,new_transmute,2,FALSE)
),
IF(Info!$B$4="Board program",
IF(OR(AND(AH$5&gt;0,AH$5&gt;100),AND(AH$5&gt;0,AH$5&lt;100)),
VLOOKUP(FLOOR((Midterm!AH70/AH$5)*100,1),new_transmute,3,FALSE),
VLOOKUP(Midterm!AH70,new_transmute,3,FALSE)
),
IF(Info!$B$4="Board program (Medicine)",
IF(OR(AND(AH$5&gt;0,AH$5&gt;100),AND(AH$5&gt;0,AH$5&lt;100)),
VLOOKUP(FLOOR((Midterm!AH70/AH$5)*100,1),new_transmute,4,FALSE),
VLOOKUP(Midterm!AH70,new_transmute,4,FALSE)
),
""
)
)
)
)
)
)
)
)
))</f>
        <v/>
      </c>
      <c r="AI70" s="14" t="str">
        <f>IF($B70="","",
IF(AI$5="","",
IF(Midterm!AI70="",0,
IF(NOT(ISNUMBER(Midterm!AI70)),"NAN",
IF(Midterm!AI70&lt;0,"NEG",
IF(Midterm!AI70&gt;AI$5,"OVER",
IF(AND(AI$5&lt;=100,Midterm!AI70&gt;100),"ERR",
IF(Info!$B$4="Non-board program",
IF(OR(AND(AI$5&gt;0,AI$5&gt;100),AND(AI$5&gt;0,AI$5&lt;100)),
VLOOKUP(FLOOR((Midterm!AI70/AI$5)*100,1),new_transmute,2,FALSE),
VLOOKUP(Midterm!AI70,new_transmute,2,FALSE)
),
IF(Info!$B$4="Board program",
IF(OR(AND(AI$5&gt;0,AI$5&gt;100),AND(AI$5&gt;0,AI$5&lt;100)),
VLOOKUP(FLOOR((Midterm!AI70/AI$5)*100,1),new_transmute,3,FALSE),
VLOOKUP(Midterm!AI70,new_transmute,3,FALSE)
),
IF(Info!$B$4="Board program (Medicine)",
IF(OR(AND(AI$5&gt;0,AI$5&gt;100),AND(AI$5&gt;0,AI$5&lt;100)),
VLOOKUP(FLOOR((Midterm!AI70/AI$5)*100,1),new_transmute,4,FALSE),
VLOOKUP(Midterm!AI70,new_transmute,4,FALSE)
),
""
)
)
)
)
)
)
)
)
))</f>
        <v/>
      </c>
      <c r="AJ70" s="14" t="str">
        <f>IF($B70="","",
IF(AJ$5="","",
IF(Midterm!AJ70="",0,
IF(NOT(ISNUMBER(Midterm!AJ70)),"NAN",
IF(Midterm!AJ70&lt;0,"NEG",
IF(Midterm!AJ70&gt;AJ$5,"OVER",
IF(AND(AJ$5&lt;=100,Midterm!AJ70&gt;100),"ERR",
IF(Info!$B$4="Non-board program",
IF(OR(AND(AJ$5&gt;0,AJ$5&gt;100),AND(AJ$5&gt;0,AJ$5&lt;100)),
VLOOKUP(FLOOR((Midterm!AJ70/AJ$5)*100,1),new_transmute,2,FALSE),
VLOOKUP(Midterm!AJ70,new_transmute,2,FALSE)
),
IF(Info!$B$4="Board program",
IF(OR(AND(AJ$5&gt;0,AJ$5&gt;100),AND(AJ$5&gt;0,AJ$5&lt;100)),
VLOOKUP(FLOOR((Midterm!AJ70/AJ$5)*100,1),new_transmute,3,FALSE),
VLOOKUP(Midterm!AJ70,new_transmute,3,FALSE)
),
IF(Info!$B$4="Board program (Medicine)",
IF(OR(AND(AJ$5&gt;0,AJ$5&gt;100),AND(AJ$5&gt;0,AJ$5&lt;100)),
VLOOKUP(FLOOR((Midterm!AJ70/AJ$5)*100,1),new_transmute,4,FALSE),
VLOOKUP(Midterm!AJ70,new_transmute,4,FALSE)
),
""
)
)
)
)
)
)
)
)
))</f>
        <v/>
      </c>
      <c r="AK70" s="59" t="str">
        <f t="shared" si="6"/>
        <v/>
      </c>
      <c r="AL70" s="60" t="str">
        <f>IF(B70="", "",
    IF(OR(M70="OVER", S70="OVER", Y70="OVER", AE70="OVER", AK70="OVER"),
        "OVER",
        IF(Info!$B$4="Non-board program",
            VLOOKUP(IFERROR(FLOOR(SUM((M70*$M$4), (S70*$S$4), (Y70*$Y$4), (AE70*$AE$4), (AK70*$AK$4)) * (100 / 60), 1), 0), new_transmute, 2, FALSE),
            IF(Info!$B$4="Board program",
                VLOOKUP(IFERROR(FLOOR(SUM((M70*$M$4), (S70*$S$4), (Y70*$Y$4), (AE70*$AE$4), (AK70*$AK$4)) * (100 / 60), 1), 0), new_transmute, 3, FALSE),
                IF(Info!$B$4="Board program (Medicine)",
                    VLOOKUP(IFERROR(FLOOR(SUM((M70*$M$4), (S70*$S$4), (Y70*$Y$4), (AE70*$AE$4), (AK70*$AK$4)) * (100 / 60), 1), 0), new_transmute, 4, FALSE),
                    ""
                )
            )
        )
    )
)</f>
        <v/>
      </c>
      <c r="AM70" s="14" t="str">
        <f>IF($B70="","",
IF(AM$5="","",
IF(Midterm!AM70="",0,
IF(NOT(ISNUMBER(Midterm!AM70)),"NAN",
IF(Midterm!AM70&lt;0,"NEG",
IF(Midterm!AM70&gt;AM$5,"OVER",
IF(AND(AM$5&lt;=100,Midterm!AM70&gt;100),"ERR",
IF(Info!$B$4="Non-board program",
IF(OR(AND(AM$5&gt;0,AM$5&gt;100),AND(AM$5&gt;0,AM$5&lt;100)),
VLOOKUP(FLOOR((Midterm!AM70/AM$5)*100,1),new_transmute,2,FALSE),
VLOOKUP(Midterm!AM70,new_transmute,2,FALSE)
),
IF(Info!$B$4="Board program",
IF(OR(AND(AM$5&gt;0,AM$5&gt;100),AND(AM$5&gt;0,AM$5&lt;100)),
VLOOKUP(FLOOR((Midterm!AM70/AM$5)*100,1),new_transmute,3,FALSE),
VLOOKUP(Midterm!AM70,new_transmute,3,FALSE)
),
IF(Info!$B$4="Board program (Medicine)",
IF(OR(AND(AM$5&gt;0,AM$5&gt;100),AND(AM$5&gt;0,AM$5&lt;100)),
VLOOKUP(FLOOR((Midterm!AM70/AM$5)*100,1),new_transmute,4,FALSE),
VLOOKUP(Midterm!AM70,new_transmute,4,FALSE)
),
""
)
)
)
)
)
)
)
)
))</f>
        <v/>
      </c>
      <c r="AN70" s="14" t="str">
        <f>IF($B70="","",
IF(AN$5="","",
IF(Midterm!AN70="",0,
IF(NOT(ISNUMBER(Midterm!AN70)),"NAN",
IF(Midterm!AN70&lt;0,"NEG",
IF(Midterm!AN70&gt;AN$5,"OVER",
IF(AND(AN$5&lt;=100,Midterm!AN70&gt;100),"ERR",
IF(Info!$B$4="Non-board program",
IF(OR(AND(AN$5&gt;0,AN$5&gt;100),AND(AN$5&gt;0,AN$5&lt;100)),
VLOOKUP(FLOOR((Midterm!AN70/AN$5)*100,1),new_transmute,2,FALSE),
VLOOKUP(Midterm!AN70,new_transmute,2,FALSE)
),
IF(Info!$B$4="Board program",
IF(OR(AND(AN$5&gt;0,AN$5&gt;100),AND(AN$5&gt;0,AN$5&lt;100)),
VLOOKUP(FLOOR((Midterm!AN70/AN$5)*100,1),new_transmute,3,FALSE),
VLOOKUP(Midterm!AN70,new_transmute,3,FALSE)
),
IF(Info!$B$4="Board program (Medicine)",
IF(OR(AND(AN$5&gt;0,AN$5&gt;100),AND(AN$5&gt;0,AN$5&lt;100)),
VLOOKUP(FLOOR((Midterm!AN70/AN$5)*100,1),new_transmute,4,FALSE),
VLOOKUP(Midterm!AN70,new_transmute,4,FALSE)
),
""
)
)
)
)
)
)
)
)
))</f>
        <v/>
      </c>
      <c r="AO70" s="14" t="str">
        <f>IF($B70="","",
IF(AO$5="","",
IF(Midterm!AO70="",0,
IF(NOT(ISNUMBER(Midterm!AO70)),"NAN",
IF(Midterm!AO70&lt;0,"NEG",
IF(Midterm!AO70&gt;AO$5,"OVER",
IF(AND(AO$5&lt;=100,Midterm!AO70&gt;100),"ERR",
IF(Info!$B$4="Non-board program",
IF(OR(AND(AO$5&gt;0,AO$5&gt;100),AND(AO$5&gt;0,AO$5&lt;100)),
VLOOKUP(FLOOR((Midterm!AO70/AO$5)*100,1),new_transmute,2,FALSE),
VLOOKUP(Midterm!AO70,new_transmute,2,FALSE)
),
IF(Info!$B$4="Board program",
IF(OR(AND(AO$5&gt;0,AO$5&gt;100),AND(AO$5&gt;0,AO$5&lt;100)),
VLOOKUP(FLOOR((Midterm!AO70/AO$5)*100,1),new_transmute,3,FALSE),
VLOOKUP(Midterm!AO70,new_transmute,3,FALSE)
),
IF(Info!$B$4="Board program (Medicine)",
IF(OR(AND(AO$5&gt;0,AO$5&gt;100),AND(AO$5&gt;0,AO$5&lt;100)),
VLOOKUP(FLOOR((Midterm!AO70/AO$5)*100,1),new_transmute,4,FALSE),
VLOOKUP(Midterm!AO70,new_transmute,4,FALSE)
),
""
)
)
)
)
)
)
)
)
))</f>
        <v/>
      </c>
      <c r="AP70" s="14" t="str">
        <f>IF($B70="","",
IF(AP$5="","",
IF(Midterm!AP70="",0,
IF(NOT(ISNUMBER(Midterm!AP70)),"NAN",
IF(Midterm!AP70&lt;0,"NEG",
IF(Midterm!AP70&gt;AP$5,"OVER",
IF(AND(AP$5&lt;=100,Midterm!AP70&gt;100),"ERR",
IF(Info!$B$4="Non-board program",
IF(OR(AND(AP$5&gt;0,AP$5&gt;100),AND(AP$5&gt;0,AP$5&lt;100)),
VLOOKUP(FLOOR((Midterm!AP70/AP$5)*100,1),new_transmute,2,FALSE),
VLOOKUP(Midterm!AP70,new_transmute,2,FALSE)
),
IF(Info!$B$4="Board program",
IF(OR(AND(AP$5&gt;0,AP$5&gt;100),AND(AP$5&gt;0,AP$5&lt;100)),
VLOOKUP(FLOOR((Midterm!AP70/AP$5)*100,1),new_transmute,3,FALSE),
VLOOKUP(Midterm!AP70,new_transmute,3,FALSE)
),
IF(Info!$B$4="Board program (Medicine)",
IF(OR(AND(AP$5&gt;0,AP$5&gt;100),AND(AP$5&gt;0,AP$5&lt;100)),
VLOOKUP(FLOOR((Midterm!AP70/AP$5)*100,1),new_transmute,4,FALSE),
VLOOKUP(Midterm!AP70,new_transmute,4,FALSE)
),
""
)
)
)
)
)
)
)
)
))</f>
        <v/>
      </c>
      <c r="AQ70" s="61" t="str">
        <f t="shared" si="7"/>
        <v/>
      </c>
      <c r="AR70" s="48" t="str">
        <f>IF(Midterm!AR70="","",Midterm!AR70)</f>
        <v/>
      </c>
      <c r="AS70" s="165" t="str">
        <f t="shared" si="8"/>
        <v/>
      </c>
      <c r="AT70" s="14" t="str">
        <f t="shared" ref="AT70:AT71" si="10">IF(B70="", "",
    IF(AS70="ERR", "ERR",
        IF(AS70="DRP",
            VLOOKUP(AS70, Equivalent, 1, FALSE),
            IF(AS70="WF",
                VLOOKUP(AS70, Equivalent, 1, FALSE),
                IF(E70="FA",
                    VLOOKUP(E70, Equivalent, 1, FALSE),
                    IF(AS70&lt;60,
                        5,
                        VLOOKUP(FLOOR(AS70, 1), Equivalent, 2, FALSE)
                    )
                )
            )
        )
    )
)</f>
        <v/>
      </c>
      <c r="AU70" s="14" t="str">
        <f>IF(B70="","",VLOOKUP(AT70,'New Grade Equivalent'!$B$3:$C$47,2,FALSE))</f>
        <v/>
      </c>
    </row>
    <row r="71" spans="1:47" x14ac:dyDescent="0.25">
      <c r="A71" s="8">
        <v>66</v>
      </c>
      <c r="B71" s="2" t="str">
        <f>IF('Student List'!C75="","",UPPER(LEFT('Student List'!C75,FIND(",",'Student List'!C75)-1)))</f>
        <v/>
      </c>
      <c r="C71" s="12" t="str">
        <f>IF('Student List'!C75="","",PROPER(MID('Student List'!C75, FIND(",", 'Student List'!C75) + 2, LEN('Student List'!C75) - FIND(",", 'Student List'!C75) - 1)))</f>
        <v/>
      </c>
      <c r="D71" s="127" t="str">
        <f>IF(B71="","",IF(Midterm!D71="", "NA", Midterm!D71))</f>
        <v/>
      </c>
      <c r="E71" s="8" t="str">
        <f>IF(B71="","",
  IF(Info!$B$5="First Year",
    IF(D71="Yes", "DRP",
      IF(D71="No", "WF", "")
    )
  )
)</f>
        <v/>
      </c>
      <c r="F71" s="14" t="str">
        <f>IF($B71="","",
IF(F$5="","",
IF(Midterm!F71="",0,
IF(NOT(ISNUMBER(Midterm!F71)),"NAN",
IF(Midterm!F71&lt;0,"NEG",
IF(Midterm!F71&gt;F$5,"OVER",
IF(AND(F$5&lt;=100,Midterm!F71&gt;100),"ERR",
IF(Info!$B$4="Non-board program",
IF(OR(AND(F$5&gt;0,F$5&gt;100),AND(F$5&gt;0,F$5&lt;100)),
VLOOKUP(FLOOR((Midterm!F71/F$5)*100,1),new_transmute,2,FALSE),
VLOOKUP(Midterm!F71,new_transmute,2,FALSE)
),
IF(Info!$B$4="Board program",
IF(OR(AND(F$5&gt;0,F$5&gt;100),AND(F$5&gt;0,F$5&lt;100)),
VLOOKUP(FLOOR((Midterm!F71/F$5)*100,1),new_transmute,3,FALSE),
VLOOKUP(Midterm!F71,new_transmute,3,FALSE)
),
IF(Info!$B$4="Board program (Medicine)",
IF(OR(AND(F$5&gt;0,F$5&gt;100),AND(F$5&gt;0,F$5&lt;100)),
VLOOKUP(FLOOR((Midterm!F71/F$5)*100,1),new_transmute,4,FALSE),
VLOOKUP(Midterm!F71,new_transmute,4,FALSE)
),
""
)
)
)
)
)
)
)
)
))</f>
        <v/>
      </c>
      <c r="G71" s="57" t="str">
        <f t="shared" ref="G71:G90" si="11">IF(B71="","",F71)</f>
        <v/>
      </c>
      <c r="H71" s="14" t="str">
        <f>IF($B71="","",
IF(H$5="","",
IF(Midterm!H71="",0,
IF(NOT(ISNUMBER(Midterm!H71)),"NAN",
IF(Midterm!H71&lt;0,"NEG",
IF(Midterm!H71&gt;H$5,"OVER",
IF(AND(H$5&lt;=100,Midterm!H71&gt;100),"ERR",
IF(Info!$B$4="Non-board program",
IF(OR(AND(H$5&gt;0,H$5&gt;100),AND(H$5&gt;0,H$5&lt;100)),
VLOOKUP(FLOOR((Midterm!H71/H$5)*100,1),new_transmute,2,FALSE),
VLOOKUP(Midterm!H71,new_transmute,2,FALSE)
),
IF(Info!$B$4="Board program",
IF(OR(AND(H$5&gt;0,H$5&gt;100),AND(H$5&gt;0,H$5&lt;100)),
VLOOKUP(FLOOR((Midterm!H71/H$5)*100,1),new_transmute,3,FALSE),
VLOOKUP(Midterm!H71,new_transmute,3,FALSE)
),
IF(Info!$B$4="Board program (Medicine)",
IF(OR(AND(H$5&gt;0,H$5&gt;100),AND(H$5&gt;0,H$5&lt;100)),
VLOOKUP(FLOOR((Midterm!H71/H$5)*100,1),new_transmute,4,FALSE),
VLOOKUP(Midterm!H71,new_transmute,4,FALSE)
),
""
)
)
)
)
)
)
)
)
))</f>
        <v/>
      </c>
      <c r="I71" s="14" t="str">
        <f>IF($B71="","",
IF(I$5="","",
IF(Midterm!I71="",0,
IF(NOT(ISNUMBER(Midterm!I71)),"NAN",
IF(Midterm!I71&lt;0,"NEG",
IF(Midterm!I71&gt;I$5,"OVER",
IF(AND(I$5&lt;=100,Midterm!I71&gt;100),"ERR",
IF(Info!$B$4="Non-board program",
IF(OR(AND(I$5&gt;0,I$5&gt;100),AND(I$5&gt;0,I$5&lt;100)),
VLOOKUP(FLOOR((Midterm!I71/I$5)*100,1),new_transmute,2,FALSE),
VLOOKUP(Midterm!I71,new_transmute,2,FALSE)
),
IF(Info!$B$4="Board program",
IF(OR(AND(I$5&gt;0,I$5&gt;100),AND(I$5&gt;0,I$5&lt;100)),
VLOOKUP(FLOOR((Midterm!I71/I$5)*100,1),new_transmute,3,FALSE),
VLOOKUP(Midterm!I71,new_transmute,3,FALSE)
),
IF(Info!$B$4="Board program (Medicine)",
IF(OR(AND(I$5&gt;0,I$5&gt;100),AND(I$5&gt;0,I$5&lt;100)),
VLOOKUP(FLOOR((Midterm!I71/I$5)*100,1),new_transmute,4,FALSE),
VLOOKUP(Midterm!I71,new_transmute,4,FALSE)
),
""
)
)
)
)
)
)
)
)
))</f>
        <v/>
      </c>
      <c r="J71" s="14" t="str">
        <f>IF($B71="","",
IF(J$5="","",
IF(Midterm!J71="",0,
IF(NOT(ISNUMBER(Midterm!J71)),"NAN",
IF(Midterm!J71&lt;0,"NEG",
IF(Midterm!J71&gt;J$5,"OVER",
IF(AND(J$5&lt;=100,Midterm!J71&gt;100),"ERR",
IF(Info!$B$4="Non-board program",
IF(OR(AND(J$5&gt;0,J$5&gt;100),AND(J$5&gt;0,J$5&lt;100)),
VLOOKUP(FLOOR((Midterm!J71/J$5)*100,1),new_transmute,2,FALSE),
VLOOKUP(Midterm!J71,new_transmute,2,FALSE)
),
IF(Info!$B$4="Board program",
IF(OR(AND(J$5&gt;0,J$5&gt;100),AND(J$5&gt;0,J$5&lt;100)),
VLOOKUP(FLOOR((Midterm!J71/J$5)*100,1),new_transmute,3,FALSE),
VLOOKUP(Midterm!J71,new_transmute,3,FALSE)
),
IF(Info!$B$4="Board program (Medicine)",
IF(OR(AND(J$5&gt;0,J$5&gt;100),AND(J$5&gt;0,J$5&lt;100)),
VLOOKUP(FLOOR((Midterm!J71/J$5)*100,1),new_transmute,4,FALSE),
VLOOKUP(Midterm!J71,new_transmute,4,FALSE)
),
""
)
)
)
)
)
)
)
)
))</f>
        <v/>
      </c>
      <c r="K71" s="14" t="str">
        <f>IF($B71="","",
IF(K$5="","",
IF(Midterm!K71="",0,
IF(NOT(ISNUMBER(Midterm!K71)),"NAN",
IF(Midterm!K71&lt;0,"NEG",
IF(Midterm!K71&gt;K$5,"OVER",
IF(AND(K$5&lt;=100,Midterm!K71&gt;100),"ERR",
IF(Info!$B$4="Non-board program",
IF(OR(AND(K$5&gt;0,K$5&gt;100),AND(K$5&gt;0,K$5&lt;100)),
VLOOKUP(FLOOR((Midterm!K71/K$5)*100,1),new_transmute,2,FALSE),
VLOOKUP(Midterm!K71,new_transmute,2,FALSE)
),
IF(Info!$B$4="Board program",
IF(OR(AND(K$5&gt;0,K$5&gt;100),AND(K$5&gt;0,K$5&lt;100)),
VLOOKUP(FLOOR((Midterm!K71/K$5)*100,1),new_transmute,3,FALSE),
VLOOKUP(Midterm!K71,new_transmute,3,FALSE)
),
IF(Info!$B$4="Board program (Medicine)",
IF(OR(AND(K$5&gt;0,K$5&gt;100),AND(K$5&gt;0,K$5&lt;100)),
VLOOKUP(FLOOR((Midterm!K71/K$5)*100,1),new_transmute,4,FALSE),
VLOOKUP(Midterm!K71,new_transmute,4,FALSE)
),
""
)
)
)
)
)
)
)
)
))</f>
        <v/>
      </c>
      <c r="L71" s="14" t="str">
        <f>IF($B71="","",
IF(L$5="","",
IF(Midterm!L71="",0,
IF(NOT(ISNUMBER(Midterm!L71)),"NAN",
IF(Midterm!L71&lt;0,"NEG",
IF(Midterm!L71&gt;L$5,"OVER",
IF(AND(L$5&lt;=100,Midterm!L71&gt;100),"ERR",
IF(Info!$B$4="Non-board program",
IF(OR(AND(L$5&gt;0,L$5&gt;100),AND(L$5&gt;0,L$5&lt;100)),
VLOOKUP(FLOOR((Midterm!L71/L$5)*100,1),new_transmute,2,FALSE),
VLOOKUP(Midterm!L71,new_transmute,2,FALSE)
),
IF(Info!$B$4="Board program",
IF(OR(AND(L$5&gt;0,L$5&gt;100),AND(L$5&gt;0,L$5&lt;100)),
VLOOKUP(FLOOR((Midterm!L71/L$5)*100,1),new_transmute,3,FALSE),
VLOOKUP(Midterm!L71,new_transmute,3,FALSE)
),
IF(Info!$B$4="Board program (Medicine)",
IF(OR(AND(L$5&gt;0,L$5&gt;100),AND(L$5&gt;0,L$5&lt;100)),
VLOOKUP(FLOOR((Midterm!L71/L$5)*100,1),new_transmute,4,FALSE),
VLOOKUP(Midterm!L71,new_transmute,4,FALSE)
),
""
)
)
)
)
)
)
)
)
))</f>
        <v/>
      </c>
      <c r="M71" s="111" t="str">
        <f t="shared" ref="M71:M90" si="12">IF(B71="", "", IF(COUNTIF(H71:L71, "OVER") &gt; 0, "OVER", IFERROR(AVERAGEIF(H71:L71, "&lt;&gt;OVER"), 0)))</f>
        <v/>
      </c>
      <c r="N71" s="14" t="str">
        <f>IF($B71="","",
IF(N$5="","",
IF(Midterm!N71="",0,
IF(NOT(ISNUMBER(Midterm!N71)),"NAN",
IF(Midterm!N71&lt;0,"NEG",
IF(Midterm!N71&gt;N$5,"OVER",
IF(AND(N$5&lt;=100,Midterm!N71&gt;100),"ERR",
IF(Info!$B$4="Non-board program",
IF(OR(AND(N$5&gt;0,N$5&gt;100),AND(N$5&gt;0,N$5&lt;100)),
VLOOKUP(FLOOR((Midterm!N71/N$5)*100,1),new_transmute,2,FALSE),
VLOOKUP(Midterm!N71,new_transmute,2,FALSE)
),
IF(Info!$B$4="Board program",
IF(OR(AND(N$5&gt;0,N$5&gt;100),AND(N$5&gt;0,N$5&lt;100)),
VLOOKUP(FLOOR((Midterm!N71/N$5)*100,1),new_transmute,3,FALSE),
VLOOKUP(Midterm!N71,new_transmute,3,FALSE)
),
IF(Info!$B$4="Board program (Medicine)",
IF(OR(AND(N$5&gt;0,N$5&gt;100),AND(N$5&gt;0,N$5&lt;100)),
VLOOKUP(FLOOR((Midterm!N71/N$5)*100,1),new_transmute,4,FALSE),
VLOOKUP(Midterm!N71,new_transmute,4,FALSE)
),
""
)
)
)
)
)
)
)
)
))</f>
        <v/>
      </c>
      <c r="O71" s="14" t="str">
        <f>IF($B71="","",
IF(O$5="","",
IF(Midterm!O71="",0,
IF(NOT(ISNUMBER(Midterm!O71)),"NAN",
IF(Midterm!O71&lt;0,"NEG",
IF(Midterm!O71&gt;O$5,"OVER",
IF(AND(O$5&lt;=100,Midterm!O71&gt;100),"ERR",
IF(Info!$B$4="Non-board program",
IF(OR(AND(O$5&gt;0,O$5&gt;100),AND(O$5&gt;0,O$5&lt;100)),
VLOOKUP(FLOOR((Midterm!O71/O$5)*100,1),new_transmute,2,FALSE),
VLOOKUP(Midterm!O71,new_transmute,2,FALSE)
),
IF(Info!$B$4="Board program",
IF(OR(AND(O$5&gt;0,O$5&gt;100),AND(O$5&gt;0,O$5&lt;100)),
VLOOKUP(FLOOR((Midterm!O71/O$5)*100,1),new_transmute,3,FALSE),
VLOOKUP(Midterm!O71,new_transmute,3,FALSE)
),
IF(Info!$B$4="Board program (Medicine)",
IF(OR(AND(O$5&gt;0,O$5&gt;100),AND(O$5&gt;0,O$5&lt;100)),
VLOOKUP(FLOOR((Midterm!O71/O$5)*100,1),new_transmute,4,FALSE),
VLOOKUP(Midterm!O71,new_transmute,4,FALSE)
),
""
)
)
)
)
)
)
)
)
))</f>
        <v/>
      </c>
      <c r="P71" s="14" t="str">
        <f>IF($B71="","",
IF(P$5="","",
IF(Midterm!P71="",0,
IF(NOT(ISNUMBER(Midterm!P71)),"NAN",
IF(Midterm!P71&lt;0,"NEG",
IF(Midterm!P71&gt;P$5,"OVER",
IF(AND(P$5&lt;=100,Midterm!P71&gt;100),"ERR",
IF(Info!$B$4="Non-board program",
IF(OR(AND(P$5&gt;0,P$5&gt;100),AND(P$5&gt;0,P$5&lt;100)),
VLOOKUP(FLOOR((Midterm!P71/P$5)*100,1),new_transmute,2,FALSE),
VLOOKUP(Midterm!P71,new_transmute,2,FALSE)
),
IF(Info!$B$4="Board program",
IF(OR(AND(P$5&gt;0,P$5&gt;100),AND(P$5&gt;0,P$5&lt;100)),
VLOOKUP(FLOOR((Midterm!P71/P$5)*100,1),new_transmute,3,FALSE),
VLOOKUP(Midterm!P71,new_transmute,3,FALSE)
),
IF(Info!$B$4="Board program (Medicine)",
IF(OR(AND(P$5&gt;0,P$5&gt;100),AND(P$5&gt;0,P$5&lt;100)),
VLOOKUP(FLOOR((Midterm!P71/P$5)*100,1),new_transmute,4,FALSE),
VLOOKUP(Midterm!P71,new_transmute,4,FALSE)
),
""
)
)
)
)
)
)
)
)
))</f>
        <v/>
      </c>
      <c r="Q71" s="14" t="str">
        <f>IF($B71="","",
IF(Q$5="","",
IF(Midterm!Q71="",0,
IF(NOT(ISNUMBER(Midterm!Q71)),"NAN",
IF(Midterm!Q71&lt;0,"NEG",
IF(Midterm!Q71&gt;Q$5,"OVER",
IF(AND(Q$5&lt;=100,Midterm!Q71&gt;100),"ERR",
IF(Info!$B$4="Non-board program",
IF(OR(AND(Q$5&gt;0,Q$5&gt;100),AND(Q$5&gt;0,Q$5&lt;100)),
VLOOKUP(FLOOR((Midterm!Q71/Q$5)*100,1),new_transmute,2,FALSE),
VLOOKUP(Midterm!Q71,new_transmute,2,FALSE)
),
IF(Info!$B$4="Board program",
IF(OR(AND(Q$5&gt;0,Q$5&gt;100),AND(Q$5&gt;0,Q$5&lt;100)),
VLOOKUP(FLOOR((Midterm!Q71/Q$5)*100,1),new_transmute,3,FALSE),
VLOOKUP(Midterm!Q71,new_transmute,3,FALSE)
),
IF(Info!$B$4="Board program (Medicine)",
IF(OR(AND(Q$5&gt;0,Q$5&gt;100),AND(Q$5&gt;0,Q$5&lt;100)),
VLOOKUP(FLOOR((Midterm!Q71/Q$5)*100,1),new_transmute,4,FALSE),
VLOOKUP(Midterm!Q71,new_transmute,4,FALSE)
),
""
)
)
)
)
)
)
)
)
))</f>
        <v/>
      </c>
      <c r="R71" s="14" t="str">
        <f>IF($B71="","",
IF(R$5="","",
IF(Midterm!R71="",0,
IF(NOT(ISNUMBER(Midterm!R71)),"NAN",
IF(Midterm!R71&lt;0,"NEG",
IF(Midterm!R71&gt;R$5,"OVER",
IF(AND(R$5&lt;=100,Midterm!R71&gt;100),"ERR",
IF(Info!$B$4="Non-board program",
IF(OR(AND(R$5&gt;0,R$5&gt;100),AND(R$5&gt;0,R$5&lt;100)),
VLOOKUP(FLOOR((Midterm!R71/R$5)*100,1),new_transmute,2,FALSE),
VLOOKUP(Midterm!R71,new_transmute,2,FALSE)
),
IF(Info!$B$4="Board program",
IF(OR(AND(R$5&gt;0,R$5&gt;100),AND(R$5&gt;0,R$5&lt;100)),
VLOOKUP(FLOOR((Midterm!R71/R$5)*100,1),new_transmute,3,FALSE),
VLOOKUP(Midterm!R71,new_transmute,3,FALSE)
),
IF(Info!$B$4="Board program (Medicine)",
IF(OR(AND(R$5&gt;0,R$5&gt;100),AND(R$5&gt;0,R$5&lt;100)),
VLOOKUP(FLOOR((Midterm!R71/R$5)*100,1),new_transmute,4,FALSE),
VLOOKUP(Midterm!R71,new_transmute,4,FALSE)
),
""
)
)
)
)
)
)
)
)
))</f>
        <v/>
      </c>
      <c r="S71" s="115" t="str">
        <f t="shared" ref="S71:S90" si="13">IF(B71="", "", IF(COUNTIF(N71:R71, "OVER") &gt; 0, "OVER", IFERROR(AVERAGEIF(N71:R71, "&lt;&gt;OVER"), 0)))</f>
        <v/>
      </c>
      <c r="T71" s="14" t="str">
        <f>IF($B71="","",
IF(T$5="","",
IF(Midterm!T71="",0,
IF(NOT(ISNUMBER(Midterm!T71)),"NAN",
IF(Midterm!T71&lt;0,"NEG",
IF(Midterm!T71&gt;T$5,"OVER",
IF(AND(T$5&lt;=100,Midterm!T71&gt;100),"ERR",
IF(Info!$B$4="Non-board program",
IF(OR(AND(T$5&gt;0,T$5&gt;100),AND(T$5&gt;0,T$5&lt;100)),
VLOOKUP(FLOOR((Midterm!T71/T$5)*100,1),new_transmute,2,FALSE),
VLOOKUP(Midterm!T71,new_transmute,2,FALSE)
),
IF(Info!$B$4="Board program",
IF(OR(AND(T$5&gt;0,T$5&gt;100),AND(T$5&gt;0,T$5&lt;100)),
VLOOKUP(FLOOR((Midterm!T71/T$5)*100,1),new_transmute,3,FALSE),
VLOOKUP(Midterm!T71,new_transmute,3,FALSE)
),
IF(Info!$B$4="Board program (Medicine)",
IF(OR(AND(T$5&gt;0,T$5&gt;100),AND(T$5&gt;0,T$5&lt;100)),
VLOOKUP(FLOOR((Midterm!T71/T$5)*100,1),new_transmute,4,FALSE),
VLOOKUP(Midterm!T71,new_transmute,4,FALSE)
),
""
)
)
)
)
)
)
)
)
))</f>
        <v/>
      </c>
      <c r="U71" s="14" t="str">
        <f>IF($B71="","",
IF(U$5="","",
IF(Midterm!U71="",0,
IF(NOT(ISNUMBER(Midterm!U71)),"NAN",
IF(Midterm!U71&lt;0,"NEG",
IF(Midterm!U71&gt;U$5,"OVER",
IF(AND(U$5&lt;=100,Midterm!U71&gt;100),"ERR",
IF(Info!$B$4="Non-board program",
IF(OR(AND(U$5&gt;0,U$5&gt;100),AND(U$5&gt;0,U$5&lt;100)),
VLOOKUP(FLOOR((Midterm!U71/U$5)*100,1),new_transmute,2,FALSE),
VLOOKUP(Midterm!U71,new_transmute,2,FALSE)
),
IF(Info!$B$4="Board program",
IF(OR(AND(U$5&gt;0,U$5&gt;100),AND(U$5&gt;0,U$5&lt;100)),
VLOOKUP(FLOOR((Midterm!U71/U$5)*100,1),new_transmute,3,FALSE),
VLOOKUP(Midterm!U71,new_transmute,3,FALSE)
),
IF(Info!$B$4="Board program (Medicine)",
IF(OR(AND(U$5&gt;0,U$5&gt;100),AND(U$5&gt;0,U$5&lt;100)),
VLOOKUP(FLOOR((Midterm!U71/U$5)*100,1),new_transmute,4,FALSE),
VLOOKUP(Midterm!U71,new_transmute,4,FALSE)
),
""
)
)
)
)
)
)
)
)
))</f>
        <v/>
      </c>
      <c r="V71" s="14" t="str">
        <f>IF($B71="","",
IF(V$5="","",
IF(Midterm!V71="",0,
IF(NOT(ISNUMBER(Midterm!V71)),"NAN",
IF(Midterm!V71&lt;0,"NEG",
IF(Midterm!V71&gt;V$5,"OVER",
IF(AND(V$5&lt;=100,Midterm!V71&gt;100),"ERR",
IF(Info!$B$4="Non-board program",
IF(OR(AND(V$5&gt;0,V$5&gt;100),AND(V$5&gt;0,V$5&lt;100)),
VLOOKUP(FLOOR((Midterm!V71/V$5)*100,1),new_transmute,2,FALSE),
VLOOKUP(Midterm!V71,new_transmute,2,FALSE)
),
IF(Info!$B$4="Board program",
IF(OR(AND(V$5&gt;0,V$5&gt;100),AND(V$5&gt;0,V$5&lt;100)),
VLOOKUP(FLOOR((Midterm!V71/V$5)*100,1),new_transmute,3,FALSE),
VLOOKUP(Midterm!V71,new_transmute,3,FALSE)
),
IF(Info!$B$4="Board program (Medicine)",
IF(OR(AND(V$5&gt;0,V$5&gt;100),AND(V$5&gt;0,V$5&lt;100)),
VLOOKUP(FLOOR((Midterm!V71/V$5)*100,1),new_transmute,4,FALSE),
VLOOKUP(Midterm!V71,new_transmute,4,FALSE)
),
""
)
)
)
)
)
)
)
)
))</f>
        <v/>
      </c>
      <c r="W71" s="14" t="str">
        <f>IF($B71="","",
IF(W$5="","",
IF(Midterm!W71="",0,
IF(NOT(ISNUMBER(Midterm!W71)),"NAN",
IF(Midterm!W71&lt;0,"NEG",
IF(Midterm!W71&gt;W$5,"OVER",
IF(AND(W$5&lt;=100,Midterm!W71&gt;100),"ERR",
IF(Info!$B$4="Non-board program",
IF(OR(AND(W$5&gt;0,W$5&gt;100),AND(W$5&gt;0,W$5&lt;100)),
VLOOKUP(FLOOR((Midterm!W71/W$5)*100,1),new_transmute,2,FALSE),
VLOOKUP(Midterm!W71,new_transmute,2,FALSE)
),
IF(Info!$B$4="Board program",
IF(OR(AND(W$5&gt;0,W$5&gt;100),AND(W$5&gt;0,W$5&lt;100)),
VLOOKUP(FLOOR((Midterm!W71/W$5)*100,1),new_transmute,3,FALSE),
VLOOKUP(Midterm!W71,new_transmute,3,FALSE)
),
IF(Info!$B$4="Board program (Medicine)",
IF(OR(AND(W$5&gt;0,W$5&gt;100),AND(W$5&gt;0,W$5&lt;100)),
VLOOKUP(FLOOR((Midterm!W71/W$5)*100,1),new_transmute,4,FALSE),
VLOOKUP(Midterm!W71,new_transmute,4,FALSE)
),
""
)
)
)
)
)
)
)
)
))</f>
        <v/>
      </c>
      <c r="X71" s="14" t="str">
        <f>IF($B71="","",
IF(X$5="","",
IF(Midterm!X71="",0,
IF(NOT(ISNUMBER(Midterm!X71)),"NAN",
IF(Midterm!X71&lt;0,"NEG",
IF(Midterm!X71&gt;X$5,"OVER",
IF(AND(X$5&lt;=100,Midterm!X71&gt;100),"ERR",
IF(Info!$B$4="Non-board program",
IF(OR(AND(X$5&gt;0,X$5&gt;100),AND(X$5&gt;0,X$5&lt;100)),
VLOOKUP(FLOOR((Midterm!X71/X$5)*100,1),new_transmute,2,FALSE),
VLOOKUP(Midterm!X71,new_transmute,2,FALSE)
),
IF(Info!$B$4="Board program",
IF(OR(AND(X$5&gt;0,X$5&gt;100),AND(X$5&gt;0,X$5&lt;100)),
VLOOKUP(FLOOR((Midterm!X71/X$5)*100,1),new_transmute,3,FALSE),
VLOOKUP(Midterm!X71,new_transmute,3,FALSE)
),
IF(Info!$B$4="Board program (Medicine)",
IF(OR(AND(X$5&gt;0,X$5&gt;100),AND(X$5&gt;0,X$5&lt;100)),
VLOOKUP(FLOOR((Midterm!X71/X$5)*100,1),new_transmute,4,FALSE),
VLOOKUP(Midterm!X71,new_transmute,4,FALSE)
),
""
)
)
)
)
)
)
)
)
))</f>
        <v/>
      </c>
      <c r="Y71" s="112" t="str">
        <f t="shared" ref="Y71:Y90" si="14">IF(B71="", "", IF(COUNTIF(T71:X71, "OVER") &gt; 0, "OVER", IFERROR(AVERAGEIF(T71:X71, "&lt;&gt;OVER"), 0)))</f>
        <v/>
      </c>
      <c r="Z71" s="14" t="str">
        <f>IF($B71="","",
IF(Z$5="","",
IF(Midterm!Z71="",0,
IF(NOT(ISNUMBER(Midterm!Z71)),"NAN",
IF(Midterm!Z71&lt;0,"NEG",
IF(Midterm!Z71&gt;Z$5,"OVER",
IF(AND(Z$5&lt;=100,Midterm!Z71&gt;100),"ERR",
IF(Info!$B$4="Non-board program",
IF(OR(AND(Z$5&gt;0,Z$5&gt;100),AND(Z$5&gt;0,Z$5&lt;100)),
VLOOKUP(FLOOR((Midterm!Z71/Z$5)*100,1),new_transmute,2,FALSE),
VLOOKUP(Midterm!Z71,new_transmute,2,FALSE)
),
IF(Info!$B$4="Board program",
IF(OR(AND(Z$5&gt;0,Z$5&gt;100),AND(Z$5&gt;0,Z$5&lt;100)),
VLOOKUP(FLOOR((Midterm!Z71/Z$5)*100,1),new_transmute,3,FALSE),
VLOOKUP(Midterm!Z71,new_transmute,3,FALSE)
),
IF(Info!$B$4="Board program (Medicine)",
IF(OR(AND(Z$5&gt;0,Z$5&gt;100),AND(Z$5&gt;0,Z$5&lt;100)),
VLOOKUP(FLOOR((Midterm!Z71/Z$5)*100,1),new_transmute,4,FALSE),
VLOOKUP(Midterm!Z71,new_transmute,4,FALSE)
),
""
)
)
)
)
)
)
)
)
))</f>
        <v/>
      </c>
      <c r="AA71" s="14" t="str">
        <f>IF($B71="","",
IF(AA$5="","",
IF(Midterm!AA71="",0,
IF(NOT(ISNUMBER(Midterm!AA71)),"NAN",
IF(Midterm!AA71&lt;0,"NEG",
IF(Midterm!AA71&gt;AA$5,"OVER",
IF(AND(AA$5&lt;=100,Midterm!AA71&gt;100),"ERR",
IF(Info!$B$4="Non-board program",
IF(OR(AND(AA$5&gt;0,AA$5&gt;100),AND(AA$5&gt;0,AA$5&lt;100)),
VLOOKUP(FLOOR((Midterm!AA71/AA$5)*100,1),new_transmute,2,FALSE),
VLOOKUP(Midterm!AA71,new_transmute,2,FALSE)
),
IF(Info!$B$4="Board program",
IF(OR(AND(AA$5&gt;0,AA$5&gt;100),AND(AA$5&gt;0,AA$5&lt;100)),
VLOOKUP(FLOOR((Midterm!AA71/AA$5)*100,1),new_transmute,3,FALSE),
VLOOKUP(Midterm!AA71,new_transmute,3,FALSE)
),
IF(Info!$B$4="Board program (Medicine)",
IF(OR(AND(AA$5&gt;0,AA$5&gt;100),AND(AA$5&gt;0,AA$5&lt;100)),
VLOOKUP(FLOOR((Midterm!AA71/AA$5)*100,1),new_transmute,4,FALSE),
VLOOKUP(Midterm!AA71,new_transmute,4,FALSE)
),
""
)
)
)
)
)
)
)
)
))</f>
        <v/>
      </c>
      <c r="AB71" s="14" t="str">
        <f>IF($B71="","",
IF(AB$5="","",
IF(Midterm!AB71="",0,
IF(NOT(ISNUMBER(Midterm!AB71)),"NAN",
IF(Midterm!AB71&lt;0,"NEG",
IF(Midterm!AB71&gt;AB$5,"OVER",
IF(AND(AB$5&lt;=100,Midterm!AB71&gt;100),"ERR",
IF(Info!$B$4="Non-board program",
IF(OR(AND(AB$5&gt;0,AB$5&gt;100),AND(AB$5&gt;0,AB$5&lt;100)),
VLOOKUP(FLOOR((Midterm!AB71/AB$5)*100,1),new_transmute,2,FALSE),
VLOOKUP(Midterm!AB71,new_transmute,2,FALSE)
),
IF(Info!$B$4="Board program",
IF(OR(AND(AB$5&gt;0,AB$5&gt;100),AND(AB$5&gt;0,AB$5&lt;100)),
VLOOKUP(FLOOR((Midterm!AB71/AB$5)*100,1),new_transmute,3,FALSE),
VLOOKUP(Midterm!AB71,new_transmute,3,FALSE)
),
IF(Info!$B$4="Board program (Medicine)",
IF(OR(AND(AB$5&gt;0,AB$5&gt;100),AND(AB$5&gt;0,AB$5&lt;100)),
VLOOKUP(FLOOR((Midterm!AB71/AB$5)*100,1),new_transmute,4,FALSE),
VLOOKUP(Midterm!AB71,new_transmute,4,FALSE)
),
""
)
)
)
)
)
)
)
)
))</f>
        <v/>
      </c>
      <c r="AC71" s="14" t="str">
        <f>IF($B71="","",
IF(AC$5="","",
IF(Midterm!AC71="",0,
IF(NOT(ISNUMBER(Midterm!AC71)),"NAN",
IF(Midterm!AC71&lt;0,"NEG",
IF(Midterm!AC71&gt;AC$5,"OVER",
IF(AND(AC$5&lt;=100,Midterm!AC71&gt;100),"ERR",
IF(Info!$B$4="Non-board program",
IF(OR(AND(AC$5&gt;0,AC$5&gt;100),AND(AC$5&gt;0,AC$5&lt;100)),
VLOOKUP(FLOOR((Midterm!AC71/AC$5)*100,1),new_transmute,2,FALSE),
VLOOKUP(Midterm!AC71,new_transmute,2,FALSE)
),
IF(Info!$B$4="Board program",
IF(OR(AND(AC$5&gt;0,AC$5&gt;100),AND(AC$5&gt;0,AC$5&lt;100)),
VLOOKUP(FLOOR((Midterm!AC71/AC$5)*100,1),new_transmute,3,FALSE),
VLOOKUP(Midterm!AC71,new_transmute,3,FALSE)
),
IF(Info!$B$4="Board program (Medicine)",
IF(OR(AND(AC$5&gt;0,AC$5&gt;100),AND(AC$5&gt;0,AC$5&lt;100)),
VLOOKUP(FLOOR((Midterm!AC71/AC$5)*100,1),new_transmute,4,FALSE),
VLOOKUP(Midterm!AC71,new_transmute,4,FALSE)
),
""
)
)
)
)
)
)
)
)
))</f>
        <v/>
      </c>
      <c r="AD71" s="14" t="str">
        <f>IF($B71="","",
IF(AD$5="","",
IF(Midterm!AD71="",0,
IF(NOT(ISNUMBER(Midterm!AD71)),"NAN",
IF(Midterm!AD71&lt;0,"NEG",
IF(Midterm!AD71&gt;AD$5,"OVER",
IF(AND(AD$5&lt;=100,Midterm!AD71&gt;100),"ERR",
IF(Info!$B$4="Non-board program",
IF(OR(AND(AD$5&gt;0,AD$5&gt;100),AND(AD$5&gt;0,AD$5&lt;100)),
VLOOKUP(FLOOR((Midterm!AD71/AD$5)*100,1),new_transmute,2,FALSE),
VLOOKUP(Midterm!AD71,new_transmute,2,FALSE)
),
IF(Info!$B$4="Board program",
IF(OR(AND(AD$5&gt;0,AD$5&gt;100),AND(AD$5&gt;0,AD$5&lt;100)),
VLOOKUP(FLOOR((Midterm!AD71/AD$5)*100,1),new_transmute,3,FALSE),
VLOOKUP(Midterm!AD71,new_transmute,3,FALSE)
),
IF(Info!$B$4="Board program (Medicine)",
IF(OR(AND(AD$5&gt;0,AD$5&gt;100),AND(AD$5&gt;0,AD$5&lt;100)),
VLOOKUP(FLOOR((Midterm!AD71/AD$5)*100,1),new_transmute,4,FALSE),
VLOOKUP(Midterm!AD71,new_transmute,4,FALSE)
),
""
)
)
)
)
)
)
)
)
))</f>
        <v/>
      </c>
      <c r="AE71" s="58" t="str">
        <f t="shared" ref="AE71:AE90" si="15">IF(B71="", "", IF(COUNTIF(Z71:AD71, "OVER") &gt; 0, "OVER", IFERROR(AVERAGEIF(Z71:AD71, "&lt;&gt;OVER"), 0)))</f>
        <v/>
      </c>
      <c r="AF71" s="14" t="str">
        <f>IF($B71="","",
IF(AF$5="","",
IF(Midterm!AF71="",0,
IF(NOT(ISNUMBER(Midterm!AF71)),"NAN",
IF(Midterm!AF71&lt;0,"NEG",
IF(Midterm!AF71&gt;AF$5,"OVER",
IF(AND(AF$5&lt;=100,Midterm!AF71&gt;100),"ERR",
IF(Info!$B$4="Non-board program",
IF(OR(AND(AF$5&gt;0,AF$5&gt;100),AND(AF$5&gt;0,AF$5&lt;100)),
VLOOKUP(FLOOR((Midterm!AF71/AF$5)*100,1),new_transmute,2,FALSE),
VLOOKUP(Midterm!AF71,new_transmute,2,FALSE)
),
IF(Info!$B$4="Board program",
IF(OR(AND(AF$5&gt;0,AF$5&gt;100),AND(AF$5&gt;0,AF$5&lt;100)),
VLOOKUP(FLOOR((Midterm!AF71/AF$5)*100,1),new_transmute,3,FALSE),
VLOOKUP(Midterm!AF71,new_transmute,3,FALSE)
),
IF(Info!$B$4="Board program (Medicine)",
IF(OR(AND(AF$5&gt;0,AF$5&gt;100),AND(AF$5&gt;0,AF$5&lt;100)),
VLOOKUP(FLOOR((Midterm!AF71/AF$5)*100,1),new_transmute,4,FALSE),
VLOOKUP(Midterm!AF71,new_transmute,4,FALSE)
),
""
)
)
)
)
)
)
)
)
))</f>
        <v/>
      </c>
      <c r="AG71" s="14" t="str">
        <f>IF($B71="","",
IF(AG$5="","",
IF(Midterm!AG71="",0,
IF(NOT(ISNUMBER(Midterm!AG71)),"NAN",
IF(Midterm!AG71&lt;0,"NEG",
IF(Midterm!AG71&gt;AG$5,"OVER",
IF(AND(AG$5&lt;=100,Midterm!AG71&gt;100),"ERR",
IF(Info!$B$4="Non-board program",
IF(OR(AND(AG$5&gt;0,AG$5&gt;100),AND(AG$5&gt;0,AG$5&lt;100)),
VLOOKUP(FLOOR((Midterm!AG71/AG$5)*100,1),new_transmute,2,FALSE),
VLOOKUP(Midterm!AG71,new_transmute,2,FALSE)
),
IF(Info!$B$4="Board program",
IF(OR(AND(AG$5&gt;0,AG$5&gt;100),AND(AG$5&gt;0,AG$5&lt;100)),
VLOOKUP(FLOOR((Midterm!AG71/AG$5)*100,1),new_transmute,3,FALSE),
VLOOKUP(Midterm!AG71,new_transmute,3,FALSE)
),
IF(Info!$B$4="Board program (Medicine)",
IF(OR(AND(AG$5&gt;0,AG$5&gt;100),AND(AG$5&gt;0,AG$5&lt;100)),
VLOOKUP(FLOOR((Midterm!AG71/AG$5)*100,1),new_transmute,4,FALSE),
VLOOKUP(Midterm!AG71,new_transmute,4,FALSE)
),
""
)
)
)
)
)
)
)
)
))</f>
        <v/>
      </c>
      <c r="AH71" s="14" t="str">
        <f>IF($B71="","",
IF(AH$5="","",
IF(Midterm!AH71="",0,
IF(NOT(ISNUMBER(Midterm!AH71)),"NAN",
IF(Midterm!AH71&lt;0,"NEG",
IF(Midterm!AH71&gt;AH$5,"OVER",
IF(AND(AH$5&lt;=100,Midterm!AH71&gt;100),"ERR",
IF(Info!$B$4="Non-board program",
IF(OR(AND(AH$5&gt;0,AH$5&gt;100),AND(AH$5&gt;0,AH$5&lt;100)),
VLOOKUP(FLOOR((Midterm!AH71/AH$5)*100,1),new_transmute,2,FALSE),
VLOOKUP(Midterm!AH71,new_transmute,2,FALSE)
),
IF(Info!$B$4="Board program",
IF(OR(AND(AH$5&gt;0,AH$5&gt;100),AND(AH$5&gt;0,AH$5&lt;100)),
VLOOKUP(FLOOR((Midterm!AH71/AH$5)*100,1),new_transmute,3,FALSE),
VLOOKUP(Midterm!AH71,new_transmute,3,FALSE)
),
IF(Info!$B$4="Board program (Medicine)",
IF(OR(AND(AH$5&gt;0,AH$5&gt;100),AND(AH$5&gt;0,AH$5&lt;100)),
VLOOKUP(FLOOR((Midterm!AH71/AH$5)*100,1),new_transmute,4,FALSE),
VLOOKUP(Midterm!AH71,new_transmute,4,FALSE)
),
""
)
)
)
)
)
)
)
)
))</f>
        <v/>
      </c>
      <c r="AI71" s="14" t="str">
        <f>IF($B71="","",
IF(AI$5="","",
IF(Midterm!AI71="",0,
IF(NOT(ISNUMBER(Midterm!AI71)),"NAN",
IF(Midterm!AI71&lt;0,"NEG",
IF(Midterm!AI71&gt;AI$5,"OVER",
IF(AND(AI$5&lt;=100,Midterm!AI71&gt;100),"ERR",
IF(Info!$B$4="Non-board program",
IF(OR(AND(AI$5&gt;0,AI$5&gt;100),AND(AI$5&gt;0,AI$5&lt;100)),
VLOOKUP(FLOOR((Midterm!AI71/AI$5)*100,1),new_transmute,2,FALSE),
VLOOKUP(Midterm!AI71,new_transmute,2,FALSE)
),
IF(Info!$B$4="Board program",
IF(OR(AND(AI$5&gt;0,AI$5&gt;100),AND(AI$5&gt;0,AI$5&lt;100)),
VLOOKUP(FLOOR((Midterm!AI71/AI$5)*100,1),new_transmute,3,FALSE),
VLOOKUP(Midterm!AI71,new_transmute,3,FALSE)
),
IF(Info!$B$4="Board program (Medicine)",
IF(OR(AND(AI$5&gt;0,AI$5&gt;100),AND(AI$5&gt;0,AI$5&lt;100)),
VLOOKUP(FLOOR((Midterm!AI71/AI$5)*100,1),new_transmute,4,FALSE),
VLOOKUP(Midterm!AI71,new_transmute,4,FALSE)
),
""
)
)
)
)
)
)
)
)
))</f>
        <v/>
      </c>
      <c r="AJ71" s="14" t="str">
        <f>IF($B71="","",
IF(AJ$5="","",
IF(Midterm!AJ71="",0,
IF(NOT(ISNUMBER(Midterm!AJ71)),"NAN",
IF(Midterm!AJ71&lt;0,"NEG",
IF(Midterm!AJ71&gt;AJ$5,"OVER",
IF(AND(AJ$5&lt;=100,Midterm!AJ71&gt;100),"ERR",
IF(Info!$B$4="Non-board program",
IF(OR(AND(AJ$5&gt;0,AJ$5&gt;100),AND(AJ$5&gt;0,AJ$5&lt;100)),
VLOOKUP(FLOOR((Midterm!AJ71/AJ$5)*100,1),new_transmute,2,FALSE),
VLOOKUP(Midterm!AJ71,new_transmute,2,FALSE)
),
IF(Info!$B$4="Board program",
IF(OR(AND(AJ$5&gt;0,AJ$5&gt;100),AND(AJ$5&gt;0,AJ$5&lt;100)),
VLOOKUP(FLOOR((Midterm!AJ71/AJ$5)*100,1),new_transmute,3,FALSE),
VLOOKUP(Midterm!AJ71,new_transmute,3,FALSE)
),
IF(Info!$B$4="Board program (Medicine)",
IF(OR(AND(AJ$5&gt;0,AJ$5&gt;100),AND(AJ$5&gt;0,AJ$5&lt;100)),
VLOOKUP(FLOOR((Midterm!AJ71/AJ$5)*100,1),new_transmute,4,FALSE),
VLOOKUP(Midterm!AJ71,new_transmute,4,FALSE)
),
""
)
)
)
)
)
)
)
)
))</f>
        <v/>
      </c>
      <c r="AK71" s="59" t="str">
        <f t="shared" ref="AK71:AK90" si="16">IF(B71="", "", IF(COUNTIF(AF71:AJ71, "OVER") &gt; 0, "OVER", IFERROR(AVERAGEIF(AF71:AJ71, "&lt;&gt;OVER"), 0)))</f>
        <v/>
      </c>
      <c r="AL71" s="60" t="str">
        <f>IF(B71="", "",
    IF(OR(M71="OVER", S71="OVER", Y71="OVER", AE71="OVER", AK71="OVER"),
        "OVER",
        IF(Info!$B$4="Non-board program",
            VLOOKUP(IFERROR(FLOOR(SUM((M71*$M$4), (S71*$S$4), (Y71*$Y$4), (AE71*$AE$4), (AK71*$AK$4)) * (100 / 60), 1), 0), new_transmute, 2, FALSE),
            IF(Info!$B$4="Board program",
                VLOOKUP(IFERROR(FLOOR(SUM((M71*$M$4), (S71*$S$4), (Y71*$Y$4), (AE71*$AE$4), (AK71*$AK$4)) * (100 / 60), 1), 0), new_transmute, 3, FALSE),
                IF(Info!$B$4="Board program (Medicine)",
                    VLOOKUP(IFERROR(FLOOR(SUM((M71*$M$4), (S71*$S$4), (Y71*$Y$4), (AE71*$AE$4), (AK71*$AK$4)) * (100 / 60), 1), 0), new_transmute, 4, FALSE),
                    ""
                )
            )
        )
    )
)</f>
        <v/>
      </c>
      <c r="AM71" s="14" t="str">
        <f>IF($B71="","",
IF(AM$5="","",
IF(Midterm!AM71="",0,
IF(NOT(ISNUMBER(Midterm!AM71)),"NAN",
IF(Midterm!AM71&lt;0,"NEG",
IF(Midterm!AM71&gt;AM$5,"OVER",
IF(AND(AM$5&lt;=100,Midterm!AM71&gt;100),"ERR",
IF(Info!$B$4="Non-board program",
IF(OR(AND(AM$5&gt;0,AM$5&gt;100),AND(AM$5&gt;0,AM$5&lt;100)),
VLOOKUP(FLOOR((Midterm!AM71/AM$5)*100,1),new_transmute,2,FALSE),
VLOOKUP(Midterm!AM71,new_transmute,2,FALSE)
),
IF(Info!$B$4="Board program",
IF(OR(AND(AM$5&gt;0,AM$5&gt;100),AND(AM$5&gt;0,AM$5&lt;100)),
VLOOKUP(FLOOR((Midterm!AM71/AM$5)*100,1),new_transmute,3,FALSE),
VLOOKUP(Midterm!AM71,new_transmute,3,FALSE)
),
IF(Info!$B$4="Board program (Medicine)",
IF(OR(AND(AM$5&gt;0,AM$5&gt;100),AND(AM$5&gt;0,AM$5&lt;100)),
VLOOKUP(FLOOR((Midterm!AM71/AM$5)*100,1),new_transmute,4,FALSE),
VLOOKUP(Midterm!AM71,new_transmute,4,FALSE)
),
""
)
)
)
)
)
)
)
)
))</f>
        <v/>
      </c>
      <c r="AN71" s="14" t="str">
        <f>IF($B71="","",
IF(AN$5="","",
IF(Midterm!AN71="",0,
IF(NOT(ISNUMBER(Midterm!AN71)),"NAN",
IF(Midterm!AN71&lt;0,"NEG",
IF(Midterm!AN71&gt;AN$5,"OVER",
IF(AND(AN$5&lt;=100,Midterm!AN71&gt;100),"ERR",
IF(Info!$B$4="Non-board program",
IF(OR(AND(AN$5&gt;0,AN$5&gt;100),AND(AN$5&gt;0,AN$5&lt;100)),
VLOOKUP(FLOOR((Midterm!AN71/AN$5)*100,1),new_transmute,2,FALSE),
VLOOKUP(Midterm!AN71,new_transmute,2,FALSE)
),
IF(Info!$B$4="Board program",
IF(OR(AND(AN$5&gt;0,AN$5&gt;100),AND(AN$5&gt;0,AN$5&lt;100)),
VLOOKUP(FLOOR((Midterm!AN71/AN$5)*100,1),new_transmute,3,FALSE),
VLOOKUP(Midterm!AN71,new_transmute,3,FALSE)
),
IF(Info!$B$4="Board program (Medicine)",
IF(OR(AND(AN$5&gt;0,AN$5&gt;100),AND(AN$5&gt;0,AN$5&lt;100)),
VLOOKUP(FLOOR((Midterm!AN71/AN$5)*100,1),new_transmute,4,FALSE),
VLOOKUP(Midterm!AN71,new_transmute,4,FALSE)
),
""
)
)
)
)
)
)
)
)
))</f>
        <v/>
      </c>
      <c r="AO71" s="14" t="str">
        <f>IF($B71="","",
IF(AO$5="","",
IF(Midterm!AO71="",0,
IF(NOT(ISNUMBER(Midterm!AO71)),"NAN",
IF(Midterm!AO71&lt;0,"NEG",
IF(Midterm!AO71&gt;AO$5,"OVER",
IF(AND(AO$5&lt;=100,Midterm!AO71&gt;100),"ERR",
IF(Info!$B$4="Non-board program",
IF(OR(AND(AO$5&gt;0,AO$5&gt;100),AND(AO$5&gt;0,AO$5&lt;100)),
VLOOKUP(FLOOR((Midterm!AO71/AO$5)*100,1),new_transmute,2,FALSE),
VLOOKUP(Midterm!AO71,new_transmute,2,FALSE)
),
IF(Info!$B$4="Board program",
IF(OR(AND(AO$5&gt;0,AO$5&gt;100),AND(AO$5&gt;0,AO$5&lt;100)),
VLOOKUP(FLOOR((Midterm!AO71/AO$5)*100,1),new_transmute,3,FALSE),
VLOOKUP(Midterm!AO71,new_transmute,3,FALSE)
),
IF(Info!$B$4="Board program (Medicine)",
IF(OR(AND(AO$5&gt;0,AO$5&gt;100),AND(AO$5&gt;0,AO$5&lt;100)),
VLOOKUP(FLOOR((Midterm!AO71/AO$5)*100,1),new_transmute,4,FALSE),
VLOOKUP(Midterm!AO71,new_transmute,4,FALSE)
),
""
)
)
)
)
)
)
)
)
))</f>
        <v/>
      </c>
      <c r="AP71" s="14" t="str">
        <f>IF($B71="","",
IF(AP$5="","",
IF(Midterm!AP71="",0,
IF(NOT(ISNUMBER(Midterm!AP71)),"NAN",
IF(Midterm!AP71&lt;0,"NEG",
IF(Midterm!AP71&gt;AP$5,"OVER",
IF(AND(AP$5&lt;=100,Midterm!AP71&gt;100),"ERR",
IF(Info!$B$4="Non-board program",
IF(OR(AND(AP$5&gt;0,AP$5&gt;100),AND(AP$5&gt;0,AP$5&lt;100)),
VLOOKUP(FLOOR((Midterm!AP71/AP$5)*100,1),new_transmute,2,FALSE),
VLOOKUP(Midterm!AP71,new_transmute,2,FALSE)
),
IF(Info!$B$4="Board program",
IF(OR(AND(AP$5&gt;0,AP$5&gt;100),AND(AP$5&gt;0,AP$5&lt;100)),
VLOOKUP(FLOOR((Midterm!AP71/AP$5)*100,1),new_transmute,3,FALSE),
VLOOKUP(Midterm!AP71,new_transmute,3,FALSE)
),
IF(Info!$B$4="Board program (Medicine)",
IF(OR(AND(AP$5&gt;0,AP$5&gt;100),AND(AP$5&gt;0,AP$5&lt;100)),
VLOOKUP(FLOOR((Midterm!AP71/AP$5)*100,1),new_transmute,4,FALSE),
VLOOKUP(Midterm!AP71,new_transmute,4,FALSE)
),
""
)
)
)
)
)
)
)
)
))</f>
        <v/>
      </c>
      <c r="AQ71" s="61" t="str">
        <f t="shared" ref="AQ71:AQ90" si="17">IF(B71="", "", IF(COUNTIF(AM71:AP71, "OVER") &gt; 0, "OVER", IFERROR(AVERAGEIF(AM71:AP71, "&lt;&gt;OVER"), 0)))</f>
        <v/>
      </c>
      <c r="AR71" s="48" t="str">
        <f>IF(Midterm!AR71="","",Midterm!AR71)</f>
        <v/>
      </c>
      <c r="AS71" s="165" t="str">
        <f t="shared" ref="AS71:AS90" si="18">IF(B71="", "",
    IF(D71="Yes",
        "DRP",
        IF(D71="No",
            "WF",
            IFERROR(SUM(G71*$G$4, M71*$M$4, S71*$S$4, Y71*$Y$4, AE71*$AE$4, AK71*$AK$4, AQ71*$AQ$4, AR71), "ERR")
        )
    )
)</f>
        <v/>
      </c>
      <c r="AT71" s="14" t="str">
        <f t="shared" si="10"/>
        <v/>
      </c>
      <c r="AU71" s="14" t="str">
        <f>IF(B71="","",VLOOKUP(AT71,'New Grade Equivalent'!$B$3:$C$47,2,FALSE))</f>
        <v/>
      </c>
    </row>
    <row r="72" spans="1:47" x14ac:dyDescent="0.25">
      <c r="A72" s="8">
        <v>67</v>
      </c>
      <c r="B72" s="2" t="str">
        <f>IF('Student List'!C76="","",UPPER(LEFT('Student List'!C76,FIND(",",'Student List'!C76)-1)))</f>
        <v/>
      </c>
      <c r="C72" s="12" t="str">
        <f>IF('Student List'!C76="","",PROPER(MID('Student List'!C76, FIND(",", 'Student List'!C76) + 2, LEN('Student List'!C76) - FIND(",", 'Student List'!C76) - 1)))</f>
        <v/>
      </c>
      <c r="D72" s="127" t="str">
        <f>IF(B72="","",IF(Midterm!D72="", "NA", Midterm!D72))</f>
        <v/>
      </c>
      <c r="E72" s="8" t="str">
        <f>IF(B72="","",
  IF(Info!$B$5="First Year",
    IF(D72="Yes", "DRP",
      IF(D72="No", "WF", "")
    )
  )
)</f>
        <v/>
      </c>
      <c r="F72" s="14" t="str">
        <f>IF($B72="","",
IF(F$5="","",
IF(Midterm!F72="",0,
IF(NOT(ISNUMBER(Midterm!F72)),"NAN",
IF(Midterm!F72&lt;0,"NEG",
IF(Midterm!F72&gt;F$5,"OVER",
IF(AND(F$5&lt;=100,Midterm!F72&gt;100),"ERR",
IF(Info!$B$4="Non-board program",
IF(OR(AND(F$5&gt;0,F$5&gt;100),AND(F$5&gt;0,F$5&lt;100)),
VLOOKUP(FLOOR((Midterm!F72/F$5)*100,1),new_transmute,2,FALSE),
VLOOKUP(Midterm!F72,new_transmute,2,FALSE)
),
IF(Info!$B$4="Board program",
IF(OR(AND(F$5&gt;0,F$5&gt;100),AND(F$5&gt;0,F$5&lt;100)),
VLOOKUP(FLOOR((Midterm!F72/F$5)*100,1),new_transmute,3,FALSE),
VLOOKUP(Midterm!F72,new_transmute,3,FALSE)
),
IF(Info!$B$4="Board program (Medicine)",
IF(OR(AND(F$5&gt;0,F$5&gt;100),AND(F$5&gt;0,F$5&lt;100)),
VLOOKUP(FLOOR((Midterm!F72/F$5)*100,1),new_transmute,4,FALSE),
VLOOKUP(Midterm!F72,new_transmute,4,FALSE)
),
""
)
)
)
)
)
)
)
)
))</f>
        <v/>
      </c>
      <c r="G72" s="57" t="str">
        <f t="shared" si="11"/>
        <v/>
      </c>
      <c r="H72" s="14" t="str">
        <f>IF($B72="","",
IF(H$5="","",
IF(Midterm!H72="",0,
IF(NOT(ISNUMBER(Midterm!H72)),"NAN",
IF(Midterm!H72&lt;0,"NEG",
IF(Midterm!H72&gt;H$5,"OVER",
IF(AND(H$5&lt;=100,Midterm!H72&gt;100),"ERR",
IF(Info!$B$4="Non-board program",
IF(OR(AND(H$5&gt;0,H$5&gt;100),AND(H$5&gt;0,H$5&lt;100)),
VLOOKUP(FLOOR((Midterm!H72/H$5)*100,1),new_transmute,2,FALSE),
VLOOKUP(Midterm!H72,new_transmute,2,FALSE)
),
IF(Info!$B$4="Board program",
IF(OR(AND(H$5&gt;0,H$5&gt;100),AND(H$5&gt;0,H$5&lt;100)),
VLOOKUP(FLOOR((Midterm!H72/H$5)*100,1),new_transmute,3,FALSE),
VLOOKUP(Midterm!H72,new_transmute,3,FALSE)
),
IF(Info!$B$4="Board program (Medicine)",
IF(OR(AND(H$5&gt;0,H$5&gt;100),AND(H$5&gt;0,H$5&lt;100)),
VLOOKUP(FLOOR((Midterm!H72/H$5)*100,1),new_transmute,4,FALSE),
VLOOKUP(Midterm!H72,new_transmute,4,FALSE)
),
""
)
)
)
)
)
)
)
)
))</f>
        <v/>
      </c>
      <c r="I72" s="14" t="str">
        <f>IF($B72="","",
IF(I$5="","",
IF(Midterm!I72="",0,
IF(NOT(ISNUMBER(Midterm!I72)),"NAN",
IF(Midterm!I72&lt;0,"NEG",
IF(Midterm!I72&gt;I$5,"OVER",
IF(AND(I$5&lt;=100,Midterm!I72&gt;100),"ERR",
IF(Info!$B$4="Non-board program",
IF(OR(AND(I$5&gt;0,I$5&gt;100),AND(I$5&gt;0,I$5&lt;100)),
VLOOKUP(FLOOR((Midterm!I72/I$5)*100,1),new_transmute,2,FALSE),
VLOOKUP(Midterm!I72,new_transmute,2,FALSE)
),
IF(Info!$B$4="Board program",
IF(OR(AND(I$5&gt;0,I$5&gt;100),AND(I$5&gt;0,I$5&lt;100)),
VLOOKUP(FLOOR((Midterm!I72/I$5)*100,1),new_transmute,3,FALSE),
VLOOKUP(Midterm!I72,new_transmute,3,FALSE)
),
IF(Info!$B$4="Board program (Medicine)",
IF(OR(AND(I$5&gt;0,I$5&gt;100),AND(I$5&gt;0,I$5&lt;100)),
VLOOKUP(FLOOR((Midterm!I72/I$5)*100,1),new_transmute,4,FALSE),
VLOOKUP(Midterm!I72,new_transmute,4,FALSE)
),
""
)
)
)
)
)
)
)
)
))</f>
        <v/>
      </c>
      <c r="J72" s="14" t="str">
        <f>IF($B72="","",
IF(J$5="","",
IF(Midterm!J72="",0,
IF(NOT(ISNUMBER(Midterm!J72)),"NAN",
IF(Midterm!J72&lt;0,"NEG",
IF(Midterm!J72&gt;J$5,"OVER",
IF(AND(J$5&lt;=100,Midterm!J72&gt;100),"ERR",
IF(Info!$B$4="Non-board program",
IF(OR(AND(J$5&gt;0,J$5&gt;100),AND(J$5&gt;0,J$5&lt;100)),
VLOOKUP(FLOOR((Midterm!J72/J$5)*100,1),new_transmute,2,FALSE),
VLOOKUP(Midterm!J72,new_transmute,2,FALSE)
),
IF(Info!$B$4="Board program",
IF(OR(AND(J$5&gt;0,J$5&gt;100),AND(J$5&gt;0,J$5&lt;100)),
VLOOKUP(FLOOR((Midterm!J72/J$5)*100,1),new_transmute,3,FALSE),
VLOOKUP(Midterm!J72,new_transmute,3,FALSE)
),
IF(Info!$B$4="Board program (Medicine)",
IF(OR(AND(J$5&gt;0,J$5&gt;100),AND(J$5&gt;0,J$5&lt;100)),
VLOOKUP(FLOOR((Midterm!J72/J$5)*100,1),new_transmute,4,FALSE),
VLOOKUP(Midterm!J72,new_transmute,4,FALSE)
),
""
)
)
)
)
)
)
)
)
))</f>
        <v/>
      </c>
      <c r="K72" s="14" t="str">
        <f>IF($B72="","",
IF(K$5="","",
IF(Midterm!K72="",0,
IF(NOT(ISNUMBER(Midterm!K72)),"NAN",
IF(Midterm!K72&lt;0,"NEG",
IF(Midterm!K72&gt;K$5,"OVER",
IF(AND(K$5&lt;=100,Midterm!K72&gt;100),"ERR",
IF(Info!$B$4="Non-board program",
IF(OR(AND(K$5&gt;0,K$5&gt;100),AND(K$5&gt;0,K$5&lt;100)),
VLOOKUP(FLOOR((Midterm!K72/K$5)*100,1),new_transmute,2,FALSE),
VLOOKUP(Midterm!K72,new_transmute,2,FALSE)
),
IF(Info!$B$4="Board program",
IF(OR(AND(K$5&gt;0,K$5&gt;100),AND(K$5&gt;0,K$5&lt;100)),
VLOOKUP(FLOOR((Midterm!K72/K$5)*100,1),new_transmute,3,FALSE),
VLOOKUP(Midterm!K72,new_transmute,3,FALSE)
),
IF(Info!$B$4="Board program (Medicine)",
IF(OR(AND(K$5&gt;0,K$5&gt;100),AND(K$5&gt;0,K$5&lt;100)),
VLOOKUP(FLOOR((Midterm!K72/K$5)*100,1),new_transmute,4,FALSE),
VLOOKUP(Midterm!K72,new_transmute,4,FALSE)
),
""
)
)
)
)
)
)
)
)
))</f>
        <v/>
      </c>
      <c r="L72" s="14" t="str">
        <f>IF($B72="","",
IF(L$5="","",
IF(Midterm!L72="",0,
IF(NOT(ISNUMBER(Midterm!L72)),"NAN",
IF(Midterm!L72&lt;0,"NEG",
IF(Midterm!L72&gt;L$5,"OVER",
IF(AND(L$5&lt;=100,Midterm!L72&gt;100),"ERR",
IF(Info!$B$4="Non-board program",
IF(OR(AND(L$5&gt;0,L$5&gt;100),AND(L$5&gt;0,L$5&lt;100)),
VLOOKUP(FLOOR((Midterm!L72/L$5)*100,1),new_transmute,2,FALSE),
VLOOKUP(Midterm!L72,new_transmute,2,FALSE)
),
IF(Info!$B$4="Board program",
IF(OR(AND(L$5&gt;0,L$5&gt;100),AND(L$5&gt;0,L$5&lt;100)),
VLOOKUP(FLOOR((Midterm!L72/L$5)*100,1),new_transmute,3,FALSE),
VLOOKUP(Midterm!L72,new_transmute,3,FALSE)
),
IF(Info!$B$4="Board program (Medicine)",
IF(OR(AND(L$5&gt;0,L$5&gt;100),AND(L$5&gt;0,L$5&lt;100)),
VLOOKUP(FLOOR((Midterm!L72/L$5)*100,1),new_transmute,4,FALSE),
VLOOKUP(Midterm!L72,new_transmute,4,FALSE)
),
""
)
)
)
)
)
)
)
)
))</f>
        <v/>
      </c>
      <c r="M72" s="111" t="str">
        <f t="shared" si="12"/>
        <v/>
      </c>
      <c r="N72" s="14" t="str">
        <f>IF($B72="","",
IF(N$5="","",
IF(Midterm!N72="",0,
IF(NOT(ISNUMBER(Midterm!N72)),"NAN",
IF(Midterm!N72&lt;0,"NEG",
IF(Midterm!N72&gt;N$5,"OVER",
IF(AND(N$5&lt;=100,Midterm!N72&gt;100),"ERR",
IF(Info!$B$4="Non-board program",
IF(OR(AND(N$5&gt;0,N$5&gt;100),AND(N$5&gt;0,N$5&lt;100)),
VLOOKUP(FLOOR((Midterm!N72/N$5)*100,1),new_transmute,2,FALSE),
VLOOKUP(Midterm!N72,new_transmute,2,FALSE)
),
IF(Info!$B$4="Board program",
IF(OR(AND(N$5&gt;0,N$5&gt;100),AND(N$5&gt;0,N$5&lt;100)),
VLOOKUP(FLOOR((Midterm!N72/N$5)*100,1),new_transmute,3,FALSE),
VLOOKUP(Midterm!N72,new_transmute,3,FALSE)
),
IF(Info!$B$4="Board program (Medicine)",
IF(OR(AND(N$5&gt;0,N$5&gt;100),AND(N$5&gt;0,N$5&lt;100)),
VLOOKUP(FLOOR((Midterm!N72/N$5)*100,1),new_transmute,4,FALSE),
VLOOKUP(Midterm!N72,new_transmute,4,FALSE)
),
""
)
)
)
)
)
)
)
)
))</f>
        <v/>
      </c>
      <c r="O72" s="14" t="str">
        <f>IF($B72="","",
IF(O$5="","",
IF(Midterm!O72="",0,
IF(NOT(ISNUMBER(Midterm!O72)),"NAN",
IF(Midterm!O72&lt;0,"NEG",
IF(Midterm!O72&gt;O$5,"OVER",
IF(AND(O$5&lt;=100,Midterm!O72&gt;100),"ERR",
IF(Info!$B$4="Non-board program",
IF(OR(AND(O$5&gt;0,O$5&gt;100),AND(O$5&gt;0,O$5&lt;100)),
VLOOKUP(FLOOR((Midterm!O72/O$5)*100,1),new_transmute,2,FALSE),
VLOOKUP(Midterm!O72,new_transmute,2,FALSE)
),
IF(Info!$B$4="Board program",
IF(OR(AND(O$5&gt;0,O$5&gt;100),AND(O$5&gt;0,O$5&lt;100)),
VLOOKUP(FLOOR((Midterm!O72/O$5)*100,1),new_transmute,3,FALSE),
VLOOKUP(Midterm!O72,new_transmute,3,FALSE)
),
IF(Info!$B$4="Board program (Medicine)",
IF(OR(AND(O$5&gt;0,O$5&gt;100),AND(O$5&gt;0,O$5&lt;100)),
VLOOKUP(FLOOR((Midterm!O72/O$5)*100,1),new_transmute,4,FALSE),
VLOOKUP(Midterm!O72,new_transmute,4,FALSE)
),
""
)
)
)
)
)
)
)
)
))</f>
        <v/>
      </c>
      <c r="P72" s="14" t="str">
        <f>IF($B72="","",
IF(P$5="","",
IF(Midterm!P72="",0,
IF(NOT(ISNUMBER(Midterm!P72)),"NAN",
IF(Midterm!P72&lt;0,"NEG",
IF(Midterm!P72&gt;P$5,"OVER",
IF(AND(P$5&lt;=100,Midterm!P72&gt;100),"ERR",
IF(Info!$B$4="Non-board program",
IF(OR(AND(P$5&gt;0,P$5&gt;100),AND(P$5&gt;0,P$5&lt;100)),
VLOOKUP(FLOOR((Midterm!P72/P$5)*100,1),new_transmute,2,FALSE),
VLOOKUP(Midterm!P72,new_transmute,2,FALSE)
),
IF(Info!$B$4="Board program",
IF(OR(AND(P$5&gt;0,P$5&gt;100),AND(P$5&gt;0,P$5&lt;100)),
VLOOKUP(FLOOR((Midterm!P72/P$5)*100,1),new_transmute,3,FALSE),
VLOOKUP(Midterm!P72,new_transmute,3,FALSE)
),
IF(Info!$B$4="Board program (Medicine)",
IF(OR(AND(P$5&gt;0,P$5&gt;100),AND(P$5&gt;0,P$5&lt;100)),
VLOOKUP(FLOOR((Midterm!P72/P$5)*100,1),new_transmute,4,FALSE),
VLOOKUP(Midterm!P72,new_transmute,4,FALSE)
),
""
)
)
)
)
)
)
)
)
))</f>
        <v/>
      </c>
      <c r="Q72" s="14" t="str">
        <f>IF($B72="","",
IF(Q$5="","",
IF(Midterm!Q72="",0,
IF(NOT(ISNUMBER(Midterm!Q72)),"NAN",
IF(Midterm!Q72&lt;0,"NEG",
IF(Midterm!Q72&gt;Q$5,"OVER",
IF(AND(Q$5&lt;=100,Midterm!Q72&gt;100),"ERR",
IF(Info!$B$4="Non-board program",
IF(OR(AND(Q$5&gt;0,Q$5&gt;100),AND(Q$5&gt;0,Q$5&lt;100)),
VLOOKUP(FLOOR((Midterm!Q72/Q$5)*100,1),new_transmute,2,FALSE),
VLOOKUP(Midterm!Q72,new_transmute,2,FALSE)
),
IF(Info!$B$4="Board program",
IF(OR(AND(Q$5&gt;0,Q$5&gt;100),AND(Q$5&gt;0,Q$5&lt;100)),
VLOOKUP(FLOOR((Midterm!Q72/Q$5)*100,1),new_transmute,3,FALSE),
VLOOKUP(Midterm!Q72,new_transmute,3,FALSE)
),
IF(Info!$B$4="Board program (Medicine)",
IF(OR(AND(Q$5&gt;0,Q$5&gt;100),AND(Q$5&gt;0,Q$5&lt;100)),
VLOOKUP(FLOOR((Midterm!Q72/Q$5)*100,1),new_transmute,4,FALSE),
VLOOKUP(Midterm!Q72,new_transmute,4,FALSE)
),
""
)
)
)
)
)
)
)
)
))</f>
        <v/>
      </c>
      <c r="R72" s="14" t="str">
        <f>IF($B72="","",
IF(R$5="","",
IF(Midterm!R72="",0,
IF(NOT(ISNUMBER(Midterm!R72)),"NAN",
IF(Midterm!R72&lt;0,"NEG",
IF(Midterm!R72&gt;R$5,"OVER",
IF(AND(R$5&lt;=100,Midterm!R72&gt;100),"ERR",
IF(Info!$B$4="Non-board program",
IF(OR(AND(R$5&gt;0,R$5&gt;100),AND(R$5&gt;0,R$5&lt;100)),
VLOOKUP(FLOOR((Midterm!R72/R$5)*100,1),new_transmute,2,FALSE),
VLOOKUP(Midterm!R72,new_transmute,2,FALSE)
),
IF(Info!$B$4="Board program",
IF(OR(AND(R$5&gt;0,R$5&gt;100),AND(R$5&gt;0,R$5&lt;100)),
VLOOKUP(FLOOR((Midterm!R72/R$5)*100,1),new_transmute,3,FALSE),
VLOOKUP(Midterm!R72,new_transmute,3,FALSE)
),
IF(Info!$B$4="Board program (Medicine)",
IF(OR(AND(R$5&gt;0,R$5&gt;100),AND(R$5&gt;0,R$5&lt;100)),
VLOOKUP(FLOOR((Midterm!R72/R$5)*100,1),new_transmute,4,FALSE),
VLOOKUP(Midterm!R72,new_transmute,4,FALSE)
),
""
)
)
)
)
)
)
)
)
))</f>
        <v/>
      </c>
      <c r="S72" s="115" t="str">
        <f t="shared" si="13"/>
        <v/>
      </c>
      <c r="T72" s="14" t="str">
        <f>IF($B72="","",
IF(T$5="","",
IF(Midterm!T72="",0,
IF(NOT(ISNUMBER(Midterm!T72)),"NAN",
IF(Midterm!T72&lt;0,"NEG",
IF(Midterm!T72&gt;T$5,"OVER",
IF(AND(T$5&lt;=100,Midterm!T72&gt;100),"ERR",
IF(Info!$B$4="Non-board program",
IF(OR(AND(T$5&gt;0,T$5&gt;100),AND(T$5&gt;0,T$5&lt;100)),
VLOOKUP(FLOOR((Midterm!T72/T$5)*100,1),new_transmute,2,FALSE),
VLOOKUP(Midterm!T72,new_transmute,2,FALSE)
),
IF(Info!$B$4="Board program",
IF(OR(AND(T$5&gt;0,T$5&gt;100),AND(T$5&gt;0,T$5&lt;100)),
VLOOKUP(FLOOR((Midterm!T72/T$5)*100,1),new_transmute,3,FALSE),
VLOOKUP(Midterm!T72,new_transmute,3,FALSE)
),
IF(Info!$B$4="Board program (Medicine)",
IF(OR(AND(T$5&gt;0,T$5&gt;100),AND(T$5&gt;0,T$5&lt;100)),
VLOOKUP(FLOOR((Midterm!T72/T$5)*100,1),new_transmute,4,FALSE),
VLOOKUP(Midterm!T72,new_transmute,4,FALSE)
),
""
)
)
)
)
)
)
)
)
))</f>
        <v/>
      </c>
      <c r="U72" s="14" t="str">
        <f>IF($B72="","",
IF(U$5="","",
IF(Midterm!U72="",0,
IF(NOT(ISNUMBER(Midterm!U72)),"NAN",
IF(Midterm!U72&lt;0,"NEG",
IF(Midterm!U72&gt;U$5,"OVER",
IF(AND(U$5&lt;=100,Midterm!U72&gt;100),"ERR",
IF(Info!$B$4="Non-board program",
IF(OR(AND(U$5&gt;0,U$5&gt;100),AND(U$5&gt;0,U$5&lt;100)),
VLOOKUP(FLOOR((Midterm!U72/U$5)*100,1),new_transmute,2,FALSE),
VLOOKUP(Midterm!U72,new_transmute,2,FALSE)
),
IF(Info!$B$4="Board program",
IF(OR(AND(U$5&gt;0,U$5&gt;100),AND(U$5&gt;0,U$5&lt;100)),
VLOOKUP(FLOOR((Midterm!U72/U$5)*100,1),new_transmute,3,FALSE),
VLOOKUP(Midterm!U72,new_transmute,3,FALSE)
),
IF(Info!$B$4="Board program (Medicine)",
IF(OR(AND(U$5&gt;0,U$5&gt;100),AND(U$5&gt;0,U$5&lt;100)),
VLOOKUP(FLOOR((Midterm!U72/U$5)*100,1),new_transmute,4,FALSE),
VLOOKUP(Midterm!U72,new_transmute,4,FALSE)
),
""
)
)
)
)
)
)
)
)
))</f>
        <v/>
      </c>
      <c r="V72" s="14" t="str">
        <f>IF($B72="","",
IF(V$5="","",
IF(Midterm!V72="",0,
IF(NOT(ISNUMBER(Midterm!V72)),"NAN",
IF(Midterm!V72&lt;0,"NEG",
IF(Midterm!V72&gt;V$5,"OVER",
IF(AND(V$5&lt;=100,Midterm!V72&gt;100),"ERR",
IF(Info!$B$4="Non-board program",
IF(OR(AND(V$5&gt;0,V$5&gt;100),AND(V$5&gt;0,V$5&lt;100)),
VLOOKUP(FLOOR((Midterm!V72/V$5)*100,1),new_transmute,2,FALSE),
VLOOKUP(Midterm!V72,new_transmute,2,FALSE)
),
IF(Info!$B$4="Board program",
IF(OR(AND(V$5&gt;0,V$5&gt;100),AND(V$5&gt;0,V$5&lt;100)),
VLOOKUP(FLOOR((Midterm!V72/V$5)*100,1),new_transmute,3,FALSE),
VLOOKUP(Midterm!V72,new_transmute,3,FALSE)
),
IF(Info!$B$4="Board program (Medicine)",
IF(OR(AND(V$5&gt;0,V$5&gt;100),AND(V$5&gt;0,V$5&lt;100)),
VLOOKUP(FLOOR((Midterm!V72/V$5)*100,1),new_transmute,4,FALSE),
VLOOKUP(Midterm!V72,new_transmute,4,FALSE)
),
""
)
)
)
)
)
)
)
)
))</f>
        <v/>
      </c>
      <c r="W72" s="14" t="str">
        <f>IF($B72="","",
IF(W$5="","",
IF(Midterm!W72="",0,
IF(NOT(ISNUMBER(Midterm!W72)),"NAN",
IF(Midterm!W72&lt;0,"NEG",
IF(Midterm!W72&gt;W$5,"OVER",
IF(AND(W$5&lt;=100,Midterm!W72&gt;100),"ERR",
IF(Info!$B$4="Non-board program",
IF(OR(AND(W$5&gt;0,W$5&gt;100),AND(W$5&gt;0,W$5&lt;100)),
VLOOKUP(FLOOR((Midterm!W72/W$5)*100,1),new_transmute,2,FALSE),
VLOOKUP(Midterm!W72,new_transmute,2,FALSE)
),
IF(Info!$B$4="Board program",
IF(OR(AND(W$5&gt;0,W$5&gt;100),AND(W$5&gt;0,W$5&lt;100)),
VLOOKUP(FLOOR((Midterm!W72/W$5)*100,1),new_transmute,3,FALSE),
VLOOKUP(Midterm!W72,new_transmute,3,FALSE)
),
IF(Info!$B$4="Board program (Medicine)",
IF(OR(AND(W$5&gt;0,W$5&gt;100),AND(W$5&gt;0,W$5&lt;100)),
VLOOKUP(FLOOR((Midterm!W72/W$5)*100,1),new_transmute,4,FALSE),
VLOOKUP(Midterm!W72,new_transmute,4,FALSE)
),
""
)
)
)
)
)
)
)
)
))</f>
        <v/>
      </c>
      <c r="X72" s="14" t="str">
        <f>IF($B72="","",
IF(X$5="","",
IF(Midterm!X72="",0,
IF(NOT(ISNUMBER(Midterm!X72)),"NAN",
IF(Midterm!X72&lt;0,"NEG",
IF(Midterm!X72&gt;X$5,"OVER",
IF(AND(X$5&lt;=100,Midterm!X72&gt;100),"ERR",
IF(Info!$B$4="Non-board program",
IF(OR(AND(X$5&gt;0,X$5&gt;100),AND(X$5&gt;0,X$5&lt;100)),
VLOOKUP(FLOOR((Midterm!X72/X$5)*100,1),new_transmute,2,FALSE),
VLOOKUP(Midterm!X72,new_transmute,2,FALSE)
),
IF(Info!$B$4="Board program",
IF(OR(AND(X$5&gt;0,X$5&gt;100),AND(X$5&gt;0,X$5&lt;100)),
VLOOKUP(FLOOR((Midterm!X72/X$5)*100,1),new_transmute,3,FALSE),
VLOOKUP(Midterm!X72,new_transmute,3,FALSE)
),
IF(Info!$B$4="Board program (Medicine)",
IF(OR(AND(X$5&gt;0,X$5&gt;100),AND(X$5&gt;0,X$5&lt;100)),
VLOOKUP(FLOOR((Midterm!X72/X$5)*100,1),new_transmute,4,FALSE),
VLOOKUP(Midterm!X72,new_transmute,4,FALSE)
),
""
)
)
)
)
)
)
)
)
))</f>
        <v/>
      </c>
      <c r="Y72" s="112" t="str">
        <f t="shared" si="14"/>
        <v/>
      </c>
      <c r="Z72" s="14" t="str">
        <f>IF($B72="","",
IF(Z$5="","",
IF(Midterm!Z72="",0,
IF(NOT(ISNUMBER(Midterm!Z72)),"NAN",
IF(Midterm!Z72&lt;0,"NEG",
IF(Midterm!Z72&gt;Z$5,"OVER",
IF(AND(Z$5&lt;=100,Midterm!Z72&gt;100),"ERR",
IF(Info!$B$4="Non-board program",
IF(OR(AND(Z$5&gt;0,Z$5&gt;100),AND(Z$5&gt;0,Z$5&lt;100)),
VLOOKUP(FLOOR((Midterm!Z72/Z$5)*100,1),new_transmute,2,FALSE),
VLOOKUP(Midterm!Z72,new_transmute,2,FALSE)
),
IF(Info!$B$4="Board program",
IF(OR(AND(Z$5&gt;0,Z$5&gt;100),AND(Z$5&gt;0,Z$5&lt;100)),
VLOOKUP(FLOOR((Midterm!Z72/Z$5)*100,1),new_transmute,3,FALSE),
VLOOKUP(Midterm!Z72,new_transmute,3,FALSE)
),
IF(Info!$B$4="Board program (Medicine)",
IF(OR(AND(Z$5&gt;0,Z$5&gt;100),AND(Z$5&gt;0,Z$5&lt;100)),
VLOOKUP(FLOOR((Midterm!Z72/Z$5)*100,1),new_transmute,4,FALSE),
VLOOKUP(Midterm!Z72,new_transmute,4,FALSE)
),
""
)
)
)
)
)
)
)
)
))</f>
        <v/>
      </c>
      <c r="AA72" s="14" t="str">
        <f>IF($B72="","",
IF(AA$5="","",
IF(Midterm!AA72="",0,
IF(NOT(ISNUMBER(Midterm!AA72)),"NAN",
IF(Midterm!AA72&lt;0,"NEG",
IF(Midterm!AA72&gt;AA$5,"OVER",
IF(AND(AA$5&lt;=100,Midterm!AA72&gt;100),"ERR",
IF(Info!$B$4="Non-board program",
IF(OR(AND(AA$5&gt;0,AA$5&gt;100),AND(AA$5&gt;0,AA$5&lt;100)),
VLOOKUP(FLOOR((Midterm!AA72/AA$5)*100,1),new_transmute,2,FALSE),
VLOOKUP(Midterm!AA72,new_transmute,2,FALSE)
),
IF(Info!$B$4="Board program",
IF(OR(AND(AA$5&gt;0,AA$5&gt;100),AND(AA$5&gt;0,AA$5&lt;100)),
VLOOKUP(FLOOR((Midterm!AA72/AA$5)*100,1),new_transmute,3,FALSE),
VLOOKUP(Midterm!AA72,new_transmute,3,FALSE)
),
IF(Info!$B$4="Board program (Medicine)",
IF(OR(AND(AA$5&gt;0,AA$5&gt;100),AND(AA$5&gt;0,AA$5&lt;100)),
VLOOKUP(FLOOR((Midterm!AA72/AA$5)*100,1),new_transmute,4,FALSE),
VLOOKUP(Midterm!AA72,new_transmute,4,FALSE)
),
""
)
)
)
)
)
)
)
)
))</f>
        <v/>
      </c>
      <c r="AB72" s="14" t="str">
        <f>IF($B72="","",
IF(AB$5="","",
IF(Midterm!AB72="",0,
IF(NOT(ISNUMBER(Midterm!AB72)),"NAN",
IF(Midterm!AB72&lt;0,"NEG",
IF(Midterm!AB72&gt;AB$5,"OVER",
IF(AND(AB$5&lt;=100,Midterm!AB72&gt;100),"ERR",
IF(Info!$B$4="Non-board program",
IF(OR(AND(AB$5&gt;0,AB$5&gt;100),AND(AB$5&gt;0,AB$5&lt;100)),
VLOOKUP(FLOOR((Midterm!AB72/AB$5)*100,1),new_transmute,2,FALSE),
VLOOKUP(Midterm!AB72,new_transmute,2,FALSE)
),
IF(Info!$B$4="Board program",
IF(OR(AND(AB$5&gt;0,AB$5&gt;100),AND(AB$5&gt;0,AB$5&lt;100)),
VLOOKUP(FLOOR((Midterm!AB72/AB$5)*100,1),new_transmute,3,FALSE),
VLOOKUP(Midterm!AB72,new_transmute,3,FALSE)
),
IF(Info!$B$4="Board program (Medicine)",
IF(OR(AND(AB$5&gt;0,AB$5&gt;100),AND(AB$5&gt;0,AB$5&lt;100)),
VLOOKUP(FLOOR((Midterm!AB72/AB$5)*100,1),new_transmute,4,FALSE),
VLOOKUP(Midterm!AB72,new_transmute,4,FALSE)
),
""
)
)
)
)
)
)
)
)
))</f>
        <v/>
      </c>
      <c r="AC72" s="14" t="str">
        <f>IF($B72="","",
IF(AC$5="","",
IF(Midterm!AC72="",0,
IF(NOT(ISNUMBER(Midterm!AC72)),"NAN",
IF(Midterm!AC72&lt;0,"NEG",
IF(Midterm!AC72&gt;AC$5,"OVER",
IF(AND(AC$5&lt;=100,Midterm!AC72&gt;100),"ERR",
IF(Info!$B$4="Non-board program",
IF(OR(AND(AC$5&gt;0,AC$5&gt;100),AND(AC$5&gt;0,AC$5&lt;100)),
VLOOKUP(FLOOR((Midterm!AC72/AC$5)*100,1),new_transmute,2,FALSE),
VLOOKUP(Midterm!AC72,new_transmute,2,FALSE)
),
IF(Info!$B$4="Board program",
IF(OR(AND(AC$5&gt;0,AC$5&gt;100),AND(AC$5&gt;0,AC$5&lt;100)),
VLOOKUP(FLOOR((Midterm!AC72/AC$5)*100,1),new_transmute,3,FALSE),
VLOOKUP(Midterm!AC72,new_transmute,3,FALSE)
),
IF(Info!$B$4="Board program (Medicine)",
IF(OR(AND(AC$5&gt;0,AC$5&gt;100),AND(AC$5&gt;0,AC$5&lt;100)),
VLOOKUP(FLOOR((Midterm!AC72/AC$5)*100,1),new_transmute,4,FALSE),
VLOOKUP(Midterm!AC72,new_transmute,4,FALSE)
),
""
)
)
)
)
)
)
)
)
))</f>
        <v/>
      </c>
      <c r="AD72" s="14" t="str">
        <f>IF($B72="","",
IF(AD$5="","",
IF(Midterm!AD72="",0,
IF(NOT(ISNUMBER(Midterm!AD72)),"NAN",
IF(Midterm!AD72&lt;0,"NEG",
IF(Midterm!AD72&gt;AD$5,"OVER",
IF(AND(AD$5&lt;=100,Midterm!AD72&gt;100),"ERR",
IF(Info!$B$4="Non-board program",
IF(OR(AND(AD$5&gt;0,AD$5&gt;100),AND(AD$5&gt;0,AD$5&lt;100)),
VLOOKUP(FLOOR((Midterm!AD72/AD$5)*100,1),new_transmute,2,FALSE),
VLOOKUP(Midterm!AD72,new_transmute,2,FALSE)
),
IF(Info!$B$4="Board program",
IF(OR(AND(AD$5&gt;0,AD$5&gt;100),AND(AD$5&gt;0,AD$5&lt;100)),
VLOOKUP(FLOOR((Midterm!AD72/AD$5)*100,1),new_transmute,3,FALSE),
VLOOKUP(Midterm!AD72,new_transmute,3,FALSE)
),
IF(Info!$B$4="Board program (Medicine)",
IF(OR(AND(AD$5&gt;0,AD$5&gt;100),AND(AD$5&gt;0,AD$5&lt;100)),
VLOOKUP(FLOOR((Midterm!AD72/AD$5)*100,1),new_transmute,4,FALSE),
VLOOKUP(Midterm!AD72,new_transmute,4,FALSE)
),
""
)
)
)
)
)
)
)
)
))</f>
        <v/>
      </c>
      <c r="AE72" s="58" t="str">
        <f t="shared" si="15"/>
        <v/>
      </c>
      <c r="AF72" s="14" t="str">
        <f>IF($B72="","",
IF(AF$5="","",
IF(Midterm!AF72="",0,
IF(NOT(ISNUMBER(Midterm!AF72)),"NAN",
IF(Midterm!AF72&lt;0,"NEG",
IF(Midterm!AF72&gt;AF$5,"OVER",
IF(AND(AF$5&lt;=100,Midterm!AF72&gt;100),"ERR",
IF(Info!$B$4="Non-board program",
IF(OR(AND(AF$5&gt;0,AF$5&gt;100),AND(AF$5&gt;0,AF$5&lt;100)),
VLOOKUP(FLOOR((Midterm!AF72/AF$5)*100,1),new_transmute,2,FALSE),
VLOOKUP(Midterm!AF72,new_transmute,2,FALSE)
),
IF(Info!$B$4="Board program",
IF(OR(AND(AF$5&gt;0,AF$5&gt;100),AND(AF$5&gt;0,AF$5&lt;100)),
VLOOKUP(FLOOR((Midterm!AF72/AF$5)*100,1),new_transmute,3,FALSE),
VLOOKUP(Midterm!AF72,new_transmute,3,FALSE)
),
IF(Info!$B$4="Board program (Medicine)",
IF(OR(AND(AF$5&gt;0,AF$5&gt;100),AND(AF$5&gt;0,AF$5&lt;100)),
VLOOKUP(FLOOR((Midterm!AF72/AF$5)*100,1),new_transmute,4,FALSE),
VLOOKUP(Midterm!AF72,new_transmute,4,FALSE)
),
""
)
)
)
)
)
)
)
)
))</f>
        <v/>
      </c>
      <c r="AG72" s="14" t="str">
        <f>IF($B72="","",
IF(AG$5="","",
IF(Midterm!AG72="",0,
IF(NOT(ISNUMBER(Midterm!AG72)),"NAN",
IF(Midterm!AG72&lt;0,"NEG",
IF(Midterm!AG72&gt;AG$5,"OVER",
IF(AND(AG$5&lt;=100,Midterm!AG72&gt;100),"ERR",
IF(Info!$B$4="Non-board program",
IF(OR(AND(AG$5&gt;0,AG$5&gt;100),AND(AG$5&gt;0,AG$5&lt;100)),
VLOOKUP(FLOOR((Midterm!AG72/AG$5)*100,1),new_transmute,2,FALSE),
VLOOKUP(Midterm!AG72,new_transmute,2,FALSE)
),
IF(Info!$B$4="Board program",
IF(OR(AND(AG$5&gt;0,AG$5&gt;100),AND(AG$5&gt;0,AG$5&lt;100)),
VLOOKUP(FLOOR((Midterm!AG72/AG$5)*100,1),new_transmute,3,FALSE),
VLOOKUP(Midterm!AG72,new_transmute,3,FALSE)
),
IF(Info!$B$4="Board program (Medicine)",
IF(OR(AND(AG$5&gt;0,AG$5&gt;100),AND(AG$5&gt;0,AG$5&lt;100)),
VLOOKUP(FLOOR((Midterm!AG72/AG$5)*100,1),new_transmute,4,FALSE),
VLOOKUP(Midterm!AG72,new_transmute,4,FALSE)
),
""
)
)
)
)
)
)
)
)
))</f>
        <v/>
      </c>
      <c r="AH72" s="14" t="str">
        <f>IF($B72="","",
IF(AH$5="","",
IF(Midterm!AH72="",0,
IF(NOT(ISNUMBER(Midterm!AH72)),"NAN",
IF(Midterm!AH72&lt;0,"NEG",
IF(Midterm!AH72&gt;AH$5,"OVER",
IF(AND(AH$5&lt;=100,Midterm!AH72&gt;100),"ERR",
IF(Info!$B$4="Non-board program",
IF(OR(AND(AH$5&gt;0,AH$5&gt;100),AND(AH$5&gt;0,AH$5&lt;100)),
VLOOKUP(FLOOR((Midterm!AH72/AH$5)*100,1),new_transmute,2,FALSE),
VLOOKUP(Midterm!AH72,new_transmute,2,FALSE)
),
IF(Info!$B$4="Board program",
IF(OR(AND(AH$5&gt;0,AH$5&gt;100),AND(AH$5&gt;0,AH$5&lt;100)),
VLOOKUP(FLOOR((Midterm!AH72/AH$5)*100,1),new_transmute,3,FALSE),
VLOOKUP(Midterm!AH72,new_transmute,3,FALSE)
),
IF(Info!$B$4="Board program (Medicine)",
IF(OR(AND(AH$5&gt;0,AH$5&gt;100),AND(AH$5&gt;0,AH$5&lt;100)),
VLOOKUP(FLOOR((Midterm!AH72/AH$5)*100,1),new_transmute,4,FALSE),
VLOOKUP(Midterm!AH72,new_transmute,4,FALSE)
),
""
)
)
)
)
)
)
)
)
))</f>
        <v/>
      </c>
      <c r="AI72" s="14" t="str">
        <f>IF($B72="","",
IF(AI$5="","",
IF(Midterm!AI72="",0,
IF(NOT(ISNUMBER(Midterm!AI72)),"NAN",
IF(Midterm!AI72&lt;0,"NEG",
IF(Midterm!AI72&gt;AI$5,"OVER",
IF(AND(AI$5&lt;=100,Midterm!AI72&gt;100),"ERR",
IF(Info!$B$4="Non-board program",
IF(OR(AND(AI$5&gt;0,AI$5&gt;100),AND(AI$5&gt;0,AI$5&lt;100)),
VLOOKUP(FLOOR((Midterm!AI72/AI$5)*100,1),new_transmute,2,FALSE),
VLOOKUP(Midterm!AI72,new_transmute,2,FALSE)
),
IF(Info!$B$4="Board program",
IF(OR(AND(AI$5&gt;0,AI$5&gt;100),AND(AI$5&gt;0,AI$5&lt;100)),
VLOOKUP(FLOOR((Midterm!AI72/AI$5)*100,1),new_transmute,3,FALSE),
VLOOKUP(Midterm!AI72,new_transmute,3,FALSE)
),
IF(Info!$B$4="Board program (Medicine)",
IF(OR(AND(AI$5&gt;0,AI$5&gt;100),AND(AI$5&gt;0,AI$5&lt;100)),
VLOOKUP(FLOOR((Midterm!AI72/AI$5)*100,1),new_transmute,4,FALSE),
VLOOKUP(Midterm!AI72,new_transmute,4,FALSE)
),
""
)
)
)
)
)
)
)
)
))</f>
        <v/>
      </c>
      <c r="AJ72" s="14" t="str">
        <f>IF($B72="","",
IF(AJ$5="","",
IF(Midterm!AJ72="",0,
IF(NOT(ISNUMBER(Midterm!AJ72)),"NAN",
IF(Midterm!AJ72&lt;0,"NEG",
IF(Midterm!AJ72&gt;AJ$5,"OVER",
IF(AND(AJ$5&lt;=100,Midterm!AJ72&gt;100),"ERR",
IF(Info!$B$4="Non-board program",
IF(OR(AND(AJ$5&gt;0,AJ$5&gt;100),AND(AJ$5&gt;0,AJ$5&lt;100)),
VLOOKUP(FLOOR((Midterm!AJ72/AJ$5)*100,1),new_transmute,2,FALSE),
VLOOKUP(Midterm!AJ72,new_transmute,2,FALSE)
),
IF(Info!$B$4="Board program",
IF(OR(AND(AJ$5&gt;0,AJ$5&gt;100),AND(AJ$5&gt;0,AJ$5&lt;100)),
VLOOKUP(FLOOR((Midterm!AJ72/AJ$5)*100,1),new_transmute,3,FALSE),
VLOOKUP(Midterm!AJ72,new_transmute,3,FALSE)
),
IF(Info!$B$4="Board program (Medicine)",
IF(OR(AND(AJ$5&gt;0,AJ$5&gt;100),AND(AJ$5&gt;0,AJ$5&lt;100)),
VLOOKUP(FLOOR((Midterm!AJ72/AJ$5)*100,1),new_transmute,4,FALSE),
VLOOKUP(Midterm!AJ72,new_transmute,4,FALSE)
),
""
)
)
)
)
)
)
)
)
))</f>
        <v/>
      </c>
      <c r="AK72" s="59" t="str">
        <f t="shared" si="16"/>
        <v/>
      </c>
      <c r="AL72" s="60" t="str">
        <f>IF(B72="", "",
    IF(OR(M72="OVER", S72="OVER", Y72="OVER", AE72="OVER", AK72="OVER"),
        "OVER",
        IF(Info!$B$4="Non-board program",
            VLOOKUP(IFERROR(FLOOR(SUM((M72*$M$4), (S72*$S$4), (Y72*$Y$4), (AE72*$AE$4), (AK72*$AK$4)) * (100 / 60), 1), 0), new_transmute, 2, FALSE),
            IF(Info!$B$4="Board program",
                VLOOKUP(IFERROR(FLOOR(SUM((M72*$M$4), (S72*$S$4), (Y72*$Y$4), (AE72*$AE$4), (AK72*$AK$4)) * (100 / 60), 1), 0), new_transmute, 3, FALSE),
                IF(Info!$B$4="Board program (Medicine)",
                    VLOOKUP(IFERROR(FLOOR(SUM((M72*$M$4), (S72*$S$4), (Y72*$Y$4), (AE72*$AE$4), (AK72*$AK$4)) * (100 / 60), 1), 0), new_transmute, 4, FALSE),
                    ""
                )
            )
        )
    )
)</f>
        <v/>
      </c>
      <c r="AM72" s="14" t="str">
        <f>IF($B72="","",
IF(AM$5="","",
IF(Midterm!AM72="",0,
IF(NOT(ISNUMBER(Midterm!AM72)),"NAN",
IF(Midterm!AM72&lt;0,"NEG",
IF(Midterm!AM72&gt;AM$5,"OVER",
IF(AND(AM$5&lt;=100,Midterm!AM72&gt;100),"ERR",
IF(Info!$B$4="Non-board program",
IF(OR(AND(AM$5&gt;0,AM$5&gt;100),AND(AM$5&gt;0,AM$5&lt;100)),
VLOOKUP(FLOOR((Midterm!AM72/AM$5)*100,1),new_transmute,2,FALSE),
VLOOKUP(Midterm!AM72,new_transmute,2,FALSE)
),
IF(Info!$B$4="Board program",
IF(OR(AND(AM$5&gt;0,AM$5&gt;100),AND(AM$5&gt;0,AM$5&lt;100)),
VLOOKUP(FLOOR((Midterm!AM72/AM$5)*100,1),new_transmute,3,FALSE),
VLOOKUP(Midterm!AM72,new_transmute,3,FALSE)
),
IF(Info!$B$4="Board program (Medicine)",
IF(OR(AND(AM$5&gt;0,AM$5&gt;100),AND(AM$5&gt;0,AM$5&lt;100)),
VLOOKUP(FLOOR((Midterm!AM72/AM$5)*100,1),new_transmute,4,FALSE),
VLOOKUP(Midterm!AM72,new_transmute,4,FALSE)
),
""
)
)
)
)
)
)
)
)
))</f>
        <v/>
      </c>
      <c r="AN72" s="14" t="str">
        <f>IF($B72="","",
IF(AN$5="","",
IF(Midterm!AN72="",0,
IF(NOT(ISNUMBER(Midterm!AN72)),"NAN",
IF(Midterm!AN72&lt;0,"NEG",
IF(Midterm!AN72&gt;AN$5,"OVER",
IF(AND(AN$5&lt;=100,Midterm!AN72&gt;100),"ERR",
IF(Info!$B$4="Non-board program",
IF(OR(AND(AN$5&gt;0,AN$5&gt;100),AND(AN$5&gt;0,AN$5&lt;100)),
VLOOKUP(FLOOR((Midterm!AN72/AN$5)*100,1),new_transmute,2,FALSE),
VLOOKUP(Midterm!AN72,new_transmute,2,FALSE)
),
IF(Info!$B$4="Board program",
IF(OR(AND(AN$5&gt;0,AN$5&gt;100),AND(AN$5&gt;0,AN$5&lt;100)),
VLOOKUP(FLOOR((Midterm!AN72/AN$5)*100,1),new_transmute,3,FALSE),
VLOOKUP(Midterm!AN72,new_transmute,3,FALSE)
),
IF(Info!$B$4="Board program (Medicine)",
IF(OR(AND(AN$5&gt;0,AN$5&gt;100),AND(AN$5&gt;0,AN$5&lt;100)),
VLOOKUP(FLOOR((Midterm!AN72/AN$5)*100,1),new_transmute,4,FALSE),
VLOOKUP(Midterm!AN72,new_transmute,4,FALSE)
),
""
)
)
)
)
)
)
)
)
))</f>
        <v/>
      </c>
      <c r="AO72" s="14" t="str">
        <f>IF($B72="","",
IF(AO$5="","",
IF(Midterm!AO72="",0,
IF(NOT(ISNUMBER(Midterm!AO72)),"NAN",
IF(Midterm!AO72&lt;0,"NEG",
IF(Midterm!AO72&gt;AO$5,"OVER",
IF(AND(AO$5&lt;=100,Midterm!AO72&gt;100),"ERR",
IF(Info!$B$4="Non-board program",
IF(OR(AND(AO$5&gt;0,AO$5&gt;100),AND(AO$5&gt;0,AO$5&lt;100)),
VLOOKUP(FLOOR((Midterm!AO72/AO$5)*100,1),new_transmute,2,FALSE),
VLOOKUP(Midterm!AO72,new_transmute,2,FALSE)
),
IF(Info!$B$4="Board program",
IF(OR(AND(AO$5&gt;0,AO$5&gt;100),AND(AO$5&gt;0,AO$5&lt;100)),
VLOOKUP(FLOOR((Midterm!AO72/AO$5)*100,1),new_transmute,3,FALSE),
VLOOKUP(Midterm!AO72,new_transmute,3,FALSE)
),
IF(Info!$B$4="Board program (Medicine)",
IF(OR(AND(AO$5&gt;0,AO$5&gt;100),AND(AO$5&gt;0,AO$5&lt;100)),
VLOOKUP(FLOOR((Midterm!AO72/AO$5)*100,1),new_transmute,4,FALSE),
VLOOKUP(Midterm!AO72,new_transmute,4,FALSE)
),
""
)
)
)
)
)
)
)
)
))</f>
        <v/>
      </c>
      <c r="AP72" s="14" t="str">
        <f>IF($B72="","",
IF(AP$5="","",
IF(Midterm!AP72="",0,
IF(NOT(ISNUMBER(Midterm!AP72)),"NAN",
IF(Midterm!AP72&lt;0,"NEG",
IF(Midterm!AP72&gt;AP$5,"OVER",
IF(AND(AP$5&lt;=100,Midterm!AP72&gt;100),"ERR",
IF(Info!$B$4="Non-board program",
IF(OR(AND(AP$5&gt;0,AP$5&gt;100),AND(AP$5&gt;0,AP$5&lt;100)),
VLOOKUP(FLOOR((Midterm!AP72/AP$5)*100,1),new_transmute,2,FALSE),
VLOOKUP(Midterm!AP72,new_transmute,2,FALSE)
),
IF(Info!$B$4="Board program",
IF(OR(AND(AP$5&gt;0,AP$5&gt;100),AND(AP$5&gt;0,AP$5&lt;100)),
VLOOKUP(FLOOR((Midterm!AP72/AP$5)*100,1),new_transmute,3,FALSE),
VLOOKUP(Midterm!AP72,new_transmute,3,FALSE)
),
IF(Info!$B$4="Board program (Medicine)",
IF(OR(AND(AP$5&gt;0,AP$5&gt;100),AND(AP$5&gt;0,AP$5&lt;100)),
VLOOKUP(FLOOR((Midterm!AP72/AP$5)*100,1),new_transmute,4,FALSE),
VLOOKUP(Midterm!AP72,new_transmute,4,FALSE)
),
""
)
)
)
)
)
)
)
)
))</f>
        <v/>
      </c>
      <c r="AQ72" s="61" t="str">
        <f t="shared" si="17"/>
        <v/>
      </c>
      <c r="AR72" s="48" t="str">
        <f>IF(Midterm!AR72="","",Midterm!AR72)</f>
        <v/>
      </c>
      <c r="AS72" s="165" t="str">
        <f t="shared" si="18"/>
        <v/>
      </c>
      <c r="AT72" s="14" t="str">
        <f t="shared" ref="AT72:AT90" si="19">IF(B72="", "",
    IF(AS72="ERR", "ERR",
        IF(AS72="DRP",
            VLOOKUP(AS72, Equivalent, 1, FALSE),
            IF(AS72="WF",
                VLOOKUP(AS72, Equivalent, 1, FALSE),
                IF(E72="FA",
                    VLOOKUP(E72, Equivalent, 1, FALSE),
                    IF(AS72&lt;60,
                        5,
                        VLOOKUP(FLOOR(AS72, 1), Equivalent, 2, FALSE)
                    )
                )
            )
        )
    )
)</f>
        <v/>
      </c>
      <c r="AU72" s="14" t="str">
        <f>IF(B72="","",VLOOKUP(AT72,'New Grade Equivalent'!$B$3:$C$47,2,FALSE))</f>
        <v/>
      </c>
    </row>
    <row r="73" spans="1:47" x14ac:dyDescent="0.25">
      <c r="A73" s="8">
        <v>68</v>
      </c>
      <c r="B73" s="2" t="str">
        <f>IF('Student List'!C77="","",UPPER(LEFT('Student List'!C77,FIND(",",'Student List'!C77)-1)))</f>
        <v/>
      </c>
      <c r="C73" s="12" t="str">
        <f>IF('Student List'!C77="","",PROPER(MID('Student List'!C77, FIND(",", 'Student List'!C77) + 2, LEN('Student List'!C77) - FIND(",", 'Student List'!C77) - 1)))</f>
        <v/>
      </c>
      <c r="D73" s="127" t="str">
        <f>IF(B73="","",IF(Midterm!D73="", "NA", Midterm!D73))</f>
        <v/>
      </c>
      <c r="E73" s="8" t="str">
        <f>IF(B73="","",
  IF(Info!$B$5="First Year",
    IF(D73="Yes", "DRP",
      IF(D73="No", "WF", "")
    )
  )
)</f>
        <v/>
      </c>
      <c r="F73" s="14" t="str">
        <f>IF($B73="","",
IF(F$5="","",
IF(Midterm!F73="",0,
IF(NOT(ISNUMBER(Midterm!F73)),"NAN",
IF(Midterm!F73&lt;0,"NEG",
IF(Midterm!F73&gt;F$5,"OVER",
IF(AND(F$5&lt;=100,Midterm!F73&gt;100),"ERR",
IF(Info!$B$4="Non-board program",
IF(OR(AND(F$5&gt;0,F$5&gt;100),AND(F$5&gt;0,F$5&lt;100)),
VLOOKUP(FLOOR((Midterm!F73/F$5)*100,1),new_transmute,2,FALSE),
VLOOKUP(Midterm!F73,new_transmute,2,FALSE)
),
IF(Info!$B$4="Board program",
IF(OR(AND(F$5&gt;0,F$5&gt;100),AND(F$5&gt;0,F$5&lt;100)),
VLOOKUP(FLOOR((Midterm!F73/F$5)*100,1),new_transmute,3,FALSE),
VLOOKUP(Midterm!F73,new_transmute,3,FALSE)
),
IF(Info!$B$4="Board program (Medicine)",
IF(OR(AND(F$5&gt;0,F$5&gt;100),AND(F$5&gt;0,F$5&lt;100)),
VLOOKUP(FLOOR((Midterm!F73/F$5)*100,1),new_transmute,4,FALSE),
VLOOKUP(Midterm!F73,new_transmute,4,FALSE)
),
""
)
)
)
)
)
)
)
)
))</f>
        <v/>
      </c>
      <c r="G73" s="57" t="str">
        <f t="shared" si="11"/>
        <v/>
      </c>
      <c r="H73" s="14" t="str">
        <f>IF($B73="","",
IF(H$5="","",
IF(Midterm!H73="",0,
IF(NOT(ISNUMBER(Midterm!H73)),"NAN",
IF(Midterm!H73&lt;0,"NEG",
IF(Midterm!H73&gt;H$5,"OVER",
IF(AND(H$5&lt;=100,Midterm!H73&gt;100),"ERR",
IF(Info!$B$4="Non-board program",
IF(OR(AND(H$5&gt;0,H$5&gt;100),AND(H$5&gt;0,H$5&lt;100)),
VLOOKUP(FLOOR((Midterm!H73/H$5)*100,1),new_transmute,2,FALSE),
VLOOKUP(Midterm!H73,new_transmute,2,FALSE)
),
IF(Info!$B$4="Board program",
IF(OR(AND(H$5&gt;0,H$5&gt;100),AND(H$5&gt;0,H$5&lt;100)),
VLOOKUP(FLOOR((Midterm!H73/H$5)*100,1),new_transmute,3,FALSE),
VLOOKUP(Midterm!H73,new_transmute,3,FALSE)
),
IF(Info!$B$4="Board program (Medicine)",
IF(OR(AND(H$5&gt;0,H$5&gt;100),AND(H$5&gt;0,H$5&lt;100)),
VLOOKUP(FLOOR((Midterm!H73/H$5)*100,1),new_transmute,4,FALSE),
VLOOKUP(Midterm!H73,new_transmute,4,FALSE)
),
""
)
)
)
)
)
)
)
)
))</f>
        <v/>
      </c>
      <c r="I73" s="14" t="str">
        <f>IF($B73="","",
IF(I$5="","",
IF(Midterm!I73="",0,
IF(NOT(ISNUMBER(Midterm!I73)),"NAN",
IF(Midterm!I73&lt;0,"NEG",
IF(Midterm!I73&gt;I$5,"OVER",
IF(AND(I$5&lt;=100,Midterm!I73&gt;100),"ERR",
IF(Info!$B$4="Non-board program",
IF(OR(AND(I$5&gt;0,I$5&gt;100),AND(I$5&gt;0,I$5&lt;100)),
VLOOKUP(FLOOR((Midterm!I73/I$5)*100,1),new_transmute,2,FALSE),
VLOOKUP(Midterm!I73,new_transmute,2,FALSE)
),
IF(Info!$B$4="Board program",
IF(OR(AND(I$5&gt;0,I$5&gt;100),AND(I$5&gt;0,I$5&lt;100)),
VLOOKUP(FLOOR((Midterm!I73/I$5)*100,1),new_transmute,3,FALSE),
VLOOKUP(Midterm!I73,new_transmute,3,FALSE)
),
IF(Info!$B$4="Board program (Medicine)",
IF(OR(AND(I$5&gt;0,I$5&gt;100),AND(I$5&gt;0,I$5&lt;100)),
VLOOKUP(FLOOR((Midterm!I73/I$5)*100,1),new_transmute,4,FALSE),
VLOOKUP(Midterm!I73,new_transmute,4,FALSE)
),
""
)
)
)
)
)
)
)
)
))</f>
        <v/>
      </c>
      <c r="J73" s="14" t="str">
        <f>IF($B73="","",
IF(J$5="","",
IF(Midterm!J73="",0,
IF(NOT(ISNUMBER(Midterm!J73)),"NAN",
IF(Midterm!J73&lt;0,"NEG",
IF(Midterm!J73&gt;J$5,"OVER",
IF(AND(J$5&lt;=100,Midterm!J73&gt;100),"ERR",
IF(Info!$B$4="Non-board program",
IF(OR(AND(J$5&gt;0,J$5&gt;100),AND(J$5&gt;0,J$5&lt;100)),
VLOOKUP(FLOOR((Midterm!J73/J$5)*100,1),new_transmute,2,FALSE),
VLOOKUP(Midterm!J73,new_transmute,2,FALSE)
),
IF(Info!$B$4="Board program",
IF(OR(AND(J$5&gt;0,J$5&gt;100),AND(J$5&gt;0,J$5&lt;100)),
VLOOKUP(FLOOR((Midterm!J73/J$5)*100,1),new_transmute,3,FALSE),
VLOOKUP(Midterm!J73,new_transmute,3,FALSE)
),
IF(Info!$B$4="Board program (Medicine)",
IF(OR(AND(J$5&gt;0,J$5&gt;100),AND(J$5&gt;0,J$5&lt;100)),
VLOOKUP(FLOOR((Midterm!J73/J$5)*100,1),new_transmute,4,FALSE),
VLOOKUP(Midterm!J73,new_transmute,4,FALSE)
),
""
)
)
)
)
)
)
)
)
))</f>
        <v/>
      </c>
      <c r="K73" s="14" t="str">
        <f>IF($B73="","",
IF(K$5="","",
IF(Midterm!K73="",0,
IF(NOT(ISNUMBER(Midterm!K73)),"NAN",
IF(Midterm!K73&lt;0,"NEG",
IF(Midterm!K73&gt;K$5,"OVER",
IF(AND(K$5&lt;=100,Midterm!K73&gt;100),"ERR",
IF(Info!$B$4="Non-board program",
IF(OR(AND(K$5&gt;0,K$5&gt;100),AND(K$5&gt;0,K$5&lt;100)),
VLOOKUP(FLOOR((Midterm!K73/K$5)*100,1),new_transmute,2,FALSE),
VLOOKUP(Midterm!K73,new_transmute,2,FALSE)
),
IF(Info!$B$4="Board program",
IF(OR(AND(K$5&gt;0,K$5&gt;100),AND(K$5&gt;0,K$5&lt;100)),
VLOOKUP(FLOOR((Midterm!K73/K$5)*100,1),new_transmute,3,FALSE),
VLOOKUP(Midterm!K73,new_transmute,3,FALSE)
),
IF(Info!$B$4="Board program (Medicine)",
IF(OR(AND(K$5&gt;0,K$5&gt;100),AND(K$5&gt;0,K$5&lt;100)),
VLOOKUP(FLOOR((Midterm!K73/K$5)*100,1),new_transmute,4,FALSE),
VLOOKUP(Midterm!K73,new_transmute,4,FALSE)
),
""
)
)
)
)
)
)
)
)
))</f>
        <v/>
      </c>
      <c r="L73" s="14" t="str">
        <f>IF($B73="","",
IF(L$5="","",
IF(Midterm!L73="",0,
IF(NOT(ISNUMBER(Midterm!L73)),"NAN",
IF(Midterm!L73&lt;0,"NEG",
IF(Midterm!L73&gt;L$5,"OVER",
IF(AND(L$5&lt;=100,Midterm!L73&gt;100),"ERR",
IF(Info!$B$4="Non-board program",
IF(OR(AND(L$5&gt;0,L$5&gt;100),AND(L$5&gt;0,L$5&lt;100)),
VLOOKUP(FLOOR((Midterm!L73/L$5)*100,1),new_transmute,2,FALSE),
VLOOKUP(Midterm!L73,new_transmute,2,FALSE)
),
IF(Info!$B$4="Board program",
IF(OR(AND(L$5&gt;0,L$5&gt;100),AND(L$5&gt;0,L$5&lt;100)),
VLOOKUP(FLOOR((Midterm!L73/L$5)*100,1),new_transmute,3,FALSE),
VLOOKUP(Midterm!L73,new_transmute,3,FALSE)
),
IF(Info!$B$4="Board program (Medicine)",
IF(OR(AND(L$5&gt;0,L$5&gt;100),AND(L$5&gt;0,L$5&lt;100)),
VLOOKUP(FLOOR((Midterm!L73/L$5)*100,1),new_transmute,4,FALSE),
VLOOKUP(Midterm!L73,new_transmute,4,FALSE)
),
""
)
)
)
)
)
)
)
)
))</f>
        <v/>
      </c>
      <c r="M73" s="111" t="str">
        <f t="shared" si="12"/>
        <v/>
      </c>
      <c r="N73" s="14" t="str">
        <f>IF($B73="","",
IF(N$5="","",
IF(Midterm!N73="",0,
IF(NOT(ISNUMBER(Midterm!N73)),"NAN",
IF(Midterm!N73&lt;0,"NEG",
IF(Midterm!N73&gt;N$5,"OVER",
IF(AND(N$5&lt;=100,Midterm!N73&gt;100),"ERR",
IF(Info!$B$4="Non-board program",
IF(OR(AND(N$5&gt;0,N$5&gt;100),AND(N$5&gt;0,N$5&lt;100)),
VLOOKUP(FLOOR((Midterm!N73/N$5)*100,1),new_transmute,2,FALSE),
VLOOKUP(Midterm!N73,new_transmute,2,FALSE)
),
IF(Info!$B$4="Board program",
IF(OR(AND(N$5&gt;0,N$5&gt;100),AND(N$5&gt;0,N$5&lt;100)),
VLOOKUP(FLOOR((Midterm!N73/N$5)*100,1),new_transmute,3,FALSE),
VLOOKUP(Midterm!N73,new_transmute,3,FALSE)
),
IF(Info!$B$4="Board program (Medicine)",
IF(OR(AND(N$5&gt;0,N$5&gt;100),AND(N$5&gt;0,N$5&lt;100)),
VLOOKUP(FLOOR((Midterm!N73/N$5)*100,1),new_transmute,4,FALSE),
VLOOKUP(Midterm!N73,new_transmute,4,FALSE)
),
""
)
)
)
)
)
)
)
)
))</f>
        <v/>
      </c>
      <c r="O73" s="14" t="str">
        <f>IF($B73="","",
IF(O$5="","",
IF(Midterm!O73="",0,
IF(NOT(ISNUMBER(Midterm!O73)),"NAN",
IF(Midterm!O73&lt;0,"NEG",
IF(Midterm!O73&gt;O$5,"OVER",
IF(AND(O$5&lt;=100,Midterm!O73&gt;100),"ERR",
IF(Info!$B$4="Non-board program",
IF(OR(AND(O$5&gt;0,O$5&gt;100),AND(O$5&gt;0,O$5&lt;100)),
VLOOKUP(FLOOR((Midterm!O73/O$5)*100,1),new_transmute,2,FALSE),
VLOOKUP(Midterm!O73,new_transmute,2,FALSE)
),
IF(Info!$B$4="Board program",
IF(OR(AND(O$5&gt;0,O$5&gt;100),AND(O$5&gt;0,O$5&lt;100)),
VLOOKUP(FLOOR((Midterm!O73/O$5)*100,1),new_transmute,3,FALSE),
VLOOKUP(Midterm!O73,new_transmute,3,FALSE)
),
IF(Info!$B$4="Board program (Medicine)",
IF(OR(AND(O$5&gt;0,O$5&gt;100),AND(O$5&gt;0,O$5&lt;100)),
VLOOKUP(FLOOR((Midterm!O73/O$5)*100,1),new_transmute,4,FALSE),
VLOOKUP(Midterm!O73,new_transmute,4,FALSE)
),
""
)
)
)
)
)
)
)
)
))</f>
        <v/>
      </c>
      <c r="P73" s="14" t="str">
        <f>IF($B73="","",
IF(P$5="","",
IF(Midterm!P73="",0,
IF(NOT(ISNUMBER(Midterm!P73)),"NAN",
IF(Midterm!P73&lt;0,"NEG",
IF(Midterm!P73&gt;P$5,"OVER",
IF(AND(P$5&lt;=100,Midterm!P73&gt;100),"ERR",
IF(Info!$B$4="Non-board program",
IF(OR(AND(P$5&gt;0,P$5&gt;100),AND(P$5&gt;0,P$5&lt;100)),
VLOOKUP(FLOOR((Midterm!P73/P$5)*100,1),new_transmute,2,FALSE),
VLOOKUP(Midterm!P73,new_transmute,2,FALSE)
),
IF(Info!$B$4="Board program",
IF(OR(AND(P$5&gt;0,P$5&gt;100),AND(P$5&gt;0,P$5&lt;100)),
VLOOKUP(FLOOR((Midterm!P73/P$5)*100,1),new_transmute,3,FALSE),
VLOOKUP(Midterm!P73,new_transmute,3,FALSE)
),
IF(Info!$B$4="Board program (Medicine)",
IF(OR(AND(P$5&gt;0,P$5&gt;100),AND(P$5&gt;0,P$5&lt;100)),
VLOOKUP(FLOOR((Midterm!P73/P$5)*100,1),new_transmute,4,FALSE),
VLOOKUP(Midterm!P73,new_transmute,4,FALSE)
),
""
)
)
)
)
)
)
)
)
))</f>
        <v/>
      </c>
      <c r="Q73" s="14" t="str">
        <f>IF($B73="","",
IF(Q$5="","",
IF(Midterm!Q73="",0,
IF(NOT(ISNUMBER(Midterm!Q73)),"NAN",
IF(Midterm!Q73&lt;0,"NEG",
IF(Midterm!Q73&gt;Q$5,"OVER",
IF(AND(Q$5&lt;=100,Midterm!Q73&gt;100),"ERR",
IF(Info!$B$4="Non-board program",
IF(OR(AND(Q$5&gt;0,Q$5&gt;100),AND(Q$5&gt;0,Q$5&lt;100)),
VLOOKUP(FLOOR((Midterm!Q73/Q$5)*100,1),new_transmute,2,FALSE),
VLOOKUP(Midterm!Q73,new_transmute,2,FALSE)
),
IF(Info!$B$4="Board program",
IF(OR(AND(Q$5&gt;0,Q$5&gt;100),AND(Q$5&gt;0,Q$5&lt;100)),
VLOOKUP(FLOOR((Midterm!Q73/Q$5)*100,1),new_transmute,3,FALSE),
VLOOKUP(Midterm!Q73,new_transmute,3,FALSE)
),
IF(Info!$B$4="Board program (Medicine)",
IF(OR(AND(Q$5&gt;0,Q$5&gt;100),AND(Q$5&gt;0,Q$5&lt;100)),
VLOOKUP(FLOOR((Midterm!Q73/Q$5)*100,1),new_transmute,4,FALSE),
VLOOKUP(Midterm!Q73,new_transmute,4,FALSE)
),
""
)
)
)
)
)
)
)
)
))</f>
        <v/>
      </c>
      <c r="R73" s="14" t="str">
        <f>IF($B73="","",
IF(R$5="","",
IF(Midterm!R73="",0,
IF(NOT(ISNUMBER(Midterm!R73)),"NAN",
IF(Midterm!R73&lt;0,"NEG",
IF(Midterm!R73&gt;R$5,"OVER",
IF(AND(R$5&lt;=100,Midterm!R73&gt;100),"ERR",
IF(Info!$B$4="Non-board program",
IF(OR(AND(R$5&gt;0,R$5&gt;100),AND(R$5&gt;0,R$5&lt;100)),
VLOOKUP(FLOOR((Midterm!R73/R$5)*100,1),new_transmute,2,FALSE),
VLOOKUP(Midterm!R73,new_transmute,2,FALSE)
),
IF(Info!$B$4="Board program",
IF(OR(AND(R$5&gt;0,R$5&gt;100),AND(R$5&gt;0,R$5&lt;100)),
VLOOKUP(FLOOR((Midterm!R73/R$5)*100,1),new_transmute,3,FALSE),
VLOOKUP(Midterm!R73,new_transmute,3,FALSE)
),
IF(Info!$B$4="Board program (Medicine)",
IF(OR(AND(R$5&gt;0,R$5&gt;100),AND(R$5&gt;0,R$5&lt;100)),
VLOOKUP(FLOOR((Midterm!R73/R$5)*100,1),new_transmute,4,FALSE),
VLOOKUP(Midterm!R73,new_transmute,4,FALSE)
),
""
)
)
)
)
)
)
)
)
))</f>
        <v/>
      </c>
      <c r="S73" s="115" t="str">
        <f t="shared" si="13"/>
        <v/>
      </c>
      <c r="T73" s="14" t="str">
        <f>IF($B73="","",
IF(T$5="","",
IF(Midterm!T73="",0,
IF(NOT(ISNUMBER(Midterm!T73)),"NAN",
IF(Midterm!T73&lt;0,"NEG",
IF(Midterm!T73&gt;T$5,"OVER",
IF(AND(T$5&lt;=100,Midterm!T73&gt;100),"ERR",
IF(Info!$B$4="Non-board program",
IF(OR(AND(T$5&gt;0,T$5&gt;100),AND(T$5&gt;0,T$5&lt;100)),
VLOOKUP(FLOOR((Midterm!T73/T$5)*100,1),new_transmute,2,FALSE),
VLOOKUP(Midterm!T73,new_transmute,2,FALSE)
),
IF(Info!$B$4="Board program",
IF(OR(AND(T$5&gt;0,T$5&gt;100),AND(T$5&gt;0,T$5&lt;100)),
VLOOKUP(FLOOR((Midterm!T73/T$5)*100,1),new_transmute,3,FALSE),
VLOOKUP(Midterm!T73,new_transmute,3,FALSE)
),
IF(Info!$B$4="Board program (Medicine)",
IF(OR(AND(T$5&gt;0,T$5&gt;100),AND(T$5&gt;0,T$5&lt;100)),
VLOOKUP(FLOOR((Midterm!T73/T$5)*100,1),new_transmute,4,FALSE),
VLOOKUP(Midterm!T73,new_transmute,4,FALSE)
),
""
)
)
)
)
)
)
)
)
))</f>
        <v/>
      </c>
      <c r="U73" s="14" t="str">
        <f>IF($B73="","",
IF(U$5="","",
IF(Midterm!U73="",0,
IF(NOT(ISNUMBER(Midterm!U73)),"NAN",
IF(Midterm!U73&lt;0,"NEG",
IF(Midterm!U73&gt;U$5,"OVER",
IF(AND(U$5&lt;=100,Midterm!U73&gt;100),"ERR",
IF(Info!$B$4="Non-board program",
IF(OR(AND(U$5&gt;0,U$5&gt;100),AND(U$5&gt;0,U$5&lt;100)),
VLOOKUP(FLOOR((Midterm!U73/U$5)*100,1),new_transmute,2,FALSE),
VLOOKUP(Midterm!U73,new_transmute,2,FALSE)
),
IF(Info!$B$4="Board program",
IF(OR(AND(U$5&gt;0,U$5&gt;100),AND(U$5&gt;0,U$5&lt;100)),
VLOOKUP(FLOOR((Midterm!U73/U$5)*100,1),new_transmute,3,FALSE),
VLOOKUP(Midterm!U73,new_transmute,3,FALSE)
),
IF(Info!$B$4="Board program (Medicine)",
IF(OR(AND(U$5&gt;0,U$5&gt;100),AND(U$5&gt;0,U$5&lt;100)),
VLOOKUP(FLOOR((Midterm!U73/U$5)*100,1),new_transmute,4,FALSE),
VLOOKUP(Midterm!U73,new_transmute,4,FALSE)
),
""
)
)
)
)
)
)
)
)
))</f>
        <v/>
      </c>
      <c r="V73" s="14" t="str">
        <f>IF($B73="","",
IF(V$5="","",
IF(Midterm!V73="",0,
IF(NOT(ISNUMBER(Midterm!V73)),"NAN",
IF(Midterm!V73&lt;0,"NEG",
IF(Midterm!V73&gt;V$5,"OVER",
IF(AND(V$5&lt;=100,Midterm!V73&gt;100),"ERR",
IF(Info!$B$4="Non-board program",
IF(OR(AND(V$5&gt;0,V$5&gt;100),AND(V$5&gt;0,V$5&lt;100)),
VLOOKUP(FLOOR((Midterm!V73/V$5)*100,1),new_transmute,2,FALSE),
VLOOKUP(Midterm!V73,new_transmute,2,FALSE)
),
IF(Info!$B$4="Board program",
IF(OR(AND(V$5&gt;0,V$5&gt;100),AND(V$5&gt;0,V$5&lt;100)),
VLOOKUP(FLOOR((Midterm!V73/V$5)*100,1),new_transmute,3,FALSE),
VLOOKUP(Midterm!V73,new_transmute,3,FALSE)
),
IF(Info!$B$4="Board program (Medicine)",
IF(OR(AND(V$5&gt;0,V$5&gt;100),AND(V$5&gt;0,V$5&lt;100)),
VLOOKUP(FLOOR((Midterm!V73/V$5)*100,1),new_transmute,4,FALSE),
VLOOKUP(Midterm!V73,new_transmute,4,FALSE)
),
""
)
)
)
)
)
)
)
)
))</f>
        <v/>
      </c>
      <c r="W73" s="14" t="str">
        <f>IF($B73="","",
IF(W$5="","",
IF(Midterm!W73="",0,
IF(NOT(ISNUMBER(Midterm!W73)),"NAN",
IF(Midterm!W73&lt;0,"NEG",
IF(Midterm!W73&gt;W$5,"OVER",
IF(AND(W$5&lt;=100,Midterm!W73&gt;100),"ERR",
IF(Info!$B$4="Non-board program",
IF(OR(AND(W$5&gt;0,W$5&gt;100),AND(W$5&gt;0,W$5&lt;100)),
VLOOKUP(FLOOR((Midterm!W73/W$5)*100,1),new_transmute,2,FALSE),
VLOOKUP(Midterm!W73,new_transmute,2,FALSE)
),
IF(Info!$B$4="Board program",
IF(OR(AND(W$5&gt;0,W$5&gt;100),AND(W$5&gt;0,W$5&lt;100)),
VLOOKUP(FLOOR((Midterm!W73/W$5)*100,1),new_transmute,3,FALSE),
VLOOKUP(Midterm!W73,new_transmute,3,FALSE)
),
IF(Info!$B$4="Board program (Medicine)",
IF(OR(AND(W$5&gt;0,W$5&gt;100),AND(W$5&gt;0,W$5&lt;100)),
VLOOKUP(FLOOR((Midterm!W73/W$5)*100,1),new_transmute,4,FALSE),
VLOOKUP(Midterm!W73,new_transmute,4,FALSE)
),
""
)
)
)
)
)
)
)
)
))</f>
        <v/>
      </c>
      <c r="X73" s="14" t="str">
        <f>IF($B73="","",
IF(X$5="","",
IF(Midterm!X73="",0,
IF(NOT(ISNUMBER(Midterm!X73)),"NAN",
IF(Midterm!X73&lt;0,"NEG",
IF(Midterm!X73&gt;X$5,"OVER",
IF(AND(X$5&lt;=100,Midterm!X73&gt;100),"ERR",
IF(Info!$B$4="Non-board program",
IF(OR(AND(X$5&gt;0,X$5&gt;100),AND(X$5&gt;0,X$5&lt;100)),
VLOOKUP(FLOOR((Midterm!X73/X$5)*100,1),new_transmute,2,FALSE),
VLOOKUP(Midterm!X73,new_transmute,2,FALSE)
),
IF(Info!$B$4="Board program",
IF(OR(AND(X$5&gt;0,X$5&gt;100),AND(X$5&gt;0,X$5&lt;100)),
VLOOKUP(FLOOR((Midterm!X73/X$5)*100,1),new_transmute,3,FALSE),
VLOOKUP(Midterm!X73,new_transmute,3,FALSE)
),
IF(Info!$B$4="Board program (Medicine)",
IF(OR(AND(X$5&gt;0,X$5&gt;100),AND(X$5&gt;0,X$5&lt;100)),
VLOOKUP(FLOOR((Midterm!X73/X$5)*100,1),new_transmute,4,FALSE),
VLOOKUP(Midterm!X73,new_transmute,4,FALSE)
),
""
)
)
)
)
)
)
)
)
))</f>
        <v/>
      </c>
      <c r="Y73" s="112" t="str">
        <f t="shared" si="14"/>
        <v/>
      </c>
      <c r="Z73" s="14" t="str">
        <f>IF($B73="","",
IF(Z$5="","",
IF(Midterm!Z73="",0,
IF(NOT(ISNUMBER(Midterm!Z73)),"NAN",
IF(Midterm!Z73&lt;0,"NEG",
IF(Midterm!Z73&gt;Z$5,"OVER",
IF(AND(Z$5&lt;=100,Midterm!Z73&gt;100),"ERR",
IF(Info!$B$4="Non-board program",
IF(OR(AND(Z$5&gt;0,Z$5&gt;100),AND(Z$5&gt;0,Z$5&lt;100)),
VLOOKUP(FLOOR((Midterm!Z73/Z$5)*100,1),new_transmute,2,FALSE),
VLOOKUP(Midterm!Z73,new_transmute,2,FALSE)
),
IF(Info!$B$4="Board program",
IF(OR(AND(Z$5&gt;0,Z$5&gt;100),AND(Z$5&gt;0,Z$5&lt;100)),
VLOOKUP(FLOOR((Midterm!Z73/Z$5)*100,1),new_transmute,3,FALSE),
VLOOKUP(Midterm!Z73,new_transmute,3,FALSE)
),
IF(Info!$B$4="Board program (Medicine)",
IF(OR(AND(Z$5&gt;0,Z$5&gt;100),AND(Z$5&gt;0,Z$5&lt;100)),
VLOOKUP(FLOOR((Midterm!Z73/Z$5)*100,1),new_transmute,4,FALSE),
VLOOKUP(Midterm!Z73,new_transmute,4,FALSE)
),
""
)
)
)
)
)
)
)
)
))</f>
        <v/>
      </c>
      <c r="AA73" s="14" t="str">
        <f>IF($B73="","",
IF(AA$5="","",
IF(Midterm!AA73="",0,
IF(NOT(ISNUMBER(Midterm!AA73)),"NAN",
IF(Midterm!AA73&lt;0,"NEG",
IF(Midterm!AA73&gt;AA$5,"OVER",
IF(AND(AA$5&lt;=100,Midterm!AA73&gt;100),"ERR",
IF(Info!$B$4="Non-board program",
IF(OR(AND(AA$5&gt;0,AA$5&gt;100),AND(AA$5&gt;0,AA$5&lt;100)),
VLOOKUP(FLOOR((Midterm!AA73/AA$5)*100,1),new_transmute,2,FALSE),
VLOOKUP(Midterm!AA73,new_transmute,2,FALSE)
),
IF(Info!$B$4="Board program",
IF(OR(AND(AA$5&gt;0,AA$5&gt;100),AND(AA$5&gt;0,AA$5&lt;100)),
VLOOKUP(FLOOR((Midterm!AA73/AA$5)*100,1),new_transmute,3,FALSE),
VLOOKUP(Midterm!AA73,new_transmute,3,FALSE)
),
IF(Info!$B$4="Board program (Medicine)",
IF(OR(AND(AA$5&gt;0,AA$5&gt;100),AND(AA$5&gt;0,AA$5&lt;100)),
VLOOKUP(FLOOR((Midterm!AA73/AA$5)*100,1),new_transmute,4,FALSE),
VLOOKUP(Midterm!AA73,new_transmute,4,FALSE)
),
""
)
)
)
)
)
)
)
)
))</f>
        <v/>
      </c>
      <c r="AB73" s="14" t="str">
        <f>IF($B73="","",
IF(AB$5="","",
IF(Midterm!AB73="",0,
IF(NOT(ISNUMBER(Midterm!AB73)),"NAN",
IF(Midterm!AB73&lt;0,"NEG",
IF(Midterm!AB73&gt;AB$5,"OVER",
IF(AND(AB$5&lt;=100,Midterm!AB73&gt;100),"ERR",
IF(Info!$B$4="Non-board program",
IF(OR(AND(AB$5&gt;0,AB$5&gt;100),AND(AB$5&gt;0,AB$5&lt;100)),
VLOOKUP(FLOOR((Midterm!AB73/AB$5)*100,1),new_transmute,2,FALSE),
VLOOKUP(Midterm!AB73,new_transmute,2,FALSE)
),
IF(Info!$B$4="Board program",
IF(OR(AND(AB$5&gt;0,AB$5&gt;100),AND(AB$5&gt;0,AB$5&lt;100)),
VLOOKUP(FLOOR((Midterm!AB73/AB$5)*100,1),new_transmute,3,FALSE),
VLOOKUP(Midterm!AB73,new_transmute,3,FALSE)
),
IF(Info!$B$4="Board program (Medicine)",
IF(OR(AND(AB$5&gt;0,AB$5&gt;100),AND(AB$5&gt;0,AB$5&lt;100)),
VLOOKUP(FLOOR((Midterm!AB73/AB$5)*100,1),new_transmute,4,FALSE),
VLOOKUP(Midterm!AB73,new_transmute,4,FALSE)
),
""
)
)
)
)
)
)
)
)
))</f>
        <v/>
      </c>
      <c r="AC73" s="14" t="str">
        <f>IF($B73="","",
IF(AC$5="","",
IF(Midterm!AC73="",0,
IF(NOT(ISNUMBER(Midterm!AC73)),"NAN",
IF(Midterm!AC73&lt;0,"NEG",
IF(Midterm!AC73&gt;AC$5,"OVER",
IF(AND(AC$5&lt;=100,Midterm!AC73&gt;100),"ERR",
IF(Info!$B$4="Non-board program",
IF(OR(AND(AC$5&gt;0,AC$5&gt;100),AND(AC$5&gt;0,AC$5&lt;100)),
VLOOKUP(FLOOR((Midterm!AC73/AC$5)*100,1),new_transmute,2,FALSE),
VLOOKUP(Midterm!AC73,new_transmute,2,FALSE)
),
IF(Info!$B$4="Board program",
IF(OR(AND(AC$5&gt;0,AC$5&gt;100),AND(AC$5&gt;0,AC$5&lt;100)),
VLOOKUP(FLOOR((Midterm!AC73/AC$5)*100,1),new_transmute,3,FALSE),
VLOOKUP(Midterm!AC73,new_transmute,3,FALSE)
),
IF(Info!$B$4="Board program (Medicine)",
IF(OR(AND(AC$5&gt;0,AC$5&gt;100),AND(AC$5&gt;0,AC$5&lt;100)),
VLOOKUP(FLOOR((Midterm!AC73/AC$5)*100,1),new_transmute,4,FALSE),
VLOOKUP(Midterm!AC73,new_transmute,4,FALSE)
),
""
)
)
)
)
)
)
)
)
))</f>
        <v/>
      </c>
      <c r="AD73" s="14" t="str">
        <f>IF($B73="","",
IF(AD$5="","",
IF(Midterm!AD73="",0,
IF(NOT(ISNUMBER(Midterm!AD73)),"NAN",
IF(Midterm!AD73&lt;0,"NEG",
IF(Midterm!AD73&gt;AD$5,"OVER",
IF(AND(AD$5&lt;=100,Midterm!AD73&gt;100),"ERR",
IF(Info!$B$4="Non-board program",
IF(OR(AND(AD$5&gt;0,AD$5&gt;100),AND(AD$5&gt;0,AD$5&lt;100)),
VLOOKUP(FLOOR((Midterm!AD73/AD$5)*100,1),new_transmute,2,FALSE),
VLOOKUP(Midterm!AD73,new_transmute,2,FALSE)
),
IF(Info!$B$4="Board program",
IF(OR(AND(AD$5&gt;0,AD$5&gt;100),AND(AD$5&gt;0,AD$5&lt;100)),
VLOOKUP(FLOOR((Midterm!AD73/AD$5)*100,1),new_transmute,3,FALSE),
VLOOKUP(Midterm!AD73,new_transmute,3,FALSE)
),
IF(Info!$B$4="Board program (Medicine)",
IF(OR(AND(AD$5&gt;0,AD$5&gt;100),AND(AD$5&gt;0,AD$5&lt;100)),
VLOOKUP(FLOOR((Midterm!AD73/AD$5)*100,1),new_transmute,4,FALSE),
VLOOKUP(Midterm!AD73,new_transmute,4,FALSE)
),
""
)
)
)
)
)
)
)
)
))</f>
        <v/>
      </c>
      <c r="AE73" s="58" t="str">
        <f t="shared" si="15"/>
        <v/>
      </c>
      <c r="AF73" s="14" t="str">
        <f>IF($B73="","",
IF(AF$5="","",
IF(Midterm!AF73="",0,
IF(NOT(ISNUMBER(Midterm!AF73)),"NAN",
IF(Midterm!AF73&lt;0,"NEG",
IF(Midterm!AF73&gt;AF$5,"OVER",
IF(AND(AF$5&lt;=100,Midterm!AF73&gt;100),"ERR",
IF(Info!$B$4="Non-board program",
IF(OR(AND(AF$5&gt;0,AF$5&gt;100),AND(AF$5&gt;0,AF$5&lt;100)),
VLOOKUP(FLOOR((Midterm!AF73/AF$5)*100,1),new_transmute,2,FALSE),
VLOOKUP(Midterm!AF73,new_transmute,2,FALSE)
),
IF(Info!$B$4="Board program",
IF(OR(AND(AF$5&gt;0,AF$5&gt;100),AND(AF$5&gt;0,AF$5&lt;100)),
VLOOKUP(FLOOR((Midterm!AF73/AF$5)*100,1),new_transmute,3,FALSE),
VLOOKUP(Midterm!AF73,new_transmute,3,FALSE)
),
IF(Info!$B$4="Board program (Medicine)",
IF(OR(AND(AF$5&gt;0,AF$5&gt;100),AND(AF$5&gt;0,AF$5&lt;100)),
VLOOKUP(FLOOR((Midterm!AF73/AF$5)*100,1),new_transmute,4,FALSE),
VLOOKUP(Midterm!AF73,new_transmute,4,FALSE)
),
""
)
)
)
)
)
)
)
)
))</f>
        <v/>
      </c>
      <c r="AG73" s="14" t="str">
        <f>IF($B73="","",
IF(AG$5="","",
IF(Midterm!AG73="",0,
IF(NOT(ISNUMBER(Midterm!AG73)),"NAN",
IF(Midterm!AG73&lt;0,"NEG",
IF(Midterm!AG73&gt;AG$5,"OVER",
IF(AND(AG$5&lt;=100,Midterm!AG73&gt;100),"ERR",
IF(Info!$B$4="Non-board program",
IF(OR(AND(AG$5&gt;0,AG$5&gt;100),AND(AG$5&gt;0,AG$5&lt;100)),
VLOOKUP(FLOOR((Midterm!AG73/AG$5)*100,1),new_transmute,2,FALSE),
VLOOKUP(Midterm!AG73,new_transmute,2,FALSE)
),
IF(Info!$B$4="Board program",
IF(OR(AND(AG$5&gt;0,AG$5&gt;100),AND(AG$5&gt;0,AG$5&lt;100)),
VLOOKUP(FLOOR((Midterm!AG73/AG$5)*100,1),new_transmute,3,FALSE),
VLOOKUP(Midterm!AG73,new_transmute,3,FALSE)
),
IF(Info!$B$4="Board program (Medicine)",
IF(OR(AND(AG$5&gt;0,AG$5&gt;100),AND(AG$5&gt;0,AG$5&lt;100)),
VLOOKUP(FLOOR((Midterm!AG73/AG$5)*100,1),new_transmute,4,FALSE),
VLOOKUP(Midterm!AG73,new_transmute,4,FALSE)
),
""
)
)
)
)
)
)
)
)
))</f>
        <v/>
      </c>
      <c r="AH73" s="14" t="str">
        <f>IF($B73="","",
IF(AH$5="","",
IF(Midterm!AH73="",0,
IF(NOT(ISNUMBER(Midterm!AH73)),"NAN",
IF(Midterm!AH73&lt;0,"NEG",
IF(Midterm!AH73&gt;AH$5,"OVER",
IF(AND(AH$5&lt;=100,Midterm!AH73&gt;100),"ERR",
IF(Info!$B$4="Non-board program",
IF(OR(AND(AH$5&gt;0,AH$5&gt;100),AND(AH$5&gt;0,AH$5&lt;100)),
VLOOKUP(FLOOR((Midterm!AH73/AH$5)*100,1),new_transmute,2,FALSE),
VLOOKUP(Midterm!AH73,new_transmute,2,FALSE)
),
IF(Info!$B$4="Board program",
IF(OR(AND(AH$5&gt;0,AH$5&gt;100),AND(AH$5&gt;0,AH$5&lt;100)),
VLOOKUP(FLOOR((Midterm!AH73/AH$5)*100,1),new_transmute,3,FALSE),
VLOOKUP(Midterm!AH73,new_transmute,3,FALSE)
),
IF(Info!$B$4="Board program (Medicine)",
IF(OR(AND(AH$5&gt;0,AH$5&gt;100),AND(AH$5&gt;0,AH$5&lt;100)),
VLOOKUP(FLOOR((Midterm!AH73/AH$5)*100,1),new_transmute,4,FALSE),
VLOOKUP(Midterm!AH73,new_transmute,4,FALSE)
),
""
)
)
)
)
)
)
)
)
))</f>
        <v/>
      </c>
      <c r="AI73" s="14" t="str">
        <f>IF($B73="","",
IF(AI$5="","",
IF(Midterm!AI73="",0,
IF(NOT(ISNUMBER(Midterm!AI73)),"NAN",
IF(Midterm!AI73&lt;0,"NEG",
IF(Midterm!AI73&gt;AI$5,"OVER",
IF(AND(AI$5&lt;=100,Midterm!AI73&gt;100),"ERR",
IF(Info!$B$4="Non-board program",
IF(OR(AND(AI$5&gt;0,AI$5&gt;100),AND(AI$5&gt;0,AI$5&lt;100)),
VLOOKUP(FLOOR((Midterm!AI73/AI$5)*100,1),new_transmute,2,FALSE),
VLOOKUP(Midterm!AI73,new_transmute,2,FALSE)
),
IF(Info!$B$4="Board program",
IF(OR(AND(AI$5&gt;0,AI$5&gt;100),AND(AI$5&gt;0,AI$5&lt;100)),
VLOOKUP(FLOOR((Midterm!AI73/AI$5)*100,1),new_transmute,3,FALSE),
VLOOKUP(Midterm!AI73,new_transmute,3,FALSE)
),
IF(Info!$B$4="Board program (Medicine)",
IF(OR(AND(AI$5&gt;0,AI$5&gt;100),AND(AI$5&gt;0,AI$5&lt;100)),
VLOOKUP(FLOOR((Midterm!AI73/AI$5)*100,1),new_transmute,4,FALSE),
VLOOKUP(Midterm!AI73,new_transmute,4,FALSE)
),
""
)
)
)
)
)
)
)
)
))</f>
        <v/>
      </c>
      <c r="AJ73" s="14" t="str">
        <f>IF($B73="","",
IF(AJ$5="","",
IF(Midterm!AJ73="",0,
IF(NOT(ISNUMBER(Midterm!AJ73)),"NAN",
IF(Midterm!AJ73&lt;0,"NEG",
IF(Midterm!AJ73&gt;AJ$5,"OVER",
IF(AND(AJ$5&lt;=100,Midterm!AJ73&gt;100),"ERR",
IF(Info!$B$4="Non-board program",
IF(OR(AND(AJ$5&gt;0,AJ$5&gt;100),AND(AJ$5&gt;0,AJ$5&lt;100)),
VLOOKUP(FLOOR((Midterm!AJ73/AJ$5)*100,1),new_transmute,2,FALSE),
VLOOKUP(Midterm!AJ73,new_transmute,2,FALSE)
),
IF(Info!$B$4="Board program",
IF(OR(AND(AJ$5&gt;0,AJ$5&gt;100),AND(AJ$5&gt;0,AJ$5&lt;100)),
VLOOKUP(FLOOR((Midterm!AJ73/AJ$5)*100,1),new_transmute,3,FALSE),
VLOOKUP(Midterm!AJ73,new_transmute,3,FALSE)
),
IF(Info!$B$4="Board program (Medicine)",
IF(OR(AND(AJ$5&gt;0,AJ$5&gt;100),AND(AJ$5&gt;0,AJ$5&lt;100)),
VLOOKUP(FLOOR((Midterm!AJ73/AJ$5)*100,1),new_transmute,4,FALSE),
VLOOKUP(Midterm!AJ73,new_transmute,4,FALSE)
),
""
)
)
)
)
)
)
)
)
))</f>
        <v/>
      </c>
      <c r="AK73" s="59" t="str">
        <f t="shared" si="16"/>
        <v/>
      </c>
      <c r="AL73" s="60" t="str">
        <f>IF(B73="", "",
    IF(OR(M73="OVER", S73="OVER", Y73="OVER", AE73="OVER", AK73="OVER"),
        "OVER",
        IF(Info!$B$4="Non-board program",
            VLOOKUP(IFERROR(FLOOR(SUM((M73*$M$4), (S73*$S$4), (Y73*$Y$4), (AE73*$AE$4), (AK73*$AK$4)) * (100 / 60), 1), 0), new_transmute, 2, FALSE),
            IF(Info!$B$4="Board program",
                VLOOKUP(IFERROR(FLOOR(SUM((M73*$M$4), (S73*$S$4), (Y73*$Y$4), (AE73*$AE$4), (AK73*$AK$4)) * (100 / 60), 1), 0), new_transmute, 3, FALSE),
                IF(Info!$B$4="Board program (Medicine)",
                    VLOOKUP(IFERROR(FLOOR(SUM((M73*$M$4), (S73*$S$4), (Y73*$Y$4), (AE73*$AE$4), (AK73*$AK$4)) * (100 / 60), 1), 0), new_transmute, 4, FALSE),
                    ""
                )
            )
        )
    )
)</f>
        <v/>
      </c>
      <c r="AM73" s="14" t="str">
        <f>IF($B73="","",
IF(AM$5="","",
IF(Midterm!AM73="",0,
IF(NOT(ISNUMBER(Midterm!AM73)),"NAN",
IF(Midterm!AM73&lt;0,"NEG",
IF(Midterm!AM73&gt;AM$5,"OVER",
IF(AND(AM$5&lt;=100,Midterm!AM73&gt;100),"ERR",
IF(Info!$B$4="Non-board program",
IF(OR(AND(AM$5&gt;0,AM$5&gt;100),AND(AM$5&gt;0,AM$5&lt;100)),
VLOOKUP(FLOOR((Midterm!AM73/AM$5)*100,1),new_transmute,2,FALSE),
VLOOKUP(Midterm!AM73,new_transmute,2,FALSE)
),
IF(Info!$B$4="Board program",
IF(OR(AND(AM$5&gt;0,AM$5&gt;100),AND(AM$5&gt;0,AM$5&lt;100)),
VLOOKUP(FLOOR((Midterm!AM73/AM$5)*100,1),new_transmute,3,FALSE),
VLOOKUP(Midterm!AM73,new_transmute,3,FALSE)
),
IF(Info!$B$4="Board program (Medicine)",
IF(OR(AND(AM$5&gt;0,AM$5&gt;100),AND(AM$5&gt;0,AM$5&lt;100)),
VLOOKUP(FLOOR((Midterm!AM73/AM$5)*100,1),new_transmute,4,FALSE),
VLOOKUP(Midterm!AM73,new_transmute,4,FALSE)
),
""
)
)
)
)
)
)
)
)
))</f>
        <v/>
      </c>
      <c r="AN73" s="14" t="str">
        <f>IF($B73="","",
IF(AN$5="","",
IF(Midterm!AN73="",0,
IF(NOT(ISNUMBER(Midterm!AN73)),"NAN",
IF(Midterm!AN73&lt;0,"NEG",
IF(Midterm!AN73&gt;AN$5,"OVER",
IF(AND(AN$5&lt;=100,Midterm!AN73&gt;100),"ERR",
IF(Info!$B$4="Non-board program",
IF(OR(AND(AN$5&gt;0,AN$5&gt;100),AND(AN$5&gt;0,AN$5&lt;100)),
VLOOKUP(FLOOR((Midterm!AN73/AN$5)*100,1),new_transmute,2,FALSE),
VLOOKUP(Midterm!AN73,new_transmute,2,FALSE)
),
IF(Info!$B$4="Board program",
IF(OR(AND(AN$5&gt;0,AN$5&gt;100),AND(AN$5&gt;0,AN$5&lt;100)),
VLOOKUP(FLOOR((Midterm!AN73/AN$5)*100,1),new_transmute,3,FALSE),
VLOOKUP(Midterm!AN73,new_transmute,3,FALSE)
),
IF(Info!$B$4="Board program (Medicine)",
IF(OR(AND(AN$5&gt;0,AN$5&gt;100),AND(AN$5&gt;0,AN$5&lt;100)),
VLOOKUP(FLOOR((Midterm!AN73/AN$5)*100,1),new_transmute,4,FALSE),
VLOOKUP(Midterm!AN73,new_transmute,4,FALSE)
),
""
)
)
)
)
)
)
)
)
))</f>
        <v/>
      </c>
      <c r="AO73" s="14" t="str">
        <f>IF($B73="","",
IF(AO$5="","",
IF(Midterm!AO73="",0,
IF(NOT(ISNUMBER(Midterm!AO73)),"NAN",
IF(Midterm!AO73&lt;0,"NEG",
IF(Midterm!AO73&gt;AO$5,"OVER",
IF(AND(AO$5&lt;=100,Midterm!AO73&gt;100),"ERR",
IF(Info!$B$4="Non-board program",
IF(OR(AND(AO$5&gt;0,AO$5&gt;100),AND(AO$5&gt;0,AO$5&lt;100)),
VLOOKUP(FLOOR((Midterm!AO73/AO$5)*100,1),new_transmute,2,FALSE),
VLOOKUP(Midterm!AO73,new_transmute,2,FALSE)
),
IF(Info!$B$4="Board program",
IF(OR(AND(AO$5&gt;0,AO$5&gt;100),AND(AO$5&gt;0,AO$5&lt;100)),
VLOOKUP(FLOOR((Midterm!AO73/AO$5)*100,1),new_transmute,3,FALSE),
VLOOKUP(Midterm!AO73,new_transmute,3,FALSE)
),
IF(Info!$B$4="Board program (Medicine)",
IF(OR(AND(AO$5&gt;0,AO$5&gt;100),AND(AO$5&gt;0,AO$5&lt;100)),
VLOOKUP(FLOOR((Midterm!AO73/AO$5)*100,1),new_transmute,4,FALSE),
VLOOKUP(Midterm!AO73,new_transmute,4,FALSE)
),
""
)
)
)
)
)
)
)
)
))</f>
        <v/>
      </c>
      <c r="AP73" s="14" t="str">
        <f>IF($B73="","",
IF(AP$5="","",
IF(Midterm!AP73="",0,
IF(NOT(ISNUMBER(Midterm!AP73)),"NAN",
IF(Midterm!AP73&lt;0,"NEG",
IF(Midterm!AP73&gt;AP$5,"OVER",
IF(AND(AP$5&lt;=100,Midterm!AP73&gt;100),"ERR",
IF(Info!$B$4="Non-board program",
IF(OR(AND(AP$5&gt;0,AP$5&gt;100),AND(AP$5&gt;0,AP$5&lt;100)),
VLOOKUP(FLOOR((Midterm!AP73/AP$5)*100,1),new_transmute,2,FALSE),
VLOOKUP(Midterm!AP73,new_transmute,2,FALSE)
),
IF(Info!$B$4="Board program",
IF(OR(AND(AP$5&gt;0,AP$5&gt;100),AND(AP$5&gt;0,AP$5&lt;100)),
VLOOKUP(FLOOR((Midterm!AP73/AP$5)*100,1),new_transmute,3,FALSE),
VLOOKUP(Midterm!AP73,new_transmute,3,FALSE)
),
IF(Info!$B$4="Board program (Medicine)",
IF(OR(AND(AP$5&gt;0,AP$5&gt;100),AND(AP$5&gt;0,AP$5&lt;100)),
VLOOKUP(FLOOR((Midterm!AP73/AP$5)*100,1),new_transmute,4,FALSE),
VLOOKUP(Midterm!AP73,new_transmute,4,FALSE)
),
""
)
)
)
)
)
)
)
)
))</f>
        <v/>
      </c>
      <c r="AQ73" s="61" t="str">
        <f t="shared" si="17"/>
        <v/>
      </c>
      <c r="AR73" s="48" t="str">
        <f>IF(Midterm!AR73="","",Midterm!AR73)</f>
        <v/>
      </c>
      <c r="AS73" s="165" t="str">
        <f t="shared" si="18"/>
        <v/>
      </c>
      <c r="AT73" s="14" t="str">
        <f t="shared" si="19"/>
        <v/>
      </c>
      <c r="AU73" s="14" t="str">
        <f>IF(B73="","",VLOOKUP(AT73,'New Grade Equivalent'!$B$3:$C$47,2,FALSE))</f>
        <v/>
      </c>
    </row>
    <row r="74" spans="1:47" x14ac:dyDescent="0.25">
      <c r="A74" s="8">
        <v>69</v>
      </c>
      <c r="B74" s="2" t="str">
        <f>IF('Student List'!C78="","",UPPER(LEFT('Student List'!C78,FIND(",",'Student List'!C78)-1)))</f>
        <v/>
      </c>
      <c r="C74" s="12" t="str">
        <f>IF('Student List'!C78="","",PROPER(MID('Student List'!C78, FIND(",", 'Student List'!C78) + 2, LEN('Student List'!C78) - FIND(",", 'Student List'!C78) - 1)))</f>
        <v/>
      </c>
      <c r="D74" s="127" t="str">
        <f>IF(B74="","",IF(Midterm!D74="", "NA", Midterm!D74))</f>
        <v/>
      </c>
      <c r="E74" s="8" t="str">
        <f>IF(B74="","",
  IF(Info!$B$5="First Year",
    IF(D74="Yes", "DRP",
      IF(D74="No", "WF", "")
    )
  )
)</f>
        <v/>
      </c>
      <c r="F74" s="14" t="str">
        <f>IF($B74="","",
IF(F$5="","",
IF(Midterm!F74="",0,
IF(NOT(ISNUMBER(Midterm!F74)),"NAN",
IF(Midterm!F74&lt;0,"NEG",
IF(Midterm!F74&gt;F$5,"OVER",
IF(AND(F$5&lt;=100,Midterm!F74&gt;100),"ERR",
IF(Info!$B$4="Non-board program",
IF(OR(AND(F$5&gt;0,F$5&gt;100),AND(F$5&gt;0,F$5&lt;100)),
VLOOKUP(FLOOR((Midterm!F74/F$5)*100,1),new_transmute,2,FALSE),
VLOOKUP(Midterm!F74,new_transmute,2,FALSE)
),
IF(Info!$B$4="Board program",
IF(OR(AND(F$5&gt;0,F$5&gt;100),AND(F$5&gt;0,F$5&lt;100)),
VLOOKUP(FLOOR((Midterm!F74/F$5)*100,1),new_transmute,3,FALSE),
VLOOKUP(Midterm!F74,new_transmute,3,FALSE)
),
IF(Info!$B$4="Board program (Medicine)",
IF(OR(AND(F$5&gt;0,F$5&gt;100),AND(F$5&gt;0,F$5&lt;100)),
VLOOKUP(FLOOR((Midterm!F74/F$5)*100,1),new_transmute,4,FALSE),
VLOOKUP(Midterm!F74,new_transmute,4,FALSE)
),
""
)
)
)
)
)
)
)
)
))</f>
        <v/>
      </c>
      <c r="G74" s="57" t="str">
        <f t="shared" si="11"/>
        <v/>
      </c>
      <c r="H74" s="14" t="str">
        <f>IF($B74="","",
IF(H$5="","",
IF(Midterm!H74="",0,
IF(NOT(ISNUMBER(Midterm!H74)),"NAN",
IF(Midterm!H74&lt;0,"NEG",
IF(Midterm!H74&gt;H$5,"OVER",
IF(AND(H$5&lt;=100,Midterm!H74&gt;100),"ERR",
IF(Info!$B$4="Non-board program",
IF(OR(AND(H$5&gt;0,H$5&gt;100),AND(H$5&gt;0,H$5&lt;100)),
VLOOKUP(FLOOR((Midterm!H74/H$5)*100,1),new_transmute,2,FALSE),
VLOOKUP(Midterm!H74,new_transmute,2,FALSE)
),
IF(Info!$B$4="Board program",
IF(OR(AND(H$5&gt;0,H$5&gt;100),AND(H$5&gt;0,H$5&lt;100)),
VLOOKUP(FLOOR((Midterm!H74/H$5)*100,1),new_transmute,3,FALSE),
VLOOKUP(Midterm!H74,new_transmute,3,FALSE)
),
IF(Info!$B$4="Board program (Medicine)",
IF(OR(AND(H$5&gt;0,H$5&gt;100),AND(H$5&gt;0,H$5&lt;100)),
VLOOKUP(FLOOR((Midterm!H74/H$5)*100,1),new_transmute,4,FALSE),
VLOOKUP(Midterm!H74,new_transmute,4,FALSE)
),
""
)
)
)
)
)
)
)
)
))</f>
        <v/>
      </c>
      <c r="I74" s="14" t="str">
        <f>IF($B74="","",
IF(I$5="","",
IF(Midterm!I74="",0,
IF(NOT(ISNUMBER(Midterm!I74)),"NAN",
IF(Midterm!I74&lt;0,"NEG",
IF(Midterm!I74&gt;I$5,"OVER",
IF(AND(I$5&lt;=100,Midterm!I74&gt;100),"ERR",
IF(Info!$B$4="Non-board program",
IF(OR(AND(I$5&gt;0,I$5&gt;100),AND(I$5&gt;0,I$5&lt;100)),
VLOOKUP(FLOOR((Midterm!I74/I$5)*100,1),new_transmute,2,FALSE),
VLOOKUP(Midterm!I74,new_transmute,2,FALSE)
),
IF(Info!$B$4="Board program",
IF(OR(AND(I$5&gt;0,I$5&gt;100),AND(I$5&gt;0,I$5&lt;100)),
VLOOKUP(FLOOR((Midterm!I74/I$5)*100,1),new_transmute,3,FALSE),
VLOOKUP(Midterm!I74,new_transmute,3,FALSE)
),
IF(Info!$B$4="Board program (Medicine)",
IF(OR(AND(I$5&gt;0,I$5&gt;100),AND(I$5&gt;0,I$5&lt;100)),
VLOOKUP(FLOOR((Midterm!I74/I$5)*100,1),new_transmute,4,FALSE),
VLOOKUP(Midterm!I74,new_transmute,4,FALSE)
),
""
)
)
)
)
)
)
)
)
))</f>
        <v/>
      </c>
      <c r="J74" s="14" t="str">
        <f>IF($B74="","",
IF(J$5="","",
IF(Midterm!J74="",0,
IF(NOT(ISNUMBER(Midterm!J74)),"NAN",
IF(Midterm!J74&lt;0,"NEG",
IF(Midterm!J74&gt;J$5,"OVER",
IF(AND(J$5&lt;=100,Midterm!J74&gt;100),"ERR",
IF(Info!$B$4="Non-board program",
IF(OR(AND(J$5&gt;0,J$5&gt;100),AND(J$5&gt;0,J$5&lt;100)),
VLOOKUP(FLOOR((Midterm!J74/J$5)*100,1),new_transmute,2,FALSE),
VLOOKUP(Midterm!J74,new_transmute,2,FALSE)
),
IF(Info!$B$4="Board program",
IF(OR(AND(J$5&gt;0,J$5&gt;100),AND(J$5&gt;0,J$5&lt;100)),
VLOOKUP(FLOOR((Midterm!J74/J$5)*100,1),new_transmute,3,FALSE),
VLOOKUP(Midterm!J74,new_transmute,3,FALSE)
),
IF(Info!$B$4="Board program (Medicine)",
IF(OR(AND(J$5&gt;0,J$5&gt;100),AND(J$5&gt;0,J$5&lt;100)),
VLOOKUP(FLOOR((Midterm!J74/J$5)*100,1),new_transmute,4,FALSE),
VLOOKUP(Midterm!J74,new_transmute,4,FALSE)
),
""
)
)
)
)
)
)
)
)
))</f>
        <v/>
      </c>
      <c r="K74" s="14" t="str">
        <f>IF($B74="","",
IF(K$5="","",
IF(Midterm!K74="",0,
IF(NOT(ISNUMBER(Midterm!K74)),"NAN",
IF(Midterm!K74&lt;0,"NEG",
IF(Midterm!K74&gt;K$5,"OVER",
IF(AND(K$5&lt;=100,Midterm!K74&gt;100),"ERR",
IF(Info!$B$4="Non-board program",
IF(OR(AND(K$5&gt;0,K$5&gt;100),AND(K$5&gt;0,K$5&lt;100)),
VLOOKUP(FLOOR((Midterm!K74/K$5)*100,1),new_transmute,2,FALSE),
VLOOKUP(Midterm!K74,new_transmute,2,FALSE)
),
IF(Info!$B$4="Board program",
IF(OR(AND(K$5&gt;0,K$5&gt;100),AND(K$5&gt;0,K$5&lt;100)),
VLOOKUP(FLOOR((Midterm!K74/K$5)*100,1),new_transmute,3,FALSE),
VLOOKUP(Midterm!K74,new_transmute,3,FALSE)
),
IF(Info!$B$4="Board program (Medicine)",
IF(OR(AND(K$5&gt;0,K$5&gt;100),AND(K$5&gt;0,K$5&lt;100)),
VLOOKUP(FLOOR((Midterm!K74/K$5)*100,1),new_transmute,4,FALSE),
VLOOKUP(Midterm!K74,new_transmute,4,FALSE)
),
""
)
)
)
)
)
)
)
)
))</f>
        <v/>
      </c>
      <c r="L74" s="14" t="str">
        <f>IF($B74="","",
IF(L$5="","",
IF(Midterm!L74="",0,
IF(NOT(ISNUMBER(Midterm!L74)),"NAN",
IF(Midterm!L74&lt;0,"NEG",
IF(Midterm!L74&gt;L$5,"OVER",
IF(AND(L$5&lt;=100,Midterm!L74&gt;100),"ERR",
IF(Info!$B$4="Non-board program",
IF(OR(AND(L$5&gt;0,L$5&gt;100),AND(L$5&gt;0,L$5&lt;100)),
VLOOKUP(FLOOR((Midterm!L74/L$5)*100,1),new_transmute,2,FALSE),
VLOOKUP(Midterm!L74,new_transmute,2,FALSE)
),
IF(Info!$B$4="Board program",
IF(OR(AND(L$5&gt;0,L$5&gt;100),AND(L$5&gt;0,L$5&lt;100)),
VLOOKUP(FLOOR((Midterm!L74/L$5)*100,1),new_transmute,3,FALSE),
VLOOKUP(Midterm!L74,new_transmute,3,FALSE)
),
IF(Info!$B$4="Board program (Medicine)",
IF(OR(AND(L$5&gt;0,L$5&gt;100),AND(L$5&gt;0,L$5&lt;100)),
VLOOKUP(FLOOR((Midterm!L74/L$5)*100,1),new_transmute,4,FALSE),
VLOOKUP(Midterm!L74,new_transmute,4,FALSE)
),
""
)
)
)
)
)
)
)
)
))</f>
        <v/>
      </c>
      <c r="M74" s="111" t="str">
        <f t="shared" si="12"/>
        <v/>
      </c>
      <c r="N74" s="14" t="str">
        <f>IF($B74="","",
IF(N$5="","",
IF(Midterm!N74="",0,
IF(NOT(ISNUMBER(Midterm!N74)),"NAN",
IF(Midterm!N74&lt;0,"NEG",
IF(Midterm!N74&gt;N$5,"OVER",
IF(AND(N$5&lt;=100,Midterm!N74&gt;100),"ERR",
IF(Info!$B$4="Non-board program",
IF(OR(AND(N$5&gt;0,N$5&gt;100),AND(N$5&gt;0,N$5&lt;100)),
VLOOKUP(FLOOR((Midterm!N74/N$5)*100,1),new_transmute,2,FALSE),
VLOOKUP(Midterm!N74,new_transmute,2,FALSE)
),
IF(Info!$B$4="Board program",
IF(OR(AND(N$5&gt;0,N$5&gt;100),AND(N$5&gt;0,N$5&lt;100)),
VLOOKUP(FLOOR((Midterm!N74/N$5)*100,1),new_transmute,3,FALSE),
VLOOKUP(Midterm!N74,new_transmute,3,FALSE)
),
IF(Info!$B$4="Board program (Medicine)",
IF(OR(AND(N$5&gt;0,N$5&gt;100),AND(N$5&gt;0,N$5&lt;100)),
VLOOKUP(FLOOR((Midterm!N74/N$5)*100,1),new_transmute,4,FALSE),
VLOOKUP(Midterm!N74,new_transmute,4,FALSE)
),
""
)
)
)
)
)
)
)
)
))</f>
        <v/>
      </c>
      <c r="O74" s="14" t="str">
        <f>IF($B74="","",
IF(O$5="","",
IF(Midterm!O74="",0,
IF(NOT(ISNUMBER(Midterm!O74)),"NAN",
IF(Midterm!O74&lt;0,"NEG",
IF(Midterm!O74&gt;O$5,"OVER",
IF(AND(O$5&lt;=100,Midterm!O74&gt;100),"ERR",
IF(Info!$B$4="Non-board program",
IF(OR(AND(O$5&gt;0,O$5&gt;100),AND(O$5&gt;0,O$5&lt;100)),
VLOOKUP(FLOOR((Midterm!O74/O$5)*100,1),new_transmute,2,FALSE),
VLOOKUP(Midterm!O74,new_transmute,2,FALSE)
),
IF(Info!$B$4="Board program",
IF(OR(AND(O$5&gt;0,O$5&gt;100),AND(O$5&gt;0,O$5&lt;100)),
VLOOKUP(FLOOR((Midterm!O74/O$5)*100,1),new_transmute,3,FALSE),
VLOOKUP(Midterm!O74,new_transmute,3,FALSE)
),
IF(Info!$B$4="Board program (Medicine)",
IF(OR(AND(O$5&gt;0,O$5&gt;100),AND(O$5&gt;0,O$5&lt;100)),
VLOOKUP(FLOOR((Midterm!O74/O$5)*100,1),new_transmute,4,FALSE),
VLOOKUP(Midterm!O74,new_transmute,4,FALSE)
),
""
)
)
)
)
)
)
)
)
))</f>
        <v/>
      </c>
      <c r="P74" s="14" t="str">
        <f>IF($B74="","",
IF(P$5="","",
IF(Midterm!P74="",0,
IF(NOT(ISNUMBER(Midterm!P74)),"NAN",
IF(Midterm!P74&lt;0,"NEG",
IF(Midterm!P74&gt;P$5,"OVER",
IF(AND(P$5&lt;=100,Midterm!P74&gt;100),"ERR",
IF(Info!$B$4="Non-board program",
IF(OR(AND(P$5&gt;0,P$5&gt;100),AND(P$5&gt;0,P$5&lt;100)),
VLOOKUP(FLOOR((Midterm!P74/P$5)*100,1),new_transmute,2,FALSE),
VLOOKUP(Midterm!P74,new_transmute,2,FALSE)
),
IF(Info!$B$4="Board program",
IF(OR(AND(P$5&gt;0,P$5&gt;100),AND(P$5&gt;0,P$5&lt;100)),
VLOOKUP(FLOOR((Midterm!P74/P$5)*100,1),new_transmute,3,FALSE),
VLOOKUP(Midterm!P74,new_transmute,3,FALSE)
),
IF(Info!$B$4="Board program (Medicine)",
IF(OR(AND(P$5&gt;0,P$5&gt;100),AND(P$5&gt;0,P$5&lt;100)),
VLOOKUP(FLOOR((Midterm!P74/P$5)*100,1),new_transmute,4,FALSE),
VLOOKUP(Midterm!P74,new_transmute,4,FALSE)
),
""
)
)
)
)
)
)
)
)
))</f>
        <v/>
      </c>
      <c r="Q74" s="14" t="str">
        <f>IF($B74="","",
IF(Q$5="","",
IF(Midterm!Q74="",0,
IF(NOT(ISNUMBER(Midterm!Q74)),"NAN",
IF(Midterm!Q74&lt;0,"NEG",
IF(Midterm!Q74&gt;Q$5,"OVER",
IF(AND(Q$5&lt;=100,Midterm!Q74&gt;100),"ERR",
IF(Info!$B$4="Non-board program",
IF(OR(AND(Q$5&gt;0,Q$5&gt;100),AND(Q$5&gt;0,Q$5&lt;100)),
VLOOKUP(FLOOR((Midterm!Q74/Q$5)*100,1),new_transmute,2,FALSE),
VLOOKUP(Midterm!Q74,new_transmute,2,FALSE)
),
IF(Info!$B$4="Board program",
IF(OR(AND(Q$5&gt;0,Q$5&gt;100),AND(Q$5&gt;0,Q$5&lt;100)),
VLOOKUP(FLOOR((Midterm!Q74/Q$5)*100,1),new_transmute,3,FALSE),
VLOOKUP(Midterm!Q74,new_transmute,3,FALSE)
),
IF(Info!$B$4="Board program (Medicine)",
IF(OR(AND(Q$5&gt;0,Q$5&gt;100),AND(Q$5&gt;0,Q$5&lt;100)),
VLOOKUP(FLOOR((Midterm!Q74/Q$5)*100,1),new_transmute,4,FALSE),
VLOOKUP(Midterm!Q74,new_transmute,4,FALSE)
),
""
)
)
)
)
)
)
)
)
))</f>
        <v/>
      </c>
      <c r="R74" s="14" t="str">
        <f>IF($B74="","",
IF(R$5="","",
IF(Midterm!R74="",0,
IF(NOT(ISNUMBER(Midterm!R74)),"NAN",
IF(Midterm!R74&lt;0,"NEG",
IF(Midterm!R74&gt;R$5,"OVER",
IF(AND(R$5&lt;=100,Midterm!R74&gt;100),"ERR",
IF(Info!$B$4="Non-board program",
IF(OR(AND(R$5&gt;0,R$5&gt;100),AND(R$5&gt;0,R$5&lt;100)),
VLOOKUP(FLOOR((Midterm!R74/R$5)*100,1),new_transmute,2,FALSE),
VLOOKUP(Midterm!R74,new_transmute,2,FALSE)
),
IF(Info!$B$4="Board program",
IF(OR(AND(R$5&gt;0,R$5&gt;100),AND(R$5&gt;0,R$5&lt;100)),
VLOOKUP(FLOOR((Midterm!R74/R$5)*100,1),new_transmute,3,FALSE),
VLOOKUP(Midterm!R74,new_transmute,3,FALSE)
),
IF(Info!$B$4="Board program (Medicine)",
IF(OR(AND(R$5&gt;0,R$5&gt;100),AND(R$5&gt;0,R$5&lt;100)),
VLOOKUP(FLOOR((Midterm!R74/R$5)*100,1),new_transmute,4,FALSE),
VLOOKUP(Midterm!R74,new_transmute,4,FALSE)
),
""
)
)
)
)
)
)
)
)
))</f>
        <v/>
      </c>
      <c r="S74" s="115" t="str">
        <f t="shared" si="13"/>
        <v/>
      </c>
      <c r="T74" s="14" t="str">
        <f>IF($B74="","",
IF(T$5="","",
IF(Midterm!T74="",0,
IF(NOT(ISNUMBER(Midterm!T74)),"NAN",
IF(Midterm!T74&lt;0,"NEG",
IF(Midterm!T74&gt;T$5,"OVER",
IF(AND(T$5&lt;=100,Midterm!T74&gt;100),"ERR",
IF(Info!$B$4="Non-board program",
IF(OR(AND(T$5&gt;0,T$5&gt;100),AND(T$5&gt;0,T$5&lt;100)),
VLOOKUP(FLOOR((Midterm!T74/T$5)*100,1),new_transmute,2,FALSE),
VLOOKUP(Midterm!T74,new_transmute,2,FALSE)
),
IF(Info!$B$4="Board program",
IF(OR(AND(T$5&gt;0,T$5&gt;100),AND(T$5&gt;0,T$5&lt;100)),
VLOOKUP(FLOOR((Midterm!T74/T$5)*100,1),new_transmute,3,FALSE),
VLOOKUP(Midterm!T74,new_transmute,3,FALSE)
),
IF(Info!$B$4="Board program (Medicine)",
IF(OR(AND(T$5&gt;0,T$5&gt;100),AND(T$5&gt;0,T$5&lt;100)),
VLOOKUP(FLOOR((Midterm!T74/T$5)*100,1),new_transmute,4,FALSE),
VLOOKUP(Midterm!T74,new_transmute,4,FALSE)
),
""
)
)
)
)
)
)
)
)
))</f>
        <v/>
      </c>
      <c r="U74" s="14" t="str">
        <f>IF($B74="","",
IF(U$5="","",
IF(Midterm!U74="",0,
IF(NOT(ISNUMBER(Midterm!U74)),"NAN",
IF(Midterm!U74&lt;0,"NEG",
IF(Midterm!U74&gt;U$5,"OVER",
IF(AND(U$5&lt;=100,Midterm!U74&gt;100),"ERR",
IF(Info!$B$4="Non-board program",
IF(OR(AND(U$5&gt;0,U$5&gt;100),AND(U$5&gt;0,U$5&lt;100)),
VLOOKUP(FLOOR((Midterm!U74/U$5)*100,1),new_transmute,2,FALSE),
VLOOKUP(Midterm!U74,new_transmute,2,FALSE)
),
IF(Info!$B$4="Board program",
IF(OR(AND(U$5&gt;0,U$5&gt;100),AND(U$5&gt;0,U$5&lt;100)),
VLOOKUP(FLOOR((Midterm!U74/U$5)*100,1),new_transmute,3,FALSE),
VLOOKUP(Midterm!U74,new_transmute,3,FALSE)
),
IF(Info!$B$4="Board program (Medicine)",
IF(OR(AND(U$5&gt;0,U$5&gt;100),AND(U$5&gt;0,U$5&lt;100)),
VLOOKUP(FLOOR((Midterm!U74/U$5)*100,1),new_transmute,4,FALSE),
VLOOKUP(Midterm!U74,new_transmute,4,FALSE)
),
""
)
)
)
)
)
)
)
)
))</f>
        <v/>
      </c>
      <c r="V74" s="14" t="str">
        <f>IF($B74="","",
IF(V$5="","",
IF(Midterm!V74="",0,
IF(NOT(ISNUMBER(Midterm!V74)),"NAN",
IF(Midterm!V74&lt;0,"NEG",
IF(Midterm!V74&gt;V$5,"OVER",
IF(AND(V$5&lt;=100,Midterm!V74&gt;100),"ERR",
IF(Info!$B$4="Non-board program",
IF(OR(AND(V$5&gt;0,V$5&gt;100),AND(V$5&gt;0,V$5&lt;100)),
VLOOKUP(FLOOR((Midterm!V74/V$5)*100,1),new_transmute,2,FALSE),
VLOOKUP(Midterm!V74,new_transmute,2,FALSE)
),
IF(Info!$B$4="Board program",
IF(OR(AND(V$5&gt;0,V$5&gt;100),AND(V$5&gt;0,V$5&lt;100)),
VLOOKUP(FLOOR((Midterm!V74/V$5)*100,1),new_transmute,3,FALSE),
VLOOKUP(Midterm!V74,new_transmute,3,FALSE)
),
IF(Info!$B$4="Board program (Medicine)",
IF(OR(AND(V$5&gt;0,V$5&gt;100),AND(V$5&gt;0,V$5&lt;100)),
VLOOKUP(FLOOR((Midterm!V74/V$5)*100,1),new_transmute,4,FALSE),
VLOOKUP(Midterm!V74,new_transmute,4,FALSE)
),
""
)
)
)
)
)
)
)
)
))</f>
        <v/>
      </c>
      <c r="W74" s="14" t="str">
        <f>IF($B74="","",
IF(W$5="","",
IF(Midterm!W74="",0,
IF(NOT(ISNUMBER(Midterm!W74)),"NAN",
IF(Midterm!W74&lt;0,"NEG",
IF(Midterm!W74&gt;W$5,"OVER",
IF(AND(W$5&lt;=100,Midterm!W74&gt;100),"ERR",
IF(Info!$B$4="Non-board program",
IF(OR(AND(W$5&gt;0,W$5&gt;100),AND(W$5&gt;0,W$5&lt;100)),
VLOOKUP(FLOOR((Midterm!W74/W$5)*100,1),new_transmute,2,FALSE),
VLOOKUP(Midterm!W74,new_transmute,2,FALSE)
),
IF(Info!$B$4="Board program",
IF(OR(AND(W$5&gt;0,W$5&gt;100),AND(W$5&gt;0,W$5&lt;100)),
VLOOKUP(FLOOR((Midterm!W74/W$5)*100,1),new_transmute,3,FALSE),
VLOOKUP(Midterm!W74,new_transmute,3,FALSE)
),
IF(Info!$B$4="Board program (Medicine)",
IF(OR(AND(W$5&gt;0,W$5&gt;100),AND(W$5&gt;0,W$5&lt;100)),
VLOOKUP(FLOOR((Midterm!W74/W$5)*100,1),new_transmute,4,FALSE),
VLOOKUP(Midterm!W74,new_transmute,4,FALSE)
),
""
)
)
)
)
)
)
)
)
))</f>
        <v/>
      </c>
      <c r="X74" s="14" t="str">
        <f>IF($B74="","",
IF(X$5="","",
IF(Midterm!X74="",0,
IF(NOT(ISNUMBER(Midterm!X74)),"NAN",
IF(Midterm!X74&lt;0,"NEG",
IF(Midterm!X74&gt;X$5,"OVER",
IF(AND(X$5&lt;=100,Midterm!X74&gt;100),"ERR",
IF(Info!$B$4="Non-board program",
IF(OR(AND(X$5&gt;0,X$5&gt;100),AND(X$5&gt;0,X$5&lt;100)),
VLOOKUP(FLOOR((Midterm!X74/X$5)*100,1),new_transmute,2,FALSE),
VLOOKUP(Midterm!X74,new_transmute,2,FALSE)
),
IF(Info!$B$4="Board program",
IF(OR(AND(X$5&gt;0,X$5&gt;100),AND(X$5&gt;0,X$5&lt;100)),
VLOOKUP(FLOOR((Midterm!X74/X$5)*100,1),new_transmute,3,FALSE),
VLOOKUP(Midterm!X74,new_transmute,3,FALSE)
),
IF(Info!$B$4="Board program (Medicine)",
IF(OR(AND(X$5&gt;0,X$5&gt;100),AND(X$5&gt;0,X$5&lt;100)),
VLOOKUP(FLOOR((Midterm!X74/X$5)*100,1),new_transmute,4,FALSE),
VLOOKUP(Midterm!X74,new_transmute,4,FALSE)
),
""
)
)
)
)
)
)
)
)
))</f>
        <v/>
      </c>
      <c r="Y74" s="112" t="str">
        <f t="shared" si="14"/>
        <v/>
      </c>
      <c r="Z74" s="14" t="str">
        <f>IF($B74="","",
IF(Z$5="","",
IF(Midterm!Z74="",0,
IF(NOT(ISNUMBER(Midterm!Z74)),"NAN",
IF(Midterm!Z74&lt;0,"NEG",
IF(Midterm!Z74&gt;Z$5,"OVER",
IF(AND(Z$5&lt;=100,Midterm!Z74&gt;100),"ERR",
IF(Info!$B$4="Non-board program",
IF(OR(AND(Z$5&gt;0,Z$5&gt;100),AND(Z$5&gt;0,Z$5&lt;100)),
VLOOKUP(FLOOR((Midterm!Z74/Z$5)*100,1),new_transmute,2,FALSE),
VLOOKUP(Midterm!Z74,new_transmute,2,FALSE)
),
IF(Info!$B$4="Board program",
IF(OR(AND(Z$5&gt;0,Z$5&gt;100),AND(Z$5&gt;0,Z$5&lt;100)),
VLOOKUP(FLOOR((Midterm!Z74/Z$5)*100,1),new_transmute,3,FALSE),
VLOOKUP(Midterm!Z74,new_transmute,3,FALSE)
),
IF(Info!$B$4="Board program (Medicine)",
IF(OR(AND(Z$5&gt;0,Z$5&gt;100),AND(Z$5&gt;0,Z$5&lt;100)),
VLOOKUP(FLOOR((Midterm!Z74/Z$5)*100,1),new_transmute,4,FALSE),
VLOOKUP(Midterm!Z74,new_transmute,4,FALSE)
),
""
)
)
)
)
)
)
)
)
))</f>
        <v/>
      </c>
      <c r="AA74" s="14" t="str">
        <f>IF($B74="","",
IF(AA$5="","",
IF(Midterm!AA74="",0,
IF(NOT(ISNUMBER(Midterm!AA74)),"NAN",
IF(Midterm!AA74&lt;0,"NEG",
IF(Midterm!AA74&gt;AA$5,"OVER",
IF(AND(AA$5&lt;=100,Midterm!AA74&gt;100),"ERR",
IF(Info!$B$4="Non-board program",
IF(OR(AND(AA$5&gt;0,AA$5&gt;100),AND(AA$5&gt;0,AA$5&lt;100)),
VLOOKUP(FLOOR((Midterm!AA74/AA$5)*100,1),new_transmute,2,FALSE),
VLOOKUP(Midterm!AA74,new_transmute,2,FALSE)
),
IF(Info!$B$4="Board program",
IF(OR(AND(AA$5&gt;0,AA$5&gt;100),AND(AA$5&gt;0,AA$5&lt;100)),
VLOOKUP(FLOOR((Midterm!AA74/AA$5)*100,1),new_transmute,3,FALSE),
VLOOKUP(Midterm!AA74,new_transmute,3,FALSE)
),
IF(Info!$B$4="Board program (Medicine)",
IF(OR(AND(AA$5&gt;0,AA$5&gt;100),AND(AA$5&gt;0,AA$5&lt;100)),
VLOOKUP(FLOOR((Midterm!AA74/AA$5)*100,1),new_transmute,4,FALSE),
VLOOKUP(Midterm!AA74,new_transmute,4,FALSE)
),
""
)
)
)
)
)
)
)
)
))</f>
        <v/>
      </c>
      <c r="AB74" s="14" t="str">
        <f>IF($B74="","",
IF(AB$5="","",
IF(Midterm!AB74="",0,
IF(NOT(ISNUMBER(Midterm!AB74)),"NAN",
IF(Midterm!AB74&lt;0,"NEG",
IF(Midterm!AB74&gt;AB$5,"OVER",
IF(AND(AB$5&lt;=100,Midterm!AB74&gt;100),"ERR",
IF(Info!$B$4="Non-board program",
IF(OR(AND(AB$5&gt;0,AB$5&gt;100),AND(AB$5&gt;0,AB$5&lt;100)),
VLOOKUP(FLOOR((Midterm!AB74/AB$5)*100,1),new_transmute,2,FALSE),
VLOOKUP(Midterm!AB74,new_transmute,2,FALSE)
),
IF(Info!$B$4="Board program",
IF(OR(AND(AB$5&gt;0,AB$5&gt;100),AND(AB$5&gt;0,AB$5&lt;100)),
VLOOKUP(FLOOR((Midterm!AB74/AB$5)*100,1),new_transmute,3,FALSE),
VLOOKUP(Midterm!AB74,new_transmute,3,FALSE)
),
IF(Info!$B$4="Board program (Medicine)",
IF(OR(AND(AB$5&gt;0,AB$5&gt;100),AND(AB$5&gt;0,AB$5&lt;100)),
VLOOKUP(FLOOR((Midterm!AB74/AB$5)*100,1),new_transmute,4,FALSE),
VLOOKUP(Midterm!AB74,new_transmute,4,FALSE)
),
""
)
)
)
)
)
)
)
)
))</f>
        <v/>
      </c>
      <c r="AC74" s="14" t="str">
        <f>IF($B74="","",
IF(AC$5="","",
IF(Midterm!AC74="",0,
IF(NOT(ISNUMBER(Midterm!AC74)),"NAN",
IF(Midterm!AC74&lt;0,"NEG",
IF(Midterm!AC74&gt;AC$5,"OVER",
IF(AND(AC$5&lt;=100,Midterm!AC74&gt;100),"ERR",
IF(Info!$B$4="Non-board program",
IF(OR(AND(AC$5&gt;0,AC$5&gt;100),AND(AC$5&gt;0,AC$5&lt;100)),
VLOOKUP(FLOOR((Midterm!AC74/AC$5)*100,1),new_transmute,2,FALSE),
VLOOKUP(Midterm!AC74,new_transmute,2,FALSE)
),
IF(Info!$B$4="Board program",
IF(OR(AND(AC$5&gt;0,AC$5&gt;100),AND(AC$5&gt;0,AC$5&lt;100)),
VLOOKUP(FLOOR((Midterm!AC74/AC$5)*100,1),new_transmute,3,FALSE),
VLOOKUP(Midterm!AC74,new_transmute,3,FALSE)
),
IF(Info!$B$4="Board program (Medicine)",
IF(OR(AND(AC$5&gt;0,AC$5&gt;100),AND(AC$5&gt;0,AC$5&lt;100)),
VLOOKUP(FLOOR((Midterm!AC74/AC$5)*100,1),new_transmute,4,FALSE),
VLOOKUP(Midterm!AC74,new_transmute,4,FALSE)
),
""
)
)
)
)
)
)
)
)
))</f>
        <v/>
      </c>
      <c r="AD74" s="14" t="str">
        <f>IF($B74="","",
IF(AD$5="","",
IF(Midterm!AD74="",0,
IF(NOT(ISNUMBER(Midterm!AD74)),"NAN",
IF(Midterm!AD74&lt;0,"NEG",
IF(Midterm!AD74&gt;AD$5,"OVER",
IF(AND(AD$5&lt;=100,Midterm!AD74&gt;100),"ERR",
IF(Info!$B$4="Non-board program",
IF(OR(AND(AD$5&gt;0,AD$5&gt;100),AND(AD$5&gt;0,AD$5&lt;100)),
VLOOKUP(FLOOR((Midterm!AD74/AD$5)*100,1),new_transmute,2,FALSE),
VLOOKUP(Midterm!AD74,new_transmute,2,FALSE)
),
IF(Info!$B$4="Board program",
IF(OR(AND(AD$5&gt;0,AD$5&gt;100),AND(AD$5&gt;0,AD$5&lt;100)),
VLOOKUP(FLOOR((Midterm!AD74/AD$5)*100,1),new_transmute,3,FALSE),
VLOOKUP(Midterm!AD74,new_transmute,3,FALSE)
),
IF(Info!$B$4="Board program (Medicine)",
IF(OR(AND(AD$5&gt;0,AD$5&gt;100),AND(AD$5&gt;0,AD$5&lt;100)),
VLOOKUP(FLOOR((Midterm!AD74/AD$5)*100,1),new_transmute,4,FALSE),
VLOOKUP(Midterm!AD74,new_transmute,4,FALSE)
),
""
)
)
)
)
)
)
)
)
))</f>
        <v/>
      </c>
      <c r="AE74" s="58" t="str">
        <f t="shared" si="15"/>
        <v/>
      </c>
      <c r="AF74" s="14" t="str">
        <f>IF($B74="","",
IF(AF$5="","",
IF(Midterm!AF74="",0,
IF(NOT(ISNUMBER(Midterm!AF74)),"NAN",
IF(Midterm!AF74&lt;0,"NEG",
IF(Midterm!AF74&gt;AF$5,"OVER",
IF(AND(AF$5&lt;=100,Midterm!AF74&gt;100),"ERR",
IF(Info!$B$4="Non-board program",
IF(OR(AND(AF$5&gt;0,AF$5&gt;100),AND(AF$5&gt;0,AF$5&lt;100)),
VLOOKUP(FLOOR((Midterm!AF74/AF$5)*100,1),new_transmute,2,FALSE),
VLOOKUP(Midterm!AF74,new_transmute,2,FALSE)
),
IF(Info!$B$4="Board program",
IF(OR(AND(AF$5&gt;0,AF$5&gt;100),AND(AF$5&gt;0,AF$5&lt;100)),
VLOOKUP(FLOOR((Midterm!AF74/AF$5)*100,1),new_transmute,3,FALSE),
VLOOKUP(Midterm!AF74,new_transmute,3,FALSE)
),
IF(Info!$B$4="Board program (Medicine)",
IF(OR(AND(AF$5&gt;0,AF$5&gt;100),AND(AF$5&gt;0,AF$5&lt;100)),
VLOOKUP(FLOOR((Midterm!AF74/AF$5)*100,1),new_transmute,4,FALSE),
VLOOKUP(Midterm!AF74,new_transmute,4,FALSE)
),
""
)
)
)
)
)
)
)
)
))</f>
        <v/>
      </c>
      <c r="AG74" s="14" t="str">
        <f>IF($B74="","",
IF(AG$5="","",
IF(Midterm!AG74="",0,
IF(NOT(ISNUMBER(Midterm!AG74)),"NAN",
IF(Midterm!AG74&lt;0,"NEG",
IF(Midterm!AG74&gt;AG$5,"OVER",
IF(AND(AG$5&lt;=100,Midterm!AG74&gt;100),"ERR",
IF(Info!$B$4="Non-board program",
IF(OR(AND(AG$5&gt;0,AG$5&gt;100),AND(AG$5&gt;0,AG$5&lt;100)),
VLOOKUP(FLOOR((Midterm!AG74/AG$5)*100,1),new_transmute,2,FALSE),
VLOOKUP(Midterm!AG74,new_transmute,2,FALSE)
),
IF(Info!$B$4="Board program",
IF(OR(AND(AG$5&gt;0,AG$5&gt;100),AND(AG$5&gt;0,AG$5&lt;100)),
VLOOKUP(FLOOR((Midterm!AG74/AG$5)*100,1),new_transmute,3,FALSE),
VLOOKUP(Midterm!AG74,new_transmute,3,FALSE)
),
IF(Info!$B$4="Board program (Medicine)",
IF(OR(AND(AG$5&gt;0,AG$5&gt;100),AND(AG$5&gt;0,AG$5&lt;100)),
VLOOKUP(FLOOR((Midterm!AG74/AG$5)*100,1),new_transmute,4,FALSE),
VLOOKUP(Midterm!AG74,new_transmute,4,FALSE)
),
""
)
)
)
)
)
)
)
)
))</f>
        <v/>
      </c>
      <c r="AH74" s="14" t="str">
        <f>IF($B74="","",
IF(AH$5="","",
IF(Midterm!AH74="",0,
IF(NOT(ISNUMBER(Midterm!AH74)),"NAN",
IF(Midterm!AH74&lt;0,"NEG",
IF(Midterm!AH74&gt;AH$5,"OVER",
IF(AND(AH$5&lt;=100,Midterm!AH74&gt;100),"ERR",
IF(Info!$B$4="Non-board program",
IF(OR(AND(AH$5&gt;0,AH$5&gt;100),AND(AH$5&gt;0,AH$5&lt;100)),
VLOOKUP(FLOOR((Midterm!AH74/AH$5)*100,1),new_transmute,2,FALSE),
VLOOKUP(Midterm!AH74,new_transmute,2,FALSE)
),
IF(Info!$B$4="Board program",
IF(OR(AND(AH$5&gt;0,AH$5&gt;100),AND(AH$5&gt;0,AH$5&lt;100)),
VLOOKUP(FLOOR((Midterm!AH74/AH$5)*100,1),new_transmute,3,FALSE),
VLOOKUP(Midterm!AH74,new_transmute,3,FALSE)
),
IF(Info!$B$4="Board program (Medicine)",
IF(OR(AND(AH$5&gt;0,AH$5&gt;100),AND(AH$5&gt;0,AH$5&lt;100)),
VLOOKUP(FLOOR((Midterm!AH74/AH$5)*100,1),new_transmute,4,FALSE),
VLOOKUP(Midterm!AH74,new_transmute,4,FALSE)
),
""
)
)
)
)
)
)
)
)
))</f>
        <v/>
      </c>
      <c r="AI74" s="14" t="str">
        <f>IF($B74="","",
IF(AI$5="","",
IF(Midterm!AI74="",0,
IF(NOT(ISNUMBER(Midterm!AI74)),"NAN",
IF(Midterm!AI74&lt;0,"NEG",
IF(Midterm!AI74&gt;AI$5,"OVER",
IF(AND(AI$5&lt;=100,Midterm!AI74&gt;100),"ERR",
IF(Info!$B$4="Non-board program",
IF(OR(AND(AI$5&gt;0,AI$5&gt;100),AND(AI$5&gt;0,AI$5&lt;100)),
VLOOKUP(FLOOR((Midterm!AI74/AI$5)*100,1),new_transmute,2,FALSE),
VLOOKUP(Midterm!AI74,new_transmute,2,FALSE)
),
IF(Info!$B$4="Board program",
IF(OR(AND(AI$5&gt;0,AI$5&gt;100),AND(AI$5&gt;0,AI$5&lt;100)),
VLOOKUP(FLOOR((Midterm!AI74/AI$5)*100,1),new_transmute,3,FALSE),
VLOOKUP(Midterm!AI74,new_transmute,3,FALSE)
),
IF(Info!$B$4="Board program (Medicine)",
IF(OR(AND(AI$5&gt;0,AI$5&gt;100),AND(AI$5&gt;0,AI$5&lt;100)),
VLOOKUP(FLOOR((Midterm!AI74/AI$5)*100,1),new_transmute,4,FALSE),
VLOOKUP(Midterm!AI74,new_transmute,4,FALSE)
),
""
)
)
)
)
)
)
)
)
))</f>
        <v/>
      </c>
      <c r="AJ74" s="14" t="str">
        <f>IF($B74="","",
IF(AJ$5="","",
IF(Midterm!AJ74="",0,
IF(NOT(ISNUMBER(Midterm!AJ74)),"NAN",
IF(Midterm!AJ74&lt;0,"NEG",
IF(Midterm!AJ74&gt;AJ$5,"OVER",
IF(AND(AJ$5&lt;=100,Midterm!AJ74&gt;100),"ERR",
IF(Info!$B$4="Non-board program",
IF(OR(AND(AJ$5&gt;0,AJ$5&gt;100),AND(AJ$5&gt;0,AJ$5&lt;100)),
VLOOKUP(FLOOR((Midterm!AJ74/AJ$5)*100,1),new_transmute,2,FALSE),
VLOOKUP(Midterm!AJ74,new_transmute,2,FALSE)
),
IF(Info!$B$4="Board program",
IF(OR(AND(AJ$5&gt;0,AJ$5&gt;100),AND(AJ$5&gt;0,AJ$5&lt;100)),
VLOOKUP(FLOOR((Midterm!AJ74/AJ$5)*100,1),new_transmute,3,FALSE),
VLOOKUP(Midterm!AJ74,new_transmute,3,FALSE)
),
IF(Info!$B$4="Board program (Medicine)",
IF(OR(AND(AJ$5&gt;0,AJ$5&gt;100),AND(AJ$5&gt;0,AJ$5&lt;100)),
VLOOKUP(FLOOR((Midterm!AJ74/AJ$5)*100,1),new_transmute,4,FALSE),
VLOOKUP(Midterm!AJ74,new_transmute,4,FALSE)
),
""
)
)
)
)
)
)
)
)
))</f>
        <v/>
      </c>
      <c r="AK74" s="59" t="str">
        <f t="shared" si="16"/>
        <v/>
      </c>
      <c r="AL74" s="60" t="str">
        <f>IF(B74="", "",
    IF(OR(M74="OVER", S74="OVER", Y74="OVER", AE74="OVER", AK74="OVER"),
        "OVER",
        IF(Info!$B$4="Non-board program",
            VLOOKUP(IFERROR(FLOOR(SUM((M74*$M$4), (S74*$S$4), (Y74*$Y$4), (AE74*$AE$4), (AK74*$AK$4)) * (100 / 60), 1), 0), new_transmute, 2, FALSE),
            IF(Info!$B$4="Board program",
                VLOOKUP(IFERROR(FLOOR(SUM((M74*$M$4), (S74*$S$4), (Y74*$Y$4), (AE74*$AE$4), (AK74*$AK$4)) * (100 / 60), 1), 0), new_transmute, 3, FALSE),
                IF(Info!$B$4="Board program (Medicine)",
                    VLOOKUP(IFERROR(FLOOR(SUM((M74*$M$4), (S74*$S$4), (Y74*$Y$4), (AE74*$AE$4), (AK74*$AK$4)) * (100 / 60), 1), 0), new_transmute, 4, FALSE),
                    ""
                )
            )
        )
    )
)</f>
        <v/>
      </c>
      <c r="AM74" s="14" t="str">
        <f>IF($B74="","",
IF(AM$5="","",
IF(Midterm!AM74="",0,
IF(NOT(ISNUMBER(Midterm!AM74)),"NAN",
IF(Midterm!AM74&lt;0,"NEG",
IF(Midterm!AM74&gt;AM$5,"OVER",
IF(AND(AM$5&lt;=100,Midterm!AM74&gt;100),"ERR",
IF(Info!$B$4="Non-board program",
IF(OR(AND(AM$5&gt;0,AM$5&gt;100),AND(AM$5&gt;0,AM$5&lt;100)),
VLOOKUP(FLOOR((Midterm!AM74/AM$5)*100,1),new_transmute,2,FALSE),
VLOOKUP(Midterm!AM74,new_transmute,2,FALSE)
),
IF(Info!$B$4="Board program",
IF(OR(AND(AM$5&gt;0,AM$5&gt;100),AND(AM$5&gt;0,AM$5&lt;100)),
VLOOKUP(FLOOR((Midterm!AM74/AM$5)*100,1),new_transmute,3,FALSE),
VLOOKUP(Midterm!AM74,new_transmute,3,FALSE)
),
IF(Info!$B$4="Board program (Medicine)",
IF(OR(AND(AM$5&gt;0,AM$5&gt;100),AND(AM$5&gt;0,AM$5&lt;100)),
VLOOKUP(FLOOR((Midterm!AM74/AM$5)*100,1),new_transmute,4,FALSE),
VLOOKUP(Midterm!AM74,new_transmute,4,FALSE)
),
""
)
)
)
)
)
)
)
)
))</f>
        <v/>
      </c>
      <c r="AN74" s="14" t="str">
        <f>IF($B74="","",
IF(AN$5="","",
IF(Midterm!AN74="",0,
IF(NOT(ISNUMBER(Midterm!AN74)),"NAN",
IF(Midterm!AN74&lt;0,"NEG",
IF(Midterm!AN74&gt;AN$5,"OVER",
IF(AND(AN$5&lt;=100,Midterm!AN74&gt;100),"ERR",
IF(Info!$B$4="Non-board program",
IF(OR(AND(AN$5&gt;0,AN$5&gt;100),AND(AN$5&gt;0,AN$5&lt;100)),
VLOOKUP(FLOOR((Midterm!AN74/AN$5)*100,1),new_transmute,2,FALSE),
VLOOKUP(Midterm!AN74,new_transmute,2,FALSE)
),
IF(Info!$B$4="Board program",
IF(OR(AND(AN$5&gt;0,AN$5&gt;100),AND(AN$5&gt;0,AN$5&lt;100)),
VLOOKUP(FLOOR((Midterm!AN74/AN$5)*100,1),new_transmute,3,FALSE),
VLOOKUP(Midterm!AN74,new_transmute,3,FALSE)
),
IF(Info!$B$4="Board program (Medicine)",
IF(OR(AND(AN$5&gt;0,AN$5&gt;100),AND(AN$5&gt;0,AN$5&lt;100)),
VLOOKUP(FLOOR((Midterm!AN74/AN$5)*100,1),new_transmute,4,FALSE),
VLOOKUP(Midterm!AN74,new_transmute,4,FALSE)
),
""
)
)
)
)
)
)
)
)
))</f>
        <v/>
      </c>
      <c r="AO74" s="14" t="str">
        <f>IF($B74="","",
IF(AO$5="","",
IF(Midterm!AO74="",0,
IF(NOT(ISNUMBER(Midterm!AO74)),"NAN",
IF(Midterm!AO74&lt;0,"NEG",
IF(Midterm!AO74&gt;AO$5,"OVER",
IF(AND(AO$5&lt;=100,Midterm!AO74&gt;100),"ERR",
IF(Info!$B$4="Non-board program",
IF(OR(AND(AO$5&gt;0,AO$5&gt;100),AND(AO$5&gt;0,AO$5&lt;100)),
VLOOKUP(FLOOR((Midterm!AO74/AO$5)*100,1),new_transmute,2,FALSE),
VLOOKUP(Midterm!AO74,new_transmute,2,FALSE)
),
IF(Info!$B$4="Board program",
IF(OR(AND(AO$5&gt;0,AO$5&gt;100),AND(AO$5&gt;0,AO$5&lt;100)),
VLOOKUP(FLOOR((Midterm!AO74/AO$5)*100,1),new_transmute,3,FALSE),
VLOOKUP(Midterm!AO74,new_transmute,3,FALSE)
),
IF(Info!$B$4="Board program (Medicine)",
IF(OR(AND(AO$5&gt;0,AO$5&gt;100),AND(AO$5&gt;0,AO$5&lt;100)),
VLOOKUP(FLOOR((Midterm!AO74/AO$5)*100,1),new_transmute,4,FALSE),
VLOOKUP(Midterm!AO74,new_transmute,4,FALSE)
),
""
)
)
)
)
)
)
)
)
))</f>
        <v/>
      </c>
      <c r="AP74" s="14" t="str">
        <f>IF($B74="","",
IF(AP$5="","",
IF(Midterm!AP74="",0,
IF(NOT(ISNUMBER(Midterm!AP74)),"NAN",
IF(Midterm!AP74&lt;0,"NEG",
IF(Midterm!AP74&gt;AP$5,"OVER",
IF(AND(AP$5&lt;=100,Midterm!AP74&gt;100),"ERR",
IF(Info!$B$4="Non-board program",
IF(OR(AND(AP$5&gt;0,AP$5&gt;100),AND(AP$5&gt;0,AP$5&lt;100)),
VLOOKUP(FLOOR((Midterm!AP74/AP$5)*100,1),new_transmute,2,FALSE),
VLOOKUP(Midterm!AP74,new_transmute,2,FALSE)
),
IF(Info!$B$4="Board program",
IF(OR(AND(AP$5&gt;0,AP$5&gt;100),AND(AP$5&gt;0,AP$5&lt;100)),
VLOOKUP(FLOOR((Midterm!AP74/AP$5)*100,1),new_transmute,3,FALSE),
VLOOKUP(Midterm!AP74,new_transmute,3,FALSE)
),
IF(Info!$B$4="Board program (Medicine)",
IF(OR(AND(AP$5&gt;0,AP$5&gt;100),AND(AP$5&gt;0,AP$5&lt;100)),
VLOOKUP(FLOOR((Midterm!AP74/AP$5)*100,1),new_transmute,4,FALSE),
VLOOKUP(Midterm!AP74,new_transmute,4,FALSE)
),
""
)
)
)
)
)
)
)
)
))</f>
        <v/>
      </c>
      <c r="AQ74" s="61" t="str">
        <f t="shared" si="17"/>
        <v/>
      </c>
      <c r="AR74" s="48" t="str">
        <f>IF(Midterm!AR74="","",Midterm!AR74)</f>
        <v/>
      </c>
      <c r="AS74" s="165" t="str">
        <f t="shared" si="18"/>
        <v/>
      </c>
      <c r="AT74" s="14" t="str">
        <f t="shared" si="19"/>
        <v/>
      </c>
      <c r="AU74" s="14" t="str">
        <f>IF(B74="","",VLOOKUP(AT74,'New Grade Equivalent'!$B$3:$C$47,2,FALSE))</f>
        <v/>
      </c>
    </row>
    <row r="75" spans="1:47" x14ac:dyDescent="0.25">
      <c r="A75" s="8">
        <v>70</v>
      </c>
      <c r="B75" s="2" t="str">
        <f>IF('Student List'!C79="","",UPPER(LEFT('Student List'!C79,FIND(",",'Student List'!C79)-1)))</f>
        <v/>
      </c>
      <c r="C75" s="12" t="str">
        <f>IF('Student List'!C79="","",PROPER(MID('Student List'!C79, FIND(",", 'Student List'!C79) + 2, LEN('Student List'!C79) - FIND(",", 'Student List'!C79) - 1)))</f>
        <v/>
      </c>
      <c r="D75" s="127" t="str">
        <f>IF(B75="","",IF(Midterm!D75="", "NA", Midterm!D75))</f>
        <v/>
      </c>
      <c r="E75" s="8" t="str">
        <f>IF(B75="","",
  IF(Info!$B$5="First Year",
    IF(D75="Yes", "DRP",
      IF(D75="No", "WF", "")
    )
  )
)</f>
        <v/>
      </c>
      <c r="F75" s="14" t="str">
        <f>IF($B75="","",
IF(F$5="","",
IF(Midterm!F75="",0,
IF(NOT(ISNUMBER(Midterm!F75)),"NAN",
IF(Midterm!F75&lt;0,"NEG",
IF(Midterm!F75&gt;F$5,"OVER",
IF(AND(F$5&lt;=100,Midterm!F75&gt;100),"ERR",
IF(Info!$B$4="Non-board program",
IF(OR(AND(F$5&gt;0,F$5&gt;100),AND(F$5&gt;0,F$5&lt;100)),
VLOOKUP(FLOOR((Midterm!F75/F$5)*100,1),new_transmute,2,FALSE),
VLOOKUP(Midterm!F75,new_transmute,2,FALSE)
),
IF(Info!$B$4="Board program",
IF(OR(AND(F$5&gt;0,F$5&gt;100),AND(F$5&gt;0,F$5&lt;100)),
VLOOKUP(FLOOR((Midterm!F75/F$5)*100,1),new_transmute,3,FALSE),
VLOOKUP(Midterm!F75,new_transmute,3,FALSE)
),
IF(Info!$B$4="Board program (Medicine)",
IF(OR(AND(F$5&gt;0,F$5&gt;100),AND(F$5&gt;0,F$5&lt;100)),
VLOOKUP(FLOOR((Midterm!F75/F$5)*100,1),new_transmute,4,FALSE),
VLOOKUP(Midterm!F75,new_transmute,4,FALSE)
),
""
)
)
)
)
)
)
)
)
))</f>
        <v/>
      </c>
      <c r="G75" s="57" t="str">
        <f t="shared" si="11"/>
        <v/>
      </c>
      <c r="H75" s="14" t="str">
        <f>IF($B75="","",
IF(H$5="","",
IF(Midterm!H75="",0,
IF(NOT(ISNUMBER(Midterm!H75)),"NAN",
IF(Midterm!H75&lt;0,"NEG",
IF(Midterm!H75&gt;H$5,"OVER",
IF(AND(H$5&lt;=100,Midterm!H75&gt;100),"ERR",
IF(Info!$B$4="Non-board program",
IF(OR(AND(H$5&gt;0,H$5&gt;100),AND(H$5&gt;0,H$5&lt;100)),
VLOOKUP(FLOOR((Midterm!H75/H$5)*100,1),new_transmute,2,FALSE),
VLOOKUP(Midterm!H75,new_transmute,2,FALSE)
),
IF(Info!$B$4="Board program",
IF(OR(AND(H$5&gt;0,H$5&gt;100),AND(H$5&gt;0,H$5&lt;100)),
VLOOKUP(FLOOR((Midterm!H75/H$5)*100,1),new_transmute,3,FALSE),
VLOOKUP(Midterm!H75,new_transmute,3,FALSE)
),
IF(Info!$B$4="Board program (Medicine)",
IF(OR(AND(H$5&gt;0,H$5&gt;100),AND(H$5&gt;0,H$5&lt;100)),
VLOOKUP(FLOOR((Midterm!H75/H$5)*100,1),new_transmute,4,FALSE),
VLOOKUP(Midterm!H75,new_transmute,4,FALSE)
),
""
)
)
)
)
)
)
)
)
))</f>
        <v/>
      </c>
      <c r="I75" s="14" t="str">
        <f>IF($B75="","",
IF(I$5="","",
IF(Midterm!I75="",0,
IF(NOT(ISNUMBER(Midterm!I75)),"NAN",
IF(Midterm!I75&lt;0,"NEG",
IF(Midterm!I75&gt;I$5,"OVER",
IF(AND(I$5&lt;=100,Midterm!I75&gt;100),"ERR",
IF(Info!$B$4="Non-board program",
IF(OR(AND(I$5&gt;0,I$5&gt;100),AND(I$5&gt;0,I$5&lt;100)),
VLOOKUP(FLOOR((Midterm!I75/I$5)*100,1),new_transmute,2,FALSE),
VLOOKUP(Midterm!I75,new_transmute,2,FALSE)
),
IF(Info!$B$4="Board program",
IF(OR(AND(I$5&gt;0,I$5&gt;100),AND(I$5&gt;0,I$5&lt;100)),
VLOOKUP(FLOOR((Midterm!I75/I$5)*100,1),new_transmute,3,FALSE),
VLOOKUP(Midterm!I75,new_transmute,3,FALSE)
),
IF(Info!$B$4="Board program (Medicine)",
IF(OR(AND(I$5&gt;0,I$5&gt;100),AND(I$5&gt;0,I$5&lt;100)),
VLOOKUP(FLOOR((Midterm!I75/I$5)*100,1),new_transmute,4,FALSE),
VLOOKUP(Midterm!I75,new_transmute,4,FALSE)
),
""
)
)
)
)
)
)
)
)
))</f>
        <v/>
      </c>
      <c r="J75" s="14" t="str">
        <f>IF($B75="","",
IF(J$5="","",
IF(Midterm!J75="",0,
IF(NOT(ISNUMBER(Midterm!J75)),"NAN",
IF(Midterm!J75&lt;0,"NEG",
IF(Midterm!J75&gt;J$5,"OVER",
IF(AND(J$5&lt;=100,Midterm!J75&gt;100),"ERR",
IF(Info!$B$4="Non-board program",
IF(OR(AND(J$5&gt;0,J$5&gt;100),AND(J$5&gt;0,J$5&lt;100)),
VLOOKUP(FLOOR((Midterm!J75/J$5)*100,1),new_transmute,2,FALSE),
VLOOKUP(Midterm!J75,new_transmute,2,FALSE)
),
IF(Info!$B$4="Board program",
IF(OR(AND(J$5&gt;0,J$5&gt;100),AND(J$5&gt;0,J$5&lt;100)),
VLOOKUP(FLOOR((Midterm!J75/J$5)*100,1),new_transmute,3,FALSE),
VLOOKUP(Midterm!J75,new_transmute,3,FALSE)
),
IF(Info!$B$4="Board program (Medicine)",
IF(OR(AND(J$5&gt;0,J$5&gt;100),AND(J$5&gt;0,J$5&lt;100)),
VLOOKUP(FLOOR((Midterm!J75/J$5)*100,1),new_transmute,4,FALSE),
VLOOKUP(Midterm!J75,new_transmute,4,FALSE)
),
""
)
)
)
)
)
)
)
)
))</f>
        <v/>
      </c>
      <c r="K75" s="14" t="str">
        <f>IF($B75="","",
IF(K$5="","",
IF(Midterm!K75="",0,
IF(NOT(ISNUMBER(Midterm!K75)),"NAN",
IF(Midterm!K75&lt;0,"NEG",
IF(Midterm!K75&gt;K$5,"OVER",
IF(AND(K$5&lt;=100,Midterm!K75&gt;100),"ERR",
IF(Info!$B$4="Non-board program",
IF(OR(AND(K$5&gt;0,K$5&gt;100),AND(K$5&gt;0,K$5&lt;100)),
VLOOKUP(FLOOR((Midterm!K75/K$5)*100,1),new_transmute,2,FALSE),
VLOOKUP(Midterm!K75,new_transmute,2,FALSE)
),
IF(Info!$B$4="Board program",
IF(OR(AND(K$5&gt;0,K$5&gt;100),AND(K$5&gt;0,K$5&lt;100)),
VLOOKUP(FLOOR((Midterm!K75/K$5)*100,1),new_transmute,3,FALSE),
VLOOKUP(Midterm!K75,new_transmute,3,FALSE)
),
IF(Info!$B$4="Board program (Medicine)",
IF(OR(AND(K$5&gt;0,K$5&gt;100),AND(K$5&gt;0,K$5&lt;100)),
VLOOKUP(FLOOR((Midterm!K75/K$5)*100,1),new_transmute,4,FALSE),
VLOOKUP(Midterm!K75,new_transmute,4,FALSE)
),
""
)
)
)
)
)
)
)
)
))</f>
        <v/>
      </c>
      <c r="L75" s="14" t="str">
        <f>IF($B75="","",
IF(L$5="","",
IF(Midterm!L75="",0,
IF(NOT(ISNUMBER(Midterm!L75)),"NAN",
IF(Midterm!L75&lt;0,"NEG",
IF(Midterm!L75&gt;L$5,"OVER",
IF(AND(L$5&lt;=100,Midterm!L75&gt;100),"ERR",
IF(Info!$B$4="Non-board program",
IF(OR(AND(L$5&gt;0,L$5&gt;100),AND(L$5&gt;0,L$5&lt;100)),
VLOOKUP(FLOOR((Midterm!L75/L$5)*100,1),new_transmute,2,FALSE),
VLOOKUP(Midterm!L75,new_transmute,2,FALSE)
),
IF(Info!$B$4="Board program",
IF(OR(AND(L$5&gt;0,L$5&gt;100),AND(L$5&gt;0,L$5&lt;100)),
VLOOKUP(FLOOR((Midterm!L75/L$5)*100,1),new_transmute,3,FALSE),
VLOOKUP(Midterm!L75,new_transmute,3,FALSE)
),
IF(Info!$B$4="Board program (Medicine)",
IF(OR(AND(L$5&gt;0,L$5&gt;100),AND(L$5&gt;0,L$5&lt;100)),
VLOOKUP(FLOOR((Midterm!L75/L$5)*100,1),new_transmute,4,FALSE),
VLOOKUP(Midterm!L75,new_transmute,4,FALSE)
),
""
)
)
)
)
)
)
)
)
))</f>
        <v/>
      </c>
      <c r="M75" s="111" t="str">
        <f t="shared" si="12"/>
        <v/>
      </c>
      <c r="N75" s="14" t="str">
        <f>IF($B75="","",
IF(N$5="","",
IF(Midterm!N75="",0,
IF(NOT(ISNUMBER(Midterm!N75)),"NAN",
IF(Midterm!N75&lt;0,"NEG",
IF(Midterm!N75&gt;N$5,"OVER",
IF(AND(N$5&lt;=100,Midterm!N75&gt;100),"ERR",
IF(Info!$B$4="Non-board program",
IF(OR(AND(N$5&gt;0,N$5&gt;100),AND(N$5&gt;0,N$5&lt;100)),
VLOOKUP(FLOOR((Midterm!N75/N$5)*100,1),new_transmute,2,FALSE),
VLOOKUP(Midterm!N75,new_transmute,2,FALSE)
),
IF(Info!$B$4="Board program",
IF(OR(AND(N$5&gt;0,N$5&gt;100),AND(N$5&gt;0,N$5&lt;100)),
VLOOKUP(FLOOR((Midterm!N75/N$5)*100,1),new_transmute,3,FALSE),
VLOOKUP(Midterm!N75,new_transmute,3,FALSE)
),
IF(Info!$B$4="Board program (Medicine)",
IF(OR(AND(N$5&gt;0,N$5&gt;100),AND(N$5&gt;0,N$5&lt;100)),
VLOOKUP(FLOOR((Midterm!N75/N$5)*100,1),new_transmute,4,FALSE),
VLOOKUP(Midterm!N75,new_transmute,4,FALSE)
),
""
)
)
)
)
)
)
)
)
))</f>
        <v/>
      </c>
      <c r="O75" s="14" t="str">
        <f>IF($B75="","",
IF(O$5="","",
IF(Midterm!O75="",0,
IF(NOT(ISNUMBER(Midterm!O75)),"NAN",
IF(Midterm!O75&lt;0,"NEG",
IF(Midterm!O75&gt;O$5,"OVER",
IF(AND(O$5&lt;=100,Midterm!O75&gt;100),"ERR",
IF(Info!$B$4="Non-board program",
IF(OR(AND(O$5&gt;0,O$5&gt;100),AND(O$5&gt;0,O$5&lt;100)),
VLOOKUP(FLOOR((Midterm!O75/O$5)*100,1),new_transmute,2,FALSE),
VLOOKUP(Midterm!O75,new_transmute,2,FALSE)
),
IF(Info!$B$4="Board program",
IF(OR(AND(O$5&gt;0,O$5&gt;100),AND(O$5&gt;0,O$5&lt;100)),
VLOOKUP(FLOOR((Midterm!O75/O$5)*100,1),new_transmute,3,FALSE),
VLOOKUP(Midterm!O75,new_transmute,3,FALSE)
),
IF(Info!$B$4="Board program (Medicine)",
IF(OR(AND(O$5&gt;0,O$5&gt;100),AND(O$5&gt;0,O$5&lt;100)),
VLOOKUP(FLOOR((Midterm!O75/O$5)*100,1),new_transmute,4,FALSE),
VLOOKUP(Midterm!O75,new_transmute,4,FALSE)
),
""
)
)
)
)
)
)
)
)
))</f>
        <v/>
      </c>
      <c r="P75" s="14" t="str">
        <f>IF($B75="","",
IF(P$5="","",
IF(Midterm!P75="",0,
IF(NOT(ISNUMBER(Midterm!P75)),"NAN",
IF(Midterm!P75&lt;0,"NEG",
IF(Midterm!P75&gt;P$5,"OVER",
IF(AND(P$5&lt;=100,Midterm!P75&gt;100),"ERR",
IF(Info!$B$4="Non-board program",
IF(OR(AND(P$5&gt;0,P$5&gt;100),AND(P$5&gt;0,P$5&lt;100)),
VLOOKUP(FLOOR((Midterm!P75/P$5)*100,1),new_transmute,2,FALSE),
VLOOKUP(Midterm!P75,new_transmute,2,FALSE)
),
IF(Info!$B$4="Board program",
IF(OR(AND(P$5&gt;0,P$5&gt;100),AND(P$5&gt;0,P$5&lt;100)),
VLOOKUP(FLOOR((Midterm!P75/P$5)*100,1),new_transmute,3,FALSE),
VLOOKUP(Midterm!P75,new_transmute,3,FALSE)
),
IF(Info!$B$4="Board program (Medicine)",
IF(OR(AND(P$5&gt;0,P$5&gt;100),AND(P$5&gt;0,P$5&lt;100)),
VLOOKUP(FLOOR((Midterm!P75/P$5)*100,1),new_transmute,4,FALSE),
VLOOKUP(Midterm!P75,new_transmute,4,FALSE)
),
""
)
)
)
)
)
)
)
)
))</f>
        <v/>
      </c>
      <c r="Q75" s="14" t="str">
        <f>IF($B75="","",
IF(Q$5="","",
IF(Midterm!Q75="",0,
IF(NOT(ISNUMBER(Midterm!Q75)),"NAN",
IF(Midterm!Q75&lt;0,"NEG",
IF(Midterm!Q75&gt;Q$5,"OVER",
IF(AND(Q$5&lt;=100,Midterm!Q75&gt;100),"ERR",
IF(Info!$B$4="Non-board program",
IF(OR(AND(Q$5&gt;0,Q$5&gt;100),AND(Q$5&gt;0,Q$5&lt;100)),
VLOOKUP(FLOOR((Midterm!Q75/Q$5)*100,1),new_transmute,2,FALSE),
VLOOKUP(Midterm!Q75,new_transmute,2,FALSE)
),
IF(Info!$B$4="Board program",
IF(OR(AND(Q$5&gt;0,Q$5&gt;100),AND(Q$5&gt;0,Q$5&lt;100)),
VLOOKUP(FLOOR((Midterm!Q75/Q$5)*100,1),new_transmute,3,FALSE),
VLOOKUP(Midterm!Q75,new_transmute,3,FALSE)
),
IF(Info!$B$4="Board program (Medicine)",
IF(OR(AND(Q$5&gt;0,Q$5&gt;100),AND(Q$5&gt;0,Q$5&lt;100)),
VLOOKUP(FLOOR((Midterm!Q75/Q$5)*100,1),new_transmute,4,FALSE),
VLOOKUP(Midterm!Q75,new_transmute,4,FALSE)
),
""
)
)
)
)
)
)
)
)
))</f>
        <v/>
      </c>
      <c r="R75" s="14" t="str">
        <f>IF($B75="","",
IF(R$5="","",
IF(Midterm!R75="",0,
IF(NOT(ISNUMBER(Midterm!R75)),"NAN",
IF(Midterm!R75&lt;0,"NEG",
IF(Midterm!R75&gt;R$5,"OVER",
IF(AND(R$5&lt;=100,Midterm!R75&gt;100),"ERR",
IF(Info!$B$4="Non-board program",
IF(OR(AND(R$5&gt;0,R$5&gt;100),AND(R$5&gt;0,R$5&lt;100)),
VLOOKUP(FLOOR((Midterm!R75/R$5)*100,1),new_transmute,2,FALSE),
VLOOKUP(Midterm!R75,new_transmute,2,FALSE)
),
IF(Info!$B$4="Board program",
IF(OR(AND(R$5&gt;0,R$5&gt;100),AND(R$5&gt;0,R$5&lt;100)),
VLOOKUP(FLOOR((Midterm!R75/R$5)*100,1),new_transmute,3,FALSE),
VLOOKUP(Midterm!R75,new_transmute,3,FALSE)
),
IF(Info!$B$4="Board program (Medicine)",
IF(OR(AND(R$5&gt;0,R$5&gt;100),AND(R$5&gt;0,R$5&lt;100)),
VLOOKUP(FLOOR((Midterm!R75/R$5)*100,1),new_transmute,4,FALSE),
VLOOKUP(Midterm!R75,new_transmute,4,FALSE)
),
""
)
)
)
)
)
)
)
)
))</f>
        <v/>
      </c>
      <c r="S75" s="115" t="str">
        <f t="shared" si="13"/>
        <v/>
      </c>
      <c r="T75" s="14" t="str">
        <f>IF($B75="","",
IF(T$5="","",
IF(Midterm!T75="",0,
IF(NOT(ISNUMBER(Midterm!T75)),"NAN",
IF(Midterm!T75&lt;0,"NEG",
IF(Midterm!T75&gt;T$5,"OVER",
IF(AND(T$5&lt;=100,Midterm!T75&gt;100),"ERR",
IF(Info!$B$4="Non-board program",
IF(OR(AND(T$5&gt;0,T$5&gt;100),AND(T$5&gt;0,T$5&lt;100)),
VLOOKUP(FLOOR((Midterm!T75/T$5)*100,1),new_transmute,2,FALSE),
VLOOKUP(Midterm!T75,new_transmute,2,FALSE)
),
IF(Info!$B$4="Board program",
IF(OR(AND(T$5&gt;0,T$5&gt;100),AND(T$5&gt;0,T$5&lt;100)),
VLOOKUP(FLOOR((Midterm!T75/T$5)*100,1),new_transmute,3,FALSE),
VLOOKUP(Midterm!T75,new_transmute,3,FALSE)
),
IF(Info!$B$4="Board program (Medicine)",
IF(OR(AND(T$5&gt;0,T$5&gt;100),AND(T$5&gt;0,T$5&lt;100)),
VLOOKUP(FLOOR((Midterm!T75/T$5)*100,1),new_transmute,4,FALSE),
VLOOKUP(Midterm!T75,new_transmute,4,FALSE)
),
""
)
)
)
)
)
)
)
)
))</f>
        <v/>
      </c>
      <c r="U75" s="14" t="str">
        <f>IF($B75="","",
IF(U$5="","",
IF(Midterm!U75="",0,
IF(NOT(ISNUMBER(Midterm!U75)),"NAN",
IF(Midterm!U75&lt;0,"NEG",
IF(Midterm!U75&gt;U$5,"OVER",
IF(AND(U$5&lt;=100,Midterm!U75&gt;100),"ERR",
IF(Info!$B$4="Non-board program",
IF(OR(AND(U$5&gt;0,U$5&gt;100),AND(U$5&gt;0,U$5&lt;100)),
VLOOKUP(FLOOR((Midterm!U75/U$5)*100,1),new_transmute,2,FALSE),
VLOOKUP(Midterm!U75,new_transmute,2,FALSE)
),
IF(Info!$B$4="Board program",
IF(OR(AND(U$5&gt;0,U$5&gt;100),AND(U$5&gt;0,U$5&lt;100)),
VLOOKUP(FLOOR((Midterm!U75/U$5)*100,1),new_transmute,3,FALSE),
VLOOKUP(Midterm!U75,new_transmute,3,FALSE)
),
IF(Info!$B$4="Board program (Medicine)",
IF(OR(AND(U$5&gt;0,U$5&gt;100),AND(U$5&gt;0,U$5&lt;100)),
VLOOKUP(FLOOR((Midterm!U75/U$5)*100,1),new_transmute,4,FALSE),
VLOOKUP(Midterm!U75,new_transmute,4,FALSE)
),
""
)
)
)
)
)
)
)
)
))</f>
        <v/>
      </c>
      <c r="V75" s="14" t="str">
        <f>IF($B75="","",
IF(V$5="","",
IF(Midterm!V75="",0,
IF(NOT(ISNUMBER(Midterm!V75)),"NAN",
IF(Midterm!V75&lt;0,"NEG",
IF(Midterm!V75&gt;V$5,"OVER",
IF(AND(V$5&lt;=100,Midterm!V75&gt;100),"ERR",
IF(Info!$B$4="Non-board program",
IF(OR(AND(V$5&gt;0,V$5&gt;100),AND(V$5&gt;0,V$5&lt;100)),
VLOOKUP(FLOOR((Midterm!V75/V$5)*100,1),new_transmute,2,FALSE),
VLOOKUP(Midterm!V75,new_transmute,2,FALSE)
),
IF(Info!$B$4="Board program",
IF(OR(AND(V$5&gt;0,V$5&gt;100),AND(V$5&gt;0,V$5&lt;100)),
VLOOKUP(FLOOR((Midterm!V75/V$5)*100,1),new_transmute,3,FALSE),
VLOOKUP(Midterm!V75,new_transmute,3,FALSE)
),
IF(Info!$B$4="Board program (Medicine)",
IF(OR(AND(V$5&gt;0,V$5&gt;100),AND(V$5&gt;0,V$5&lt;100)),
VLOOKUP(FLOOR((Midterm!V75/V$5)*100,1),new_transmute,4,FALSE),
VLOOKUP(Midterm!V75,new_transmute,4,FALSE)
),
""
)
)
)
)
)
)
)
)
))</f>
        <v/>
      </c>
      <c r="W75" s="14" t="str">
        <f>IF($B75="","",
IF(W$5="","",
IF(Midterm!W75="",0,
IF(NOT(ISNUMBER(Midterm!W75)),"NAN",
IF(Midterm!W75&lt;0,"NEG",
IF(Midterm!W75&gt;W$5,"OVER",
IF(AND(W$5&lt;=100,Midterm!W75&gt;100),"ERR",
IF(Info!$B$4="Non-board program",
IF(OR(AND(W$5&gt;0,W$5&gt;100),AND(W$5&gt;0,W$5&lt;100)),
VLOOKUP(FLOOR((Midterm!W75/W$5)*100,1),new_transmute,2,FALSE),
VLOOKUP(Midterm!W75,new_transmute,2,FALSE)
),
IF(Info!$B$4="Board program",
IF(OR(AND(W$5&gt;0,W$5&gt;100),AND(W$5&gt;0,W$5&lt;100)),
VLOOKUP(FLOOR((Midterm!W75/W$5)*100,1),new_transmute,3,FALSE),
VLOOKUP(Midterm!W75,new_transmute,3,FALSE)
),
IF(Info!$B$4="Board program (Medicine)",
IF(OR(AND(W$5&gt;0,W$5&gt;100),AND(W$5&gt;0,W$5&lt;100)),
VLOOKUP(FLOOR((Midterm!W75/W$5)*100,1),new_transmute,4,FALSE),
VLOOKUP(Midterm!W75,new_transmute,4,FALSE)
),
""
)
)
)
)
)
)
)
)
))</f>
        <v/>
      </c>
      <c r="X75" s="14" t="str">
        <f>IF($B75="","",
IF(X$5="","",
IF(Midterm!X75="",0,
IF(NOT(ISNUMBER(Midterm!X75)),"NAN",
IF(Midterm!X75&lt;0,"NEG",
IF(Midterm!X75&gt;X$5,"OVER",
IF(AND(X$5&lt;=100,Midterm!X75&gt;100),"ERR",
IF(Info!$B$4="Non-board program",
IF(OR(AND(X$5&gt;0,X$5&gt;100),AND(X$5&gt;0,X$5&lt;100)),
VLOOKUP(FLOOR((Midterm!X75/X$5)*100,1),new_transmute,2,FALSE),
VLOOKUP(Midterm!X75,new_transmute,2,FALSE)
),
IF(Info!$B$4="Board program",
IF(OR(AND(X$5&gt;0,X$5&gt;100),AND(X$5&gt;0,X$5&lt;100)),
VLOOKUP(FLOOR((Midterm!X75/X$5)*100,1),new_transmute,3,FALSE),
VLOOKUP(Midterm!X75,new_transmute,3,FALSE)
),
IF(Info!$B$4="Board program (Medicine)",
IF(OR(AND(X$5&gt;0,X$5&gt;100),AND(X$5&gt;0,X$5&lt;100)),
VLOOKUP(FLOOR((Midterm!X75/X$5)*100,1),new_transmute,4,FALSE),
VLOOKUP(Midterm!X75,new_transmute,4,FALSE)
),
""
)
)
)
)
)
)
)
)
))</f>
        <v/>
      </c>
      <c r="Y75" s="112" t="str">
        <f t="shared" si="14"/>
        <v/>
      </c>
      <c r="Z75" s="14" t="str">
        <f>IF($B75="","",
IF(Z$5="","",
IF(Midterm!Z75="",0,
IF(NOT(ISNUMBER(Midterm!Z75)),"NAN",
IF(Midterm!Z75&lt;0,"NEG",
IF(Midterm!Z75&gt;Z$5,"OVER",
IF(AND(Z$5&lt;=100,Midterm!Z75&gt;100),"ERR",
IF(Info!$B$4="Non-board program",
IF(OR(AND(Z$5&gt;0,Z$5&gt;100),AND(Z$5&gt;0,Z$5&lt;100)),
VLOOKUP(FLOOR((Midterm!Z75/Z$5)*100,1),new_transmute,2,FALSE),
VLOOKUP(Midterm!Z75,new_transmute,2,FALSE)
),
IF(Info!$B$4="Board program",
IF(OR(AND(Z$5&gt;0,Z$5&gt;100),AND(Z$5&gt;0,Z$5&lt;100)),
VLOOKUP(FLOOR((Midterm!Z75/Z$5)*100,1),new_transmute,3,FALSE),
VLOOKUP(Midterm!Z75,new_transmute,3,FALSE)
),
IF(Info!$B$4="Board program (Medicine)",
IF(OR(AND(Z$5&gt;0,Z$5&gt;100),AND(Z$5&gt;0,Z$5&lt;100)),
VLOOKUP(FLOOR((Midterm!Z75/Z$5)*100,1),new_transmute,4,FALSE),
VLOOKUP(Midterm!Z75,new_transmute,4,FALSE)
),
""
)
)
)
)
)
)
)
)
))</f>
        <v/>
      </c>
      <c r="AA75" s="14" t="str">
        <f>IF($B75="","",
IF(AA$5="","",
IF(Midterm!AA75="",0,
IF(NOT(ISNUMBER(Midterm!AA75)),"NAN",
IF(Midterm!AA75&lt;0,"NEG",
IF(Midterm!AA75&gt;AA$5,"OVER",
IF(AND(AA$5&lt;=100,Midterm!AA75&gt;100),"ERR",
IF(Info!$B$4="Non-board program",
IF(OR(AND(AA$5&gt;0,AA$5&gt;100),AND(AA$5&gt;0,AA$5&lt;100)),
VLOOKUP(FLOOR((Midterm!AA75/AA$5)*100,1),new_transmute,2,FALSE),
VLOOKUP(Midterm!AA75,new_transmute,2,FALSE)
),
IF(Info!$B$4="Board program",
IF(OR(AND(AA$5&gt;0,AA$5&gt;100),AND(AA$5&gt;0,AA$5&lt;100)),
VLOOKUP(FLOOR((Midterm!AA75/AA$5)*100,1),new_transmute,3,FALSE),
VLOOKUP(Midterm!AA75,new_transmute,3,FALSE)
),
IF(Info!$B$4="Board program (Medicine)",
IF(OR(AND(AA$5&gt;0,AA$5&gt;100),AND(AA$5&gt;0,AA$5&lt;100)),
VLOOKUP(FLOOR((Midterm!AA75/AA$5)*100,1),new_transmute,4,FALSE),
VLOOKUP(Midterm!AA75,new_transmute,4,FALSE)
),
""
)
)
)
)
)
)
)
)
))</f>
        <v/>
      </c>
      <c r="AB75" s="14" t="str">
        <f>IF($B75="","",
IF(AB$5="","",
IF(Midterm!AB75="",0,
IF(NOT(ISNUMBER(Midterm!AB75)),"NAN",
IF(Midterm!AB75&lt;0,"NEG",
IF(Midterm!AB75&gt;AB$5,"OVER",
IF(AND(AB$5&lt;=100,Midterm!AB75&gt;100),"ERR",
IF(Info!$B$4="Non-board program",
IF(OR(AND(AB$5&gt;0,AB$5&gt;100),AND(AB$5&gt;0,AB$5&lt;100)),
VLOOKUP(FLOOR((Midterm!AB75/AB$5)*100,1),new_transmute,2,FALSE),
VLOOKUP(Midterm!AB75,new_transmute,2,FALSE)
),
IF(Info!$B$4="Board program",
IF(OR(AND(AB$5&gt;0,AB$5&gt;100),AND(AB$5&gt;0,AB$5&lt;100)),
VLOOKUP(FLOOR((Midterm!AB75/AB$5)*100,1),new_transmute,3,FALSE),
VLOOKUP(Midterm!AB75,new_transmute,3,FALSE)
),
IF(Info!$B$4="Board program (Medicine)",
IF(OR(AND(AB$5&gt;0,AB$5&gt;100),AND(AB$5&gt;0,AB$5&lt;100)),
VLOOKUP(FLOOR((Midterm!AB75/AB$5)*100,1),new_transmute,4,FALSE),
VLOOKUP(Midterm!AB75,new_transmute,4,FALSE)
),
""
)
)
)
)
)
)
)
)
))</f>
        <v/>
      </c>
      <c r="AC75" s="14" t="str">
        <f>IF($B75="","",
IF(AC$5="","",
IF(Midterm!AC75="",0,
IF(NOT(ISNUMBER(Midterm!AC75)),"NAN",
IF(Midterm!AC75&lt;0,"NEG",
IF(Midterm!AC75&gt;AC$5,"OVER",
IF(AND(AC$5&lt;=100,Midterm!AC75&gt;100),"ERR",
IF(Info!$B$4="Non-board program",
IF(OR(AND(AC$5&gt;0,AC$5&gt;100),AND(AC$5&gt;0,AC$5&lt;100)),
VLOOKUP(FLOOR((Midterm!AC75/AC$5)*100,1),new_transmute,2,FALSE),
VLOOKUP(Midterm!AC75,new_transmute,2,FALSE)
),
IF(Info!$B$4="Board program",
IF(OR(AND(AC$5&gt;0,AC$5&gt;100),AND(AC$5&gt;0,AC$5&lt;100)),
VLOOKUP(FLOOR((Midterm!AC75/AC$5)*100,1),new_transmute,3,FALSE),
VLOOKUP(Midterm!AC75,new_transmute,3,FALSE)
),
IF(Info!$B$4="Board program (Medicine)",
IF(OR(AND(AC$5&gt;0,AC$5&gt;100),AND(AC$5&gt;0,AC$5&lt;100)),
VLOOKUP(FLOOR((Midterm!AC75/AC$5)*100,1),new_transmute,4,FALSE),
VLOOKUP(Midterm!AC75,new_transmute,4,FALSE)
),
""
)
)
)
)
)
)
)
)
))</f>
        <v/>
      </c>
      <c r="AD75" s="14" t="str">
        <f>IF($B75="","",
IF(AD$5="","",
IF(Midterm!AD75="",0,
IF(NOT(ISNUMBER(Midterm!AD75)),"NAN",
IF(Midterm!AD75&lt;0,"NEG",
IF(Midterm!AD75&gt;AD$5,"OVER",
IF(AND(AD$5&lt;=100,Midterm!AD75&gt;100),"ERR",
IF(Info!$B$4="Non-board program",
IF(OR(AND(AD$5&gt;0,AD$5&gt;100),AND(AD$5&gt;0,AD$5&lt;100)),
VLOOKUP(FLOOR((Midterm!AD75/AD$5)*100,1),new_transmute,2,FALSE),
VLOOKUP(Midterm!AD75,new_transmute,2,FALSE)
),
IF(Info!$B$4="Board program",
IF(OR(AND(AD$5&gt;0,AD$5&gt;100),AND(AD$5&gt;0,AD$5&lt;100)),
VLOOKUP(FLOOR((Midterm!AD75/AD$5)*100,1),new_transmute,3,FALSE),
VLOOKUP(Midterm!AD75,new_transmute,3,FALSE)
),
IF(Info!$B$4="Board program (Medicine)",
IF(OR(AND(AD$5&gt;0,AD$5&gt;100),AND(AD$5&gt;0,AD$5&lt;100)),
VLOOKUP(FLOOR((Midterm!AD75/AD$5)*100,1),new_transmute,4,FALSE),
VLOOKUP(Midterm!AD75,new_transmute,4,FALSE)
),
""
)
)
)
)
)
)
)
)
))</f>
        <v/>
      </c>
      <c r="AE75" s="58" t="str">
        <f t="shared" si="15"/>
        <v/>
      </c>
      <c r="AF75" s="14" t="str">
        <f>IF($B75="","",
IF(AF$5="","",
IF(Midterm!AF75="",0,
IF(NOT(ISNUMBER(Midterm!AF75)),"NAN",
IF(Midterm!AF75&lt;0,"NEG",
IF(Midterm!AF75&gt;AF$5,"OVER",
IF(AND(AF$5&lt;=100,Midterm!AF75&gt;100),"ERR",
IF(Info!$B$4="Non-board program",
IF(OR(AND(AF$5&gt;0,AF$5&gt;100),AND(AF$5&gt;0,AF$5&lt;100)),
VLOOKUP(FLOOR((Midterm!AF75/AF$5)*100,1),new_transmute,2,FALSE),
VLOOKUP(Midterm!AF75,new_transmute,2,FALSE)
),
IF(Info!$B$4="Board program",
IF(OR(AND(AF$5&gt;0,AF$5&gt;100),AND(AF$5&gt;0,AF$5&lt;100)),
VLOOKUP(FLOOR((Midterm!AF75/AF$5)*100,1),new_transmute,3,FALSE),
VLOOKUP(Midterm!AF75,new_transmute,3,FALSE)
),
IF(Info!$B$4="Board program (Medicine)",
IF(OR(AND(AF$5&gt;0,AF$5&gt;100),AND(AF$5&gt;0,AF$5&lt;100)),
VLOOKUP(FLOOR((Midterm!AF75/AF$5)*100,1),new_transmute,4,FALSE),
VLOOKUP(Midterm!AF75,new_transmute,4,FALSE)
),
""
)
)
)
)
)
)
)
)
))</f>
        <v/>
      </c>
      <c r="AG75" s="14" t="str">
        <f>IF($B75="","",
IF(AG$5="","",
IF(Midterm!AG75="",0,
IF(NOT(ISNUMBER(Midterm!AG75)),"NAN",
IF(Midterm!AG75&lt;0,"NEG",
IF(Midterm!AG75&gt;AG$5,"OVER",
IF(AND(AG$5&lt;=100,Midterm!AG75&gt;100),"ERR",
IF(Info!$B$4="Non-board program",
IF(OR(AND(AG$5&gt;0,AG$5&gt;100),AND(AG$5&gt;0,AG$5&lt;100)),
VLOOKUP(FLOOR((Midterm!AG75/AG$5)*100,1),new_transmute,2,FALSE),
VLOOKUP(Midterm!AG75,new_transmute,2,FALSE)
),
IF(Info!$B$4="Board program",
IF(OR(AND(AG$5&gt;0,AG$5&gt;100),AND(AG$5&gt;0,AG$5&lt;100)),
VLOOKUP(FLOOR((Midterm!AG75/AG$5)*100,1),new_transmute,3,FALSE),
VLOOKUP(Midterm!AG75,new_transmute,3,FALSE)
),
IF(Info!$B$4="Board program (Medicine)",
IF(OR(AND(AG$5&gt;0,AG$5&gt;100),AND(AG$5&gt;0,AG$5&lt;100)),
VLOOKUP(FLOOR((Midterm!AG75/AG$5)*100,1),new_transmute,4,FALSE),
VLOOKUP(Midterm!AG75,new_transmute,4,FALSE)
),
""
)
)
)
)
)
)
)
)
))</f>
        <v/>
      </c>
      <c r="AH75" s="14" t="str">
        <f>IF($B75="","",
IF(AH$5="","",
IF(Midterm!AH75="",0,
IF(NOT(ISNUMBER(Midterm!AH75)),"NAN",
IF(Midterm!AH75&lt;0,"NEG",
IF(Midterm!AH75&gt;AH$5,"OVER",
IF(AND(AH$5&lt;=100,Midterm!AH75&gt;100),"ERR",
IF(Info!$B$4="Non-board program",
IF(OR(AND(AH$5&gt;0,AH$5&gt;100),AND(AH$5&gt;0,AH$5&lt;100)),
VLOOKUP(FLOOR((Midterm!AH75/AH$5)*100,1),new_transmute,2,FALSE),
VLOOKUP(Midterm!AH75,new_transmute,2,FALSE)
),
IF(Info!$B$4="Board program",
IF(OR(AND(AH$5&gt;0,AH$5&gt;100),AND(AH$5&gt;0,AH$5&lt;100)),
VLOOKUP(FLOOR((Midterm!AH75/AH$5)*100,1),new_transmute,3,FALSE),
VLOOKUP(Midterm!AH75,new_transmute,3,FALSE)
),
IF(Info!$B$4="Board program (Medicine)",
IF(OR(AND(AH$5&gt;0,AH$5&gt;100),AND(AH$5&gt;0,AH$5&lt;100)),
VLOOKUP(FLOOR((Midterm!AH75/AH$5)*100,1),new_transmute,4,FALSE),
VLOOKUP(Midterm!AH75,new_transmute,4,FALSE)
),
""
)
)
)
)
)
)
)
)
))</f>
        <v/>
      </c>
      <c r="AI75" s="14" t="str">
        <f>IF($B75="","",
IF(AI$5="","",
IF(Midterm!AI75="",0,
IF(NOT(ISNUMBER(Midterm!AI75)),"NAN",
IF(Midterm!AI75&lt;0,"NEG",
IF(Midterm!AI75&gt;AI$5,"OVER",
IF(AND(AI$5&lt;=100,Midterm!AI75&gt;100),"ERR",
IF(Info!$B$4="Non-board program",
IF(OR(AND(AI$5&gt;0,AI$5&gt;100),AND(AI$5&gt;0,AI$5&lt;100)),
VLOOKUP(FLOOR((Midterm!AI75/AI$5)*100,1),new_transmute,2,FALSE),
VLOOKUP(Midterm!AI75,new_transmute,2,FALSE)
),
IF(Info!$B$4="Board program",
IF(OR(AND(AI$5&gt;0,AI$5&gt;100),AND(AI$5&gt;0,AI$5&lt;100)),
VLOOKUP(FLOOR((Midterm!AI75/AI$5)*100,1),new_transmute,3,FALSE),
VLOOKUP(Midterm!AI75,new_transmute,3,FALSE)
),
IF(Info!$B$4="Board program (Medicine)",
IF(OR(AND(AI$5&gt;0,AI$5&gt;100),AND(AI$5&gt;0,AI$5&lt;100)),
VLOOKUP(FLOOR((Midterm!AI75/AI$5)*100,1),new_transmute,4,FALSE),
VLOOKUP(Midterm!AI75,new_transmute,4,FALSE)
),
""
)
)
)
)
)
)
)
)
))</f>
        <v/>
      </c>
      <c r="AJ75" s="14" t="str">
        <f>IF($B75="","",
IF(AJ$5="","",
IF(Midterm!AJ75="",0,
IF(NOT(ISNUMBER(Midterm!AJ75)),"NAN",
IF(Midterm!AJ75&lt;0,"NEG",
IF(Midterm!AJ75&gt;AJ$5,"OVER",
IF(AND(AJ$5&lt;=100,Midterm!AJ75&gt;100),"ERR",
IF(Info!$B$4="Non-board program",
IF(OR(AND(AJ$5&gt;0,AJ$5&gt;100),AND(AJ$5&gt;0,AJ$5&lt;100)),
VLOOKUP(FLOOR((Midterm!AJ75/AJ$5)*100,1),new_transmute,2,FALSE),
VLOOKUP(Midterm!AJ75,new_transmute,2,FALSE)
),
IF(Info!$B$4="Board program",
IF(OR(AND(AJ$5&gt;0,AJ$5&gt;100),AND(AJ$5&gt;0,AJ$5&lt;100)),
VLOOKUP(FLOOR((Midterm!AJ75/AJ$5)*100,1),new_transmute,3,FALSE),
VLOOKUP(Midterm!AJ75,new_transmute,3,FALSE)
),
IF(Info!$B$4="Board program (Medicine)",
IF(OR(AND(AJ$5&gt;0,AJ$5&gt;100),AND(AJ$5&gt;0,AJ$5&lt;100)),
VLOOKUP(FLOOR((Midterm!AJ75/AJ$5)*100,1),new_transmute,4,FALSE),
VLOOKUP(Midterm!AJ75,new_transmute,4,FALSE)
),
""
)
)
)
)
)
)
)
)
))</f>
        <v/>
      </c>
      <c r="AK75" s="59" t="str">
        <f t="shared" si="16"/>
        <v/>
      </c>
      <c r="AL75" s="60" t="str">
        <f>IF(B75="", "",
    IF(OR(M75="OVER", S75="OVER", Y75="OVER", AE75="OVER", AK75="OVER"),
        "OVER",
        IF(Info!$B$4="Non-board program",
            VLOOKUP(IFERROR(FLOOR(SUM((M75*$M$4), (S75*$S$4), (Y75*$Y$4), (AE75*$AE$4), (AK75*$AK$4)) * (100 / 60), 1), 0), new_transmute, 2, FALSE),
            IF(Info!$B$4="Board program",
                VLOOKUP(IFERROR(FLOOR(SUM((M75*$M$4), (S75*$S$4), (Y75*$Y$4), (AE75*$AE$4), (AK75*$AK$4)) * (100 / 60), 1), 0), new_transmute, 3, FALSE),
                IF(Info!$B$4="Board program (Medicine)",
                    VLOOKUP(IFERROR(FLOOR(SUM((M75*$M$4), (S75*$S$4), (Y75*$Y$4), (AE75*$AE$4), (AK75*$AK$4)) * (100 / 60), 1), 0), new_transmute, 4, FALSE),
                    ""
                )
            )
        )
    )
)</f>
        <v/>
      </c>
      <c r="AM75" s="14" t="str">
        <f>IF($B75="","",
IF(AM$5="","",
IF(Midterm!AM75="",0,
IF(NOT(ISNUMBER(Midterm!AM75)),"NAN",
IF(Midterm!AM75&lt;0,"NEG",
IF(Midterm!AM75&gt;AM$5,"OVER",
IF(AND(AM$5&lt;=100,Midterm!AM75&gt;100),"ERR",
IF(Info!$B$4="Non-board program",
IF(OR(AND(AM$5&gt;0,AM$5&gt;100),AND(AM$5&gt;0,AM$5&lt;100)),
VLOOKUP(FLOOR((Midterm!AM75/AM$5)*100,1),new_transmute,2,FALSE),
VLOOKUP(Midterm!AM75,new_transmute,2,FALSE)
),
IF(Info!$B$4="Board program",
IF(OR(AND(AM$5&gt;0,AM$5&gt;100),AND(AM$5&gt;0,AM$5&lt;100)),
VLOOKUP(FLOOR((Midterm!AM75/AM$5)*100,1),new_transmute,3,FALSE),
VLOOKUP(Midterm!AM75,new_transmute,3,FALSE)
),
IF(Info!$B$4="Board program (Medicine)",
IF(OR(AND(AM$5&gt;0,AM$5&gt;100),AND(AM$5&gt;0,AM$5&lt;100)),
VLOOKUP(FLOOR((Midterm!AM75/AM$5)*100,1),new_transmute,4,FALSE),
VLOOKUP(Midterm!AM75,new_transmute,4,FALSE)
),
""
)
)
)
)
)
)
)
)
))</f>
        <v/>
      </c>
      <c r="AN75" s="14" t="str">
        <f>IF($B75="","",
IF(AN$5="","",
IF(Midterm!AN75="",0,
IF(NOT(ISNUMBER(Midterm!AN75)),"NAN",
IF(Midterm!AN75&lt;0,"NEG",
IF(Midterm!AN75&gt;AN$5,"OVER",
IF(AND(AN$5&lt;=100,Midterm!AN75&gt;100),"ERR",
IF(Info!$B$4="Non-board program",
IF(OR(AND(AN$5&gt;0,AN$5&gt;100),AND(AN$5&gt;0,AN$5&lt;100)),
VLOOKUP(FLOOR((Midterm!AN75/AN$5)*100,1),new_transmute,2,FALSE),
VLOOKUP(Midterm!AN75,new_transmute,2,FALSE)
),
IF(Info!$B$4="Board program",
IF(OR(AND(AN$5&gt;0,AN$5&gt;100),AND(AN$5&gt;0,AN$5&lt;100)),
VLOOKUP(FLOOR((Midterm!AN75/AN$5)*100,1),new_transmute,3,FALSE),
VLOOKUP(Midterm!AN75,new_transmute,3,FALSE)
),
IF(Info!$B$4="Board program (Medicine)",
IF(OR(AND(AN$5&gt;0,AN$5&gt;100),AND(AN$5&gt;0,AN$5&lt;100)),
VLOOKUP(FLOOR((Midterm!AN75/AN$5)*100,1),new_transmute,4,FALSE),
VLOOKUP(Midterm!AN75,new_transmute,4,FALSE)
),
""
)
)
)
)
)
)
)
)
))</f>
        <v/>
      </c>
      <c r="AO75" s="14" t="str">
        <f>IF($B75="","",
IF(AO$5="","",
IF(Midterm!AO75="",0,
IF(NOT(ISNUMBER(Midterm!AO75)),"NAN",
IF(Midterm!AO75&lt;0,"NEG",
IF(Midterm!AO75&gt;AO$5,"OVER",
IF(AND(AO$5&lt;=100,Midterm!AO75&gt;100),"ERR",
IF(Info!$B$4="Non-board program",
IF(OR(AND(AO$5&gt;0,AO$5&gt;100),AND(AO$5&gt;0,AO$5&lt;100)),
VLOOKUP(FLOOR((Midterm!AO75/AO$5)*100,1),new_transmute,2,FALSE),
VLOOKUP(Midterm!AO75,new_transmute,2,FALSE)
),
IF(Info!$B$4="Board program",
IF(OR(AND(AO$5&gt;0,AO$5&gt;100),AND(AO$5&gt;0,AO$5&lt;100)),
VLOOKUP(FLOOR((Midterm!AO75/AO$5)*100,1),new_transmute,3,FALSE),
VLOOKUP(Midterm!AO75,new_transmute,3,FALSE)
),
IF(Info!$B$4="Board program (Medicine)",
IF(OR(AND(AO$5&gt;0,AO$5&gt;100),AND(AO$5&gt;0,AO$5&lt;100)),
VLOOKUP(FLOOR((Midterm!AO75/AO$5)*100,1),new_transmute,4,FALSE),
VLOOKUP(Midterm!AO75,new_transmute,4,FALSE)
),
""
)
)
)
)
)
)
)
)
))</f>
        <v/>
      </c>
      <c r="AP75" s="14" t="str">
        <f>IF($B75="","",
IF(AP$5="","",
IF(Midterm!AP75="",0,
IF(NOT(ISNUMBER(Midterm!AP75)),"NAN",
IF(Midterm!AP75&lt;0,"NEG",
IF(Midterm!AP75&gt;AP$5,"OVER",
IF(AND(AP$5&lt;=100,Midterm!AP75&gt;100),"ERR",
IF(Info!$B$4="Non-board program",
IF(OR(AND(AP$5&gt;0,AP$5&gt;100),AND(AP$5&gt;0,AP$5&lt;100)),
VLOOKUP(FLOOR((Midterm!AP75/AP$5)*100,1),new_transmute,2,FALSE),
VLOOKUP(Midterm!AP75,new_transmute,2,FALSE)
),
IF(Info!$B$4="Board program",
IF(OR(AND(AP$5&gt;0,AP$5&gt;100),AND(AP$5&gt;0,AP$5&lt;100)),
VLOOKUP(FLOOR((Midterm!AP75/AP$5)*100,1),new_transmute,3,FALSE),
VLOOKUP(Midterm!AP75,new_transmute,3,FALSE)
),
IF(Info!$B$4="Board program (Medicine)",
IF(OR(AND(AP$5&gt;0,AP$5&gt;100),AND(AP$5&gt;0,AP$5&lt;100)),
VLOOKUP(FLOOR((Midterm!AP75/AP$5)*100,1),new_transmute,4,FALSE),
VLOOKUP(Midterm!AP75,new_transmute,4,FALSE)
),
""
)
)
)
)
)
)
)
)
))</f>
        <v/>
      </c>
      <c r="AQ75" s="61" t="str">
        <f t="shared" si="17"/>
        <v/>
      </c>
      <c r="AR75" s="48" t="str">
        <f>IF(Midterm!AR75="","",Midterm!AR75)</f>
        <v/>
      </c>
      <c r="AS75" s="165" t="str">
        <f t="shared" si="18"/>
        <v/>
      </c>
      <c r="AT75" s="14" t="str">
        <f t="shared" si="19"/>
        <v/>
      </c>
      <c r="AU75" s="14" t="str">
        <f>IF(B75="","",VLOOKUP(AT75,'New Grade Equivalent'!$B$3:$C$47,2,FALSE))</f>
        <v/>
      </c>
    </row>
    <row r="76" spans="1:47" x14ac:dyDescent="0.25">
      <c r="A76" s="8">
        <v>71</v>
      </c>
      <c r="B76" s="2" t="str">
        <f>IF('Student List'!C80="","",UPPER(LEFT('Student List'!C80,FIND(",",'Student List'!C80)-1)))</f>
        <v/>
      </c>
      <c r="C76" s="12" t="str">
        <f>IF('Student List'!C80="","",PROPER(MID('Student List'!C80, FIND(",", 'Student List'!C80) + 2, LEN('Student List'!C80) - FIND(",", 'Student List'!C80) - 1)))</f>
        <v/>
      </c>
      <c r="D76" s="127" t="str">
        <f>IF(B76="","",IF(Midterm!D76="", "NA", Midterm!D76))</f>
        <v/>
      </c>
      <c r="E76" s="8" t="str">
        <f>IF(B76="","",
  IF(Info!$B$5="First Year",
    IF(D76="Yes", "DRP",
      IF(D76="No", "WF", "")
    )
  )
)</f>
        <v/>
      </c>
      <c r="F76" s="14" t="str">
        <f>IF($B76="","",
IF(F$5="","",
IF(Midterm!F76="",0,
IF(NOT(ISNUMBER(Midterm!F76)),"NAN",
IF(Midterm!F76&lt;0,"NEG",
IF(Midterm!F76&gt;F$5,"OVER",
IF(AND(F$5&lt;=100,Midterm!F76&gt;100),"ERR",
IF(Info!$B$4="Non-board program",
IF(OR(AND(F$5&gt;0,F$5&gt;100),AND(F$5&gt;0,F$5&lt;100)),
VLOOKUP(FLOOR((Midterm!F76/F$5)*100,1),new_transmute,2,FALSE),
VLOOKUP(Midterm!F76,new_transmute,2,FALSE)
),
IF(Info!$B$4="Board program",
IF(OR(AND(F$5&gt;0,F$5&gt;100),AND(F$5&gt;0,F$5&lt;100)),
VLOOKUP(FLOOR((Midterm!F76/F$5)*100,1),new_transmute,3,FALSE),
VLOOKUP(Midterm!F76,new_transmute,3,FALSE)
),
IF(Info!$B$4="Board program (Medicine)",
IF(OR(AND(F$5&gt;0,F$5&gt;100),AND(F$5&gt;0,F$5&lt;100)),
VLOOKUP(FLOOR((Midterm!F76/F$5)*100,1),new_transmute,4,FALSE),
VLOOKUP(Midterm!F76,new_transmute,4,FALSE)
),
""
)
)
)
)
)
)
)
)
))</f>
        <v/>
      </c>
      <c r="G76" s="57" t="str">
        <f t="shared" si="11"/>
        <v/>
      </c>
      <c r="H76" s="14" t="str">
        <f>IF($B76="","",
IF(H$5="","",
IF(Midterm!H76="",0,
IF(NOT(ISNUMBER(Midterm!H76)),"NAN",
IF(Midterm!H76&lt;0,"NEG",
IF(Midterm!H76&gt;H$5,"OVER",
IF(AND(H$5&lt;=100,Midterm!H76&gt;100),"ERR",
IF(Info!$B$4="Non-board program",
IF(OR(AND(H$5&gt;0,H$5&gt;100),AND(H$5&gt;0,H$5&lt;100)),
VLOOKUP(FLOOR((Midterm!H76/H$5)*100,1),new_transmute,2,FALSE),
VLOOKUP(Midterm!H76,new_transmute,2,FALSE)
),
IF(Info!$B$4="Board program",
IF(OR(AND(H$5&gt;0,H$5&gt;100),AND(H$5&gt;0,H$5&lt;100)),
VLOOKUP(FLOOR((Midterm!H76/H$5)*100,1),new_transmute,3,FALSE),
VLOOKUP(Midterm!H76,new_transmute,3,FALSE)
),
IF(Info!$B$4="Board program (Medicine)",
IF(OR(AND(H$5&gt;0,H$5&gt;100),AND(H$5&gt;0,H$5&lt;100)),
VLOOKUP(FLOOR((Midterm!H76/H$5)*100,1),new_transmute,4,FALSE),
VLOOKUP(Midterm!H76,new_transmute,4,FALSE)
),
""
)
)
)
)
)
)
)
)
))</f>
        <v/>
      </c>
      <c r="I76" s="14" t="str">
        <f>IF($B76="","",
IF(I$5="","",
IF(Midterm!I76="",0,
IF(NOT(ISNUMBER(Midterm!I76)),"NAN",
IF(Midterm!I76&lt;0,"NEG",
IF(Midterm!I76&gt;I$5,"OVER",
IF(AND(I$5&lt;=100,Midterm!I76&gt;100),"ERR",
IF(Info!$B$4="Non-board program",
IF(OR(AND(I$5&gt;0,I$5&gt;100),AND(I$5&gt;0,I$5&lt;100)),
VLOOKUP(FLOOR((Midterm!I76/I$5)*100,1),new_transmute,2,FALSE),
VLOOKUP(Midterm!I76,new_transmute,2,FALSE)
),
IF(Info!$B$4="Board program",
IF(OR(AND(I$5&gt;0,I$5&gt;100),AND(I$5&gt;0,I$5&lt;100)),
VLOOKUP(FLOOR((Midterm!I76/I$5)*100,1),new_transmute,3,FALSE),
VLOOKUP(Midterm!I76,new_transmute,3,FALSE)
),
IF(Info!$B$4="Board program (Medicine)",
IF(OR(AND(I$5&gt;0,I$5&gt;100),AND(I$5&gt;0,I$5&lt;100)),
VLOOKUP(FLOOR((Midterm!I76/I$5)*100,1),new_transmute,4,FALSE),
VLOOKUP(Midterm!I76,new_transmute,4,FALSE)
),
""
)
)
)
)
)
)
)
)
))</f>
        <v/>
      </c>
      <c r="J76" s="14" t="str">
        <f>IF($B76="","",
IF(J$5="","",
IF(Midterm!J76="",0,
IF(NOT(ISNUMBER(Midterm!J76)),"NAN",
IF(Midterm!J76&lt;0,"NEG",
IF(Midterm!J76&gt;J$5,"OVER",
IF(AND(J$5&lt;=100,Midterm!J76&gt;100),"ERR",
IF(Info!$B$4="Non-board program",
IF(OR(AND(J$5&gt;0,J$5&gt;100),AND(J$5&gt;0,J$5&lt;100)),
VLOOKUP(FLOOR((Midterm!J76/J$5)*100,1),new_transmute,2,FALSE),
VLOOKUP(Midterm!J76,new_transmute,2,FALSE)
),
IF(Info!$B$4="Board program",
IF(OR(AND(J$5&gt;0,J$5&gt;100),AND(J$5&gt;0,J$5&lt;100)),
VLOOKUP(FLOOR((Midterm!J76/J$5)*100,1),new_transmute,3,FALSE),
VLOOKUP(Midterm!J76,new_transmute,3,FALSE)
),
IF(Info!$B$4="Board program (Medicine)",
IF(OR(AND(J$5&gt;0,J$5&gt;100),AND(J$5&gt;0,J$5&lt;100)),
VLOOKUP(FLOOR((Midterm!J76/J$5)*100,1),new_transmute,4,FALSE),
VLOOKUP(Midterm!J76,new_transmute,4,FALSE)
),
""
)
)
)
)
)
)
)
)
))</f>
        <v/>
      </c>
      <c r="K76" s="14" t="str">
        <f>IF($B76="","",
IF(K$5="","",
IF(Midterm!K76="",0,
IF(NOT(ISNUMBER(Midterm!K76)),"NAN",
IF(Midterm!K76&lt;0,"NEG",
IF(Midterm!K76&gt;K$5,"OVER",
IF(AND(K$5&lt;=100,Midterm!K76&gt;100),"ERR",
IF(Info!$B$4="Non-board program",
IF(OR(AND(K$5&gt;0,K$5&gt;100),AND(K$5&gt;0,K$5&lt;100)),
VLOOKUP(FLOOR((Midterm!K76/K$5)*100,1),new_transmute,2,FALSE),
VLOOKUP(Midterm!K76,new_transmute,2,FALSE)
),
IF(Info!$B$4="Board program",
IF(OR(AND(K$5&gt;0,K$5&gt;100),AND(K$5&gt;0,K$5&lt;100)),
VLOOKUP(FLOOR((Midterm!K76/K$5)*100,1),new_transmute,3,FALSE),
VLOOKUP(Midterm!K76,new_transmute,3,FALSE)
),
IF(Info!$B$4="Board program (Medicine)",
IF(OR(AND(K$5&gt;0,K$5&gt;100),AND(K$5&gt;0,K$5&lt;100)),
VLOOKUP(FLOOR((Midterm!K76/K$5)*100,1),new_transmute,4,FALSE),
VLOOKUP(Midterm!K76,new_transmute,4,FALSE)
),
""
)
)
)
)
)
)
)
)
))</f>
        <v/>
      </c>
      <c r="L76" s="14" t="str">
        <f>IF($B76="","",
IF(L$5="","",
IF(Midterm!L76="",0,
IF(NOT(ISNUMBER(Midterm!L76)),"NAN",
IF(Midterm!L76&lt;0,"NEG",
IF(Midterm!L76&gt;L$5,"OVER",
IF(AND(L$5&lt;=100,Midterm!L76&gt;100),"ERR",
IF(Info!$B$4="Non-board program",
IF(OR(AND(L$5&gt;0,L$5&gt;100),AND(L$5&gt;0,L$5&lt;100)),
VLOOKUP(FLOOR((Midterm!L76/L$5)*100,1),new_transmute,2,FALSE),
VLOOKUP(Midterm!L76,new_transmute,2,FALSE)
),
IF(Info!$B$4="Board program",
IF(OR(AND(L$5&gt;0,L$5&gt;100),AND(L$5&gt;0,L$5&lt;100)),
VLOOKUP(FLOOR((Midterm!L76/L$5)*100,1),new_transmute,3,FALSE),
VLOOKUP(Midterm!L76,new_transmute,3,FALSE)
),
IF(Info!$B$4="Board program (Medicine)",
IF(OR(AND(L$5&gt;0,L$5&gt;100),AND(L$5&gt;0,L$5&lt;100)),
VLOOKUP(FLOOR((Midterm!L76/L$5)*100,1),new_transmute,4,FALSE),
VLOOKUP(Midterm!L76,new_transmute,4,FALSE)
),
""
)
)
)
)
)
)
)
)
))</f>
        <v/>
      </c>
      <c r="M76" s="111" t="str">
        <f t="shared" si="12"/>
        <v/>
      </c>
      <c r="N76" s="14" t="str">
        <f>IF($B76="","",
IF(N$5="","",
IF(Midterm!N76="",0,
IF(NOT(ISNUMBER(Midterm!N76)),"NAN",
IF(Midterm!N76&lt;0,"NEG",
IF(Midterm!N76&gt;N$5,"OVER",
IF(AND(N$5&lt;=100,Midterm!N76&gt;100),"ERR",
IF(Info!$B$4="Non-board program",
IF(OR(AND(N$5&gt;0,N$5&gt;100),AND(N$5&gt;0,N$5&lt;100)),
VLOOKUP(FLOOR((Midterm!N76/N$5)*100,1),new_transmute,2,FALSE),
VLOOKUP(Midterm!N76,new_transmute,2,FALSE)
),
IF(Info!$B$4="Board program",
IF(OR(AND(N$5&gt;0,N$5&gt;100),AND(N$5&gt;0,N$5&lt;100)),
VLOOKUP(FLOOR((Midterm!N76/N$5)*100,1),new_transmute,3,FALSE),
VLOOKUP(Midterm!N76,new_transmute,3,FALSE)
),
IF(Info!$B$4="Board program (Medicine)",
IF(OR(AND(N$5&gt;0,N$5&gt;100),AND(N$5&gt;0,N$5&lt;100)),
VLOOKUP(FLOOR((Midterm!N76/N$5)*100,1),new_transmute,4,FALSE),
VLOOKUP(Midterm!N76,new_transmute,4,FALSE)
),
""
)
)
)
)
)
)
)
)
))</f>
        <v/>
      </c>
      <c r="O76" s="14" t="str">
        <f>IF($B76="","",
IF(O$5="","",
IF(Midterm!O76="",0,
IF(NOT(ISNUMBER(Midterm!O76)),"NAN",
IF(Midterm!O76&lt;0,"NEG",
IF(Midterm!O76&gt;O$5,"OVER",
IF(AND(O$5&lt;=100,Midterm!O76&gt;100),"ERR",
IF(Info!$B$4="Non-board program",
IF(OR(AND(O$5&gt;0,O$5&gt;100),AND(O$5&gt;0,O$5&lt;100)),
VLOOKUP(FLOOR((Midterm!O76/O$5)*100,1),new_transmute,2,FALSE),
VLOOKUP(Midterm!O76,new_transmute,2,FALSE)
),
IF(Info!$B$4="Board program",
IF(OR(AND(O$5&gt;0,O$5&gt;100),AND(O$5&gt;0,O$5&lt;100)),
VLOOKUP(FLOOR((Midterm!O76/O$5)*100,1),new_transmute,3,FALSE),
VLOOKUP(Midterm!O76,new_transmute,3,FALSE)
),
IF(Info!$B$4="Board program (Medicine)",
IF(OR(AND(O$5&gt;0,O$5&gt;100),AND(O$5&gt;0,O$5&lt;100)),
VLOOKUP(FLOOR((Midterm!O76/O$5)*100,1),new_transmute,4,FALSE),
VLOOKUP(Midterm!O76,new_transmute,4,FALSE)
),
""
)
)
)
)
)
)
)
)
))</f>
        <v/>
      </c>
      <c r="P76" s="14" t="str">
        <f>IF($B76="","",
IF(P$5="","",
IF(Midterm!P76="",0,
IF(NOT(ISNUMBER(Midterm!P76)),"NAN",
IF(Midterm!P76&lt;0,"NEG",
IF(Midterm!P76&gt;P$5,"OVER",
IF(AND(P$5&lt;=100,Midterm!P76&gt;100),"ERR",
IF(Info!$B$4="Non-board program",
IF(OR(AND(P$5&gt;0,P$5&gt;100),AND(P$5&gt;0,P$5&lt;100)),
VLOOKUP(FLOOR((Midterm!P76/P$5)*100,1),new_transmute,2,FALSE),
VLOOKUP(Midterm!P76,new_transmute,2,FALSE)
),
IF(Info!$B$4="Board program",
IF(OR(AND(P$5&gt;0,P$5&gt;100),AND(P$5&gt;0,P$5&lt;100)),
VLOOKUP(FLOOR((Midterm!P76/P$5)*100,1),new_transmute,3,FALSE),
VLOOKUP(Midterm!P76,new_transmute,3,FALSE)
),
IF(Info!$B$4="Board program (Medicine)",
IF(OR(AND(P$5&gt;0,P$5&gt;100),AND(P$5&gt;0,P$5&lt;100)),
VLOOKUP(FLOOR((Midterm!P76/P$5)*100,1),new_transmute,4,FALSE),
VLOOKUP(Midterm!P76,new_transmute,4,FALSE)
),
""
)
)
)
)
)
)
)
)
))</f>
        <v/>
      </c>
      <c r="Q76" s="14" t="str">
        <f>IF($B76="","",
IF(Q$5="","",
IF(Midterm!Q76="",0,
IF(NOT(ISNUMBER(Midterm!Q76)),"NAN",
IF(Midterm!Q76&lt;0,"NEG",
IF(Midterm!Q76&gt;Q$5,"OVER",
IF(AND(Q$5&lt;=100,Midterm!Q76&gt;100),"ERR",
IF(Info!$B$4="Non-board program",
IF(OR(AND(Q$5&gt;0,Q$5&gt;100),AND(Q$5&gt;0,Q$5&lt;100)),
VLOOKUP(FLOOR((Midterm!Q76/Q$5)*100,1),new_transmute,2,FALSE),
VLOOKUP(Midterm!Q76,new_transmute,2,FALSE)
),
IF(Info!$B$4="Board program",
IF(OR(AND(Q$5&gt;0,Q$5&gt;100),AND(Q$5&gt;0,Q$5&lt;100)),
VLOOKUP(FLOOR((Midterm!Q76/Q$5)*100,1),new_transmute,3,FALSE),
VLOOKUP(Midterm!Q76,new_transmute,3,FALSE)
),
IF(Info!$B$4="Board program (Medicine)",
IF(OR(AND(Q$5&gt;0,Q$5&gt;100),AND(Q$5&gt;0,Q$5&lt;100)),
VLOOKUP(FLOOR((Midterm!Q76/Q$5)*100,1),new_transmute,4,FALSE),
VLOOKUP(Midterm!Q76,new_transmute,4,FALSE)
),
""
)
)
)
)
)
)
)
)
))</f>
        <v/>
      </c>
      <c r="R76" s="14" t="str">
        <f>IF($B76="","",
IF(R$5="","",
IF(Midterm!R76="",0,
IF(NOT(ISNUMBER(Midterm!R76)),"NAN",
IF(Midterm!R76&lt;0,"NEG",
IF(Midterm!R76&gt;R$5,"OVER",
IF(AND(R$5&lt;=100,Midterm!R76&gt;100),"ERR",
IF(Info!$B$4="Non-board program",
IF(OR(AND(R$5&gt;0,R$5&gt;100),AND(R$5&gt;0,R$5&lt;100)),
VLOOKUP(FLOOR((Midterm!R76/R$5)*100,1),new_transmute,2,FALSE),
VLOOKUP(Midterm!R76,new_transmute,2,FALSE)
),
IF(Info!$B$4="Board program",
IF(OR(AND(R$5&gt;0,R$5&gt;100),AND(R$5&gt;0,R$5&lt;100)),
VLOOKUP(FLOOR((Midterm!R76/R$5)*100,1),new_transmute,3,FALSE),
VLOOKUP(Midterm!R76,new_transmute,3,FALSE)
),
IF(Info!$B$4="Board program (Medicine)",
IF(OR(AND(R$5&gt;0,R$5&gt;100),AND(R$5&gt;0,R$5&lt;100)),
VLOOKUP(FLOOR((Midterm!R76/R$5)*100,1),new_transmute,4,FALSE),
VLOOKUP(Midterm!R76,new_transmute,4,FALSE)
),
""
)
)
)
)
)
)
)
)
))</f>
        <v/>
      </c>
      <c r="S76" s="115" t="str">
        <f t="shared" si="13"/>
        <v/>
      </c>
      <c r="T76" s="14" t="str">
        <f>IF($B76="","",
IF(T$5="","",
IF(Midterm!T76="",0,
IF(NOT(ISNUMBER(Midterm!T76)),"NAN",
IF(Midterm!T76&lt;0,"NEG",
IF(Midterm!T76&gt;T$5,"OVER",
IF(AND(T$5&lt;=100,Midterm!T76&gt;100),"ERR",
IF(Info!$B$4="Non-board program",
IF(OR(AND(T$5&gt;0,T$5&gt;100),AND(T$5&gt;0,T$5&lt;100)),
VLOOKUP(FLOOR((Midterm!T76/T$5)*100,1),new_transmute,2,FALSE),
VLOOKUP(Midterm!T76,new_transmute,2,FALSE)
),
IF(Info!$B$4="Board program",
IF(OR(AND(T$5&gt;0,T$5&gt;100),AND(T$5&gt;0,T$5&lt;100)),
VLOOKUP(FLOOR((Midterm!T76/T$5)*100,1),new_transmute,3,FALSE),
VLOOKUP(Midterm!T76,new_transmute,3,FALSE)
),
IF(Info!$B$4="Board program (Medicine)",
IF(OR(AND(T$5&gt;0,T$5&gt;100),AND(T$5&gt;0,T$5&lt;100)),
VLOOKUP(FLOOR((Midterm!T76/T$5)*100,1),new_transmute,4,FALSE),
VLOOKUP(Midterm!T76,new_transmute,4,FALSE)
),
""
)
)
)
)
)
)
)
)
))</f>
        <v/>
      </c>
      <c r="U76" s="14" t="str">
        <f>IF($B76="","",
IF(U$5="","",
IF(Midterm!U76="",0,
IF(NOT(ISNUMBER(Midterm!U76)),"NAN",
IF(Midterm!U76&lt;0,"NEG",
IF(Midterm!U76&gt;U$5,"OVER",
IF(AND(U$5&lt;=100,Midterm!U76&gt;100),"ERR",
IF(Info!$B$4="Non-board program",
IF(OR(AND(U$5&gt;0,U$5&gt;100),AND(U$5&gt;0,U$5&lt;100)),
VLOOKUP(FLOOR((Midterm!U76/U$5)*100,1),new_transmute,2,FALSE),
VLOOKUP(Midterm!U76,new_transmute,2,FALSE)
),
IF(Info!$B$4="Board program",
IF(OR(AND(U$5&gt;0,U$5&gt;100),AND(U$5&gt;0,U$5&lt;100)),
VLOOKUP(FLOOR((Midterm!U76/U$5)*100,1),new_transmute,3,FALSE),
VLOOKUP(Midterm!U76,new_transmute,3,FALSE)
),
IF(Info!$B$4="Board program (Medicine)",
IF(OR(AND(U$5&gt;0,U$5&gt;100),AND(U$5&gt;0,U$5&lt;100)),
VLOOKUP(FLOOR((Midterm!U76/U$5)*100,1),new_transmute,4,FALSE),
VLOOKUP(Midterm!U76,new_transmute,4,FALSE)
),
""
)
)
)
)
)
)
)
)
))</f>
        <v/>
      </c>
      <c r="V76" s="14" t="str">
        <f>IF($B76="","",
IF(V$5="","",
IF(Midterm!V76="",0,
IF(NOT(ISNUMBER(Midterm!V76)),"NAN",
IF(Midterm!V76&lt;0,"NEG",
IF(Midterm!V76&gt;V$5,"OVER",
IF(AND(V$5&lt;=100,Midterm!V76&gt;100),"ERR",
IF(Info!$B$4="Non-board program",
IF(OR(AND(V$5&gt;0,V$5&gt;100),AND(V$5&gt;0,V$5&lt;100)),
VLOOKUP(FLOOR((Midterm!V76/V$5)*100,1),new_transmute,2,FALSE),
VLOOKUP(Midterm!V76,new_transmute,2,FALSE)
),
IF(Info!$B$4="Board program",
IF(OR(AND(V$5&gt;0,V$5&gt;100),AND(V$5&gt;0,V$5&lt;100)),
VLOOKUP(FLOOR((Midterm!V76/V$5)*100,1),new_transmute,3,FALSE),
VLOOKUP(Midterm!V76,new_transmute,3,FALSE)
),
IF(Info!$B$4="Board program (Medicine)",
IF(OR(AND(V$5&gt;0,V$5&gt;100),AND(V$5&gt;0,V$5&lt;100)),
VLOOKUP(FLOOR((Midterm!V76/V$5)*100,1),new_transmute,4,FALSE),
VLOOKUP(Midterm!V76,new_transmute,4,FALSE)
),
""
)
)
)
)
)
)
)
)
))</f>
        <v/>
      </c>
      <c r="W76" s="14" t="str">
        <f>IF($B76="","",
IF(W$5="","",
IF(Midterm!W76="",0,
IF(NOT(ISNUMBER(Midterm!W76)),"NAN",
IF(Midterm!W76&lt;0,"NEG",
IF(Midterm!W76&gt;W$5,"OVER",
IF(AND(W$5&lt;=100,Midterm!W76&gt;100),"ERR",
IF(Info!$B$4="Non-board program",
IF(OR(AND(W$5&gt;0,W$5&gt;100),AND(W$5&gt;0,W$5&lt;100)),
VLOOKUP(FLOOR((Midterm!W76/W$5)*100,1),new_transmute,2,FALSE),
VLOOKUP(Midterm!W76,new_transmute,2,FALSE)
),
IF(Info!$B$4="Board program",
IF(OR(AND(W$5&gt;0,W$5&gt;100),AND(W$5&gt;0,W$5&lt;100)),
VLOOKUP(FLOOR((Midterm!W76/W$5)*100,1),new_transmute,3,FALSE),
VLOOKUP(Midterm!W76,new_transmute,3,FALSE)
),
IF(Info!$B$4="Board program (Medicine)",
IF(OR(AND(W$5&gt;0,W$5&gt;100),AND(W$5&gt;0,W$5&lt;100)),
VLOOKUP(FLOOR((Midterm!W76/W$5)*100,1),new_transmute,4,FALSE),
VLOOKUP(Midterm!W76,new_transmute,4,FALSE)
),
""
)
)
)
)
)
)
)
)
))</f>
        <v/>
      </c>
      <c r="X76" s="14" t="str">
        <f>IF($B76="","",
IF(X$5="","",
IF(Midterm!X76="",0,
IF(NOT(ISNUMBER(Midterm!X76)),"NAN",
IF(Midterm!X76&lt;0,"NEG",
IF(Midterm!X76&gt;X$5,"OVER",
IF(AND(X$5&lt;=100,Midterm!X76&gt;100),"ERR",
IF(Info!$B$4="Non-board program",
IF(OR(AND(X$5&gt;0,X$5&gt;100),AND(X$5&gt;0,X$5&lt;100)),
VLOOKUP(FLOOR((Midterm!X76/X$5)*100,1),new_transmute,2,FALSE),
VLOOKUP(Midterm!X76,new_transmute,2,FALSE)
),
IF(Info!$B$4="Board program",
IF(OR(AND(X$5&gt;0,X$5&gt;100),AND(X$5&gt;0,X$5&lt;100)),
VLOOKUP(FLOOR((Midterm!X76/X$5)*100,1),new_transmute,3,FALSE),
VLOOKUP(Midterm!X76,new_transmute,3,FALSE)
),
IF(Info!$B$4="Board program (Medicine)",
IF(OR(AND(X$5&gt;0,X$5&gt;100),AND(X$5&gt;0,X$5&lt;100)),
VLOOKUP(FLOOR((Midterm!X76/X$5)*100,1),new_transmute,4,FALSE),
VLOOKUP(Midterm!X76,new_transmute,4,FALSE)
),
""
)
)
)
)
)
)
)
)
))</f>
        <v/>
      </c>
      <c r="Y76" s="112" t="str">
        <f t="shared" si="14"/>
        <v/>
      </c>
      <c r="Z76" s="14" t="str">
        <f>IF($B76="","",
IF(Z$5="","",
IF(Midterm!Z76="",0,
IF(NOT(ISNUMBER(Midterm!Z76)),"NAN",
IF(Midterm!Z76&lt;0,"NEG",
IF(Midterm!Z76&gt;Z$5,"OVER",
IF(AND(Z$5&lt;=100,Midterm!Z76&gt;100),"ERR",
IF(Info!$B$4="Non-board program",
IF(OR(AND(Z$5&gt;0,Z$5&gt;100),AND(Z$5&gt;0,Z$5&lt;100)),
VLOOKUP(FLOOR((Midterm!Z76/Z$5)*100,1),new_transmute,2,FALSE),
VLOOKUP(Midterm!Z76,new_transmute,2,FALSE)
),
IF(Info!$B$4="Board program",
IF(OR(AND(Z$5&gt;0,Z$5&gt;100),AND(Z$5&gt;0,Z$5&lt;100)),
VLOOKUP(FLOOR((Midterm!Z76/Z$5)*100,1),new_transmute,3,FALSE),
VLOOKUP(Midterm!Z76,new_transmute,3,FALSE)
),
IF(Info!$B$4="Board program (Medicine)",
IF(OR(AND(Z$5&gt;0,Z$5&gt;100),AND(Z$5&gt;0,Z$5&lt;100)),
VLOOKUP(FLOOR((Midterm!Z76/Z$5)*100,1),new_transmute,4,FALSE),
VLOOKUP(Midterm!Z76,new_transmute,4,FALSE)
),
""
)
)
)
)
)
)
)
)
))</f>
        <v/>
      </c>
      <c r="AA76" s="14" t="str">
        <f>IF($B76="","",
IF(AA$5="","",
IF(Midterm!AA76="",0,
IF(NOT(ISNUMBER(Midterm!AA76)),"NAN",
IF(Midterm!AA76&lt;0,"NEG",
IF(Midterm!AA76&gt;AA$5,"OVER",
IF(AND(AA$5&lt;=100,Midterm!AA76&gt;100),"ERR",
IF(Info!$B$4="Non-board program",
IF(OR(AND(AA$5&gt;0,AA$5&gt;100),AND(AA$5&gt;0,AA$5&lt;100)),
VLOOKUP(FLOOR((Midterm!AA76/AA$5)*100,1),new_transmute,2,FALSE),
VLOOKUP(Midterm!AA76,new_transmute,2,FALSE)
),
IF(Info!$B$4="Board program",
IF(OR(AND(AA$5&gt;0,AA$5&gt;100),AND(AA$5&gt;0,AA$5&lt;100)),
VLOOKUP(FLOOR((Midterm!AA76/AA$5)*100,1),new_transmute,3,FALSE),
VLOOKUP(Midterm!AA76,new_transmute,3,FALSE)
),
IF(Info!$B$4="Board program (Medicine)",
IF(OR(AND(AA$5&gt;0,AA$5&gt;100),AND(AA$5&gt;0,AA$5&lt;100)),
VLOOKUP(FLOOR((Midterm!AA76/AA$5)*100,1),new_transmute,4,FALSE),
VLOOKUP(Midterm!AA76,new_transmute,4,FALSE)
),
""
)
)
)
)
)
)
)
)
))</f>
        <v/>
      </c>
      <c r="AB76" s="14" t="str">
        <f>IF($B76="","",
IF(AB$5="","",
IF(Midterm!AB76="",0,
IF(NOT(ISNUMBER(Midterm!AB76)),"NAN",
IF(Midterm!AB76&lt;0,"NEG",
IF(Midterm!AB76&gt;AB$5,"OVER",
IF(AND(AB$5&lt;=100,Midterm!AB76&gt;100),"ERR",
IF(Info!$B$4="Non-board program",
IF(OR(AND(AB$5&gt;0,AB$5&gt;100),AND(AB$5&gt;0,AB$5&lt;100)),
VLOOKUP(FLOOR((Midterm!AB76/AB$5)*100,1),new_transmute,2,FALSE),
VLOOKUP(Midterm!AB76,new_transmute,2,FALSE)
),
IF(Info!$B$4="Board program",
IF(OR(AND(AB$5&gt;0,AB$5&gt;100),AND(AB$5&gt;0,AB$5&lt;100)),
VLOOKUP(FLOOR((Midterm!AB76/AB$5)*100,1),new_transmute,3,FALSE),
VLOOKUP(Midterm!AB76,new_transmute,3,FALSE)
),
IF(Info!$B$4="Board program (Medicine)",
IF(OR(AND(AB$5&gt;0,AB$5&gt;100),AND(AB$5&gt;0,AB$5&lt;100)),
VLOOKUP(FLOOR((Midterm!AB76/AB$5)*100,1),new_transmute,4,FALSE),
VLOOKUP(Midterm!AB76,new_transmute,4,FALSE)
),
""
)
)
)
)
)
)
)
)
))</f>
        <v/>
      </c>
      <c r="AC76" s="14" t="str">
        <f>IF($B76="","",
IF(AC$5="","",
IF(Midterm!AC76="",0,
IF(NOT(ISNUMBER(Midterm!AC76)),"NAN",
IF(Midterm!AC76&lt;0,"NEG",
IF(Midterm!AC76&gt;AC$5,"OVER",
IF(AND(AC$5&lt;=100,Midterm!AC76&gt;100),"ERR",
IF(Info!$B$4="Non-board program",
IF(OR(AND(AC$5&gt;0,AC$5&gt;100),AND(AC$5&gt;0,AC$5&lt;100)),
VLOOKUP(FLOOR((Midterm!AC76/AC$5)*100,1),new_transmute,2,FALSE),
VLOOKUP(Midterm!AC76,new_transmute,2,FALSE)
),
IF(Info!$B$4="Board program",
IF(OR(AND(AC$5&gt;0,AC$5&gt;100),AND(AC$5&gt;0,AC$5&lt;100)),
VLOOKUP(FLOOR((Midterm!AC76/AC$5)*100,1),new_transmute,3,FALSE),
VLOOKUP(Midterm!AC76,new_transmute,3,FALSE)
),
IF(Info!$B$4="Board program (Medicine)",
IF(OR(AND(AC$5&gt;0,AC$5&gt;100),AND(AC$5&gt;0,AC$5&lt;100)),
VLOOKUP(FLOOR((Midterm!AC76/AC$5)*100,1),new_transmute,4,FALSE),
VLOOKUP(Midterm!AC76,new_transmute,4,FALSE)
),
""
)
)
)
)
)
)
)
)
))</f>
        <v/>
      </c>
      <c r="AD76" s="14" t="str">
        <f>IF($B76="","",
IF(AD$5="","",
IF(Midterm!AD76="",0,
IF(NOT(ISNUMBER(Midterm!AD76)),"NAN",
IF(Midterm!AD76&lt;0,"NEG",
IF(Midterm!AD76&gt;AD$5,"OVER",
IF(AND(AD$5&lt;=100,Midterm!AD76&gt;100),"ERR",
IF(Info!$B$4="Non-board program",
IF(OR(AND(AD$5&gt;0,AD$5&gt;100),AND(AD$5&gt;0,AD$5&lt;100)),
VLOOKUP(FLOOR((Midterm!AD76/AD$5)*100,1),new_transmute,2,FALSE),
VLOOKUP(Midterm!AD76,new_transmute,2,FALSE)
),
IF(Info!$B$4="Board program",
IF(OR(AND(AD$5&gt;0,AD$5&gt;100),AND(AD$5&gt;0,AD$5&lt;100)),
VLOOKUP(FLOOR((Midterm!AD76/AD$5)*100,1),new_transmute,3,FALSE),
VLOOKUP(Midterm!AD76,new_transmute,3,FALSE)
),
IF(Info!$B$4="Board program (Medicine)",
IF(OR(AND(AD$5&gt;0,AD$5&gt;100),AND(AD$5&gt;0,AD$5&lt;100)),
VLOOKUP(FLOOR((Midterm!AD76/AD$5)*100,1),new_transmute,4,FALSE),
VLOOKUP(Midterm!AD76,new_transmute,4,FALSE)
),
""
)
)
)
)
)
)
)
)
))</f>
        <v/>
      </c>
      <c r="AE76" s="58" t="str">
        <f t="shared" si="15"/>
        <v/>
      </c>
      <c r="AF76" s="14" t="str">
        <f>IF($B76="","",
IF(AF$5="","",
IF(Midterm!AF76="",0,
IF(NOT(ISNUMBER(Midterm!AF76)),"NAN",
IF(Midterm!AF76&lt;0,"NEG",
IF(Midterm!AF76&gt;AF$5,"OVER",
IF(AND(AF$5&lt;=100,Midterm!AF76&gt;100),"ERR",
IF(Info!$B$4="Non-board program",
IF(OR(AND(AF$5&gt;0,AF$5&gt;100),AND(AF$5&gt;0,AF$5&lt;100)),
VLOOKUP(FLOOR((Midterm!AF76/AF$5)*100,1),new_transmute,2,FALSE),
VLOOKUP(Midterm!AF76,new_transmute,2,FALSE)
),
IF(Info!$B$4="Board program",
IF(OR(AND(AF$5&gt;0,AF$5&gt;100),AND(AF$5&gt;0,AF$5&lt;100)),
VLOOKUP(FLOOR((Midterm!AF76/AF$5)*100,1),new_transmute,3,FALSE),
VLOOKUP(Midterm!AF76,new_transmute,3,FALSE)
),
IF(Info!$B$4="Board program (Medicine)",
IF(OR(AND(AF$5&gt;0,AF$5&gt;100),AND(AF$5&gt;0,AF$5&lt;100)),
VLOOKUP(FLOOR((Midterm!AF76/AF$5)*100,1),new_transmute,4,FALSE),
VLOOKUP(Midterm!AF76,new_transmute,4,FALSE)
),
""
)
)
)
)
)
)
)
)
))</f>
        <v/>
      </c>
      <c r="AG76" s="14" t="str">
        <f>IF($B76="","",
IF(AG$5="","",
IF(Midterm!AG76="",0,
IF(NOT(ISNUMBER(Midterm!AG76)),"NAN",
IF(Midterm!AG76&lt;0,"NEG",
IF(Midterm!AG76&gt;AG$5,"OVER",
IF(AND(AG$5&lt;=100,Midterm!AG76&gt;100),"ERR",
IF(Info!$B$4="Non-board program",
IF(OR(AND(AG$5&gt;0,AG$5&gt;100),AND(AG$5&gt;0,AG$5&lt;100)),
VLOOKUP(FLOOR((Midterm!AG76/AG$5)*100,1),new_transmute,2,FALSE),
VLOOKUP(Midterm!AG76,new_transmute,2,FALSE)
),
IF(Info!$B$4="Board program",
IF(OR(AND(AG$5&gt;0,AG$5&gt;100),AND(AG$5&gt;0,AG$5&lt;100)),
VLOOKUP(FLOOR((Midterm!AG76/AG$5)*100,1),new_transmute,3,FALSE),
VLOOKUP(Midterm!AG76,new_transmute,3,FALSE)
),
IF(Info!$B$4="Board program (Medicine)",
IF(OR(AND(AG$5&gt;0,AG$5&gt;100),AND(AG$5&gt;0,AG$5&lt;100)),
VLOOKUP(FLOOR((Midterm!AG76/AG$5)*100,1),new_transmute,4,FALSE),
VLOOKUP(Midterm!AG76,new_transmute,4,FALSE)
),
""
)
)
)
)
)
)
)
)
))</f>
        <v/>
      </c>
      <c r="AH76" s="14" t="str">
        <f>IF($B76="","",
IF(AH$5="","",
IF(Midterm!AH76="",0,
IF(NOT(ISNUMBER(Midterm!AH76)),"NAN",
IF(Midterm!AH76&lt;0,"NEG",
IF(Midterm!AH76&gt;AH$5,"OVER",
IF(AND(AH$5&lt;=100,Midterm!AH76&gt;100),"ERR",
IF(Info!$B$4="Non-board program",
IF(OR(AND(AH$5&gt;0,AH$5&gt;100),AND(AH$5&gt;0,AH$5&lt;100)),
VLOOKUP(FLOOR((Midterm!AH76/AH$5)*100,1),new_transmute,2,FALSE),
VLOOKUP(Midterm!AH76,new_transmute,2,FALSE)
),
IF(Info!$B$4="Board program",
IF(OR(AND(AH$5&gt;0,AH$5&gt;100),AND(AH$5&gt;0,AH$5&lt;100)),
VLOOKUP(FLOOR((Midterm!AH76/AH$5)*100,1),new_transmute,3,FALSE),
VLOOKUP(Midterm!AH76,new_transmute,3,FALSE)
),
IF(Info!$B$4="Board program (Medicine)",
IF(OR(AND(AH$5&gt;0,AH$5&gt;100),AND(AH$5&gt;0,AH$5&lt;100)),
VLOOKUP(FLOOR((Midterm!AH76/AH$5)*100,1),new_transmute,4,FALSE),
VLOOKUP(Midterm!AH76,new_transmute,4,FALSE)
),
""
)
)
)
)
)
)
)
)
))</f>
        <v/>
      </c>
      <c r="AI76" s="14" t="str">
        <f>IF($B76="","",
IF(AI$5="","",
IF(Midterm!AI76="",0,
IF(NOT(ISNUMBER(Midterm!AI76)),"NAN",
IF(Midterm!AI76&lt;0,"NEG",
IF(Midterm!AI76&gt;AI$5,"OVER",
IF(AND(AI$5&lt;=100,Midterm!AI76&gt;100),"ERR",
IF(Info!$B$4="Non-board program",
IF(OR(AND(AI$5&gt;0,AI$5&gt;100),AND(AI$5&gt;0,AI$5&lt;100)),
VLOOKUP(FLOOR((Midterm!AI76/AI$5)*100,1),new_transmute,2,FALSE),
VLOOKUP(Midterm!AI76,new_transmute,2,FALSE)
),
IF(Info!$B$4="Board program",
IF(OR(AND(AI$5&gt;0,AI$5&gt;100),AND(AI$5&gt;0,AI$5&lt;100)),
VLOOKUP(FLOOR((Midterm!AI76/AI$5)*100,1),new_transmute,3,FALSE),
VLOOKUP(Midterm!AI76,new_transmute,3,FALSE)
),
IF(Info!$B$4="Board program (Medicine)",
IF(OR(AND(AI$5&gt;0,AI$5&gt;100),AND(AI$5&gt;0,AI$5&lt;100)),
VLOOKUP(FLOOR((Midterm!AI76/AI$5)*100,1),new_transmute,4,FALSE),
VLOOKUP(Midterm!AI76,new_transmute,4,FALSE)
),
""
)
)
)
)
)
)
)
)
))</f>
        <v/>
      </c>
      <c r="AJ76" s="14" t="str">
        <f>IF($B76="","",
IF(AJ$5="","",
IF(Midterm!AJ76="",0,
IF(NOT(ISNUMBER(Midterm!AJ76)),"NAN",
IF(Midterm!AJ76&lt;0,"NEG",
IF(Midterm!AJ76&gt;AJ$5,"OVER",
IF(AND(AJ$5&lt;=100,Midterm!AJ76&gt;100),"ERR",
IF(Info!$B$4="Non-board program",
IF(OR(AND(AJ$5&gt;0,AJ$5&gt;100),AND(AJ$5&gt;0,AJ$5&lt;100)),
VLOOKUP(FLOOR((Midterm!AJ76/AJ$5)*100,1),new_transmute,2,FALSE),
VLOOKUP(Midterm!AJ76,new_transmute,2,FALSE)
),
IF(Info!$B$4="Board program",
IF(OR(AND(AJ$5&gt;0,AJ$5&gt;100),AND(AJ$5&gt;0,AJ$5&lt;100)),
VLOOKUP(FLOOR((Midterm!AJ76/AJ$5)*100,1),new_transmute,3,FALSE),
VLOOKUP(Midterm!AJ76,new_transmute,3,FALSE)
),
IF(Info!$B$4="Board program (Medicine)",
IF(OR(AND(AJ$5&gt;0,AJ$5&gt;100),AND(AJ$5&gt;0,AJ$5&lt;100)),
VLOOKUP(FLOOR((Midterm!AJ76/AJ$5)*100,1),new_transmute,4,FALSE),
VLOOKUP(Midterm!AJ76,new_transmute,4,FALSE)
),
""
)
)
)
)
)
)
)
)
))</f>
        <v/>
      </c>
      <c r="AK76" s="59" t="str">
        <f t="shared" si="16"/>
        <v/>
      </c>
      <c r="AL76" s="60" t="str">
        <f>IF(B76="", "",
    IF(OR(M76="OVER", S76="OVER", Y76="OVER", AE76="OVER", AK76="OVER"),
        "OVER",
        IF(Info!$B$4="Non-board program",
            VLOOKUP(IFERROR(FLOOR(SUM((M76*$M$4), (S76*$S$4), (Y76*$Y$4), (AE76*$AE$4), (AK76*$AK$4)) * (100 / 60), 1), 0), new_transmute, 2, FALSE),
            IF(Info!$B$4="Board program",
                VLOOKUP(IFERROR(FLOOR(SUM((M76*$M$4), (S76*$S$4), (Y76*$Y$4), (AE76*$AE$4), (AK76*$AK$4)) * (100 / 60), 1), 0), new_transmute, 3, FALSE),
                IF(Info!$B$4="Board program (Medicine)",
                    VLOOKUP(IFERROR(FLOOR(SUM((M76*$M$4), (S76*$S$4), (Y76*$Y$4), (AE76*$AE$4), (AK76*$AK$4)) * (100 / 60), 1), 0), new_transmute, 4, FALSE),
                    ""
                )
            )
        )
    )
)</f>
        <v/>
      </c>
      <c r="AM76" s="14" t="str">
        <f>IF($B76="","",
IF(AM$5="","",
IF(Midterm!AM76="",0,
IF(NOT(ISNUMBER(Midterm!AM76)),"NAN",
IF(Midterm!AM76&lt;0,"NEG",
IF(Midterm!AM76&gt;AM$5,"OVER",
IF(AND(AM$5&lt;=100,Midterm!AM76&gt;100),"ERR",
IF(Info!$B$4="Non-board program",
IF(OR(AND(AM$5&gt;0,AM$5&gt;100),AND(AM$5&gt;0,AM$5&lt;100)),
VLOOKUP(FLOOR((Midterm!AM76/AM$5)*100,1),new_transmute,2,FALSE),
VLOOKUP(Midterm!AM76,new_transmute,2,FALSE)
),
IF(Info!$B$4="Board program",
IF(OR(AND(AM$5&gt;0,AM$5&gt;100),AND(AM$5&gt;0,AM$5&lt;100)),
VLOOKUP(FLOOR((Midterm!AM76/AM$5)*100,1),new_transmute,3,FALSE),
VLOOKUP(Midterm!AM76,new_transmute,3,FALSE)
),
IF(Info!$B$4="Board program (Medicine)",
IF(OR(AND(AM$5&gt;0,AM$5&gt;100),AND(AM$5&gt;0,AM$5&lt;100)),
VLOOKUP(FLOOR((Midterm!AM76/AM$5)*100,1),new_transmute,4,FALSE),
VLOOKUP(Midterm!AM76,new_transmute,4,FALSE)
),
""
)
)
)
)
)
)
)
)
))</f>
        <v/>
      </c>
      <c r="AN76" s="14" t="str">
        <f>IF($B76="","",
IF(AN$5="","",
IF(Midterm!AN76="",0,
IF(NOT(ISNUMBER(Midterm!AN76)),"NAN",
IF(Midterm!AN76&lt;0,"NEG",
IF(Midterm!AN76&gt;AN$5,"OVER",
IF(AND(AN$5&lt;=100,Midterm!AN76&gt;100),"ERR",
IF(Info!$B$4="Non-board program",
IF(OR(AND(AN$5&gt;0,AN$5&gt;100),AND(AN$5&gt;0,AN$5&lt;100)),
VLOOKUP(FLOOR((Midterm!AN76/AN$5)*100,1),new_transmute,2,FALSE),
VLOOKUP(Midterm!AN76,new_transmute,2,FALSE)
),
IF(Info!$B$4="Board program",
IF(OR(AND(AN$5&gt;0,AN$5&gt;100),AND(AN$5&gt;0,AN$5&lt;100)),
VLOOKUP(FLOOR((Midterm!AN76/AN$5)*100,1),new_transmute,3,FALSE),
VLOOKUP(Midterm!AN76,new_transmute,3,FALSE)
),
IF(Info!$B$4="Board program (Medicine)",
IF(OR(AND(AN$5&gt;0,AN$5&gt;100),AND(AN$5&gt;0,AN$5&lt;100)),
VLOOKUP(FLOOR((Midterm!AN76/AN$5)*100,1),new_transmute,4,FALSE),
VLOOKUP(Midterm!AN76,new_transmute,4,FALSE)
),
""
)
)
)
)
)
)
)
)
))</f>
        <v/>
      </c>
      <c r="AO76" s="14" t="str">
        <f>IF($B76="","",
IF(AO$5="","",
IF(Midterm!AO76="",0,
IF(NOT(ISNUMBER(Midterm!AO76)),"NAN",
IF(Midterm!AO76&lt;0,"NEG",
IF(Midterm!AO76&gt;AO$5,"OVER",
IF(AND(AO$5&lt;=100,Midterm!AO76&gt;100),"ERR",
IF(Info!$B$4="Non-board program",
IF(OR(AND(AO$5&gt;0,AO$5&gt;100),AND(AO$5&gt;0,AO$5&lt;100)),
VLOOKUP(FLOOR((Midterm!AO76/AO$5)*100,1),new_transmute,2,FALSE),
VLOOKUP(Midterm!AO76,new_transmute,2,FALSE)
),
IF(Info!$B$4="Board program",
IF(OR(AND(AO$5&gt;0,AO$5&gt;100),AND(AO$5&gt;0,AO$5&lt;100)),
VLOOKUP(FLOOR((Midterm!AO76/AO$5)*100,1),new_transmute,3,FALSE),
VLOOKUP(Midterm!AO76,new_transmute,3,FALSE)
),
IF(Info!$B$4="Board program (Medicine)",
IF(OR(AND(AO$5&gt;0,AO$5&gt;100),AND(AO$5&gt;0,AO$5&lt;100)),
VLOOKUP(FLOOR((Midterm!AO76/AO$5)*100,1),new_transmute,4,FALSE),
VLOOKUP(Midterm!AO76,new_transmute,4,FALSE)
),
""
)
)
)
)
)
)
)
)
))</f>
        <v/>
      </c>
      <c r="AP76" s="14" t="str">
        <f>IF($B76="","",
IF(AP$5="","",
IF(Midterm!AP76="",0,
IF(NOT(ISNUMBER(Midterm!AP76)),"NAN",
IF(Midterm!AP76&lt;0,"NEG",
IF(Midterm!AP76&gt;AP$5,"OVER",
IF(AND(AP$5&lt;=100,Midterm!AP76&gt;100),"ERR",
IF(Info!$B$4="Non-board program",
IF(OR(AND(AP$5&gt;0,AP$5&gt;100),AND(AP$5&gt;0,AP$5&lt;100)),
VLOOKUP(FLOOR((Midterm!AP76/AP$5)*100,1),new_transmute,2,FALSE),
VLOOKUP(Midterm!AP76,new_transmute,2,FALSE)
),
IF(Info!$B$4="Board program",
IF(OR(AND(AP$5&gt;0,AP$5&gt;100),AND(AP$5&gt;0,AP$5&lt;100)),
VLOOKUP(FLOOR((Midterm!AP76/AP$5)*100,1),new_transmute,3,FALSE),
VLOOKUP(Midterm!AP76,new_transmute,3,FALSE)
),
IF(Info!$B$4="Board program (Medicine)",
IF(OR(AND(AP$5&gt;0,AP$5&gt;100),AND(AP$5&gt;0,AP$5&lt;100)),
VLOOKUP(FLOOR((Midterm!AP76/AP$5)*100,1),new_transmute,4,FALSE),
VLOOKUP(Midterm!AP76,new_transmute,4,FALSE)
),
""
)
)
)
)
)
)
)
)
))</f>
        <v/>
      </c>
      <c r="AQ76" s="61" t="str">
        <f t="shared" si="17"/>
        <v/>
      </c>
      <c r="AR76" s="48" t="str">
        <f>IF(Midterm!AR76="","",Midterm!AR76)</f>
        <v/>
      </c>
      <c r="AS76" s="165" t="str">
        <f t="shared" si="18"/>
        <v/>
      </c>
      <c r="AT76" s="14" t="str">
        <f t="shared" si="19"/>
        <v/>
      </c>
      <c r="AU76" s="14" t="str">
        <f>IF(B76="","",VLOOKUP(AT76,'New Grade Equivalent'!$B$3:$C$47,2,FALSE))</f>
        <v/>
      </c>
    </row>
    <row r="77" spans="1:47" x14ac:dyDescent="0.25">
      <c r="A77" s="8">
        <v>72</v>
      </c>
      <c r="B77" s="2" t="str">
        <f>IF('Student List'!C81="","",UPPER(LEFT('Student List'!C81,FIND(",",'Student List'!C81)-1)))</f>
        <v/>
      </c>
      <c r="C77" s="12" t="str">
        <f>IF('Student List'!C81="","",PROPER(MID('Student List'!C81, FIND(",", 'Student List'!C81) + 2, LEN('Student List'!C81) - FIND(",", 'Student List'!C81) - 1)))</f>
        <v/>
      </c>
      <c r="D77" s="127" t="str">
        <f>IF(B77="","",IF(Midterm!D77="", "NA", Midterm!D77))</f>
        <v/>
      </c>
      <c r="E77" s="8" t="str">
        <f>IF(B77="","",
  IF(Info!$B$5="First Year",
    IF(D77="Yes", "DRP",
      IF(D77="No", "WF", "")
    )
  )
)</f>
        <v/>
      </c>
      <c r="F77" s="14" t="str">
        <f>IF($B77="","",
IF(F$5="","",
IF(Midterm!F77="",0,
IF(NOT(ISNUMBER(Midterm!F77)),"NAN",
IF(Midterm!F77&lt;0,"NEG",
IF(Midterm!F77&gt;F$5,"OVER",
IF(AND(F$5&lt;=100,Midterm!F77&gt;100),"ERR",
IF(Info!$B$4="Non-board program",
IF(OR(AND(F$5&gt;0,F$5&gt;100),AND(F$5&gt;0,F$5&lt;100)),
VLOOKUP(FLOOR((Midterm!F77/F$5)*100,1),new_transmute,2,FALSE),
VLOOKUP(Midterm!F77,new_transmute,2,FALSE)
),
IF(Info!$B$4="Board program",
IF(OR(AND(F$5&gt;0,F$5&gt;100),AND(F$5&gt;0,F$5&lt;100)),
VLOOKUP(FLOOR((Midterm!F77/F$5)*100,1),new_transmute,3,FALSE),
VLOOKUP(Midterm!F77,new_transmute,3,FALSE)
),
IF(Info!$B$4="Board program (Medicine)",
IF(OR(AND(F$5&gt;0,F$5&gt;100),AND(F$5&gt;0,F$5&lt;100)),
VLOOKUP(FLOOR((Midterm!F77/F$5)*100,1),new_transmute,4,FALSE),
VLOOKUP(Midterm!F77,new_transmute,4,FALSE)
),
""
)
)
)
)
)
)
)
)
))</f>
        <v/>
      </c>
      <c r="G77" s="57" t="str">
        <f t="shared" si="11"/>
        <v/>
      </c>
      <c r="H77" s="14" t="str">
        <f>IF($B77="","",
IF(H$5="","",
IF(Midterm!H77="",0,
IF(NOT(ISNUMBER(Midterm!H77)),"NAN",
IF(Midterm!H77&lt;0,"NEG",
IF(Midterm!H77&gt;H$5,"OVER",
IF(AND(H$5&lt;=100,Midterm!H77&gt;100),"ERR",
IF(Info!$B$4="Non-board program",
IF(OR(AND(H$5&gt;0,H$5&gt;100),AND(H$5&gt;0,H$5&lt;100)),
VLOOKUP(FLOOR((Midterm!H77/H$5)*100,1),new_transmute,2,FALSE),
VLOOKUP(Midterm!H77,new_transmute,2,FALSE)
),
IF(Info!$B$4="Board program",
IF(OR(AND(H$5&gt;0,H$5&gt;100),AND(H$5&gt;0,H$5&lt;100)),
VLOOKUP(FLOOR((Midterm!H77/H$5)*100,1),new_transmute,3,FALSE),
VLOOKUP(Midterm!H77,new_transmute,3,FALSE)
),
IF(Info!$B$4="Board program (Medicine)",
IF(OR(AND(H$5&gt;0,H$5&gt;100),AND(H$5&gt;0,H$5&lt;100)),
VLOOKUP(FLOOR((Midterm!H77/H$5)*100,1),new_transmute,4,FALSE),
VLOOKUP(Midterm!H77,new_transmute,4,FALSE)
),
""
)
)
)
)
)
)
)
)
))</f>
        <v/>
      </c>
      <c r="I77" s="14" t="str">
        <f>IF($B77="","",
IF(I$5="","",
IF(Midterm!I77="",0,
IF(NOT(ISNUMBER(Midterm!I77)),"NAN",
IF(Midterm!I77&lt;0,"NEG",
IF(Midterm!I77&gt;I$5,"OVER",
IF(AND(I$5&lt;=100,Midterm!I77&gt;100),"ERR",
IF(Info!$B$4="Non-board program",
IF(OR(AND(I$5&gt;0,I$5&gt;100),AND(I$5&gt;0,I$5&lt;100)),
VLOOKUP(FLOOR((Midterm!I77/I$5)*100,1),new_transmute,2,FALSE),
VLOOKUP(Midterm!I77,new_transmute,2,FALSE)
),
IF(Info!$B$4="Board program",
IF(OR(AND(I$5&gt;0,I$5&gt;100),AND(I$5&gt;0,I$5&lt;100)),
VLOOKUP(FLOOR((Midterm!I77/I$5)*100,1),new_transmute,3,FALSE),
VLOOKUP(Midterm!I77,new_transmute,3,FALSE)
),
IF(Info!$B$4="Board program (Medicine)",
IF(OR(AND(I$5&gt;0,I$5&gt;100),AND(I$5&gt;0,I$5&lt;100)),
VLOOKUP(FLOOR((Midterm!I77/I$5)*100,1),new_transmute,4,FALSE),
VLOOKUP(Midterm!I77,new_transmute,4,FALSE)
),
""
)
)
)
)
)
)
)
)
))</f>
        <v/>
      </c>
      <c r="J77" s="14" t="str">
        <f>IF($B77="","",
IF(J$5="","",
IF(Midterm!J77="",0,
IF(NOT(ISNUMBER(Midterm!J77)),"NAN",
IF(Midterm!J77&lt;0,"NEG",
IF(Midterm!J77&gt;J$5,"OVER",
IF(AND(J$5&lt;=100,Midterm!J77&gt;100),"ERR",
IF(Info!$B$4="Non-board program",
IF(OR(AND(J$5&gt;0,J$5&gt;100),AND(J$5&gt;0,J$5&lt;100)),
VLOOKUP(FLOOR((Midterm!J77/J$5)*100,1),new_transmute,2,FALSE),
VLOOKUP(Midterm!J77,new_transmute,2,FALSE)
),
IF(Info!$B$4="Board program",
IF(OR(AND(J$5&gt;0,J$5&gt;100),AND(J$5&gt;0,J$5&lt;100)),
VLOOKUP(FLOOR((Midterm!J77/J$5)*100,1),new_transmute,3,FALSE),
VLOOKUP(Midterm!J77,new_transmute,3,FALSE)
),
IF(Info!$B$4="Board program (Medicine)",
IF(OR(AND(J$5&gt;0,J$5&gt;100),AND(J$5&gt;0,J$5&lt;100)),
VLOOKUP(FLOOR((Midterm!J77/J$5)*100,1),new_transmute,4,FALSE),
VLOOKUP(Midterm!J77,new_transmute,4,FALSE)
),
""
)
)
)
)
)
)
)
)
))</f>
        <v/>
      </c>
      <c r="K77" s="14" t="str">
        <f>IF($B77="","",
IF(K$5="","",
IF(Midterm!K77="",0,
IF(NOT(ISNUMBER(Midterm!K77)),"NAN",
IF(Midterm!K77&lt;0,"NEG",
IF(Midterm!K77&gt;K$5,"OVER",
IF(AND(K$5&lt;=100,Midterm!K77&gt;100),"ERR",
IF(Info!$B$4="Non-board program",
IF(OR(AND(K$5&gt;0,K$5&gt;100),AND(K$5&gt;0,K$5&lt;100)),
VLOOKUP(FLOOR((Midterm!K77/K$5)*100,1),new_transmute,2,FALSE),
VLOOKUP(Midterm!K77,new_transmute,2,FALSE)
),
IF(Info!$B$4="Board program",
IF(OR(AND(K$5&gt;0,K$5&gt;100),AND(K$5&gt;0,K$5&lt;100)),
VLOOKUP(FLOOR((Midterm!K77/K$5)*100,1),new_transmute,3,FALSE),
VLOOKUP(Midterm!K77,new_transmute,3,FALSE)
),
IF(Info!$B$4="Board program (Medicine)",
IF(OR(AND(K$5&gt;0,K$5&gt;100),AND(K$5&gt;0,K$5&lt;100)),
VLOOKUP(FLOOR((Midterm!K77/K$5)*100,1),new_transmute,4,FALSE),
VLOOKUP(Midterm!K77,new_transmute,4,FALSE)
),
""
)
)
)
)
)
)
)
)
))</f>
        <v/>
      </c>
      <c r="L77" s="14" t="str">
        <f>IF($B77="","",
IF(L$5="","",
IF(Midterm!L77="",0,
IF(NOT(ISNUMBER(Midterm!L77)),"NAN",
IF(Midterm!L77&lt;0,"NEG",
IF(Midterm!L77&gt;L$5,"OVER",
IF(AND(L$5&lt;=100,Midterm!L77&gt;100),"ERR",
IF(Info!$B$4="Non-board program",
IF(OR(AND(L$5&gt;0,L$5&gt;100),AND(L$5&gt;0,L$5&lt;100)),
VLOOKUP(FLOOR((Midterm!L77/L$5)*100,1),new_transmute,2,FALSE),
VLOOKUP(Midterm!L77,new_transmute,2,FALSE)
),
IF(Info!$B$4="Board program",
IF(OR(AND(L$5&gt;0,L$5&gt;100),AND(L$5&gt;0,L$5&lt;100)),
VLOOKUP(FLOOR((Midterm!L77/L$5)*100,1),new_transmute,3,FALSE),
VLOOKUP(Midterm!L77,new_transmute,3,FALSE)
),
IF(Info!$B$4="Board program (Medicine)",
IF(OR(AND(L$5&gt;0,L$5&gt;100),AND(L$5&gt;0,L$5&lt;100)),
VLOOKUP(FLOOR((Midterm!L77/L$5)*100,1),new_transmute,4,FALSE),
VLOOKUP(Midterm!L77,new_transmute,4,FALSE)
),
""
)
)
)
)
)
)
)
)
))</f>
        <v/>
      </c>
      <c r="M77" s="111" t="str">
        <f t="shared" si="12"/>
        <v/>
      </c>
      <c r="N77" s="14" t="str">
        <f>IF($B77="","",
IF(N$5="","",
IF(Midterm!N77="",0,
IF(NOT(ISNUMBER(Midterm!N77)),"NAN",
IF(Midterm!N77&lt;0,"NEG",
IF(Midterm!N77&gt;N$5,"OVER",
IF(AND(N$5&lt;=100,Midterm!N77&gt;100),"ERR",
IF(Info!$B$4="Non-board program",
IF(OR(AND(N$5&gt;0,N$5&gt;100),AND(N$5&gt;0,N$5&lt;100)),
VLOOKUP(FLOOR((Midterm!N77/N$5)*100,1),new_transmute,2,FALSE),
VLOOKUP(Midterm!N77,new_transmute,2,FALSE)
),
IF(Info!$B$4="Board program",
IF(OR(AND(N$5&gt;0,N$5&gt;100),AND(N$5&gt;0,N$5&lt;100)),
VLOOKUP(FLOOR((Midterm!N77/N$5)*100,1),new_transmute,3,FALSE),
VLOOKUP(Midterm!N77,new_transmute,3,FALSE)
),
IF(Info!$B$4="Board program (Medicine)",
IF(OR(AND(N$5&gt;0,N$5&gt;100),AND(N$5&gt;0,N$5&lt;100)),
VLOOKUP(FLOOR((Midterm!N77/N$5)*100,1),new_transmute,4,FALSE),
VLOOKUP(Midterm!N77,new_transmute,4,FALSE)
),
""
)
)
)
)
)
)
)
)
))</f>
        <v/>
      </c>
      <c r="O77" s="14" t="str">
        <f>IF($B77="","",
IF(O$5="","",
IF(Midterm!O77="",0,
IF(NOT(ISNUMBER(Midterm!O77)),"NAN",
IF(Midterm!O77&lt;0,"NEG",
IF(Midterm!O77&gt;O$5,"OVER",
IF(AND(O$5&lt;=100,Midterm!O77&gt;100),"ERR",
IF(Info!$B$4="Non-board program",
IF(OR(AND(O$5&gt;0,O$5&gt;100),AND(O$5&gt;0,O$5&lt;100)),
VLOOKUP(FLOOR((Midterm!O77/O$5)*100,1),new_transmute,2,FALSE),
VLOOKUP(Midterm!O77,new_transmute,2,FALSE)
),
IF(Info!$B$4="Board program",
IF(OR(AND(O$5&gt;0,O$5&gt;100),AND(O$5&gt;0,O$5&lt;100)),
VLOOKUP(FLOOR((Midterm!O77/O$5)*100,1),new_transmute,3,FALSE),
VLOOKUP(Midterm!O77,new_transmute,3,FALSE)
),
IF(Info!$B$4="Board program (Medicine)",
IF(OR(AND(O$5&gt;0,O$5&gt;100),AND(O$5&gt;0,O$5&lt;100)),
VLOOKUP(FLOOR((Midterm!O77/O$5)*100,1),new_transmute,4,FALSE),
VLOOKUP(Midterm!O77,new_transmute,4,FALSE)
),
""
)
)
)
)
)
)
)
)
))</f>
        <v/>
      </c>
      <c r="P77" s="14" t="str">
        <f>IF($B77="","",
IF(P$5="","",
IF(Midterm!P77="",0,
IF(NOT(ISNUMBER(Midterm!P77)),"NAN",
IF(Midterm!P77&lt;0,"NEG",
IF(Midterm!P77&gt;P$5,"OVER",
IF(AND(P$5&lt;=100,Midterm!P77&gt;100),"ERR",
IF(Info!$B$4="Non-board program",
IF(OR(AND(P$5&gt;0,P$5&gt;100),AND(P$5&gt;0,P$5&lt;100)),
VLOOKUP(FLOOR((Midterm!P77/P$5)*100,1),new_transmute,2,FALSE),
VLOOKUP(Midterm!P77,new_transmute,2,FALSE)
),
IF(Info!$B$4="Board program",
IF(OR(AND(P$5&gt;0,P$5&gt;100),AND(P$5&gt;0,P$5&lt;100)),
VLOOKUP(FLOOR((Midterm!P77/P$5)*100,1),new_transmute,3,FALSE),
VLOOKUP(Midterm!P77,new_transmute,3,FALSE)
),
IF(Info!$B$4="Board program (Medicine)",
IF(OR(AND(P$5&gt;0,P$5&gt;100),AND(P$5&gt;0,P$5&lt;100)),
VLOOKUP(FLOOR((Midterm!P77/P$5)*100,1),new_transmute,4,FALSE),
VLOOKUP(Midterm!P77,new_transmute,4,FALSE)
),
""
)
)
)
)
)
)
)
)
))</f>
        <v/>
      </c>
      <c r="Q77" s="14" t="str">
        <f>IF($B77="","",
IF(Q$5="","",
IF(Midterm!Q77="",0,
IF(NOT(ISNUMBER(Midterm!Q77)),"NAN",
IF(Midterm!Q77&lt;0,"NEG",
IF(Midterm!Q77&gt;Q$5,"OVER",
IF(AND(Q$5&lt;=100,Midterm!Q77&gt;100),"ERR",
IF(Info!$B$4="Non-board program",
IF(OR(AND(Q$5&gt;0,Q$5&gt;100),AND(Q$5&gt;0,Q$5&lt;100)),
VLOOKUP(FLOOR((Midterm!Q77/Q$5)*100,1),new_transmute,2,FALSE),
VLOOKUP(Midterm!Q77,new_transmute,2,FALSE)
),
IF(Info!$B$4="Board program",
IF(OR(AND(Q$5&gt;0,Q$5&gt;100),AND(Q$5&gt;0,Q$5&lt;100)),
VLOOKUP(FLOOR((Midterm!Q77/Q$5)*100,1),new_transmute,3,FALSE),
VLOOKUP(Midterm!Q77,new_transmute,3,FALSE)
),
IF(Info!$B$4="Board program (Medicine)",
IF(OR(AND(Q$5&gt;0,Q$5&gt;100),AND(Q$5&gt;0,Q$5&lt;100)),
VLOOKUP(FLOOR((Midterm!Q77/Q$5)*100,1),new_transmute,4,FALSE),
VLOOKUP(Midterm!Q77,new_transmute,4,FALSE)
),
""
)
)
)
)
)
)
)
)
))</f>
        <v/>
      </c>
      <c r="R77" s="14" t="str">
        <f>IF($B77="","",
IF(R$5="","",
IF(Midterm!R77="",0,
IF(NOT(ISNUMBER(Midterm!R77)),"NAN",
IF(Midterm!R77&lt;0,"NEG",
IF(Midterm!R77&gt;R$5,"OVER",
IF(AND(R$5&lt;=100,Midterm!R77&gt;100),"ERR",
IF(Info!$B$4="Non-board program",
IF(OR(AND(R$5&gt;0,R$5&gt;100),AND(R$5&gt;0,R$5&lt;100)),
VLOOKUP(FLOOR((Midterm!R77/R$5)*100,1),new_transmute,2,FALSE),
VLOOKUP(Midterm!R77,new_transmute,2,FALSE)
),
IF(Info!$B$4="Board program",
IF(OR(AND(R$5&gt;0,R$5&gt;100),AND(R$5&gt;0,R$5&lt;100)),
VLOOKUP(FLOOR((Midterm!R77/R$5)*100,1),new_transmute,3,FALSE),
VLOOKUP(Midterm!R77,new_transmute,3,FALSE)
),
IF(Info!$B$4="Board program (Medicine)",
IF(OR(AND(R$5&gt;0,R$5&gt;100),AND(R$5&gt;0,R$5&lt;100)),
VLOOKUP(FLOOR((Midterm!R77/R$5)*100,1),new_transmute,4,FALSE),
VLOOKUP(Midterm!R77,new_transmute,4,FALSE)
),
""
)
)
)
)
)
)
)
)
))</f>
        <v/>
      </c>
      <c r="S77" s="115" t="str">
        <f t="shared" si="13"/>
        <v/>
      </c>
      <c r="T77" s="14" t="str">
        <f>IF($B77="","",
IF(T$5="","",
IF(Midterm!T77="",0,
IF(NOT(ISNUMBER(Midterm!T77)),"NAN",
IF(Midterm!T77&lt;0,"NEG",
IF(Midterm!T77&gt;T$5,"OVER",
IF(AND(T$5&lt;=100,Midterm!T77&gt;100),"ERR",
IF(Info!$B$4="Non-board program",
IF(OR(AND(T$5&gt;0,T$5&gt;100),AND(T$5&gt;0,T$5&lt;100)),
VLOOKUP(FLOOR((Midterm!T77/T$5)*100,1),new_transmute,2,FALSE),
VLOOKUP(Midterm!T77,new_transmute,2,FALSE)
),
IF(Info!$B$4="Board program",
IF(OR(AND(T$5&gt;0,T$5&gt;100),AND(T$5&gt;0,T$5&lt;100)),
VLOOKUP(FLOOR((Midterm!T77/T$5)*100,1),new_transmute,3,FALSE),
VLOOKUP(Midterm!T77,new_transmute,3,FALSE)
),
IF(Info!$B$4="Board program (Medicine)",
IF(OR(AND(T$5&gt;0,T$5&gt;100),AND(T$5&gt;0,T$5&lt;100)),
VLOOKUP(FLOOR((Midterm!T77/T$5)*100,1),new_transmute,4,FALSE),
VLOOKUP(Midterm!T77,new_transmute,4,FALSE)
),
""
)
)
)
)
)
)
)
)
))</f>
        <v/>
      </c>
      <c r="U77" s="14" t="str">
        <f>IF($B77="","",
IF(U$5="","",
IF(Midterm!U77="",0,
IF(NOT(ISNUMBER(Midterm!U77)),"NAN",
IF(Midterm!U77&lt;0,"NEG",
IF(Midterm!U77&gt;U$5,"OVER",
IF(AND(U$5&lt;=100,Midterm!U77&gt;100),"ERR",
IF(Info!$B$4="Non-board program",
IF(OR(AND(U$5&gt;0,U$5&gt;100),AND(U$5&gt;0,U$5&lt;100)),
VLOOKUP(FLOOR((Midterm!U77/U$5)*100,1),new_transmute,2,FALSE),
VLOOKUP(Midterm!U77,new_transmute,2,FALSE)
),
IF(Info!$B$4="Board program",
IF(OR(AND(U$5&gt;0,U$5&gt;100),AND(U$5&gt;0,U$5&lt;100)),
VLOOKUP(FLOOR((Midterm!U77/U$5)*100,1),new_transmute,3,FALSE),
VLOOKUP(Midterm!U77,new_transmute,3,FALSE)
),
IF(Info!$B$4="Board program (Medicine)",
IF(OR(AND(U$5&gt;0,U$5&gt;100),AND(U$5&gt;0,U$5&lt;100)),
VLOOKUP(FLOOR((Midterm!U77/U$5)*100,1),new_transmute,4,FALSE),
VLOOKUP(Midterm!U77,new_transmute,4,FALSE)
),
""
)
)
)
)
)
)
)
)
))</f>
        <v/>
      </c>
      <c r="V77" s="14" t="str">
        <f>IF($B77="","",
IF(V$5="","",
IF(Midterm!V77="",0,
IF(NOT(ISNUMBER(Midterm!V77)),"NAN",
IF(Midterm!V77&lt;0,"NEG",
IF(Midterm!V77&gt;V$5,"OVER",
IF(AND(V$5&lt;=100,Midterm!V77&gt;100),"ERR",
IF(Info!$B$4="Non-board program",
IF(OR(AND(V$5&gt;0,V$5&gt;100),AND(V$5&gt;0,V$5&lt;100)),
VLOOKUP(FLOOR((Midterm!V77/V$5)*100,1),new_transmute,2,FALSE),
VLOOKUP(Midterm!V77,new_transmute,2,FALSE)
),
IF(Info!$B$4="Board program",
IF(OR(AND(V$5&gt;0,V$5&gt;100),AND(V$5&gt;0,V$5&lt;100)),
VLOOKUP(FLOOR((Midterm!V77/V$5)*100,1),new_transmute,3,FALSE),
VLOOKUP(Midterm!V77,new_transmute,3,FALSE)
),
IF(Info!$B$4="Board program (Medicine)",
IF(OR(AND(V$5&gt;0,V$5&gt;100),AND(V$5&gt;0,V$5&lt;100)),
VLOOKUP(FLOOR((Midterm!V77/V$5)*100,1),new_transmute,4,FALSE),
VLOOKUP(Midterm!V77,new_transmute,4,FALSE)
),
""
)
)
)
)
)
)
)
)
))</f>
        <v/>
      </c>
      <c r="W77" s="14" t="str">
        <f>IF($B77="","",
IF(W$5="","",
IF(Midterm!W77="",0,
IF(NOT(ISNUMBER(Midterm!W77)),"NAN",
IF(Midterm!W77&lt;0,"NEG",
IF(Midterm!W77&gt;W$5,"OVER",
IF(AND(W$5&lt;=100,Midterm!W77&gt;100),"ERR",
IF(Info!$B$4="Non-board program",
IF(OR(AND(W$5&gt;0,W$5&gt;100),AND(W$5&gt;0,W$5&lt;100)),
VLOOKUP(FLOOR((Midterm!W77/W$5)*100,1),new_transmute,2,FALSE),
VLOOKUP(Midterm!W77,new_transmute,2,FALSE)
),
IF(Info!$B$4="Board program",
IF(OR(AND(W$5&gt;0,W$5&gt;100),AND(W$5&gt;0,W$5&lt;100)),
VLOOKUP(FLOOR((Midterm!W77/W$5)*100,1),new_transmute,3,FALSE),
VLOOKUP(Midterm!W77,new_transmute,3,FALSE)
),
IF(Info!$B$4="Board program (Medicine)",
IF(OR(AND(W$5&gt;0,W$5&gt;100),AND(W$5&gt;0,W$5&lt;100)),
VLOOKUP(FLOOR((Midterm!W77/W$5)*100,1),new_transmute,4,FALSE),
VLOOKUP(Midterm!W77,new_transmute,4,FALSE)
),
""
)
)
)
)
)
)
)
)
))</f>
        <v/>
      </c>
      <c r="X77" s="14" t="str">
        <f>IF($B77="","",
IF(X$5="","",
IF(Midterm!X77="",0,
IF(NOT(ISNUMBER(Midterm!X77)),"NAN",
IF(Midterm!X77&lt;0,"NEG",
IF(Midterm!X77&gt;X$5,"OVER",
IF(AND(X$5&lt;=100,Midterm!X77&gt;100),"ERR",
IF(Info!$B$4="Non-board program",
IF(OR(AND(X$5&gt;0,X$5&gt;100),AND(X$5&gt;0,X$5&lt;100)),
VLOOKUP(FLOOR((Midterm!X77/X$5)*100,1),new_transmute,2,FALSE),
VLOOKUP(Midterm!X77,new_transmute,2,FALSE)
),
IF(Info!$B$4="Board program",
IF(OR(AND(X$5&gt;0,X$5&gt;100),AND(X$5&gt;0,X$5&lt;100)),
VLOOKUP(FLOOR((Midterm!X77/X$5)*100,1),new_transmute,3,FALSE),
VLOOKUP(Midterm!X77,new_transmute,3,FALSE)
),
IF(Info!$B$4="Board program (Medicine)",
IF(OR(AND(X$5&gt;0,X$5&gt;100),AND(X$5&gt;0,X$5&lt;100)),
VLOOKUP(FLOOR((Midterm!X77/X$5)*100,1),new_transmute,4,FALSE),
VLOOKUP(Midterm!X77,new_transmute,4,FALSE)
),
""
)
)
)
)
)
)
)
)
))</f>
        <v/>
      </c>
      <c r="Y77" s="112" t="str">
        <f t="shared" si="14"/>
        <v/>
      </c>
      <c r="Z77" s="14" t="str">
        <f>IF($B77="","",
IF(Z$5="","",
IF(Midterm!Z77="",0,
IF(NOT(ISNUMBER(Midterm!Z77)),"NAN",
IF(Midterm!Z77&lt;0,"NEG",
IF(Midterm!Z77&gt;Z$5,"OVER",
IF(AND(Z$5&lt;=100,Midterm!Z77&gt;100),"ERR",
IF(Info!$B$4="Non-board program",
IF(OR(AND(Z$5&gt;0,Z$5&gt;100),AND(Z$5&gt;0,Z$5&lt;100)),
VLOOKUP(FLOOR((Midterm!Z77/Z$5)*100,1),new_transmute,2,FALSE),
VLOOKUP(Midterm!Z77,new_transmute,2,FALSE)
),
IF(Info!$B$4="Board program",
IF(OR(AND(Z$5&gt;0,Z$5&gt;100),AND(Z$5&gt;0,Z$5&lt;100)),
VLOOKUP(FLOOR((Midterm!Z77/Z$5)*100,1),new_transmute,3,FALSE),
VLOOKUP(Midterm!Z77,new_transmute,3,FALSE)
),
IF(Info!$B$4="Board program (Medicine)",
IF(OR(AND(Z$5&gt;0,Z$5&gt;100),AND(Z$5&gt;0,Z$5&lt;100)),
VLOOKUP(FLOOR((Midterm!Z77/Z$5)*100,1),new_transmute,4,FALSE),
VLOOKUP(Midterm!Z77,new_transmute,4,FALSE)
),
""
)
)
)
)
)
)
)
)
))</f>
        <v/>
      </c>
      <c r="AA77" s="14" t="str">
        <f>IF($B77="","",
IF(AA$5="","",
IF(Midterm!AA77="",0,
IF(NOT(ISNUMBER(Midterm!AA77)),"NAN",
IF(Midterm!AA77&lt;0,"NEG",
IF(Midterm!AA77&gt;AA$5,"OVER",
IF(AND(AA$5&lt;=100,Midterm!AA77&gt;100),"ERR",
IF(Info!$B$4="Non-board program",
IF(OR(AND(AA$5&gt;0,AA$5&gt;100),AND(AA$5&gt;0,AA$5&lt;100)),
VLOOKUP(FLOOR((Midterm!AA77/AA$5)*100,1),new_transmute,2,FALSE),
VLOOKUP(Midterm!AA77,new_transmute,2,FALSE)
),
IF(Info!$B$4="Board program",
IF(OR(AND(AA$5&gt;0,AA$5&gt;100),AND(AA$5&gt;0,AA$5&lt;100)),
VLOOKUP(FLOOR((Midterm!AA77/AA$5)*100,1),new_transmute,3,FALSE),
VLOOKUP(Midterm!AA77,new_transmute,3,FALSE)
),
IF(Info!$B$4="Board program (Medicine)",
IF(OR(AND(AA$5&gt;0,AA$5&gt;100),AND(AA$5&gt;0,AA$5&lt;100)),
VLOOKUP(FLOOR((Midterm!AA77/AA$5)*100,1),new_transmute,4,FALSE),
VLOOKUP(Midterm!AA77,new_transmute,4,FALSE)
),
""
)
)
)
)
)
)
)
)
))</f>
        <v/>
      </c>
      <c r="AB77" s="14" t="str">
        <f>IF($B77="","",
IF(AB$5="","",
IF(Midterm!AB77="",0,
IF(NOT(ISNUMBER(Midterm!AB77)),"NAN",
IF(Midterm!AB77&lt;0,"NEG",
IF(Midterm!AB77&gt;AB$5,"OVER",
IF(AND(AB$5&lt;=100,Midterm!AB77&gt;100),"ERR",
IF(Info!$B$4="Non-board program",
IF(OR(AND(AB$5&gt;0,AB$5&gt;100),AND(AB$5&gt;0,AB$5&lt;100)),
VLOOKUP(FLOOR((Midterm!AB77/AB$5)*100,1),new_transmute,2,FALSE),
VLOOKUP(Midterm!AB77,new_transmute,2,FALSE)
),
IF(Info!$B$4="Board program",
IF(OR(AND(AB$5&gt;0,AB$5&gt;100),AND(AB$5&gt;0,AB$5&lt;100)),
VLOOKUP(FLOOR((Midterm!AB77/AB$5)*100,1),new_transmute,3,FALSE),
VLOOKUP(Midterm!AB77,new_transmute,3,FALSE)
),
IF(Info!$B$4="Board program (Medicine)",
IF(OR(AND(AB$5&gt;0,AB$5&gt;100),AND(AB$5&gt;0,AB$5&lt;100)),
VLOOKUP(FLOOR((Midterm!AB77/AB$5)*100,1),new_transmute,4,FALSE),
VLOOKUP(Midterm!AB77,new_transmute,4,FALSE)
),
""
)
)
)
)
)
)
)
)
))</f>
        <v/>
      </c>
      <c r="AC77" s="14" t="str">
        <f>IF($B77="","",
IF(AC$5="","",
IF(Midterm!AC77="",0,
IF(NOT(ISNUMBER(Midterm!AC77)),"NAN",
IF(Midterm!AC77&lt;0,"NEG",
IF(Midterm!AC77&gt;AC$5,"OVER",
IF(AND(AC$5&lt;=100,Midterm!AC77&gt;100),"ERR",
IF(Info!$B$4="Non-board program",
IF(OR(AND(AC$5&gt;0,AC$5&gt;100),AND(AC$5&gt;0,AC$5&lt;100)),
VLOOKUP(FLOOR((Midterm!AC77/AC$5)*100,1),new_transmute,2,FALSE),
VLOOKUP(Midterm!AC77,new_transmute,2,FALSE)
),
IF(Info!$B$4="Board program",
IF(OR(AND(AC$5&gt;0,AC$5&gt;100),AND(AC$5&gt;0,AC$5&lt;100)),
VLOOKUP(FLOOR((Midterm!AC77/AC$5)*100,1),new_transmute,3,FALSE),
VLOOKUP(Midterm!AC77,new_transmute,3,FALSE)
),
IF(Info!$B$4="Board program (Medicine)",
IF(OR(AND(AC$5&gt;0,AC$5&gt;100),AND(AC$5&gt;0,AC$5&lt;100)),
VLOOKUP(FLOOR((Midterm!AC77/AC$5)*100,1),new_transmute,4,FALSE),
VLOOKUP(Midterm!AC77,new_transmute,4,FALSE)
),
""
)
)
)
)
)
)
)
)
))</f>
        <v/>
      </c>
      <c r="AD77" s="14" t="str">
        <f>IF($B77="","",
IF(AD$5="","",
IF(Midterm!AD77="",0,
IF(NOT(ISNUMBER(Midterm!AD77)),"NAN",
IF(Midterm!AD77&lt;0,"NEG",
IF(Midterm!AD77&gt;AD$5,"OVER",
IF(AND(AD$5&lt;=100,Midterm!AD77&gt;100),"ERR",
IF(Info!$B$4="Non-board program",
IF(OR(AND(AD$5&gt;0,AD$5&gt;100),AND(AD$5&gt;0,AD$5&lt;100)),
VLOOKUP(FLOOR((Midterm!AD77/AD$5)*100,1),new_transmute,2,FALSE),
VLOOKUP(Midterm!AD77,new_transmute,2,FALSE)
),
IF(Info!$B$4="Board program",
IF(OR(AND(AD$5&gt;0,AD$5&gt;100),AND(AD$5&gt;0,AD$5&lt;100)),
VLOOKUP(FLOOR((Midterm!AD77/AD$5)*100,1),new_transmute,3,FALSE),
VLOOKUP(Midterm!AD77,new_transmute,3,FALSE)
),
IF(Info!$B$4="Board program (Medicine)",
IF(OR(AND(AD$5&gt;0,AD$5&gt;100),AND(AD$5&gt;0,AD$5&lt;100)),
VLOOKUP(FLOOR((Midterm!AD77/AD$5)*100,1),new_transmute,4,FALSE),
VLOOKUP(Midterm!AD77,new_transmute,4,FALSE)
),
""
)
)
)
)
)
)
)
)
))</f>
        <v/>
      </c>
      <c r="AE77" s="58" t="str">
        <f t="shared" si="15"/>
        <v/>
      </c>
      <c r="AF77" s="14" t="str">
        <f>IF($B77="","",
IF(AF$5="","",
IF(Midterm!AF77="",0,
IF(NOT(ISNUMBER(Midterm!AF77)),"NAN",
IF(Midterm!AF77&lt;0,"NEG",
IF(Midterm!AF77&gt;AF$5,"OVER",
IF(AND(AF$5&lt;=100,Midterm!AF77&gt;100),"ERR",
IF(Info!$B$4="Non-board program",
IF(OR(AND(AF$5&gt;0,AF$5&gt;100),AND(AF$5&gt;0,AF$5&lt;100)),
VLOOKUP(FLOOR((Midterm!AF77/AF$5)*100,1),new_transmute,2,FALSE),
VLOOKUP(Midterm!AF77,new_transmute,2,FALSE)
),
IF(Info!$B$4="Board program",
IF(OR(AND(AF$5&gt;0,AF$5&gt;100),AND(AF$5&gt;0,AF$5&lt;100)),
VLOOKUP(FLOOR((Midterm!AF77/AF$5)*100,1),new_transmute,3,FALSE),
VLOOKUP(Midterm!AF77,new_transmute,3,FALSE)
),
IF(Info!$B$4="Board program (Medicine)",
IF(OR(AND(AF$5&gt;0,AF$5&gt;100),AND(AF$5&gt;0,AF$5&lt;100)),
VLOOKUP(FLOOR((Midterm!AF77/AF$5)*100,1),new_transmute,4,FALSE),
VLOOKUP(Midterm!AF77,new_transmute,4,FALSE)
),
""
)
)
)
)
)
)
)
)
))</f>
        <v/>
      </c>
      <c r="AG77" s="14" t="str">
        <f>IF($B77="","",
IF(AG$5="","",
IF(Midterm!AG77="",0,
IF(NOT(ISNUMBER(Midterm!AG77)),"NAN",
IF(Midterm!AG77&lt;0,"NEG",
IF(Midterm!AG77&gt;AG$5,"OVER",
IF(AND(AG$5&lt;=100,Midterm!AG77&gt;100),"ERR",
IF(Info!$B$4="Non-board program",
IF(OR(AND(AG$5&gt;0,AG$5&gt;100),AND(AG$5&gt;0,AG$5&lt;100)),
VLOOKUP(FLOOR((Midterm!AG77/AG$5)*100,1),new_transmute,2,FALSE),
VLOOKUP(Midterm!AG77,new_transmute,2,FALSE)
),
IF(Info!$B$4="Board program",
IF(OR(AND(AG$5&gt;0,AG$5&gt;100),AND(AG$5&gt;0,AG$5&lt;100)),
VLOOKUP(FLOOR((Midterm!AG77/AG$5)*100,1),new_transmute,3,FALSE),
VLOOKUP(Midterm!AG77,new_transmute,3,FALSE)
),
IF(Info!$B$4="Board program (Medicine)",
IF(OR(AND(AG$5&gt;0,AG$5&gt;100),AND(AG$5&gt;0,AG$5&lt;100)),
VLOOKUP(FLOOR((Midterm!AG77/AG$5)*100,1),new_transmute,4,FALSE),
VLOOKUP(Midterm!AG77,new_transmute,4,FALSE)
),
""
)
)
)
)
)
)
)
)
))</f>
        <v/>
      </c>
      <c r="AH77" s="14" t="str">
        <f>IF($B77="","",
IF(AH$5="","",
IF(Midterm!AH77="",0,
IF(NOT(ISNUMBER(Midterm!AH77)),"NAN",
IF(Midterm!AH77&lt;0,"NEG",
IF(Midterm!AH77&gt;AH$5,"OVER",
IF(AND(AH$5&lt;=100,Midterm!AH77&gt;100),"ERR",
IF(Info!$B$4="Non-board program",
IF(OR(AND(AH$5&gt;0,AH$5&gt;100),AND(AH$5&gt;0,AH$5&lt;100)),
VLOOKUP(FLOOR((Midterm!AH77/AH$5)*100,1),new_transmute,2,FALSE),
VLOOKUP(Midterm!AH77,new_transmute,2,FALSE)
),
IF(Info!$B$4="Board program",
IF(OR(AND(AH$5&gt;0,AH$5&gt;100),AND(AH$5&gt;0,AH$5&lt;100)),
VLOOKUP(FLOOR((Midterm!AH77/AH$5)*100,1),new_transmute,3,FALSE),
VLOOKUP(Midterm!AH77,new_transmute,3,FALSE)
),
IF(Info!$B$4="Board program (Medicine)",
IF(OR(AND(AH$5&gt;0,AH$5&gt;100),AND(AH$5&gt;0,AH$5&lt;100)),
VLOOKUP(FLOOR((Midterm!AH77/AH$5)*100,1),new_transmute,4,FALSE),
VLOOKUP(Midterm!AH77,new_transmute,4,FALSE)
),
""
)
)
)
)
)
)
)
)
))</f>
        <v/>
      </c>
      <c r="AI77" s="14" t="str">
        <f>IF($B77="","",
IF(AI$5="","",
IF(Midterm!AI77="",0,
IF(NOT(ISNUMBER(Midterm!AI77)),"NAN",
IF(Midterm!AI77&lt;0,"NEG",
IF(Midterm!AI77&gt;AI$5,"OVER",
IF(AND(AI$5&lt;=100,Midterm!AI77&gt;100),"ERR",
IF(Info!$B$4="Non-board program",
IF(OR(AND(AI$5&gt;0,AI$5&gt;100),AND(AI$5&gt;0,AI$5&lt;100)),
VLOOKUP(FLOOR((Midterm!AI77/AI$5)*100,1),new_transmute,2,FALSE),
VLOOKUP(Midterm!AI77,new_transmute,2,FALSE)
),
IF(Info!$B$4="Board program",
IF(OR(AND(AI$5&gt;0,AI$5&gt;100),AND(AI$5&gt;0,AI$5&lt;100)),
VLOOKUP(FLOOR((Midterm!AI77/AI$5)*100,1),new_transmute,3,FALSE),
VLOOKUP(Midterm!AI77,new_transmute,3,FALSE)
),
IF(Info!$B$4="Board program (Medicine)",
IF(OR(AND(AI$5&gt;0,AI$5&gt;100),AND(AI$5&gt;0,AI$5&lt;100)),
VLOOKUP(FLOOR((Midterm!AI77/AI$5)*100,1),new_transmute,4,FALSE),
VLOOKUP(Midterm!AI77,new_transmute,4,FALSE)
),
""
)
)
)
)
)
)
)
)
))</f>
        <v/>
      </c>
      <c r="AJ77" s="14" t="str">
        <f>IF($B77="","",
IF(AJ$5="","",
IF(Midterm!AJ77="",0,
IF(NOT(ISNUMBER(Midterm!AJ77)),"NAN",
IF(Midterm!AJ77&lt;0,"NEG",
IF(Midterm!AJ77&gt;AJ$5,"OVER",
IF(AND(AJ$5&lt;=100,Midterm!AJ77&gt;100),"ERR",
IF(Info!$B$4="Non-board program",
IF(OR(AND(AJ$5&gt;0,AJ$5&gt;100),AND(AJ$5&gt;0,AJ$5&lt;100)),
VLOOKUP(FLOOR((Midterm!AJ77/AJ$5)*100,1),new_transmute,2,FALSE),
VLOOKUP(Midterm!AJ77,new_transmute,2,FALSE)
),
IF(Info!$B$4="Board program",
IF(OR(AND(AJ$5&gt;0,AJ$5&gt;100),AND(AJ$5&gt;0,AJ$5&lt;100)),
VLOOKUP(FLOOR((Midterm!AJ77/AJ$5)*100,1),new_transmute,3,FALSE),
VLOOKUP(Midterm!AJ77,new_transmute,3,FALSE)
),
IF(Info!$B$4="Board program (Medicine)",
IF(OR(AND(AJ$5&gt;0,AJ$5&gt;100),AND(AJ$5&gt;0,AJ$5&lt;100)),
VLOOKUP(FLOOR((Midterm!AJ77/AJ$5)*100,1),new_transmute,4,FALSE),
VLOOKUP(Midterm!AJ77,new_transmute,4,FALSE)
),
""
)
)
)
)
)
)
)
)
))</f>
        <v/>
      </c>
      <c r="AK77" s="59" t="str">
        <f t="shared" si="16"/>
        <v/>
      </c>
      <c r="AL77" s="60" t="str">
        <f>IF(B77="", "",
    IF(OR(M77="OVER", S77="OVER", Y77="OVER", AE77="OVER", AK77="OVER"),
        "OVER",
        IF(Info!$B$4="Non-board program",
            VLOOKUP(IFERROR(FLOOR(SUM((M77*$M$4), (S77*$S$4), (Y77*$Y$4), (AE77*$AE$4), (AK77*$AK$4)) * (100 / 60), 1), 0), new_transmute, 2, FALSE),
            IF(Info!$B$4="Board program",
                VLOOKUP(IFERROR(FLOOR(SUM((M77*$M$4), (S77*$S$4), (Y77*$Y$4), (AE77*$AE$4), (AK77*$AK$4)) * (100 / 60), 1), 0), new_transmute, 3, FALSE),
                IF(Info!$B$4="Board program (Medicine)",
                    VLOOKUP(IFERROR(FLOOR(SUM((M77*$M$4), (S77*$S$4), (Y77*$Y$4), (AE77*$AE$4), (AK77*$AK$4)) * (100 / 60), 1), 0), new_transmute, 4, FALSE),
                    ""
                )
            )
        )
    )
)</f>
        <v/>
      </c>
      <c r="AM77" s="14" t="str">
        <f>IF($B77="","",
IF(AM$5="","",
IF(Midterm!AM77="",0,
IF(NOT(ISNUMBER(Midterm!AM77)),"NAN",
IF(Midterm!AM77&lt;0,"NEG",
IF(Midterm!AM77&gt;AM$5,"OVER",
IF(AND(AM$5&lt;=100,Midterm!AM77&gt;100),"ERR",
IF(Info!$B$4="Non-board program",
IF(OR(AND(AM$5&gt;0,AM$5&gt;100),AND(AM$5&gt;0,AM$5&lt;100)),
VLOOKUP(FLOOR((Midterm!AM77/AM$5)*100,1),new_transmute,2,FALSE),
VLOOKUP(Midterm!AM77,new_transmute,2,FALSE)
),
IF(Info!$B$4="Board program",
IF(OR(AND(AM$5&gt;0,AM$5&gt;100),AND(AM$5&gt;0,AM$5&lt;100)),
VLOOKUP(FLOOR((Midterm!AM77/AM$5)*100,1),new_transmute,3,FALSE),
VLOOKUP(Midterm!AM77,new_transmute,3,FALSE)
),
IF(Info!$B$4="Board program (Medicine)",
IF(OR(AND(AM$5&gt;0,AM$5&gt;100),AND(AM$5&gt;0,AM$5&lt;100)),
VLOOKUP(FLOOR((Midterm!AM77/AM$5)*100,1),new_transmute,4,FALSE),
VLOOKUP(Midterm!AM77,new_transmute,4,FALSE)
),
""
)
)
)
)
)
)
)
)
))</f>
        <v/>
      </c>
      <c r="AN77" s="14" t="str">
        <f>IF($B77="","",
IF(AN$5="","",
IF(Midterm!AN77="",0,
IF(NOT(ISNUMBER(Midterm!AN77)),"NAN",
IF(Midterm!AN77&lt;0,"NEG",
IF(Midterm!AN77&gt;AN$5,"OVER",
IF(AND(AN$5&lt;=100,Midterm!AN77&gt;100),"ERR",
IF(Info!$B$4="Non-board program",
IF(OR(AND(AN$5&gt;0,AN$5&gt;100),AND(AN$5&gt;0,AN$5&lt;100)),
VLOOKUP(FLOOR((Midterm!AN77/AN$5)*100,1),new_transmute,2,FALSE),
VLOOKUP(Midterm!AN77,new_transmute,2,FALSE)
),
IF(Info!$B$4="Board program",
IF(OR(AND(AN$5&gt;0,AN$5&gt;100),AND(AN$5&gt;0,AN$5&lt;100)),
VLOOKUP(FLOOR((Midterm!AN77/AN$5)*100,1),new_transmute,3,FALSE),
VLOOKUP(Midterm!AN77,new_transmute,3,FALSE)
),
IF(Info!$B$4="Board program (Medicine)",
IF(OR(AND(AN$5&gt;0,AN$5&gt;100),AND(AN$5&gt;0,AN$5&lt;100)),
VLOOKUP(FLOOR((Midterm!AN77/AN$5)*100,1),new_transmute,4,FALSE),
VLOOKUP(Midterm!AN77,new_transmute,4,FALSE)
),
""
)
)
)
)
)
)
)
)
))</f>
        <v/>
      </c>
      <c r="AO77" s="14" t="str">
        <f>IF($B77="","",
IF(AO$5="","",
IF(Midterm!AO77="",0,
IF(NOT(ISNUMBER(Midterm!AO77)),"NAN",
IF(Midterm!AO77&lt;0,"NEG",
IF(Midterm!AO77&gt;AO$5,"OVER",
IF(AND(AO$5&lt;=100,Midterm!AO77&gt;100),"ERR",
IF(Info!$B$4="Non-board program",
IF(OR(AND(AO$5&gt;0,AO$5&gt;100),AND(AO$5&gt;0,AO$5&lt;100)),
VLOOKUP(FLOOR((Midterm!AO77/AO$5)*100,1),new_transmute,2,FALSE),
VLOOKUP(Midterm!AO77,new_transmute,2,FALSE)
),
IF(Info!$B$4="Board program",
IF(OR(AND(AO$5&gt;0,AO$5&gt;100),AND(AO$5&gt;0,AO$5&lt;100)),
VLOOKUP(FLOOR((Midterm!AO77/AO$5)*100,1),new_transmute,3,FALSE),
VLOOKUP(Midterm!AO77,new_transmute,3,FALSE)
),
IF(Info!$B$4="Board program (Medicine)",
IF(OR(AND(AO$5&gt;0,AO$5&gt;100),AND(AO$5&gt;0,AO$5&lt;100)),
VLOOKUP(FLOOR((Midterm!AO77/AO$5)*100,1),new_transmute,4,FALSE),
VLOOKUP(Midterm!AO77,new_transmute,4,FALSE)
),
""
)
)
)
)
)
)
)
)
))</f>
        <v/>
      </c>
      <c r="AP77" s="14" t="str">
        <f>IF($B77="","",
IF(AP$5="","",
IF(Midterm!AP77="",0,
IF(NOT(ISNUMBER(Midterm!AP77)),"NAN",
IF(Midterm!AP77&lt;0,"NEG",
IF(Midterm!AP77&gt;AP$5,"OVER",
IF(AND(AP$5&lt;=100,Midterm!AP77&gt;100),"ERR",
IF(Info!$B$4="Non-board program",
IF(OR(AND(AP$5&gt;0,AP$5&gt;100),AND(AP$5&gt;0,AP$5&lt;100)),
VLOOKUP(FLOOR((Midterm!AP77/AP$5)*100,1),new_transmute,2,FALSE),
VLOOKUP(Midterm!AP77,new_transmute,2,FALSE)
),
IF(Info!$B$4="Board program",
IF(OR(AND(AP$5&gt;0,AP$5&gt;100),AND(AP$5&gt;0,AP$5&lt;100)),
VLOOKUP(FLOOR((Midterm!AP77/AP$5)*100,1),new_transmute,3,FALSE),
VLOOKUP(Midterm!AP77,new_transmute,3,FALSE)
),
IF(Info!$B$4="Board program (Medicine)",
IF(OR(AND(AP$5&gt;0,AP$5&gt;100),AND(AP$5&gt;0,AP$5&lt;100)),
VLOOKUP(FLOOR((Midterm!AP77/AP$5)*100,1),new_transmute,4,FALSE),
VLOOKUP(Midterm!AP77,new_transmute,4,FALSE)
),
""
)
)
)
)
)
)
)
)
))</f>
        <v/>
      </c>
      <c r="AQ77" s="61" t="str">
        <f t="shared" si="17"/>
        <v/>
      </c>
      <c r="AR77" s="48" t="str">
        <f>IF(Midterm!AR77="","",Midterm!AR77)</f>
        <v/>
      </c>
      <c r="AS77" s="165" t="str">
        <f t="shared" si="18"/>
        <v/>
      </c>
      <c r="AT77" s="14" t="str">
        <f t="shared" si="19"/>
        <v/>
      </c>
      <c r="AU77" s="14" t="str">
        <f>IF(B77="","",VLOOKUP(AT77,'New Grade Equivalent'!$B$3:$C$47,2,FALSE))</f>
        <v/>
      </c>
    </row>
    <row r="78" spans="1:47" x14ac:dyDescent="0.25">
      <c r="A78" s="8">
        <v>73</v>
      </c>
      <c r="B78" s="2" t="str">
        <f>IF('Student List'!C82="","",UPPER(LEFT('Student List'!C82,FIND(",",'Student List'!C82)-1)))</f>
        <v/>
      </c>
      <c r="C78" s="12" t="str">
        <f>IF('Student List'!C82="","",PROPER(MID('Student List'!C82, FIND(",", 'Student List'!C82) + 2, LEN('Student List'!C82) - FIND(",", 'Student List'!C82) - 1)))</f>
        <v/>
      </c>
      <c r="D78" s="127" t="str">
        <f>IF(B78="","",IF(Midterm!D78="", "NA", Midterm!D78))</f>
        <v/>
      </c>
      <c r="E78" s="8" t="str">
        <f>IF(B78="","",
  IF(Info!$B$5="First Year",
    IF(D78="Yes", "DRP",
      IF(D78="No", "WF", "")
    )
  )
)</f>
        <v/>
      </c>
      <c r="F78" s="14" t="str">
        <f>IF($B78="","",
IF(F$5="","",
IF(Midterm!F78="",0,
IF(NOT(ISNUMBER(Midterm!F78)),"NAN",
IF(Midterm!F78&lt;0,"NEG",
IF(Midterm!F78&gt;F$5,"OVER",
IF(AND(F$5&lt;=100,Midterm!F78&gt;100),"ERR",
IF(Info!$B$4="Non-board program",
IF(OR(AND(F$5&gt;0,F$5&gt;100),AND(F$5&gt;0,F$5&lt;100)),
VLOOKUP(FLOOR((Midterm!F78/F$5)*100,1),new_transmute,2,FALSE),
VLOOKUP(Midterm!F78,new_transmute,2,FALSE)
),
IF(Info!$B$4="Board program",
IF(OR(AND(F$5&gt;0,F$5&gt;100),AND(F$5&gt;0,F$5&lt;100)),
VLOOKUP(FLOOR((Midterm!F78/F$5)*100,1),new_transmute,3,FALSE),
VLOOKUP(Midterm!F78,new_transmute,3,FALSE)
),
IF(Info!$B$4="Board program (Medicine)",
IF(OR(AND(F$5&gt;0,F$5&gt;100),AND(F$5&gt;0,F$5&lt;100)),
VLOOKUP(FLOOR((Midterm!F78/F$5)*100,1),new_transmute,4,FALSE),
VLOOKUP(Midterm!F78,new_transmute,4,FALSE)
),
""
)
)
)
)
)
)
)
)
))</f>
        <v/>
      </c>
      <c r="G78" s="57" t="str">
        <f t="shared" si="11"/>
        <v/>
      </c>
      <c r="H78" s="14" t="str">
        <f>IF($B78="","",
IF(H$5="","",
IF(Midterm!H78="",0,
IF(NOT(ISNUMBER(Midterm!H78)),"NAN",
IF(Midterm!H78&lt;0,"NEG",
IF(Midterm!H78&gt;H$5,"OVER",
IF(AND(H$5&lt;=100,Midterm!H78&gt;100),"ERR",
IF(Info!$B$4="Non-board program",
IF(OR(AND(H$5&gt;0,H$5&gt;100),AND(H$5&gt;0,H$5&lt;100)),
VLOOKUP(FLOOR((Midterm!H78/H$5)*100,1),new_transmute,2,FALSE),
VLOOKUP(Midterm!H78,new_transmute,2,FALSE)
),
IF(Info!$B$4="Board program",
IF(OR(AND(H$5&gt;0,H$5&gt;100),AND(H$5&gt;0,H$5&lt;100)),
VLOOKUP(FLOOR((Midterm!H78/H$5)*100,1),new_transmute,3,FALSE),
VLOOKUP(Midterm!H78,new_transmute,3,FALSE)
),
IF(Info!$B$4="Board program (Medicine)",
IF(OR(AND(H$5&gt;0,H$5&gt;100),AND(H$5&gt;0,H$5&lt;100)),
VLOOKUP(FLOOR((Midterm!H78/H$5)*100,1),new_transmute,4,FALSE),
VLOOKUP(Midterm!H78,new_transmute,4,FALSE)
),
""
)
)
)
)
)
)
)
)
))</f>
        <v/>
      </c>
      <c r="I78" s="14" t="str">
        <f>IF($B78="","",
IF(I$5="","",
IF(Midterm!I78="",0,
IF(NOT(ISNUMBER(Midterm!I78)),"NAN",
IF(Midterm!I78&lt;0,"NEG",
IF(Midterm!I78&gt;I$5,"OVER",
IF(AND(I$5&lt;=100,Midterm!I78&gt;100),"ERR",
IF(Info!$B$4="Non-board program",
IF(OR(AND(I$5&gt;0,I$5&gt;100),AND(I$5&gt;0,I$5&lt;100)),
VLOOKUP(FLOOR((Midterm!I78/I$5)*100,1),new_transmute,2,FALSE),
VLOOKUP(Midterm!I78,new_transmute,2,FALSE)
),
IF(Info!$B$4="Board program",
IF(OR(AND(I$5&gt;0,I$5&gt;100),AND(I$5&gt;0,I$5&lt;100)),
VLOOKUP(FLOOR((Midterm!I78/I$5)*100,1),new_transmute,3,FALSE),
VLOOKUP(Midterm!I78,new_transmute,3,FALSE)
),
IF(Info!$B$4="Board program (Medicine)",
IF(OR(AND(I$5&gt;0,I$5&gt;100),AND(I$5&gt;0,I$5&lt;100)),
VLOOKUP(FLOOR((Midterm!I78/I$5)*100,1),new_transmute,4,FALSE),
VLOOKUP(Midterm!I78,new_transmute,4,FALSE)
),
""
)
)
)
)
)
)
)
)
))</f>
        <v/>
      </c>
      <c r="J78" s="14" t="str">
        <f>IF($B78="","",
IF(J$5="","",
IF(Midterm!J78="",0,
IF(NOT(ISNUMBER(Midterm!J78)),"NAN",
IF(Midterm!J78&lt;0,"NEG",
IF(Midterm!J78&gt;J$5,"OVER",
IF(AND(J$5&lt;=100,Midterm!J78&gt;100),"ERR",
IF(Info!$B$4="Non-board program",
IF(OR(AND(J$5&gt;0,J$5&gt;100),AND(J$5&gt;0,J$5&lt;100)),
VLOOKUP(FLOOR((Midterm!J78/J$5)*100,1),new_transmute,2,FALSE),
VLOOKUP(Midterm!J78,new_transmute,2,FALSE)
),
IF(Info!$B$4="Board program",
IF(OR(AND(J$5&gt;0,J$5&gt;100),AND(J$5&gt;0,J$5&lt;100)),
VLOOKUP(FLOOR((Midterm!J78/J$5)*100,1),new_transmute,3,FALSE),
VLOOKUP(Midterm!J78,new_transmute,3,FALSE)
),
IF(Info!$B$4="Board program (Medicine)",
IF(OR(AND(J$5&gt;0,J$5&gt;100),AND(J$5&gt;0,J$5&lt;100)),
VLOOKUP(FLOOR((Midterm!J78/J$5)*100,1),new_transmute,4,FALSE),
VLOOKUP(Midterm!J78,new_transmute,4,FALSE)
),
""
)
)
)
)
)
)
)
)
))</f>
        <v/>
      </c>
      <c r="K78" s="14" t="str">
        <f>IF($B78="","",
IF(K$5="","",
IF(Midterm!K78="",0,
IF(NOT(ISNUMBER(Midterm!K78)),"NAN",
IF(Midterm!K78&lt;0,"NEG",
IF(Midterm!K78&gt;K$5,"OVER",
IF(AND(K$5&lt;=100,Midterm!K78&gt;100),"ERR",
IF(Info!$B$4="Non-board program",
IF(OR(AND(K$5&gt;0,K$5&gt;100),AND(K$5&gt;0,K$5&lt;100)),
VLOOKUP(FLOOR((Midterm!K78/K$5)*100,1),new_transmute,2,FALSE),
VLOOKUP(Midterm!K78,new_transmute,2,FALSE)
),
IF(Info!$B$4="Board program",
IF(OR(AND(K$5&gt;0,K$5&gt;100),AND(K$5&gt;0,K$5&lt;100)),
VLOOKUP(FLOOR((Midterm!K78/K$5)*100,1),new_transmute,3,FALSE),
VLOOKUP(Midterm!K78,new_transmute,3,FALSE)
),
IF(Info!$B$4="Board program (Medicine)",
IF(OR(AND(K$5&gt;0,K$5&gt;100),AND(K$5&gt;0,K$5&lt;100)),
VLOOKUP(FLOOR((Midterm!K78/K$5)*100,1),new_transmute,4,FALSE),
VLOOKUP(Midterm!K78,new_transmute,4,FALSE)
),
""
)
)
)
)
)
)
)
)
))</f>
        <v/>
      </c>
      <c r="L78" s="14" t="str">
        <f>IF($B78="","",
IF(L$5="","",
IF(Midterm!L78="",0,
IF(NOT(ISNUMBER(Midterm!L78)),"NAN",
IF(Midterm!L78&lt;0,"NEG",
IF(Midterm!L78&gt;L$5,"OVER",
IF(AND(L$5&lt;=100,Midterm!L78&gt;100),"ERR",
IF(Info!$B$4="Non-board program",
IF(OR(AND(L$5&gt;0,L$5&gt;100),AND(L$5&gt;0,L$5&lt;100)),
VLOOKUP(FLOOR((Midterm!L78/L$5)*100,1),new_transmute,2,FALSE),
VLOOKUP(Midterm!L78,new_transmute,2,FALSE)
),
IF(Info!$B$4="Board program",
IF(OR(AND(L$5&gt;0,L$5&gt;100),AND(L$5&gt;0,L$5&lt;100)),
VLOOKUP(FLOOR((Midterm!L78/L$5)*100,1),new_transmute,3,FALSE),
VLOOKUP(Midterm!L78,new_transmute,3,FALSE)
),
IF(Info!$B$4="Board program (Medicine)",
IF(OR(AND(L$5&gt;0,L$5&gt;100),AND(L$5&gt;0,L$5&lt;100)),
VLOOKUP(FLOOR((Midterm!L78/L$5)*100,1),new_transmute,4,FALSE),
VLOOKUP(Midterm!L78,new_transmute,4,FALSE)
),
""
)
)
)
)
)
)
)
)
))</f>
        <v/>
      </c>
      <c r="M78" s="111" t="str">
        <f t="shared" si="12"/>
        <v/>
      </c>
      <c r="N78" s="14" t="str">
        <f>IF($B78="","",
IF(N$5="","",
IF(Midterm!N78="",0,
IF(NOT(ISNUMBER(Midterm!N78)),"NAN",
IF(Midterm!N78&lt;0,"NEG",
IF(Midterm!N78&gt;N$5,"OVER",
IF(AND(N$5&lt;=100,Midterm!N78&gt;100),"ERR",
IF(Info!$B$4="Non-board program",
IF(OR(AND(N$5&gt;0,N$5&gt;100),AND(N$5&gt;0,N$5&lt;100)),
VLOOKUP(FLOOR((Midterm!N78/N$5)*100,1),new_transmute,2,FALSE),
VLOOKUP(Midterm!N78,new_transmute,2,FALSE)
),
IF(Info!$B$4="Board program",
IF(OR(AND(N$5&gt;0,N$5&gt;100),AND(N$5&gt;0,N$5&lt;100)),
VLOOKUP(FLOOR((Midterm!N78/N$5)*100,1),new_transmute,3,FALSE),
VLOOKUP(Midterm!N78,new_transmute,3,FALSE)
),
IF(Info!$B$4="Board program (Medicine)",
IF(OR(AND(N$5&gt;0,N$5&gt;100),AND(N$5&gt;0,N$5&lt;100)),
VLOOKUP(FLOOR((Midterm!N78/N$5)*100,1),new_transmute,4,FALSE),
VLOOKUP(Midterm!N78,new_transmute,4,FALSE)
),
""
)
)
)
)
)
)
)
)
))</f>
        <v/>
      </c>
      <c r="O78" s="14" t="str">
        <f>IF($B78="","",
IF(O$5="","",
IF(Midterm!O78="",0,
IF(NOT(ISNUMBER(Midterm!O78)),"NAN",
IF(Midterm!O78&lt;0,"NEG",
IF(Midterm!O78&gt;O$5,"OVER",
IF(AND(O$5&lt;=100,Midterm!O78&gt;100),"ERR",
IF(Info!$B$4="Non-board program",
IF(OR(AND(O$5&gt;0,O$5&gt;100),AND(O$5&gt;0,O$5&lt;100)),
VLOOKUP(FLOOR((Midterm!O78/O$5)*100,1),new_transmute,2,FALSE),
VLOOKUP(Midterm!O78,new_transmute,2,FALSE)
),
IF(Info!$B$4="Board program",
IF(OR(AND(O$5&gt;0,O$5&gt;100),AND(O$5&gt;0,O$5&lt;100)),
VLOOKUP(FLOOR((Midterm!O78/O$5)*100,1),new_transmute,3,FALSE),
VLOOKUP(Midterm!O78,new_transmute,3,FALSE)
),
IF(Info!$B$4="Board program (Medicine)",
IF(OR(AND(O$5&gt;0,O$5&gt;100),AND(O$5&gt;0,O$5&lt;100)),
VLOOKUP(FLOOR((Midterm!O78/O$5)*100,1),new_transmute,4,FALSE),
VLOOKUP(Midterm!O78,new_transmute,4,FALSE)
),
""
)
)
)
)
)
)
)
)
))</f>
        <v/>
      </c>
      <c r="P78" s="14" t="str">
        <f>IF($B78="","",
IF(P$5="","",
IF(Midterm!P78="",0,
IF(NOT(ISNUMBER(Midterm!P78)),"NAN",
IF(Midterm!P78&lt;0,"NEG",
IF(Midterm!P78&gt;P$5,"OVER",
IF(AND(P$5&lt;=100,Midterm!P78&gt;100),"ERR",
IF(Info!$B$4="Non-board program",
IF(OR(AND(P$5&gt;0,P$5&gt;100),AND(P$5&gt;0,P$5&lt;100)),
VLOOKUP(FLOOR((Midterm!P78/P$5)*100,1),new_transmute,2,FALSE),
VLOOKUP(Midterm!P78,new_transmute,2,FALSE)
),
IF(Info!$B$4="Board program",
IF(OR(AND(P$5&gt;0,P$5&gt;100),AND(P$5&gt;0,P$5&lt;100)),
VLOOKUP(FLOOR((Midterm!P78/P$5)*100,1),new_transmute,3,FALSE),
VLOOKUP(Midterm!P78,new_transmute,3,FALSE)
),
IF(Info!$B$4="Board program (Medicine)",
IF(OR(AND(P$5&gt;0,P$5&gt;100),AND(P$5&gt;0,P$5&lt;100)),
VLOOKUP(FLOOR((Midterm!P78/P$5)*100,1),new_transmute,4,FALSE),
VLOOKUP(Midterm!P78,new_transmute,4,FALSE)
),
""
)
)
)
)
)
)
)
)
))</f>
        <v/>
      </c>
      <c r="Q78" s="14" t="str">
        <f>IF($B78="","",
IF(Q$5="","",
IF(Midterm!Q78="",0,
IF(NOT(ISNUMBER(Midterm!Q78)),"NAN",
IF(Midterm!Q78&lt;0,"NEG",
IF(Midterm!Q78&gt;Q$5,"OVER",
IF(AND(Q$5&lt;=100,Midterm!Q78&gt;100),"ERR",
IF(Info!$B$4="Non-board program",
IF(OR(AND(Q$5&gt;0,Q$5&gt;100),AND(Q$5&gt;0,Q$5&lt;100)),
VLOOKUP(FLOOR((Midterm!Q78/Q$5)*100,1),new_transmute,2,FALSE),
VLOOKUP(Midterm!Q78,new_transmute,2,FALSE)
),
IF(Info!$B$4="Board program",
IF(OR(AND(Q$5&gt;0,Q$5&gt;100),AND(Q$5&gt;0,Q$5&lt;100)),
VLOOKUP(FLOOR((Midterm!Q78/Q$5)*100,1),new_transmute,3,FALSE),
VLOOKUP(Midterm!Q78,new_transmute,3,FALSE)
),
IF(Info!$B$4="Board program (Medicine)",
IF(OR(AND(Q$5&gt;0,Q$5&gt;100),AND(Q$5&gt;0,Q$5&lt;100)),
VLOOKUP(FLOOR((Midterm!Q78/Q$5)*100,1),new_transmute,4,FALSE),
VLOOKUP(Midterm!Q78,new_transmute,4,FALSE)
),
""
)
)
)
)
)
)
)
)
))</f>
        <v/>
      </c>
      <c r="R78" s="14" t="str">
        <f>IF($B78="","",
IF(R$5="","",
IF(Midterm!R78="",0,
IF(NOT(ISNUMBER(Midterm!R78)),"NAN",
IF(Midterm!R78&lt;0,"NEG",
IF(Midterm!R78&gt;R$5,"OVER",
IF(AND(R$5&lt;=100,Midterm!R78&gt;100),"ERR",
IF(Info!$B$4="Non-board program",
IF(OR(AND(R$5&gt;0,R$5&gt;100),AND(R$5&gt;0,R$5&lt;100)),
VLOOKUP(FLOOR((Midterm!R78/R$5)*100,1),new_transmute,2,FALSE),
VLOOKUP(Midterm!R78,new_transmute,2,FALSE)
),
IF(Info!$B$4="Board program",
IF(OR(AND(R$5&gt;0,R$5&gt;100),AND(R$5&gt;0,R$5&lt;100)),
VLOOKUP(FLOOR((Midterm!R78/R$5)*100,1),new_transmute,3,FALSE),
VLOOKUP(Midterm!R78,new_transmute,3,FALSE)
),
IF(Info!$B$4="Board program (Medicine)",
IF(OR(AND(R$5&gt;0,R$5&gt;100),AND(R$5&gt;0,R$5&lt;100)),
VLOOKUP(FLOOR((Midterm!R78/R$5)*100,1),new_transmute,4,FALSE),
VLOOKUP(Midterm!R78,new_transmute,4,FALSE)
),
""
)
)
)
)
)
)
)
)
))</f>
        <v/>
      </c>
      <c r="S78" s="115" t="str">
        <f t="shared" si="13"/>
        <v/>
      </c>
      <c r="T78" s="14" t="str">
        <f>IF($B78="","",
IF(T$5="","",
IF(Midterm!T78="",0,
IF(NOT(ISNUMBER(Midterm!T78)),"NAN",
IF(Midterm!T78&lt;0,"NEG",
IF(Midterm!T78&gt;T$5,"OVER",
IF(AND(T$5&lt;=100,Midterm!T78&gt;100),"ERR",
IF(Info!$B$4="Non-board program",
IF(OR(AND(T$5&gt;0,T$5&gt;100),AND(T$5&gt;0,T$5&lt;100)),
VLOOKUP(FLOOR((Midterm!T78/T$5)*100,1),new_transmute,2,FALSE),
VLOOKUP(Midterm!T78,new_transmute,2,FALSE)
),
IF(Info!$B$4="Board program",
IF(OR(AND(T$5&gt;0,T$5&gt;100),AND(T$5&gt;0,T$5&lt;100)),
VLOOKUP(FLOOR((Midterm!T78/T$5)*100,1),new_transmute,3,FALSE),
VLOOKUP(Midterm!T78,new_transmute,3,FALSE)
),
IF(Info!$B$4="Board program (Medicine)",
IF(OR(AND(T$5&gt;0,T$5&gt;100),AND(T$5&gt;0,T$5&lt;100)),
VLOOKUP(FLOOR((Midterm!T78/T$5)*100,1),new_transmute,4,FALSE),
VLOOKUP(Midterm!T78,new_transmute,4,FALSE)
),
""
)
)
)
)
)
)
)
)
))</f>
        <v/>
      </c>
      <c r="U78" s="14" t="str">
        <f>IF($B78="","",
IF(U$5="","",
IF(Midterm!U78="",0,
IF(NOT(ISNUMBER(Midterm!U78)),"NAN",
IF(Midterm!U78&lt;0,"NEG",
IF(Midterm!U78&gt;U$5,"OVER",
IF(AND(U$5&lt;=100,Midterm!U78&gt;100),"ERR",
IF(Info!$B$4="Non-board program",
IF(OR(AND(U$5&gt;0,U$5&gt;100),AND(U$5&gt;0,U$5&lt;100)),
VLOOKUP(FLOOR((Midterm!U78/U$5)*100,1),new_transmute,2,FALSE),
VLOOKUP(Midterm!U78,new_transmute,2,FALSE)
),
IF(Info!$B$4="Board program",
IF(OR(AND(U$5&gt;0,U$5&gt;100),AND(U$5&gt;0,U$5&lt;100)),
VLOOKUP(FLOOR((Midterm!U78/U$5)*100,1),new_transmute,3,FALSE),
VLOOKUP(Midterm!U78,new_transmute,3,FALSE)
),
IF(Info!$B$4="Board program (Medicine)",
IF(OR(AND(U$5&gt;0,U$5&gt;100),AND(U$5&gt;0,U$5&lt;100)),
VLOOKUP(FLOOR((Midterm!U78/U$5)*100,1),new_transmute,4,FALSE),
VLOOKUP(Midterm!U78,new_transmute,4,FALSE)
),
""
)
)
)
)
)
)
)
)
))</f>
        <v/>
      </c>
      <c r="V78" s="14" t="str">
        <f>IF($B78="","",
IF(V$5="","",
IF(Midterm!V78="",0,
IF(NOT(ISNUMBER(Midterm!V78)),"NAN",
IF(Midterm!V78&lt;0,"NEG",
IF(Midterm!V78&gt;V$5,"OVER",
IF(AND(V$5&lt;=100,Midterm!V78&gt;100),"ERR",
IF(Info!$B$4="Non-board program",
IF(OR(AND(V$5&gt;0,V$5&gt;100),AND(V$5&gt;0,V$5&lt;100)),
VLOOKUP(FLOOR((Midterm!V78/V$5)*100,1),new_transmute,2,FALSE),
VLOOKUP(Midterm!V78,new_transmute,2,FALSE)
),
IF(Info!$B$4="Board program",
IF(OR(AND(V$5&gt;0,V$5&gt;100),AND(V$5&gt;0,V$5&lt;100)),
VLOOKUP(FLOOR((Midterm!V78/V$5)*100,1),new_transmute,3,FALSE),
VLOOKUP(Midterm!V78,new_transmute,3,FALSE)
),
IF(Info!$B$4="Board program (Medicine)",
IF(OR(AND(V$5&gt;0,V$5&gt;100),AND(V$5&gt;0,V$5&lt;100)),
VLOOKUP(FLOOR((Midterm!V78/V$5)*100,1),new_transmute,4,FALSE),
VLOOKUP(Midterm!V78,new_transmute,4,FALSE)
),
""
)
)
)
)
)
)
)
)
))</f>
        <v/>
      </c>
      <c r="W78" s="14" t="str">
        <f>IF($B78="","",
IF(W$5="","",
IF(Midterm!W78="",0,
IF(NOT(ISNUMBER(Midterm!W78)),"NAN",
IF(Midterm!W78&lt;0,"NEG",
IF(Midterm!W78&gt;W$5,"OVER",
IF(AND(W$5&lt;=100,Midterm!W78&gt;100),"ERR",
IF(Info!$B$4="Non-board program",
IF(OR(AND(W$5&gt;0,W$5&gt;100),AND(W$5&gt;0,W$5&lt;100)),
VLOOKUP(FLOOR((Midterm!W78/W$5)*100,1),new_transmute,2,FALSE),
VLOOKUP(Midterm!W78,new_transmute,2,FALSE)
),
IF(Info!$B$4="Board program",
IF(OR(AND(W$5&gt;0,W$5&gt;100),AND(W$5&gt;0,W$5&lt;100)),
VLOOKUP(FLOOR((Midterm!W78/W$5)*100,1),new_transmute,3,FALSE),
VLOOKUP(Midterm!W78,new_transmute,3,FALSE)
),
IF(Info!$B$4="Board program (Medicine)",
IF(OR(AND(W$5&gt;0,W$5&gt;100),AND(W$5&gt;0,W$5&lt;100)),
VLOOKUP(FLOOR((Midterm!W78/W$5)*100,1),new_transmute,4,FALSE),
VLOOKUP(Midterm!W78,new_transmute,4,FALSE)
),
""
)
)
)
)
)
)
)
)
))</f>
        <v/>
      </c>
      <c r="X78" s="14" t="str">
        <f>IF($B78="","",
IF(X$5="","",
IF(Midterm!X78="",0,
IF(NOT(ISNUMBER(Midterm!X78)),"NAN",
IF(Midterm!X78&lt;0,"NEG",
IF(Midterm!X78&gt;X$5,"OVER",
IF(AND(X$5&lt;=100,Midterm!X78&gt;100),"ERR",
IF(Info!$B$4="Non-board program",
IF(OR(AND(X$5&gt;0,X$5&gt;100),AND(X$5&gt;0,X$5&lt;100)),
VLOOKUP(FLOOR((Midterm!X78/X$5)*100,1),new_transmute,2,FALSE),
VLOOKUP(Midterm!X78,new_transmute,2,FALSE)
),
IF(Info!$B$4="Board program",
IF(OR(AND(X$5&gt;0,X$5&gt;100),AND(X$5&gt;0,X$5&lt;100)),
VLOOKUP(FLOOR((Midterm!X78/X$5)*100,1),new_transmute,3,FALSE),
VLOOKUP(Midterm!X78,new_transmute,3,FALSE)
),
IF(Info!$B$4="Board program (Medicine)",
IF(OR(AND(X$5&gt;0,X$5&gt;100),AND(X$5&gt;0,X$5&lt;100)),
VLOOKUP(FLOOR((Midterm!X78/X$5)*100,1),new_transmute,4,FALSE),
VLOOKUP(Midterm!X78,new_transmute,4,FALSE)
),
""
)
)
)
)
)
)
)
)
))</f>
        <v/>
      </c>
      <c r="Y78" s="112" t="str">
        <f t="shared" si="14"/>
        <v/>
      </c>
      <c r="Z78" s="14" t="str">
        <f>IF($B78="","",
IF(Z$5="","",
IF(Midterm!Z78="",0,
IF(NOT(ISNUMBER(Midterm!Z78)),"NAN",
IF(Midterm!Z78&lt;0,"NEG",
IF(Midterm!Z78&gt;Z$5,"OVER",
IF(AND(Z$5&lt;=100,Midterm!Z78&gt;100),"ERR",
IF(Info!$B$4="Non-board program",
IF(OR(AND(Z$5&gt;0,Z$5&gt;100),AND(Z$5&gt;0,Z$5&lt;100)),
VLOOKUP(FLOOR((Midterm!Z78/Z$5)*100,1),new_transmute,2,FALSE),
VLOOKUP(Midterm!Z78,new_transmute,2,FALSE)
),
IF(Info!$B$4="Board program",
IF(OR(AND(Z$5&gt;0,Z$5&gt;100),AND(Z$5&gt;0,Z$5&lt;100)),
VLOOKUP(FLOOR((Midterm!Z78/Z$5)*100,1),new_transmute,3,FALSE),
VLOOKUP(Midterm!Z78,new_transmute,3,FALSE)
),
IF(Info!$B$4="Board program (Medicine)",
IF(OR(AND(Z$5&gt;0,Z$5&gt;100),AND(Z$5&gt;0,Z$5&lt;100)),
VLOOKUP(FLOOR((Midterm!Z78/Z$5)*100,1),new_transmute,4,FALSE),
VLOOKUP(Midterm!Z78,new_transmute,4,FALSE)
),
""
)
)
)
)
)
)
)
)
))</f>
        <v/>
      </c>
      <c r="AA78" s="14" t="str">
        <f>IF($B78="","",
IF(AA$5="","",
IF(Midterm!AA78="",0,
IF(NOT(ISNUMBER(Midterm!AA78)),"NAN",
IF(Midterm!AA78&lt;0,"NEG",
IF(Midterm!AA78&gt;AA$5,"OVER",
IF(AND(AA$5&lt;=100,Midterm!AA78&gt;100),"ERR",
IF(Info!$B$4="Non-board program",
IF(OR(AND(AA$5&gt;0,AA$5&gt;100),AND(AA$5&gt;0,AA$5&lt;100)),
VLOOKUP(FLOOR((Midterm!AA78/AA$5)*100,1),new_transmute,2,FALSE),
VLOOKUP(Midterm!AA78,new_transmute,2,FALSE)
),
IF(Info!$B$4="Board program",
IF(OR(AND(AA$5&gt;0,AA$5&gt;100),AND(AA$5&gt;0,AA$5&lt;100)),
VLOOKUP(FLOOR((Midterm!AA78/AA$5)*100,1),new_transmute,3,FALSE),
VLOOKUP(Midterm!AA78,new_transmute,3,FALSE)
),
IF(Info!$B$4="Board program (Medicine)",
IF(OR(AND(AA$5&gt;0,AA$5&gt;100),AND(AA$5&gt;0,AA$5&lt;100)),
VLOOKUP(FLOOR((Midterm!AA78/AA$5)*100,1),new_transmute,4,FALSE),
VLOOKUP(Midterm!AA78,new_transmute,4,FALSE)
),
""
)
)
)
)
)
)
)
)
))</f>
        <v/>
      </c>
      <c r="AB78" s="14" t="str">
        <f>IF($B78="","",
IF(AB$5="","",
IF(Midterm!AB78="",0,
IF(NOT(ISNUMBER(Midterm!AB78)),"NAN",
IF(Midterm!AB78&lt;0,"NEG",
IF(Midterm!AB78&gt;AB$5,"OVER",
IF(AND(AB$5&lt;=100,Midterm!AB78&gt;100),"ERR",
IF(Info!$B$4="Non-board program",
IF(OR(AND(AB$5&gt;0,AB$5&gt;100),AND(AB$5&gt;0,AB$5&lt;100)),
VLOOKUP(FLOOR((Midterm!AB78/AB$5)*100,1),new_transmute,2,FALSE),
VLOOKUP(Midterm!AB78,new_transmute,2,FALSE)
),
IF(Info!$B$4="Board program",
IF(OR(AND(AB$5&gt;0,AB$5&gt;100),AND(AB$5&gt;0,AB$5&lt;100)),
VLOOKUP(FLOOR((Midterm!AB78/AB$5)*100,1),new_transmute,3,FALSE),
VLOOKUP(Midterm!AB78,new_transmute,3,FALSE)
),
IF(Info!$B$4="Board program (Medicine)",
IF(OR(AND(AB$5&gt;0,AB$5&gt;100),AND(AB$5&gt;0,AB$5&lt;100)),
VLOOKUP(FLOOR((Midterm!AB78/AB$5)*100,1),new_transmute,4,FALSE),
VLOOKUP(Midterm!AB78,new_transmute,4,FALSE)
),
""
)
)
)
)
)
)
)
)
))</f>
        <v/>
      </c>
      <c r="AC78" s="14" t="str">
        <f>IF($B78="","",
IF(AC$5="","",
IF(Midterm!AC78="",0,
IF(NOT(ISNUMBER(Midterm!AC78)),"NAN",
IF(Midterm!AC78&lt;0,"NEG",
IF(Midterm!AC78&gt;AC$5,"OVER",
IF(AND(AC$5&lt;=100,Midterm!AC78&gt;100),"ERR",
IF(Info!$B$4="Non-board program",
IF(OR(AND(AC$5&gt;0,AC$5&gt;100),AND(AC$5&gt;0,AC$5&lt;100)),
VLOOKUP(FLOOR((Midterm!AC78/AC$5)*100,1),new_transmute,2,FALSE),
VLOOKUP(Midterm!AC78,new_transmute,2,FALSE)
),
IF(Info!$B$4="Board program",
IF(OR(AND(AC$5&gt;0,AC$5&gt;100),AND(AC$5&gt;0,AC$5&lt;100)),
VLOOKUP(FLOOR((Midterm!AC78/AC$5)*100,1),new_transmute,3,FALSE),
VLOOKUP(Midterm!AC78,new_transmute,3,FALSE)
),
IF(Info!$B$4="Board program (Medicine)",
IF(OR(AND(AC$5&gt;0,AC$5&gt;100),AND(AC$5&gt;0,AC$5&lt;100)),
VLOOKUP(FLOOR((Midterm!AC78/AC$5)*100,1),new_transmute,4,FALSE),
VLOOKUP(Midterm!AC78,new_transmute,4,FALSE)
),
""
)
)
)
)
)
)
)
)
))</f>
        <v/>
      </c>
      <c r="AD78" s="14" t="str">
        <f>IF($B78="","",
IF(AD$5="","",
IF(Midterm!AD78="",0,
IF(NOT(ISNUMBER(Midterm!AD78)),"NAN",
IF(Midterm!AD78&lt;0,"NEG",
IF(Midterm!AD78&gt;AD$5,"OVER",
IF(AND(AD$5&lt;=100,Midterm!AD78&gt;100),"ERR",
IF(Info!$B$4="Non-board program",
IF(OR(AND(AD$5&gt;0,AD$5&gt;100),AND(AD$5&gt;0,AD$5&lt;100)),
VLOOKUP(FLOOR((Midterm!AD78/AD$5)*100,1),new_transmute,2,FALSE),
VLOOKUP(Midterm!AD78,new_transmute,2,FALSE)
),
IF(Info!$B$4="Board program",
IF(OR(AND(AD$5&gt;0,AD$5&gt;100),AND(AD$5&gt;0,AD$5&lt;100)),
VLOOKUP(FLOOR((Midterm!AD78/AD$5)*100,1),new_transmute,3,FALSE),
VLOOKUP(Midterm!AD78,new_transmute,3,FALSE)
),
IF(Info!$B$4="Board program (Medicine)",
IF(OR(AND(AD$5&gt;0,AD$5&gt;100),AND(AD$5&gt;0,AD$5&lt;100)),
VLOOKUP(FLOOR((Midterm!AD78/AD$5)*100,1),new_transmute,4,FALSE),
VLOOKUP(Midterm!AD78,new_transmute,4,FALSE)
),
""
)
)
)
)
)
)
)
)
))</f>
        <v/>
      </c>
      <c r="AE78" s="58" t="str">
        <f t="shared" si="15"/>
        <v/>
      </c>
      <c r="AF78" s="14" t="str">
        <f>IF($B78="","",
IF(AF$5="","",
IF(Midterm!AF78="",0,
IF(NOT(ISNUMBER(Midterm!AF78)),"NAN",
IF(Midterm!AF78&lt;0,"NEG",
IF(Midterm!AF78&gt;AF$5,"OVER",
IF(AND(AF$5&lt;=100,Midterm!AF78&gt;100),"ERR",
IF(Info!$B$4="Non-board program",
IF(OR(AND(AF$5&gt;0,AF$5&gt;100),AND(AF$5&gt;0,AF$5&lt;100)),
VLOOKUP(FLOOR((Midterm!AF78/AF$5)*100,1),new_transmute,2,FALSE),
VLOOKUP(Midterm!AF78,new_transmute,2,FALSE)
),
IF(Info!$B$4="Board program",
IF(OR(AND(AF$5&gt;0,AF$5&gt;100),AND(AF$5&gt;0,AF$5&lt;100)),
VLOOKUP(FLOOR((Midterm!AF78/AF$5)*100,1),new_transmute,3,FALSE),
VLOOKUP(Midterm!AF78,new_transmute,3,FALSE)
),
IF(Info!$B$4="Board program (Medicine)",
IF(OR(AND(AF$5&gt;0,AF$5&gt;100),AND(AF$5&gt;0,AF$5&lt;100)),
VLOOKUP(FLOOR((Midterm!AF78/AF$5)*100,1),new_transmute,4,FALSE),
VLOOKUP(Midterm!AF78,new_transmute,4,FALSE)
),
""
)
)
)
)
)
)
)
)
))</f>
        <v/>
      </c>
      <c r="AG78" s="14" t="str">
        <f>IF($B78="","",
IF(AG$5="","",
IF(Midterm!AG78="",0,
IF(NOT(ISNUMBER(Midterm!AG78)),"NAN",
IF(Midterm!AG78&lt;0,"NEG",
IF(Midterm!AG78&gt;AG$5,"OVER",
IF(AND(AG$5&lt;=100,Midterm!AG78&gt;100),"ERR",
IF(Info!$B$4="Non-board program",
IF(OR(AND(AG$5&gt;0,AG$5&gt;100),AND(AG$5&gt;0,AG$5&lt;100)),
VLOOKUP(FLOOR((Midterm!AG78/AG$5)*100,1),new_transmute,2,FALSE),
VLOOKUP(Midterm!AG78,new_transmute,2,FALSE)
),
IF(Info!$B$4="Board program",
IF(OR(AND(AG$5&gt;0,AG$5&gt;100),AND(AG$5&gt;0,AG$5&lt;100)),
VLOOKUP(FLOOR((Midterm!AG78/AG$5)*100,1),new_transmute,3,FALSE),
VLOOKUP(Midterm!AG78,new_transmute,3,FALSE)
),
IF(Info!$B$4="Board program (Medicine)",
IF(OR(AND(AG$5&gt;0,AG$5&gt;100),AND(AG$5&gt;0,AG$5&lt;100)),
VLOOKUP(FLOOR((Midterm!AG78/AG$5)*100,1),new_transmute,4,FALSE),
VLOOKUP(Midterm!AG78,new_transmute,4,FALSE)
),
""
)
)
)
)
)
)
)
)
))</f>
        <v/>
      </c>
      <c r="AH78" s="14" t="str">
        <f>IF($B78="","",
IF(AH$5="","",
IF(Midterm!AH78="",0,
IF(NOT(ISNUMBER(Midterm!AH78)),"NAN",
IF(Midterm!AH78&lt;0,"NEG",
IF(Midterm!AH78&gt;AH$5,"OVER",
IF(AND(AH$5&lt;=100,Midterm!AH78&gt;100),"ERR",
IF(Info!$B$4="Non-board program",
IF(OR(AND(AH$5&gt;0,AH$5&gt;100),AND(AH$5&gt;0,AH$5&lt;100)),
VLOOKUP(FLOOR((Midterm!AH78/AH$5)*100,1),new_transmute,2,FALSE),
VLOOKUP(Midterm!AH78,new_transmute,2,FALSE)
),
IF(Info!$B$4="Board program",
IF(OR(AND(AH$5&gt;0,AH$5&gt;100),AND(AH$5&gt;0,AH$5&lt;100)),
VLOOKUP(FLOOR((Midterm!AH78/AH$5)*100,1),new_transmute,3,FALSE),
VLOOKUP(Midterm!AH78,new_transmute,3,FALSE)
),
IF(Info!$B$4="Board program (Medicine)",
IF(OR(AND(AH$5&gt;0,AH$5&gt;100),AND(AH$5&gt;0,AH$5&lt;100)),
VLOOKUP(FLOOR((Midterm!AH78/AH$5)*100,1),new_transmute,4,FALSE),
VLOOKUP(Midterm!AH78,new_transmute,4,FALSE)
),
""
)
)
)
)
)
)
)
)
))</f>
        <v/>
      </c>
      <c r="AI78" s="14" t="str">
        <f>IF($B78="","",
IF(AI$5="","",
IF(Midterm!AI78="",0,
IF(NOT(ISNUMBER(Midterm!AI78)),"NAN",
IF(Midterm!AI78&lt;0,"NEG",
IF(Midterm!AI78&gt;AI$5,"OVER",
IF(AND(AI$5&lt;=100,Midterm!AI78&gt;100),"ERR",
IF(Info!$B$4="Non-board program",
IF(OR(AND(AI$5&gt;0,AI$5&gt;100),AND(AI$5&gt;0,AI$5&lt;100)),
VLOOKUP(FLOOR((Midterm!AI78/AI$5)*100,1),new_transmute,2,FALSE),
VLOOKUP(Midterm!AI78,new_transmute,2,FALSE)
),
IF(Info!$B$4="Board program",
IF(OR(AND(AI$5&gt;0,AI$5&gt;100),AND(AI$5&gt;0,AI$5&lt;100)),
VLOOKUP(FLOOR((Midterm!AI78/AI$5)*100,1),new_transmute,3,FALSE),
VLOOKUP(Midterm!AI78,new_transmute,3,FALSE)
),
IF(Info!$B$4="Board program (Medicine)",
IF(OR(AND(AI$5&gt;0,AI$5&gt;100),AND(AI$5&gt;0,AI$5&lt;100)),
VLOOKUP(FLOOR((Midterm!AI78/AI$5)*100,1),new_transmute,4,FALSE),
VLOOKUP(Midterm!AI78,new_transmute,4,FALSE)
),
""
)
)
)
)
)
)
)
)
))</f>
        <v/>
      </c>
      <c r="AJ78" s="14" t="str">
        <f>IF($B78="","",
IF(AJ$5="","",
IF(Midterm!AJ78="",0,
IF(NOT(ISNUMBER(Midterm!AJ78)),"NAN",
IF(Midterm!AJ78&lt;0,"NEG",
IF(Midterm!AJ78&gt;AJ$5,"OVER",
IF(AND(AJ$5&lt;=100,Midterm!AJ78&gt;100),"ERR",
IF(Info!$B$4="Non-board program",
IF(OR(AND(AJ$5&gt;0,AJ$5&gt;100),AND(AJ$5&gt;0,AJ$5&lt;100)),
VLOOKUP(FLOOR((Midterm!AJ78/AJ$5)*100,1),new_transmute,2,FALSE),
VLOOKUP(Midterm!AJ78,new_transmute,2,FALSE)
),
IF(Info!$B$4="Board program",
IF(OR(AND(AJ$5&gt;0,AJ$5&gt;100),AND(AJ$5&gt;0,AJ$5&lt;100)),
VLOOKUP(FLOOR((Midterm!AJ78/AJ$5)*100,1),new_transmute,3,FALSE),
VLOOKUP(Midterm!AJ78,new_transmute,3,FALSE)
),
IF(Info!$B$4="Board program (Medicine)",
IF(OR(AND(AJ$5&gt;0,AJ$5&gt;100),AND(AJ$5&gt;0,AJ$5&lt;100)),
VLOOKUP(FLOOR((Midterm!AJ78/AJ$5)*100,1),new_transmute,4,FALSE),
VLOOKUP(Midterm!AJ78,new_transmute,4,FALSE)
),
""
)
)
)
)
)
)
)
)
))</f>
        <v/>
      </c>
      <c r="AK78" s="59" t="str">
        <f t="shared" si="16"/>
        <v/>
      </c>
      <c r="AL78" s="60" t="str">
        <f>IF(B78="", "",
    IF(OR(M78="OVER", S78="OVER", Y78="OVER", AE78="OVER", AK78="OVER"),
        "OVER",
        IF(Info!$B$4="Non-board program",
            VLOOKUP(IFERROR(FLOOR(SUM((M78*$M$4), (S78*$S$4), (Y78*$Y$4), (AE78*$AE$4), (AK78*$AK$4)) * (100 / 60), 1), 0), new_transmute, 2, FALSE),
            IF(Info!$B$4="Board program",
                VLOOKUP(IFERROR(FLOOR(SUM((M78*$M$4), (S78*$S$4), (Y78*$Y$4), (AE78*$AE$4), (AK78*$AK$4)) * (100 / 60), 1), 0), new_transmute, 3, FALSE),
                IF(Info!$B$4="Board program (Medicine)",
                    VLOOKUP(IFERROR(FLOOR(SUM((M78*$M$4), (S78*$S$4), (Y78*$Y$4), (AE78*$AE$4), (AK78*$AK$4)) * (100 / 60), 1), 0), new_transmute, 4, FALSE),
                    ""
                )
            )
        )
    )
)</f>
        <v/>
      </c>
      <c r="AM78" s="14" t="str">
        <f>IF($B78="","",
IF(AM$5="","",
IF(Midterm!AM78="",0,
IF(NOT(ISNUMBER(Midterm!AM78)),"NAN",
IF(Midterm!AM78&lt;0,"NEG",
IF(Midterm!AM78&gt;AM$5,"OVER",
IF(AND(AM$5&lt;=100,Midterm!AM78&gt;100),"ERR",
IF(Info!$B$4="Non-board program",
IF(OR(AND(AM$5&gt;0,AM$5&gt;100),AND(AM$5&gt;0,AM$5&lt;100)),
VLOOKUP(FLOOR((Midterm!AM78/AM$5)*100,1),new_transmute,2,FALSE),
VLOOKUP(Midterm!AM78,new_transmute,2,FALSE)
),
IF(Info!$B$4="Board program",
IF(OR(AND(AM$5&gt;0,AM$5&gt;100),AND(AM$5&gt;0,AM$5&lt;100)),
VLOOKUP(FLOOR((Midterm!AM78/AM$5)*100,1),new_transmute,3,FALSE),
VLOOKUP(Midterm!AM78,new_transmute,3,FALSE)
),
IF(Info!$B$4="Board program (Medicine)",
IF(OR(AND(AM$5&gt;0,AM$5&gt;100),AND(AM$5&gt;0,AM$5&lt;100)),
VLOOKUP(FLOOR((Midterm!AM78/AM$5)*100,1),new_transmute,4,FALSE),
VLOOKUP(Midterm!AM78,new_transmute,4,FALSE)
),
""
)
)
)
)
)
)
)
)
))</f>
        <v/>
      </c>
      <c r="AN78" s="14" t="str">
        <f>IF($B78="","",
IF(AN$5="","",
IF(Midterm!AN78="",0,
IF(NOT(ISNUMBER(Midterm!AN78)),"NAN",
IF(Midterm!AN78&lt;0,"NEG",
IF(Midterm!AN78&gt;AN$5,"OVER",
IF(AND(AN$5&lt;=100,Midterm!AN78&gt;100),"ERR",
IF(Info!$B$4="Non-board program",
IF(OR(AND(AN$5&gt;0,AN$5&gt;100),AND(AN$5&gt;0,AN$5&lt;100)),
VLOOKUP(FLOOR((Midterm!AN78/AN$5)*100,1),new_transmute,2,FALSE),
VLOOKUP(Midterm!AN78,new_transmute,2,FALSE)
),
IF(Info!$B$4="Board program",
IF(OR(AND(AN$5&gt;0,AN$5&gt;100),AND(AN$5&gt;0,AN$5&lt;100)),
VLOOKUP(FLOOR((Midterm!AN78/AN$5)*100,1),new_transmute,3,FALSE),
VLOOKUP(Midterm!AN78,new_transmute,3,FALSE)
),
IF(Info!$B$4="Board program (Medicine)",
IF(OR(AND(AN$5&gt;0,AN$5&gt;100),AND(AN$5&gt;0,AN$5&lt;100)),
VLOOKUP(FLOOR((Midterm!AN78/AN$5)*100,1),new_transmute,4,FALSE),
VLOOKUP(Midterm!AN78,new_transmute,4,FALSE)
),
""
)
)
)
)
)
)
)
)
))</f>
        <v/>
      </c>
      <c r="AO78" s="14" t="str">
        <f>IF($B78="","",
IF(AO$5="","",
IF(Midterm!AO78="",0,
IF(NOT(ISNUMBER(Midterm!AO78)),"NAN",
IF(Midterm!AO78&lt;0,"NEG",
IF(Midterm!AO78&gt;AO$5,"OVER",
IF(AND(AO$5&lt;=100,Midterm!AO78&gt;100),"ERR",
IF(Info!$B$4="Non-board program",
IF(OR(AND(AO$5&gt;0,AO$5&gt;100),AND(AO$5&gt;0,AO$5&lt;100)),
VLOOKUP(FLOOR((Midterm!AO78/AO$5)*100,1),new_transmute,2,FALSE),
VLOOKUP(Midterm!AO78,new_transmute,2,FALSE)
),
IF(Info!$B$4="Board program",
IF(OR(AND(AO$5&gt;0,AO$5&gt;100),AND(AO$5&gt;0,AO$5&lt;100)),
VLOOKUP(FLOOR((Midterm!AO78/AO$5)*100,1),new_transmute,3,FALSE),
VLOOKUP(Midterm!AO78,new_transmute,3,FALSE)
),
IF(Info!$B$4="Board program (Medicine)",
IF(OR(AND(AO$5&gt;0,AO$5&gt;100),AND(AO$5&gt;0,AO$5&lt;100)),
VLOOKUP(FLOOR((Midterm!AO78/AO$5)*100,1),new_transmute,4,FALSE),
VLOOKUP(Midterm!AO78,new_transmute,4,FALSE)
),
""
)
)
)
)
)
)
)
)
))</f>
        <v/>
      </c>
      <c r="AP78" s="14" t="str">
        <f>IF($B78="","",
IF(AP$5="","",
IF(Midterm!AP78="",0,
IF(NOT(ISNUMBER(Midterm!AP78)),"NAN",
IF(Midterm!AP78&lt;0,"NEG",
IF(Midterm!AP78&gt;AP$5,"OVER",
IF(AND(AP$5&lt;=100,Midterm!AP78&gt;100),"ERR",
IF(Info!$B$4="Non-board program",
IF(OR(AND(AP$5&gt;0,AP$5&gt;100),AND(AP$5&gt;0,AP$5&lt;100)),
VLOOKUP(FLOOR((Midterm!AP78/AP$5)*100,1),new_transmute,2,FALSE),
VLOOKUP(Midterm!AP78,new_transmute,2,FALSE)
),
IF(Info!$B$4="Board program",
IF(OR(AND(AP$5&gt;0,AP$5&gt;100),AND(AP$5&gt;0,AP$5&lt;100)),
VLOOKUP(FLOOR((Midterm!AP78/AP$5)*100,1),new_transmute,3,FALSE),
VLOOKUP(Midterm!AP78,new_transmute,3,FALSE)
),
IF(Info!$B$4="Board program (Medicine)",
IF(OR(AND(AP$5&gt;0,AP$5&gt;100),AND(AP$5&gt;0,AP$5&lt;100)),
VLOOKUP(FLOOR((Midterm!AP78/AP$5)*100,1),new_transmute,4,FALSE),
VLOOKUP(Midterm!AP78,new_transmute,4,FALSE)
),
""
)
)
)
)
)
)
)
)
))</f>
        <v/>
      </c>
      <c r="AQ78" s="61" t="str">
        <f t="shared" si="17"/>
        <v/>
      </c>
      <c r="AR78" s="48" t="str">
        <f>IF(Midterm!AR78="","",Midterm!AR78)</f>
        <v/>
      </c>
      <c r="AS78" s="165" t="str">
        <f t="shared" si="18"/>
        <v/>
      </c>
      <c r="AT78" s="14" t="str">
        <f t="shared" si="19"/>
        <v/>
      </c>
      <c r="AU78" s="14" t="str">
        <f>IF(B78="","",VLOOKUP(AT78,'New Grade Equivalent'!$B$3:$C$47,2,FALSE))</f>
        <v/>
      </c>
    </row>
    <row r="79" spans="1:47" x14ac:dyDescent="0.25">
      <c r="A79" s="8">
        <v>74</v>
      </c>
      <c r="B79" s="2" t="str">
        <f>IF('Student List'!C83="","",UPPER(LEFT('Student List'!C83,FIND(",",'Student List'!C83)-1)))</f>
        <v/>
      </c>
      <c r="C79" s="12" t="str">
        <f>IF('Student List'!C83="","",PROPER(MID('Student List'!C83, FIND(",", 'Student List'!C83) + 2, LEN('Student List'!C83) - FIND(",", 'Student List'!C83) - 1)))</f>
        <v/>
      </c>
      <c r="D79" s="127" t="str">
        <f>IF(B79="","",IF(Midterm!D79="", "NA", Midterm!D79))</f>
        <v/>
      </c>
      <c r="E79" s="8" t="str">
        <f>IF(B79="","",
  IF(Info!$B$5="First Year",
    IF(D79="Yes", "DRP",
      IF(D79="No", "WF", "")
    )
  )
)</f>
        <v/>
      </c>
      <c r="F79" s="14" t="str">
        <f>IF($B79="","",
IF(F$5="","",
IF(Midterm!F79="",0,
IF(NOT(ISNUMBER(Midterm!F79)),"NAN",
IF(Midterm!F79&lt;0,"NEG",
IF(Midterm!F79&gt;F$5,"OVER",
IF(AND(F$5&lt;=100,Midterm!F79&gt;100),"ERR",
IF(Info!$B$4="Non-board program",
IF(OR(AND(F$5&gt;0,F$5&gt;100),AND(F$5&gt;0,F$5&lt;100)),
VLOOKUP(FLOOR((Midterm!F79/F$5)*100,1),new_transmute,2,FALSE),
VLOOKUP(Midterm!F79,new_transmute,2,FALSE)
),
IF(Info!$B$4="Board program",
IF(OR(AND(F$5&gt;0,F$5&gt;100),AND(F$5&gt;0,F$5&lt;100)),
VLOOKUP(FLOOR((Midterm!F79/F$5)*100,1),new_transmute,3,FALSE),
VLOOKUP(Midterm!F79,new_transmute,3,FALSE)
),
IF(Info!$B$4="Board program (Medicine)",
IF(OR(AND(F$5&gt;0,F$5&gt;100),AND(F$5&gt;0,F$5&lt;100)),
VLOOKUP(FLOOR((Midterm!F79/F$5)*100,1),new_transmute,4,FALSE),
VLOOKUP(Midterm!F79,new_transmute,4,FALSE)
),
""
)
)
)
)
)
)
)
)
))</f>
        <v/>
      </c>
      <c r="G79" s="57" t="str">
        <f t="shared" si="11"/>
        <v/>
      </c>
      <c r="H79" s="14" t="str">
        <f>IF($B79="","",
IF(H$5="","",
IF(Midterm!H79="",0,
IF(NOT(ISNUMBER(Midterm!H79)),"NAN",
IF(Midterm!H79&lt;0,"NEG",
IF(Midterm!H79&gt;H$5,"OVER",
IF(AND(H$5&lt;=100,Midterm!H79&gt;100),"ERR",
IF(Info!$B$4="Non-board program",
IF(OR(AND(H$5&gt;0,H$5&gt;100),AND(H$5&gt;0,H$5&lt;100)),
VLOOKUP(FLOOR((Midterm!H79/H$5)*100,1),new_transmute,2,FALSE),
VLOOKUP(Midterm!H79,new_transmute,2,FALSE)
),
IF(Info!$B$4="Board program",
IF(OR(AND(H$5&gt;0,H$5&gt;100),AND(H$5&gt;0,H$5&lt;100)),
VLOOKUP(FLOOR((Midterm!H79/H$5)*100,1),new_transmute,3,FALSE),
VLOOKUP(Midterm!H79,new_transmute,3,FALSE)
),
IF(Info!$B$4="Board program (Medicine)",
IF(OR(AND(H$5&gt;0,H$5&gt;100),AND(H$5&gt;0,H$5&lt;100)),
VLOOKUP(FLOOR((Midterm!H79/H$5)*100,1),new_transmute,4,FALSE),
VLOOKUP(Midterm!H79,new_transmute,4,FALSE)
),
""
)
)
)
)
)
)
)
)
))</f>
        <v/>
      </c>
      <c r="I79" s="14" t="str">
        <f>IF($B79="","",
IF(I$5="","",
IF(Midterm!I79="",0,
IF(NOT(ISNUMBER(Midterm!I79)),"NAN",
IF(Midterm!I79&lt;0,"NEG",
IF(Midterm!I79&gt;I$5,"OVER",
IF(AND(I$5&lt;=100,Midterm!I79&gt;100),"ERR",
IF(Info!$B$4="Non-board program",
IF(OR(AND(I$5&gt;0,I$5&gt;100),AND(I$5&gt;0,I$5&lt;100)),
VLOOKUP(FLOOR((Midterm!I79/I$5)*100,1),new_transmute,2,FALSE),
VLOOKUP(Midterm!I79,new_transmute,2,FALSE)
),
IF(Info!$B$4="Board program",
IF(OR(AND(I$5&gt;0,I$5&gt;100),AND(I$5&gt;0,I$5&lt;100)),
VLOOKUP(FLOOR((Midterm!I79/I$5)*100,1),new_transmute,3,FALSE),
VLOOKUP(Midterm!I79,new_transmute,3,FALSE)
),
IF(Info!$B$4="Board program (Medicine)",
IF(OR(AND(I$5&gt;0,I$5&gt;100),AND(I$5&gt;0,I$5&lt;100)),
VLOOKUP(FLOOR((Midterm!I79/I$5)*100,1),new_transmute,4,FALSE),
VLOOKUP(Midterm!I79,new_transmute,4,FALSE)
),
""
)
)
)
)
)
)
)
)
))</f>
        <v/>
      </c>
      <c r="J79" s="14" t="str">
        <f>IF($B79="","",
IF(J$5="","",
IF(Midterm!J79="",0,
IF(NOT(ISNUMBER(Midterm!J79)),"NAN",
IF(Midterm!J79&lt;0,"NEG",
IF(Midterm!J79&gt;J$5,"OVER",
IF(AND(J$5&lt;=100,Midterm!J79&gt;100),"ERR",
IF(Info!$B$4="Non-board program",
IF(OR(AND(J$5&gt;0,J$5&gt;100),AND(J$5&gt;0,J$5&lt;100)),
VLOOKUP(FLOOR((Midterm!J79/J$5)*100,1),new_transmute,2,FALSE),
VLOOKUP(Midterm!J79,new_transmute,2,FALSE)
),
IF(Info!$B$4="Board program",
IF(OR(AND(J$5&gt;0,J$5&gt;100),AND(J$5&gt;0,J$5&lt;100)),
VLOOKUP(FLOOR((Midterm!J79/J$5)*100,1),new_transmute,3,FALSE),
VLOOKUP(Midterm!J79,new_transmute,3,FALSE)
),
IF(Info!$B$4="Board program (Medicine)",
IF(OR(AND(J$5&gt;0,J$5&gt;100),AND(J$5&gt;0,J$5&lt;100)),
VLOOKUP(FLOOR((Midterm!J79/J$5)*100,1),new_transmute,4,FALSE),
VLOOKUP(Midterm!J79,new_transmute,4,FALSE)
),
""
)
)
)
)
)
)
)
)
))</f>
        <v/>
      </c>
      <c r="K79" s="14" t="str">
        <f>IF($B79="","",
IF(K$5="","",
IF(Midterm!K79="",0,
IF(NOT(ISNUMBER(Midterm!K79)),"NAN",
IF(Midterm!K79&lt;0,"NEG",
IF(Midterm!K79&gt;K$5,"OVER",
IF(AND(K$5&lt;=100,Midterm!K79&gt;100),"ERR",
IF(Info!$B$4="Non-board program",
IF(OR(AND(K$5&gt;0,K$5&gt;100),AND(K$5&gt;0,K$5&lt;100)),
VLOOKUP(FLOOR((Midterm!K79/K$5)*100,1),new_transmute,2,FALSE),
VLOOKUP(Midterm!K79,new_transmute,2,FALSE)
),
IF(Info!$B$4="Board program",
IF(OR(AND(K$5&gt;0,K$5&gt;100),AND(K$5&gt;0,K$5&lt;100)),
VLOOKUP(FLOOR((Midterm!K79/K$5)*100,1),new_transmute,3,FALSE),
VLOOKUP(Midterm!K79,new_transmute,3,FALSE)
),
IF(Info!$B$4="Board program (Medicine)",
IF(OR(AND(K$5&gt;0,K$5&gt;100),AND(K$5&gt;0,K$5&lt;100)),
VLOOKUP(FLOOR((Midterm!K79/K$5)*100,1),new_transmute,4,FALSE),
VLOOKUP(Midterm!K79,new_transmute,4,FALSE)
),
""
)
)
)
)
)
)
)
)
))</f>
        <v/>
      </c>
      <c r="L79" s="14" t="str">
        <f>IF($B79="","",
IF(L$5="","",
IF(Midterm!L79="",0,
IF(NOT(ISNUMBER(Midterm!L79)),"NAN",
IF(Midterm!L79&lt;0,"NEG",
IF(Midterm!L79&gt;L$5,"OVER",
IF(AND(L$5&lt;=100,Midterm!L79&gt;100),"ERR",
IF(Info!$B$4="Non-board program",
IF(OR(AND(L$5&gt;0,L$5&gt;100),AND(L$5&gt;0,L$5&lt;100)),
VLOOKUP(FLOOR((Midterm!L79/L$5)*100,1),new_transmute,2,FALSE),
VLOOKUP(Midterm!L79,new_transmute,2,FALSE)
),
IF(Info!$B$4="Board program",
IF(OR(AND(L$5&gt;0,L$5&gt;100),AND(L$5&gt;0,L$5&lt;100)),
VLOOKUP(FLOOR((Midterm!L79/L$5)*100,1),new_transmute,3,FALSE),
VLOOKUP(Midterm!L79,new_transmute,3,FALSE)
),
IF(Info!$B$4="Board program (Medicine)",
IF(OR(AND(L$5&gt;0,L$5&gt;100),AND(L$5&gt;0,L$5&lt;100)),
VLOOKUP(FLOOR((Midterm!L79/L$5)*100,1),new_transmute,4,FALSE),
VLOOKUP(Midterm!L79,new_transmute,4,FALSE)
),
""
)
)
)
)
)
)
)
)
))</f>
        <v/>
      </c>
      <c r="M79" s="111" t="str">
        <f t="shared" si="12"/>
        <v/>
      </c>
      <c r="N79" s="14" t="str">
        <f>IF($B79="","",
IF(N$5="","",
IF(Midterm!N79="",0,
IF(NOT(ISNUMBER(Midterm!N79)),"NAN",
IF(Midterm!N79&lt;0,"NEG",
IF(Midterm!N79&gt;N$5,"OVER",
IF(AND(N$5&lt;=100,Midterm!N79&gt;100),"ERR",
IF(Info!$B$4="Non-board program",
IF(OR(AND(N$5&gt;0,N$5&gt;100),AND(N$5&gt;0,N$5&lt;100)),
VLOOKUP(FLOOR((Midterm!N79/N$5)*100,1),new_transmute,2,FALSE),
VLOOKUP(Midterm!N79,new_transmute,2,FALSE)
),
IF(Info!$B$4="Board program",
IF(OR(AND(N$5&gt;0,N$5&gt;100),AND(N$5&gt;0,N$5&lt;100)),
VLOOKUP(FLOOR((Midterm!N79/N$5)*100,1),new_transmute,3,FALSE),
VLOOKUP(Midterm!N79,new_transmute,3,FALSE)
),
IF(Info!$B$4="Board program (Medicine)",
IF(OR(AND(N$5&gt;0,N$5&gt;100),AND(N$5&gt;0,N$5&lt;100)),
VLOOKUP(FLOOR((Midterm!N79/N$5)*100,1),new_transmute,4,FALSE),
VLOOKUP(Midterm!N79,new_transmute,4,FALSE)
),
""
)
)
)
)
)
)
)
)
))</f>
        <v/>
      </c>
      <c r="O79" s="14" t="str">
        <f>IF($B79="","",
IF(O$5="","",
IF(Midterm!O79="",0,
IF(NOT(ISNUMBER(Midterm!O79)),"NAN",
IF(Midterm!O79&lt;0,"NEG",
IF(Midterm!O79&gt;O$5,"OVER",
IF(AND(O$5&lt;=100,Midterm!O79&gt;100),"ERR",
IF(Info!$B$4="Non-board program",
IF(OR(AND(O$5&gt;0,O$5&gt;100),AND(O$5&gt;0,O$5&lt;100)),
VLOOKUP(FLOOR((Midterm!O79/O$5)*100,1),new_transmute,2,FALSE),
VLOOKUP(Midterm!O79,new_transmute,2,FALSE)
),
IF(Info!$B$4="Board program",
IF(OR(AND(O$5&gt;0,O$5&gt;100),AND(O$5&gt;0,O$5&lt;100)),
VLOOKUP(FLOOR((Midterm!O79/O$5)*100,1),new_transmute,3,FALSE),
VLOOKUP(Midterm!O79,new_transmute,3,FALSE)
),
IF(Info!$B$4="Board program (Medicine)",
IF(OR(AND(O$5&gt;0,O$5&gt;100),AND(O$5&gt;0,O$5&lt;100)),
VLOOKUP(FLOOR((Midterm!O79/O$5)*100,1),new_transmute,4,FALSE),
VLOOKUP(Midterm!O79,new_transmute,4,FALSE)
),
""
)
)
)
)
)
)
)
)
))</f>
        <v/>
      </c>
      <c r="P79" s="14" t="str">
        <f>IF($B79="","",
IF(P$5="","",
IF(Midterm!P79="",0,
IF(NOT(ISNUMBER(Midterm!P79)),"NAN",
IF(Midterm!P79&lt;0,"NEG",
IF(Midterm!P79&gt;P$5,"OVER",
IF(AND(P$5&lt;=100,Midterm!P79&gt;100),"ERR",
IF(Info!$B$4="Non-board program",
IF(OR(AND(P$5&gt;0,P$5&gt;100),AND(P$5&gt;0,P$5&lt;100)),
VLOOKUP(FLOOR((Midterm!P79/P$5)*100,1),new_transmute,2,FALSE),
VLOOKUP(Midterm!P79,new_transmute,2,FALSE)
),
IF(Info!$B$4="Board program",
IF(OR(AND(P$5&gt;0,P$5&gt;100),AND(P$5&gt;0,P$5&lt;100)),
VLOOKUP(FLOOR((Midterm!P79/P$5)*100,1),new_transmute,3,FALSE),
VLOOKUP(Midterm!P79,new_transmute,3,FALSE)
),
IF(Info!$B$4="Board program (Medicine)",
IF(OR(AND(P$5&gt;0,P$5&gt;100),AND(P$5&gt;0,P$5&lt;100)),
VLOOKUP(FLOOR((Midterm!P79/P$5)*100,1),new_transmute,4,FALSE),
VLOOKUP(Midterm!P79,new_transmute,4,FALSE)
),
""
)
)
)
)
)
)
)
)
))</f>
        <v/>
      </c>
      <c r="Q79" s="14" t="str">
        <f>IF($B79="","",
IF(Q$5="","",
IF(Midterm!Q79="",0,
IF(NOT(ISNUMBER(Midterm!Q79)),"NAN",
IF(Midterm!Q79&lt;0,"NEG",
IF(Midterm!Q79&gt;Q$5,"OVER",
IF(AND(Q$5&lt;=100,Midterm!Q79&gt;100),"ERR",
IF(Info!$B$4="Non-board program",
IF(OR(AND(Q$5&gt;0,Q$5&gt;100),AND(Q$5&gt;0,Q$5&lt;100)),
VLOOKUP(FLOOR((Midterm!Q79/Q$5)*100,1),new_transmute,2,FALSE),
VLOOKUP(Midterm!Q79,new_transmute,2,FALSE)
),
IF(Info!$B$4="Board program",
IF(OR(AND(Q$5&gt;0,Q$5&gt;100),AND(Q$5&gt;0,Q$5&lt;100)),
VLOOKUP(FLOOR((Midterm!Q79/Q$5)*100,1),new_transmute,3,FALSE),
VLOOKUP(Midterm!Q79,new_transmute,3,FALSE)
),
IF(Info!$B$4="Board program (Medicine)",
IF(OR(AND(Q$5&gt;0,Q$5&gt;100),AND(Q$5&gt;0,Q$5&lt;100)),
VLOOKUP(FLOOR((Midterm!Q79/Q$5)*100,1),new_transmute,4,FALSE),
VLOOKUP(Midterm!Q79,new_transmute,4,FALSE)
),
""
)
)
)
)
)
)
)
)
))</f>
        <v/>
      </c>
      <c r="R79" s="14" t="str">
        <f>IF($B79="","",
IF(R$5="","",
IF(Midterm!R79="",0,
IF(NOT(ISNUMBER(Midterm!R79)),"NAN",
IF(Midterm!R79&lt;0,"NEG",
IF(Midterm!R79&gt;R$5,"OVER",
IF(AND(R$5&lt;=100,Midterm!R79&gt;100),"ERR",
IF(Info!$B$4="Non-board program",
IF(OR(AND(R$5&gt;0,R$5&gt;100),AND(R$5&gt;0,R$5&lt;100)),
VLOOKUP(FLOOR((Midterm!R79/R$5)*100,1),new_transmute,2,FALSE),
VLOOKUP(Midterm!R79,new_transmute,2,FALSE)
),
IF(Info!$B$4="Board program",
IF(OR(AND(R$5&gt;0,R$5&gt;100),AND(R$5&gt;0,R$5&lt;100)),
VLOOKUP(FLOOR((Midterm!R79/R$5)*100,1),new_transmute,3,FALSE),
VLOOKUP(Midterm!R79,new_transmute,3,FALSE)
),
IF(Info!$B$4="Board program (Medicine)",
IF(OR(AND(R$5&gt;0,R$5&gt;100),AND(R$5&gt;0,R$5&lt;100)),
VLOOKUP(FLOOR((Midterm!R79/R$5)*100,1),new_transmute,4,FALSE),
VLOOKUP(Midterm!R79,new_transmute,4,FALSE)
),
""
)
)
)
)
)
)
)
)
))</f>
        <v/>
      </c>
      <c r="S79" s="115" t="str">
        <f t="shared" si="13"/>
        <v/>
      </c>
      <c r="T79" s="14" t="str">
        <f>IF($B79="","",
IF(T$5="","",
IF(Midterm!T79="",0,
IF(NOT(ISNUMBER(Midterm!T79)),"NAN",
IF(Midterm!T79&lt;0,"NEG",
IF(Midterm!T79&gt;T$5,"OVER",
IF(AND(T$5&lt;=100,Midterm!T79&gt;100),"ERR",
IF(Info!$B$4="Non-board program",
IF(OR(AND(T$5&gt;0,T$5&gt;100),AND(T$5&gt;0,T$5&lt;100)),
VLOOKUP(FLOOR((Midterm!T79/T$5)*100,1),new_transmute,2,FALSE),
VLOOKUP(Midterm!T79,new_transmute,2,FALSE)
),
IF(Info!$B$4="Board program",
IF(OR(AND(T$5&gt;0,T$5&gt;100),AND(T$5&gt;0,T$5&lt;100)),
VLOOKUP(FLOOR((Midterm!T79/T$5)*100,1),new_transmute,3,FALSE),
VLOOKUP(Midterm!T79,new_transmute,3,FALSE)
),
IF(Info!$B$4="Board program (Medicine)",
IF(OR(AND(T$5&gt;0,T$5&gt;100),AND(T$5&gt;0,T$5&lt;100)),
VLOOKUP(FLOOR((Midterm!T79/T$5)*100,1),new_transmute,4,FALSE),
VLOOKUP(Midterm!T79,new_transmute,4,FALSE)
),
""
)
)
)
)
)
)
)
)
))</f>
        <v/>
      </c>
      <c r="U79" s="14" t="str">
        <f>IF($B79="","",
IF(U$5="","",
IF(Midterm!U79="",0,
IF(NOT(ISNUMBER(Midterm!U79)),"NAN",
IF(Midterm!U79&lt;0,"NEG",
IF(Midterm!U79&gt;U$5,"OVER",
IF(AND(U$5&lt;=100,Midterm!U79&gt;100),"ERR",
IF(Info!$B$4="Non-board program",
IF(OR(AND(U$5&gt;0,U$5&gt;100),AND(U$5&gt;0,U$5&lt;100)),
VLOOKUP(FLOOR((Midterm!U79/U$5)*100,1),new_transmute,2,FALSE),
VLOOKUP(Midterm!U79,new_transmute,2,FALSE)
),
IF(Info!$B$4="Board program",
IF(OR(AND(U$5&gt;0,U$5&gt;100),AND(U$5&gt;0,U$5&lt;100)),
VLOOKUP(FLOOR((Midterm!U79/U$5)*100,1),new_transmute,3,FALSE),
VLOOKUP(Midterm!U79,new_transmute,3,FALSE)
),
IF(Info!$B$4="Board program (Medicine)",
IF(OR(AND(U$5&gt;0,U$5&gt;100),AND(U$5&gt;0,U$5&lt;100)),
VLOOKUP(FLOOR((Midterm!U79/U$5)*100,1),new_transmute,4,FALSE),
VLOOKUP(Midterm!U79,new_transmute,4,FALSE)
),
""
)
)
)
)
)
)
)
)
))</f>
        <v/>
      </c>
      <c r="V79" s="14" t="str">
        <f>IF($B79="","",
IF(V$5="","",
IF(Midterm!V79="",0,
IF(NOT(ISNUMBER(Midterm!V79)),"NAN",
IF(Midterm!V79&lt;0,"NEG",
IF(Midterm!V79&gt;V$5,"OVER",
IF(AND(V$5&lt;=100,Midterm!V79&gt;100),"ERR",
IF(Info!$B$4="Non-board program",
IF(OR(AND(V$5&gt;0,V$5&gt;100),AND(V$5&gt;0,V$5&lt;100)),
VLOOKUP(FLOOR((Midterm!V79/V$5)*100,1),new_transmute,2,FALSE),
VLOOKUP(Midterm!V79,new_transmute,2,FALSE)
),
IF(Info!$B$4="Board program",
IF(OR(AND(V$5&gt;0,V$5&gt;100),AND(V$5&gt;0,V$5&lt;100)),
VLOOKUP(FLOOR((Midterm!V79/V$5)*100,1),new_transmute,3,FALSE),
VLOOKUP(Midterm!V79,new_transmute,3,FALSE)
),
IF(Info!$B$4="Board program (Medicine)",
IF(OR(AND(V$5&gt;0,V$5&gt;100),AND(V$5&gt;0,V$5&lt;100)),
VLOOKUP(FLOOR((Midterm!V79/V$5)*100,1),new_transmute,4,FALSE),
VLOOKUP(Midterm!V79,new_transmute,4,FALSE)
),
""
)
)
)
)
)
)
)
)
))</f>
        <v/>
      </c>
      <c r="W79" s="14" t="str">
        <f>IF($B79="","",
IF(W$5="","",
IF(Midterm!W79="",0,
IF(NOT(ISNUMBER(Midterm!W79)),"NAN",
IF(Midterm!W79&lt;0,"NEG",
IF(Midterm!W79&gt;W$5,"OVER",
IF(AND(W$5&lt;=100,Midterm!W79&gt;100),"ERR",
IF(Info!$B$4="Non-board program",
IF(OR(AND(W$5&gt;0,W$5&gt;100),AND(W$5&gt;0,W$5&lt;100)),
VLOOKUP(FLOOR((Midterm!W79/W$5)*100,1),new_transmute,2,FALSE),
VLOOKUP(Midterm!W79,new_transmute,2,FALSE)
),
IF(Info!$B$4="Board program",
IF(OR(AND(W$5&gt;0,W$5&gt;100),AND(W$5&gt;0,W$5&lt;100)),
VLOOKUP(FLOOR((Midterm!W79/W$5)*100,1),new_transmute,3,FALSE),
VLOOKUP(Midterm!W79,new_transmute,3,FALSE)
),
IF(Info!$B$4="Board program (Medicine)",
IF(OR(AND(W$5&gt;0,W$5&gt;100),AND(W$5&gt;0,W$5&lt;100)),
VLOOKUP(FLOOR((Midterm!W79/W$5)*100,1),new_transmute,4,FALSE),
VLOOKUP(Midterm!W79,new_transmute,4,FALSE)
),
""
)
)
)
)
)
)
)
)
))</f>
        <v/>
      </c>
      <c r="X79" s="14" t="str">
        <f>IF($B79="","",
IF(X$5="","",
IF(Midterm!X79="",0,
IF(NOT(ISNUMBER(Midterm!X79)),"NAN",
IF(Midterm!X79&lt;0,"NEG",
IF(Midterm!X79&gt;X$5,"OVER",
IF(AND(X$5&lt;=100,Midterm!X79&gt;100),"ERR",
IF(Info!$B$4="Non-board program",
IF(OR(AND(X$5&gt;0,X$5&gt;100),AND(X$5&gt;0,X$5&lt;100)),
VLOOKUP(FLOOR((Midterm!X79/X$5)*100,1),new_transmute,2,FALSE),
VLOOKUP(Midterm!X79,new_transmute,2,FALSE)
),
IF(Info!$B$4="Board program",
IF(OR(AND(X$5&gt;0,X$5&gt;100),AND(X$5&gt;0,X$5&lt;100)),
VLOOKUP(FLOOR((Midterm!X79/X$5)*100,1),new_transmute,3,FALSE),
VLOOKUP(Midterm!X79,new_transmute,3,FALSE)
),
IF(Info!$B$4="Board program (Medicine)",
IF(OR(AND(X$5&gt;0,X$5&gt;100),AND(X$5&gt;0,X$5&lt;100)),
VLOOKUP(FLOOR((Midterm!X79/X$5)*100,1),new_transmute,4,FALSE),
VLOOKUP(Midterm!X79,new_transmute,4,FALSE)
),
""
)
)
)
)
)
)
)
)
))</f>
        <v/>
      </c>
      <c r="Y79" s="112" t="str">
        <f t="shared" si="14"/>
        <v/>
      </c>
      <c r="Z79" s="14" t="str">
        <f>IF($B79="","",
IF(Z$5="","",
IF(Midterm!Z79="",0,
IF(NOT(ISNUMBER(Midterm!Z79)),"NAN",
IF(Midterm!Z79&lt;0,"NEG",
IF(Midterm!Z79&gt;Z$5,"OVER",
IF(AND(Z$5&lt;=100,Midterm!Z79&gt;100),"ERR",
IF(Info!$B$4="Non-board program",
IF(OR(AND(Z$5&gt;0,Z$5&gt;100),AND(Z$5&gt;0,Z$5&lt;100)),
VLOOKUP(FLOOR((Midterm!Z79/Z$5)*100,1),new_transmute,2,FALSE),
VLOOKUP(Midterm!Z79,new_transmute,2,FALSE)
),
IF(Info!$B$4="Board program",
IF(OR(AND(Z$5&gt;0,Z$5&gt;100),AND(Z$5&gt;0,Z$5&lt;100)),
VLOOKUP(FLOOR((Midterm!Z79/Z$5)*100,1),new_transmute,3,FALSE),
VLOOKUP(Midterm!Z79,new_transmute,3,FALSE)
),
IF(Info!$B$4="Board program (Medicine)",
IF(OR(AND(Z$5&gt;0,Z$5&gt;100),AND(Z$5&gt;0,Z$5&lt;100)),
VLOOKUP(FLOOR((Midterm!Z79/Z$5)*100,1),new_transmute,4,FALSE),
VLOOKUP(Midterm!Z79,new_transmute,4,FALSE)
),
""
)
)
)
)
)
)
)
)
))</f>
        <v/>
      </c>
      <c r="AA79" s="14" t="str">
        <f>IF($B79="","",
IF(AA$5="","",
IF(Midterm!AA79="",0,
IF(NOT(ISNUMBER(Midterm!AA79)),"NAN",
IF(Midterm!AA79&lt;0,"NEG",
IF(Midterm!AA79&gt;AA$5,"OVER",
IF(AND(AA$5&lt;=100,Midterm!AA79&gt;100),"ERR",
IF(Info!$B$4="Non-board program",
IF(OR(AND(AA$5&gt;0,AA$5&gt;100),AND(AA$5&gt;0,AA$5&lt;100)),
VLOOKUP(FLOOR((Midterm!AA79/AA$5)*100,1),new_transmute,2,FALSE),
VLOOKUP(Midterm!AA79,new_transmute,2,FALSE)
),
IF(Info!$B$4="Board program",
IF(OR(AND(AA$5&gt;0,AA$5&gt;100),AND(AA$5&gt;0,AA$5&lt;100)),
VLOOKUP(FLOOR((Midterm!AA79/AA$5)*100,1),new_transmute,3,FALSE),
VLOOKUP(Midterm!AA79,new_transmute,3,FALSE)
),
IF(Info!$B$4="Board program (Medicine)",
IF(OR(AND(AA$5&gt;0,AA$5&gt;100),AND(AA$5&gt;0,AA$5&lt;100)),
VLOOKUP(FLOOR((Midterm!AA79/AA$5)*100,1),new_transmute,4,FALSE),
VLOOKUP(Midterm!AA79,new_transmute,4,FALSE)
),
""
)
)
)
)
)
)
)
)
))</f>
        <v/>
      </c>
      <c r="AB79" s="14" t="str">
        <f>IF($B79="","",
IF(AB$5="","",
IF(Midterm!AB79="",0,
IF(NOT(ISNUMBER(Midterm!AB79)),"NAN",
IF(Midterm!AB79&lt;0,"NEG",
IF(Midterm!AB79&gt;AB$5,"OVER",
IF(AND(AB$5&lt;=100,Midterm!AB79&gt;100),"ERR",
IF(Info!$B$4="Non-board program",
IF(OR(AND(AB$5&gt;0,AB$5&gt;100),AND(AB$5&gt;0,AB$5&lt;100)),
VLOOKUP(FLOOR((Midterm!AB79/AB$5)*100,1),new_transmute,2,FALSE),
VLOOKUP(Midterm!AB79,new_transmute,2,FALSE)
),
IF(Info!$B$4="Board program",
IF(OR(AND(AB$5&gt;0,AB$5&gt;100),AND(AB$5&gt;0,AB$5&lt;100)),
VLOOKUP(FLOOR((Midterm!AB79/AB$5)*100,1),new_transmute,3,FALSE),
VLOOKUP(Midterm!AB79,new_transmute,3,FALSE)
),
IF(Info!$B$4="Board program (Medicine)",
IF(OR(AND(AB$5&gt;0,AB$5&gt;100),AND(AB$5&gt;0,AB$5&lt;100)),
VLOOKUP(FLOOR((Midterm!AB79/AB$5)*100,1),new_transmute,4,FALSE),
VLOOKUP(Midterm!AB79,new_transmute,4,FALSE)
),
""
)
)
)
)
)
)
)
)
))</f>
        <v/>
      </c>
      <c r="AC79" s="14" t="str">
        <f>IF($B79="","",
IF(AC$5="","",
IF(Midterm!AC79="",0,
IF(NOT(ISNUMBER(Midterm!AC79)),"NAN",
IF(Midterm!AC79&lt;0,"NEG",
IF(Midterm!AC79&gt;AC$5,"OVER",
IF(AND(AC$5&lt;=100,Midterm!AC79&gt;100),"ERR",
IF(Info!$B$4="Non-board program",
IF(OR(AND(AC$5&gt;0,AC$5&gt;100),AND(AC$5&gt;0,AC$5&lt;100)),
VLOOKUP(FLOOR((Midterm!AC79/AC$5)*100,1),new_transmute,2,FALSE),
VLOOKUP(Midterm!AC79,new_transmute,2,FALSE)
),
IF(Info!$B$4="Board program",
IF(OR(AND(AC$5&gt;0,AC$5&gt;100),AND(AC$5&gt;0,AC$5&lt;100)),
VLOOKUP(FLOOR((Midterm!AC79/AC$5)*100,1),new_transmute,3,FALSE),
VLOOKUP(Midterm!AC79,new_transmute,3,FALSE)
),
IF(Info!$B$4="Board program (Medicine)",
IF(OR(AND(AC$5&gt;0,AC$5&gt;100),AND(AC$5&gt;0,AC$5&lt;100)),
VLOOKUP(FLOOR((Midterm!AC79/AC$5)*100,1),new_transmute,4,FALSE),
VLOOKUP(Midterm!AC79,new_transmute,4,FALSE)
),
""
)
)
)
)
)
)
)
)
))</f>
        <v/>
      </c>
      <c r="AD79" s="14" t="str">
        <f>IF($B79="","",
IF(AD$5="","",
IF(Midterm!AD79="",0,
IF(NOT(ISNUMBER(Midterm!AD79)),"NAN",
IF(Midterm!AD79&lt;0,"NEG",
IF(Midterm!AD79&gt;AD$5,"OVER",
IF(AND(AD$5&lt;=100,Midterm!AD79&gt;100),"ERR",
IF(Info!$B$4="Non-board program",
IF(OR(AND(AD$5&gt;0,AD$5&gt;100),AND(AD$5&gt;0,AD$5&lt;100)),
VLOOKUP(FLOOR((Midterm!AD79/AD$5)*100,1),new_transmute,2,FALSE),
VLOOKUP(Midterm!AD79,new_transmute,2,FALSE)
),
IF(Info!$B$4="Board program",
IF(OR(AND(AD$5&gt;0,AD$5&gt;100),AND(AD$5&gt;0,AD$5&lt;100)),
VLOOKUP(FLOOR((Midterm!AD79/AD$5)*100,1),new_transmute,3,FALSE),
VLOOKUP(Midterm!AD79,new_transmute,3,FALSE)
),
IF(Info!$B$4="Board program (Medicine)",
IF(OR(AND(AD$5&gt;0,AD$5&gt;100),AND(AD$5&gt;0,AD$5&lt;100)),
VLOOKUP(FLOOR((Midterm!AD79/AD$5)*100,1),new_transmute,4,FALSE),
VLOOKUP(Midterm!AD79,new_transmute,4,FALSE)
),
""
)
)
)
)
)
)
)
)
))</f>
        <v/>
      </c>
      <c r="AE79" s="58" t="str">
        <f t="shared" si="15"/>
        <v/>
      </c>
      <c r="AF79" s="14" t="str">
        <f>IF($B79="","",
IF(AF$5="","",
IF(Midterm!AF79="",0,
IF(NOT(ISNUMBER(Midterm!AF79)),"NAN",
IF(Midterm!AF79&lt;0,"NEG",
IF(Midterm!AF79&gt;AF$5,"OVER",
IF(AND(AF$5&lt;=100,Midterm!AF79&gt;100),"ERR",
IF(Info!$B$4="Non-board program",
IF(OR(AND(AF$5&gt;0,AF$5&gt;100),AND(AF$5&gt;0,AF$5&lt;100)),
VLOOKUP(FLOOR((Midterm!AF79/AF$5)*100,1),new_transmute,2,FALSE),
VLOOKUP(Midterm!AF79,new_transmute,2,FALSE)
),
IF(Info!$B$4="Board program",
IF(OR(AND(AF$5&gt;0,AF$5&gt;100),AND(AF$5&gt;0,AF$5&lt;100)),
VLOOKUP(FLOOR((Midterm!AF79/AF$5)*100,1),new_transmute,3,FALSE),
VLOOKUP(Midterm!AF79,new_transmute,3,FALSE)
),
IF(Info!$B$4="Board program (Medicine)",
IF(OR(AND(AF$5&gt;0,AF$5&gt;100),AND(AF$5&gt;0,AF$5&lt;100)),
VLOOKUP(FLOOR((Midterm!AF79/AF$5)*100,1),new_transmute,4,FALSE),
VLOOKUP(Midterm!AF79,new_transmute,4,FALSE)
),
""
)
)
)
)
)
)
)
)
))</f>
        <v/>
      </c>
      <c r="AG79" s="14" t="str">
        <f>IF($B79="","",
IF(AG$5="","",
IF(Midterm!AG79="",0,
IF(NOT(ISNUMBER(Midterm!AG79)),"NAN",
IF(Midterm!AG79&lt;0,"NEG",
IF(Midterm!AG79&gt;AG$5,"OVER",
IF(AND(AG$5&lt;=100,Midterm!AG79&gt;100),"ERR",
IF(Info!$B$4="Non-board program",
IF(OR(AND(AG$5&gt;0,AG$5&gt;100),AND(AG$5&gt;0,AG$5&lt;100)),
VLOOKUP(FLOOR((Midterm!AG79/AG$5)*100,1),new_transmute,2,FALSE),
VLOOKUP(Midterm!AG79,new_transmute,2,FALSE)
),
IF(Info!$B$4="Board program",
IF(OR(AND(AG$5&gt;0,AG$5&gt;100),AND(AG$5&gt;0,AG$5&lt;100)),
VLOOKUP(FLOOR((Midterm!AG79/AG$5)*100,1),new_transmute,3,FALSE),
VLOOKUP(Midterm!AG79,new_transmute,3,FALSE)
),
IF(Info!$B$4="Board program (Medicine)",
IF(OR(AND(AG$5&gt;0,AG$5&gt;100),AND(AG$5&gt;0,AG$5&lt;100)),
VLOOKUP(FLOOR((Midterm!AG79/AG$5)*100,1),new_transmute,4,FALSE),
VLOOKUP(Midterm!AG79,new_transmute,4,FALSE)
),
""
)
)
)
)
)
)
)
)
))</f>
        <v/>
      </c>
      <c r="AH79" s="14" t="str">
        <f>IF($B79="","",
IF(AH$5="","",
IF(Midterm!AH79="",0,
IF(NOT(ISNUMBER(Midterm!AH79)),"NAN",
IF(Midterm!AH79&lt;0,"NEG",
IF(Midterm!AH79&gt;AH$5,"OVER",
IF(AND(AH$5&lt;=100,Midterm!AH79&gt;100),"ERR",
IF(Info!$B$4="Non-board program",
IF(OR(AND(AH$5&gt;0,AH$5&gt;100),AND(AH$5&gt;0,AH$5&lt;100)),
VLOOKUP(FLOOR((Midterm!AH79/AH$5)*100,1),new_transmute,2,FALSE),
VLOOKUP(Midterm!AH79,new_transmute,2,FALSE)
),
IF(Info!$B$4="Board program",
IF(OR(AND(AH$5&gt;0,AH$5&gt;100),AND(AH$5&gt;0,AH$5&lt;100)),
VLOOKUP(FLOOR((Midterm!AH79/AH$5)*100,1),new_transmute,3,FALSE),
VLOOKUP(Midterm!AH79,new_transmute,3,FALSE)
),
IF(Info!$B$4="Board program (Medicine)",
IF(OR(AND(AH$5&gt;0,AH$5&gt;100),AND(AH$5&gt;0,AH$5&lt;100)),
VLOOKUP(FLOOR((Midterm!AH79/AH$5)*100,1),new_transmute,4,FALSE),
VLOOKUP(Midterm!AH79,new_transmute,4,FALSE)
),
""
)
)
)
)
)
)
)
)
))</f>
        <v/>
      </c>
      <c r="AI79" s="14" t="str">
        <f>IF($B79="","",
IF(AI$5="","",
IF(Midterm!AI79="",0,
IF(NOT(ISNUMBER(Midterm!AI79)),"NAN",
IF(Midterm!AI79&lt;0,"NEG",
IF(Midterm!AI79&gt;AI$5,"OVER",
IF(AND(AI$5&lt;=100,Midterm!AI79&gt;100),"ERR",
IF(Info!$B$4="Non-board program",
IF(OR(AND(AI$5&gt;0,AI$5&gt;100),AND(AI$5&gt;0,AI$5&lt;100)),
VLOOKUP(FLOOR((Midterm!AI79/AI$5)*100,1),new_transmute,2,FALSE),
VLOOKUP(Midterm!AI79,new_transmute,2,FALSE)
),
IF(Info!$B$4="Board program",
IF(OR(AND(AI$5&gt;0,AI$5&gt;100),AND(AI$5&gt;0,AI$5&lt;100)),
VLOOKUP(FLOOR((Midterm!AI79/AI$5)*100,1),new_transmute,3,FALSE),
VLOOKUP(Midterm!AI79,new_transmute,3,FALSE)
),
IF(Info!$B$4="Board program (Medicine)",
IF(OR(AND(AI$5&gt;0,AI$5&gt;100),AND(AI$5&gt;0,AI$5&lt;100)),
VLOOKUP(FLOOR((Midterm!AI79/AI$5)*100,1),new_transmute,4,FALSE),
VLOOKUP(Midterm!AI79,new_transmute,4,FALSE)
),
""
)
)
)
)
)
)
)
)
))</f>
        <v/>
      </c>
      <c r="AJ79" s="14" t="str">
        <f>IF($B79="","",
IF(AJ$5="","",
IF(Midterm!AJ79="",0,
IF(NOT(ISNUMBER(Midterm!AJ79)),"NAN",
IF(Midterm!AJ79&lt;0,"NEG",
IF(Midterm!AJ79&gt;AJ$5,"OVER",
IF(AND(AJ$5&lt;=100,Midterm!AJ79&gt;100),"ERR",
IF(Info!$B$4="Non-board program",
IF(OR(AND(AJ$5&gt;0,AJ$5&gt;100),AND(AJ$5&gt;0,AJ$5&lt;100)),
VLOOKUP(FLOOR((Midterm!AJ79/AJ$5)*100,1),new_transmute,2,FALSE),
VLOOKUP(Midterm!AJ79,new_transmute,2,FALSE)
),
IF(Info!$B$4="Board program",
IF(OR(AND(AJ$5&gt;0,AJ$5&gt;100),AND(AJ$5&gt;0,AJ$5&lt;100)),
VLOOKUP(FLOOR((Midterm!AJ79/AJ$5)*100,1),new_transmute,3,FALSE),
VLOOKUP(Midterm!AJ79,new_transmute,3,FALSE)
),
IF(Info!$B$4="Board program (Medicine)",
IF(OR(AND(AJ$5&gt;0,AJ$5&gt;100),AND(AJ$5&gt;0,AJ$5&lt;100)),
VLOOKUP(FLOOR((Midterm!AJ79/AJ$5)*100,1),new_transmute,4,FALSE),
VLOOKUP(Midterm!AJ79,new_transmute,4,FALSE)
),
""
)
)
)
)
)
)
)
)
))</f>
        <v/>
      </c>
      <c r="AK79" s="59" t="str">
        <f t="shared" si="16"/>
        <v/>
      </c>
      <c r="AL79" s="60" t="str">
        <f>IF(B79="", "",
    IF(OR(M79="OVER", S79="OVER", Y79="OVER", AE79="OVER", AK79="OVER"),
        "OVER",
        IF(Info!$B$4="Non-board program",
            VLOOKUP(IFERROR(FLOOR(SUM((M79*$M$4), (S79*$S$4), (Y79*$Y$4), (AE79*$AE$4), (AK79*$AK$4)) * (100 / 60), 1), 0), new_transmute, 2, FALSE),
            IF(Info!$B$4="Board program",
                VLOOKUP(IFERROR(FLOOR(SUM((M79*$M$4), (S79*$S$4), (Y79*$Y$4), (AE79*$AE$4), (AK79*$AK$4)) * (100 / 60), 1), 0), new_transmute, 3, FALSE),
                IF(Info!$B$4="Board program (Medicine)",
                    VLOOKUP(IFERROR(FLOOR(SUM((M79*$M$4), (S79*$S$4), (Y79*$Y$4), (AE79*$AE$4), (AK79*$AK$4)) * (100 / 60), 1), 0), new_transmute, 4, FALSE),
                    ""
                )
            )
        )
    )
)</f>
        <v/>
      </c>
      <c r="AM79" s="14" t="str">
        <f>IF($B79="","",
IF(AM$5="","",
IF(Midterm!AM79="",0,
IF(NOT(ISNUMBER(Midterm!AM79)),"NAN",
IF(Midterm!AM79&lt;0,"NEG",
IF(Midterm!AM79&gt;AM$5,"OVER",
IF(AND(AM$5&lt;=100,Midterm!AM79&gt;100),"ERR",
IF(Info!$B$4="Non-board program",
IF(OR(AND(AM$5&gt;0,AM$5&gt;100),AND(AM$5&gt;0,AM$5&lt;100)),
VLOOKUP(FLOOR((Midterm!AM79/AM$5)*100,1),new_transmute,2,FALSE),
VLOOKUP(Midterm!AM79,new_transmute,2,FALSE)
),
IF(Info!$B$4="Board program",
IF(OR(AND(AM$5&gt;0,AM$5&gt;100),AND(AM$5&gt;0,AM$5&lt;100)),
VLOOKUP(FLOOR((Midterm!AM79/AM$5)*100,1),new_transmute,3,FALSE),
VLOOKUP(Midterm!AM79,new_transmute,3,FALSE)
),
IF(Info!$B$4="Board program (Medicine)",
IF(OR(AND(AM$5&gt;0,AM$5&gt;100),AND(AM$5&gt;0,AM$5&lt;100)),
VLOOKUP(FLOOR((Midterm!AM79/AM$5)*100,1),new_transmute,4,FALSE),
VLOOKUP(Midterm!AM79,new_transmute,4,FALSE)
),
""
)
)
)
)
)
)
)
)
))</f>
        <v/>
      </c>
      <c r="AN79" s="14" t="str">
        <f>IF($B79="","",
IF(AN$5="","",
IF(Midterm!AN79="",0,
IF(NOT(ISNUMBER(Midterm!AN79)),"NAN",
IF(Midterm!AN79&lt;0,"NEG",
IF(Midterm!AN79&gt;AN$5,"OVER",
IF(AND(AN$5&lt;=100,Midterm!AN79&gt;100),"ERR",
IF(Info!$B$4="Non-board program",
IF(OR(AND(AN$5&gt;0,AN$5&gt;100),AND(AN$5&gt;0,AN$5&lt;100)),
VLOOKUP(FLOOR((Midterm!AN79/AN$5)*100,1),new_transmute,2,FALSE),
VLOOKUP(Midterm!AN79,new_transmute,2,FALSE)
),
IF(Info!$B$4="Board program",
IF(OR(AND(AN$5&gt;0,AN$5&gt;100),AND(AN$5&gt;0,AN$5&lt;100)),
VLOOKUP(FLOOR((Midterm!AN79/AN$5)*100,1),new_transmute,3,FALSE),
VLOOKUP(Midterm!AN79,new_transmute,3,FALSE)
),
IF(Info!$B$4="Board program (Medicine)",
IF(OR(AND(AN$5&gt;0,AN$5&gt;100),AND(AN$5&gt;0,AN$5&lt;100)),
VLOOKUP(FLOOR((Midterm!AN79/AN$5)*100,1),new_transmute,4,FALSE),
VLOOKUP(Midterm!AN79,new_transmute,4,FALSE)
),
""
)
)
)
)
)
)
)
)
))</f>
        <v/>
      </c>
      <c r="AO79" s="14" t="str">
        <f>IF($B79="","",
IF(AO$5="","",
IF(Midterm!AO79="",0,
IF(NOT(ISNUMBER(Midterm!AO79)),"NAN",
IF(Midterm!AO79&lt;0,"NEG",
IF(Midterm!AO79&gt;AO$5,"OVER",
IF(AND(AO$5&lt;=100,Midterm!AO79&gt;100),"ERR",
IF(Info!$B$4="Non-board program",
IF(OR(AND(AO$5&gt;0,AO$5&gt;100),AND(AO$5&gt;0,AO$5&lt;100)),
VLOOKUP(FLOOR((Midterm!AO79/AO$5)*100,1),new_transmute,2,FALSE),
VLOOKUP(Midterm!AO79,new_transmute,2,FALSE)
),
IF(Info!$B$4="Board program",
IF(OR(AND(AO$5&gt;0,AO$5&gt;100),AND(AO$5&gt;0,AO$5&lt;100)),
VLOOKUP(FLOOR((Midterm!AO79/AO$5)*100,1),new_transmute,3,FALSE),
VLOOKUP(Midterm!AO79,new_transmute,3,FALSE)
),
IF(Info!$B$4="Board program (Medicine)",
IF(OR(AND(AO$5&gt;0,AO$5&gt;100),AND(AO$5&gt;0,AO$5&lt;100)),
VLOOKUP(FLOOR((Midterm!AO79/AO$5)*100,1),new_transmute,4,FALSE),
VLOOKUP(Midterm!AO79,new_transmute,4,FALSE)
),
""
)
)
)
)
)
)
)
)
))</f>
        <v/>
      </c>
      <c r="AP79" s="14" t="str">
        <f>IF($B79="","",
IF(AP$5="","",
IF(Midterm!AP79="",0,
IF(NOT(ISNUMBER(Midterm!AP79)),"NAN",
IF(Midterm!AP79&lt;0,"NEG",
IF(Midterm!AP79&gt;AP$5,"OVER",
IF(AND(AP$5&lt;=100,Midterm!AP79&gt;100),"ERR",
IF(Info!$B$4="Non-board program",
IF(OR(AND(AP$5&gt;0,AP$5&gt;100),AND(AP$5&gt;0,AP$5&lt;100)),
VLOOKUP(FLOOR((Midterm!AP79/AP$5)*100,1),new_transmute,2,FALSE),
VLOOKUP(Midterm!AP79,new_transmute,2,FALSE)
),
IF(Info!$B$4="Board program",
IF(OR(AND(AP$5&gt;0,AP$5&gt;100),AND(AP$5&gt;0,AP$5&lt;100)),
VLOOKUP(FLOOR((Midterm!AP79/AP$5)*100,1),new_transmute,3,FALSE),
VLOOKUP(Midterm!AP79,new_transmute,3,FALSE)
),
IF(Info!$B$4="Board program (Medicine)",
IF(OR(AND(AP$5&gt;0,AP$5&gt;100),AND(AP$5&gt;0,AP$5&lt;100)),
VLOOKUP(FLOOR((Midterm!AP79/AP$5)*100,1),new_transmute,4,FALSE),
VLOOKUP(Midterm!AP79,new_transmute,4,FALSE)
),
""
)
)
)
)
)
)
)
)
))</f>
        <v/>
      </c>
      <c r="AQ79" s="61" t="str">
        <f t="shared" si="17"/>
        <v/>
      </c>
      <c r="AR79" s="48" t="str">
        <f>IF(Midterm!AR79="","",Midterm!AR79)</f>
        <v/>
      </c>
      <c r="AS79" s="165" t="str">
        <f t="shared" si="18"/>
        <v/>
      </c>
      <c r="AT79" s="14" t="str">
        <f t="shared" si="19"/>
        <v/>
      </c>
      <c r="AU79" s="14" t="str">
        <f>IF(B79="","",VLOOKUP(AT79,'New Grade Equivalent'!$B$3:$C$47,2,FALSE))</f>
        <v/>
      </c>
    </row>
    <row r="80" spans="1:47" x14ac:dyDescent="0.25">
      <c r="A80" s="8">
        <v>75</v>
      </c>
      <c r="B80" s="2" t="str">
        <f>IF('Student List'!C84="","",UPPER(LEFT('Student List'!C84,FIND(",",'Student List'!C84)-1)))</f>
        <v/>
      </c>
      <c r="C80" s="12" t="str">
        <f>IF('Student List'!C84="","",PROPER(MID('Student List'!C84, FIND(",", 'Student List'!C84) + 2, LEN('Student List'!C84) - FIND(",", 'Student List'!C84) - 1)))</f>
        <v/>
      </c>
      <c r="D80" s="127" t="str">
        <f>IF(B80="","",IF(Midterm!D80="", "NA", Midterm!D80))</f>
        <v/>
      </c>
      <c r="E80" s="8" t="str">
        <f>IF(B80="","",
  IF(Info!$B$5="First Year",
    IF(D80="Yes", "DRP",
      IF(D80="No", "WF", "")
    )
  )
)</f>
        <v/>
      </c>
      <c r="F80" s="14" t="str">
        <f>IF($B80="","",
IF(F$5="","",
IF(Midterm!F80="",0,
IF(NOT(ISNUMBER(Midterm!F80)),"NAN",
IF(Midterm!F80&lt;0,"NEG",
IF(Midterm!F80&gt;F$5,"OVER",
IF(AND(F$5&lt;=100,Midterm!F80&gt;100),"ERR",
IF(Info!$B$4="Non-board program",
IF(OR(AND(F$5&gt;0,F$5&gt;100),AND(F$5&gt;0,F$5&lt;100)),
VLOOKUP(FLOOR((Midterm!F80/F$5)*100,1),new_transmute,2,FALSE),
VLOOKUP(Midterm!F80,new_transmute,2,FALSE)
),
IF(Info!$B$4="Board program",
IF(OR(AND(F$5&gt;0,F$5&gt;100),AND(F$5&gt;0,F$5&lt;100)),
VLOOKUP(FLOOR((Midterm!F80/F$5)*100,1),new_transmute,3,FALSE),
VLOOKUP(Midterm!F80,new_transmute,3,FALSE)
),
IF(Info!$B$4="Board program (Medicine)",
IF(OR(AND(F$5&gt;0,F$5&gt;100),AND(F$5&gt;0,F$5&lt;100)),
VLOOKUP(FLOOR((Midterm!F80/F$5)*100,1),new_transmute,4,FALSE),
VLOOKUP(Midterm!F80,new_transmute,4,FALSE)
),
""
)
)
)
)
)
)
)
)
))</f>
        <v/>
      </c>
      <c r="G80" s="57" t="str">
        <f t="shared" si="11"/>
        <v/>
      </c>
      <c r="H80" s="14" t="str">
        <f>IF($B80="","",
IF(H$5="","",
IF(Midterm!H80="",0,
IF(NOT(ISNUMBER(Midterm!H80)),"NAN",
IF(Midterm!H80&lt;0,"NEG",
IF(Midterm!H80&gt;H$5,"OVER",
IF(AND(H$5&lt;=100,Midterm!H80&gt;100),"ERR",
IF(Info!$B$4="Non-board program",
IF(OR(AND(H$5&gt;0,H$5&gt;100),AND(H$5&gt;0,H$5&lt;100)),
VLOOKUP(FLOOR((Midterm!H80/H$5)*100,1),new_transmute,2,FALSE),
VLOOKUP(Midterm!H80,new_transmute,2,FALSE)
),
IF(Info!$B$4="Board program",
IF(OR(AND(H$5&gt;0,H$5&gt;100),AND(H$5&gt;0,H$5&lt;100)),
VLOOKUP(FLOOR((Midterm!H80/H$5)*100,1),new_transmute,3,FALSE),
VLOOKUP(Midterm!H80,new_transmute,3,FALSE)
),
IF(Info!$B$4="Board program (Medicine)",
IF(OR(AND(H$5&gt;0,H$5&gt;100),AND(H$5&gt;0,H$5&lt;100)),
VLOOKUP(FLOOR((Midterm!H80/H$5)*100,1),new_transmute,4,FALSE),
VLOOKUP(Midterm!H80,new_transmute,4,FALSE)
),
""
)
)
)
)
)
)
)
)
))</f>
        <v/>
      </c>
      <c r="I80" s="14" t="str">
        <f>IF($B80="","",
IF(I$5="","",
IF(Midterm!I80="",0,
IF(NOT(ISNUMBER(Midterm!I80)),"NAN",
IF(Midterm!I80&lt;0,"NEG",
IF(Midterm!I80&gt;I$5,"OVER",
IF(AND(I$5&lt;=100,Midterm!I80&gt;100),"ERR",
IF(Info!$B$4="Non-board program",
IF(OR(AND(I$5&gt;0,I$5&gt;100),AND(I$5&gt;0,I$5&lt;100)),
VLOOKUP(FLOOR((Midterm!I80/I$5)*100,1),new_transmute,2,FALSE),
VLOOKUP(Midterm!I80,new_transmute,2,FALSE)
),
IF(Info!$B$4="Board program",
IF(OR(AND(I$5&gt;0,I$5&gt;100),AND(I$5&gt;0,I$5&lt;100)),
VLOOKUP(FLOOR((Midterm!I80/I$5)*100,1),new_transmute,3,FALSE),
VLOOKUP(Midterm!I80,new_transmute,3,FALSE)
),
IF(Info!$B$4="Board program (Medicine)",
IF(OR(AND(I$5&gt;0,I$5&gt;100),AND(I$5&gt;0,I$5&lt;100)),
VLOOKUP(FLOOR((Midterm!I80/I$5)*100,1),new_transmute,4,FALSE),
VLOOKUP(Midterm!I80,new_transmute,4,FALSE)
),
""
)
)
)
)
)
)
)
)
))</f>
        <v/>
      </c>
      <c r="J80" s="14" t="str">
        <f>IF($B80="","",
IF(J$5="","",
IF(Midterm!J80="",0,
IF(NOT(ISNUMBER(Midterm!J80)),"NAN",
IF(Midterm!J80&lt;0,"NEG",
IF(Midterm!J80&gt;J$5,"OVER",
IF(AND(J$5&lt;=100,Midterm!J80&gt;100),"ERR",
IF(Info!$B$4="Non-board program",
IF(OR(AND(J$5&gt;0,J$5&gt;100),AND(J$5&gt;0,J$5&lt;100)),
VLOOKUP(FLOOR((Midterm!J80/J$5)*100,1),new_transmute,2,FALSE),
VLOOKUP(Midterm!J80,new_transmute,2,FALSE)
),
IF(Info!$B$4="Board program",
IF(OR(AND(J$5&gt;0,J$5&gt;100),AND(J$5&gt;0,J$5&lt;100)),
VLOOKUP(FLOOR((Midterm!J80/J$5)*100,1),new_transmute,3,FALSE),
VLOOKUP(Midterm!J80,new_transmute,3,FALSE)
),
IF(Info!$B$4="Board program (Medicine)",
IF(OR(AND(J$5&gt;0,J$5&gt;100),AND(J$5&gt;0,J$5&lt;100)),
VLOOKUP(FLOOR((Midterm!J80/J$5)*100,1),new_transmute,4,FALSE),
VLOOKUP(Midterm!J80,new_transmute,4,FALSE)
),
""
)
)
)
)
)
)
)
)
))</f>
        <v/>
      </c>
      <c r="K80" s="14" t="str">
        <f>IF($B80="","",
IF(K$5="","",
IF(Midterm!K80="",0,
IF(NOT(ISNUMBER(Midterm!K80)),"NAN",
IF(Midterm!K80&lt;0,"NEG",
IF(Midterm!K80&gt;K$5,"OVER",
IF(AND(K$5&lt;=100,Midterm!K80&gt;100),"ERR",
IF(Info!$B$4="Non-board program",
IF(OR(AND(K$5&gt;0,K$5&gt;100),AND(K$5&gt;0,K$5&lt;100)),
VLOOKUP(FLOOR((Midterm!K80/K$5)*100,1),new_transmute,2,FALSE),
VLOOKUP(Midterm!K80,new_transmute,2,FALSE)
),
IF(Info!$B$4="Board program",
IF(OR(AND(K$5&gt;0,K$5&gt;100),AND(K$5&gt;0,K$5&lt;100)),
VLOOKUP(FLOOR((Midterm!K80/K$5)*100,1),new_transmute,3,FALSE),
VLOOKUP(Midterm!K80,new_transmute,3,FALSE)
),
IF(Info!$B$4="Board program (Medicine)",
IF(OR(AND(K$5&gt;0,K$5&gt;100),AND(K$5&gt;0,K$5&lt;100)),
VLOOKUP(FLOOR((Midterm!K80/K$5)*100,1),new_transmute,4,FALSE),
VLOOKUP(Midterm!K80,new_transmute,4,FALSE)
),
""
)
)
)
)
)
)
)
)
))</f>
        <v/>
      </c>
      <c r="L80" s="14" t="str">
        <f>IF($B80="","",
IF(L$5="","",
IF(Midterm!L80="",0,
IF(NOT(ISNUMBER(Midterm!L80)),"NAN",
IF(Midterm!L80&lt;0,"NEG",
IF(Midterm!L80&gt;L$5,"OVER",
IF(AND(L$5&lt;=100,Midterm!L80&gt;100),"ERR",
IF(Info!$B$4="Non-board program",
IF(OR(AND(L$5&gt;0,L$5&gt;100),AND(L$5&gt;0,L$5&lt;100)),
VLOOKUP(FLOOR((Midterm!L80/L$5)*100,1),new_transmute,2,FALSE),
VLOOKUP(Midterm!L80,new_transmute,2,FALSE)
),
IF(Info!$B$4="Board program",
IF(OR(AND(L$5&gt;0,L$5&gt;100),AND(L$5&gt;0,L$5&lt;100)),
VLOOKUP(FLOOR((Midterm!L80/L$5)*100,1),new_transmute,3,FALSE),
VLOOKUP(Midterm!L80,new_transmute,3,FALSE)
),
IF(Info!$B$4="Board program (Medicine)",
IF(OR(AND(L$5&gt;0,L$5&gt;100),AND(L$5&gt;0,L$5&lt;100)),
VLOOKUP(FLOOR((Midterm!L80/L$5)*100,1),new_transmute,4,FALSE),
VLOOKUP(Midterm!L80,new_transmute,4,FALSE)
),
""
)
)
)
)
)
)
)
)
))</f>
        <v/>
      </c>
      <c r="M80" s="111" t="str">
        <f t="shared" si="12"/>
        <v/>
      </c>
      <c r="N80" s="14" t="str">
        <f>IF($B80="","",
IF(N$5="","",
IF(Midterm!N80="",0,
IF(NOT(ISNUMBER(Midterm!N80)),"NAN",
IF(Midterm!N80&lt;0,"NEG",
IF(Midterm!N80&gt;N$5,"OVER",
IF(AND(N$5&lt;=100,Midterm!N80&gt;100),"ERR",
IF(Info!$B$4="Non-board program",
IF(OR(AND(N$5&gt;0,N$5&gt;100),AND(N$5&gt;0,N$5&lt;100)),
VLOOKUP(FLOOR((Midterm!N80/N$5)*100,1),new_transmute,2,FALSE),
VLOOKUP(Midterm!N80,new_transmute,2,FALSE)
),
IF(Info!$B$4="Board program",
IF(OR(AND(N$5&gt;0,N$5&gt;100),AND(N$5&gt;0,N$5&lt;100)),
VLOOKUP(FLOOR((Midterm!N80/N$5)*100,1),new_transmute,3,FALSE),
VLOOKUP(Midterm!N80,new_transmute,3,FALSE)
),
IF(Info!$B$4="Board program (Medicine)",
IF(OR(AND(N$5&gt;0,N$5&gt;100),AND(N$5&gt;0,N$5&lt;100)),
VLOOKUP(FLOOR((Midterm!N80/N$5)*100,1),new_transmute,4,FALSE),
VLOOKUP(Midterm!N80,new_transmute,4,FALSE)
),
""
)
)
)
)
)
)
)
)
))</f>
        <v/>
      </c>
      <c r="O80" s="14" t="str">
        <f>IF($B80="","",
IF(O$5="","",
IF(Midterm!O80="",0,
IF(NOT(ISNUMBER(Midterm!O80)),"NAN",
IF(Midterm!O80&lt;0,"NEG",
IF(Midterm!O80&gt;O$5,"OVER",
IF(AND(O$5&lt;=100,Midterm!O80&gt;100),"ERR",
IF(Info!$B$4="Non-board program",
IF(OR(AND(O$5&gt;0,O$5&gt;100),AND(O$5&gt;0,O$5&lt;100)),
VLOOKUP(FLOOR((Midterm!O80/O$5)*100,1),new_transmute,2,FALSE),
VLOOKUP(Midterm!O80,new_transmute,2,FALSE)
),
IF(Info!$B$4="Board program",
IF(OR(AND(O$5&gt;0,O$5&gt;100),AND(O$5&gt;0,O$5&lt;100)),
VLOOKUP(FLOOR((Midterm!O80/O$5)*100,1),new_transmute,3,FALSE),
VLOOKUP(Midterm!O80,new_transmute,3,FALSE)
),
IF(Info!$B$4="Board program (Medicine)",
IF(OR(AND(O$5&gt;0,O$5&gt;100),AND(O$5&gt;0,O$5&lt;100)),
VLOOKUP(FLOOR((Midterm!O80/O$5)*100,1),new_transmute,4,FALSE),
VLOOKUP(Midterm!O80,new_transmute,4,FALSE)
),
""
)
)
)
)
)
)
)
)
))</f>
        <v/>
      </c>
      <c r="P80" s="14" t="str">
        <f>IF($B80="","",
IF(P$5="","",
IF(Midterm!P80="",0,
IF(NOT(ISNUMBER(Midterm!P80)),"NAN",
IF(Midterm!P80&lt;0,"NEG",
IF(Midterm!P80&gt;P$5,"OVER",
IF(AND(P$5&lt;=100,Midterm!P80&gt;100),"ERR",
IF(Info!$B$4="Non-board program",
IF(OR(AND(P$5&gt;0,P$5&gt;100),AND(P$5&gt;0,P$5&lt;100)),
VLOOKUP(FLOOR((Midterm!P80/P$5)*100,1),new_transmute,2,FALSE),
VLOOKUP(Midterm!P80,new_transmute,2,FALSE)
),
IF(Info!$B$4="Board program",
IF(OR(AND(P$5&gt;0,P$5&gt;100),AND(P$5&gt;0,P$5&lt;100)),
VLOOKUP(FLOOR((Midterm!P80/P$5)*100,1),new_transmute,3,FALSE),
VLOOKUP(Midterm!P80,new_transmute,3,FALSE)
),
IF(Info!$B$4="Board program (Medicine)",
IF(OR(AND(P$5&gt;0,P$5&gt;100),AND(P$5&gt;0,P$5&lt;100)),
VLOOKUP(FLOOR((Midterm!P80/P$5)*100,1),new_transmute,4,FALSE),
VLOOKUP(Midterm!P80,new_transmute,4,FALSE)
),
""
)
)
)
)
)
)
)
)
))</f>
        <v/>
      </c>
      <c r="Q80" s="14" t="str">
        <f>IF($B80="","",
IF(Q$5="","",
IF(Midterm!Q80="",0,
IF(NOT(ISNUMBER(Midterm!Q80)),"NAN",
IF(Midterm!Q80&lt;0,"NEG",
IF(Midterm!Q80&gt;Q$5,"OVER",
IF(AND(Q$5&lt;=100,Midterm!Q80&gt;100),"ERR",
IF(Info!$B$4="Non-board program",
IF(OR(AND(Q$5&gt;0,Q$5&gt;100),AND(Q$5&gt;0,Q$5&lt;100)),
VLOOKUP(FLOOR((Midterm!Q80/Q$5)*100,1),new_transmute,2,FALSE),
VLOOKUP(Midterm!Q80,new_transmute,2,FALSE)
),
IF(Info!$B$4="Board program",
IF(OR(AND(Q$5&gt;0,Q$5&gt;100),AND(Q$5&gt;0,Q$5&lt;100)),
VLOOKUP(FLOOR((Midterm!Q80/Q$5)*100,1),new_transmute,3,FALSE),
VLOOKUP(Midterm!Q80,new_transmute,3,FALSE)
),
IF(Info!$B$4="Board program (Medicine)",
IF(OR(AND(Q$5&gt;0,Q$5&gt;100),AND(Q$5&gt;0,Q$5&lt;100)),
VLOOKUP(FLOOR((Midterm!Q80/Q$5)*100,1),new_transmute,4,FALSE),
VLOOKUP(Midterm!Q80,new_transmute,4,FALSE)
),
""
)
)
)
)
)
)
)
)
))</f>
        <v/>
      </c>
      <c r="R80" s="14" t="str">
        <f>IF($B80="","",
IF(R$5="","",
IF(Midterm!R80="",0,
IF(NOT(ISNUMBER(Midterm!R80)),"NAN",
IF(Midterm!R80&lt;0,"NEG",
IF(Midterm!R80&gt;R$5,"OVER",
IF(AND(R$5&lt;=100,Midterm!R80&gt;100),"ERR",
IF(Info!$B$4="Non-board program",
IF(OR(AND(R$5&gt;0,R$5&gt;100),AND(R$5&gt;0,R$5&lt;100)),
VLOOKUP(FLOOR((Midterm!R80/R$5)*100,1),new_transmute,2,FALSE),
VLOOKUP(Midterm!R80,new_transmute,2,FALSE)
),
IF(Info!$B$4="Board program",
IF(OR(AND(R$5&gt;0,R$5&gt;100),AND(R$5&gt;0,R$5&lt;100)),
VLOOKUP(FLOOR((Midterm!R80/R$5)*100,1),new_transmute,3,FALSE),
VLOOKUP(Midterm!R80,new_transmute,3,FALSE)
),
IF(Info!$B$4="Board program (Medicine)",
IF(OR(AND(R$5&gt;0,R$5&gt;100),AND(R$5&gt;0,R$5&lt;100)),
VLOOKUP(FLOOR((Midterm!R80/R$5)*100,1),new_transmute,4,FALSE),
VLOOKUP(Midterm!R80,new_transmute,4,FALSE)
),
""
)
)
)
)
)
)
)
)
))</f>
        <v/>
      </c>
      <c r="S80" s="115" t="str">
        <f t="shared" si="13"/>
        <v/>
      </c>
      <c r="T80" s="14" t="str">
        <f>IF($B80="","",
IF(T$5="","",
IF(Midterm!T80="",0,
IF(NOT(ISNUMBER(Midterm!T80)),"NAN",
IF(Midterm!T80&lt;0,"NEG",
IF(Midterm!T80&gt;T$5,"OVER",
IF(AND(T$5&lt;=100,Midterm!T80&gt;100),"ERR",
IF(Info!$B$4="Non-board program",
IF(OR(AND(T$5&gt;0,T$5&gt;100),AND(T$5&gt;0,T$5&lt;100)),
VLOOKUP(FLOOR((Midterm!T80/T$5)*100,1),new_transmute,2,FALSE),
VLOOKUP(Midterm!T80,new_transmute,2,FALSE)
),
IF(Info!$B$4="Board program",
IF(OR(AND(T$5&gt;0,T$5&gt;100),AND(T$5&gt;0,T$5&lt;100)),
VLOOKUP(FLOOR((Midterm!T80/T$5)*100,1),new_transmute,3,FALSE),
VLOOKUP(Midterm!T80,new_transmute,3,FALSE)
),
IF(Info!$B$4="Board program (Medicine)",
IF(OR(AND(T$5&gt;0,T$5&gt;100),AND(T$5&gt;0,T$5&lt;100)),
VLOOKUP(FLOOR((Midterm!T80/T$5)*100,1),new_transmute,4,FALSE),
VLOOKUP(Midterm!T80,new_transmute,4,FALSE)
),
""
)
)
)
)
)
)
)
)
))</f>
        <v/>
      </c>
      <c r="U80" s="14" t="str">
        <f>IF($B80="","",
IF(U$5="","",
IF(Midterm!U80="",0,
IF(NOT(ISNUMBER(Midterm!U80)),"NAN",
IF(Midterm!U80&lt;0,"NEG",
IF(Midterm!U80&gt;U$5,"OVER",
IF(AND(U$5&lt;=100,Midterm!U80&gt;100),"ERR",
IF(Info!$B$4="Non-board program",
IF(OR(AND(U$5&gt;0,U$5&gt;100),AND(U$5&gt;0,U$5&lt;100)),
VLOOKUP(FLOOR((Midterm!U80/U$5)*100,1),new_transmute,2,FALSE),
VLOOKUP(Midterm!U80,new_transmute,2,FALSE)
),
IF(Info!$B$4="Board program",
IF(OR(AND(U$5&gt;0,U$5&gt;100),AND(U$5&gt;0,U$5&lt;100)),
VLOOKUP(FLOOR((Midterm!U80/U$5)*100,1),new_transmute,3,FALSE),
VLOOKUP(Midterm!U80,new_transmute,3,FALSE)
),
IF(Info!$B$4="Board program (Medicine)",
IF(OR(AND(U$5&gt;0,U$5&gt;100),AND(U$5&gt;0,U$5&lt;100)),
VLOOKUP(FLOOR((Midterm!U80/U$5)*100,1),new_transmute,4,FALSE),
VLOOKUP(Midterm!U80,new_transmute,4,FALSE)
),
""
)
)
)
)
)
)
)
)
))</f>
        <v/>
      </c>
      <c r="V80" s="14" t="str">
        <f>IF($B80="","",
IF(V$5="","",
IF(Midterm!V80="",0,
IF(NOT(ISNUMBER(Midterm!V80)),"NAN",
IF(Midterm!V80&lt;0,"NEG",
IF(Midterm!V80&gt;V$5,"OVER",
IF(AND(V$5&lt;=100,Midterm!V80&gt;100),"ERR",
IF(Info!$B$4="Non-board program",
IF(OR(AND(V$5&gt;0,V$5&gt;100),AND(V$5&gt;0,V$5&lt;100)),
VLOOKUP(FLOOR((Midterm!V80/V$5)*100,1),new_transmute,2,FALSE),
VLOOKUP(Midterm!V80,new_transmute,2,FALSE)
),
IF(Info!$B$4="Board program",
IF(OR(AND(V$5&gt;0,V$5&gt;100),AND(V$5&gt;0,V$5&lt;100)),
VLOOKUP(FLOOR((Midterm!V80/V$5)*100,1),new_transmute,3,FALSE),
VLOOKUP(Midterm!V80,new_transmute,3,FALSE)
),
IF(Info!$B$4="Board program (Medicine)",
IF(OR(AND(V$5&gt;0,V$5&gt;100),AND(V$5&gt;0,V$5&lt;100)),
VLOOKUP(FLOOR((Midterm!V80/V$5)*100,1),new_transmute,4,FALSE),
VLOOKUP(Midterm!V80,new_transmute,4,FALSE)
),
""
)
)
)
)
)
)
)
)
))</f>
        <v/>
      </c>
      <c r="W80" s="14" t="str">
        <f>IF($B80="","",
IF(W$5="","",
IF(Midterm!W80="",0,
IF(NOT(ISNUMBER(Midterm!W80)),"NAN",
IF(Midterm!W80&lt;0,"NEG",
IF(Midterm!W80&gt;W$5,"OVER",
IF(AND(W$5&lt;=100,Midterm!W80&gt;100),"ERR",
IF(Info!$B$4="Non-board program",
IF(OR(AND(W$5&gt;0,W$5&gt;100),AND(W$5&gt;0,W$5&lt;100)),
VLOOKUP(FLOOR((Midterm!W80/W$5)*100,1),new_transmute,2,FALSE),
VLOOKUP(Midterm!W80,new_transmute,2,FALSE)
),
IF(Info!$B$4="Board program",
IF(OR(AND(W$5&gt;0,W$5&gt;100),AND(W$5&gt;0,W$5&lt;100)),
VLOOKUP(FLOOR((Midterm!W80/W$5)*100,1),new_transmute,3,FALSE),
VLOOKUP(Midterm!W80,new_transmute,3,FALSE)
),
IF(Info!$B$4="Board program (Medicine)",
IF(OR(AND(W$5&gt;0,W$5&gt;100),AND(W$5&gt;0,W$5&lt;100)),
VLOOKUP(FLOOR((Midterm!W80/W$5)*100,1),new_transmute,4,FALSE),
VLOOKUP(Midterm!W80,new_transmute,4,FALSE)
),
""
)
)
)
)
)
)
)
)
))</f>
        <v/>
      </c>
      <c r="X80" s="14" t="str">
        <f>IF($B80="","",
IF(X$5="","",
IF(Midterm!X80="",0,
IF(NOT(ISNUMBER(Midterm!X80)),"NAN",
IF(Midterm!X80&lt;0,"NEG",
IF(Midterm!X80&gt;X$5,"OVER",
IF(AND(X$5&lt;=100,Midterm!X80&gt;100),"ERR",
IF(Info!$B$4="Non-board program",
IF(OR(AND(X$5&gt;0,X$5&gt;100),AND(X$5&gt;0,X$5&lt;100)),
VLOOKUP(FLOOR((Midterm!X80/X$5)*100,1),new_transmute,2,FALSE),
VLOOKUP(Midterm!X80,new_transmute,2,FALSE)
),
IF(Info!$B$4="Board program",
IF(OR(AND(X$5&gt;0,X$5&gt;100),AND(X$5&gt;0,X$5&lt;100)),
VLOOKUP(FLOOR((Midterm!X80/X$5)*100,1),new_transmute,3,FALSE),
VLOOKUP(Midterm!X80,new_transmute,3,FALSE)
),
IF(Info!$B$4="Board program (Medicine)",
IF(OR(AND(X$5&gt;0,X$5&gt;100),AND(X$5&gt;0,X$5&lt;100)),
VLOOKUP(FLOOR((Midterm!X80/X$5)*100,1),new_transmute,4,FALSE),
VLOOKUP(Midterm!X80,new_transmute,4,FALSE)
),
""
)
)
)
)
)
)
)
)
))</f>
        <v/>
      </c>
      <c r="Y80" s="112" t="str">
        <f t="shared" si="14"/>
        <v/>
      </c>
      <c r="Z80" s="14" t="str">
        <f>IF($B80="","",
IF(Z$5="","",
IF(Midterm!Z80="",0,
IF(NOT(ISNUMBER(Midterm!Z80)),"NAN",
IF(Midterm!Z80&lt;0,"NEG",
IF(Midterm!Z80&gt;Z$5,"OVER",
IF(AND(Z$5&lt;=100,Midterm!Z80&gt;100),"ERR",
IF(Info!$B$4="Non-board program",
IF(OR(AND(Z$5&gt;0,Z$5&gt;100),AND(Z$5&gt;0,Z$5&lt;100)),
VLOOKUP(FLOOR((Midterm!Z80/Z$5)*100,1),new_transmute,2,FALSE),
VLOOKUP(Midterm!Z80,new_transmute,2,FALSE)
),
IF(Info!$B$4="Board program",
IF(OR(AND(Z$5&gt;0,Z$5&gt;100),AND(Z$5&gt;0,Z$5&lt;100)),
VLOOKUP(FLOOR((Midterm!Z80/Z$5)*100,1),new_transmute,3,FALSE),
VLOOKUP(Midterm!Z80,new_transmute,3,FALSE)
),
IF(Info!$B$4="Board program (Medicine)",
IF(OR(AND(Z$5&gt;0,Z$5&gt;100),AND(Z$5&gt;0,Z$5&lt;100)),
VLOOKUP(FLOOR((Midterm!Z80/Z$5)*100,1),new_transmute,4,FALSE),
VLOOKUP(Midterm!Z80,new_transmute,4,FALSE)
),
""
)
)
)
)
)
)
)
)
))</f>
        <v/>
      </c>
      <c r="AA80" s="14" t="str">
        <f>IF($B80="","",
IF(AA$5="","",
IF(Midterm!AA80="",0,
IF(NOT(ISNUMBER(Midterm!AA80)),"NAN",
IF(Midterm!AA80&lt;0,"NEG",
IF(Midterm!AA80&gt;AA$5,"OVER",
IF(AND(AA$5&lt;=100,Midterm!AA80&gt;100),"ERR",
IF(Info!$B$4="Non-board program",
IF(OR(AND(AA$5&gt;0,AA$5&gt;100),AND(AA$5&gt;0,AA$5&lt;100)),
VLOOKUP(FLOOR((Midterm!AA80/AA$5)*100,1),new_transmute,2,FALSE),
VLOOKUP(Midterm!AA80,new_transmute,2,FALSE)
),
IF(Info!$B$4="Board program",
IF(OR(AND(AA$5&gt;0,AA$5&gt;100),AND(AA$5&gt;0,AA$5&lt;100)),
VLOOKUP(FLOOR((Midterm!AA80/AA$5)*100,1),new_transmute,3,FALSE),
VLOOKUP(Midterm!AA80,new_transmute,3,FALSE)
),
IF(Info!$B$4="Board program (Medicine)",
IF(OR(AND(AA$5&gt;0,AA$5&gt;100),AND(AA$5&gt;0,AA$5&lt;100)),
VLOOKUP(FLOOR((Midterm!AA80/AA$5)*100,1),new_transmute,4,FALSE),
VLOOKUP(Midterm!AA80,new_transmute,4,FALSE)
),
""
)
)
)
)
)
)
)
)
))</f>
        <v/>
      </c>
      <c r="AB80" s="14" t="str">
        <f>IF($B80="","",
IF(AB$5="","",
IF(Midterm!AB80="",0,
IF(NOT(ISNUMBER(Midterm!AB80)),"NAN",
IF(Midterm!AB80&lt;0,"NEG",
IF(Midterm!AB80&gt;AB$5,"OVER",
IF(AND(AB$5&lt;=100,Midterm!AB80&gt;100),"ERR",
IF(Info!$B$4="Non-board program",
IF(OR(AND(AB$5&gt;0,AB$5&gt;100),AND(AB$5&gt;0,AB$5&lt;100)),
VLOOKUP(FLOOR((Midterm!AB80/AB$5)*100,1),new_transmute,2,FALSE),
VLOOKUP(Midterm!AB80,new_transmute,2,FALSE)
),
IF(Info!$B$4="Board program",
IF(OR(AND(AB$5&gt;0,AB$5&gt;100),AND(AB$5&gt;0,AB$5&lt;100)),
VLOOKUP(FLOOR((Midterm!AB80/AB$5)*100,1),new_transmute,3,FALSE),
VLOOKUP(Midterm!AB80,new_transmute,3,FALSE)
),
IF(Info!$B$4="Board program (Medicine)",
IF(OR(AND(AB$5&gt;0,AB$5&gt;100),AND(AB$5&gt;0,AB$5&lt;100)),
VLOOKUP(FLOOR((Midterm!AB80/AB$5)*100,1),new_transmute,4,FALSE),
VLOOKUP(Midterm!AB80,new_transmute,4,FALSE)
),
""
)
)
)
)
)
)
)
)
))</f>
        <v/>
      </c>
      <c r="AC80" s="14" t="str">
        <f>IF($B80="","",
IF(AC$5="","",
IF(Midterm!AC80="",0,
IF(NOT(ISNUMBER(Midterm!AC80)),"NAN",
IF(Midterm!AC80&lt;0,"NEG",
IF(Midterm!AC80&gt;AC$5,"OVER",
IF(AND(AC$5&lt;=100,Midterm!AC80&gt;100),"ERR",
IF(Info!$B$4="Non-board program",
IF(OR(AND(AC$5&gt;0,AC$5&gt;100),AND(AC$5&gt;0,AC$5&lt;100)),
VLOOKUP(FLOOR((Midterm!AC80/AC$5)*100,1),new_transmute,2,FALSE),
VLOOKUP(Midterm!AC80,new_transmute,2,FALSE)
),
IF(Info!$B$4="Board program",
IF(OR(AND(AC$5&gt;0,AC$5&gt;100),AND(AC$5&gt;0,AC$5&lt;100)),
VLOOKUP(FLOOR((Midterm!AC80/AC$5)*100,1),new_transmute,3,FALSE),
VLOOKUP(Midterm!AC80,new_transmute,3,FALSE)
),
IF(Info!$B$4="Board program (Medicine)",
IF(OR(AND(AC$5&gt;0,AC$5&gt;100),AND(AC$5&gt;0,AC$5&lt;100)),
VLOOKUP(FLOOR((Midterm!AC80/AC$5)*100,1),new_transmute,4,FALSE),
VLOOKUP(Midterm!AC80,new_transmute,4,FALSE)
),
""
)
)
)
)
)
)
)
)
))</f>
        <v/>
      </c>
      <c r="AD80" s="14" t="str">
        <f>IF($B80="","",
IF(AD$5="","",
IF(Midterm!AD80="",0,
IF(NOT(ISNUMBER(Midterm!AD80)),"NAN",
IF(Midterm!AD80&lt;0,"NEG",
IF(Midterm!AD80&gt;AD$5,"OVER",
IF(AND(AD$5&lt;=100,Midterm!AD80&gt;100),"ERR",
IF(Info!$B$4="Non-board program",
IF(OR(AND(AD$5&gt;0,AD$5&gt;100),AND(AD$5&gt;0,AD$5&lt;100)),
VLOOKUP(FLOOR((Midterm!AD80/AD$5)*100,1),new_transmute,2,FALSE),
VLOOKUP(Midterm!AD80,new_transmute,2,FALSE)
),
IF(Info!$B$4="Board program",
IF(OR(AND(AD$5&gt;0,AD$5&gt;100),AND(AD$5&gt;0,AD$5&lt;100)),
VLOOKUP(FLOOR((Midterm!AD80/AD$5)*100,1),new_transmute,3,FALSE),
VLOOKUP(Midterm!AD80,new_transmute,3,FALSE)
),
IF(Info!$B$4="Board program (Medicine)",
IF(OR(AND(AD$5&gt;0,AD$5&gt;100),AND(AD$5&gt;0,AD$5&lt;100)),
VLOOKUP(FLOOR((Midterm!AD80/AD$5)*100,1),new_transmute,4,FALSE),
VLOOKUP(Midterm!AD80,new_transmute,4,FALSE)
),
""
)
)
)
)
)
)
)
)
))</f>
        <v/>
      </c>
      <c r="AE80" s="58" t="str">
        <f t="shared" si="15"/>
        <v/>
      </c>
      <c r="AF80" s="14" t="str">
        <f>IF($B80="","",
IF(AF$5="","",
IF(Midterm!AF80="",0,
IF(NOT(ISNUMBER(Midterm!AF80)),"NAN",
IF(Midterm!AF80&lt;0,"NEG",
IF(Midterm!AF80&gt;AF$5,"OVER",
IF(AND(AF$5&lt;=100,Midterm!AF80&gt;100),"ERR",
IF(Info!$B$4="Non-board program",
IF(OR(AND(AF$5&gt;0,AF$5&gt;100),AND(AF$5&gt;0,AF$5&lt;100)),
VLOOKUP(FLOOR((Midterm!AF80/AF$5)*100,1),new_transmute,2,FALSE),
VLOOKUP(Midterm!AF80,new_transmute,2,FALSE)
),
IF(Info!$B$4="Board program",
IF(OR(AND(AF$5&gt;0,AF$5&gt;100),AND(AF$5&gt;0,AF$5&lt;100)),
VLOOKUP(FLOOR((Midterm!AF80/AF$5)*100,1),new_transmute,3,FALSE),
VLOOKUP(Midterm!AF80,new_transmute,3,FALSE)
),
IF(Info!$B$4="Board program (Medicine)",
IF(OR(AND(AF$5&gt;0,AF$5&gt;100),AND(AF$5&gt;0,AF$5&lt;100)),
VLOOKUP(FLOOR((Midterm!AF80/AF$5)*100,1),new_transmute,4,FALSE),
VLOOKUP(Midterm!AF80,new_transmute,4,FALSE)
),
""
)
)
)
)
)
)
)
)
))</f>
        <v/>
      </c>
      <c r="AG80" s="14" t="str">
        <f>IF($B80="","",
IF(AG$5="","",
IF(Midterm!AG80="",0,
IF(NOT(ISNUMBER(Midterm!AG80)),"NAN",
IF(Midterm!AG80&lt;0,"NEG",
IF(Midterm!AG80&gt;AG$5,"OVER",
IF(AND(AG$5&lt;=100,Midterm!AG80&gt;100),"ERR",
IF(Info!$B$4="Non-board program",
IF(OR(AND(AG$5&gt;0,AG$5&gt;100),AND(AG$5&gt;0,AG$5&lt;100)),
VLOOKUP(FLOOR((Midterm!AG80/AG$5)*100,1),new_transmute,2,FALSE),
VLOOKUP(Midterm!AG80,new_transmute,2,FALSE)
),
IF(Info!$B$4="Board program",
IF(OR(AND(AG$5&gt;0,AG$5&gt;100),AND(AG$5&gt;0,AG$5&lt;100)),
VLOOKUP(FLOOR((Midterm!AG80/AG$5)*100,1),new_transmute,3,FALSE),
VLOOKUP(Midterm!AG80,new_transmute,3,FALSE)
),
IF(Info!$B$4="Board program (Medicine)",
IF(OR(AND(AG$5&gt;0,AG$5&gt;100),AND(AG$5&gt;0,AG$5&lt;100)),
VLOOKUP(FLOOR((Midterm!AG80/AG$5)*100,1),new_transmute,4,FALSE),
VLOOKUP(Midterm!AG80,new_transmute,4,FALSE)
),
""
)
)
)
)
)
)
)
)
))</f>
        <v/>
      </c>
      <c r="AH80" s="14" t="str">
        <f>IF($B80="","",
IF(AH$5="","",
IF(Midterm!AH80="",0,
IF(NOT(ISNUMBER(Midterm!AH80)),"NAN",
IF(Midterm!AH80&lt;0,"NEG",
IF(Midterm!AH80&gt;AH$5,"OVER",
IF(AND(AH$5&lt;=100,Midterm!AH80&gt;100),"ERR",
IF(Info!$B$4="Non-board program",
IF(OR(AND(AH$5&gt;0,AH$5&gt;100),AND(AH$5&gt;0,AH$5&lt;100)),
VLOOKUP(FLOOR((Midterm!AH80/AH$5)*100,1),new_transmute,2,FALSE),
VLOOKUP(Midterm!AH80,new_transmute,2,FALSE)
),
IF(Info!$B$4="Board program",
IF(OR(AND(AH$5&gt;0,AH$5&gt;100),AND(AH$5&gt;0,AH$5&lt;100)),
VLOOKUP(FLOOR((Midterm!AH80/AH$5)*100,1),new_transmute,3,FALSE),
VLOOKUP(Midterm!AH80,new_transmute,3,FALSE)
),
IF(Info!$B$4="Board program (Medicine)",
IF(OR(AND(AH$5&gt;0,AH$5&gt;100),AND(AH$5&gt;0,AH$5&lt;100)),
VLOOKUP(FLOOR((Midterm!AH80/AH$5)*100,1),new_transmute,4,FALSE),
VLOOKUP(Midterm!AH80,new_transmute,4,FALSE)
),
""
)
)
)
)
)
)
)
)
))</f>
        <v/>
      </c>
      <c r="AI80" s="14" t="str">
        <f>IF($B80="","",
IF(AI$5="","",
IF(Midterm!AI80="",0,
IF(NOT(ISNUMBER(Midterm!AI80)),"NAN",
IF(Midterm!AI80&lt;0,"NEG",
IF(Midterm!AI80&gt;AI$5,"OVER",
IF(AND(AI$5&lt;=100,Midterm!AI80&gt;100),"ERR",
IF(Info!$B$4="Non-board program",
IF(OR(AND(AI$5&gt;0,AI$5&gt;100),AND(AI$5&gt;0,AI$5&lt;100)),
VLOOKUP(FLOOR((Midterm!AI80/AI$5)*100,1),new_transmute,2,FALSE),
VLOOKUP(Midterm!AI80,new_transmute,2,FALSE)
),
IF(Info!$B$4="Board program",
IF(OR(AND(AI$5&gt;0,AI$5&gt;100),AND(AI$5&gt;0,AI$5&lt;100)),
VLOOKUP(FLOOR((Midterm!AI80/AI$5)*100,1),new_transmute,3,FALSE),
VLOOKUP(Midterm!AI80,new_transmute,3,FALSE)
),
IF(Info!$B$4="Board program (Medicine)",
IF(OR(AND(AI$5&gt;0,AI$5&gt;100),AND(AI$5&gt;0,AI$5&lt;100)),
VLOOKUP(FLOOR((Midterm!AI80/AI$5)*100,1),new_transmute,4,FALSE),
VLOOKUP(Midterm!AI80,new_transmute,4,FALSE)
),
""
)
)
)
)
)
)
)
)
))</f>
        <v/>
      </c>
      <c r="AJ80" s="14" t="str">
        <f>IF($B80="","",
IF(AJ$5="","",
IF(Midterm!AJ80="",0,
IF(NOT(ISNUMBER(Midterm!AJ80)),"NAN",
IF(Midterm!AJ80&lt;0,"NEG",
IF(Midterm!AJ80&gt;AJ$5,"OVER",
IF(AND(AJ$5&lt;=100,Midterm!AJ80&gt;100),"ERR",
IF(Info!$B$4="Non-board program",
IF(OR(AND(AJ$5&gt;0,AJ$5&gt;100),AND(AJ$5&gt;0,AJ$5&lt;100)),
VLOOKUP(FLOOR((Midterm!AJ80/AJ$5)*100,1),new_transmute,2,FALSE),
VLOOKUP(Midterm!AJ80,new_transmute,2,FALSE)
),
IF(Info!$B$4="Board program",
IF(OR(AND(AJ$5&gt;0,AJ$5&gt;100),AND(AJ$5&gt;0,AJ$5&lt;100)),
VLOOKUP(FLOOR((Midterm!AJ80/AJ$5)*100,1),new_transmute,3,FALSE),
VLOOKUP(Midterm!AJ80,new_transmute,3,FALSE)
),
IF(Info!$B$4="Board program (Medicine)",
IF(OR(AND(AJ$5&gt;0,AJ$5&gt;100),AND(AJ$5&gt;0,AJ$5&lt;100)),
VLOOKUP(FLOOR((Midterm!AJ80/AJ$5)*100,1),new_transmute,4,FALSE),
VLOOKUP(Midterm!AJ80,new_transmute,4,FALSE)
),
""
)
)
)
)
)
)
)
)
))</f>
        <v/>
      </c>
      <c r="AK80" s="59" t="str">
        <f t="shared" si="16"/>
        <v/>
      </c>
      <c r="AL80" s="60" t="str">
        <f>IF(B80="", "",
    IF(OR(M80="OVER", S80="OVER", Y80="OVER", AE80="OVER", AK80="OVER"),
        "OVER",
        IF(Info!$B$4="Non-board program",
            VLOOKUP(IFERROR(FLOOR(SUM((M80*$M$4), (S80*$S$4), (Y80*$Y$4), (AE80*$AE$4), (AK80*$AK$4)) * (100 / 60), 1), 0), new_transmute, 2, FALSE),
            IF(Info!$B$4="Board program",
                VLOOKUP(IFERROR(FLOOR(SUM((M80*$M$4), (S80*$S$4), (Y80*$Y$4), (AE80*$AE$4), (AK80*$AK$4)) * (100 / 60), 1), 0), new_transmute, 3, FALSE),
                IF(Info!$B$4="Board program (Medicine)",
                    VLOOKUP(IFERROR(FLOOR(SUM((M80*$M$4), (S80*$S$4), (Y80*$Y$4), (AE80*$AE$4), (AK80*$AK$4)) * (100 / 60), 1), 0), new_transmute, 4, FALSE),
                    ""
                )
            )
        )
    )
)</f>
        <v/>
      </c>
      <c r="AM80" s="14" t="str">
        <f>IF($B80="","",
IF(AM$5="","",
IF(Midterm!AM80="",0,
IF(NOT(ISNUMBER(Midterm!AM80)),"NAN",
IF(Midterm!AM80&lt;0,"NEG",
IF(Midterm!AM80&gt;AM$5,"OVER",
IF(AND(AM$5&lt;=100,Midterm!AM80&gt;100),"ERR",
IF(Info!$B$4="Non-board program",
IF(OR(AND(AM$5&gt;0,AM$5&gt;100),AND(AM$5&gt;0,AM$5&lt;100)),
VLOOKUP(FLOOR((Midterm!AM80/AM$5)*100,1),new_transmute,2,FALSE),
VLOOKUP(Midterm!AM80,new_transmute,2,FALSE)
),
IF(Info!$B$4="Board program",
IF(OR(AND(AM$5&gt;0,AM$5&gt;100),AND(AM$5&gt;0,AM$5&lt;100)),
VLOOKUP(FLOOR((Midterm!AM80/AM$5)*100,1),new_transmute,3,FALSE),
VLOOKUP(Midterm!AM80,new_transmute,3,FALSE)
),
IF(Info!$B$4="Board program (Medicine)",
IF(OR(AND(AM$5&gt;0,AM$5&gt;100),AND(AM$5&gt;0,AM$5&lt;100)),
VLOOKUP(FLOOR((Midterm!AM80/AM$5)*100,1),new_transmute,4,FALSE),
VLOOKUP(Midterm!AM80,new_transmute,4,FALSE)
),
""
)
)
)
)
)
)
)
)
))</f>
        <v/>
      </c>
      <c r="AN80" s="14" t="str">
        <f>IF($B80="","",
IF(AN$5="","",
IF(Midterm!AN80="",0,
IF(NOT(ISNUMBER(Midterm!AN80)),"NAN",
IF(Midterm!AN80&lt;0,"NEG",
IF(Midterm!AN80&gt;AN$5,"OVER",
IF(AND(AN$5&lt;=100,Midterm!AN80&gt;100),"ERR",
IF(Info!$B$4="Non-board program",
IF(OR(AND(AN$5&gt;0,AN$5&gt;100),AND(AN$5&gt;0,AN$5&lt;100)),
VLOOKUP(FLOOR((Midterm!AN80/AN$5)*100,1),new_transmute,2,FALSE),
VLOOKUP(Midterm!AN80,new_transmute,2,FALSE)
),
IF(Info!$B$4="Board program",
IF(OR(AND(AN$5&gt;0,AN$5&gt;100),AND(AN$5&gt;0,AN$5&lt;100)),
VLOOKUP(FLOOR((Midterm!AN80/AN$5)*100,1),new_transmute,3,FALSE),
VLOOKUP(Midterm!AN80,new_transmute,3,FALSE)
),
IF(Info!$B$4="Board program (Medicine)",
IF(OR(AND(AN$5&gt;0,AN$5&gt;100),AND(AN$5&gt;0,AN$5&lt;100)),
VLOOKUP(FLOOR((Midterm!AN80/AN$5)*100,1),new_transmute,4,FALSE),
VLOOKUP(Midterm!AN80,new_transmute,4,FALSE)
),
""
)
)
)
)
)
)
)
)
))</f>
        <v/>
      </c>
      <c r="AO80" s="14" t="str">
        <f>IF($B80="","",
IF(AO$5="","",
IF(Midterm!AO80="",0,
IF(NOT(ISNUMBER(Midterm!AO80)),"NAN",
IF(Midterm!AO80&lt;0,"NEG",
IF(Midterm!AO80&gt;AO$5,"OVER",
IF(AND(AO$5&lt;=100,Midterm!AO80&gt;100),"ERR",
IF(Info!$B$4="Non-board program",
IF(OR(AND(AO$5&gt;0,AO$5&gt;100),AND(AO$5&gt;0,AO$5&lt;100)),
VLOOKUP(FLOOR((Midterm!AO80/AO$5)*100,1),new_transmute,2,FALSE),
VLOOKUP(Midterm!AO80,new_transmute,2,FALSE)
),
IF(Info!$B$4="Board program",
IF(OR(AND(AO$5&gt;0,AO$5&gt;100),AND(AO$5&gt;0,AO$5&lt;100)),
VLOOKUP(FLOOR((Midterm!AO80/AO$5)*100,1),new_transmute,3,FALSE),
VLOOKUP(Midterm!AO80,new_transmute,3,FALSE)
),
IF(Info!$B$4="Board program (Medicine)",
IF(OR(AND(AO$5&gt;0,AO$5&gt;100),AND(AO$5&gt;0,AO$5&lt;100)),
VLOOKUP(FLOOR((Midterm!AO80/AO$5)*100,1),new_transmute,4,FALSE),
VLOOKUP(Midterm!AO80,new_transmute,4,FALSE)
),
""
)
)
)
)
)
)
)
)
))</f>
        <v/>
      </c>
      <c r="AP80" s="14" t="str">
        <f>IF($B80="","",
IF(AP$5="","",
IF(Midterm!AP80="",0,
IF(NOT(ISNUMBER(Midterm!AP80)),"NAN",
IF(Midterm!AP80&lt;0,"NEG",
IF(Midterm!AP80&gt;AP$5,"OVER",
IF(AND(AP$5&lt;=100,Midterm!AP80&gt;100),"ERR",
IF(Info!$B$4="Non-board program",
IF(OR(AND(AP$5&gt;0,AP$5&gt;100),AND(AP$5&gt;0,AP$5&lt;100)),
VLOOKUP(FLOOR((Midterm!AP80/AP$5)*100,1),new_transmute,2,FALSE),
VLOOKUP(Midterm!AP80,new_transmute,2,FALSE)
),
IF(Info!$B$4="Board program",
IF(OR(AND(AP$5&gt;0,AP$5&gt;100),AND(AP$5&gt;0,AP$5&lt;100)),
VLOOKUP(FLOOR((Midterm!AP80/AP$5)*100,1),new_transmute,3,FALSE),
VLOOKUP(Midterm!AP80,new_transmute,3,FALSE)
),
IF(Info!$B$4="Board program (Medicine)",
IF(OR(AND(AP$5&gt;0,AP$5&gt;100),AND(AP$5&gt;0,AP$5&lt;100)),
VLOOKUP(FLOOR((Midterm!AP80/AP$5)*100,1),new_transmute,4,FALSE),
VLOOKUP(Midterm!AP80,new_transmute,4,FALSE)
),
""
)
)
)
)
)
)
)
)
))</f>
        <v/>
      </c>
      <c r="AQ80" s="61" t="str">
        <f t="shared" si="17"/>
        <v/>
      </c>
      <c r="AR80" s="48" t="str">
        <f>IF(Midterm!AR80="","",Midterm!AR80)</f>
        <v/>
      </c>
      <c r="AS80" s="165" t="str">
        <f t="shared" si="18"/>
        <v/>
      </c>
      <c r="AT80" s="14" t="str">
        <f t="shared" si="19"/>
        <v/>
      </c>
      <c r="AU80" s="14" t="str">
        <f>IF(B80="","",VLOOKUP(AT80,'New Grade Equivalent'!$B$3:$C$47,2,FALSE))</f>
        <v/>
      </c>
    </row>
    <row r="81" spans="1:47" x14ac:dyDescent="0.25">
      <c r="A81" s="8">
        <v>76</v>
      </c>
      <c r="B81" s="2" t="str">
        <f>IF('Student List'!C85="","",UPPER(LEFT('Student List'!C85,FIND(",",'Student List'!C85)-1)))</f>
        <v/>
      </c>
      <c r="C81" s="12" t="str">
        <f>IF('Student List'!C85="","",PROPER(MID('Student List'!C85, FIND(",", 'Student List'!C85) + 2, LEN('Student List'!C85) - FIND(",", 'Student List'!C85) - 1)))</f>
        <v/>
      </c>
      <c r="D81" s="127" t="str">
        <f>IF(B81="","",IF(Midterm!D81="", "NA", Midterm!D81))</f>
        <v/>
      </c>
      <c r="E81" s="8" t="str">
        <f>IF(B81="","",
  IF(Info!$B$5="First Year",
    IF(D81="Yes", "DRP",
      IF(D81="No", "WF", "")
    )
  )
)</f>
        <v/>
      </c>
      <c r="F81" s="14" t="str">
        <f>IF($B81="","",
IF(F$5="","",
IF(Midterm!F81="",0,
IF(NOT(ISNUMBER(Midterm!F81)),"NAN",
IF(Midterm!F81&lt;0,"NEG",
IF(Midterm!F81&gt;F$5,"OVER",
IF(AND(F$5&lt;=100,Midterm!F81&gt;100),"ERR",
IF(Info!$B$4="Non-board program",
IF(OR(AND(F$5&gt;0,F$5&gt;100),AND(F$5&gt;0,F$5&lt;100)),
VLOOKUP(FLOOR((Midterm!F81/F$5)*100,1),new_transmute,2,FALSE),
VLOOKUP(Midterm!F81,new_transmute,2,FALSE)
),
IF(Info!$B$4="Board program",
IF(OR(AND(F$5&gt;0,F$5&gt;100),AND(F$5&gt;0,F$5&lt;100)),
VLOOKUP(FLOOR((Midterm!F81/F$5)*100,1),new_transmute,3,FALSE),
VLOOKUP(Midterm!F81,new_transmute,3,FALSE)
),
IF(Info!$B$4="Board program (Medicine)",
IF(OR(AND(F$5&gt;0,F$5&gt;100),AND(F$5&gt;0,F$5&lt;100)),
VLOOKUP(FLOOR((Midterm!F81/F$5)*100,1),new_transmute,4,FALSE),
VLOOKUP(Midterm!F81,new_transmute,4,FALSE)
),
""
)
)
)
)
)
)
)
)
))</f>
        <v/>
      </c>
      <c r="G81" s="57" t="str">
        <f t="shared" si="11"/>
        <v/>
      </c>
      <c r="H81" s="14" t="str">
        <f>IF($B81="","",
IF(H$5="","",
IF(Midterm!H81="",0,
IF(NOT(ISNUMBER(Midterm!H81)),"NAN",
IF(Midterm!H81&lt;0,"NEG",
IF(Midterm!H81&gt;H$5,"OVER",
IF(AND(H$5&lt;=100,Midterm!H81&gt;100),"ERR",
IF(Info!$B$4="Non-board program",
IF(OR(AND(H$5&gt;0,H$5&gt;100),AND(H$5&gt;0,H$5&lt;100)),
VLOOKUP(FLOOR((Midterm!H81/H$5)*100,1),new_transmute,2,FALSE),
VLOOKUP(Midterm!H81,new_transmute,2,FALSE)
),
IF(Info!$B$4="Board program",
IF(OR(AND(H$5&gt;0,H$5&gt;100),AND(H$5&gt;0,H$5&lt;100)),
VLOOKUP(FLOOR((Midterm!H81/H$5)*100,1),new_transmute,3,FALSE),
VLOOKUP(Midterm!H81,new_transmute,3,FALSE)
),
IF(Info!$B$4="Board program (Medicine)",
IF(OR(AND(H$5&gt;0,H$5&gt;100),AND(H$5&gt;0,H$5&lt;100)),
VLOOKUP(FLOOR((Midterm!H81/H$5)*100,1),new_transmute,4,FALSE),
VLOOKUP(Midterm!H81,new_transmute,4,FALSE)
),
""
)
)
)
)
)
)
)
)
))</f>
        <v/>
      </c>
      <c r="I81" s="14" t="str">
        <f>IF($B81="","",
IF(I$5="","",
IF(Midterm!I81="",0,
IF(NOT(ISNUMBER(Midterm!I81)),"NAN",
IF(Midterm!I81&lt;0,"NEG",
IF(Midterm!I81&gt;I$5,"OVER",
IF(AND(I$5&lt;=100,Midterm!I81&gt;100),"ERR",
IF(Info!$B$4="Non-board program",
IF(OR(AND(I$5&gt;0,I$5&gt;100),AND(I$5&gt;0,I$5&lt;100)),
VLOOKUP(FLOOR((Midterm!I81/I$5)*100,1),new_transmute,2,FALSE),
VLOOKUP(Midterm!I81,new_transmute,2,FALSE)
),
IF(Info!$B$4="Board program",
IF(OR(AND(I$5&gt;0,I$5&gt;100),AND(I$5&gt;0,I$5&lt;100)),
VLOOKUP(FLOOR((Midterm!I81/I$5)*100,1),new_transmute,3,FALSE),
VLOOKUP(Midterm!I81,new_transmute,3,FALSE)
),
IF(Info!$B$4="Board program (Medicine)",
IF(OR(AND(I$5&gt;0,I$5&gt;100),AND(I$5&gt;0,I$5&lt;100)),
VLOOKUP(FLOOR((Midterm!I81/I$5)*100,1),new_transmute,4,FALSE),
VLOOKUP(Midterm!I81,new_transmute,4,FALSE)
),
""
)
)
)
)
)
)
)
)
))</f>
        <v/>
      </c>
      <c r="J81" s="14" t="str">
        <f>IF($B81="","",
IF(J$5="","",
IF(Midterm!J81="",0,
IF(NOT(ISNUMBER(Midterm!J81)),"NAN",
IF(Midterm!J81&lt;0,"NEG",
IF(Midterm!J81&gt;J$5,"OVER",
IF(AND(J$5&lt;=100,Midterm!J81&gt;100),"ERR",
IF(Info!$B$4="Non-board program",
IF(OR(AND(J$5&gt;0,J$5&gt;100),AND(J$5&gt;0,J$5&lt;100)),
VLOOKUP(FLOOR((Midterm!J81/J$5)*100,1),new_transmute,2,FALSE),
VLOOKUP(Midterm!J81,new_transmute,2,FALSE)
),
IF(Info!$B$4="Board program",
IF(OR(AND(J$5&gt;0,J$5&gt;100),AND(J$5&gt;0,J$5&lt;100)),
VLOOKUP(FLOOR((Midterm!J81/J$5)*100,1),new_transmute,3,FALSE),
VLOOKUP(Midterm!J81,new_transmute,3,FALSE)
),
IF(Info!$B$4="Board program (Medicine)",
IF(OR(AND(J$5&gt;0,J$5&gt;100),AND(J$5&gt;0,J$5&lt;100)),
VLOOKUP(FLOOR((Midterm!J81/J$5)*100,1),new_transmute,4,FALSE),
VLOOKUP(Midterm!J81,new_transmute,4,FALSE)
),
""
)
)
)
)
)
)
)
)
))</f>
        <v/>
      </c>
      <c r="K81" s="14" t="str">
        <f>IF($B81="","",
IF(K$5="","",
IF(Midterm!K81="",0,
IF(NOT(ISNUMBER(Midterm!K81)),"NAN",
IF(Midterm!K81&lt;0,"NEG",
IF(Midterm!K81&gt;K$5,"OVER",
IF(AND(K$5&lt;=100,Midterm!K81&gt;100),"ERR",
IF(Info!$B$4="Non-board program",
IF(OR(AND(K$5&gt;0,K$5&gt;100),AND(K$5&gt;0,K$5&lt;100)),
VLOOKUP(FLOOR((Midterm!K81/K$5)*100,1),new_transmute,2,FALSE),
VLOOKUP(Midterm!K81,new_transmute,2,FALSE)
),
IF(Info!$B$4="Board program",
IF(OR(AND(K$5&gt;0,K$5&gt;100),AND(K$5&gt;0,K$5&lt;100)),
VLOOKUP(FLOOR((Midterm!K81/K$5)*100,1),new_transmute,3,FALSE),
VLOOKUP(Midterm!K81,new_transmute,3,FALSE)
),
IF(Info!$B$4="Board program (Medicine)",
IF(OR(AND(K$5&gt;0,K$5&gt;100),AND(K$5&gt;0,K$5&lt;100)),
VLOOKUP(FLOOR((Midterm!K81/K$5)*100,1),new_transmute,4,FALSE),
VLOOKUP(Midterm!K81,new_transmute,4,FALSE)
),
""
)
)
)
)
)
)
)
)
))</f>
        <v/>
      </c>
      <c r="L81" s="14" t="str">
        <f>IF($B81="","",
IF(L$5="","",
IF(Midterm!L81="",0,
IF(NOT(ISNUMBER(Midterm!L81)),"NAN",
IF(Midterm!L81&lt;0,"NEG",
IF(Midterm!L81&gt;L$5,"OVER",
IF(AND(L$5&lt;=100,Midterm!L81&gt;100),"ERR",
IF(Info!$B$4="Non-board program",
IF(OR(AND(L$5&gt;0,L$5&gt;100),AND(L$5&gt;0,L$5&lt;100)),
VLOOKUP(FLOOR((Midterm!L81/L$5)*100,1),new_transmute,2,FALSE),
VLOOKUP(Midterm!L81,new_transmute,2,FALSE)
),
IF(Info!$B$4="Board program",
IF(OR(AND(L$5&gt;0,L$5&gt;100),AND(L$5&gt;0,L$5&lt;100)),
VLOOKUP(FLOOR((Midterm!L81/L$5)*100,1),new_transmute,3,FALSE),
VLOOKUP(Midterm!L81,new_transmute,3,FALSE)
),
IF(Info!$B$4="Board program (Medicine)",
IF(OR(AND(L$5&gt;0,L$5&gt;100),AND(L$5&gt;0,L$5&lt;100)),
VLOOKUP(FLOOR((Midterm!L81/L$5)*100,1),new_transmute,4,FALSE),
VLOOKUP(Midterm!L81,new_transmute,4,FALSE)
),
""
)
)
)
)
)
)
)
)
))</f>
        <v/>
      </c>
      <c r="M81" s="111" t="str">
        <f t="shared" si="12"/>
        <v/>
      </c>
      <c r="N81" s="14" t="str">
        <f>IF($B81="","",
IF(N$5="","",
IF(Midterm!N81="",0,
IF(NOT(ISNUMBER(Midterm!N81)),"NAN",
IF(Midterm!N81&lt;0,"NEG",
IF(Midterm!N81&gt;N$5,"OVER",
IF(AND(N$5&lt;=100,Midterm!N81&gt;100),"ERR",
IF(Info!$B$4="Non-board program",
IF(OR(AND(N$5&gt;0,N$5&gt;100),AND(N$5&gt;0,N$5&lt;100)),
VLOOKUP(FLOOR((Midterm!N81/N$5)*100,1),new_transmute,2,FALSE),
VLOOKUP(Midterm!N81,new_transmute,2,FALSE)
),
IF(Info!$B$4="Board program",
IF(OR(AND(N$5&gt;0,N$5&gt;100),AND(N$5&gt;0,N$5&lt;100)),
VLOOKUP(FLOOR((Midterm!N81/N$5)*100,1),new_transmute,3,FALSE),
VLOOKUP(Midterm!N81,new_transmute,3,FALSE)
),
IF(Info!$B$4="Board program (Medicine)",
IF(OR(AND(N$5&gt;0,N$5&gt;100),AND(N$5&gt;0,N$5&lt;100)),
VLOOKUP(FLOOR((Midterm!N81/N$5)*100,1),new_transmute,4,FALSE),
VLOOKUP(Midterm!N81,new_transmute,4,FALSE)
),
""
)
)
)
)
)
)
)
)
))</f>
        <v/>
      </c>
      <c r="O81" s="14" t="str">
        <f>IF($B81="","",
IF(O$5="","",
IF(Midterm!O81="",0,
IF(NOT(ISNUMBER(Midterm!O81)),"NAN",
IF(Midterm!O81&lt;0,"NEG",
IF(Midterm!O81&gt;O$5,"OVER",
IF(AND(O$5&lt;=100,Midterm!O81&gt;100),"ERR",
IF(Info!$B$4="Non-board program",
IF(OR(AND(O$5&gt;0,O$5&gt;100),AND(O$5&gt;0,O$5&lt;100)),
VLOOKUP(FLOOR((Midterm!O81/O$5)*100,1),new_transmute,2,FALSE),
VLOOKUP(Midterm!O81,new_transmute,2,FALSE)
),
IF(Info!$B$4="Board program",
IF(OR(AND(O$5&gt;0,O$5&gt;100),AND(O$5&gt;0,O$5&lt;100)),
VLOOKUP(FLOOR((Midterm!O81/O$5)*100,1),new_transmute,3,FALSE),
VLOOKUP(Midterm!O81,new_transmute,3,FALSE)
),
IF(Info!$B$4="Board program (Medicine)",
IF(OR(AND(O$5&gt;0,O$5&gt;100),AND(O$5&gt;0,O$5&lt;100)),
VLOOKUP(FLOOR((Midterm!O81/O$5)*100,1),new_transmute,4,FALSE),
VLOOKUP(Midterm!O81,new_transmute,4,FALSE)
),
""
)
)
)
)
)
)
)
)
))</f>
        <v/>
      </c>
      <c r="P81" s="14" t="str">
        <f>IF($B81="","",
IF(P$5="","",
IF(Midterm!P81="",0,
IF(NOT(ISNUMBER(Midterm!P81)),"NAN",
IF(Midterm!P81&lt;0,"NEG",
IF(Midterm!P81&gt;P$5,"OVER",
IF(AND(P$5&lt;=100,Midterm!P81&gt;100),"ERR",
IF(Info!$B$4="Non-board program",
IF(OR(AND(P$5&gt;0,P$5&gt;100),AND(P$5&gt;0,P$5&lt;100)),
VLOOKUP(FLOOR((Midterm!P81/P$5)*100,1),new_transmute,2,FALSE),
VLOOKUP(Midterm!P81,new_transmute,2,FALSE)
),
IF(Info!$B$4="Board program",
IF(OR(AND(P$5&gt;0,P$5&gt;100),AND(P$5&gt;0,P$5&lt;100)),
VLOOKUP(FLOOR((Midterm!P81/P$5)*100,1),new_transmute,3,FALSE),
VLOOKUP(Midterm!P81,new_transmute,3,FALSE)
),
IF(Info!$B$4="Board program (Medicine)",
IF(OR(AND(P$5&gt;0,P$5&gt;100),AND(P$5&gt;0,P$5&lt;100)),
VLOOKUP(FLOOR((Midterm!P81/P$5)*100,1),new_transmute,4,FALSE),
VLOOKUP(Midterm!P81,new_transmute,4,FALSE)
),
""
)
)
)
)
)
)
)
)
))</f>
        <v/>
      </c>
      <c r="Q81" s="14" t="str">
        <f>IF($B81="","",
IF(Q$5="","",
IF(Midterm!Q81="",0,
IF(NOT(ISNUMBER(Midterm!Q81)),"NAN",
IF(Midterm!Q81&lt;0,"NEG",
IF(Midterm!Q81&gt;Q$5,"OVER",
IF(AND(Q$5&lt;=100,Midterm!Q81&gt;100),"ERR",
IF(Info!$B$4="Non-board program",
IF(OR(AND(Q$5&gt;0,Q$5&gt;100),AND(Q$5&gt;0,Q$5&lt;100)),
VLOOKUP(FLOOR((Midterm!Q81/Q$5)*100,1),new_transmute,2,FALSE),
VLOOKUP(Midterm!Q81,new_transmute,2,FALSE)
),
IF(Info!$B$4="Board program",
IF(OR(AND(Q$5&gt;0,Q$5&gt;100),AND(Q$5&gt;0,Q$5&lt;100)),
VLOOKUP(FLOOR((Midterm!Q81/Q$5)*100,1),new_transmute,3,FALSE),
VLOOKUP(Midterm!Q81,new_transmute,3,FALSE)
),
IF(Info!$B$4="Board program (Medicine)",
IF(OR(AND(Q$5&gt;0,Q$5&gt;100),AND(Q$5&gt;0,Q$5&lt;100)),
VLOOKUP(FLOOR((Midterm!Q81/Q$5)*100,1),new_transmute,4,FALSE),
VLOOKUP(Midterm!Q81,new_transmute,4,FALSE)
),
""
)
)
)
)
)
)
)
)
))</f>
        <v/>
      </c>
      <c r="R81" s="14" t="str">
        <f>IF($B81="","",
IF(R$5="","",
IF(Midterm!R81="",0,
IF(NOT(ISNUMBER(Midterm!R81)),"NAN",
IF(Midterm!R81&lt;0,"NEG",
IF(Midterm!R81&gt;R$5,"OVER",
IF(AND(R$5&lt;=100,Midterm!R81&gt;100),"ERR",
IF(Info!$B$4="Non-board program",
IF(OR(AND(R$5&gt;0,R$5&gt;100),AND(R$5&gt;0,R$5&lt;100)),
VLOOKUP(FLOOR((Midterm!R81/R$5)*100,1),new_transmute,2,FALSE),
VLOOKUP(Midterm!R81,new_transmute,2,FALSE)
),
IF(Info!$B$4="Board program",
IF(OR(AND(R$5&gt;0,R$5&gt;100),AND(R$5&gt;0,R$5&lt;100)),
VLOOKUP(FLOOR((Midterm!R81/R$5)*100,1),new_transmute,3,FALSE),
VLOOKUP(Midterm!R81,new_transmute,3,FALSE)
),
IF(Info!$B$4="Board program (Medicine)",
IF(OR(AND(R$5&gt;0,R$5&gt;100),AND(R$5&gt;0,R$5&lt;100)),
VLOOKUP(FLOOR((Midterm!R81/R$5)*100,1),new_transmute,4,FALSE),
VLOOKUP(Midterm!R81,new_transmute,4,FALSE)
),
""
)
)
)
)
)
)
)
)
))</f>
        <v/>
      </c>
      <c r="S81" s="115" t="str">
        <f t="shared" si="13"/>
        <v/>
      </c>
      <c r="T81" s="14" t="str">
        <f>IF($B81="","",
IF(T$5="","",
IF(Midterm!T81="",0,
IF(NOT(ISNUMBER(Midterm!T81)),"NAN",
IF(Midterm!T81&lt;0,"NEG",
IF(Midterm!T81&gt;T$5,"OVER",
IF(AND(T$5&lt;=100,Midterm!T81&gt;100),"ERR",
IF(Info!$B$4="Non-board program",
IF(OR(AND(T$5&gt;0,T$5&gt;100),AND(T$5&gt;0,T$5&lt;100)),
VLOOKUP(FLOOR((Midterm!T81/T$5)*100,1),new_transmute,2,FALSE),
VLOOKUP(Midterm!T81,new_transmute,2,FALSE)
),
IF(Info!$B$4="Board program",
IF(OR(AND(T$5&gt;0,T$5&gt;100),AND(T$5&gt;0,T$5&lt;100)),
VLOOKUP(FLOOR((Midterm!T81/T$5)*100,1),new_transmute,3,FALSE),
VLOOKUP(Midterm!T81,new_transmute,3,FALSE)
),
IF(Info!$B$4="Board program (Medicine)",
IF(OR(AND(T$5&gt;0,T$5&gt;100),AND(T$5&gt;0,T$5&lt;100)),
VLOOKUP(FLOOR((Midterm!T81/T$5)*100,1),new_transmute,4,FALSE),
VLOOKUP(Midterm!T81,new_transmute,4,FALSE)
),
""
)
)
)
)
)
)
)
)
))</f>
        <v/>
      </c>
      <c r="U81" s="14" t="str">
        <f>IF($B81="","",
IF(U$5="","",
IF(Midterm!U81="",0,
IF(NOT(ISNUMBER(Midterm!U81)),"NAN",
IF(Midterm!U81&lt;0,"NEG",
IF(Midterm!U81&gt;U$5,"OVER",
IF(AND(U$5&lt;=100,Midterm!U81&gt;100),"ERR",
IF(Info!$B$4="Non-board program",
IF(OR(AND(U$5&gt;0,U$5&gt;100),AND(U$5&gt;0,U$5&lt;100)),
VLOOKUP(FLOOR((Midterm!U81/U$5)*100,1),new_transmute,2,FALSE),
VLOOKUP(Midterm!U81,new_transmute,2,FALSE)
),
IF(Info!$B$4="Board program",
IF(OR(AND(U$5&gt;0,U$5&gt;100),AND(U$5&gt;0,U$5&lt;100)),
VLOOKUP(FLOOR((Midterm!U81/U$5)*100,1),new_transmute,3,FALSE),
VLOOKUP(Midterm!U81,new_transmute,3,FALSE)
),
IF(Info!$B$4="Board program (Medicine)",
IF(OR(AND(U$5&gt;0,U$5&gt;100),AND(U$5&gt;0,U$5&lt;100)),
VLOOKUP(FLOOR((Midterm!U81/U$5)*100,1),new_transmute,4,FALSE),
VLOOKUP(Midterm!U81,new_transmute,4,FALSE)
),
""
)
)
)
)
)
)
)
)
))</f>
        <v/>
      </c>
      <c r="V81" s="14" t="str">
        <f>IF($B81="","",
IF(V$5="","",
IF(Midterm!V81="",0,
IF(NOT(ISNUMBER(Midterm!V81)),"NAN",
IF(Midterm!V81&lt;0,"NEG",
IF(Midterm!V81&gt;V$5,"OVER",
IF(AND(V$5&lt;=100,Midterm!V81&gt;100),"ERR",
IF(Info!$B$4="Non-board program",
IF(OR(AND(V$5&gt;0,V$5&gt;100),AND(V$5&gt;0,V$5&lt;100)),
VLOOKUP(FLOOR((Midterm!V81/V$5)*100,1),new_transmute,2,FALSE),
VLOOKUP(Midterm!V81,new_transmute,2,FALSE)
),
IF(Info!$B$4="Board program",
IF(OR(AND(V$5&gt;0,V$5&gt;100),AND(V$5&gt;0,V$5&lt;100)),
VLOOKUP(FLOOR((Midterm!V81/V$5)*100,1),new_transmute,3,FALSE),
VLOOKUP(Midterm!V81,new_transmute,3,FALSE)
),
IF(Info!$B$4="Board program (Medicine)",
IF(OR(AND(V$5&gt;0,V$5&gt;100),AND(V$5&gt;0,V$5&lt;100)),
VLOOKUP(FLOOR((Midterm!V81/V$5)*100,1),new_transmute,4,FALSE),
VLOOKUP(Midterm!V81,new_transmute,4,FALSE)
),
""
)
)
)
)
)
)
)
)
))</f>
        <v/>
      </c>
      <c r="W81" s="14" t="str">
        <f>IF($B81="","",
IF(W$5="","",
IF(Midterm!W81="",0,
IF(NOT(ISNUMBER(Midterm!W81)),"NAN",
IF(Midterm!W81&lt;0,"NEG",
IF(Midterm!W81&gt;W$5,"OVER",
IF(AND(W$5&lt;=100,Midterm!W81&gt;100),"ERR",
IF(Info!$B$4="Non-board program",
IF(OR(AND(W$5&gt;0,W$5&gt;100),AND(W$5&gt;0,W$5&lt;100)),
VLOOKUP(FLOOR((Midterm!W81/W$5)*100,1),new_transmute,2,FALSE),
VLOOKUP(Midterm!W81,new_transmute,2,FALSE)
),
IF(Info!$B$4="Board program",
IF(OR(AND(W$5&gt;0,W$5&gt;100),AND(W$5&gt;0,W$5&lt;100)),
VLOOKUP(FLOOR((Midterm!W81/W$5)*100,1),new_transmute,3,FALSE),
VLOOKUP(Midterm!W81,new_transmute,3,FALSE)
),
IF(Info!$B$4="Board program (Medicine)",
IF(OR(AND(W$5&gt;0,W$5&gt;100),AND(W$5&gt;0,W$5&lt;100)),
VLOOKUP(FLOOR((Midterm!W81/W$5)*100,1),new_transmute,4,FALSE),
VLOOKUP(Midterm!W81,new_transmute,4,FALSE)
),
""
)
)
)
)
)
)
)
)
))</f>
        <v/>
      </c>
      <c r="X81" s="14" t="str">
        <f>IF($B81="","",
IF(X$5="","",
IF(Midterm!X81="",0,
IF(NOT(ISNUMBER(Midterm!X81)),"NAN",
IF(Midterm!X81&lt;0,"NEG",
IF(Midterm!X81&gt;X$5,"OVER",
IF(AND(X$5&lt;=100,Midterm!X81&gt;100),"ERR",
IF(Info!$B$4="Non-board program",
IF(OR(AND(X$5&gt;0,X$5&gt;100),AND(X$5&gt;0,X$5&lt;100)),
VLOOKUP(FLOOR((Midterm!X81/X$5)*100,1),new_transmute,2,FALSE),
VLOOKUP(Midterm!X81,new_transmute,2,FALSE)
),
IF(Info!$B$4="Board program",
IF(OR(AND(X$5&gt;0,X$5&gt;100),AND(X$5&gt;0,X$5&lt;100)),
VLOOKUP(FLOOR((Midterm!X81/X$5)*100,1),new_transmute,3,FALSE),
VLOOKUP(Midterm!X81,new_transmute,3,FALSE)
),
IF(Info!$B$4="Board program (Medicine)",
IF(OR(AND(X$5&gt;0,X$5&gt;100),AND(X$5&gt;0,X$5&lt;100)),
VLOOKUP(FLOOR((Midterm!X81/X$5)*100,1),new_transmute,4,FALSE),
VLOOKUP(Midterm!X81,new_transmute,4,FALSE)
),
""
)
)
)
)
)
)
)
)
))</f>
        <v/>
      </c>
      <c r="Y81" s="112" t="str">
        <f t="shared" si="14"/>
        <v/>
      </c>
      <c r="Z81" s="14" t="str">
        <f>IF($B81="","",
IF(Z$5="","",
IF(Midterm!Z81="",0,
IF(NOT(ISNUMBER(Midterm!Z81)),"NAN",
IF(Midterm!Z81&lt;0,"NEG",
IF(Midterm!Z81&gt;Z$5,"OVER",
IF(AND(Z$5&lt;=100,Midterm!Z81&gt;100),"ERR",
IF(Info!$B$4="Non-board program",
IF(OR(AND(Z$5&gt;0,Z$5&gt;100),AND(Z$5&gt;0,Z$5&lt;100)),
VLOOKUP(FLOOR((Midterm!Z81/Z$5)*100,1),new_transmute,2,FALSE),
VLOOKUP(Midterm!Z81,new_transmute,2,FALSE)
),
IF(Info!$B$4="Board program",
IF(OR(AND(Z$5&gt;0,Z$5&gt;100),AND(Z$5&gt;0,Z$5&lt;100)),
VLOOKUP(FLOOR((Midterm!Z81/Z$5)*100,1),new_transmute,3,FALSE),
VLOOKUP(Midterm!Z81,new_transmute,3,FALSE)
),
IF(Info!$B$4="Board program (Medicine)",
IF(OR(AND(Z$5&gt;0,Z$5&gt;100),AND(Z$5&gt;0,Z$5&lt;100)),
VLOOKUP(FLOOR((Midterm!Z81/Z$5)*100,1),new_transmute,4,FALSE),
VLOOKUP(Midterm!Z81,new_transmute,4,FALSE)
),
""
)
)
)
)
)
)
)
)
))</f>
        <v/>
      </c>
      <c r="AA81" s="14" t="str">
        <f>IF($B81="","",
IF(AA$5="","",
IF(Midterm!AA81="",0,
IF(NOT(ISNUMBER(Midterm!AA81)),"NAN",
IF(Midterm!AA81&lt;0,"NEG",
IF(Midterm!AA81&gt;AA$5,"OVER",
IF(AND(AA$5&lt;=100,Midterm!AA81&gt;100),"ERR",
IF(Info!$B$4="Non-board program",
IF(OR(AND(AA$5&gt;0,AA$5&gt;100),AND(AA$5&gt;0,AA$5&lt;100)),
VLOOKUP(FLOOR((Midterm!AA81/AA$5)*100,1),new_transmute,2,FALSE),
VLOOKUP(Midterm!AA81,new_transmute,2,FALSE)
),
IF(Info!$B$4="Board program",
IF(OR(AND(AA$5&gt;0,AA$5&gt;100),AND(AA$5&gt;0,AA$5&lt;100)),
VLOOKUP(FLOOR((Midterm!AA81/AA$5)*100,1),new_transmute,3,FALSE),
VLOOKUP(Midterm!AA81,new_transmute,3,FALSE)
),
IF(Info!$B$4="Board program (Medicine)",
IF(OR(AND(AA$5&gt;0,AA$5&gt;100),AND(AA$5&gt;0,AA$5&lt;100)),
VLOOKUP(FLOOR((Midterm!AA81/AA$5)*100,1),new_transmute,4,FALSE),
VLOOKUP(Midterm!AA81,new_transmute,4,FALSE)
),
""
)
)
)
)
)
)
)
)
))</f>
        <v/>
      </c>
      <c r="AB81" s="14" t="str">
        <f>IF($B81="","",
IF(AB$5="","",
IF(Midterm!AB81="",0,
IF(NOT(ISNUMBER(Midterm!AB81)),"NAN",
IF(Midterm!AB81&lt;0,"NEG",
IF(Midterm!AB81&gt;AB$5,"OVER",
IF(AND(AB$5&lt;=100,Midterm!AB81&gt;100),"ERR",
IF(Info!$B$4="Non-board program",
IF(OR(AND(AB$5&gt;0,AB$5&gt;100),AND(AB$5&gt;0,AB$5&lt;100)),
VLOOKUP(FLOOR((Midterm!AB81/AB$5)*100,1),new_transmute,2,FALSE),
VLOOKUP(Midterm!AB81,new_transmute,2,FALSE)
),
IF(Info!$B$4="Board program",
IF(OR(AND(AB$5&gt;0,AB$5&gt;100),AND(AB$5&gt;0,AB$5&lt;100)),
VLOOKUP(FLOOR((Midterm!AB81/AB$5)*100,1),new_transmute,3,FALSE),
VLOOKUP(Midterm!AB81,new_transmute,3,FALSE)
),
IF(Info!$B$4="Board program (Medicine)",
IF(OR(AND(AB$5&gt;0,AB$5&gt;100),AND(AB$5&gt;0,AB$5&lt;100)),
VLOOKUP(FLOOR((Midterm!AB81/AB$5)*100,1),new_transmute,4,FALSE),
VLOOKUP(Midterm!AB81,new_transmute,4,FALSE)
),
""
)
)
)
)
)
)
)
)
))</f>
        <v/>
      </c>
      <c r="AC81" s="14" t="str">
        <f>IF($B81="","",
IF(AC$5="","",
IF(Midterm!AC81="",0,
IF(NOT(ISNUMBER(Midterm!AC81)),"NAN",
IF(Midterm!AC81&lt;0,"NEG",
IF(Midterm!AC81&gt;AC$5,"OVER",
IF(AND(AC$5&lt;=100,Midterm!AC81&gt;100),"ERR",
IF(Info!$B$4="Non-board program",
IF(OR(AND(AC$5&gt;0,AC$5&gt;100),AND(AC$5&gt;0,AC$5&lt;100)),
VLOOKUP(FLOOR((Midterm!AC81/AC$5)*100,1),new_transmute,2,FALSE),
VLOOKUP(Midterm!AC81,new_transmute,2,FALSE)
),
IF(Info!$B$4="Board program",
IF(OR(AND(AC$5&gt;0,AC$5&gt;100),AND(AC$5&gt;0,AC$5&lt;100)),
VLOOKUP(FLOOR((Midterm!AC81/AC$5)*100,1),new_transmute,3,FALSE),
VLOOKUP(Midterm!AC81,new_transmute,3,FALSE)
),
IF(Info!$B$4="Board program (Medicine)",
IF(OR(AND(AC$5&gt;0,AC$5&gt;100),AND(AC$5&gt;0,AC$5&lt;100)),
VLOOKUP(FLOOR((Midterm!AC81/AC$5)*100,1),new_transmute,4,FALSE),
VLOOKUP(Midterm!AC81,new_transmute,4,FALSE)
),
""
)
)
)
)
)
)
)
)
))</f>
        <v/>
      </c>
      <c r="AD81" s="14" t="str">
        <f>IF($B81="","",
IF(AD$5="","",
IF(Midterm!AD81="",0,
IF(NOT(ISNUMBER(Midterm!AD81)),"NAN",
IF(Midterm!AD81&lt;0,"NEG",
IF(Midterm!AD81&gt;AD$5,"OVER",
IF(AND(AD$5&lt;=100,Midterm!AD81&gt;100),"ERR",
IF(Info!$B$4="Non-board program",
IF(OR(AND(AD$5&gt;0,AD$5&gt;100),AND(AD$5&gt;0,AD$5&lt;100)),
VLOOKUP(FLOOR((Midterm!AD81/AD$5)*100,1),new_transmute,2,FALSE),
VLOOKUP(Midterm!AD81,new_transmute,2,FALSE)
),
IF(Info!$B$4="Board program",
IF(OR(AND(AD$5&gt;0,AD$5&gt;100),AND(AD$5&gt;0,AD$5&lt;100)),
VLOOKUP(FLOOR((Midterm!AD81/AD$5)*100,1),new_transmute,3,FALSE),
VLOOKUP(Midterm!AD81,new_transmute,3,FALSE)
),
IF(Info!$B$4="Board program (Medicine)",
IF(OR(AND(AD$5&gt;0,AD$5&gt;100),AND(AD$5&gt;0,AD$5&lt;100)),
VLOOKUP(FLOOR((Midterm!AD81/AD$5)*100,1),new_transmute,4,FALSE),
VLOOKUP(Midterm!AD81,new_transmute,4,FALSE)
),
""
)
)
)
)
)
)
)
)
))</f>
        <v/>
      </c>
      <c r="AE81" s="58" t="str">
        <f t="shared" si="15"/>
        <v/>
      </c>
      <c r="AF81" s="14" t="str">
        <f>IF($B81="","",
IF(AF$5="","",
IF(Midterm!AF81="",0,
IF(NOT(ISNUMBER(Midterm!AF81)),"NAN",
IF(Midterm!AF81&lt;0,"NEG",
IF(Midterm!AF81&gt;AF$5,"OVER",
IF(AND(AF$5&lt;=100,Midterm!AF81&gt;100),"ERR",
IF(Info!$B$4="Non-board program",
IF(OR(AND(AF$5&gt;0,AF$5&gt;100),AND(AF$5&gt;0,AF$5&lt;100)),
VLOOKUP(FLOOR((Midterm!AF81/AF$5)*100,1),new_transmute,2,FALSE),
VLOOKUP(Midterm!AF81,new_transmute,2,FALSE)
),
IF(Info!$B$4="Board program",
IF(OR(AND(AF$5&gt;0,AF$5&gt;100),AND(AF$5&gt;0,AF$5&lt;100)),
VLOOKUP(FLOOR((Midterm!AF81/AF$5)*100,1),new_transmute,3,FALSE),
VLOOKUP(Midterm!AF81,new_transmute,3,FALSE)
),
IF(Info!$B$4="Board program (Medicine)",
IF(OR(AND(AF$5&gt;0,AF$5&gt;100),AND(AF$5&gt;0,AF$5&lt;100)),
VLOOKUP(FLOOR((Midterm!AF81/AF$5)*100,1),new_transmute,4,FALSE),
VLOOKUP(Midterm!AF81,new_transmute,4,FALSE)
),
""
)
)
)
)
)
)
)
)
))</f>
        <v/>
      </c>
      <c r="AG81" s="14" t="str">
        <f>IF($B81="","",
IF(AG$5="","",
IF(Midterm!AG81="",0,
IF(NOT(ISNUMBER(Midterm!AG81)),"NAN",
IF(Midterm!AG81&lt;0,"NEG",
IF(Midterm!AG81&gt;AG$5,"OVER",
IF(AND(AG$5&lt;=100,Midterm!AG81&gt;100),"ERR",
IF(Info!$B$4="Non-board program",
IF(OR(AND(AG$5&gt;0,AG$5&gt;100),AND(AG$5&gt;0,AG$5&lt;100)),
VLOOKUP(FLOOR((Midterm!AG81/AG$5)*100,1),new_transmute,2,FALSE),
VLOOKUP(Midterm!AG81,new_transmute,2,FALSE)
),
IF(Info!$B$4="Board program",
IF(OR(AND(AG$5&gt;0,AG$5&gt;100),AND(AG$5&gt;0,AG$5&lt;100)),
VLOOKUP(FLOOR((Midterm!AG81/AG$5)*100,1),new_transmute,3,FALSE),
VLOOKUP(Midterm!AG81,new_transmute,3,FALSE)
),
IF(Info!$B$4="Board program (Medicine)",
IF(OR(AND(AG$5&gt;0,AG$5&gt;100),AND(AG$5&gt;0,AG$5&lt;100)),
VLOOKUP(FLOOR((Midterm!AG81/AG$5)*100,1),new_transmute,4,FALSE),
VLOOKUP(Midterm!AG81,new_transmute,4,FALSE)
),
""
)
)
)
)
)
)
)
)
))</f>
        <v/>
      </c>
      <c r="AH81" s="14" t="str">
        <f>IF($B81="","",
IF(AH$5="","",
IF(Midterm!AH81="",0,
IF(NOT(ISNUMBER(Midterm!AH81)),"NAN",
IF(Midterm!AH81&lt;0,"NEG",
IF(Midterm!AH81&gt;AH$5,"OVER",
IF(AND(AH$5&lt;=100,Midterm!AH81&gt;100),"ERR",
IF(Info!$B$4="Non-board program",
IF(OR(AND(AH$5&gt;0,AH$5&gt;100),AND(AH$5&gt;0,AH$5&lt;100)),
VLOOKUP(FLOOR((Midterm!AH81/AH$5)*100,1),new_transmute,2,FALSE),
VLOOKUP(Midterm!AH81,new_transmute,2,FALSE)
),
IF(Info!$B$4="Board program",
IF(OR(AND(AH$5&gt;0,AH$5&gt;100),AND(AH$5&gt;0,AH$5&lt;100)),
VLOOKUP(FLOOR((Midterm!AH81/AH$5)*100,1),new_transmute,3,FALSE),
VLOOKUP(Midterm!AH81,new_transmute,3,FALSE)
),
IF(Info!$B$4="Board program (Medicine)",
IF(OR(AND(AH$5&gt;0,AH$5&gt;100),AND(AH$5&gt;0,AH$5&lt;100)),
VLOOKUP(FLOOR((Midterm!AH81/AH$5)*100,1),new_transmute,4,FALSE),
VLOOKUP(Midterm!AH81,new_transmute,4,FALSE)
),
""
)
)
)
)
)
)
)
)
))</f>
        <v/>
      </c>
      <c r="AI81" s="14" t="str">
        <f>IF($B81="","",
IF(AI$5="","",
IF(Midterm!AI81="",0,
IF(NOT(ISNUMBER(Midterm!AI81)),"NAN",
IF(Midterm!AI81&lt;0,"NEG",
IF(Midterm!AI81&gt;AI$5,"OVER",
IF(AND(AI$5&lt;=100,Midterm!AI81&gt;100),"ERR",
IF(Info!$B$4="Non-board program",
IF(OR(AND(AI$5&gt;0,AI$5&gt;100),AND(AI$5&gt;0,AI$5&lt;100)),
VLOOKUP(FLOOR((Midterm!AI81/AI$5)*100,1),new_transmute,2,FALSE),
VLOOKUP(Midterm!AI81,new_transmute,2,FALSE)
),
IF(Info!$B$4="Board program",
IF(OR(AND(AI$5&gt;0,AI$5&gt;100),AND(AI$5&gt;0,AI$5&lt;100)),
VLOOKUP(FLOOR((Midterm!AI81/AI$5)*100,1),new_transmute,3,FALSE),
VLOOKUP(Midterm!AI81,new_transmute,3,FALSE)
),
IF(Info!$B$4="Board program (Medicine)",
IF(OR(AND(AI$5&gt;0,AI$5&gt;100),AND(AI$5&gt;0,AI$5&lt;100)),
VLOOKUP(FLOOR((Midterm!AI81/AI$5)*100,1),new_transmute,4,FALSE),
VLOOKUP(Midterm!AI81,new_transmute,4,FALSE)
),
""
)
)
)
)
)
)
)
)
))</f>
        <v/>
      </c>
      <c r="AJ81" s="14" t="str">
        <f>IF($B81="","",
IF(AJ$5="","",
IF(Midterm!AJ81="",0,
IF(NOT(ISNUMBER(Midterm!AJ81)),"NAN",
IF(Midterm!AJ81&lt;0,"NEG",
IF(Midterm!AJ81&gt;AJ$5,"OVER",
IF(AND(AJ$5&lt;=100,Midterm!AJ81&gt;100),"ERR",
IF(Info!$B$4="Non-board program",
IF(OR(AND(AJ$5&gt;0,AJ$5&gt;100),AND(AJ$5&gt;0,AJ$5&lt;100)),
VLOOKUP(FLOOR((Midterm!AJ81/AJ$5)*100,1),new_transmute,2,FALSE),
VLOOKUP(Midterm!AJ81,new_transmute,2,FALSE)
),
IF(Info!$B$4="Board program",
IF(OR(AND(AJ$5&gt;0,AJ$5&gt;100),AND(AJ$5&gt;0,AJ$5&lt;100)),
VLOOKUP(FLOOR((Midterm!AJ81/AJ$5)*100,1),new_transmute,3,FALSE),
VLOOKUP(Midterm!AJ81,new_transmute,3,FALSE)
),
IF(Info!$B$4="Board program (Medicine)",
IF(OR(AND(AJ$5&gt;0,AJ$5&gt;100),AND(AJ$5&gt;0,AJ$5&lt;100)),
VLOOKUP(FLOOR((Midterm!AJ81/AJ$5)*100,1),new_transmute,4,FALSE),
VLOOKUP(Midterm!AJ81,new_transmute,4,FALSE)
),
""
)
)
)
)
)
)
)
)
))</f>
        <v/>
      </c>
      <c r="AK81" s="59" t="str">
        <f t="shared" si="16"/>
        <v/>
      </c>
      <c r="AL81" s="60" t="str">
        <f>IF(B81="", "",
    IF(OR(M81="OVER", S81="OVER", Y81="OVER", AE81="OVER", AK81="OVER"),
        "OVER",
        IF(Info!$B$4="Non-board program",
            VLOOKUP(IFERROR(FLOOR(SUM((M81*$M$4), (S81*$S$4), (Y81*$Y$4), (AE81*$AE$4), (AK81*$AK$4)) * (100 / 60), 1), 0), new_transmute, 2, FALSE),
            IF(Info!$B$4="Board program",
                VLOOKUP(IFERROR(FLOOR(SUM((M81*$M$4), (S81*$S$4), (Y81*$Y$4), (AE81*$AE$4), (AK81*$AK$4)) * (100 / 60), 1), 0), new_transmute, 3, FALSE),
                IF(Info!$B$4="Board program (Medicine)",
                    VLOOKUP(IFERROR(FLOOR(SUM((M81*$M$4), (S81*$S$4), (Y81*$Y$4), (AE81*$AE$4), (AK81*$AK$4)) * (100 / 60), 1), 0), new_transmute, 4, FALSE),
                    ""
                )
            )
        )
    )
)</f>
        <v/>
      </c>
      <c r="AM81" s="14" t="str">
        <f>IF($B81="","",
IF(AM$5="","",
IF(Midterm!AM81="",0,
IF(NOT(ISNUMBER(Midterm!AM81)),"NAN",
IF(Midterm!AM81&lt;0,"NEG",
IF(Midterm!AM81&gt;AM$5,"OVER",
IF(AND(AM$5&lt;=100,Midterm!AM81&gt;100),"ERR",
IF(Info!$B$4="Non-board program",
IF(OR(AND(AM$5&gt;0,AM$5&gt;100),AND(AM$5&gt;0,AM$5&lt;100)),
VLOOKUP(FLOOR((Midterm!AM81/AM$5)*100,1),new_transmute,2,FALSE),
VLOOKUP(Midterm!AM81,new_transmute,2,FALSE)
),
IF(Info!$B$4="Board program",
IF(OR(AND(AM$5&gt;0,AM$5&gt;100),AND(AM$5&gt;0,AM$5&lt;100)),
VLOOKUP(FLOOR((Midterm!AM81/AM$5)*100,1),new_transmute,3,FALSE),
VLOOKUP(Midterm!AM81,new_transmute,3,FALSE)
),
IF(Info!$B$4="Board program (Medicine)",
IF(OR(AND(AM$5&gt;0,AM$5&gt;100),AND(AM$5&gt;0,AM$5&lt;100)),
VLOOKUP(FLOOR((Midterm!AM81/AM$5)*100,1),new_transmute,4,FALSE),
VLOOKUP(Midterm!AM81,new_transmute,4,FALSE)
),
""
)
)
)
)
)
)
)
)
))</f>
        <v/>
      </c>
      <c r="AN81" s="14" t="str">
        <f>IF($B81="","",
IF(AN$5="","",
IF(Midterm!AN81="",0,
IF(NOT(ISNUMBER(Midterm!AN81)),"NAN",
IF(Midterm!AN81&lt;0,"NEG",
IF(Midterm!AN81&gt;AN$5,"OVER",
IF(AND(AN$5&lt;=100,Midterm!AN81&gt;100),"ERR",
IF(Info!$B$4="Non-board program",
IF(OR(AND(AN$5&gt;0,AN$5&gt;100),AND(AN$5&gt;0,AN$5&lt;100)),
VLOOKUP(FLOOR((Midterm!AN81/AN$5)*100,1),new_transmute,2,FALSE),
VLOOKUP(Midterm!AN81,new_transmute,2,FALSE)
),
IF(Info!$B$4="Board program",
IF(OR(AND(AN$5&gt;0,AN$5&gt;100),AND(AN$5&gt;0,AN$5&lt;100)),
VLOOKUP(FLOOR((Midterm!AN81/AN$5)*100,1),new_transmute,3,FALSE),
VLOOKUP(Midterm!AN81,new_transmute,3,FALSE)
),
IF(Info!$B$4="Board program (Medicine)",
IF(OR(AND(AN$5&gt;0,AN$5&gt;100),AND(AN$5&gt;0,AN$5&lt;100)),
VLOOKUP(FLOOR((Midterm!AN81/AN$5)*100,1),new_transmute,4,FALSE),
VLOOKUP(Midterm!AN81,new_transmute,4,FALSE)
),
""
)
)
)
)
)
)
)
)
))</f>
        <v/>
      </c>
      <c r="AO81" s="14" t="str">
        <f>IF($B81="","",
IF(AO$5="","",
IF(Midterm!AO81="",0,
IF(NOT(ISNUMBER(Midterm!AO81)),"NAN",
IF(Midterm!AO81&lt;0,"NEG",
IF(Midterm!AO81&gt;AO$5,"OVER",
IF(AND(AO$5&lt;=100,Midterm!AO81&gt;100),"ERR",
IF(Info!$B$4="Non-board program",
IF(OR(AND(AO$5&gt;0,AO$5&gt;100),AND(AO$5&gt;0,AO$5&lt;100)),
VLOOKUP(FLOOR((Midterm!AO81/AO$5)*100,1),new_transmute,2,FALSE),
VLOOKUP(Midterm!AO81,new_transmute,2,FALSE)
),
IF(Info!$B$4="Board program",
IF(OR(AND(AO$5&gt;0,AO$5&gt;100),AND(AO$5&gt;0,AO$5&lt;100)),
VLOOKUP(FLOOR((Midterm!AO81/AO$5)*100,1),new_transmute,3,FALSE),
VLOOKUP(Midterm!AO81,new_transmute,3,FALSE)
),
IF(Info!$B$4="Board program (Medicine)",
IF(OR(AND(AO$5&gt;0,AO$5&gt;100),AND(AO$5&gt;0,AO$5&lt;100)),
VLOOKUP(FLOOR((Midterm!AO81/AO$5)*100,1),new_transmute,4,FALSE),
VLOOKUP(Midterm!AO81,new_transmute,4,FALSE)
),
""
)
)
)
)
)
)
)
)
))</f>
        <v/>
      </c>
      <c r="AP81" s="14" t="str">
        <f>IF($B81="","",
IF(AP$5="","",
IF(Midterm!AP81="",0,
IF(NOT(ISNUMBER(Midterm!AP81)),"NAN",
IF(Midterm!AP81&lt;0,"NEG",
IF(Midterm!AP81&gt;AP$5,"OVER",
IF(AND(AP$5&lt;=100,Midterm!AP81&gt;100),"ERR",
IF(Info!$B$4="Non-board program",
IF(OR(AND(AP$5&gt;0,AP$5&gt;100),AND(AP$5&gt;0,AP$5&lt;100)),
VLOOKUP(FLOOR((Midterm!AP81/AP$5)*100,1),new_transmute,2,FALSE),
VLOOKUP(Midterm!AP81,new_transmute,2,FALSE)
),
IF(Info!$B$4="Board program",
IF(OR(AND(AP$5&gt;0,AP$5&gt;100),AND(AP$5&gt;0,AP$5&lt;100)),
VLOOKUP(FLOOR((Midterm!AP81/AP$5)*100,1),new_transmute,3,FALSE),
VLOOKUP(Midterm!AP81,new_transmute,3,FALSE)
),
IF(Info!$B$4="Board program (Medicine)",
IF(OR(AND(AP$5&gt;0,AP$5&gt;100),AND(AP$5&gt;0,AP$5&lt;100)),
VLOOKUP(FLOOR((Midterm!AP81/AP$5)*100,1),new_transmute,4,FALSE),
VLOOKUP(Midterm!AP81,new_transmute,4,FALSE)
),
""
)
)
)
)
)
)
)
)
))</f>
        <v/>
      </c>
      <c r="AQ81" s="61" t="str">
        <f t="shared" si="17"/>
        <v/>
      </c>
      <c r="AR81" s="48" t="str">
        <f>IF(Midterm!AR81="","",Midterm!AR81)</f>
        <v/>
      </c>
      <c r="AS81" s="165" t="str">
        <f t="shared" si="18"/>
        <v/>
      </c>
      <c r="AT81" s="14" t="str">
        <f t="shared" si="19"/>
        <v/>
      </c>
      <c r="AU81" s="14" t="str">
        <f>IF(B81="","",VLOOKUP(AT81,'New Grade Equivalent'!$B$3:$C$47,2,FALSE))</f>
        <v/>
      </c>
    </row>
    <row r="82" spans="1:47" x14ac:dyDescent="0.25">
      <c r="A82" s="8">
        <v>77</v>
      </c>
      <c r="B82" s="2" t="str">
        <f>IF('Student List'!C86="","",UPPER(LEFT('Student List'!C86,FIND(",",'Student List'!C86)-1)))</f>
        <v/>
      </c>
      <c r="C82" s="12" t="str">
        <f>IF('Student List'!C86="","",PROPER(MID('Student List'!C86, FIND(",", 'Student List'!C86) + 2, LEN('Student List'!C86) - FIND(",", 'Student List'!C86) - 1)))</f>
        <v/>
      </c>
      <c r="D82" s="127" t="str">
        <f>IF(B82="","",IF(Midterm!D82="", "NA", Midterm!D82))</f>
        <v/>
      </c>
      <c r="E82" s="8" t="str">
        <f>IF(B82="","",
  IF(Info!$B$5="First Year",
    IF(D82="Yes", "DRP",
      IF(D82="No", "WF", "")
    )
  )
)</f>
        <v/>
      </c>
      <c r="F82" s="14" t="str">
        <f>IF($B82="","",
IF(F$5="","",
IF(Midterm!F82="",0,
IF(NOT(ISNUMBER(Midterm!F82)),"NAN",
IF(Midterm!F82&lt;0,"NEG",
IF(Midterm!F82&gt;F$5,"OVER",
IF(AND(F$5&lt;=100,Midterm!F82&gt;100),"ERR",
IF(Info!$B$4="Non-board program",
IF(OR(AND(F$5&gt;0,F$5&gt;100),AND(F$5&gt;0,F$5&lt;100)),
VLOOKUP(FLOOR((Midterm!F82/F$5)*100,1),new_transmute,2,FALSE),
VLOOKUP(Midterm!F82,new_transmute,2,FALSE)
),
IF(Info!$B$4="Board program",
IF(OR(AND(F$5&gt;0,F$5&gt;100),AND(F$5&gt;0,F$5&lt;100)),
VLOOKUP(FLOOR((Midterm!F82/F$5)*100,1),new_transmute,3,FALSE),
VLOOKUP(Midterm!F82,new_transmute,3,FALSE)
),
IF(Info!$B$4="Board program (Medicine)",
IF(OR(AND(F$5&gt;0,F$5&gt;100),AND(F$5&gt;0,F$5&lt;100)),
VLOOKUP(FLOOR((Midterm!F82/F$5)*100,1),new_transmute,4,FALSE),
VLOOKUP(Midterm!F82,new_transmute,4,FALSE)
),
""
)
)
)
)
)
)
)
)
))</f>
        <v/>
      </c>
      <c r="G82" s="57" t="str">
        <f t="shared" si="11"/>
        <v/>
      </c>
      <c r="H82" s="14" t="str">
        <f>IF($B82="","",
IF(H$5="","",
IF(Midterm!H82="",0,
IF(NOT(ISNUMBER(Midterm!H82)),"NAN",
IF(Midterm!H82&lt;0,"NEG",
IF(Midterm!H82&gt;H$5,"OVER",
IF(AND(H$5&lt;=100,Midterm!H82&gt;100),"ERR",
IF(Info!$B$4="Non-board program",
IF(OR(AND(H$5&gt;0,H$5&gt;100),AND(H$5&gt;0,H$5&lt;100)),
VLOOKUP(FLOOR((Midterm!H82/H$5)*100,1),new_transmute,2,FALSE),
VLOOKUP(Midterm!H82,new_transmute,2,FALSE)
),
IF(Info!$B$4="Board program",
IF(OR(AND(H$5&gt;0,H$5&gt;100),AND(H$5&gt;0,H$5&lt;100)),
VLOOKUP(FLOOR((Midterm!H82/H$5)*100,1),new_transmute,3,FALSE),
VLOOKUP(Midterm!H82,new_transmute,3,FALSE)
),
IF(Info!$B$4="Board program (Medicine)",
IF(OR(AND(H$5&gt;0,H$5&gt;100),AND(H$5&gt;0,H$5&lt;100)),
VLOOKUP(FLOOR((Midterm!H82/H$5)*100,1),new_transmute,4,FALSE),
VLOOKUP(Midterm!H82,new_transmute,4,FALSE)
),
""
)
)
)
)
)
)
)
)
))</f>
        <v/>
      </c>
      <c r="I82" s="14" t="str">
        <f>IF($B82="","",
IF(I$5="","",
IF(Midterm!I82="",0,
IF(NOT(ISNUMBER(Midterm!I82)),"NAN",
IF(Midterm!I82&lt;0,"NEG",
IF(Midterm!I82&gt;I$5,"OVER",
IF(AND(I$5&lt;=100,Midterm!I82&gt;100),"ERR",
IF(Info!$B$4="Non-board program",
IF(OR(AND(I$5&gt;0,I$5&gt;100),AND(I$5&gt;0,I$5&lt;100)),
VLOOKUP(FLOOR((Midterm!I82/I$5)*100,1),new_transmute,2,FALSE),
VLOOKUP(Midterm!I82,new_transmute,2,FALSE)
),
IF(Info!$B$4="Board program",
IF(OR(AND(I$5&gt;0,I$5&gt;100),AND(I$5&gt;0,I$5&lt;100)),
VLOOKUP(FLOOR((Midterm!I82/I$5)*100,1),new_transmute,3,FALSE),
VLOOKUP(Midterm!I82,new_transmute,3,FALSE)
),
IF(Info!$B$4="Board program (Medicine)",
IF(OR(AND(I$5&gt;0,I$5&gt;100),AND(I$5&gt;0,I$5&lt;100)),
VLOOKUP(FLOOR((Midterm!I82/I$5)*100,1),new_transmute,4,FALSE),
VLOOKUP(Midterm!I82,new_transmute,4,FALSE)
),
""
)
)
)
)
)
)
)
)
))</f>
        <v/>
      </c>
      <c r="J82" s="14" t="str">
        <f>IF($B82="","",
IF(J$5="","",
IF(Midterm!J82="",0,
IF(NOT(ISNUMBER(Midterm!J82)),"NAN",
IF(Midterm!J82&lt;0,"NEG",
IF(Midterm!J82&gt;J$5,"OVER",
IF(AND(J$5&lt;=100,Midterm!J82&gt;100),"ERR",
IF(Info!$B$4="Non-board program",
IF(OR(AND(J$5&gt;0,J$5&gt;100),AND(J$5&gt;0,J$5&lt;100)),
VLOOKUP(FLOOR((Midterm!J82/J$5)*100,1),new_transmute,2,FALSE),
VLOOKUP(Midterm!J82,new_transmute,2,FALSE)
),
IF(Info!$B$4="Board program",
IF(OR(AND(J$5&gt;0,J$5&gt;100),AND(J$5&gt;0,J$5&lt;100)),
VLOOKUP(FLOOR((Midterm!J82/J$5)*100,1),new_transmute,3,FALSE),
VLOOKUP(Midterm!J82,new_transmute,3,FALSE)
),
IF(Info!$B$4="Board program (Medicine)",
IF(OR(AND(J$5&gt;0,J$5&gt;100),AND(J$5&gt;0,J$5&lt;100)),
VLOOKUP(FLOOR((Midterm!J82/J$5)*100,1),new_transmute,4,FALSE),
VLOOKUP(Midterm!J82,new_transmute,4,FALSE)
),
""
)
)
)
)
)
)
)
)
))</f>
        <v/>
      </c>
      <c r="K82" s="14" t="str">
        <f>IF($B82="","",
IF(K$5="","",
IF(Midterm!K82="",0,
IF(NOT(ISNUMBER(Midterm!K82)),"NAN",
IF(Midterm!K82&lt;0,"NEG",
IF(Midterm!K82&gt;K$5,"OVER",
IF(AND(K$5&lt;=100,Midterm!K82&gt;100),"ERR",
IF(Info!$B$4="Non-board program",
IF(OR(AND(K$5&gt;0,K$5&gt;100),AND(K$5&gt;0,K$5&lt;100)),
VLOOKUP(FLOOR((Midterm!K82/K$5)*100,1),new_transmute,2,FALSE),
VLOOKUP(Midterm!K82,new_transmute,2,FALSE)
),
IF(Info!$B$4="Board program",
IF(OR(AND(K$5&gt;0,K$5&gt;100),AND(K$5&gt;0,K$5&lt;100)),
VLOOKUP(FLOOR((Midterm!K82/K$5)*100,1),new_transmute,3,FALSE),
VLOOKUP(Midterm!K82,new_transmute,3,FALSE)
),
IF(Info!$B$4="Board program (Medicine)",
IF(OR(AND(K$5&gt;0,K$5&gt;100),AND(K$5&gt;0,K$5&lt;100)),
VLOOKUP(FLOOR((Midterm!K82/K$5)*100,1),new_transmute,4,FALSE),
VLOOKUP(Midterm!K82,new_transmute,4,FALSE)
),
""
)
)
)
)
)
)
)
)
))</f>
        <v/>
      </c>
      <c r="L82" s="14" t="str">
        <f>IF($B82="","",
IF(L$5="","",
IF(Midterm!L82="",0,
IF(NOT(ISNUMBER(Midterm!L82)),"NAN",
IF(Midterm!L82&lt;0,"NEG",
IF(Midterm!L82&gt;L$5,"OVER",
IF(AND(L$5&lt;=100,Midterm!L82&gt;100),"ERR",
IF(Info!$B$4="Non-board program",
IF(OR(AND(L$5&gt;0,L$5&gt;100),AND(L$5&gt;0,L$5&lt;100)),
VLOOKUP(FLOOR((Midterm!L82/L$5)*100,1),new_transmute,2,FALSE),
VLOOKUP(Midterm!L82,new_transmute,2,FALSE)
),
IF(Info!$B$4="Board program",
IF(OR(AND(L$5&gt;0,L$5&gt;100),AND(L$5&gt;0,L$5&lt;100)),
VLOOKUP(FLOOR((Midterm!L82/L$5)*100,1),new_transmute,3,FALSE),
VLOOKUP(Midterm!L82,new_transmute,3,FALSE)
),
IF(Info!$B$4="Board program (Medicine)",
IF(OR(AND(L$5&gt;0,L$5&gt;100),AND(L$5&gt;0,L$5&lt;100)),
VLOOKUP(FLOOR((Midterm!L82/L$5)*100,1),new_transmute,4,FALSE),
VLOOKUP(Midterm!L82,new_transmute,4,FALSE)
),
""
)
)
)
)
)
)
)
)
))</f>
        <v/>
      </c>
      <c r="M82" s="111" t="str">
        <f t="shared" si="12"/>
        <v/>
      </c>
      <c r="N82" s="14" t="str">
        <f>IF($B82="","",
IF(N$5="","",
IF(Midterm!N82="",0,
IF(NOT(ISNUMBER(Midterm!N82)),"NAN",
IF(Midterm!N82&lt;0,"NEG",
IF(Midterm!N82&gt;N$5,"OVER",
IF(AND(N$5&lt;=100,Midterm!N82&gt;100),"ERR",
IF(Info!$B$4="Non-board program",
IF(OR(AND(N$5&gt;0,N$5&gt;100),AND(N$5&gt;0,N$5&lt;100)),
VLOOKUP(FLOOR((Midterm!N82/N$5)*100,1),new_transmute,2,FALSE),
VLOOKUP(Midterm!N82,new_transmute,2,FALSE)
),
IF(Info!$B$4="Board program",
IF(OR(AND(N$5&gt;0,N$5&gt;100),AND(N$5&gt;0,N$5&lt;100)),
VLOOKUP(FLOOR((Midterm!N82/N$5)*100,1),new_transmute,3,FALSE),
VLOOKUP(Midterm!N82,new_transmute,3,FALSE)
),
IF(Info!$B$4="Board program (Medicine)",
IF(OR(AND(N$5&gt;0,N$5&gt;100),AND(N$5&gt;0,N$5&lt;100)),
VLOOKUP(FLOOR((Midterm!N82/N$5)*100,1),new_transmute,4,FALSE),
VLOOKUP(Midterm!N82,new_transmute,4,FALSE)
),
""
)
)
)
)
)
)
)
)
))</f>
        <v/>
      </c>
      <c r="O82" s="14" t="str">
        <f>IF($B82="","",
IF(O$5="","",
IF(Midterm!O82="",0,
IF(NOT(ISNUMBER(Midterm!O82)),"NAN",
IF(Midterm!O82&lt;0,"NEG",
IF(Midterm!O82&gt;O$5,"OVER",
IF(AND(O$5&lt;=100,Midterm!O82&gt;100),"ERR",
IF(Info!$B$4="Non-board program",
IF(OR(AND(O$5&gt;0,O$5&gt;100),AND(O$5&gt;0,O$5&lt;100)),
VLOOKUP(FLOOR((Midterm!O82/O$5)*100,1),new_transmute,2,FALSE),
VLOOKUP(Midterm!O82,new_transmute,2,FALSE)
),
IF(Info!$B$4="Board program",
IF(OR(AND(O$5&gt;0,O$5&gt;100),AND(O$5&gt;0,O$5&lt;100)),
VLOOKUP(FLOOR((Midterm!O82/O$5)*100,1),new_transmute,3,FALSE),
VLOOKUP(Midterm!O82,new_transmute,3,FALSE)
),
IF(Info!$B$4="Board program (Medicine)",
IF(OR(AND(O$5&gt;0,O$5&gt;100),AND(O$5&gt;0,O$5&lt;100)),
VLOOKUP(FLOOR((Midterm!O82/O$5)*100,1),new_transmute,4,FALSE),
VLOOKUP(Midterm!O82,new_transmute,4,FALSE)
),
""
)
)
)
)
)
)
)
)
))</f>
        <v/>
      </c>
      <c r="P82" s="14" t="str">
        <f>IF($B82="","",
IF(P$5="","",
IF(Midterm!P82="",0,
IF(NOT(ISNUMBER(Midterm!P82)),"NAN",
IF(Midterm!P82&lt;0,"NEG",
IF(Midterm!P82&gt;P$5,"OVER",
IF(AND(P$5&lt;=100,Midterm!P82&gt;100),"ERR",
IF(Info!$B$4="Non-board program",
IF(OR(AND(P$5&gt;0,P$5&gt;100),AND(P$5&gt;0,P$5&lt;100)),
VLOOKUP(FLOOR((Midterm!P82/P$5)*100,1),new_transmute,2,FALSE),
VLOOKUP(Midterm!P82,new_transmute,2,FALSE)
),
IF(Info!$B$4="Board program",
IF(OR(AND(P$5&gt;0,P$5&gt;100),AND(P$5&gt;0,P$5&lt;100)),
VLOOKUP(FLOOR((Midterm!P82/P$5)*100,1),new_transmute,3,FALSE),
VLOOKUP(Midterm!P82,new_transmute,3,FALSE)
),
IF(Info!$B$4="Board program (Medicine)",
IF(OR(AND(P$5&gt;0,P$5&gt;100),AND(P$5&gt;0,P$5&lt;100)),
VLOOKUP(FLOOR((Midterm!P82/P$5)*100,1),new_transmute,4,FALSE),
VLOOKUP(Midterm!P82,new_transmute,4,FALSE)
),
""
)
)
)
)
)
)
)
)
))</f>
        <v/>
      </c>
      <c r="Q82" s="14" t="str">
        <f>IF($B82="","",
IF(Q$5="","",
IF(Midterm!Q82="",0,
IF(NOT(ISNUMBER(Midterm!Q82)),"NAN",
IF(Midterm!Q82&lt;0,"NEG",
IF(Midterm!Q82&gt;Q$5,"OVER",
IF(AND(Q$5&lt;=100,Midterm!Q82&gt;100),"ERR",
IF(Info!$B$4="Non-board program",
IF(OR(AND(Q$5&gt;0,Q$5&gt;100),AND(Q$5&gt;0,Q$5&lt;100)),
VLOOKUP(FLOOR((Midterm!Q82/Q$5)*100,1),new_transmute,2,FALSE),
VLOOKUP(Midterm!Q82,new_transmute,2,FALSE)
),
IF(Info!$B$4="Board program",
IF(OR(AND(Q$5&gt;0,Q$5&gt;100),AND(Q$5&gt;0,Q$5&lt;100)),
VLOOKUP(FLOOR((Midterm!Q82/Q$5)*100,1),new_transmute,3,FALSE),
VLOOKUP(Midterm!Q82,new_transmute,3,FALSE)
),
IF(Info!$B$4="Board program (Medicine)",
IF(OR(AND(Q$5&gt;0,Q$5&gt;100),AND(Q$5&gt;0,Q$5&lt;100)),
VLOOKUP(FLOOR((Midterm!Q82/Q$5)*100,1),new_transmute,4,FALSE),
VLOOKUP(Midterm!Q82,new_transmute,4,FALSE)
),
""
)
)
)
)
)
)
)
)
))</f>
        <v/>
      </c>
      <c r="R82" s="14" t="str">
        <f>IF($B82="","",
IF(R$5="","",
IF(Midterm!R82="",0,
IF(NOT(ISNUMBER(Midterm!R82)),"NAN",
IF(Midterm!R82&lt;0,"NEG",
IF(Midterm!R82&gt;R$5,"OVER",
IF(AND(R$5&lt;=100,Midterm!R82&gt;100),"ERR",
IF(Info!$B$4="Non-board program",
IF(OR(AND(R$5&gt;0,R$5&gt;100),AND(R$5&gt;0,R$5&lt;100)),
VLOOKUP(FLOOR((Midterm!R82/R$5)*100,1),new_transmute,2,FALSE),
VLOOKUP(Midterm!R82,new_transmute,2,FALSE)
),
IF(Info!$B$4="Board program",
IF(OR(AND(R$5&gt;0,R$5&gt;100),AND(R$5&gt;0,R$5&lt;100)),
VLOOKUP(FLOOR((Midterm!R82/R$5)*100,1),new_transmute,3,FALSE),
VLOOKUP(Midterm!R82,new_transmute,3,FALSE)
),
IF(Info!$B$4="Board program (Medicine)",
IF(OR(AND(R$5&gt;0,R$5&gt;100),AND(R$5&gt;0,R$5&lt;100)),
VLOOKUP(FLOOR((Midterm!R82/R$5)*100,1),new_transmute,4,FALSE),
VLOOKUP(Midterm!R82,new_transmute,4,FALSE)
),
""
)
)
)
)
)
)
)
)
))</f>
        <v/>
      </c>
      <c r="S82" s="115" t="str">
        <f t="shared" si="13"/>
        <v/>
      </c>
      <c r="T82" s="14" t="str">
        <f>IF($B82="","",
IF(T$5="","",
IF(Midterm!T82="",0,
IF(NOT(ISNUMBER(Midterm!T82)),"NAN",
IF(Midterm!T82&lt;0,"NEG",
IF(Midterm!T82&gt;T$5,"OVER",
IF(AND(T$5&lt;=100,Midterm!T82&gt;100),"ERR",
IF(Info!$B$4="Non-board program",
IF(OR(AND(T$5&gt;0,T$5&gt;100),AND(T$5&gt;0,T$5&lt;100)),
VLOOKUP(FLOOR((Midterm!T82/T$5)*100,1),new_transmute,2,FALSE),
VLOOKUP(Midterm!T82,new_transmute,2,FALSE)
),
IF(Info!$B$4="Board program",
IF(OR(AND(T$5&gt;0,T$5&gt;100),AND(T$5&gt;0,T$5&lt;100)),
VLOOKUP(FLOOR((Midterm!T82/T$5)*100,1),new_transmute,3,FALSE),
VLOOKUP(Midterm!T82,new_transmute,3,FALSE)
),
IF(Info!$B$4="Board program (Medicine)",
IF(OR(AND(T$5&gt;0,T$5&gt;100),AND(T$5&gt;0,T$5&lt;100)),
VLOOKUP(FLOOR((Midterm!T82/T$5)*100,1),new_transmute,4,FALSE),
VLOOKUP(Midterm!T82,new_transmute,4,FALSE)
),
""
)
)
)
)
)
)
)
)
))</f>
        <v/>
      </c>
      <c r="U82" s="14" t="str">
        <f>IF($B82="","",
IF(U$5="","",
IF(Midterm!U82="",0,
IF(NOT(ISNUMBER(Midterm!U82)),"NAN",
IF(Midterm!U82&lt;0,"NEG",
IF(Midterm!U82&gt;U$5,"OVER",
IF(AND(U$5&lt;=100,Midterm!U82&gt;100),"ERR",
IF(Info!$B$4="Non-board program",
IF(OR(AND(U$5&gt;0,U$5&gt;100),AND(U$5&gt;0,U$5&lt;100)),
VLOOKUP(FLOOR((Midterm!U82/U$5)*100,1),new_transmute,2,FALSE),
VLOOKUP(Midterm!U82,new_transmute,2,FALSE)
),
IF(Info!$B$4="Board program",
IF(OR(AND(U$5&gt;0,U$5&gt;100),AND(U$5&gt;0,U$5&lt;100)),
VLOOKUP(FLOOR((Midterm!U82/U$5)*100,1),new_transmute,3,FALSE),
VLOOKUP(Midterm!U82,new_transmute,3,FALSE)
),
IF(Info!$B$4="Board program (Medicine)",
IF(OR(AND(U$5&gt;0,U$5&gt;100),AND(U$5&gt;0,U$5&lt;100)),
VLOOKUP(FLOOR((Midterm!U82/U$5)*100,1),new_transmute,4,FALSE),
VLOOKUP(Midterm!U82,new_transmute,4,FALSE)
),
""
)
)
)
)
)
)
)
)
))</f>
        <v/>
      </c>
      <c r="V82" s="14" t="str">
        <f>IF($B82="","",
IF(V$5="","",
IF(Midterm!V82="",0,
IF(NOT(ISNUMBER(Midterm!V82)),"NAN",
IF(Midterm!V82&lt;0,"NEG",
IF(Midterm!V82&gt;V$5,"OVER",
IF(AND(V$5&lt;=100,Midterm!V82&gt;100),"ERR",
IF(Info!$B$4="Non-board program",
IF(OR(AND(V$5&gt;0,V$5&gt;100),AND(V$5&gt;0,V$5&lt;100)),
VLOOKUP(FLOOR((Midterm!V82/V$5)*100,1),new_transmute,2,FALSE),
VLOOKUP(Midterm!V82,new_transmute,2,FALSE)
),
IF(Info!$B$4="Board program",
IF(OR(AND(V$5&gt;0,V$5&gt;100),AND(V$5&gt;0,V$5&lt;100)),
VLOOKUP(FLOOR((Midterm!V82/V$5)*100,1),new_transmute,3,FALSE),
VLOOKUP(Midterm!V82,new_transmute,3,FALSE)
),
IF(Info!$B$4="Board program (Medicine)",
IF(OR(AND(V$5&gt;0,V$5&gt;100),AND(V$5&gt;0,V$5&lt;100)),
VLOOKUP(FLOOR((Midterm!V82/V$5)*100,1),new_transmute,4,FALSE),
VLOOKUP(Midterm!V82,new_transmute,4,FALSE)
),
""
)
)
)
)
)
)
)
)
))</f>
        <v/>
      </c>
      <c r="W82" s="14" t="str">
        <f>IF($B82="","",
IF(W$5="","",
IF(Midterm!W82="",0,
IF(NOT(ISNUMBER(Midterm!W82)),"NAN",
IF(Midterm!W82&lt;0,"NEG",
IF(Midterm!W82&gt;W$5,"OVER",
IF(AND(W$5&lt;=100,Midterm!W82&gt;100),"ERR",
IF(Info!$B$4="Non-board program",
IF(OR(AND(W$5&gt;0,W$5&gt;100),AND(W$5&gt;0,W$5&lt;100)),
VLOOKUP(FLOOR((Midterm!W82/W$5)*100,1),new_transmute,2,FALSE),
VLOOKUP(Midterm!W82,new_transmute,2,FALSE)
),
IF(Info!$B$4="Board program",
IF(OR(AND(W$5&gt;0,W$5&gt;100),AND(W$5&gt;0,W$5&lt;100)),
VLOOKUP(FLOOR((Midterm!W82/W$5)*100,1),new_transmute,3,FALSE),
VLOOKUP(Midterm!W82,new_transmute,3,FALSE)
),
IF(Info!$B$4="Board program (Medicine)",
IF(OR(AND(W$5&gt;0,W$5&gt;100),AND(W$5&gt;0,W$5&lt;100)),
VLOOKUP(FLOOR((Midterm!W82/W$5)*100,1),new_transmute,4,FALSE),
VLOOKUP(Midterm!W82,new_transmute,4,FALSE)
),
""
)
)
)
)
)
)
)
)
))</f>
        <v/>
      </c>
      <c r="X82" s="14" t="str">
        <f>IF($B82="","",
IF(X$5="","",
IF(Midterm!X82="",0,
IF(NOT(ISNUMBER(Midterm!X82)),"NAN",
IF(Midterm!X82&lt;0,"NEG",
IF(Midterm!X82&gt;X$5,"OVER",
IF(AND(X$5&lt;=100,Midterm!X82&gt;100),"ERR",
IF(Info!$B$4="Non-board program",
IF(OR(AND(X$5&gt;0,X$5&gt;100),AND(X$5&gt;0,X$5&lt;100)),
VLOOKUP(FLOOR((Midterm!X82/X$5)*100,1),new_transmute,2,FALSE),
VLOOKUP(Midterm!X82,new_transmute,2,FALSE)
),
IF(Info!$B$4="Board program",
IF(OR(AND(X$5&gt;0,X$5&gt;100),AND(X$5&gt;0,X$5&lt;100)),
VLOOKUP(FLOOR((Midterm!X82/X$5)*100,1),new_transmute,3,FALSE),
VLOOKUP(Midterm!X82,new_transmute,3,FALSE)
),
IF(Info!$B$4="Board program (Medicine)",
IF(OR(AND(X$5&gt;0,X$5&gt;100),AND(X$5&gt;0,X$5&lt;100)),
VLOOKUP(FLOOR((Midterm!X82/X$5)*100,1),new_transmute,4,FALSE),
VLOOKUP(Midterm!X82,new_transmute,4,FALSE)
),
""
)
)
)
)
)
)
)
)
))</f>
        <v/>
      </c>
      <c r="Y82" s="112" t="str">
        <f t="shared" si="14"/>
        <v/>
      </c>
      <c r="Z82" s="14" t="str">
        <f>IF($B82="","",
IF(Z$5="","",
IF(Midterm!Z82="",0,
IF(NOT(ISNUMBER(Midterm!Z82)),"NAN",
IF(Midterm!Z82&lt;0,"NEG",
IF(Midterm!Z82&gt;Z$5,"OVER",
IF(AND(Z$5&lt;=100,Midterm!Z82&gt;100),"ERR",
IF(Info!$B$4="Non-board program",
IF(OR(AND(Z$5&gt;0,Z$5&gt;100),AND(Z$5&gt;0,Z$5&lt;100)),
VLOOKUP(FLOOR((Midterm!Z82/Z$5)*100,1),new_transmute,2,FALSE),
VLOOKUP(Midterm!Z82,new_transmute,2,FALSE)
),
IF(Info!$B$4="Board program",
IF(OR(AND(Z$5&gt;0,Z$5&gt;100),AND(Z$5&gt;0,Z$5&lt;100)),
VLOOKUP(FLOOR((Midterm!Z82/Z$5)*100,1),new_transmute,3,FALSE),
VLOOKUP(Midterm!Z82,new_transmute,3,FALSE)
),
IF(Info!$B$4="Board program (Medicine)",
IF(OR(AND(Z$5&gt;0,Z$5&gt;100),AND(Z$5&gt;0,Z$5&lt;100)),
VLOOKUP(FLOOR((Midterm!Z82/Z$5)*100,1),new_transmute,4,FALSE),
VLOOKUP(Midterm!Z82,new_transmute,4,FALSE)
),
""
)
)
)
)
)
)
)
)
))</f>
        <v/>
      </c>
      <c r="AA82" s="14" t="str">
        <f>IF($B82="","",
IF(AA$5="","",
IF(Midterm!AA82="",0,
IF(NOT(ISNUMBER(Midterm!AA82)),"NAN",
IF(Midterm!AA82&lt;0,"NEG",
IF(Midterm!AA82&gt;AA$5,"OVER",
IF(AND(AA$5&lt;=100,Midterm!AA82&gt;100),"ERR",
IF(Info!$B$4="Non-board program",
IF(OR(AND(AA$5&gt;0,AA$5&gt;100),AND(AA$5&gt;0,AA$5&lt;100)),
VLOOKUP(FLOOR((Midterm!AA82/AA$5)*100,1),new_transmute,2,FALSE),
VLOOKUP(Midterm!AA82,new_transmute,2,FALSE)
),
IF(Info!$B$4="Board program",
IF(OR(AND(AA$5&gt;0,AA$5&gt;100),AND(AA$5&gt;0,AA$5&lt;100)),
VLOOKUP(FLOOR((Midterm!AA82/AA$5)*100,1),new_transmute,3,FALSE),
VLOOKUP(Midterm!AA82,new_transmute,3,FALSE)
),
IF(Info!$B$4="Board program (Medicine)",
IF(OR(AND(AA$5&gt;0,AA$5&gt;100),AND(AA$5&gt;0,AA$5&lt;100)),
VLOOKUP(FLOOR((Midterm!AA82/AA$5)*100,1),new_transmute,4,FALSE),
VLOOKUP(Midterm!AA82,new_transmute,4,FALSE)
),
""
)
)
)
)
)
)
)
)
))</f>
        <v/>
      </c>
      <c r="AB82" s="14" t="str">
        <f>IF($B82="","",
IF(AB$5="","",
IF(Midterm!AB82="",0,
IF(NOT(ISNUMBER(Midterm!AB82)),"NAN",
IF(Midterm!AB82&lt;0,"NEG",
IF(Midterm!AB82&gt;AB$5,"OVER",
IF(AND(AB$5&lt;=100,Midterm!AB82&gt;100),"ERR",
IF(Info!$B$4="Non-board program",
IF(OR(AND(AB$5&gt;0,AB$5&gt;100),AND(AB$5&gt;0,AB$5&lt;100)),
VLOOKUP(FLOOR((Midterm!AB82/AB$5)*100,1),new_transmute,2,FALSE),
VLOOKUP(Midterm!AB82,new_transmute,2,FALSE)
),
IF(Info!$B$4="Board program",
IF(OR(AND(AB$5&gt;0,AB$5&gt;100),AND(AB$5&gt;0,AB$5&lt;100)),
VLOOKUP(FLOOR((Midterm!AB82/AB$5)*100,1),new_transmute,3,FALSE),
VLOOKUP(Midterm!AB82,new_transmute,3,FALSE)
),
IF(Info!$B$4="Board program (Medicine)",
IF(OR(AND(AB$5&gt;0,AB$5&gt;100),AND(AB$5&gt;0,AB$5&lt;100)),
VLOOKUP(FLOOR((Midterm!AB82/AB$5)*100,1),new_transmute,4,FALSE),
VLOOKUP(Midterm!AB82,new_transmute,4,FALSE)
),
""
)
)
)
)
)
)
)
)
))</f>
        <v/>
      </c>
      <c r="AC82" s="14" t="str">
        <f>IF($B82="","",
IF(AC$5="","",
IF(Midterm!AC82="",0,
IF(NOT(ISNUMBER(Midterm!AC82)),"NAN",
IF(Midterm!AC82&lt;0,"NEG",
IF(Midterm!AC82&gt;AC$5,"OVER",
IF(AND(AC$5&lt;=100,Midterm!AC82&gt;100),"ERR",
IF(Info!$B$4="Non-board program",
IF(OR(AND(AC$5&gt;0,AC$5&gt;100),AND(AC$5&gt;0,AC$5&lt;100)),
VLOOKUP(FLOOR((Midterm!AC82/AC$5)*100,1),new_transmute,2,FALSE),
VLOOKUP(Midterm!AC82,new_transmute,2,FALSE)
),
IF(Info!$B$4="Board program",
IF(OR(AND(AC$5&gt;0,AC$5&gt;100),AND(AC$5&gt;0,AC$5&lt;100)),
VLOOKUP(FLOOR((Midterm!AC82/AC$5)*100,1),new_transmute,3,FALSE),
VLOOKUP(Midterm!AC82,new_transmute,3,FALSE)
),
IF(Info!$B$4="Board program (Medicine)",
IF(OR(AND(AC$5&gt;0,AC$5&gt;100),AND(AC$5&gt;0,AC$5&lt;100)),
VLOOKUP(FLOOR((Midterm!AC82/AC$5)*100,1),new_transmute,4,FALSE),
VLOOKUP(Midterm!AC82,new_transmute,4,FALSE)
),
""
)
)
)
)
)
)
)
)
))</f>
        <v/>
      </c>
      <c r="AD82" s="14" t="str">
        <f>IF($B82="","",
IF(AD$5="","",
IF(Midterm!AD82="",0,
IF(NOT(ISNUMBER(Midterm!AD82)),"NAN",
IF(Midterm!AD82&lt;0,"NEG",
IF(Midterm!AD82&gt;AD$5,"OVER",
IF(AND(AD$5&lt;=100,Midterm!AD82&gt;100),"ERR",
IF(Info!$B$4="Non-board program",
IF(OR(AND(AD$5&gt;0,AD$5&gt;100),AND(AD$5&gt;0,AD$5&lt;100)),
VLOOKUP(FLOOR((Midterm!AD82/AD$5)*100,1),new_transmute,2,FALSE),
VLOOKUP(Midterm!AD82,new_transmute,2,FALSE)
),
IF(Info!$B$4="Board program",
IF(OR(AND(AD$5&gt;0,AD$5&gt;100),AND(AD$5&gt;0,AD$5&lt;100)),
VLOOKUP(FLOOR((Midterm!AD82/AD$5)*100,1),new_transmute,3,FALSE),
VLOOKUP(Midterm!AD82,new_transmute,3,FALSE)
),
IF(Info!$B$4="Board program (Medicine)",
IF(OR(AND(AD$5&gt;0,AD$5&gt;100),AND(AD$5&gt;0,AD$5&lt;100)),
VLOOKUP(FLOOR((Midterm!AD82/AD$5)*100,1),new_transmute,4,FALSE),
VLOOKUP(Midterm!AD82,new_transmute,4,FALSE)
),
""
)
)
)
)
)
)
)
)
))</f>
        <v/>
      </c>
      <c r="AE82" s="58" t="str">
        <f t="shared" si="15"/>
        <v/>
      </c>
      <c r="AF82" s="14" t="str">
        <f>IF($B82="","",
IF(AF$5="","",
IF(Midterm!AF82="",0,
IF(NOT(ISNUMBER(Midterm!AF82)),"NAN",
IF(Midterm!AF82&lt;0,"NEG",
IF(Midterm!AF82&gt;AF$5,"OVER",
IF(AND(AF$5&lt;=100,Midterm!AF82&gt;100),"ERR",
IF(Info!$B$4="Non-board program",
IF(OR(AND(AF$5&gt;0,AF$5&gt;100),AND(AF$5&gt;0,AF$5&lt;100)),
VLOOKUP(FLOOR((Midterm!AF82/AF$5)*100,1),new_transmute,2,FALSE),
VLOOKUP(Midterm!AF82,new_transmute,2,FALSE)
),
IF(Info!$B$4="Board program",
IF(OR(AND(AF$5&gt;0,AF$5&gt;100),AND(AF$5&gt;0,AF$5&lt;100)),
VLOOKUP(FLOOR((Midterm!AF82/AF$5)*100,1),new_transmute,3,FALSE),
VLOOKUP(Midterm!AF82,new_transmute,3,FALSE)
),
IF(Info!$B$4="Board program (Medicine)",
IF(OR(AND(AF$5&gt;0,AF$5&gt;100),AND(AF$5&gt;0,AF$5&lt;100)),
VLOOKUP(FLOOR((Midterm!AF82/AF$5)*100,1),new_transmute,4,FALSE),
VLOOKUP(Midterm!AF82,new_transmute,4,FALSE)
),
""
)
)
)
)
)
)
)
)
))</f>
        <v/>
      </c>
      <c r="AG82" s="14" t="str">
        <f>IF($B82="","",
IF(AG$5="","",
IF(Midterm!AG82="",0,
IF(NOT(ISNUMBER(Midterm!AG82)),"NAN",
IF(Midterm!AG82&lt;0,"NEG",
IF(Midterm!AG82&gt;AG$5,"OVER",
IF(AND(AG$5&lt;=100,Midterm!AG82&gt;100),"ERR",
IF(Info!$B$4="Non-board program",
IF(OR(AND(AG$5&gt;0,AG$5&gt;100),AND(AG$5&gt;0,AG$5&lt;100)),
VLOOKUP(FLOOR((Midterm!AG82/AG$5)*100,1),new_transmute,2,FALSE),
VLOOKUP(Midterm!AG82,new_transmute,2,FALSE)
),
IF(Info!$B$4="Board program",
IF(OR(AND(AG$5&gt;0,AG$5&gt;100),AND(AG$5&gt;0,AG$5&lt;100)),
VLOOKUP(FLOOR((Midterm!AG82/AG$5)*100,1),new_transmute,3,FALSE),
VLOOKUP(Midterm!AG82,new_transmute,3,FALSE)
),
IF(Info!$B$4="Board program (Medicine)",
IF(OR(AND(AG$5&gt;0,AG$5&gt;100),AND(AG$5&gt;0,AG$5&lt;100)),
VLOOKUP(FLOOR((Midterm!AG82/AG$5)*100,1),new_transmute,4,FALSE),
VLOOKUP(Midterm!AG82,new_transmute,4,FALSE)
),
""
)
)
)
)
)
)
)
)
))</f>
        <v/>
      </c>
      <c r="AH82" s="14" t="str">
        <f>IF($B82="","",
IF(AH$5="","",
IF(Midterm!AH82="",0,
IF(NOT(ISNUMBER(Midterm!AH82)),"NAN",
IF(Midterm!AH82&lt;0,"NEG",
IF(Midterm!AH82&gt;AH$5,"OVER",
IF(AND(AH$5&lt;=100,Midterm!AH82&gt;100),"ERR",
IF(Info!$B$4="Non-board program",
IF(OR(AND(AH$5&gt;0,AH$5&gt;100),AND(AH$5&gt;0,AH$5&lt;100)),
VLOOKUP(FLOOR((Midterm!AH82/AH$5)*100,1),new_transmute,2,FALSE),
VLOOKUP(Midterm!AH82,new_transmute,2,FALSE)
),
IF(Info!$B$4="Board program",
IF(OR(AND(AH$5&gt;0,AH$5&gt;100),AND(AH$5&gt;0,AH$5&lt;100)),
VLOOKUP(FLOOR((Midterm!AH82/AH$5)*100,1),new_transmute,3,FALSE),
VLOOKUP(Midterm!AH82,new_transmute,3,FALSE)
),
IF(Info!$B$4="Board program (Medicine)",
IF(OR(AND(AH$5&gt;0,AH$5&gt;100),AND(AH$5&gt;0,AH$5&lt;100)),
VLOOKUP(FLOOR((Midterm!AH82/AH$5)*100,1),new_transmute,4,FALSE),
VLOOKUP(Midterm!AH82,new_transmute,4,FALSE)
),
""
)
)
)
)
)
)
)
)
))</f>
        <v/>
      </c>
      <c r="AI82" s="14" t="str">
        <f>IF($B82="","",
IF(AI$5="","",
IF(Midterm!AI82="",0,
IF(NOT(ISNUMBER(Midterm!AI82)),"NAN",
IF(Midterm!AI82&lt;0,"NEG",
IF(Midterm!AI82&gt;AI$5,"OVER",
IF(AND(AI$5&lt;=100,Midterm!AI82&gt;100),"ERR",
IF(Info!$B$4="Non-board program",
IF(OR(AND(AI$5&gt;0,AI$5&gt;100),AND(AI$5&gt;0,AI$5&lt;100)),
VLOOKUP(FLOOR((Midterm!AI82/AI$5)*100,1),new_transmute,2,FALSE),
VLOOKUP(Midterm!AI82,new_transmute,2,FALSE)
),
IF(Info!$B$4="Board program",
IF(OR(AND(AI$5&gt;0,AI$5&gt;100),AND(AI$5&gt;0,AI$5&lt;100)),
VLOOKUP(FLOOR((Midterm!AI82/AI$5)*100,1),new_transmute,3,FALSE),
VLOOKUP(Midterm!AI82,new_transmute,3,FALSE)
),
IF(Info!$B$4="Board program (Medicine)",
IF(OR(AND(AI$5&gt;0,AI$5&gt;100),AND(AI$5&gt;0,AI$5&lt;100)),
VLOOKUP(FLOOR((Midterm!AI82/AI$5)*100,1),new_transmute,4,FALSE),
VLOOKUP(Midterm!AI82,new_transmute,4,FALSE)
),
""
)
)
)
)
)
)
)
)
))</f>
        <v/>
      </c>
      <c r="AJ82" s="14" t="str">
        <f>IF($B82="","",
IF(AJ$5="","",
IF(Midterm!AJ82="",0,
IF(NOT(ISNUMBER(Midterm!AJ82)),"NAN",
IF(Midterm!AJ82&lt;0,"NEG",
IF(Midterm!AJ82&gt;AJ$5,"OVER",
IF(AND(AJ$5&lt;=100,Midterm!AJ82&gt;100),"ERR",
IF(Info!$B$4="Non-board program",
IF(OR(AND(AJ$5&gt;0,AJ$5&gt;100),AND(AJ$5&gt;0,AJ$5&lt;100)),
VLOOKUP(FLOOR((Midterm!AJ82/AJ$5)*100,1),new_transmute,2,FALSE),
VLOOKUP(Midterm!AJ82,new_transmute,2,FALSE)
),
IF(Info!$B$4="Board program",
IF(OR(AND(AJ$5&gt;0,AJ$5&gt;100),AND(AJ$5&gt;0,AJ$5&lt;100)),
VLOOKUP(FLOOR((Midterm!AJ82/AJ$5)*100,1),new_transmute,3,FALSE),
VLOOKUP(Midterm!AJ82,new_transmute,3,FALSE)
),
IF(Info!$B$4="Board program (Medicine)",
IF(OR(AND(AJ$5&gt;0,AJ$5&gt;100),AND(AJ$5&gt;0,AJ$5&lt;100)),
VLOOKUP(FLOOR((Midterm!AJ82/AJ$5)*100,1),new_transmute,4,FALSE),
VLOOKUP(Midterm!AJ82,new_transmute,4,FALSE)
),
""
)
)
)
)
)
)
)
)
))</f>
        <v/>
      </c>
      <c r="AK82" s="59" t="str">
        <f t="shared" si="16"/>
        <v/>
      </c>
      <c r="AL82" s="60" t="str">
        <f>IF(B82="", "",
    IF(OR(M82="OVER", S82="OVER", Y82="OVER", AE82="OVER", AK82="OVER"),
        "OVER",
        IF(Info!$B$4="Non-board program",
            VLOOKUP(IFERROR(FLOOR(SUM((M82*$M$4), (S82*$S$4), (Y82*$Y$4), (AE82*$AE$4), (AK82*$AK$4)) * (100 / 60), 1), 0), new_transmute, 2, FALSE),
            IF(Info!$B$4="Board program",
                VLOOKUP(IFERROR(FLOOR(SUM((M82*$M$4), (S82*$S$4), (Y82*$Y$4), (AE82*$AE$4), (AK82*$AK$4)) * (100 / 60), 1), 0), new_transmute, 3, FALSE),
                IF(Info!$B$4="Board program (Medicine)",
                    VLOOKUP(IFERROR(FLOOR(SUM((M82*$M$4), (S82*$S$4), (Y82*$Y$4), (AE82*$AE$4), (AK82*$AK$4)) * (100 / 60), 1), 0), new_transmute, 4, FALSE),
                    ""
                )
            )
        )
    )
)</f>
        <v/>
      </c>
      <c r="AM82" s="14" t="str">
        <f>IF($B82="","",
IF(AM$5="","",
IF(Midterm!AM82="",0,
IF(NOT(ISNUMBER(Midterm!AM82)),"NAN",
IF(Midterm!AM82&lt;0,"NEG",
IF(Midterm!AM82&gt;AM$5,"OVER",
IF(AND(AM$5&lt;=100,Midterm!AM82&gt;100),"ERR",
IF(Info!$B$4="Non-board program",
IF(OR(AND(AM$5&gt;0,AM$5&gt;100),AND(AM$5&gt;0,AM$5&lt;100)),
VLOOKUP(FLOOR((Midterm!AM82/AM$5)*100,1),new_transmute,2,FALSE),
VLOOKUP(Midterm!AM82,new_transmute,2,FALSE)
),
IF(Info!$B$4="Board program",
IF(OR(AND(AM$5&gt;0,AM$5&gt;100),AND(AM$5&gt;0,AM$5&lt;100)),
VLOOKUP(FLOOR((Midterm!AM82/AM$5)*100,1),new_transmute,3,FALSE),
VLOOKUP(Midterm!AM82,new_transmute,3,FALSE)
),
IF(Info!$B$4="Board program (Medicine)",
IF(OR(AND(AM$5&gt;0,AM$5&gt;100),AND(AM$5&gt;0,AM$5&lt;100)),
VLOOKUP(FLOOR((Midterm!AM82/AM$5)*100,1),new_transmute,4,FALSE),
VLOOKUP(Midterm!AM82,new_transmute,4,FALSE)
),
""
)
)
)
)
)
)
)
)
))</f>
        <v/>
      </c>
      <c r="AN82" s="14" t="str">
        <f>IF($B82="","",
IF(AN$5="","",
IF(Midterm!AN82="",0,
IF(NOT(ISNUMBER(Midterm!AN82)),"NAN",
IF(Midterm!AN82&lt;0,"NEG",
IF(Midterm!AN82&gt;AN$5,"OVER",
IF(AND(AN$5&lt;=100,Midterm!AN82&gt;100),"ERR",
IF(Info!$B$4="Non-board program",
IF(OR(AND(AN$5&gt;0,AN$5&gt;100),AND(AN$5&gt;0,AN$5&lt;100)),
VLOOKUP(FLOOR((Midterm!AN82/AN$5)*100,1),new_transmute,2,FALSE),
VLOOKUP(Midterm!AN82,new_transmute,2,FALSE)
),
IF(Info!$B$4="Board program",
IF(OR(AND(AN$5&gt;0,AN$5&gt;100),AND(AN$5&gt;0,AN$5&lt;100)),
VLOOKUP(FLOOR((Midterm!AN82/AN$5)*100,1),new_transmute,3,FALSE),
VLOOKUP(Midterm!AN82,new_transmute,3,FALSE)
),
IF(Info!$B$4="Board program (Medicine)",
IF(OR(AND(AN$5&gt;0,AN$5&gt;100),AND(AN$5&gt;0,AN$5&lt;100)),
VLOOKUP(FLOOR((Midterm!AN82/AN$5)*100,1),new_transmute,4,FALSE),
VLOOKUP(Midterm!AN82,new_transmute,4,FALSE)
),
""
)
)
)
)
)
)
)
)
))</f>
        <v/>
      </c>
      <c r="AO82" s="14" t="str">
        <f>IF($B82="","",
IF(AO$5="","",
IF(Midterm!AO82="",0,
IF(NOT(ISNUMBER(Midterm!AO82)),"NAN",
IF(Midterm!AO82&lt;0,"NEG",
IF(Midterm!AO82&gt;AO$5,"OVER",
IF(AND(AO$5&lt;=100,Midterm!AO82&gt;100),"ERR",
IF(Info!$B$4="Non-board program",
IF(OR(AND(AO$5&gt;0,AO$5&gt;100),AND(AO$5&gt;0,AO$5&lt;100)),
VLOOKUP(FLOOR((Midterm!AO82/AO$5)*100,1),new_transmute,2,FALSE),
VLOOKUP(Midterm!AO82,new_transmute,2,FALSE)
),
IF(Info!$B$4="Board program",
IF(OR(AND(AO$5&gt;0,AO$5&gt;100),AND(AO$5&gt;0,AO$5&lt;100)),
VLOOKUP(FLOOR((Midterm!AO82/AO$5)*100,1),new_transmute,3,FALSE),
VLOOKUP(Midterm!AO82,new_transmute,3,FALSE)
),
IF(Info!$B$4="Board program (Medicine)",
IF(OR(AND(AO$5&gt;0,AO$5&gt;100),AND(AO$5&gt;0,AO$5&lt;100)),
VLOOKUP(FLOOR((Midterm!AO82/AO$5)*100,1),new_transmute,4,FALSE),
VLOOKUP(Midterm!AO82,new_transmute,4,FALSE)
),
""
)
)
)
)
)
)
)
)
))</f>
        <v/>
      </c>
      <c r="AP82" s="14" t="str">
        <f>IF($B82="","",
IF(AP$5="","",
IF(Midterm!AP82="",0,
IF(NOT(ISNUMBER(Midterm!AP82)),"NAN",
IF(Midterm!AP82&lt;0,"NEG",
IF(Midterm!AP82&gt;AP$5,"OVER",
IF(AND(AP$5&lt;=100,Midterm!AP82&gt;100),"ERR",
IF(Info!$B$4="Non-board program",
IF(OR(AND(AP$5&gt;0,AP$5&gt;100),AND(AP$5&gt;0,AP$5&lt;100)),
VLOOKUP(FLOOR((Midterm!AP82/AP$5)*100,1),new_transmute,2,FALSE),
VLOOKUP(Midterm!AP82,new_transmute,2,FALSE)
),
IF(Info!$B$4="Board program",
IF(OR(AND(AP$5&gt;0,AP$5&gt;100),AND(AP$5&gt;0,AP$5&lt;100)),
VLOOKUP(FLOOR((Midterm!AP82/AP$5)*100,1),new_transmute,3,FALSE),
VLOOKUP(Midterm!AP82,new_transmute,3,FALSE)
),
IF(Info!$B$4="Board program (Medicine)",
IF(OR(AND(AP$5&gt;0,AP$5&gt;100),AND(AP$5&gt;0,AP$5&lt;100)),
VLOOKUP(FLOOR((Midterm!AP82/AP$5)*100,1),new_transmute,4,FALSE),
VLOOKUP(Midterm!AP82,new_transmute,4,FALSE)
),
""
)
)
)
)
)
)
)
)
))</f>
        <v/>
      </c>
      <c r="AQ82" s="61" t="str">
        <f t="shared" si="17"/>
        <v/>
      </c>
      <c r="AR82" s="48" t="str">
        <f>IF(Midterm!AR82="","",Midterm!AR82)</f>
        <v/>
      </c>
      <c r="AS82" s="165" t="str">
        <f t="shared" si="18"/>
        <v/>
      </c>
      <c r="AT82" s="14" t="str">
        <f t="shared" si="19"/>
        <v/>
      </c>
      <c r="AU82" s="14" t="str">
        <f>IF(B82="","",VLOOKUP(AT82,'New Grade Equivalent'!$B$3:$C$47,2,FALSE))</f>
        <v/>
      </c>
    </row>
    <row r="83" spans="1:47" x14ac:dyDescent="0.25">
      <c r="A83" s="8">
        <v>78</v>
      </c>
      <c r="B83" s="2" t="str">
        <f>IF('Student List'!C87="","",UPPER(LEFT('Student List'!C87,FIND(",",'Student List'!C87)-1)))</f>
        <v/>
      </c>
      <c r="C83" s="12" t="str">
        <f>IF('Student List'!C87="","",PROPER(MID('Student List'!C87, FIND(",", 'Student List'!C87) + 2, LEN('Student List'!C87) - FIND(",", 'Student List'!C87) - 1)))</f>
        <v/>
      </c>
      <c r="D83" s="127" t="str">
        <f>IF(B83="","",IF(Midterm!D83="", "NA", Midterm!D83))</f>
        <v/>
      </c>
      <c r="E83" s="8" t="str">
        <f>IF(B83="","",
  IF(Info!$B$5="First Year",
    IF(D83="Yes", "DRP",
      IF(D83="No", "WF", "")
    )
  )
)</f>
        <v/>
      </c>
      <c r="F83" s="14" t="str">
        <f>IF($B83="","",
IF(F$5="","",
IF(Midterm!F83="",0,
IF(NOT(ISNUMBER(Midterm!F83)),"NAN",
IF(Midterm!F83&lt;0,"NEG",
IF(Midterm!F83&gt;F$5,"OVER",
IF(AND(F$5&lt;=100,Midterm!F83&gt;100),"ERR",
IF(Info!$B$4="Non-board program",
IF(OR(AND(F$5&gt;0,F$5&gt;100),AND(F$5&gt;0,F$5&lt;100)),
VLOOKUP(FLOOR((Midterm!F83/F$5)*100,1),new_transmute,2,FALSE),
VLOOKUP(Midterm!F83,new_transmute,2,FALSE)
),
IF(Info!$B$4="Board program",
IF(OR(AND(F$5&gt;0,F$5&gt;100),AND(F$5&gt;0,F$5&lt;100)),
VLOOKUP(FLOOR((Midterm!F83/F$5)*100,1),new_transmute,3,FALSE),
VLOOKUP(Midterm!F83,new_transmute,3,FALSE)
),
IF(Info!$B$4="Board program (Medicine)",
IF(OR(AND(F$5&gt;0,F$5&gt;100),AND(F$5&gt;0,F$5&lt;100)),
VLOOKUP(FLOOR((Midterm!F83/F$5)*100,1),new_transmute,4,FALSE),
VLOOKUP(Midterm!F83,new_transmute,4,FALSE)
),
""
)
)
)
)
)
)
)
)
))</f>
        <v/>
      </c>
      <c r="G83" s="57" t="str">
        <f t="shared" si="11"/>
        <v/>
      </c>
      <c r="H83" s="14" t="str">
        <f>IF($B83="","",
IF(H$5="","",
IF(Midterm!H83="",0,
IF(NOT(ISNUMBER(Midterm!H83)),"NAN",
IF(Midterm!H83&lt;0,"NEG",
IF(Midterm!H83&gt;H$5,"OVER",
IF(AND(H$5&lt;=100,Midterm!H83&gt;100),"ERR",
IF(Info!$B$4="Non-board program",
IF(OR(AND(H$5&gt;0,H$5&gt;100),AND(H$5&gt;0,H$5&lt;100)),
VLOOKUP(FLOOR((Midterm!H83/H$5)*100,1),new_transmute,2,FALSE),
VLOOKUP(Midterm!H83,new_transmute,2,FALSE)
),
IF(Info!$B$4="Board program",
IF(OR(AND(H$5&gt;0,H$5&gt;100),AND(H$5&gt;0,H$5&lt;100)),
VLOOKUP(FLOOR((Midterm!H83/H$5)*100,1),new_transmute,3,FALSE),
VLOOKUP(Midterm!H83,new_transmute,3,FALSE)
),
IF(Info!$B$4="Board program (Medicine)",
IF(OR(AND(H$5&gt;0,H$5&gt;100),AND(H$5&gt;0,H$5&lt;100)),
VLOOKUP(FLOOR((Midterm!H83/H$5)*100,1),new_transmute,4,FALSE),
VLOOKUP(Midterm!H83,new_transmute,4,FALSE)
),
""
)
)
)
)
)
)
)
)
))</f>
        <v/>
      </c>
      <c r="I83" s="14" t="str">
        <f>IF($B83="","",
IF(I$5="","",
IF(Midterm!I83="",0,
IF(NOT(ISNUMBER(Midterm!I83)),"NAN",
IF(Midterm!I83&lt;0,"NEG",
IF(Midterm!I83&gt;I$5,"OVER",
IF(AND(I$5&lt;=100,Midterm!I83&gt;100),"ERR",
IF(Info!$B$4="Non-board program",
IF(OR(AND(I$5&gt;0,I$5&gt;100),AND(I$5&gt;0,I$5&lt;100)),
VLOOKUP(FLOOR((Midterm!I83/I$5)*100,1),new_transmute,2,FALSE),
VLOOKUP(Midterm!I83,new_transmute,2,FALSE)
),
IF(Info!$B$4="Board program",
IF(OR(AND(I$5&gt;0,I$5&gt;100),AND(I$5&gt;0,I$5&lt;100)),
VLOOKUP(FLOOR((Midterm!I83/I$5)*100,1),new_transmute,3,FALSE),
VLOOKUP(Midterm!I83,new_transmute,3,FALSE)
),
IF(Info!$B$4="Board program (Medicine)",
IF(OR(AND(I$5&gt;0,I$5&gt;100),AND(I$5&gt;0,I$5&lt;100)),
VLOOKUP(FLOOR((Midterm!I83/I$5)*100,1),new_transmute,4,FALSE),
VLOOKUP(Midterm!I83,new_transmute,4,FALSE)
),
""
)
)
)
)
)
)
)
)
))</f>
        <v/>
      </c>
      <c r="J83" s="14" t="str">
        <f>IF($B83="","",
IF(J$5="","",
IF(Midterm!J83="",0,
IF(NOT(ISNUMBER(Midterm!J83)),"NAN",
IF(Midterm!J83&lt;0,"NEG",
IF(Midterm!J83&gt;J$5,"OVER",
IF(AND(J$5&lt;=100,Midterm!J83&gt;100),"ERR",
IF(Info!$B$4="Non-board program",
IF(OR(AND(J$5&gt;0,J$5&gt;100),AND(J$5&gt;0,J$5&lt;100)),
VLOOKUP(FLOOR((Midterm!J83/J$5)*100,1),new_transmute,2,FALSE),
VLOOKUP(Midterm!J83,new_transmute,2,FALSE)
),
IF(Info!$B$4="Board program",
IF(OR(AND(J$5&gt;0,J$5&gt;100),AND(J$5&gt;0,J$5&lt;100)),
VLOOKUP(FLOOR((Midterm!J83/J$5)*100,1),new_transmute,3,FALSE),
VLOOKUP(Midterm!J83,new_transmute,3,FALSE)
),
IF(Info!$B$4="Board program (Medicine)",
IF(OR(AND(J$5&gt;0,J$5&gt;100),AND(J$5&gt;0,J$5&lt;100)),
VLOOKUP(FLOOR((Midterm!J83/J$5)*100,1),new_transmute,4,FALSE),
VLOOKUP(Midterm!J83,new_transmute,4,FALSE)
),
""
)
)
)
)
)
)
)
)
))</f>
        <v/>
      </c>
      <c r="K83" s="14" t="str">
        <f>IF($B83="","",
IF(K$5="","",
IF(Midterm!K83="",0,
IF(NOT(ISNUMBER(Midterm!K83)),"NAN",
IF(Midterm!K83&lt;0,"NEG",
IF(Midterm!K83&gt;K$5,"OVER",
IF(AND(K$5&lt;=100,Midterm!K83&gt;100),"ERR",
IF(Info!$B$4="Non-board program",
IF(OR(AND(K$5&gt;0,K$5&gt;100),AND(K$5&gt;0,K$5&lt;100)),
VLOOKUP(FLOOR((Midterm!K83/K$5)*100,1),new_transmute,2,FALSE),
VLOOKUP(Midterm!K83,new_transmute,2,FALSE)
),
IF(Info!$B$4="Board program",
IF(OR(AND(K$5&gt;0,K$5&gt;100),AND(K$5&gt;0,K$5&lt;100)),
VLOOKUP(FLOOR((Midterm!K83/K$5)*100,1),new_transmute,3,FALSE),
VLOOKUP(Midterm!K83,new_transmute,3,FALSE)
),
IF(Info!$B$4="Board program (Medicine)",
IF(OR(AND(K$5&gt;0,K$5&gt;100),AND(K$5&gt;0,K$5&lt;100)),
VLOOKUP(FLOOR((Midterm!K83/K$5)*100,1),new_transmute,4,FALSE),
VLOOKUP(Midterm!K83,new_transmute,4,FALSE)
),
""
)
)
)
)
)
)
)
)
))</f>
        <v/>
      </c>
      <c r="L83" s="14" t="str">
        <f>IF($B83="","",
IF(L$5="","",
IF(Midterm!L83="",0,
IF(NOT(ISNUMBER(Midterm!L83)),"NAN",
IF(Midterm!L83&lt;0,"NEG",
IF(Midterm!L83&gt;L$5,"OVER",
IF(AND(L$5&lt;=100,Midterm!L83&gt;100),"ERR",
IF(Info!$B$4="Non-board program",
IF(OR(AND(L$5&gt;0,L$5&gt;100),AND(L$5&gt;0,L$5&lt;100)),
VLOOKUP(FLOOR((Midterm!L83/L$5)*100,1),new_transmute,2,FALSE),
VLOOKUP(Midterm!L83,new_transmute,2,FALSE)
),
IF(Info!$B$4="Board program",
IF(OR(AND(L$5&gt;0,L$5&gt;100),AND(L$5&gt;0,L$5&lt;100)),
VLOOKUP(FLOOR((Midterm!L83/L$5)*100,1),new_transmute,3,FALSE),
VLOOKUP(Midterm!L83,new_transmute,3,FALSE)
),
IF(Info!$B$4="Board program (Medicine)",
IF(OR(AND(L$5&gt;0,L$5&gt;100),AND(L$5&gt;0,L$5&lt;100)),
VLOOKUP(FLOOR((Midterm!L83/L$5)*100,1),new_transmute,4,FALSE),
VLOOKUP(Midterm!L83,new_transmute,4,FALSE)
),
""
)
)
)
)
)
)
)
)
))</f>
        <v/>
      </c>
      <c r="M83" s="111" t="str">
        <f t="shared" si="12"/>
        <v/>
      </c>
      <c r="N83" s="14" t="str">
        <f>IF($B83="","",
IF(N$5="","",
IF(Midterm!N83="",0,
IF(NOT(ISNUMBER(Midterm!N83)),"NAN",
IF(Midterm!N83&lt;0,"NEG",
IF(Midterm!N83&gt;N$5,"OVER",
IF(AND(N$5&lt;=100,Midterm!N83&gt;100),"ERR",
IF(Info!$B$4="Non-board program",
IF(OR(AND(N$5&gt;0,N$5&gt;100),AND(N$5&gt;0,N$5&lt;100)),
VLOOKUP(FLOOR((Midterm!N83/N$5)*100,1),new_transmute,2,FALSE),
VLOOKUP(Midterm!N83,new_transmute,2,FALSE)
),
IF(Info!$B$4="Board program",
IF(OR(AND(N$5&gt;0,N$5&gt;100),AND(N$5&gt;0,N$5&lt;100)),
VLOOKUP(FLOOR((Midterm!N83/N$5)*100,1),new_transmute,3,FALSE),
VLOOKUP(Midterm!N83,new_transmute,3,FALSE)
),
IF(Info!$B$4="Board program (Medicine)",
IF(OR(AND(N$5&gt;0,N$5&gt;100),AND(N$5&gt;0,N$5&lt;100)),
VLOOKUP(FLOOR((Midterm!N83/N$5)*100,1),new_transmute,4,FALSE),
VLOOKUP(Midterm!N83,new_transmute,4,FALSE)
),
""
)
)
)
)
)
)
)
)
))</f>
        <v/>
      </c>
      <c r="O83" s="14" t="str">
        <f>IF($B83="","",
IF(O$5="","",
IF(Midterm!O83="",0,
IF(NOT(ISNUMBER(Midterm!O83)),"NAN",
IF(Midterm!O83&lt;0,"NEG",
IF(Midterm!O83&gt;O$5,"OVER",
IF(AND(O$5&lt;=100,Midterm!O83&gt;100),"ERR",
IF(Info!$B$4="Non-board program",
IF(OR(AND(O$5&gt;0,O$5&gt;100),AND(O$5&gt;0,O$5&lt;100)),
VLOOKUP(FLOOR((Midterm!O83/O$5)*100,1),new_transmute,2,FALSE),
VLOOKUP(Midterm!O83,new_transmute,2,FALSE)
),
IF(Info!$B$4="Board program",
IF(OR(AND(O$5&gt;0,O$5&gt;100),AND(O$5&gt;0,O$5&lt;100)),
VLOOKUP(FLOOR((Midterm!O83/O$5)*100,1),new_transmute,3,FALSE),
VLOOKUP(Midterm!O83,new_transmute,3,FALSE)
),
IF(Info!$B$4="Board program (Medicine)",
IF(OR(AND(O$5&gt;0,O$5&gt;100),AND(O$5&gt;0,O$5&lt;100)),
VLOOKUP(FLOOR((Midterm!O83/O$5)*100,1),new_transmute,4,FALSE),
VLOOKUP(Midterm!O83,new_transmute,4,FALSE)
),
""
)
)
)
)
)
)
)
)
))</f>
        <v/>
      </c>
      <c r="P83" s="14" t="str">
        <f>IF($B83="","",
IF(P$5="","",
IF(Midterm!P83="",0,
IF(NOT(ISNUMBER(Midterm!P83)),"NAN",
IF(Midterm!P83&lt;0,"NEG",
IF(Midterm!P83&gt;P$5,"OVER",
IF(AND(P$5&lt;=100,Midterm!P83&gt;100),"ERR",
IF(Info!$B$4="Non-board program",
IF(OR(AND(P$5&gt;0,P$5&gt;100),AND(P$5&gt;0,P$5&lt;100)),
VLOOKUP(FLOOR((Midterm!P83/P$5)*100,1),new_transmute,2,FALSE),
VLOOKUP(Midterm!P83,new_transmute,2,FALSE)
),
IF(Info!$B$4="Board program",
IF(OR(AND(P$5&gt;0,P$5&gt;100),AND(P$5&gt;0,P$5&lt;100)),
VLOOKUP(FLOOR((Midterm!P83/P$5)*100,1),new_transmute,3,FALSE),
VLOOKUP(Midterm!P83,new_transmute,3,FALSE)
),
IF(Info!$B$4="Board program (Medicine)",
IF(OR(AND(P$5&gt;0,P$5&gt;100),AND(P$5&gt;0,P$5&lt;100)),
VLOOKUP(FLOOR((Midterm!P83/P$5)*100,1),new_transmute,4,FALSE),
VLOOKUP(Midterm!P83,new_transmute,4,FALSE)
),
""
)
)
)
)
)
)
)
)
))</f>
        <v/>
      </c>
      <c r="Q83" s="14" t="str">
        <f>IF($B83="","",
IF(Q$5="","",
IF(Midterm!Q83="",0,
IF(NOT(ISNUMBER(Midterm!Q83)),"NAN",
IF(Midterm!Q83&lt;0,"NEG",
IF(Midterm!Q83&gt;Q$5,"OVER",
IF(AND(Q$5&lt;=100,Midterm!Q83&gt;100),"ERR",
IF(Info!$B$4="Non-board program",
IF(OR(AND(Q$5&gt;0,Q$5&gt;100),AND(Q$5&gt;0,Q$5&lt;100)),
VLOOKUP(FLOOR((Midterm!Q83/Q$5)*100,1),new_transmute,2,FALSE),
VLOOKUP(Midterm!Q83,new_transmute,2,FALSE)
),
IF(Info!$B$4="Board program",
IF(OR(AND(Q$5&gt;0,Q$5&gt;100),AND(Q$5&gt;0,Q$5&lt;100)),
VLOOKUP(FLOOR((Midterm!Q83/Q$5)*100,1),new_transmute,3,FALSE),
VLOOKUP(Midterm!Q83,new_transmute,3,FALSE)
),
IF(Info!$B$4="Board program (Medicine)",
IF(OR(AND(Q$5&gt;0,Q$5&gt;100),AND(Q$5&gt;0,Q$5&lt;100)),
VLOOKUP(FLOOR((Midterm!Q83/Q$5)*100,1),new_transmute,4,FALSE),
VLOOKUP(Midterm!Q83,new_transmute,4,FALSE)
),
""
)
)
)
)
)
)
)
)
))</f>
        <v/>
      </c>
      <c r="R83" s="14" t="str">
        <f>IF($B83="","",
IF(R$5="","",
IF(Midterm!R83="",0,
IF(NOT(ISNUMBER(Midterm!R83)),"NAN",
IF(Midterm!R83&lt;0,"NEG",
IF(Midterm!R83&gt;R$5,"OVER",
IF(AND(R$5&lt;=100,Midterm!R83&gt;100),"ERR",
IF(Info!$B$4="Non-board program",
IF(OR(AND(R$5&gt;0,R$5&gt;100),AND(R$5&gt;0,R$5&lt;100)),
VLOOKUP(FLOOR((Midterm!R83/R$5)*100,1),new_transmute,2,FALSE),
VLOOKUP(Midterm!R83,new_transmute,2,FALSE)
),
IF(Info!$B$4="Board program",
IF(OR(AND(R$5&gt;0,R$5&gt;100),AND(R$5&gt;0,R$5&lt;100)),
VLOOKUP(FLOOR((Midterm!R83/R$5)*100,1),new_transmute,3,FALSE),
VLOOKUP(Midterm!R83,new_transmute,3,FALSE)
),
IF(Info!$B$4="Board program (Medicine)",
IF(OR(AND(R$5&gt;0,R$5&gt;100),AND(R$5&gt;0,R$5&lt;100)),
VLOOKUP(FLOOR((Midterm!R83/R$5)*100,1),new_transmute,4,FALSE),
VLOOKUP(Midterm!R83,new_transmute,4,FALSE)
),
""
)
)
)
)
)
)
)
)
))</f>
        <v/>
      </c>
      <c r="S83" s="115" t="str">
        <f t="shared" si="13"/>
        <v/>
      </c>
      <c r="T83" s="14" t="str">
        <f>IF($B83="","",
IF(T$5="","",
IF(Midterm!T83="",0,
IF(NOT(ISNUMBER(Midterm!T83)),"NAN",
IF(Midterm!T83&lt;0,"NEG",
IF(Midterm!T83&gt;T$5,"OVER",
IF(AND(T$5&lt;=100,Midterm!T83&gt;100),"ERR",
IF(Info!$B$4="Non-board program",
IF(OR(AND(T$5&gt;0,T$5&gt;100),AND(T$5&gt;0,T$5&lt;100)),
VLOOKUP(FLOOR((Midterm!T83/T$5)*100,1),new_transmute,2,FALSE),
VLOOKUP(Midterm!T83,new_transmute,2,FALSE)
),
IF(Info!$B$4="Board program",
IF(OR(AND(T$5&gt;0,T$5&gt;100),AND(T$5&gt;0,T$5&lt;100)),
VLOOKUP(FLOOR((Midterm!T83/T$5)*100,1),new_transmute,3,FALSE),
VLOOKUP(Midterm!T83,new_transmute,3,FALSE)
),
IF(Info!$B$4="Board program (Medicine)",
IF(OR(AND(T$5&gt;0,T$5&gt;100),AND(T$5&gt;0,T$5&lt;100)),
VLOOKUP(FLOOR((Midterm!T83/T$5)*100,1),new_transmute,4,FALSE),
VLOOKUP(Midterm!T83,new_transmute,4,FALSE)
),
""
)
)
)
)
)
)
)
)
))</f>
        <v/>
      </c>
      <c r="U83" s="14" t="str">
        <f>IF($B83="","",
IF(U$5="","",
IF(Midterm!U83="",0,
IF(NOT(ISNUMBER(Midterm!U83)),"NAN",
IF(Midterm!U83&lt;0,"NEG",
IF(Midterm!U83&gt;U$5,"OVER",
IF(AND(U$5&lt;=100,Midterm!U83&gt;100),"ERR",
IF(Info!$B$4="Non-board program",
IF(OR(AND(U$5&gt;0,U$5&gt;100),AND(U$5&gt;0,U$5&lt;100)),
VLOOKUP(FLOOR((Midterm!U83/U$5)*100,1),new_transmute,2,FALSE),
VLOOKUP(Midterm!U83,new_transmute,2,FALSE)
),
IF(Info!$B$4="Board program",
IF(OR(AND(U$5&gt;0,U$5&gt;100),AND(U$5&gt;0,U$5&lt;100)),
VLOOKUP(FLOOR((Midterm!U83/U$5)*100,1),new_transmute,3,FALSE),
VLOOKUP(Midterm!U83,new_transmute,3,FALSE)
),
IF(Info!$B$4="Board program (Medicine)",
IF(OR(AND(U$5&gt;0,U$5&gt;100),AND(U$5&gt;0,U$5&lt;100)),
VLOOKUP(FLOOR((Midterm!U83/U$5)*100,1),new_transmute,4,FALSE),
VLOOKUP(Midterm!U83,new_transmute,4,FALSE)
),
""
)
)
)
)
)
)
)
)
))</f>
        <v/>
      </c>
      <c r="V83" s="14" t="str">
        <f>IF($B83="","",
IF(V$5="","",
IF(Midterm!V83="",0,
IF(NOT(ISNUMBER(Midterm!V83)),"NAN",
IF(Midterm!V83&lt;0,"NEG",
IF(Midterm!V83&gt;V$5,"OVER",
IF(AND(V$5&lt;=100,Midterm!V83&gt;100),"ERR",
IF(Info!$B$4="Non-board program",
IF(OR(AND(V$5&gt;0,V$5&gt;100),AND(V$5&gt;0,V$5&lt;100)),
VLOOKUP(FLOOR((Midterm!V83/V$5)*100,1),new_transmute,2,FALSE),
VLOOKUP(Midterm!V83,new_transmute,2,FALSE)
),
IF(Info!$B$4="Board program",
IF(OR(AND(V$5&gt;0,V$5&gt;100),AND(V$5&gt;0,V$5&lt;100)),
VLOOKUP(FLOOR((Midterm!V83/V$5)*100,1),new_transmute,3,FALSE),
VLOOKUP(Midterm!V83,new_transmute,3,FALSE)
),
IF(Info!$B$4="Board program (Medicine)",
IF(OR(AND(V$5&gt;0,V$5&gt;100),AND(V$5&gt;0,V$5&lt;100)),
VLOOKUP(FLOOR((Midterm!V83/V$5)*100,1),new_transmute,4,FALSE),
VLOOKUP(Midterm!V83,new_transmute,4,FALSE)
),
""
)
)
)
)
)
)
)
)
))</f>
        <v/>
      </c>
      <c r="W83" s="14" t="str">
        <f>IF($B83="","",
IF(W$5="","",
IF(Midterm!W83="",0,
IF(NOT(ISNUMBER(Midterm!W83)),"NAN",
IF(Midterm!W83&lt;0,"NEG",
IF(Midterm!W83&gt;W$5,"OVER",
IF(AND(W$5&lt;=100,Midterm!W83&gt;100),"ERR",
IF(Info!$B$4="Non-board program",
IF(OR(AND(W$5&gt;0,W$5&gt;100),AND(W$5&gt;0,W$5&lt;100)),
VLOOKUP(FLOOR((Midterm!W83/W$5)*100,1),new_transmute,2,FALSE),
VLOOKUP(Midterm!W83,new_transmute,2,FALSE)
),
IF(Info!$B$4="Board program",
IF(OR(AND(W$5&gt;0,W$5&gt;100),AND(W$5&gt;0,W$5&lt;100)),
VLOOKUP(FLOOR((Midterm!W83/W$5)*100,1),new_transmute,3,FALSE),
VLOOKUP(Midterm!W83,new_transmute,3,FALSE)
),
IF(Info!$B$4="Board program (Medicine)",
IF(OR(AND(W$5&gt;0,W$5&gt;100),AND(W$5&gt;0,W$5&lt;100)),
VLOOKUP(FLOOR((Midterm!W83/W$5)*100,1),new_transmute,4,FALSE),
VLOOKUP(Midterm!W83,new_transmute,4,FALSE)
),
""
)
)
)
)
)
)
)
)
))</f>
        <v/>
      </c>
      <c r="X83" s="14" t="str">
        <f>IF($B83="","",
IF(X$5="","",
IF(Midterm!X83="",0,
IF(NOT(ISNUMBER(Midterm!X83)),"NAN",
IF(Midterm!X83&lt;0,"NEG",
IF(Midterm!X83&gt;X$5,"OVER",
IF(AND(X$5&lt;=100,Midterm!X83&gt;100),"ERR",
IF(Info!$B$4="Non-board program",
IF(OR(AND(X$5&gt;0,X$5&gt;100),AND(X$5&gt;0,X$5&lt;100)),
VLOOKUP(FLOOR((Midterm!X83/X$5)*100,1),new_transmute,2,FALSE),
VLOOKUP(Midterm!X83,new_transmute,2,FALSE)
),
IF(Info!$B$4="Board program",
IF(OR(AND(X$5&gt;0,X$5&gt;100),AND(X$5&gt;0,X$5&lt;100)),
VLOOKUP(FLOOR((Midterm!X83/X$5)*100,1),new_transmute,3,FALSE),
VLOOKUP(Midterm!X83,new_transmute,3,FALSE)
),
IF(Info!$B$4="Board program (Medicine)",
IF(OR(AND(X$5&gt;0,X$5&gt;100),AND(X$5&gt;0,X$5&lt;100)),
VLOOKUP(FLOOR((Midterm!X83/X$5)*100,1),new_transmute,4,FALSE),
VLOOKUP(Midterm!X83,new_transmute,4,FALSE)
),
""
)
)
)
)
)
)
)
)
))</f>
        <v/>
      </c>
      <c r="Y83" s="112" t="str">
        <f t="shared" si="14"/>
        <v/>
      </c>
      <c r="Z83" s="14" t="str">
        <f>IF($B83="","",
IF(Z$5="","",
IF(Midterm!Z83="",0,
IF(NOT(ISNUMBER(Midterm!Z83)),"NAN",
IF(Midterm!Z83&lt;0,"NEG",
IF(Midterm!Z83&gt;Z$5,"OVER",
IF(AND(Z$5&lt;=100,Midterm!Z83&gt;100),"ERR",
IF(Info!$B$4="Non-board program",
IF(OR(AND(Z$5&gt;0,Z$5&gt;100),AND(Z$5&gt;0,Z$5&lt;100)),
VLOOKUP(FLOOR((Midterm!Z83/Z$5)*100,1),new_transmute,2,FALSE),
VLOOKUP(Midterm!Z83,new_transmute,2,FALSE)
),
IF(Info!$B$4="Board program",
IF(OR(AND(Z$5&gt;0,Z$5&gt;100),AND(Z$5&gt;0,Z$5&lt;100)),
VLOOKUP(FLOOR((Midterm!Z83/Z$5)*100,1),new_transmute,3,FALSE),
VLOOKUP(Midterm!Z83,new_transmute,3,FALSE)
),
IF(Info!$B$4="Board program (Medicine)",
IF(OR(AND(Z$5&gt;0,Z$5&gt;100),AND(Z$5&gt;0,Z$5&lt;100)),
VLOOKUP(FLOOR((Midterm!Z83/Z$5)*100,1),new_transmute,4,FALSE),
VLOOKUP(Midterm!Z83,new_transmute,4,FALSE)
),
""
)
)
)
)
)
)
)
)
))</f>
        <v/>
      </c>
      <c r="AA83" s="14" t="str">
        <f>IF($B83="","",
IF(AA$5="","",
IF(Midterm!AA83="",0,
IF(NOT(ISNUMBER(Midterm!AA83)),"NAN",
IF(Midterm!AA83&lt;0,"NEG",
IF(Midterm!AA83&gt;AA$5,"OVER",
IF(AND(AA$5&lt;=100,Midterm!AA83&gt;100),"ERR",
IF(Info!$B$4="Non-board program",
IF(OR(AND(AA$5&gt;0,AA$5&gt;100),AND(AA$5&gt;0,AA$5&lt;100)),
VLOOKUP(FLOOR((Midterm!AA83/AA$5)*100,1),new_transmute,2,FALSE),
VLOOKUP(Midterm!AA83,new_transmute,2,FALSE)
),
IF(Info!$B$4="Board program",
IF(OR(AND(AA$5&gt;0,AA$5&gt;100),AND(AA$5&gt;0,AA$5&lt;100)),
VLOOKUP(FLOOR((Midterm!AA83/AA$5)*100,1),new_transmute,3,FALSE),
VLOOKUP(Midterm!AA83,new_transmute,3,FALSE)
),
IF(Info!$B$4="Board program (Medicine)",
IF(OR(AND(AA$5&gt;0,AA$5&gt;100),AND(AA$5&gt;0,AA$5&lt;100)),
VLOOKUP(FLOOR((Midterm!AA83/AA$5)*100,1),new_transmute,4,FALSE),
VLOOKUP(Midterm!AA83,new_transmute,4,FALSE)
),
""
)
)
)
)
)
)
)
)
))</f>
        <v/>
      </c>
      <c r="AB83" s="14" t="str">
        <f>IF($B83="","",
IF(AB$5="","",
IF(Midterm!AB83="",0,
IF(NOT(ISNUMBER(Midterm!AB83)),"NAN",
IF(Midterm!AB83&lt;0,"NEG",
IF(Midterm!AB83&gt;AB$5,"OVER",
IF(AND(AB$5&lt;=100,Midterm!AB83&gt;100),"ERR",
IF(Info!$B$4="Non-board program",
IF(OR(AND(AB$5&gt;0,AB$5&gt;100),AND(AB$5&gt;0,AB$5&lt;100)),
VLOOKUP(FLOOR((Midterm!AB83/AB$5)*100,1),new_transmute,2,FALSE),
VLOOKUP(Midterm!AB83,new_transmute,2,FALSE)
),
IF(Info!$B$4="Board program",
IF(OR(AND(AB$5&gt;0,AB$5&gt;100),AND(AB$5&gt;0,AB$5&lt;100)),
VLOOKUP(FLOOR((Midterm!AB83/AB$5)*100,1),new_transmute,3,FALSE),
VLOOKUP(Midterm!AB83,new_transmute,3,FALSE)
),
IF(Info!$B$4="Board program (Medicine)",
IF(OR(AND(AB$5&gt;0,AB$5&gt;100),AND(AB$5&gt;0,AB$5&lt;100)),
VLOOKUP(FLOOR((Midterm!AB83/AB$5)*100,1),new_transmute,4,FALSE),
VLOOKUP(Midterm!AB83,new_transmute,4,FALSE)
),
""
)
)
)
)
)
)
)
)
))</f>
        <v/>
      </c>
      <c r="AC83" s="14" t="str">
        <f>IF($B83="","",
IF(AC$5="","",
IF(Midterm!AC83="",0,
IF(NOT(ISNUMBER(Midterm!AC83)),"NAN",
IF(Midterm!AC83&lt;0,"NEG",
IF(Midterm!AC83&gt;AC$5,"OVER",
IF(AND(AC$5&lt;=100,Midterm!AC83&gt;100),"ERR",
IF(Info!$B$4="Non-board program",
IF(OR(AND(AC$5&gt;0,AC$5&gt;100),AND(AC$5&gt;0,AC$5&lt;100)),
VLOOKUP(FLOOR((Midterm!AC83/AC$5)*100,1),new_transmute,2,FALSE),
VLOOKUP(Midterm!AC83,new_transmute,2,FALSE)
),
IF(Info!$B$4="Board program",
IF(OR(AND(AC$5&gt;0,AC$5&gt;100),AND(AC$5&gt;0,AC$5&lt;100)),
VLOOKUP(FLOOR((Midterm!AC83/AC$5)*100,1),new_transmute,3,FALSE),
VLOOKUP(Midterm!AC83,new_transmute,3,FALSE)
),
IF(Info!$B$4="Board program (Medicine)",
IF(OR(AND(AC$5&gt;0,AC$5&gt;100),AND(AC$5&gt;0,AC$5&lt;100)),
VLOOKUP(FLOOR((Midterm!AC83/AC$5)*100,1),new_transmute,4,FALSE),
VLOOKUP(Midterm!AC83,new_transmute,4,FALSE)
),
""
)
)
)
)
)
)
)
)
))</f>
        <v/>
      </c>
      <c r="AD83" s="14" t="str">
        <f>IF($B83="","",
IF(AD$5="","",
IF(Midterm!AD83="",0,
IF(NOT(ISNUMBER(Midterm!AD83)),"NAN",
IF(Midterm!AD83&lt;0,"NEG",
IF(Midterm!AD83&gt;AD$5,"OVER",
IF(AND(AD$5&lt;=100,Midterm!AD83&gt;100),"ERR",
IF(Info!$B$4="Non-board program",
IF(OR(AND(AD$5&gt;0,AD$5&gt;100),AND(AD$5&gt;0,AD$5&lt;100)),
VLOOKUP(FLOOR((Midterm!AD83/AD$5)*100,1),new_transmute,2,FALSE),
VLOOKUP(Midterm!AD83,new_transmute,2,FALSE)
),
IF(Info!$B$4="Board program",
IF(OR(AND(AD$5&gt;0,AD$5&gt;100),AND(AD$5&gt;0,AD$5&lt;100)),
VLOOKUP(FLOOR((Midterm!AD83/AD$5)*100,1),new_transmute,3,FALSE),
VLOOKUP(Midterm!AD83,new_transmute,3,FALSE)
),
IF(Info!$B$4="Board program (Medicine)",
IF(OR(AND(AD$5&gt;0,AD$5&gt;100),AND(AD$5&gt;0,AD$5&lt;100)),
VLOOKUP(FLOOR((Midterm!AD83/AD$5)*100,1),new_transmute,4,FALSE),
VLOOKUP(Midterm!AD83,new_transmute,4,FALSE)
),
""
)
)
)
)
)
)
)
)
))</f>
        <v/>
      </c>
      <c r="AE83" s="58" t="str">
        <f t="shared" si="15"/>
        <v/>
      </c>
      <c r="AF83" s="14" t="str">
        <f>IF($B83="","",
IF(AF$5="","",
IF(Midterm!AF83="",0,
IF(NOT(ISNUMBER(Midterm!AF83)),"NAN",
IF(Midterm!AF83&lt;0,"NEG",
IF(Midterm!AF83&gt;AF$5,"OVER",
IF(AND(AF$5&lt;=100,Midterm!AF83&gt;100),"ERR",
IF(Info!$B$4="Non-board program",
IF(OR(AND(AF$5&gt;0,AF$5&gt;100),AND(AF$5&gt;0,AF$5&lt;100)),
VLOOKUP(FLOOR((Midterm!AF83/AF$5)*100,1),new_transmute,2,FALSE),
VLOOKUP(Midterm!AF83,new_transmute,2,FALSE)
),
IF(Info!$B$4="Board program",
IF(OR(AND(AF$5&gt;0,AF$5&gt;100),AND(AF$5&gt;0,AF$5&lt;100)),
VLOOKUP(FLOOR((Midterm!AF83/AF$5)*100,1),new_transmute,3,FALSE),
VLOOKUP(Midterm!AF83,new_transmute,3,FALSE)
),
IF(Info!$B$4="Board program (Medicine)",
IF(OR(AND(AF$5&gt;0,AF$5&gt;100),AND(AF$5&gt;0,AF$5&lt;100)),
VLOOKUP(FLOOR((Midterm!AF83/AF$5)*100,1),new_transmute,4,FALSE),
VLOOKUP(Midterm!AF83,new_transmute,4,FALSE)
),
""
)
)
)
)
)
)
)
)
))</f>
        <v/>
      </c>
      <c r="AG83" s="14" t="str">
        <f>IF($B83="","",
IF(AG$5="","",
IF(Midterm!AG83="",0,
IF(NOT(ISNUMBER(Midterm!AG83)),"NAN",
IF(Midterm!AG83&lt;0,"NEG",
IF(Midterm!AG83&gt;AG$5,"OVER",
IF(AND(AG$5&lt;=100,Midterm!AG83&gt;100),"ERR",
IF(Info!$B$4="Non-board program",
IF(OR(AND(AG$5&gt;0,AG$5&gt;100),AND(AG$5&gt;0,AG$5&lt;100)),
VLOOKUP(FLOOR((Midterm!AG83/AG$5)*100,1),new_transmute,2,FALSE),
VLOOKUP(Midterm!AG83,new_transmute,2,FALSE)
),
IF(Info!$B$4="Board program",
IF(OR(AND(AG$5&gt;0,AG$5&gt;100),AND(AG$5&gt;0,AG$5&lt;100)),
VLOOKUP(FLOOR((Midterm!AG83/AG$5)*100,1),new_transmute,3,FALSE),
VLOOKUP(Midterm!AG83,new_transmute,3,FALSE)
),
IF(Info!$B$4="Board program (Medicine)",
IF(OR(AND(AG$5&gt;0,AG$5&gt;100),AND(AG$5&gt;0,AG$5&lt;100)),
VLOOKUP(FLOOR((Midterm!AG83/AG$5)*100,1),new_transmute,4,FALSE),
VLOOKUP(Midterm!AG83,new_transmute,4,FALSE)
),
""
)
)
)
)
)
)
)
)
))</f>
        <v/>
      </c>
      <c r="AH83" s="14" t="str">
        <f>IF($B83="","",
IF(AH$5="","",
IF(Midterm!AH83="",0,
IF(NOT(ISNUMBER(Midterm!AH83)),"NAN",
IF(Midterm!AH83&lt;0,"NEG",
IF(Midterm!AH83&gt;AH$5,"OVER",
IF(AND(AH$5&lt;=100,Midterm!AH83&gt;100),"ERR",
IF(Info!$B$4="Non-board program",
IF(OR(AND(AH$5&gt;0,AH$5&gt;100),AND(AH$5&gt;0,AH$5&lt;100)),
VLOOKUP(FLOOR((Midterm!AH83/AH$5)*100,1),new_transmute,2,FALSE),
VLOOKUP(Midterm!AH83,new_transmute,2,FALSE)
),
IF(Info!$B$4="Board program",
IF(OR(AND(AH$5&gt;0,AH$5&gt;100),AND(AH$5&gt;0,AH$5&lt;100)),
VLOOKUP(FLOOR((Midterm!AH83/AH$5)*100,1),new_transmute,3,FALSE),
VLOOKUP(Midterm!AH83,new_transmute,3,FALSE)
),
IF(Info!$B$4="Board program (Medicine)",
IF(OR(AND(AH$5&gt;0,AH$5&gt;100),AND(AH$5&gt;0,AH$5&lt;100)),
VLOOKUP(FLOOR((Midterm!AH83/AH$5)*100,1),new_transmute,4,FALSE),
VLOOKUP(Midterm!AH83,new_transmute,4,FALSE)
),
""
)
)
)
)
)
)
)
)
))</f>
        <v/>
      </c>
      <c r="AI83" s="14" t="str">
        <f>IF($B83="","",
IF(AI$5="","",
IF(Midterm!AI83="",0,
IF(NOT(ISNUMBER(Midterm!AI83)),"NAN",
IF(Midterm!AI83&lt;0,"NEG",
IF(Midterm!AI83&gt;AI$5,"OVER",
IF(AND(AI$5&lt;=100,Midterm!AI83&gt;100),"ERR",
IF(Info!$B$4="Non-board program",
IF(OR(AND(AI$5&gt;0,AI$5&gt;100),AND(AI$5&gt;0,AI$5&lt;100)),
VLOOKUP(FLOOR((Midterm!AI83/AI$5)*100,1),new_transmute,2,FALSE),
VLOOKUP(Midterm!AI83,new_transmute,2,FALSE)
),
IF(Info!$B$4="Board program",
IF(OR(AND(AI$5&gt;0,AI$5&gt;100),AND(AI$5&gt;0,AI$5&lt;100)),
VLOOKUP(FLOOR((Midterm!AI83/AI$5)*100,1),new_transmute,3,FALSE),
VLOOKUP(Midterm!AI83,new_transmute,3,FALSE)
),
IF(Info!$B$4="Board program (Medicine)",
IF(OR(AND(AI$5&gt;0,AI$5&gt;100),AND(AI$5&gt;0,AI$5&lt;100)),
VLOOKUP(FLOOR((Midterm!AI83/AI$5)*100,1),new_transmute,4,FALSE),
VLOOKUP(Midterm!AI83,new_transmute,4,FALSE)
),
""
)
)
)
)
)
)
)
)
))</f>
        <v/>
      </c>
      <c r="AJ83" s="14" t="str">
        <f>IF($B83="","",
IF(AJ$5="","",
IF(Midterm!AJ83="",0,
IF(NOT(ISNUMBER(Midterm!AJ83)),"NAN",
IF(Midterm!AJ83&lt;0,"NEG",
IF(Midterm!AJ83&gt;AJ$5,"OVER",
IF(AND(AJ$5&lt;=100,Midterm!AJ83&gt;100),"ERR",
IF(Info!$B$4="Non-board program",
IF(OR(AND(AJ$5&gt;0,AJ$5&gt;100),AND(AJ$5&gt;0,AJ$5&lt;100)),
VLOOKUP(FLOOR((Midterm!AJ83/AJ$5)*100,1),new_transmute,2,FALSE),
VLOOKUP(Midterm!AJ83,new_transmute,2,FALSE)
),
IF(Info!$B$4="Board program",
IF(OR(AND(AJ$5&gt;0,AJ$5&gt;100),AND(AJ$5&gt;0,AJ$5&lt;100)),
VLOOKUP(FLOOR((Midterm!AJ83/AJ$5)*100,1),new_transmute,3,FALSE),
VLOOKUP(Midterm!AJ83,new_transmute,3,FALSE)
),
IF(Info!$B$4="Board program (Medicine)",
IF(OR(AND(AJ$5&gt;0,AJ$5&gt;100),AND(AJ$5&gt;0,AJ$5&lt;100)),
VLOOKUP(FLOOR((Midterm!AJ83/AJ$5)*100,1),new_transmute,4,FALSE),
VLOOKUP(Midterm!AJ83,new_transmute,4,FALSE)
),
""
)
)
)
)
)
)
)
)
))</f>
        <v/>
      </c>
      <c r="AK83" s="59" t="str">
        <f t="shared" si="16"/>
        <v/>
      </c>
      <c r="AL83" s="60" t="str">
        <f>IF(B83="", "",
    IF(OR(M83="OVER", S83="OVER", Y83="OVER", AE83="OVER", AK83="OVER"),
        "OVER",
        IF(Info!$B$4="Non-board program",
            VLOOKUP(IFERROR(FLOOR(SUM((M83*$M$4), (S83*$S$4), (Y83*$Y$4), (AE83*$AE$4), (AK83*$AK$4)) * (100 / 60), 1), 0), new_transmute, 2, FALSE),
            IF(Info!$B$4="Board program",
                VLOOKUP(IFERROR(FLOOR(SUM((M83*$M$4), (S83*$S$4), (Y83*$Y$4), (AE83*$AE$4), (AK83*$AK$4)) * (100 / 60), 1), 0), new_transmute, 3, FALSE),
                IF(Info!$B$4="Board program (Medicine)",
                    VLOOKUP(IFERROR(FLOOR(SUM((M83*$M$4), (S83*$S$4), (Y83*$Y$4), (AE83*$AE$4), (AK83*$AK$4)) * (100 / 60), 1), 0), new_transmute, 4, FALSE),
                    ""
                )
            )
        )
    )
)</f>
        <v/>
      </c>
      <c r="AM83" s="14" t="str">
        <f>IF($B83="","",
IF(AM$5="","",
IF(Midterm!AM83="",0,
IF(NOT(ISNUMBER(Midterm!AM83)),"NAN",
IF(Midterm!AM83&lt;0,"NEG",
IF(Midterm!AM83&gt;AM$5,"OVER",
IF(AND(AM$5&lt;=100,Midterm!AM83&gt;100),"ERR",
IF(Info!$B$4="Non-board program",
IF(OR(AND(AM$5&gt;0,AM$5&gt;100),AND(AM$5&gt;0,AM$5&lt;100)),
VLOOKUP(FLOOR((Midterm!AM83/AM$5)*100,1),new_transmute,2,FALSE),
VLOOKUP(Midterm!AM83,new_transmute,2,FALSE)
),
IF(Info!$B$4="Board program",
IF(OR(AND(AM$5&gt;0,AM$5&gt;100),AND(AM$5&gt;0,AM$5&lt;100)),
VLOOKUP(FLOOR((Midterm!AM83/AM$5)*100,1),new_transmute,3,FALSE),
VLOOKUP(Midterm!AM83,new_transmute,3,FALSE)
),
IF(Info!$B$4="Board program (Medicine)",
IF(OR(AND(AM$5&gt;0,AM$5&gt;100),AND(AM$5&gt;0,AM$5&lt;100)),
VLOOKUP(FLOOR((Midterm!AM83/AM$5)*100,1),new_transmute,4,FALSE),
VLOOKUP(Midterm!AM83,new_transmute,4,FALSE)
),
""
)
)
)
)
)
)
)
)
))</f>
        <v/>
      </c>
      <c r="AN83" s="14" t="str">
        <f>IF($B83="","",
IF(AN$5="","",
IF(Midterm!AN83="",0,
IF(NOT(ISNUMBER(Midterm!AN83)),"NAN",
IF(Midterm!AN83&lt;0,"NEG",
IF(Midterm!AN83&gt;AN$5,"OVER",
IF(AND(AN$5&lt;=100,Midterm!AN83&gt;100),"ERR",
IF(Info!$B$4="Non-board program",
IF(OR(AND(AN$5&gt;0,AN$5&gt;100),AND(AN$5&gt;0,AN$5&lt;100)),
VLOOKUP(FLOOR((Midterm!AN83/AN$5)*100,1),new_transmute,2,FALSE),
VLOOKUP(Midterm!AN83,new_transmute,2,FALSE)
),
IF(Info!$B$4="Board program",
IF(OR(AND(AN$5&gt;0,AN$5&gt;100),AND(AN$5&gt;0,AN$5&lt;100)),
VLOOKUP(FLOOR((Midterm!AN83/AN$5)*100,1),new_transmute,3,FALSE),
VLOOKUP(Midterm!AN83,new_transmute,3,FALSE)
),
IF(Info!$B$4="Board program (Medicine)",
IF(OR(AND(AN$5&gt;0,AN$5&gt;100),AND(AN$5&gt;0,AN$5&lt;100)),
VLOOKUP(FLOOR((Midterm!AN83/AN$5)*100,1),new_transmute,4,FALSE),
VLOOKUP(Midterm!AN83,new_transmute,4,FALSE)
),
""
)
)
)
)
)
)
)
)
))</f>
        <v/>
      </c>
      <c r="AO83" s="14" t="str">
        <f>IF($B83="","",
IF(AO$5="","",
IF(Midterm!AO83="",0,
IF(NOT(ISNUMBER(Midterm!AO83)),"NAN",
IF(Midterm!AO83&lt;0,"NEG",
IF(Midterm!AO83&gt;AO$5,"OVER",
IF(AND(AO$5&lt;=100,Midterm!AO83&gt;100),"ERR",
IF(Info!$B$4="Non-board program",
IF(OR(AND(AO$5&gt;0,AO$5&gt;100),AND(AO$5&gt;0,AO$5&lt;100)),
VLOOKUP(FLOOR((Midterm!AO83/AO$5)*100,1),new_transmute,2,FALSE),
VLOOKUP(Midterm!AO83,new_transmute,2,FALSE)
),
IF(Info!$B$4="Board program",
IF(OR(AND(AO$5&gt;0,AO$5&gt;100),AND(AO$5&gt;0,AO$5&lt;100)),
VLOOKUP(FLOOR((Midterm!AO83/AO$5)*100,1),new_transmute,3,FALSE),
VLOOKUP(Midterm!AO83,new_transmute,3,FALSE)
),
IF(Info!$B$4="Board program (Medicine)",
IF(OR(AND(AO$5&gt;0,AO$5&gt;100),AND(AO$5&gt;0,AO$5&lt;100)),
VLOOKUP(FLOOR((Midterm!AO83/AO$5)*100,1),new_transmute,4,FALSE),
VLOOKUP(Midterm!AO83,new_transmute,4,FALSE)
),
""
)
)
)
)
)
)
)
)
))</f>
        <v/>
      </c>
      <c r="AP83" s="14" t="str">
        <f>IF($B83="","",
IF(AP$5="","",
IF(Midterm!AP83="",0,
IF(NOT(ISNUMBER(Midterm!AP83)),"NAN",
IF(Midterm!AP83&lt;0,"NEG",
IF(Midterm!AP83&gt;AP$5,"OVER",
IF(AND(AP$5&lt;=100,Midterm!AP83&gt;100),"ERR",
IF(Info!$B$4="Non-board program",
IF(OR(AND(AP$5&gt;0,AP$5&gt;100),AND(AP$5&gt;0,AP$5&lt;100)),
VLOOKUP(FLOOR((Midterm!AP83/AP$5)*100,1),new_transmute,2,FALSE),
VLOOKUP(Midterm!AP83,new_transmute,2,FALSE)
),
IF(Info!$B$4="Board program",
IF(OR(AND(AP$5&gt;0,AP$5&gt;100),AND(AP$5&gt;0,AP$5&lt;100)),
VLOOKUP(FLOOR((Midterm!AP83/AP$5)*100,1),new_transmute,3,FALSE),
VLOOKUP(Midterm!AP83,new_transmute,3,FALSE)
),
IF(Info!$B$4="Board program (Medicine)",
IF(OR(AND(AP$5&gt;0,AP$5&gt;100),AND(AP$5&gt;0,AP$5&lt;100)),
VLOOKUP(FLOOR((Midterm!AP83/AP$5)*100,1),new_transmute,4,FALSE),
VLOOKUP(Midterm!AP83,new_transmute,4,FALSE)
),
""
)
)
)
)
)
)
)
)
))</f>
        <v/>
      </c>
      <c r="AQ83" s="61" t="str">
        <f t="shared" si="17"/>
        <v/>
      </c>
      <c r="AR83" s="48" t="str">
        <f>IF(Midterm!AR83="","",Midterm!AR83)</f>
        <v/>
      </c>
      <c r="AS83" s="165" t="str">
        <f t="shared" si="18"/>
        <v/>
      </c>
      <c r="AT83" s="14" t="str">
        <f t="shared" si="19"/>
        <v/>
      </c>
      <c r="AU83" s="14" t="str">
        <f>IF(B83="","",VLOOKUP(AT83,'New Grade Equivalent'!$B$3:$C$47,2,FALSE))</f>
        <v/>
      </c>
    </row>
    <row r="84" spans="1:47" x14ac:dyDescent="0.25">
      <c r="A84" s="8">
        <v>79</v>
      </c>
      <c r="B84" s="2" t="str">
        <f>IF('Student List'!C88="","",UPPER(LEFT('Student List'!C88,FIND(",",'Student List'!C88)-1)))</f>
        <v/>
      </c>
      <c r="C84" s="12" t="str">
        <f>IF('Student List'!C88="","",PROPER(MID('Student List'!C88, FIND(",", 'Student List'!C88) + 2, LEN('Student List'!C88) - FIND(",", 'Student List'!C88) - 1)))</f>
        <v/>
      </c>
      <c r="D84" s="127" t="str">
        <f>IF(B84="","",IF(Midterm!D84="", "NA", Midterm!D84))</f>
        <v/>
      </c>
      <c r="E84" s="8" t="str">
        <f>IF(B84="","",
  IF(Info!$B$5="First Year",
    IF(D84="Yes", "DRP",
      IF(D84="No", "WF", "")
    )
  )
)</f>
        <v/>
      </c>
      <c r="F84" s="14" t="str">
        <f>IF($B84="","",
IF(F$5="","",
IF(Midterm!F84="",0,
IF(NOT(ISNUMBER(Midterm!F84)),"NAN",
IF(Midterm!F84&lt;0,"NEG",
IF(Midterm!F84&gt;F$5,"OVER",
IF(AND(F$5&lt;=100,Midterm!F84&gt;100),"ERR",
IF(Info!$B$4="Non-board program",
IF(OR(AND(F$5&gt;0,F$5&gt;100),AND(F$5&gt;0,F$5&lt;100)),
VLOOKUP(FLOOR((Midterm!F84/F$5)*100,1),new_transmute,2,FALSE),
VLOOKUP(Midterm!F84,new_transmute,2,FALSE)
),
IF(Info!$B$4="Board program",
IF(OR(AND(F$5&gt;0,F$5&gt;100),AND(F$5&gt;0,F$5&lt;100)),
VLOOKUP(FLOOR((Midterm!F84/F$5)*100,1),new_transmute,3,FALSE),
VLOOKUP(Midterm!F84,new_transmute,3,FALSE)
),
IF(Info!$B$4="Board program (Medicine)",
IF(OR(AND(F$5&gt;0,F$5&gt;100),AND(F$5&gt;0,F$5&lt;100)),
VLOOKUP(FLOOR((Midterm!F84/F$5)*100,1),new_transmute,4,FALSE),
VLOOKUP(Midterm!F84,new_transmute,4,FALSE)
),
""
)
)
)
)
)
)
)
)
))</f>
        <v/>
      </c>
      <c r="G84" s="57" t="str">
        <f t="shared" si="11"/>
        <v/>
      </c>
      <c r="H84" s="14" t="str">
        <f>IF($B84="","",
IF(H$5="","",
IF(Midterm!H84="",0,
IF(NOT(ISNUMBER(Midterm!H84)),"NAN",
IF(Midterm!H84&lt;0,"NEG",
IF(Midterm!H84&gt;H$5,"OVER",
IF(AND(H$5&lt;=100,Midterm!H84&gt;100),"ERR",
IF(Info!$B$4="Non-board program",
IF(OR(AND(H$5&gt;0,H$5&gt;100),AND(H$5&gt;0,H$5&lt;100)),
VLOOKUP(FLOOR((Midterm!H84/H$5)*100,1),new_transmute,2,FALSE),
VLOOKUP(Midterm!H84,new_transmute,2,FALSE)
),
IF(Info!$B$4="Board program",
IF(OR(AND(H$5&gt;0,H$5&gt;100),AND(H$5&gt;0,H$5&lt;100)),
VLOOKUP(FLOOR((Midterm!H84/H$5)*100,1),new_transmute,3,FALSE),
VLOOKUP(Midterm!H84,new_transmute,3,FALSE)
),
IF(Info!$B$4="Board program (Medicine)",
IF(OR(AND(H$5&gt;0,H$5&gt;100),AND(H$5&gt;0,H$5&lt;100)),
VLOOKUP(FLOOR((Midterm!H84/H$5)*100,1),new_transmute,4,FALSE),
VLOOKUP(Midterm!H84,new_transmute,4,FALSE)
),
""
)
)
)
)
)
)
)
)
))</f>
        <v/>
      </c>
      <c r="I84" s="14" t="str">
        <f>IF($B84="","",
IF(I$5="","",
IF(Midterm!I84="",0,
IF(NOT(ISNUMBER(Midterm!I84)),"NAN",
IF(Midterm!I84&lt;0,"NEG",
IF(Midterm!I84&gt;I$5,"OVER",
IF(AND(I$5&lt;=100,Midterm!I84&gt;100),"ERR",
IF(Info!$B$4="Non-board program",
IF(OR(AND(I$5&gt;0,I$5&gt;100),AND(I$5&gt;0,I$5&lt;100)),
VLOOKUP(FLOOR((Midterm!I84/I$5)*100,1),new_transmute,2,FALSE),
VLOOKUP(Midterm!I84,new_transmute,2,FALSE)
),
IF(Info!$B$4="Board program",
IF(OR(AND(I$5&gt;0,I$5&gt;100),AND(I$5&gt;0,I$5&lt;100)),
VLOOKUP(FLOOR((Midterm!I84/I$5)*100,1),new_transmute,3,FALSE),
VLOOKUP(Midterm!I84,new_transmute,3,FALSE)
),
IF(Info!$B$4="Board program (Medicine)",
IF(OR(AND(I$5&gt;0,I$5&gt;100),AND(I$5&gt;0,I$5&lt;100)),
VLOOKUP(FLOOR((Midterm!I84/I$5)*100,1),new_transmute,4,FALSE),
VLOOKUP(Midterm!I84,new_transmute,4,FALSE)
),
""
)
)
)
)
)
)
)
)
))</f>
        <v/>
      </c>
      <c r="J84" s="14" t="str">
        <f>IF($B84="","",
IF(J$5="","",
IF(Midterm!J84="",0,
IF(NOT(ISNUMBER(Midterm!J84)),"NAN",
IF(Midterm!J84&lt;0,"NEG",
IF(Midterm!J84&gt;J$5,"OVER",
IF(AND(J$5&lt;=100,Midterm!J84&gt;100),"ERR",
IF(Info!$B$4="Non-board program",
IF(OR(AND(J$5&gt;0,J$5&gt;100),AND(J$5&gt;0,J$5&lt;100)),
VLOOKUP(FLOOR((Midterm!J84/J$5)*100,1),new_transmute,2,FALSE),
VLOOKUP(Midterm!J84,new_transmute,2,FALSE)
),
IF(Info!$B$4="Board program",
IF(OR(AND(J$5&gt;0,J$5&gt;100),AND(J$5&gt;0,J$5&lt;100)),
VLOOKUP(FLOOR((Midterm!J84/J$5)*100,1),new_transmute,3,FALSE),
VLOOKUP(Midterm!J84,new_transmute,3,FALSE)
),
IF(Info!$B$4="Board program (Medicine)",
IF(OR(AND(J$5&gt;0,J$5&gt;100),AND(J$5&gt;0,J$5&lt;100)),
VLOOKUP(FLOOR((Midterm!J84/J$5)*100,1),new_transmute,4,FALSE),
VLOOKUP(Midterm!J84,new_transmute,4,FALSE)
),
""
)
)
)
)
)
)
)
)
))</f>
        <v/>
      </c>
      <c r="K84" s="14" t="str">
        <f>IF($B84="","",
IF(K$5="","",
IF(Midterm!K84="",0,
IF(NOT(ISNUMBER(Midterm!K84)),"NAN",
IF(Midterm!K84&lt;0,"NEG",
IF(Midterm!K84&gt;K$5,"OVER",
IF(AND(K$5&lt;=100,Midterm!K84&gt;100),"ERR",
IF(Info!$B$4="Non-board program",
IF(OR(AND(K$5&gt;0,K$5&gt;100),AND(K$5&gt;0,K$5&lt;100)),
VLOOKUP(FLOOR((Midterm!K84/K$5)*100,1),new_transmute,2,FALSE),
VLOOKUP(Midterm!K84,new_transmute,2,FALSE)
),
IF(Info!$B$4="Board program",
IF(OR(AND(K$5&gt;0,K$5&gt;100),AND(K$5&gt;0,K$5&lt;100)),
VLOOKUP(FLOOR((Midterm!K84/K$5)*100,1),new_transmute,3,FALSE),
VLOOKUP(Midterm!K84,new_transmute,3,FALSE)
),
IF(Info!$B$4="Board program (Medicine)",
IF(OR(AND(K$5&gt;0,K$5&gt;100),AND(K$5&gt;0,K$5&lt;100)),
VLOOKUP(FLOOR((Midterm!K84/K$5)*100,1),new_transmute,4,FALSE),
VLOOKUP(Midterm!K84,new_transmute,4,FALSE)
),
""
)
)
)
)
)
)
)
)
))</f>
        <v/>
      </c>
      <c r="L84" s="14" t="str">
        <f>IF($B84="","",
IF(L$5="","",
IF(Midterm!L84="",0,
IF(NOT(ISNUMBER(Midterm!L84)),"NAN",
IF(Midterm!L84&lt;0,"NEG",
IF(Midterm!L84&gt;L$5,"OVER",
IF(AND(L$5&lt;=100,Midterm!L84&gt;100),"ERR",
IF(Info!$B$4="Non-board program",
IF(OR(AND(L$5&gt;0,L$5&gt;100),AND(L$5&gt;0,L$5&lt;100)),
VLOOKUP(FLOOR((Midterm!L84/L$5)*100,1),new_transmute,2,FALSE),
VLOOKUP(Midterm!L84,new_transmute,2,FALSE)
),
IF(Info!$B$4="Board program",
IF(OR(AND(L$5&gt;0,L$5&gt;100),AND(L$5&gt;0,L$5&lt;100)),
VLOOKUP(FLOOR((Midterm!L84/L$5)*100,1),new_transmute,3,FALSE),
VLOOKUP(Midterm!L84,new_transmute,3,FALSE)
),
IF(Info!$B$4="Board program (Medicine)",
IF(OR(AND(L$5&gt;0,L$5&gt;100),AND(L$5&gt;0,L$5&lt;100)),
VLOOKUP(FLOOR((Midterm!L84/L$5)*100,1),new_transmute,4,FALSE),
VLOOKUP(Midterm!L84,new_transmute,4,FALSE)
),
""
)
)
)
)
)
)
)
)
))</f>
        <v/>
      </c>
      <c r="M84" s="111" t="str">
        <f t="shared" si="12"/>
        <v/>
      </c>
      <c r="N84" s="14" t="str">
        <f>IF($B84="","",
IF(N$5="","",
IF(Midterm!N84="",0,
IF(NOT(ISNUMBER(Midterm!N84)),"NAN",
IF(Midterm!N84&lt;0,"NEG",
IF(Midterm!N84&gt;N$5,"OVER",
IF(AND(N$5&lt;=100,Midterm!N84&gt;100),"ERR",
IF(Info!$B$4="Non-board program",
IF(OR(AND(N$5&gt;0,N$5&gt;100),AND(N$5&gt;0,N$5&lt;100)),
VLOOKUP(FLOOR((Midterm!N84/N$5)*100,1),new_transmute,2,FALSE),
VLOOKUP(Midterm!N84,new_transmute,2,FALSE)
),
IF(Info!$B$4="Board program",
IF(OR(AND(N$5&gt;0,N$5&gt;100),AND(N$5&gt;0,N$5&lt;100)),
VLOOKUP(FLOOR((Midterm!N84/N$5)*100,1),new_transmute,3,FALSE),
VLOOKUP(Midterm!N84,new_transmute,3,FALSE)
),
IF(Info!$B$4="Board program (Medicine)",
IF(OR(AND(N$5&gt;0,N$5&gt;100),AND(N$5&gt;0,N$5&lt;100)),
VLOOKUP(FLOOR((Midterm!N84/N$5)*100,1),new_transmute,4,FALSE),
VLOOKUP(Midterm!N84,new_transmute,4,FALSE)
),
""
)
)
)
)
)
)
)
)
))</f>
        <v/>
      </c>
      <c r="O84" s="14" t="str">
        <f>IF($B84="","",
IF(O$5="","",
IF(Midterm!O84="",0,
IF(NOT(ISNUMBER(Midterm!O84)),"NAN",
IF(Midterm!O84&lt;0,"NEG",
IF(Midterm!O84&gt;O$5,"OVER",
IF(AND(O$5&lt;=100,Midterm!O84&gt;100),"ERR",
IF(Info!$B$4="Non-board program",
IF(OR(AND(O$5&gt;0,O$5&gt;100),AND(O$5&gt;0,O$5&lt;100)),
VLOOKUP(FLOOR((Midterm!O84/O$5)*100,1),new_transmute,2,FALSE),
VLOOKUP(Midterm!O84,new_transmute,2,FALSE)
),
IF(Info!$B$4="Board program",
IF(OR(AND(O$5&gt;0,O$5&gt;100),AND(O$5&gt;0,O$5&lt;100)),
VLOOKUP(FLOOR((Midterm!O84/O$5)*100,1),new_transmute,3,FALSE),
VLOOKUP(Midterm!O84,new_transmute,3,FALSE)
),
IF(Info!$B$4="Board program (Medicine)",
IF(OR(AND(O$5&gt;0,O$5&gt;100),AND(O$5&gt;0,O$5&lt;100)),
VLOOKUP(FLOOR((Midterm!O84/O$5)*100,1),new_transmute,4,FALSE),
VLOOKUP(Midterm!O84,new_transmute,4,FALSE)
),
""
)
)
)
)
)
)
)
)
))</f>
        <v/>
      </c>
      <c r="P84" s="14" t="str">
        <f>IF($B84="","",
IF(P$5="","",
IF(Midterm!P84="",0,
IF(NOT(ISNUMBER(Midterm!P84)),"NAN",
IF(Midterm!P84&lt;0,"NEG",
IF(Midterm!P84&gt;P$5,"OVER",
IF(AND(P$5&lt;=100,Midterm!P84&gt;100),"ERR",
IF(Info!$B$4="Non-board program",
IF(OR(AND(P$5&gt;0,P$5&gt;100),AND(P$5&gt;0,P$5&lt;100)),
VLOOKUP(FLOOR((Midterm!P84/P$5)*100,1),new_transmute,2,FALSE),
VLOOKUP(Midterm!P84,new_transmute,2,FALSE)
),
IF(Info!$B$4="Board program",
IF(OR(AND(P$5&gt;0,P$5&gt;100),AND(P$5&gt;0,P$5&lt;100)),
VLOOKUP(FLOOR((Midterm!P84/P$5)*100,1),new_transmute,3,FALSE),
VLOOKUP(Midterm!P84,new_transmute,3,FALSE)
),
IF(Info!$B$4="Board program (Medicine)",
IF(OR(AND(P$5&gt;0,P$5&gt;100),AND(P$5&gt;0,P$5&lt;100)),
VLOOKUP(FLOOR((Midterm!P84/P$5)*100,1),new_transmute,4,FALSE),
VLOOKUP(Midterm!P84,new_transmute,4,FALSE)
),
""
)
)
)
)
)
)
)
)
))</f>
        <v/>
      </c>
      <c r="Q84" s="14" t="str">
        <f>IF($B84="","",
IF(Q$5="","",
IF(Midterm!Q84="",0,
IF(NOT(ISNUMBER(Midterm!Q84)),"NAN",
IF(Midterm!Q84&lt;0,"NEG",
IF(Midterm!Q84&gt;Q$5,"OVER",
IF(AND(Q$5&lt;=100,Midterm!Q84&gt;100),"ERR",
IF(Info!$B$4="Non-board program",
IF(OR(AND(Q$5&gt;0,Q$5&gt;100),AND(Q$5&gt;0,Q$5&lt;100)),
VLOOKUP(FLOOR((Midterm!Q84/Q$5)*100,1),new_transmute,2,FALSE),
VLOOKUP(Midterm!Q84,new_transmute,2,FALSE)
),
IF(Info!$B$4="Board program",
IF(OR(AND(Q$5&gt;0,Q$5&gt;100),AND(Q$5&gt;0,Q$5&lt;100)),
VLOOKUP(FLOOR((Midterm!Q84/Q$5)*100,1),new_transmute,3,FALSE),
VLOOKUP(Midterm!Q84,new_transmute,3,FALSE)
),
IF(Info!$B$4="Board program (Medicine)",
IF(OR(AND(Q$5&gt;0,Q$5&gt;100),AND(Q$5&gt;0,Q$5&lt;100)),
VLOOKUP(FLOOR((Midterm!Q84/Q$5)*100,1),new_transmute,4,FALSE),
VLOOKUP(Midterm!Q84,new_transmute,4,FALSE)
),
""
)
)
)
)
)
)
)
)
))</f>
        <v/>
      </c>
      <c r="R84" s="14" t="str">
        <f>IF($B84="","",
IF(R$5="","",
IF(Midterm!R84="",0,
IF(NOT(ISNUMBER(Midterm!R84)),"NAN",
IF(Midterm!R84&lt;0,"NEG",
IF(Midterm!R84&gt;R$5,"OVER",
IF(AND(R$5&lt;=100,Midterm!R84&gt;100),"ERR",
IF(Info!$B$4="Non-board program",
IF(OR(AND(R$5&gt;0,R$5&gt;100),AND(R$5&gt;0,R$5&lt;100)),
VLOOKUP(FLOOR((Midterm!R84/R$5)*100,1),new_transmute,2,FALSE),
VLOOKUP(Midterm!R84,new_transmute,2,FALSE)
),
IF(Info!$B$4="Board program",
IF(OR(AND(R$5&gt;0,R$5&gt;100),AND(R$5&gt;0,R$5&lt;100)),
VLOOKUP(FLOOR((Midterm!R84/R$5)*100,1),new_transmute,3,FALSE),
VLOOKUP(Midterm!R84,new_transmute,3,FALSE)
),
IF(Info!$B$4="Board program (Medicine)",
IF(OR(AND(R$5&gt;0,R$5&gt;100),AND(R$5&gt;0,R$5&lt;100)),
VLOOKUP(FLOOR((Midterm!R84/R$5)*100,1),new_transmute,4,FALSE),
VLOOKUP(Midterm!R84,new_transmute,4,FALSE)
),
""
)
)
)
)
)
)
)
)
))</f>
        <v/>
      </c>
      <c r="S84" s="115" t="str">
        <f t="shared" si="13"/>
        <v/>
      </c>
      <c r="T84" s="14" t="str">
        <f>IF($B84="","",
IF(T$5="","",
IF(Midterm!T84="",0,
IF(NOT(ISNUMBER(Midterm!T84)),"NAN",
IF(Midterm!T84&lt;0,"NEG",
IF(Midterm!T84&gt;T$5,"OVER",
IF(AND(T$5&lt;=100,Midterm!T84&gt;100),"ERR",
IF(Info!$B$4="Non-board program",
IF(OR(AND(T$5&gt;0,T$5&gt;100),AND(T$5&gt;0,T$5&lt;100)),
VLOOKUP(FLOOR((Midterm!T84/T$5)*100,1),new_transmute,2,FALSE),
VLOOKUP(Midterm!T84,new_transmute,2,FALSE)
),
IF(Info!$B$4="Board program",
IF(OR(AND(T$5&gt;0,T$5&gt;100),AND(T$5&gt;0,T$5&lt;100)),
VLOOKUP(FLOOR((Midterm!T84/T$5)*100,1),new_transmute,3,FALSE),
VLOOKUP(Midterm!T84,new_transmute,3,FALSE)
),
IF(Info!$B$4="Board program (Medicine)",
IF(OR(AND(T$5&gt;0,T$5&gt;100),AND(T$5&gt;0,T$5&lt;100)),
VLOOKUP(FLOOR((Midterm!T84/T$5)*100,1),new_transmute,4,FALSE),
VLOOKUP(Midterm!T84,new_transmute,4,FALSE)
),
""
)
)
)
)
)
)
)
)
))</f>
        <v/>
      </c>
      <c r="U84" s="14" t="str">
        <f>IF($B84="","",
IF(U$5="","",
IF(Midterm!U84="",0,
IF(NOT(ISNUMBER(Midterm!U84)),"NAN",
IF(Midterm!U84&lt;0,"NEG",
IF(Midterm!U84&gt;U$5,"OVER",
IF(AND(U$5&lt;=100,Midterm!U84&gt;100),"ERR",
IF(Info!$B$4="Non-board program",
IF(OR(AND(U$5&gt;0,U$5&gt;100),AND(U$5&gt;0,U$5&lt;100)),
VLOOKUP(FLOOR((Midterm!U84/U$5)*100,1),new_transmute,2,FALSE),
VLOOKUP(Midterm!U84,new_transmute,2,FALSE)
),
IF(Info!$B$4="Board program",
IF(OR(AND(U$5&gt;0,U$5&gt;100),AND(U$5&gt;0,U$5&lt;100)),
VLOOKUP(FLOOR((Midterm!U84/U$5)*100,1),new_transmute,3,FALSE),
VLOOKUP(Midterm!U84,new_transmute,3,FALSE)
),
IF(Info!$B$4="Board program (Medicine)",
IF(OR(AND(U$5&gt;0,U$5&gt;100),AND(U$5&gt;0,U$5&lt;100)),
VLOOKUP(FLOOR((Midterm!U84/U$5)*100,1),new_transmute,4,FALSE),
VLOOKUP(Midterm!U84,new_transmute,4,FALSE)
),
""
)
)
)
)
)
)
)
)
))</f>
        <v/>
      </c>
      <c r="V84" s="14" t="str">
        <f>IF($B84="","",
IF(V$5="","",
IF(Midterm!V84="",0,
IF(NOT(ISNUMBER(Midterm!V84)),"NAN",
IF(Midterm!V84&lt;0,"NEG",
IF(Midterm!V84&gt;V$5,"OVER",
IF(AND(V$5&lt;=100,Midterm!V84&gt;100),"ERR",
IF(Info!$B$4="Non-board program",
IF(OR(AND(V$5&gt;0,V$5&gt;100),AND(V$5&gt;0,V$5&lt;100)),
VLOOKUP(FLOOR((Midterm!V84/V$5)*100,1),new_transmute,2,FALSE),
VLOOKUP(Midterm!V84,new_transmute,2,FALSE)
),
IF(Info!$B$4="Board program",
IF(OR(AND(V$5&gt;0,V$5&gt;100),AND(V$5&gt;0,V$5&lt;100)),
VLOOKUP(FLOOR((Midterm!V84/V$5)*100,1),new_transmute,3,FALSE),
VLOOKUP(Midterm!V84,new_transmute,3,FALSE)
),
IF(Info!$B$4="Board program (Medicine)",
IF(OR(AND(V$5&gt;0,V$5&gt;100),AND(V$5&gt;0,V$5&lt;100)),
VLOOKUP(FLOOR((Midterm!V84/V$5)*100,1),new_transmute,4,FALSE),
VLOOKUP(Midterm!V84,new_transmute,4,FALSE)
),
""
)
)
)
)
)
)
)
)
))</f>
        <v/>
      </c>
      <c r="W84" s="14" t="str">
        <f>IF($B84="","",
IF(W$5="","",
IF(Midterm!W84="",0,
IF(NOT(ISNUMBER(Midterm!W84)),"NAN",
IF(Midterm!W84&lt;0,"NEG",
IF(Midterm!W84&gt;W$5,"OVER",
IF(AND(W$5&lt;=100,Midterm!W84&gt;100),"ERR",
IF(Info!$B$4="Non-board program",
IF(OR(AND(W$5&gt;0,W$5&gt;100),AND(W$5&gt;0,W$5&lt;100)),
VLOOKUP(FLOOR((Midterm!W84/W$5)*100,1),new_transmute,2,FALSE),
VLOOKUP(Midterm!W84,new_transmute,2,FALSE)
),
IF(Info!$B$4="Board program",
IF(OR(AND(W$5&gt;0,W$5&gt;100),AND(W$5&gt;0,W$5&lt;100)),
VLOOKUP(FLOOR((Midterm!W84/W$5)*100,1),new_transmute,3,FALSE),
VLOOKUP(Midterm!W84,new_transmute,3,FALSE)
),
IF(Info!$B$4="Board program (Medicine)",
IF(OR(AND(W$5&gt;0,W$5&gt;100),AND(W$5&gt;0,W$5&lt;100)),
VLOOKUP(FLOOR((Midterm!W84/W$5)*100,1),new_transmute,4,FALSE),
VLOOKUP(Midterm!W84,new_transmute,4,FALSE)
),
""
)
)
)
)
)
)
)
)
))</f>
        <v/>
      </c>
      <c r="X84" s="14" t="str">
        <f>IF($B84="","",
IF(X$5="","",
IF(Midterm!X84="",0,
IF(NOT(ISNUMBER(Midterm!X84)),"NAN",
IF(Midterm!X84&lt;0,"NEG",
IF(Midterm!X84&gt;X$5,"OVER",
IF(AND(X$5&lt;=100,Midterm!X84&gt;100),"ERR",
IF(Info!$B$4="Non-board program",
IF(OR(AND(X$5&gt;0,X$5&gt;100),AND(X$5&gt;0,X$5&lt;100)),
VLOOKUP(FLOOR((Midterm!X84/X$5)*100,1),new_transmute,2,FALSE),
VLOOKUP(Midterm!X84,new_transmute,2,FALSE)
),
IF(Info!$B$4="Board program",
IF(OR(AND(X$5&gt;0,X$5&gt;100),AND(X$5&gt;0,X$5&lt;100)),
VLOOKUP(FLOOR((Midterm!X84/X$5)*100,1),new_transmute,3,FALSE),
VLOOKUP(Midterm!X84,new_transmute,3,FALSE)
),
IF(Info!$B$4="Board program (Medicine)",
IF(OR(AND(X$5&gt;0,X$5&gt;100),AND(X$5&gt;0,X$5&lt;100)),
VLOOKUP(FLOOR((Midterm!X84/X$5)*100,1),new_transmute,4,FALSE),
VLOOKUP(Midterm!X84,new_transmute,4,FALSE)
),
""
)
)
)
)
)
)
)
)
))</f>
        <v/>
      </c>
      <c r="Y84" s="112" t="str">
        <f t="shared" si="14"/>
        <v/>
      </c>
      <c r="Z84" s="14" t="str">
        <f>IF($B84="","",
IF(Z$5="","",
IF(Midterm!Z84="",0,
IF(NOT(ISNUMBER(Midterm!Z84)),"NAN",
IF(Midterm!Z84&lt;0,"NEG",
IF(Midterm!Z84&gt;Z$5,"OVER",
IF(AND(Z$5&lt;=100,Midterm!Z84&gt;100),"ERR",
IF(Info!$B$4="Non-board program",
IF(OR(AND(Z$5&gt;0,Z$5&gt;100),AND(Z$5&gt;0,Z$5&lt;100)),
VLOOKUP(FLOOR((Midterm!Z84/Z$5)*100,1),new_transmute,2,FALSE),
VLOOKUP(Midterm!Z84,new_transmute,2,FALSE)
),
IF(Info!$B$4="Board program",
IF(OR(AND(Z$5&gt;0,Z$5&gt;100),AND(Z$5&gt;0,Z$5&lt;100)),
VLOOKUP(FLOOR((Midterm!Z84/Z$5)*100,1),new_transmute,3,FALSE),
VLOOKUP(Midterm!Z84,new_transmute,3,FALSE)
),
IF(Info!$B$4="Board program (Medicine)",
IF(OR(AND(Z$5&gt;0,Z$5&gt;100),AND(Z$5&gt;0,Z$5&lt;100)),
VLOOKUP(FLOOR((Midterm!Z84/Z$5)*100,1),new_transmute,4,FALSE),
VLOOKUP(Midterm!Z84,new_transmute,4,FALSE)
),
""
)
)
)
)
)
)
)
)
))</f>
        <v/>
      </c>
      <c r="AA84" s="14" t="str">
        <f>IF($B84="","",
IF(AA$5="","",
IF(Midterm!AA84="",0,
IF(NOT(ISNUMBER(Midterm!AA84)),"NAN",
IF(Midterm!AA84&lt;0,"NEG",
IF(Midterm!AA84&gt;AA$5,"OVER",
IF(AND(AA$5&lt;=100,Midterm!AA84&gt;100),"ERR",
IF(Info!$B$4="Non-board program",
IF(OR(AND(AA$5&gt;0,AA$5&gt;100),AND(AA$5&gt;0,AA$5&lt;100)),
VLOOKUP(FLOOR((Midterm!AA84/AA$5)*100,1),new_transmute,2,FALSE),
VLOOKUP(Midterm!AA84,new_transmute,2,FALSE)
),
IF(Info!$B$4="Board program",
IF(OR(AND(AA$5&gt;0,AA$5&gt;100),AND(AA$5&gt;0,AA$5&lt;100)),
VLOOKUP(FLOOR((Midterm!AA84/AA$5)*100,1),new_transmute,3,FALSE),
VLOOKUP(Midterm!AA84,new_transmute,3,FALSE)
),
IF(Info!$B$4="Board program (Medicine)",
IF(OR(AND(AA$5&gt;0,AA$5&gt;100),AND(AA$5&gt;0,AA$5&lt;100)),
VLOOKUP(FLOOR((Midterm!AA84/AA$5)*100,1),new_transmute,4,FALSE),
VLOOKUP(Midterm!AA84,new_transmute,4,FALSE)
),
""
)
)
)
)
)
)
)
)
))</f>
        <v/>
      </c>
      <c r="AB84" s="14" t="str">
        <f>IF($B84="","",
IF(AB$5="","",
IF(Midterm!AB84="",0,
IF(NOT(ISNUMBER(Midterm!AB84)),"NAN",
IF(Midterm!AB84&lt;0,"NEG",
IF(Midterm!AB84&gt;AB$5,"OVER",
IF(AND(AB$5&lt;=100,Midterm!AB84&gt;100),"ERR",
IF(Info!$B$4="Non-board program",
IF(OR(AND(AB$5&gt;0,AB$5&gt;100),AND(AB$5&gt;0,AB$5&lt;100)),
VLOOKUP(FLOOR((Midterm!AB84/AB$5)*100,1),new_transmute,2,FALSE),
VLOOKUP(Midterm!AB84,new_transmute,2,FALSE)
),
IF(Info!$B$4="Board program",
IF(OR(AND(AB$5&gt;0,AB$5&gt;100),AND(AB$5&gt;0,AB$5&lt;100)),
VLOOKUP(FLOOR((Midterm!AB84/AB$5)*100,1),new_transmute,3,FALSE),
VLOOKUP(Midterm!AB84,new_transmute,3,FALSE)
),
IF(Info!$B$4="Board program (Medicine)",
IF(OR(AND(AB$5&gt;0,AB$5&gt;100),AND(AB$5&gt;0,AB$5&lt;100)),
VLOOKUP(FLOOR((Midterm!AB84/AB$5)*100,1),new_transmute,4,FALSE),
VLOOKUP(Midterm!AB84,new_transmute,4,FALSE)
),
""
)
)
)
)
)
)
)
)
))</f>
        <v/>
      </c>
      <c r="AC84" s="14" t="str">
        <f>IF($B84="","",
IF(AC$5="","",
IF(Midterm!AC84="",0,
IF(NOT(ISNUMBER(Midterm!AC84)),"NAN",
IF(Midterm!AC84&lt;0,"NEG",
IF(Midterm!AC84&gt;AC$5,"OVER",
IF(AND(AC$5&lt;=100,Midterm!AC84&gt;100),"ERR",
IF(Info!$B$4="Non-board program",
IF(OR(AND(AC$5&gt;0,AC$5&gt;100),AND(AC$5&gt;0,AC$5&lt;100)),
VLOOKUP(FLOOR((Midterm!AC84/AC$5)*100,1),new_transmute,2,FALSE),
VLOOKUP(Midterm!AC84,new_transmute,2,FALSE)
),
IF(Info!$B$4="Board program",
IF(OR(AND(AC$5&gt;0,AC$5&gt;100),AND(AC$5&gt;0,AC$5&lt;100)),
VLOOKUP(FLOOR((Midterm!AC84/AC$5)*100,1),new_transmute,3,FALSE),
VLOOKUP(Midterm!AC84,new_transmute,3,FALSE)
),
IF(Info!$B$4="Board program (Medicine)",
IF(OR(AND(AC$5&gt;0,AC$5&gt;100),AND(AC$5&gt;0,AC$5&lt;100)),
VLOOKUP(FLOOR((Midterm!AC84/AC$5)*100,1),new_transmute,4,FALSE),
VLOOKUP(Midterm!AC84,new_transmute,4,FALSE)
),
""
)
)
)
)
)
)
)
)
))</f>
        <v/>
      </c>
      <c r="AD84" s="14" t="str">
        <f>IF($B84="","",
IF(AD$5="","",
IF(Midterm!AD84="",0,
IF(NOT(ISNUMBER(Midterm!AD84)),"NAN",
IF(Midterm!AD84&lt;0,"NEG",
IF(Midterm!AD84&gt;AD$5,"OVER",
IF(AND(AD$5&lt;=100,Midterm!AD84&gt;100),"ERR",
IF(Info!$B$4="Non-board program",
IF(OR(AND(AD$5&gt;0,AD$5&gt;100),AND(AD$5&gt;0,AD$5&lt;100)),
VLOOKUP(FLOOR((Midterm!AD84/AD$5)*100,1),new_transmute,2,FALSE),
VLOOKUP(Midterm!AD84,new_transmute,2,FALSE)
),
IF(Info!$B$4="Board program",
IF(OR(AND(AD$5&gt;0,AD$5&gt;100),AND(AD$5&gt;0,AD$5&lt;100)),
VLOOKUP(FLOOR((Midterm!AD84/AD$5)*100,1),new_transmute,3,FALSE),
VLOOKUP(Midterm!AD84,new_transmute,3,FALSE)
),
IF(Info!$B$4="Board program (Medicine)",
IF(OR(AND(AD$5&gt;0,AD$5&gt;100),AND(AD$5&gt;0,AD$5&lt;100)),
VLOOKUP(FLOOR((Midterm!AD84/AD$5)*100,1),new_transmute,4,FALSE),
VLOOKUP(Midterm!AD84,new_transmute,4,FALSE)
),
""
)
)
)
)
)
)
)
)
))</f>
        <v/>
      </c>
      <c r="AE84" s="58" t="str">
        <f t="shared" si="15"/>
        <v/>
      </c>
      <c r="AF84" s="14" t="str">
        <f>IF($B84="","",
IF(AF$5="","",
IF(Midterm!AF84="",0,
IF(NOT(ISNUMBER(Midterm!AF84)),"NAN",
IF(Midterm!AF84&lt;0,"NEG",
IF(Midterm!AF84&gt;AF$5,"OVER",
IF(AND(AF$5&lt;=100,Midterm!AF84&gt;100),"ERR",
IF(Info!$B$4="Non-board program",
IF(OR(AND(AF$5&gt;0,AF$5&gt;100),AND(AF$5&gt;0,AF$5&lt;100)),
VLOOKUP(FLOOR((Midterm!AF84/AF$5)*100,1),new_transmute,2,FALSE),
VLOOKUP(Midterm!AF84,new_transmute,2,FALSE)
),
IF(Info!$B$4="Board program",
IF(OR(AND(AF$5&gt;0,AF$5&gt;100),AND(AF$5&gt;0,AF$5&lt;100)),
VLOOKUP(FLOOR((Midterm!AF84/AF$5)*100,1),new_transmute,3,FALSE),
VLOOKUP(Midterm!AF84,new_transmute,3,FALSE)
),
IF(Info!$B$4="Board program (Medicine)",
IF(OR(AND(AF$5&gt;0,AF$5&gt;100),AND(AF$5&gt;0,AF$5&lt;100)),
VLOOKUP(FLOOR((Midterm!AF84/AF$5)*100,1),new_transmute,4,FALSE),
VLOOKUP(Midterm!AF84,new_transmute,4,FALSE)
),
""
)
)
)
)
)
)
)
)
))</f>
        <v/>
      </c>
      <c r="AG84" s="14" t="str">
        <f>IF($B84="","",
IF(AG$5="","",
IF(Midterm!AG84="",0,
IF(NOT(ISNUMBER(Midterm!AG84)),"NAN",
IF(Midterm!AG84&lt;0,"NEG",
IF(Midterm!AG84&gt;AG$5,"OVER",
IF(AND(AG$5&lt;=100,Midterm!AG84&gt;100),"ERR",
IF(Info!$B$4="Non-board program",
IF(OR(AND(AG$5&gt;0,AG$5&gt;100),AND(AG$5&gt;0,AG$5&lt;100)),
VLOOKUP(FLOOR((Midterm!AG84/AG$5)*100,1),new_transmute,2,FALSE),
VLOOKUP(Midterm!AG84,new_transmute,2,FALSE)
),
IF(Info!$B$4="Board program",
IF(OR(AND(AG$5&gt;0,AG$5&gt;100),AND(AG$5&gt;0,AG$5&lt;100)),
VLOOKUP(FLOOR((Midterm!AG84/AG$5)*100,1),new_transmute,3,FALSE),
VLOOKUP(Midterm!AG84,new_transmute,3,FALSE)
),
IF(Info!$B$4="Board program (Medicine)",
IF(OR(AND(AG$5&gt;0,AG$5&gt;100),AND(AG$5&gt;0,AG$5&lt;100)),
VLOOKUP(FLOOR((Midterm!AG84/AG$5)*100,1),new_transmute,4,FALSE),
VLOOKUP(Midterm!AG84,new_transmute,4,FALSE)
),
""
)
)
)
)
)
)
)
)
))</f>
        <v/>
      </c>
      <c r="AH84" s="14" t="str">
        <f>IF($B84="","",
IF(AH$5="","",
IF(Midterm!AH84="",0,
IF(NOT(ISNUMBER(Midterm!AH84)),"NAN",
IF(Midterm!AH84&lt;0,"NEG",
IF(Midterm!AH84&gt;AH$5,"OVER",
IF(AND(AH$5&lt;=100,Midterm!AH84&gt;100),"ERR",
IF(Info!$B$4="Non-board program",
IF(OR(AND(AH$5&gt;0,AH$5&gt;100),AND(AH$5&gt;0,AH$5&lt;100)),
VLOOKUP(FLOOR((Midterm!AH84/AH$5)*100,1),new_transmute,2,FALSE),
VLOOKUP(Midterm!AH84,new_transmute,2,FALSE)
),
IF(Info!$B$4="Board program",
IF(OR(AND(AH$5&gt;0,AH$5&gt;100),AND(AH$5&gt;0,AH$5&lt;100)),
VLOOKUP(FLOOR((Midterm!AH84/AH$5)*100,1),new_transmute,3,FALSE),
VLOOKUP(Midterm!AH84,new_transmute,3,FALSE)
),
IF(Info!$B$4="Board program (Medicine)",
IF(OR(AND(AH$5&gt;0,AH$5&gt;100),AND(AH$5&gt;0,AH$5&lt;100)),
VLOOKUP(FLOOR((Midterm!AH84/AH$5)*100,1),new_transmute,4,FALSE),
VLOOKUP(Midterm!AH84,new_transmute,4,FALSE)
),
""
)
)
)
)
)
)
)
)
))</f>
        <v/>
      </c>
      <c r="AI84" s="14" t="str">
        <f>IF($B84="","",
IF(AI$5="","",
IF(Midterm!AI84="",0,
IF(NOT(ISNUMBER(Midterm!AI84)),"NAN",
IF(Midterm!AI84&lt;0,"NEG",
IF(Midterm!AI84&gt;AI$5,"OVER",
IF(AND(AI$5&lt;=100,Midterm!AI84&gt;100),"ERR",
IF(Info!$B$4="Non-board program",
IF(OR(AND(AI$5&gt;0,AI$5&gt;100),AND(AI$5&gt;0,AI$5&lt;100)),
VLOOKUP(FLOOR((Midterm!AI84/AI$5)*100,1),new_transmute,2,FALSE),
VLOOKUP(Midterm!AI84,new_transmute,2,FALSE)
),
IF(Info!$B$4="Board program",
IF(OR(AND(AI$5&gt;0,AI$5&gt;100),AND(AI$5&gt;0,AI$5&lt;100)),
VLOOKUP(FLOOR((Midterm!AI84/AI$5)*100,1),new_transmute,3,FALSE),
VLOOKUP(Midterm!AI84,new_transmute,3,FALSE)
),
IF(Info!$B$4="Board program (Medicine)",
IF(OR(AND(AI$5&gt;0,AI$5&gt;100),AND(AI$5&gt;0,AI$5&lt;100)),
VLOOKUP(FLOOR((Midterm!AI84/AI$5)*100,1),new_transmute,4,FALSE),
VLOOKUP(Midterm!AI84,new_transmute,4,FALSE)
),
""
)
)
)
)
)
)
)
)
))</f>
        <v/>
      </c>
      <c r="AJ84" s="14" t="str">
        <f>IF($B84="","",
IF(AJ$5="","",
IF(Midterm!AJ84="",0,
IF(NOT(ISNUMBER(Midterm!AJ84)),"NAN",
IF(Midterm!AJ84&lt;0,"NEG",
IF(Midterm!AJ84&gt;AJ$5,"OVER",
IF(AND(AJ$5&lt;=100,Midterm!AJ84&gt;100),"ERR",
IF(Info!$B$4="Non-board program",
IF(OR(AND(AJ$5&gt;0,AJ$5&gt;100),AND(AJ$5&gt;0,AJ$5&lt;100)),
VLOOKUP(FLOOR((Midterm!AJ84/AJ$5)*100,1),new_transmute,2,FALSE),
VLOOKUP(Midterm!AJ84,new_transmute,2,FALSE)
),
IF(Info!$B$4="Board program",
IF(OR(AND(AJ$5&gt;0,AJ$5&gt;100),AND(AJ$5&gt;0,AJ$5&lt;100)),
VLOOKUP(FLOOR((Midterm!AJ84/AJ$5)*100,1),new_transmute,3,FALSE),
VLOOKUP(Midterm!AJ84,new_transmute,3,FALSE)
),
IF(Info!$B$4="Board program (Medicine)",
IF(OR(AND(AJ$5&gt;0,AJ$5&gt;100),AND(AJ$5&gt;0,AJ$5&lt;100)),
VLOOKUP(FLOOR((Midterm!AJ84/AJ$5)*100,1),new_transmute,4,FALSE),
VLOOKUP(Midterm!AJ84,new_transmute,4,FALSE)
),
""
)
)
)
)
)
)
)
)
))</f>
        <v/>
      </c>
      <c r="AK84" s="59" t="str">
        <f t="shared" si="16"/>
        <v/>
      </c>
      <c r="AL84" s="60" t="str">
        <f>IF(B84="", "",
    IF(OR(M84="OVER", S84="OVER", Y84="OVER", AE84="OVER", AK84="OVER"),
        "OVER",
        IF(Info!$B$4="Non-board program",
            VLOOKUP(IFERROR(FLOOR(SUM((M84*$M$4), (S84*$S$4), (Y84*$Y$4), (AE84*$AE$4), (AK84*$AK$4)) * (100 / 60), 1), 0), new_transmute, 2, FALSE),
            IF(Info!$B$4="Board program",
                VLOOKUP(IFERROR(FLOOR(SUM((M84*$M$4), (S84*$S$4), (Y84*$Y$4), (AE84*$AE$4), (AK84*$AK$4)) * (100 / 60), 1), 0), new_transmute, 3, FALSE),
                IF(Info!$B$4="Board program (Medicine)",
                    VLOOKUP(IFERROR(FLOOR(SUM((M84*$M$4), (S84*$S$4), (Y84*$Y$4), (AE84*$AE$4), (AK84*$AK$4)) * (100 / 60), 1), 0), new_transmute, 4, FALSE),
                    ""
                )
            )
        )
    )
)</f>
        <v/>
      </c>
      <c r="AM84" s="14" t="str">
        <f>IF($B84="","",
IF(AM$5="","",
IF(Midterm!AM84="",0,
IF(NOT(ISNUMBER(Midterm!AM84)),"NAN",
IF(Midterm!AM84&lt;0,"NEG",
IF(Midterm!AM84&gt;AM$5,"OVER",
IF(AND(AM$5&lt;=100,Midterm!AM84&gt;100),"ERR",
IF(Info!$B$4="Non-board program",
IF(OR(AND(AM$5&gt;0,AM$5&gt;100),AND(AM$5&gt;0,AM$5&lt;100)),
VLOOKUP(FLOOR((Midterm!AM84/AM$5)*100,1),new_transmute,2,FALSE),
VLOOKUP(Midterm!AM84,new_transmute,2,FALSE)
),
IF(Info!$B$4="Board program",
IF(OR(AND(AM$5&gt;0,AM$5&gt;100),AND(AM$5&gt;0,AM$5&lt;100)),
VLOOKUP(FLOOR((Midterm!AM84/AM$5)*100,1),new_transmute,3,FALSE),
VLOOKUP(Midterm!AM84,new_transmute,3,FALSE)
),
IF(Info!$B$4="Board program (Medicine)",
IF(OR(AND(AM$5&gt;0,AM$5&gt;100),AND(AM$5&gt;0,AM$5&lt;100)),
VLOOKUP(FLOOR((Midterm!AM84/AM$5)*100,1),new_transmute,4,FALSE),
VLOOKUP(Midterm!AM84,new_transmute,4,FALSE)
),
""
)
)
)
)
)
)
)
)
))</f>
        <v/>
      </c>
      <c r="AN84" s="14" t="str">
        <f>IF($B84="","",
IF(AN$5="","",
IF(Midterm!AN84="",0,
IF(NOT(ISNUMBER(Midterm!AN84)),"NAN",
IF(Midterm!AN84&lt;0,"NEG",
IF(Midterm!AN84&gt;AN$5,"OVER",
IF(AND(AN$5&lt;=100,Midterm!AN84&gt;100),"ERR",
IF(Info!$B$4="Non-board program",
IF(OR(AND(AN$5&gt;0,AN$5&gt;100),AND(AN$5&gt;0,AN$5&lt;100)),
VLOOKUP(FLOOR((Midterm!AN84/AN$5)*100,1),new_transmute,2,FALSE),
VLOOKUP(Midterm!AN84,new_transmute,2,FALSE)
),
IF(Info!$B$4="Board program",
IF(OR(AND(AN$5&gt;0,AN$5&gt;100),AND(AN$5&gt;0,AN$5&lt;100)),
VLOOKUP(FLOOR((Midterm!AN84/AN$5)*100,1),new_transmute,3,FALSE),
VLOOKUP(Midterm!AN84,new_transmute,3,FALSE)
),
IF(Info!$B$4="Board program (Medicine)",
IF(OR(AND(AN$5&gt;0,AN$5&gt;100),AND(AN$5&gt;0,AN$5&lt;100)),
VLOOKUP(FLOOR((Midterm!AN84/AN$5)*100,1),new_transmute,4,FALSE),
VLOOKUP(Midterm!AN84,new_transmute,4,FALSE)
),
""
)
)
)
)
)
)
)
)
))</f>
        <v/>
      </c>
      <c r="AO84" s="14" t="str">
        <f>IF($B84="","",
IF(AO$5="","",
IF(Midterm!AO84="",0,
IF(NOT(ISNUMBER(Midterm!AO84)),"NAN",
IF(Midterm!AO84&lt;0,"NEG",
IF(Midterm!AO84&gt;AO$5,"OVER",
IF(AND(AO$5&lt;=100,Midterm!AO84&gt;100),"ERR",
IF(Info!$B$4="Non-board program",
IF(OR(AND(AO$5&gt;0,AO$5&gt;100),AND(AO$5&gt;0,AO$5&lt;100)),
VLOOKUP(FLOOR((Midterm!AO84/AO$5)*100,1),new_transmute,2,FALSE),
VLOOKUP(Midterm!AO84,new_transmute,2,FALSE)
),
IF(Info!$B$4="Board program",
IF(OR(AND(AO$5&gt;0,AO$5&gt;100),AND(AO$5&gt;0,AO$5&lt;100)),
VLOOKUP(FLOOR((Midterm!AO84/AO$5)*100,1),new_transmute,3,FALSE),
VLOOKUP(Midterm!AO84,new_transmute,3,FALSE)
),
IF(Info!$B$4="Board program (Medicine)",
IF(OR(AND(AO$5&gt;0,AO$5&gt;100),AND(AO$5&gt;0,AO$5&lt;100)),
VLOOKUP(FLOOR((Midterm!AO84/AO$5)*100,1),new_transmute,4,FALSE),
VLOOKUP(Midterm!AO84,new_transmute,4,FALSE)
),
""
)
)
)
)
)
)
)
)
))</f>
        <v/>
      </c>
      <c r="AP84" s="14" t="str">
        <f>IF($B84="","",
IF(AP$5="","",
IF(Midterm!AP84="",0,
IF(NOT(ISNUMBER(Midterm!AP84)),"NAN",
IF(Midterm!AP84&lt;0,"NEG",
IF(Midterm!AP84&gt;AP$5,"OVER",
IF(AND(AP$5&lt;=100,Midterm!AP84&gt;100),"ERR",
IF(Info!$B$4="Non-board program",
IF(OR(AND(AP$5&gt;0,AP$5&gt;100),AND(AP$5&gt;0,AP$5&lt;100)),
VLOOKUP(FLOOR((Midterm!AP84/AP$5)*100,1),new_transmute,2,FALSE),
VLOOKUP(Midterm!AP84,new_transmute,2,FALSE)
),
IF(Info!$B$4="Board program",
IF(OR(AND(AP$5&gt;0,AP$5&gt;100),AND(AP$5&gt;0,AP$5&lt;100)),
VLOOKUP(FLOOR((Midterm!AP84/AP$5)*100,1),new_transmute,3,FALSE),
VLOOKUP(Midterm!AP84,new_transmute,3,FALSE)
),
IF(Info!$B$4="Board program (Medicine)",
IF(OR(AND(AP$5&gt;0,AP$5&gt;100),AND(AP$5&gt;0,AP$5&lt;100)),
VLOOKUP(FLOOR((Midterm!AP84/AP$5)*100,1),new_transmute,4,FALSE),
VLOOKUP(Midterm!AP84,new_transmute,4,FALSE)
),
""
)
)
)
)
)
)
)
)
))</f>
        <v/>
      </c>
      <c r="AQ84" s="61" t="str">
        <f t="shared" si="17"/>
        <v/>
      </c>
      <c r="AR84" s="48" t="str">
        <f>IF(Midterm!AR84="","",Midterm!AR84)</f>
        <v/>
      </c>
      <c r="AS84" s="165" t="str">
        <f t="shared" si="18"/>
        <v/>
      </c>
      <c r="AT84" s="14" t="str">
        <f t="shared" si="19"/>
        <v/>
      </c>
      <c r="AU84" s="14" t="str">
        <f>IF(B84="","",VLOOKUP(AT84,'New Grade Equivalent'!$B$3:$C$47,2,FALSE))</f>
        <v/>
      </c>
    </row>
    <row r="85" spans="1:47" x14ac:dyDescent="0.25">
      <c r="A85" s="8">
        <v>80</v>
      </c>
      <c r="B85" s="2" t="str">
        <f>IF('Student List'!C89="","",UPPER(LEFT('Student List'!C89,FIND(",",'Student List'!C89)-1)))</f>
        <v/>
      </c>
      <c r="C85" s="12" t="str">
        <f>IF('Student List'!C89="","",PROPER(MID('Student List'!C89, FIND(",", 'Student List'!C89) + 2, LEN('Student List'!C89) - FIND(",", 'Student List'!C89) - 1)))</f>
        <v/>
      </c>
      <c r="D85" s="127" t="str">
        <f>IF(B85="","",IF(Midterm!D85="", "NA", Midterm!D85))</f>
        <v/>
      </c>
      <c r="E85" s="8" t="str">
        <f>IF(B85="","",
  IF(Info!$B$5="First Year",
    IF(D85="Yes", "DRP",
      IF(D85="No", "WF", "")
    )
  )
)</f>
        <v/>
      </c>
      <c r="F85" s="14" t="str">
        <f>IF($B85="","",
IF(F$5="","",
IF(Midterm!F85="",0,
IF(NOT(ISNUMBER(Midterm!F85)),"NAN",
IF(Midterm!F85&lt;0,"NEG",
IF(Midterm!F85&gt;F$5,"OVER",
IF(AND(F$5&lt;=100,Midterm!F85&gt;100),"ERR",
IF(Info!$B$4="Non-board program",
IF(OR(AND(F$5&gt;0,F$5&gt;100),AND(F$5&gt;0,F$5&lt;100)),
VLOOKUP(FLOOR((Midterm!F85/F$5)*100,1),new_transmute,2,FALSE),
VLOOKUP(Midterm!F85,new_transmute,2,FALSE)
),
IF(Info!$B$4="Board program",
IF(OR(AND(F$5&gt;0,F$5&gt;100),AND(F$5&gt;0,F$5&lt;100)),
VLOOKUP(FLOOR((Midterm!F85/F$5)*100,1),new_transmute,3,FALSE),
VLOOKUP(Midterm!F85,new_transmute,3,FALSE)
),
IF(Info!$B$4="Board program (Medicine)",
IF(OR(AND(F$5&gt;0,F$5&gt;100),AND(F$5&gt;0,F$5&lt;100)),
VLOOKUP(FLOOR((Midterm!F85/F$5)*100,1),new_transmute,4,FALSE),
VLOOKUP(Midterm!F85,new_transmute,4,FALSE)
),
""
)
)
)
)
)
)
)
)
))</f>
        <v/>
      </c>
      <c r="G85" s="57" t="str">
        <f t="shared" si="11"/>
        <v/>
      </c>
      <c r="H85" s="14" t="str">
        <f>IF($B85="","",
IF(H$5="","",
IF(Midterm!H85="",0,
IF(NOT(ISNUMBER(Midterm!H85)),"NAN",
IF(Midterm!H85&lt;0,"NEG",
IF(Midterm!H85&gt;H$5,"OVER",
IF(AND(H$5&lt;=100,Midterm!H85&gt;100),"ERR",
IF(Info!$B$4="Non-board program",
IF(OR(AND(H$5&gt;0,H$5&gt;100),AND(H$5&gt;0,H$5&lt;100)),
VLOOKUP(FLOOR((Midterm!H85/H$5)*100,1),new_transmute,2,FALSE),
VLOOKUP(Midterm!H85,new_transmute,2,FALSE)
),
IF(Info!$B$4="Board program",
IF(OR(AND(H$5&gt;0,H$5&gt;100),AND(H$5&gt;0,H$5&lt;100)),
VLOOKUP(FLOOR((Midterm!H85/H$5)*100,1),new_transmute,3,FALSE),
VLOOKUP(Midterm!H85,new_transmute,3,FALSE)
),
IF(Info!$B$4="Board program (Medicine)",
IF(OR(AND(H$5&gt;0,H$5&gt;100),AND(H$5&gt;0,H$5&lt;100)),
VLOOKUP(FLOOR((Midterm!H85/H$5)*100,1),new_transmute,4,FALSE),
VLOOKUP(Midterm!H85,new_transmute,4,FALSE)
),
""
)
)
)
)
)
)
)
)
))</f>
        <v/>
      </c>
      <c r="I85" s="14" t="str">
        <f>IF($B85="","",
IF(I$5="","",
IF(Midterm!I85="",0,
IF(NOT(ISNUMBER(Midterm!I85)),"NAN",
IF(Midterm!I85&lt;0,"NEG",
IF(Midterm!I85&gt;I$5,"OVER",
IF(AND(I$5&lt;=100,Midterm!I85&gt;100),"ERR",
IF(Info!$B$4="Non-board program",
IF(OR(AND(I$5&gt;0,I$5&gt;100),AND(I$5&gt;0,I$5&lt;100)),
VLOOKUP(FLOOR((Midterm!I85/I$5)*100,1),new_transmute,2,FALSE),
VLOOKUP(Midterm!I85,new_transmute,2,FALSE)
),
IF(Info!$B$4="Board program",
IF(OR(AND(I$5&gt;0,I$5&gt;100),AND(I$5&gt;0,I$5&lt;100)),
VLOOKUP(FLOOR((Midterm!I85/I$5)*100,1),new_transmute,3,FALSE),
VLOOKUP(Midterm!I85,new_transmute,3,FALSE)
),
IF(Info!$B$4="Board program (Medicine)",
IF(OR(AND(I$5&gt;0,I$5&gt;100),AND(I$5&gt;0,I$5&lt;100)),
VLOOKUP(FLOOR((Midterm!I85/I$5)*100,1),new_transmute,4,FALSE),
VLOOKUP(Midterm!I85,new_transmute,4,FALSE)
),
""
)
)
)
)
)
)
)
)
))</f>
        <v/>
      </c>
      <c r="J85" s="14" t="str">
        <f>IF($B85="","",
IF(J$5="","",
IF(Midterm!J85="",0,
IF(NOT(ISNUMBER(Midterm!J85)),"NAN",
IF(Midterm!J85&lt;0,"NEG",
IF(Midterm!J85&gt;J$5,"OVER",
IF(AND(J$5&lt;=100,Midterm!J85&gt;100),"ERR",
IF(Info!$B$4="Non-board program",
IF(OR(AND(J$5&gt;0,J$5&gt;100),AND(J$5&gt;0,J$5&lt;100)),
VLOOKUP(FLOOR((Midterm!J85/J$5)*100,1),new_transmute,2,FALSE),
VLOOKUP(Midterm!J85,new_transmute,2,FALSE)
),
IF(Info!$B$4="Board program",
IF(OR(AND(J$5&gt;0,J$5&gt;100),AND(J$5&gt;0,J$5&lt;100)),
VLOOKUP(FLOOR((Midterm!J85/J$5)*100,1),new_transmute,3,FALSE),
VLOOKUP(Midterm!J85,new_transmute,3,FALSE)
),
IF(Info!$B$4="Board program (Medicine)",
IF(OR(AND(J$5&gt;0,J$5&gt;100),AND(J$5&gt;0,J$5&lt;100)),
VLOOKUP(FLOOR((Midterm!J85/J$5)*100,1),new_transmute,4,FALSE),
VLOOKUP(Midterm!J85,new_transmute,4,FALSE)
),
""
)
)
)
)
)
)
)
)
))</f>
        <v/>
      </c>
      <c r="K85" s="14" t="str">
        <f>IF($B85="","",
IF(K$5="","",
IF(Midterm!K85="",0,
IF(NOT(ISNUMBER(Midterm!K85)),"NAN",
IF(Midterm!K85&lt;0,"NEG",
IF(Midterm!K85&gt;K$5,"OVER",
IF(AND(K$5&lt;=100,Midterm!K85&gt;100),"ERR",
IF(Info!$B$4="Non-board program",
IF(OR(AND(K$5&gt;0,K$5&gt;100),AND(K$5&gt;0,K$5&lt;100)),
VLOOKUP(FLOOR((Midterm!K85/K$5)*100,1),new_transmute,2,FALSE),
VLOOKUP(Midterm!K85,new_transmute,2,FALSE)
),
IF(Info!$B$4="Board program",
IF(OR(AND(K$5&gt;0,K$5&gt;100),AND(K$5&gt;0,K$5&lt;100)),
VLOOKUP(FLOOR((Midterm!K85/K$5)*100,1),new_transmute,3,FALSE),
VLOOKUP(Midterm!K85,new_transmute,3,FALSE)
),
IF(Info!$B$4="Board program (Medicine)",
IF(OR(AND(K$5&gt;0,K$5&gt;100),AND(K$5&gt;0,K$5&lt;100)),
VLOOKUP(FLOOR((Midterm!K85/K$5)*100,1),new_transmute,4,FALSE),
VLOOKUP(Midterm!K85,new_transmute,4,FALSE)
),
""
)
)
)
)
)
)
)
)
))</f>
        <v/>
      </c>
      <c r="L85" s="14" t="str">
        <f>IF($B85="","",
IF(L$5="","",
IF(Midterm!L85="",0,
IF(NOT(ISNUMBER(Midterm!L85)),"NAN",
IF(Midterm!L85&lt;0,"NEG",
IF(Midterm!L85&gt;L$5,"OVER",
IF(AND(L$5&lt;=100,Midterm!L85&gt;100),"ERR",
IF(Info!$B$4="Non-board program",
IF(OR(AND(L$5&gt;0,L$5&gt;100),AND(L$5&gt;0,L$5&lt;100)),
VLOOKUP(FLOOR((Midterm!L85/L$5)*100,1),new_transmute,2,FALSE),
VLOOKUP(Midterm!L85,new_transmute,2,FALSE)
),
IF(Info!$B$4="Board program",
IF(OR(AND(L$5&gt;0,L$5&gt;100),AND(L$5&gt;0,L$5&lt;100)),
VLOOKUP(FLOOR((Midterm!L85/L$5)*100,1),new_transmute,3,FALSE),
VLOOKUP(Midterm!L85,new_transmute,3,FALSE)
),
IF(Info!$B$4="Board program (Medicine)",
IF(OR(AND(L$5&gt;0,L$5&gt;100),AND(L$5&gt;0,L$5&lt;100)),
VLOOKUP(FLOOR((Midterm!L85/L$5)*100,1),new_transmute,4,FALSE),
VLOOKUP(Midterm!L85,new_transmute,4,FALSE)
),
""
)
)
)
)
)
)
)
)
))</f>
        <v/>
      </c>
      <c r="M85" s="111" t="str">
        <f t="shared" si="12"/>
        <v/>
      </c>
      <c r="N85" s="14" t="str">
        <f>IF($B85="","",
IF(N$5="","",
IF(Midterm!N85="",0,
IF(NOT(ISNUMBER(Midterm!N85)),"NAN",
IF(Midterm!N85&lt;0,"NEG",
IF(Midterm!N85&gt;N$5,"OVER",
IF(AND(N$5&lt;=100,Midterm!N85&gt;100),"ERR",
IF(Info!$B$4="Non-board program",
IF(OR(AND(N$5&gt;0,N$5&gt;100),AND(N$5&gt;0,N$5&lt;100)),
VLOOKUP(FLOOR((Midterm!N85/N$5)*100,1),new_transmute,2,FALSE),
VLOOKUP(Midterm!N85,new_transmute,2,FALSE)
),
IF(Info!$B$4="Board program",
IF(OR(AND(N$5&gt;0,N$5&gt;100),AND(N$5&gt;0,N$5&lt;100)),
VLOOKUP(FLOOR((Midterm!N85/N$5)*100,1),new_transmute,3,FALSE),
VLOOKUP(Midterm!N85,new_transmute,3,FALSE)
),
IF(Info!$B$4="Board program (Medicine)",
IF(OR(AND(N$5&gt;0,N$5&gt;100),AND(N$5&gt;0,N$5&lt;100)),
VLOOKUP(FLOOR((Midterm!N85/N$5)*100,1),new_transmute,4,FALSE),
VLOOKUP(Midterm!N85,new_transmute,4,FALSE)
),
""
)
)
)
)
)
)
)
)
))</f>
        <v/>
      </c>
      <c r="O85" s="14" t="str">
        <f>IF($B85="","",
IF(O$5="","",
IF(Midterm!O85="",0,
IF(NOT(ISNUMBER(Midterm!O85)),"NAN",
IF(Midterm!O85&lt;0,"NEG",
IF(Midterm!O85&gt;O$5,"OVER",
IF(AND(O$5&lt;=100,Midterm!O85&gt;100),"ERR",
IF(Info!$B$4="Non-board program",
IF(OR(AND(O$5&gt;0,O$5&gt;100),AND(O$5&gt;0,O$5&lt;100)),
VLOOKUP(FLOOR((Midterm!O85/O$5)*100,1),new_transmute,2,FALSE),
VLOOKUP(Midterm!O85,new_transmute,2,FALSE)
),
IF(Info!$B$4="Board program",
IF(OR(AND(O$5&gt;0,O$5&gt;100),AND(O$5&gt;0,O$5&lt;100)),
VLOOKUP(FLOOR((Midterm!O85/O$5)*100,1),new_transmute,3,FALSE),
VLOOKUP(Midterm!O85,new_transmute,3,FALSE)
),
IF(Info!$B$4="Board program (Medicine)",
IF(OR(AND(O$5&gt;0,O$5&gt;100),AND(O$5&gt;0,O$5&lt;100)),
VLOOKUP(FLOOR((Midterm!O85/O$5)*100,1),new_transmute,4,FALSE),
VLOOKUP(Midterm!O85,new_transmute,4,FALSE)
),
""
)
)
)
)
)
)
)
)
))</f>
        <v/>
      </c>
      <c r="P85" s="14" t="str">
        <f>IF($B85="","",
IF(P$5="","",
IF(Midterm!P85="",0,
IF(NOT(ISNUMBER(Midterm!P85)),"NAN",
IF(Midterm!P85&lt;0,"NEG",
IF(Midterm!P85&gt;P$5,"OVER",
IF(AND(P$5&lt;=100,Midterm!P85&gt;100),"ERR",
IF(Info!$B$4="Non-board program",
IF(OR(AND(P$5&gt;0,P$5&gt;100),AND(P$5&gt;0,P$5&lt;100)),
VLOOKUP(FLOOR((Midterm!P85/P$5)*100,1),new_transmute,2,FALSE),
VLOOKUP(Midterm!P85,new_transmute,2,FALSE)
),
IF(Info!$B$4="Board program",
IF(OR(AND(P$5&gt;0,P$5&gt;100),AND(P$5&gt;0,P$5&lt;100)),
VLOOKUP(FLOOR((Midterm!P85/P$5)*100,1),new_transmute,3,FALSE),
VLOOKUP(Midterm!P85,new_transmute,3,FALSE)
),
IF(Info!$B$4="Board program (Medicine)",
IF(OR(AND(P$5&gt;0,P$5&gt;100),AND(P$5&gt;0,P$5&lt;100)),
VLOOKUP(FLOOR((Midterm!P85/P$5)*100,1),new_transmute,4,FALSE),
VLOOKUP(Midterm!P85,new_transmute,4,FALSE)
),
""
)
)
)
)
)
)
)
)
))</f>
        <v/>
      </c>
      <c r="Q85" s="14" t="str">
        <f>IF($B85="","",
IF(Q$5="","",
IF(Midterm!Q85="",0,
IF(NOT(ISNUMBER(Midterm!Q85)),"NAN",
IF(Midterm!Q85&lt;0,"NEG",
IF(Midterm!Q85&gt;Q$5,"OVER",
IF(AND(Q$5&lt;=100,Midterm!Q85&gt;100),"ERR",
IF(Info!$B$4="Non-board program",
IF(OR(AND(Q$5&gt;0,Q$5&gt;100),AND(Q$5&gt;0,Q$5&lt;100)),
VLOOKUP(FLOOR((Midterm!Q85/Q$5)*100,1),new_transmute,2,FALSE),
VLOOKUP(Midterm!Q85,new_transmute,2,FALSE)
),
IF(Info!$B$4="Board program",
IF(OR(AND(Q$5&gt;0,Q$5&gt;100),AND(Q$5&gt;0,Q$5&lt;100)),
VLOOKUP(FLOOR((Midterm!Q85/Q$5)*100,1),new_transmute,3,FALSE),
VLOOKUP(Midterm!Q85,new_transmute,3,FALSE)
),
IF(Info!$B$4="Board program (Medicine)",
IF(OR(AND(Q$5&gt;0,Q$5&gt;100),AND(Q$5&gt;0,Q$5&lt;100)),
VLOOKUP(FLOOR((Midterm!Q85/Q$5)*100,1),new_transmute,4,FALSE),
VLOOKUP(Midterm!Q85,new_transmute,4,FALSE)
),
""
)
)
)
)
)
)
)
)
))</f>
        <v/>
      </c>
      <c r="R85" s="14" t="str">
        <f>IF($B85="","",
IF(R$5="","",
IF(Midterm!R85="",0,
IF(NOT(ISNUMBER(Midterm!R85)),"NAN",
IF(Midterm!R85&lt;0,"NEG",
IF(Midterm!R85&gt;R$5,"OVER",
IF(AND(R$5&lt;=100,Midterm!R85&gt;100),"ERR",
IF(Info!$B$4="Non-board program",
IF(OR(AND(R$5&gt;0,R$5&gt;100),AND(R$5&gt;0,R$5&lt;100)),
VLOOKUP(FLOOR((Midterm!R85/R$5)*100,1),new_transmute,2,FALSE),
VLOOKUP(Midterm!R85,new_transmute,2,FALSE)
),
IF(Info!$B$4="Board program",
IF(OR(AND(R$5&gt;0,R$5&gt;100),AND(R$5&gt;0,R$5&lt;100)),
VLOOKUP(FLOOR((Midterm!R85/R$5)*100,1),new_transmute,3,FALSE),
VLOOKUP(Midterm!R85,new_transmute,3,FALSE)
),
IF(Info!$B$4="Board program (Medicine)",
IF(OR(AND(R$5&gt;0,R$5&gt;100),AND(R$5&gt;0,R$5&lt;100)),
VLOOKUP(FLOOR((Midterm!R85/R$5)*100,1),new_transmute,4,FALSE),
VLOOKUP(Midterm!R85,new_transmute,4,FALSE)
),
""
)
)
)
)
)
)
)
)
))</f>
        <v/>
      </c>
      <c r="S85" s="115" t="str">
        <f t="shared" si="13"/>
        <v/>
      </c>
      <c r="T85" s="14" t="str">
        <f>IF($B85="","",
IF(T$5="","",
IF(Midterm!T85="",0,
IF(NOT(ISNUMBER(Midterm!T85)),"NAN",
IF(Midterm!T85&lt;0,"NEG",
IF(Midterm!T85&gt;T$5,"OVER",
IF(AND(T$5&lt;=100,Midterm!T85&gt;100),"ERR",
IF(Info!$B$4="Non-board program",
IF(OR(AND(T$5&gt;0,T$5&gt;100),AND(T$5&gt;0,T$5&lt;100)),
VLOOKUP(FLOOR((Midterm!T85/T$5)*100,1),new_transmute,2,FALSE),
VLOOKUP(Midterm!T85,new_transmute,2,FALSE)
),
IF(Info!$B$4="Board program",
IF(OR(AND(T$5&gt;0,T$5&gt;100),AND(T$5&gt;0,T$5&lt;100)),
VLOOKUP(FLOOR((Midterm!T85/T$5)*100,1),new_transmute,3,FALSE),
VLOOKUP(Midterm!T85,new_transmute,3,FALSE)
),
IF(Info!$B$4="Board program (Medicine)",
IF(OR(AND(T$5&gt;0,T$5&gt;100),AND(T$5&gt;0,T$5&lt;100)),
VLOOKUP(FLOOR((Midterm!T85/T$5)*100,1),new_transmute,4,FALSE),
VLOOKUP(Midterm!T85,new_transmute,4,FALSE)
),
""
)
)
)
)
)
)
)
)
))</f>
        <v/>
      </c>
      <c r="U85" s="14" t="str">
        <f>IF($B85="","",
IF(U$5="","",
IF(Midterm!U85="",0,
IF(NOT(ISNUMBER(Midterm!U85)),"NAN",
IF(Midterm!U85&lt;0,"NEG",
IF(Midterm!U85&gt;U$5,"OVER",
IF(AND(U$5&lt;=100,Midterm!U85&gt;100),"ERR",
IF(Info!$B$4="Non-board program",
IF(OR(AND(U$5&gt;0,U$5&gt;100),AND(U$5&gt;0,U$5&lt;100)),
VLOOKUP(FLOOR((Midterm!U85/U$5)*100,1),new_transmute,2,FALSE),
VLOOKUP(Midterm!U85,new_transmute,2,FALSE)
),
IF(Info!$B$4="Board program",
IF(OR(AND(U$5&gt;0,U$5&gt;100),AND(U$5&gt;0,U$5&lt;100)),
VLOOKUP(FLOOR((Midterm!U85/U$5)*100,1),new_transmute,3,FALSE),
VLOOKUP(Midterm!U85,new_transmute,3,FALSE)
),
IF(Info!$B$4="Board program (Medicine)",
IF(OR(AND(U$5&gt;0,U$5&gt;100),AND(U$5&gt;0,U$5&lt;100)),
VLOOKUP(FLOOR((Midterm!U85/U$5)*100,1),new_transmute,4,FALSE),
VLOOKUP(Midterm!U85,new_transmute,4,FALSE)
),
""
)
)
)
)
)
)
)
)
))</f>
        <v/>
      </c>
      <c r="V85" s="14" t="str">
        <f>IF($B85="","",
IF(V$5="","",
IF(Midterm!V85="",0,
IF(NOT(ISNUMBER(Midterm!V85)),"NAN",
IF(Midterm!V85&lt;0,"NEG",
IF(Midterm!V85&gt;V$5,"OVER",
IF(AND(V$5&lt;=100,Midterm!V85&gt;100),"ERR",
IF(Info!$B$4="Non-board program",
IF(OR(AND(V$5&gt;0,V$5&gt;100),AND(V$5&gt;0,V$5&lt;100)),
VLOOKUP(FLOOR((Midterm!V85/V$5)*100,1),new_transmute,2,FALSE),
VLOOKUP(Midterm!V85,new_transmute,2,FALSE)
),
IF(Info!$B$4="Board program",
IF(OR(AND(V$5&gt;0,V$5&gt;100),AND(V$5&gt;0,V$5&lt;100)),
VLOOKUP(FLOOR((Midterm!V85/V$5)*100,1),new_transmute,3,FALSE),
VLOOKUP(Midterm!V85,new_transmute,3,FALSE)
),
IF(Info!$B$4="Board program (Medicine)",
IF(OR(AND(V$5&gt;0,V$5&gt;100),AND(V$5&gt;0,V$5&lt;100)),
VLOOKUP(FLOOR((Midterm!V85/V$5)*100,1),new_transmute,4,FALSE),
VLOOKUP(Midterm!V85,new_transmute,4,FALSE)
),
""
)
)
)
)
)
)
)
)
))</f>
        <v/>
      </c>
      <c r="W85" s="14" t="str">
        <f>IF($B85="","",
IF(W$5="","",
IF(Midterm!W85="",0,
IF(NOT(ISNUMBER(Midterm!W85)),"NAN",
IF(Midterm!W85&lt;0,"NEG",
IF(Midterm!W85&gt;W$5,"OVER",
IF(AND(W$5&lt;=100,Midterm!W85&gt;100),"ERR",
IF(Info!$B$4="Non-board program",
IF(OR(AND(W$5&gt;0,W$5&gt;100),AND(W$5&gt;0,W$5&lt;100)),
VLOOKUP(FLOOR((Midterm!W85/W$5)*100,1),new_transmute,2,FALSE),
VLOOKUP(Midterm!W85,new_transmute,2,FALSE)
),
IF(Info!$B$4="Board program",
IF(OR(AND(W$5&gt;0,W$5&gt;100),AND(W$5&gt;0,W$5&lt;100)),
VLOOKUP(FLOOR((Midterm!W85/W$5)*100,1),new_transmute,3,FALSE),
VLOOKUP(Midterm!W85,new_transmute,3,FALSE)
),
IF(Info!$B$4="Board program (Medicine)",
IF(OR(AND(W$5&gt;0,W$5&gt;100),AND(W$5&gt;0,W$5&lt;100)),
VLOOKUP(FLOOR((Midterm!W85/W$5)*100,1),new_transmute,4,FALSE),
VLOOKUP(Midterm!W85,new_transmute,4,FALSE)
),
""
)
)
)
)
)
)
)
)
))</f>
        <v/>
      </c>
      <c r="X85" s="14" t="str">
        <f>IF($B85="","",
IF(X$5="","",
IF(Midterm!X85="",0,
IF(NOT(ISNUMBER(Midterm!X85)),"NAN",
IF(Midterm!X85&lt;0,"NEG",
IF(Midterm!X85&gt;X$5,"OVER",
IF(AND(X$5&lt;=100,Midterm!X85&gt;100),"ERR",
IF(Info!$B$4="Non-board program",
IF(OR(AND(X$5&gt;0,X$5&gt;100),AND(X$5&gt;0,X$5&lt;100)),
VLOOKUP(FLOOR((Midterm!X85/X$5)*100,1),new_transmute,2,FALSE),
VLOOKUP(Midterm!X85,new_transmute,2,FALSE)
),
IF(Info!$B$4="Board program",
IF(OR(AND(X$5&gt;0,X$5&gt;100),AND(X$5&gt;0,X$5&lt;100)),
VLOOKUP(FLOOR((Midterm!X85/X$5)*100,1),new_transmute,3,FALSE),
VLOOKUP(Midterm!X85,new_transmute,3,FALSE)
),
IF(Info!$B$4="Board program (Medicine)",
IF(OR(AND(X$5&gt;0,X$5&gt;100),AND(X$5&gt;0,X$5&lt;100)),
VLOOKUP(FLOOR((Midterm!X85/X$5)*100,1),new_transmute,4,FALSE),
VLOOKUP(Midterm!X85,new_transmute,4,FALSE)
),
""
)
)
)
)
)
)
)
)
))</f>
        <v/>
      </c>
      <c r="Y85" s="112" t="str">
        <f t="shared" si="14"/>
        <v/>
      </c>
      <c r="Z85" s="14" t="str">
        <f>IF($B85="","",
IF(Z$5="","",
IF(Midterm!Z85="",0,
IF(NOT(ISNUMBER(Midterm!Z85)),"NAN",
IF(Midterm!Z85&lt;0,"NEG",
IF(Midterm!Z85&gt;Z$5,"OVER",
IF(AND(Z$5&lt;=100,Midterm!Z85&gt;100),"ERR",
IF(Info!$B$4="Non-board program",
IF(OR(AND(Z$5&gt;0,Z$5&gt;100),AND(Z$5&gt;0,Z$5&lt;100)),
VLOOKUP(FLOOR((Midterm!Z85/Z$5)*100,1),new_transmute,2,FALSE),
VLOOKUP(Midterm!Z85,new_transmute,2,FALSE)
),
IF(Info!$B$4="Board program",
IF(OR(AND(Z$5&gt;0,Z$5&gt;100),AND(Z$5&gt;0,Z$5&lt;100)),
VLOOKUP(FLOOR((Midterm!Z85/Z$5)*100,1),new_transmute,3,FALSE),
VLOOKUP(Midterm!Z85,new_transmute,3,FALSE)
),
IF(Info!$B$4="Board program (Medicine)",
IF(OR(AND(Z$5&gt;0,Z$5&gt;100),AND(Z$5&gt;0,Z$5&lt;100)),
VLOOKUP(FLOOR((Midterm!Z85/Z$5)*100,1),new_transmute,4,FALSE),
VLOOKUP(Midterm!Z85,new_transmute,4,FALSE)
),
""
)
)
)
)
)
)
)
)
))</f>
        <v/>
      </c>
      <c r="AA85" s="14" t="str">
        <f>IF($B85="","",
IF(AA$5="","",
IF(Midterm!AA85="",0,
IF(NOT(ISNUMBER(Midterm!AA85)),"NAN",
IF(Midterm!AA85&lt;0,"NEG",
IF(Midterm!AA85&gt;AA$5,"OVER",
IF(AND(AA$5&lt;=100,Midterm!AA85&gt;100),"ERR",
IF(Info!$B$4="Non-board program",
IF(OR(AND(AA$5&gt;0,AA$5&gt;100),AND(AA$5&gt;0,AA$5&lt;100)),
VLOOKUP(FLOOR((Midterm!AA85/AA$5)*100,1),new_transmute,2,FALSE),
VLOOKUP(Midterm!AA85,new_transmute,2,FALSE)
),
IF(Info!$B$4="Board program",
IF(OR(AND(AA$5&gt;0,AA$5&gt;100),AND(AA$5&gt;0,AA$5&lt;100)),
VLOOKUP(FLOOR((Midterm!AA85/AA$5)*100,1),new_transmute,3,FALSE),
VLOOKUP(Midterm!AA85,new_transmute,3,FALSE)
),
IF(Info!$B$4="Board program (Medicine)",
IF(OR(AND(AA$5&gt;0,AA$5&gt;100),AND(AA$5&gt;0,AA$5&lt;100)),
VLOOKUP(FLOOR((Midterm!AA85/AA$5)*100,1),new_transmute,4,FALSE),
VLOOKUP(Midterm!AA85,new_transmute,4,FALSE)
),
""
)
)
)
)
)
)
)
)
))</f>
        <v/>
      </c>
      <c r="AB85" s="14" t="str">
        <f>IF($B85="","",
IF(AB$5="","",
IF(Midterm!AB85="",0,
IF(NOT(ISNUMBER(Midterm!AB85)),"NAN",
IF(Midterm!AB85&lt;0,"NEG",
IF(Midterm!AB85&gt;AB$5,"OVER",
IF(AND(AB$5&lt;=100,Midterm!AB85&gt;100),"ERR",
IF(Info!$B$4="Non-board program",
IF(OR(AND(AB$5&gt;0,AB$5&gt;100),AND(AB$5&gt;0,AB$5&lt;100)),
VLOOKUP(FLOOR((Midterm!AB85/AB$5)*100,1),new_transmute,2,FALSE),
VLOOKUP(Midterm!AB85,new_transmute,2,FALSE)
),
IF(Info!$B$4="Board program",
IF(OR(AND(AB$5&gt;0,AB$5&gt;100),AND(AB$5&gt;0,AB$5&lt;100)),
VLOOKUP(FLOOR((Midterm!AB85/AB$5)*100,1),new_transmute,3,FALSE),
VLOOKUP(Midterm!AB85,new_transmute,3,FALSE)
),
IF(Info!$B$4="Board program (Medicine)",
IF(OR(AND(AB$5&gt;0,AB$5&gt;100),AND(AB$5&gt;0,AB$5&lt;100)),
VLOOKUP(FLOOR((Midterm!AB85/AB$5)*100,1),new_transmute,4,FALSE),
VLOOKUP(Midterm!AB85,new_transmute,4,FALSE)
),
""
)
)
)
)
)
)
)
)
))</f>
        <v/>
      </c>
      <c r="AC85" s="14" t="str">
        <f>IF($B85="","",
IF(AC$5="","",
IF(Midterm!AC85="",0,
IF(NOT(ISNUMBER(Midterm!AC85)),"NAN",
IF(Midterm!AC85&lt;0,"NEG",
IF(Midterm!AC85&gt;AC$5,"OVER",
IF(AND(AC$5&lt;=100,Midterm!AC85&gt;100),"ERR",
IF(Info!$B$4="Non-board program",
IF(OR(AND(AC$5&gt;0,AC$5&gt;100),AND(AC$5&gt;0,AC$5&lt;100)),
VLOOKUP(FLOOR((Midterm!AC85/AC$5)*100,1),new_transmute,2,FALSE),
VLOOKUP(Midterm!AC85,new_transmute,2,FALSE)
),
IF(Info!$B$4="Board program",
IF(OR(AND(AC$5&gt;0,AC$5&gt;100),AND(AC$5&gt;0,AC$5&lt;100)),
VLOOKUP(FLOOR((Midterm!AC85/AC$5)*100,1),new_transmute,3,FALSE),
VLOOKUP(Midterm!AC85,new_transmute,3,FALSE)
),
IF(Info!$B$4="Board program (Medicine)",
IF(OR(AND(AC$5&gt;0,AC$5&gt;100),AND(AC$5&gt;0,AC$5&lt;100)),
VLOOKUP(FLOOR((Midterm!AC85/AC$5)*100,1),new_transmute,4,FALSE),
VLOOKUP(Midterm!AC85,new_transmute,4,FALSE)
),
""
)
)
)
)
)
)
)
)
))</f>
        <v/>
      </c>
      <c r="AD85" s="14" t="str">
        <f>IF($B85="","",
IF(AD$5="","",
IF(Midterm!AD85="",0,
IF(NOT(ISNUMBER(Midterm!AD85)),"NAN",
IF(Midterm!AD85&lt;0,"NEG",
IF(Midterm!AD85&gt;AD$5,"OVER",
IF(AND(AD$5&lt;=100,Midterm!AD85&gt;100),"ERR",
IF(Info!$B$4="Non-board program",
IF(OR(AND(AD$5&gt;0,AD$5&gt;100),AND(AD$5&gt;0,AD$5&lt;100)),
VLOOKUP(FLOOR((Midterm!AD85/AD$5)*100,1),new_transmute,2,FALSE),
VLOOKUP(Midterm!AD85,new_transmute,2,FALSE)
),
IF(Info!$B$4="Board program",
IF(OR(AND(AD$5&gt;0,AD$5&gt;100),AND(AD$5&gt;0,AD$5&lt;100)),
VLOOKUP(FLOOR((Midterm!AD85/AD$5)*100,1),new_transmute,3,FALSE),
VLOOKUP(Midterm!AD85,new_transmute,3,FALSE)
),
IF(Info!$B$4="Board program (Medicine)",
IF(OR(AND(AD$5&gt;0,AD$5&gt;100),AND(AD$5&gt;0,AD$5&lt;100)),
VLOOKUP(FLOOR((Midterm!AD85/AD$5)*100,1),new_transmute,4,FALSE),
VLOOKUP(Midterm!AD85,new_transmute,4,FALSE)
),
""
)
)
)
)
)
)
)
)
))</f>
        <v/>
      </c>
      <c r="AE85" s="58" t="str">
        <f t="shared" si="15"/>
        <v/>
      </c>
      <c r="AF85" s="14" t="str">
        <f>IF($B85="","",
IF(AF$5="","",
IF(Midterm!AF85="",0,
IF(NOT(ISNUMBER(Midterm!AF85)),"NAN",
IF(Midterm!AF85&lt;0,"NEG",
IF(Midterm!AF85&gt;AF$5,"OVER",
IF(AND(AF$5&lt;=100,Midterm!AF85&gt;100),"ERR",
IF(Info!$B$4="Non-board program",
IF(OR(AND(AF$5&gt;0,AF$5&gt;100),AND(AF$5&gt;0,AF$5&lt;100)),
VLOOKUP(FLOOR((Midterm!AF85/AF$5)*100,1),new_transmute,2,FALSE),
VLOOKUP(Midterm!AF85,new_transmute,2,FALSE)
),
IF(Info!$B$4="Board program",
IF(OR(AND(AF$5&gt;0,AF$5&gt;100),AND(AF$5&gt;0,AF$5&lt;100)),
VLOOKUP(FLOOR((Midterm!AF85/AF$5)*100,1),new_transmute,3,FALSE),
VLOOKUP(Midterm!AF85,new_transmute,3,FALSE)
),
IF(Info!$B$4="Board program (Medicine)",
IF(OR(AND(AF$5&gt;0,AF$5&gt;100),AND(AF$5&gt;0,AF$5&lt;100)),
VLOOKUP(FLOOR((Midterm!AF85/AF$5)*100,1),new_transmute,4,FALSE),
VLOOKUP(Midterm!AF85,new_transmute,4,FALSE)
),
""
)
)
)
)
)
)
)
)
))</f>
        <v/>
      </c>
      <c r="AG85" s="14" t="str">
        <f>IF($B85="","",
IF(AG$5="","",
IF(Midterm!AG85="",0,
IF(NOT(ISNUMBER(Midterm!AG85)),"NAN",
IF(Midterm!AG85&lt;0,"NEG",
IF(Midterm!AG85&gt;AG$5,"OVER",
IF(AND(AG$5&lt;=100,Midterm!AG85&gt;100),"ERR",
IF(Info!$B$4="Non-board program",
IF(OR(AND(AG$5&gt;0,AG$5&gt;100),AND(AG$5&gt;0,AG$5&lt;100)),
VLOOKUP(FLOOR((Midterm!AG85/AG$5)*100,1),new_transmute,2,FALSE),
VLOOKUP(Midterm!AG85,new_transmute,2,FALSE)
),
IF(Info!$B$4="Board program",
IF(OR(AND(AG$5&gt;0,AG$5&gt;100),AND(AG$5&gt;0,AG$5&lt;100)),
VLOOKUP(FLOOR((Midterm!AG85/AG$5)*100,1),new_transmute,3,FALSE),
VLOOKUP(Midterm!AG85,new_transmute,3,FALSE)
),
IF(Info!$B$4="Board program (Medicine)",
IF(OR(AND(AG$5&gt;0,AG$5&gt;100),AND(AG$5&gt;0,AG$5&lt;100)),
VLOOKUP(FLOOR((Midterm!AG85/AG$5)*100,1),new_transmute,4,FALSE),
VLOOKUP(Midterm!AG85,new_transmute,4,FALSE)
),
""
)
)
)
)
)
)
)
)
))</f>
        <v/>
      </c>
      <c r="AH85" s="14" t="str">
        <f>IF($B85="","",
IF(AH$5="","",
IF(Midterm!AH85="",0,
IF(NOT(ISNUMBER(Midterm!AH85)),"NAN",
IF(Midterm!AH85&lt;0,"NEG",
IF(Midterm!AH85&gt;AH$5,"OVER",
IF(AND(AH$5&lt;=100,Midterm!AH85&gt;100),"ERR",
IF(Info!$B$4="Non-board program",
IF(OR(AND(AH$5&gt;0,AH$5&gt;100),AND(AH$5&gt;0,AH$5&lt;100)),
VLOOKUP(FLOOR((Midterm!AH85/AH$5)*100,1),new_transmute,2,FALSE),
VLOOKUP(Midterm!AH85,new_transmute,2,FALSE)
),
IF(Info!$B$4="Board program",
IF(OR(AND(AH$5&gt;0,AH$5&gt;100),AND(AH$5&gt;0,AH$5&lt;100)),
VLOOKUP(FLOOR((Midterm!AH85/AH$5)*100,1),new_transmute,3,FALSE),
VLOOKUP(Midterm!AH85,new_transmute,3,FALSE)
),
IF(Info!$B$4="Board program (Medicine)",
IF(OR(AND(AH$5&gt;0,AH$5&gt;100),AND(AH$5&gt;0,AH$5&lt;100)),
VLOOKUP(FLOOR((Midterm!AH85/AH$5)*100,1),new_transmute,4,FALSE),
VLOOKUP(Midterm!AH85,new_transmute,4,FALSE)
),
""
)
)
)
)
)
)
)
)
))</f>
        <v/>
      </c>
      <c r="AI85" s="14" t="str">
        <f>IF($B85="","",
IF(AI$5="","",
IF(Midterm!AI85="",0,
IF(NOT(ISNUMBER(Midterm!AI85)),"NAN",
IF(Midterm!AI85&lt;0,"NEG",
IF(Midterm!AI85&gt;AI$5,"OVER",
IF(AND(AI$5&lt;=100,Midterm!AI85&gt;100),"ERR",
IF(Info!$B$4="Non-board program",
IF(OR(AND(AI$5&gt;0,AI$5&gt;100),AND(AI$5&gt;0,AI$5&lt;100)),
VLOOKUP(FLOOR((Midterm!AI85/AI$5)*100,1),new_transmute,2,FALSE),
VLOOKUP(Midterm!AI85,new_transmute,2,FALSE)
),
IF(Info!$B$4="Board program",
IF(OR(AND(AI$5&gt;0,AI$5&gt;100),AND(AI$5&gt;0,AI$5&lt;100)),
VLOOKUP(FLOOR((Midterm!AI85/AI$5)*100,1),new_transmute,3,FALSE),
VLOOKUP(Midterm!AI85,new_transmute,3,FALSE)
),
IF(Info!$B$4="Board program (Medicine)",
IF(OR(AND(AI$5&gt;0,AI$5&gt;100),AND(AI$5&gt;0,AI$5&lt;100)),
VLOOKUP(FLOOR((Midterm!AI85/AI$5)*100,1),new_transmute,4,FALSE),
VLOOKUP(Midterm!AI85,new_transmute,4,FALSE)
),
""
)
)
)
)
)
)
)
)
))</f>
        <v/>
      </c>
      <c r="AJ85" s="14" t="str">
        <f>IF($B85="","",
IF(AJ$5="","",
IF(Midterm!AJ85="",0,
IF(NOT(ISNUMBER(Midterm!AJ85)),"NAN",
IF(Midterm!AJ85&lt;0,"NEG",
IF(Midterm!AJ85&gt;AJ$5,"OVER",
IF(AND(AJ$5&lt;=100,Midterm!AJ85&gt;100),"ERR",
IF(Info!$B$4="Non-board program",
IF(OR(AND(AJ$5&gt;0,AJ$5&gt;100),AND(AJ$5&gt;0,AJ$5&lt;100)),
VLOOKUP(FLOOR((Midterm!AJ85/AJ$5)*100,1),new_transmute,2,FALSE),
VLOOKUP(Midterm!AJ85,new_transmute,2,FALSE)
),
IF(Info!$B$4="Board program",
IF(OR(AND(AJ$5&gt;0,AJ$5&gt;100),AND(AJ$5&gt;0,AJ$5&lt;100)),
VLOOKUP(FLOOR((Midterm!AJ85/AJ$5)*100,1),new_transmute,3,FALSE),
VLOOKUP(Midterm!AJ85,new_transmute,3,FALSE)
),
IF(Info!$B$4="Board program (Medicine)",
IF(OR(AND(AJ$5&gt;0,AJ$5&gt;100),AND(AJ$5&gt;0,AJ$5&lt;100)),
VLOOKUP(FLOOR((Midterm!AJ85/AJ$5)*100,1),new_transmute,4,FALSE),
VLOOKUP(Midterm!AJ85,new_transmute,4,FALSE)
),
""
)
)
)
)
)
)
)
)
))</f>
        <v/>
      </c>
      <c r="AK85" s="59" t="str">
        <f t="shared" si="16"/>
        <v/>
      </c>
      <c r="AL85" s="60" t="str">
        <f>IF(B85="", "",
    IF(OR(M85="OVER", S85="OVER", Y85="OVER", AE85="OVER", AK85="OVER"),
        "OVER",
        IF(Info!$B$4="Non-board program",
            VLOOKUP(IFERROR(FLOOR(SUM((M85*$M$4), (S85*$S$4), (Y85*$Y$4), (AE85*$AE$4), (AK85*$AK$4)) * (100 / 60), 1), 0), new_transmute, 2, FALSE),
            IF(Info!$B$4="Board program",
                VLOOKUP(IFERROR(FLOOR(SUM((M85*$M$4), (S85*$S$4), (Y85*$Y$4), (AE85*$AE$4), (AK85*$AK$4)) * (100 / 60), 1), 0), new_transmute, 3, FALSE),
                IF(Info!$B$4="Board program (Medicine)",
                    VLOOKUP(IFERROR(FLOOR(SUM((M85*$M$4), (S85*$S$4), (Y85*$Y$4), (AE85*$AE$4), (AK85*$AK$4)) * (100 / 60), 1), 0), new_transmute, 4, FALSE),
                    ""
                )
            )
        )
    )
)</f>
        <v/>
      </c>
      <c r="AM85" s="14" t="str">
        <f>IF($B85="","",
IF(AM$5="","",
IF(Midterm!AM85="",0,
IF(NOT(ISNUMBER(Midterm!AM85)),"NAN",
IF(Midterm!AM85&lt;0,"NEG",
IF(Midterm!AM85&gt;AM$5,"OVER",
IF(AND(AM$5&lt;=100,Midterm!AM85&gt;100),"ERR",
IF(Info!$B$4="Non-board program",
IF(OR(AND(AM$5&gt;0,AM$5&gt;100),AND(AM$5&gt;0,AM$5&lt;100)),
VLOOKUP(FLOOR((Midterm!AM85/AM$5)*100,1),new_transmute,2,FALSE),
VLOOKUP(Midterm!AM85,new_transmute,2,FALSE)
),
IF(Info!$B$4="Board program",
IF(OR(AND(AM$5&gt;0,AM$5&gt;100),AND(AM$5&gt;0,AM$5&lt;100)),
VLOOKUP(FLOOR((Midterm!AM85/AM$5)*100,1),new_transmute,3,FALSE),
VLOOKUP(Midterm!AM85,new_transmute,3,FALSE)
),
IF(Info!$B$4="Board program (Medicine)",
IF(OR(AND(AM$5&gt;0,AM$5&gt;100),AND(AM$5&gt;0,AM$5&lt;100)),
VLOOKUP(FLOOR((Midterm!AM85/AM$5)*100,1),new_transmute,4,FALSE),
VLOOKUP(Midterm!AM85,new_transmute,4,FALSE)
),
""
)
)
)
)
)
)
)
)
))</f>
        <v/>
      </c>
      <c r="AN85" s="14" t="str">
        <f>IF($B85="","",
IF(AN$5="","",
IF(Midterm!AN85="",0,
IF(NOT(ISNUMBER(Midterm!AN85)),"NAN",
IF(Midterm!AN85&lt;0,"NEG",
IF(Midterm!AN85&gt;AN$5,"OVER",
IF(AND(AN$5&lt;=100,Midterm!AN85&gt;100),"ERR",
IF(Info!$B$4="Non-board program",
IF(OR(AND(AN$5&gt;0,AN$5&gt;100),AND(AN$5&gt;0,AN$5&lt;100)),
VLOOKUP(FLOOR((Midterm!AN85/AN$5)*100,1),new_transmute,2,FALSE),
VLOOKUP(Midterm!AN85,new_transmute,2,FALSE)
),
IF(Info!$B$4="Board program",
IF(OR(AND(AN$5&gt;0,AN$5&gt;100),AND(AN$5&gt;0,AN$5&lt;100)),
VLOOKUP(FLOOR((Midterm!AN85/AN$5)*100,1),new_transmute,3,FALSE),
VLOOKUP(Midterm!AN85,new_transmute,3,FALSE)
),
IF(Info!$B$4="Board program (Medicine)",
IF(OR(AND(AN$5&gt;0,AN$5&gt;100),AND(AN$5&gt;0,AN$5&lt;100)),
VLOOKUP(FLOOR((Midterm!AN85/AN$5)*100,1),new_transmute,4,FALSE),
VLOOKUP(Midterm!AN85,new_transmute,4,FALSE)
),
""
)
)
)
)
)
)
)
)
))</f>
        <v/>
      </c>
      <c r="AO85" s="14" t="str">
        <f>IF($B85="","",
IF(AO$5="","",
IF(Midterm!AO85="",0,
IF(NOT(ISNUMBER(Midterm!AO85)),"NAN",
IF(Midterm!AO85&lt;0,"NEG",
IF(Midterm!AO85&gt;AO$5,"OVER",
IF(AND(AO$5&lt;=100,Midterm!AO85&gt;100),"ERR",
IF(Info!$B$4="Non-board program",
IF(OR(AND(AO$5&gt;0,AO$5&gt;100),AND(AO$5&gt;0,AO$5&lt;100)),
VLOOKUP(FLOOR((Midterm!AO85/AO$5)*100,1),new_transmute,2,FALSE),
VLOOKUP(Midterm!AO85,new_transmute,2,FALSE)
),
IF(Info!$B$4="Board program",
IF(OR(AND(AO$5&gt;0,AO$5&gt;100),AND(AO$5&gt;0,AO$5&lt;100)),
VLOOKUP(FLOOR((Midterm!AO85/AO$5)*100,1),new_transmute,3,FALSE),
VLOOKUP(Midterm!AO85,new_transmute,3,FALSE)
),
IF(Info!$B$4="Board program (Medicine)",
IF(OR(AND(AO$5&gt;0,AO$5&gt;100),AND(AO$5&gt;0,AO$5&lt;100)),
VLOOKUP(FLOOR((Midterm!AO85/AO$5)*100,1),new_transmute,4,FALSE),
VLOOKUP(Midterm!AO85,new_transmute,4,FALSE)
),
""
)
)
)
)
)
)
)
)
))</f>
        <v/>
      </c>
      <c r="AP85" s="14" t="str">
        <f>IF($B85="","",
IF(AP$5="","",
IF(Midterm!AP85="",0,
IF(NOT(ISNUMBER(Midterm!AP85)),"NAN",
IF(Midterm!AP85&lt;0,"NEG",
IF(Midterm!AP85&gt;AP$5,"OVER",
IF(AND(AP$5&lt;=100,Midterm!AP85&gt;100),"ERR",
IF(Info!$B$4="Non-board program",
IF(OR(AND(AP$5&gt;0,AP$5&gt;100),AND(AP$5&gt;0,AP$5&lt;100)),
VLOOKUP(FLOOR((Midterm!AP85/AP$5)*100,1),new_transmute,2,FALSE),
VLOOKUP(Midterm!AP85,new_transmute,2,FALSE)
),
IF(Info!$B$4="Board program",
IF(OR(AND(AP$5&gt;0,AP$5&gt;100),AND(AP$5&gt;0,AP$5&lt;100)),
VLOOKUP(FLOOR((Midterm!AP85/AP$5)*100,1),new_transmute,3,FALSE),
VLOOKUP(Midterm!AP85,new_transmute,3,FALSE)
),
IF(Info!$B$4="Board program (Medicine)",
IF(OR(AND(AP$5&gt;0,AP$5&gt;100),AND(AP$5&gt;0,AP$5&lt;100)),
VLOOKUP(FLOOR((Midterm!AP85/AP$5)*100,1),new_transmute,4,FALSE),
VLOOKUP(Midterm!AP85,new_transmute,4,FALSE)
),
""
)
)
)
)
)
)
)
)
))</f>
        <v/>
      </c>
      <c r="AQ85" s="61" t="str">
        <f t="shared" si="17"/>
        <v/>
      </c>
      <c r="AR85" s="48" t="str">
        <f>IF(Midterm!AR85="","",Midterm!AR85)</f>
        <v/>
      </c>
      <c r="AS85" s="165" t="str">
        <f t="shared" si="18"/>
        <v/>
      </c>
      <c r="AT85" s="14" t="str">
        <f t="shared" si="19"/>
        <v/>
      </c>
      <c r="AU85" s="14" t="str">
        <f>IF(B85="","",VLOOKUP(AT85,'New Grade Equivalent'!$B$3:$C$47,2,FALSE))</f>
        <v/>
      </c>
    </row>
    <row r="86" spans="1:47" x14ac:dyDescent="0.25">
      <c r="A86" s="8">
        <v>81</v>
      </c>
      <c r="B86" s="2" t="str">
        <f>IF('Student List'!C90="","",UPPER(LEFT('Student List'!C90,FIND(",",'Student List'!C90)-1)))</f>
        <v/>
      </c>
      <c r="C86" s="12" t="str">
        <f>IF('Student List'!C90="","",PROPER(MID('Student List'!C90, FIND(",", 'Student List'!C90) + 2, LEN('Student List'!C90) - FIND(",", 'Student List'!C90) - 1)))</f>
        <v/>
      </c>
      <c r="D86" s="127" t="str">
        <f>IF(B86="","",IF(Midterm!D86="", "NA", Midterm!D86))</f>
        <v/>
      </c>
      <c r="E86" s="8" t="str">
        <f>IF(B86="","",
  IF(Info!$B$5="First Year",
    IF(D86="Yes", "DRP",
      IF(D86="No", "WF", "")
    )
  )
)</f>
        <v/>
      </c>
      <c r="F86" s="14" t="str">
        <f>IF($B86="","",
IF(F$5="","",
IF(Midterm!F86="",0,
IF(NOT(ISNUMBER(Midterm!F86)),"NAN",
IF(Midterm!F86&lt;0,"NEG",
IF(Midterm!F86&gt;F$5,"OVER",
IF(AND(F$5&lt;=100,Midterm!F86&gt;100),"ERR",
IF(Info!$B$4="Non-board program",
IF(OR(AND(F$5&gt;0,F$5&gt;100),AND(F$5&gt;0,F$5&lt;100)),
VLOOKUP(FLOOR((Midterm!F86/F$5)*100,1),new_transmute,2,FALSE),
VLOOKUP(Midterm!F86,new_transmute,2,FALSE)
),
IF(Info!$B$4="Board program",
IF(OR(AND(F$5&gt;0,F$5&gt;100),AND(F$5&gt;0,F$5&lt;100)),
VLOOKUP(FLOOR((Midterm!F86/F$5)*100,1),new_transmute,3,FALSE),
VLOOKUP(Midterm!F86,new_transmute,3,FALSE)
),
IF(Info!$B$4="Board program (Medicine)",
IF(OR(AND(F$5&gt;0,F$5&gt;100),AND(F$5&gt;0,F$5&lt;100)),
VLOOKUP(FLOOR((Midterm!F86/F$5)*100,1),new_transmute,4,FALSE),
VLOOKUP(Midterm!F86,new_transmute,4,FALSE)
),
""
)
)
)
)
)
)
)
)
))</f>
        <v/>
      </c>
      <c r="G86" s="57" t="str">
        <f t="shared" si="11"/>
        <v/>
      </c>
      <c r="H86" s="14" t="str">
        <f>IF($B86="","",
IF(H$5="","",
IF(Midterm!H86="",0,
IF(NOT(ISNUMBER(Midterm!H86)),"NAN",
IF(Midterm!H86&lt;0,"NEG",
IF(Midterm!H86&gt;H$5,"OVER",
IF(AND(H$5&lt;=100,Midterm!H86&gt;100),"ERR",
IF(Info!$B$4="Non-board program",
IF(OR(AND(H$5&gt;0,H$5&gt;100),AND(H$5&gt;0,H$5&lt;100)),
VLOOKUP(FLOOR((Midterm!H86/H$5)*100,1),new_transmute,2,FALSE),
VLOOKUP(Midterm!H86,new_transmute,2,FALSE)
),
IF(Info!$B$4="Board program",
IF(OR(AND(H$5&gt;0,H$5&gt;100),AND(H$5&gt;0,H$5&lt;100)),
VLOOKUP(FLOOR((Midterm!H86/H$5)*100,1),new_transmute,3,FALSE),
VLOOKUP(Midterm!H86,new_transmute,3,FALSE)
),
IF(Info!$B$4="Board program (Medicine)",
IF(OR(AND(H$5&gt;0,H$5&gt;100),AND(H$5&gt;0,H$5&lt;100)),
VLOOKUP(FLOOR((Midterm!H86/H$5)*100,1),new_transmute,4,FALSE),
VLOOKUP(Midterm!H86,new_transmute,4,FALSE)
),
""
)
)
)
)
)
)
)
)
))</f>
        <v/>
      </c>
      <c r="I86" s="14" t="str">
        <f>IF($B86="","",
IF(I$5="","",
IF(Midterm!I86="",0,
IF(NOT(ISNUMBER(Midterm!I86)),"NAN",
IF(Midterm!I86&lt;0,"NEG",
IF(Midterm!I86&gt;I$5,"OVER",
IF(AND(I$5&lt;=100,Midterm!I86&gt;100),"ERR",
IF(Info!$B$4="Non-board program",
IF(OR(AND(I$5&gt;0,I$5&gt;100),AND(I$5&gt;0,I$5&lt;100)),
VLOOKUP(FLOOR((Midterm!I86/I$5)*100,1),new_transmute,2,FALSE),
VLOOKUP(Midterm!I86,new_transmute,2,FALSE)
),
IF(Info!$B$4="Board program",
IF(OR(AND(I$5&gt;0,I$5&gt;100),AND(I$5&gt;0,I$5&lt;100)),
VLOOKUP(FLOOR((Midterm!I86/I$5)*100,1),new_transmute,3,FALSE),
VLOOKUP(Midterm!I86,new_transmute,3,FALSE)
),
IF(Info!$B$4="Board program (Medicine)",
IF(OR(AND(I$5&gt;0,I$5&gt;100),AND(I$5&gt;0,I$5&lt;100)),
VLOOKUP(FLOOR((Midterm!I86/I$5)*100,1),new_transmute,4,FALSE),
VLOOKUP(Midterm!I86,new_transmute,4,FALSE)
),
""
)
)
)
)
)
)
)
)
))</f>
        <v/>
      </c>
      <c r="J86" s="14" t="str">
        <f>IF($B86="","",
IF(J$5="","",
IF(Midterm!J86="",0,
IF(NOT(ISNUMBER(Midterm!J86)),"NAN",
IF(Midterm!J86&lt;0,"NEG",
IF(Midterm!J86&gt;J$5,"OVER",
IF(AND(J$5&lt;=100,Midterm!J86&gt;100),"ERR",
IF(Info!$B$4="Non-board program",
IF(OR(AND(J$5&gt;0,J$5&gt;100),AND(J$5&gt;0,J$5&lt;100)),
VLOOKUP(FLOOR((Midterm!J86/J$5)*100,1),new_transmute,2,FALSE),
VLOOKUP(Midterm!J86,new_transmute,2,FALSE)
),
IF(Info!$B$4="Board program",
IF(OR(AND(J$5&gt;0,J$5&gt;100),AND(J$5&gt;0,J$5&lt;100)),
VLOOKUP(FLOOR((Midterm!J86/J$5)*100,1),new_transmute,3,FALSE),
VLOOKUP(Midterm!J86,new_transmute,3,FALSE)
),
IF(Info!$B$4="Board program (Medicine)",
IF(OR(AND(J$5&gt;0,J$5&gt;100),AND(J$5&gt;0,J$5&lt;100)),
VLOOKUP(FLOOR((Midterm!J86/J$5)*100,1),new_transmute,4,FALSE),
VLOOKUP(Midterm!J86,new_transmute,4,FALSE)
),
""
)
)
)
)
)
)
)
)
))</f>
        <v/>
      </c>
      <c r="K86" s="14" t="str">
        <f>IF($B86="","",
IF(K$5="","",
IF(Midterm!K86="",0,
IF(NOT(ISNUMBER(Midterm!K86)),"NAN",
IF(Midterm!K86&lt;0,"NEG",
IF(Midterm!K86&gt;K$5,"OVER",
IF(AND(K$5&lt;=100,Midterm!K86&gt;100),"ERR",
IF(Info!$B$4="Non-board program",
IF(OR(AND(K$5&gt;0,K$5&gt;100),AND(K$5&gt;0,K$5&lt;100)),
VLOOKUP(FLOOR((Midterm!K86/K$5)*100,1),new_transmute,2,FALSE),
VLOOKUP(Midterm!K86,new_transmute,2,FALSE)
),
IF(Info!$B$4="Board program",
IF(OR(AND(K$5&gt;0,K$5&gt;100),AND(K$5&gt;0,K$5&lt;100)),
VLOOKUP(FLOOR((Midterm!K86/K$5)*100,1),new_transmute,3,FALSE),
VLOOKUP(Midterm!K86,new_transmute,3,FALSE)
),
IF(Info!$B$4="Board program (Medicine)",
IF(OR(AND(K$5&gt;0,K$5&gt;100),AND(K$5&gt;0,K$5&lt;100)),
VLOOKUP(FLOOR((Midterm!K86/K$5)*100,1),new_transmute,4,FALSE),
VLOOKUP(Midterm!K86,new_transmute,4,FALSE)
),
""
)
)
)
)
)
)
)
)
))</f>
        <v/>
      </c>
      <c r="L86" s="14" t="str">
        <f>IF($B86="","",
IF(L$5="","",
IF(Midterm!L86="",0,
IF(NOT(ISNUMBER(Midterm!L86)),"NAN",
IF(Midterm!L86&lt;0,"NEG",
IF(Midterm!L86&gt;L$5,"OVER",
IF(AND(L$5&lt;=100,Midterm!L86&gt;100),"ERR",
IF(Info!$B$4="Non-board program",
IF(OR(AND(L$5&gt;0,L$5&gt;100),AND(L$5&gt;0,L$5&lt;100)),
VLOOKUP(FLOOR((Midterm!L86/L$5)*100,1),new_transmute,2,FALSE),
VLOOKUP(Midterm!L86,new_transmute,2,FALSE)
),
IF(Info!$B$4="Board program",
IF(OR(AND(L$5&gt;0,L$5&gt;100),AND(L$5&gt;0,L$5&lt;100)),
VLOOKUP(FLOOR((Midterm!L86/L$5)*100,1),new_transmute,3,FALSE),
VLOOKUP(Midterm!L86,new_transmute,3,FALSE)
),
IF(Info!$B$4="Board program (Medicine)",
IF(OR(AND(L$5&gt;0,L$5&gt;100),AND(L$5&gt;0,L$5&lt;100)),
VLOOKUP(FLOOR((Midterm!L86/L$5)*100,1),new_transmute,4,FALSE),
VLOOKUP(Midterm!L86,new_transmute,4,FALSE)
),
""
)
)
)
)
)
)
)
)
))</f>
        <v/>
      </c>
      <c r="M86" s="111" t="str">
        <f t="shared" si="12"/>
        <v/>
      </c>
      <c r="N86" s="14" t="str">
        <f>IF($B86="","",
IF(N$5="","",
IF(Midterm!N86="",0,
IF(NOT(ISNUMBER(Midterm!N86)),"NAN",
IF(Midterm!N86&lt;0,"NEG",
IF(Midterm!N86&gt;N$5,"OVER",
IF(AND(N$5&lt;=100,Midterm!N86&gt;100),"ERR",
IF(Info!$B$4="Non-board program",
IF(OR(AND(N$5&gt;0,N$5&gt;100),AND(N$5&gt;0,N$5&lt;100)),
VLOOKUP(FLOOR((Midterm!N86/N$5)*100,1),new_transmute,2,FALSE),
VLOOKUP(Midterm!N86,new_transmute,2,FALSE)
),
IF(Info!$B$4="Board program",
IF(OR(AND(N$5&gt;0,N$5&gt;100),AND(N$5&gt;0,N$5&lt;100)),
VLOOKUP(FLOOR((Midterm!N86/N$5)*100,1),new_transmute,3,FALSE),
VLOOKUP(Midterm!N86,new_transmute,3,FALSE)
),
IF(Info!$B$4="Board program (Medicine)",
IF(OR(AND(N$5&gt;0,N$5&gt;100),AND(N$5&gt;0,N$5&lt;100)),
VLOOKUP(FLOOR((Midterm!N86/N$5)*100,1),new_transmute,4,FALSE),
VLOOKUP(Midterm!N86,new_transmute,4,FALSE)
),
""
)
)
)
)
)
)
)
)
))</f>
        <v/>
      </c>
      <c r="O86" s="14" t="str">
        <f>IF($B86="","",
IF(O$5="","",
IF(Midterm!O86="",0,
IF(NOT(ISNUMBER(Midterm!O86)),"NAN",
IF(Midterm!O86&lt;0,"NEG",
IF(Midterm!O86&gt;O$5,"OVER",
IF(AND(O$5&lt;=100,Midterm!O86&gt;100),"ERR",
IF(Info!$B$4="Non-board program",
IF(OR(AND(O$5&gt;0,O$5&gt;100),AND(O$5&gt;0,O$5&lt;100)),
VLOOKUP(FLOOR((Midterm!O86/O$5)*100,1),new_transmute,2,FALSE),
VLOOKUP(Midterm!O86,new_transmute,2,FALSE)
),
IF(Info!$B$4="Board program",
IF(OR(AND(O$5&gt;0,O$5&gt;100),AND(O$5&gt;0,O$5&lt;100)),
VLOOKUP(FLOOR((Midterm!O86/O$5)*100,1),new_transmute,3,FALSE),
VLOOKUP(Midterm!O86,new_transmute,3,FALSE)
),
IF(Info!$B$4="Board program (Medicine)",
IF(OR(AND(O$5&gt;0,O$5&gt;100),AND(O$5&gt;0,O$5&lt;100)),
VLOOKUP(FLOOR((Midterm!O86/O$5)*100,1),new_transmute,4,FALSE),
VLOOKUP(Midterm!O86,new_transmute,4,FALSE)
),
""
)
)
)
)
)
)
)
)
))</f>
        <v/>
      </c>
      <c r="P86" s="14" t="str">
        <f>IF($B86="","",
IF(P$5="","",
IF(Midterm!P86="",0,
IF(NOT(ISNUMBER(Midterm!P86)),"NAN",
IF(Midterm!P86&lt;0,"NEG",
IF(Midterm!P86&gt;P$5,"OVER",
IF(AND(P$5&lt;=100,Midterm!P86&gt;100),"ERR",
IF(Info!$B$4="Non-board program",
IF(OR(AND(P$5&gt;0,P$5&gt;100),AND(P$5&gt;0,P$5&lt;100)),
VLOOKUP(FLOOR((Midterm!P86/P$5)*100,1),new_transmute,2,FALSE),
VLOOKUP(Midterm!P86,new_transmute,2,FALSE)
),
IF(Info!$B$4="Board program",
IF(OR(AND(P$5&gt;0,P$5&gt;100),AND(P$5&gt;0,P$5&lt;100)),
VLOOKUP(FLOOR((Midterm!P86/P$5)*100,1),new_transmute,3,FALSE),
VLOOKUP(Midterm!P86,new_transmute,3,FALSE)
),
IF(Info!$B$4="Board program (Medicine)",
IF(OR(AND(P$5&gt;0,P$5&gt;100),AND(P$5&gt;0,P$5&lt;100)),
VLOOKUP(FLOOR((Midterm!P86/P$5)*100,1),new_transmute,4,FALSE),
VLOOKUP(Midterm!P86,new_transmute,4,FALSE)
),
""
)
)
)
)
)
)
)
)
))</f>
        <v/>
      </c>
      <c r="Q86" s="14" t="str">
        <f>IF($B86="","",
IF(Q$5="","",
IF(Midterm!Q86="",0,
IF(NOT(ISNUMBER(Midterm!Q86)),"NAN",
IF(Midterm!Q86&lt;0,"NEG",
IF(Midterm!Q86&gt;Q$5,"OVER",
IF(AND(Q$5&lt;=100,Midterm!Q86&gt;100),"ERR",
IF(Info!$B$4="Non-board program",
IF(OR(AND(Q$5&gt;0,Q$5&gt;100),AND(Q$5&gt;0,Q$5&lt;100)),
VLOOKUP(FLOOR((Midterm!Q86/Q$5)*100,1),new_transmute,2,FALSE),
VLOOKUP(Midterm!Q86,new_transmute,2,FALSE)
),
IF(Info!$B$4="Board program",
IF(OR(AND(Q$5&gt;0,Q$5&gt;100),AND(Q$5&gt;0,Q$5&lt;100)),
VLOOKUP(FLOOR((Midterm!Q86/Q$5)*100,1),new_transmute,3,FALSE),
VLOOKUP(Midterm!Q86,new_transmute,3,FALSE)
),
IF(Info!$B$4="Board program (Medicine)",
IF(OR(AND(Q$5&gt;0,Q$5&gt;100),AND(Q$5&gt;0,Q$5&lt;100)),
VLOOKUP(FLOOR((Midterm!Q86/Q$5)*100,1),new_transmute,4,FALSE),
VLOOKUP(Midterm!Q86,new_transmute,4,FALSE)
),
""
)
)
)
)
)
)
)
)
))</f>
        <v/>
      </c>
      <c r="R86" s="14" t="str">
        <f>IF($B86="","",
IF(R$5="","",
IF(Midterm!R86="",0,
IF(NOT(ISNUMBER(Midterm!R86)),"NAN",
IF(Midterm!R86&lt;0,"NEG",
IF(Midterm!R86&gt;R$5,"OVER",
IF(AND(R$5&lt;=100,Midterm!R86&gt;100),"ERR",
IF(Info!$B$4="Non-board program",
IF(OR(AND(R$5&gt;0,R$5&gt;100),AND(R$5&gt;0,R$5&lt;100)),
VLOOKUP(FLOOR((Midterm!R86/R$5)*100,1),new_transmute,2,FALSE),
VLOOKUP(Midterm!R86,new_transmute,2,FALSE)
),
IF(Info!$B$4="Board program",
IF(OR(AND(R$5&gt;0,R$5&gt;100),AND(R$5&gt;0,R$5&lt;100)),
VLOOKUP(FLOOR((Midterm!R86/R$5)*100,1),new_transmute,3,FALSE),
VLOOKUP(Midterm!R86,new_transmute,3,FALSE)
),
IF(Info!$B$4="Board program (Medicine)",
IF(OR(AND(R$5&gt;0,R$5&gt;100),AND(R$5&gt;0,R$5&lt;100)),
VLOOKUP(FLOOR((Midterm!R86/R$5)*100,1),new_transmute,4,FALSE),
VLOOKUP(Midterm!R86,new_transmute,4,FALSE)
),
""
)
)
)
)
)
)
)
)
))</f>
        <v/>
      </c>
      <c r="S86" s="115" t="str">
        <f t="shared" si="13"/>
        <v/>
      </c>
      <c r="T86" s="14" t="str">
        <f>IF($B86="","",
IF(T$5="","",
IF(Midterm!T86="",0,
IF(NOT(ISNUMBER(Midterm!T86)),"NAN",
IF(Midterm!T86&lt;0,"NEG",
IF(Midterm!T86&gt;T$5,"OVER",
IF(AND(T$5&lt;=100,Midterm!T86&gt;100),"ERR",
IF(Info!$B$4="Non-board program",
IF(OR(AND(T$5&gt;0,T$5&gt;100),AND(T$5&gt;0,T$5&lt;100)),
VLOOKUP(FLOOR((Midterm!T86/T$5)*100,1),new_transmute,2,FALSE),
VLOOKUP(Midterm!T86,new_transmute,2,FALSE)
),
IF(Info!$B$4="Board program",
IF(OR(AND(T$5&gt;0,T$5&gt;100),AND(T$5&gt;0,T$5&lt;100)),
VLOOKUP(FLOOR((Midterm!T86/T$5)*100,1),new_transmute,3,FALSE),
VLOOKUP(Midterm!T86,new_transmute,3,FALSE)
),
IF(Info!$B$4="Board program (Medicine)",
IF(OR(AND(T$5&gt;0,T$5&gt;100),AND(T$5&gt;0,T$5&lt;100)),
VLOOKUP(FLOOR((Midterm!T86/T$5)*100,1),new_transmute,4,FALSE),
VLOOKUP(Midterm!T86,new_transmute,4,FALSE)
),
""
)
)
)
)
)
)
)
)
))</f>
        <v/>
      </c>
      <c r="U86" s="14" t="str">
        <f>IF($B86="","",
IF(U$5="","",
IF(Midterm!U86="",0,
IF(NOT(ISNUMBER(Midterm!U86)),"NAN",
IF(Midterm!U86&lt;0,"NEG",
IF(Midterm!U86&gt;U$5,"OVER",
IF(AND(U$5&lt;=100,Midterm!U86&gt;100),"ERR",
IF(Info!$B$4="Non-board program",
IF(OR(AND(U$5&gt;0,U$5&gt;100),AND(U$5&gt;0,U$5&lt;100)),
VLOOKUP(FLOOR((Midterm!U86/U$5)*100,1),new_transmute,2,FALSE),
VLOOKUP(Midterm!U86,new_transmute,2,FALSE)
),
IF(Info!$B$4="Board program",
IF(OR(AND(U$5&gt;0,U$5&gt;100),AND(U$5&gt;0,U$5&lt;100)),
VLOOKUP(FLOOR((Midterm!U86/U$5)*100,1),new_transmute,3,FALSE),
VLOOKUP(Midterm!U86,new_transmute,3,FALSE)
),
IF(Info!$B$4="Board program (Medicine)",
IF(OR(AND(U$5&gt;0,U$5&gt;100),AND(U$5&gt;0,U$5&lt;100)),
VLOOKUP(FLOOR((Midterm!U86/U$5)*100,1),new_transmute,4,FALSE),
VLOOKUP(Midterm!U86,new_transmute,4,FALSE)
),
""
)
)
)
)
)
)
)
)
))</f>
        <v/>
      </c>
      <c r="V86" s="14" t="str">
        <f>IF($B86="","",
IF(V$5="","",
IF(Midterm!V86="",0,
IF(NOT(ISNUMBER(Midterm!V86)),"NAN",
IF(Midterm!V86&lt;0,"NEG",
IF(Midterm!V86&gt;V$5,"OVER",
IF(AND(V$5&lt;=100,Midterm!V86&gt;100),"ERR",
IF(Info!$B$4="Non-board program",
IF(OR(AND(V$5&gt;0,V$5&gt;100),AND(V$5&gt;0,V$5&lt;100)),
VLOOKUP(FLOOR((Midterm!V86/V$5)*100,1),new_transmute,2,FALSE),
VLOOKUP(Midterm!V86,new_transmute,2,FALSE)
),
IF(Info!$B$4="Board program",
IF(OR(AND(V$5&gt;0,V$5&gt;100),AND(V$5&gt;0,V$5&lt;100)),
VLOOKUP(FLOOR((Midterm!V86/V$5)*100,1),new_transmute,3,FALSE),
VLOOKUP(Midterm!V86,new_transmute,3,FALSE)
),
IF(Info!$B$4="Board program (Medicine)",
IF(OR(AND(V$5&gt;0,V$5&gt;100),AND(V$5&gt;0,V$5&lt;100)),
VLOOKUP(FLOOR((Midterm!V86/V$5)*100,1),new_transmute,4,FALSE),
VLOOKUP(Midterm!V86,new_transmute,4,FALSE)
),
""
)
)
)
)
)
)
)
)
))</f>
        <v/>
      </c>
      <c r="W86" s="14" t="str">
        <f>IF($B86="","",
IF(W$5="","",
IF(Midterm!W86="",0,
IF(NOT(ISNUMBER(Midterm!W86)),"NAN",
IF(Midterm!W86&lt;0,"NEG",
IF(Midterm!W86&gt;W$5,"OVER",
IF(AND(W$5&lt;=100,Midterm!W86&gt;100),"ERR",
IF(Info!$B$4="Non-board program",
IF(OR(AND(W$5&gt;0,W$5&gt;100),AND(W$5&gt;0,W$5&lt;100)),
VLOOKUP(FLOOR((Midterm!W86/W$5)*100,1),new_transmute,2,FALSE),
VLOOKUP(Midterm!W86,new_transmute,2,FALSE)
),
IF(Info!$B$4="Board program",
IF(OR(AND(W$5&gt;0,W$5&gt;100),AND(W$5&gt;0,W$5&lt;100)),
VLOOKUP(FLOOR((Midterm!W86/W$5)*100,1),new_transmute,3,FALSE),
VLOOKUP(Midterm!W86,new_transmute,3,FALSE)
),
IF(Info!$B$4="Board program (Medicine)",
IF(OR(AND(W$5&gt;0,W$5&gt;100),AND(W$5&gt;0,W$5&lt;100)),
VLOOKUP(FLOOR((Midterm!W86/W$5)*100,1),new_transmute,4,FALSE),
VLOOKUP(Midterm!W86,new_transmute,4,FALSE)
),
""
)
)
)
)
)
)
)
)
))</f>
        <v/>
      </c>
      <c r="X86" s="14" t="str">
        <f>IF($B86="","",
IF(X$5="","",
IF(Midterm!X86="",0,
IF(NOT(ISNUMBER(Midterm!X86)),"NAN",
IF(Midterm!X86&lt;0,"NEG",
IF(Midterm!X86&gt;X$5,"OVER",
IF(AND(X$5&lt;=100,Midterm!X86&gt;100),"ERR",
IF(Info!$B$4="Non-board program",
IF(OR(AND(X$5&gt;0,X$5&gt;100),AND(X$5&gt;0,X$5&lt;100)),
VLOOKUP(FLOOR((Midterm!X86/X$5)*100,1),new_transmute,2,FALSE),
VLOOKUP(Midterm!X86,new_transmute,2,FALSE)
),
IF(Info!$B$4="Board program",
IF(OR(AND(X$5&gt;0,X$5&gt;100),AND(X$5&gt;0,X$5&lt;100)),
VLOOKUP(FLOOR((Midterm!X86/X$5)*100,1),new_transmute,3,FALSE),
VLOOKUP(Midterm!X86,new_transmute,3,FALSE)
),
IF(Info!$B$4="Board program (Medicine)",
IF(OR(AND(X$5&gt;0,X$5&gt;100),AND(X$5&gt;0,X$5&lt;100)),
VLOOKUP(FLOOR((Midterm!X86/X$5)*100,1),new_transmute,4,FALSE),
VLOOKUP(Midterm!X86,new_transmute,4,FALSE)
),
""
)
)
)
)
)
)
)
)
))</f>
        <v/>
      </c>
      <c r="Y86" s="112" t="str">
        <f t="shared" si="14"/>
        <v/>
      </c>
      <c r="Z86" s="14" t="str">
        <f>IF($B86="","",
IF(Z$5="","",
IF(Midterm!Z86="",0,
IF(NOT(ISNUMBER(Midterm!Z86)),"NAN",
IF(Midterm!Z86&lt;0,"NEG",
IF(Midterm!Z86&gt;Z$5,"OVER",
IF(AND(Z$5&lt;=100,Midterm!Z86&gt;100),"ERR",
IF(Info!$B$4="Non-board program",
IF(OR(AND(Z$5&gt;0,Z$5&gt;100),AND(Z$5&gt;0,Z$5&lt;100)),
VLOOKUP(FLOOR((Midterm!Z86/Z$5)*100,1),new_transmute,2,FALSE),
VLOOKUP(Midterm!Z86,new_transmute,2,FALSE)
),
IF(Info!$B$4="Board program",
IF(OR(AND(Z$5&gt;0,Z$5&gt;100),AND(Z$5&gt;0,Z$5&lt;100)),
VLOOKUP(FLOOR((Midterm!Z86/Z$5)*100,1),new_transmute,3,FALSE),
VLOOKUP(Midterm!Z86,new_transmute,3,FALSE)
),
IF(Info!$B$4="Board program (Medicine)",
IF(OR(AND(Z$5&gt;0,Z$5&gt;100),AND(Z$5&gt;0,Z$5&lt;100)),
VLOOKUP(FLOOR((Midterm!Z86/Z$5)*100,1),new_transmute,4,FALSE),
VLOOKUP(Midterm!Z86,new_transmute,4,FALSE)
),
""
)
)
)
)
)
)
)
)
))</f>
        <v/>
      </c>
      <c r="AA86" s="14" t="str">
        <f>IF($B86="","",
IF(AA$5="","",
IF(Midterm!AA86="",0,
IF(NOT(ISNUMBER(Midterm!AA86)),"NAN",
IF(Midterm!AA86&lt;0,"NEG",
IF(Midterm!AA86&gt;AA$5,"OVER",
IF(AND(AA$5&lt;=100,Midterm!AA86&gt;100),"ERR",
IF(Info!$B$4="Non-board program",
IF(OR(AND(AA$5&gt;0,AA$5&gt;100),AND(AA$5&gt;0,AA$5&lt;100)),
VLOOKUP(FLOOR((Midterm!AA86/AA$5)*100,1),new_transmute,2,FALSE),
VLOOKUP(Midterm!AA86,new_transmute,2,FALSE)
),
IF(Info!$B$4="Board program",
IF(OR(AND(AA$5&gt;0,AA$5&gt;100),AND(AA$5&gt;0,AA$5&lt;100)),
VLOOKUP(FLOOR((Midterm!AA86/AA$5)*100,1),new_transmute,3,FALSE),
VLOOKUP(Midterm!AA86,new_transmute,3,FALSE)
),
IF(Info!$B$4="Board program (Medicine)",
IF(OR(AND(AA$5&gt;0,AA$5&gt;100),AND(AA$5&gt;0,AA$5&lt;100)),
VLOOKUP(FLOOR((Midterm!AA86/AA$5)*100,1),new_transmute,4,FALSE),
VLOOKUP(Midterm!AA86,new_transmute,4,FALSE)
),
""
)
)
)
)
)
)
)
)
))</f>
        <v/>
      </c>
      <c r="AB86" s="14" t="str">
        <f>IF($B86="","",
IF(AB$5="","",
IF(Midterm!AB86="",0,
IF(NOT(ISNUMBER(Midterm!AB86)),"NAN",
IF(Midterm!AB86&lt;0,"NEG",
IF(Midterm!AB86&gt;AB$5,"OVER",
IF(AND(AB$5&lt;=100,Midterm!AB86&gt;100),"ERR",
IF(Info!$B$4="Non-board program",
IF(OR(AND(AB$5&gt;0,AB$5&gt;100),AND(AB$5&gt;0,AB$5&lt;100)),
VLOOKUP(FLOOR((Midterm!AB86/AB$5)*100,1),new_transmute,2,FALSE),
VLOOKUP(Midterm!AB86,new_transmute,2,FALSE)
),
IF(Info!$B$4="Board program",
IF(OR(AND(AB$5&gt;0,AB$5&gt;100),AND(AB$5&gt;0,AB$5&lt;100)),
VLOOKUP(FLOOR((Midterm!AB86/AB$5)*100,1),new_transmute,3,FALSE),
VLOOKUP(Midterm!AB86,new_transmute,3,FALSE)
),
IF(Info!$B$4="Board program (Medicine)",
IF(OR(AND(AB$5&gt;0,AB$5&gt;100),AND(AB$5&gt;0,AB$5&lt;100)),
VLOOKUP(FLOOR((Midterm!AB86/AB$5)*100,1),new_transmute,4,FALSE),
VLOOKUP(Midterm!AB86,new_transmute,4,FALSE)
),
""
)
)
)
)
)
)
)
)
))</f>
        <v/>
      </c>
      <c r="AC86" s="14" t="str">
        <f>IF($B86="","",
IF(AC$5="","",
IF(Midterm!AC86="",0,
IF(NOT(ISNUMBER(Midterm!AC86)),"NAN",
IF(Midterm!AC86&lt;0,"NEG",
IF(Midterm!AC86&gt;AC$5,"OVER",
IF(AND(AC$5&lt;=100,Midterm!AC86&gt;100),"ERR",
IF(Info!$B$4="Non-board program",
IF(OR(AND(AC$5&gt;0,AC$5&gt;100),AND(AC$5&gt;0,AC$5&lt;100)),
VLOOKUP(FLOOR((Midterm!AC86/AC$5)*100,1),new_transmute,2,FALSE),
VLOOKUP(Midterm!AC86,new_transmute,2,FALSE)
),
IF(Info!$B$4="Board program",
IF(OR(AND(AC$5&gt;0,AC$5&gt;100),AND(AC$5&gt;0,AC$5&lt;100)),
VLOOKUP(FLOOR((Midterm!AC86/AC$5)*100,1),new_transmute,3,FALSE),
VLOOKUP(Midterm!AC86,new_transmute,3,FALSE)
),
IF(Info!$B$4="Board program (Medicine)",
IF(OR(AND(AC$5&gt;0,AC$5&gt;100),AND(AC$5&gt;0,AC$5&lt;100)),
VLOOKUP(FLOOR((Midterm!AC86/AC$5)*100,1),new_transmute,4,FALSE),
VLOOKUP(Midterm!AC86,new_transmute,4,FALSE)
),
""
)
)
)
)
)
)
)
)
))</f>
        <v/>
      </c>
      <c r="AD86" s="14" t="str">
        <f>IF($B86="","",
IF(AD$5="","",
IF(Midterm!AD86="",0,
IF(NOT(ISNUMBER(Midterm!AD86)),"NAN",
IF(Midterm!AD86&lt;0,"NEG",
IF(Midterm!AD86&gt;AD$5,"OVER",
IF(AND(AD$5&lt;=100,Midterm!AD86&gt;100),"ERR",
IF(Info!$B$4="Non-board program",
IF(OR(AND(AD$5&gt;0,AD$5&gt;100),AND(AD$5&gt;0,AD$5&lt;100)),
VLOOKUP(FLOOR((Midterm!AD86/AD$5)*100,1),new_transmute,2,FALSE),
VLOOKUP(Midterm!AD86,new_transmute,2,FALSE)
),
IF(Info!$B$4="Board program",
IF(OR(AND(AD$5&gt;0,AD$5&gt;100),AND(AD$5&gt;0,AD$5&lt;100)),
VLOOKUP(FLOOR((Midterm!AD86/AD$5)*100,1),new_transmute,3,FALSE),
VLOOKUP(Midterm!AD86,new_transmute,3,FALSE)
),
IF(Info!$B$4="Board program (Medicine)",
IF(OR(AND(AD$5&gt;0,AD$5&gt;100),AND(AD$5&gt;0,AD$5&lt;100)),
VLOOKUP(FLOOR((Midterm!AD86/AD$5)*100,1),new_transmute,4,FALSE),
VLOOKUP(Midterm!AD86,new_transmute,4,FALSE)
),
""
)
)
)
)
)
)
)
)
))</f>
        <v/>
      </c>
      <c r="AE86" s="58" t="str">
        <f t="shared" si="15"/>
        <v/>
      </c>
      <c r="AF86" s="14" t="str">
        <f>IF($B86="","",
IF(AF$5="","",
IF(Midterm!AF86="",0,
IF(NOT(ISNUMBER(Midterm!AF86)),"NAN",
IF(Midterm!AF86&lt;0,"NEG",
IF(Midterm!AF86&gt;AF$5,"OVER",
IF(AND(AF$5&lt;=100,Midterm!AF86&gt;100),"ERR",
IF(Info!$B$4="Non-board program",
IF(OR(AND(AF$5&gt;0,AF$5&gt;100),AND(AF$5&gt;0,AF$5&lt;100)),
VLOOKUP(FLOOR((Midterm!AF86/AF$5)*100,1),new_transmute,2,FALSE),
VLOOKUP(Midterm!AF86,new_transmute,2,FALSE)
),
IF(Info!$B$4="Board program",
IF(OR(AND(AF$5&gt;0,AF$5&gt;100),AND(AF$5&gt;0,AF$5&lt;100)),
VLOOKUP(FLOOR((Midterm!AF86/AF$5)*100,1),new_transmute,3,FALSE),
VLOOKUP(Midterm!AF86,new_transmute,3,FALSE)
),
IF(Info!$B$4="Board program (Medicine)",
IF(OR(AND(AF$5&gt;0,AF$5&gt;100),AND(AF$5&gt;0,AF$5&lt;100)),
VLOOKUP(FLOOR((Midterm!AF86/AF$5)*100,1),new_transmute,4,FALSE),
VLOOKUP(Midterm!AF86,new_transmute,4,FALSE)
),
""
)
)
)
)
)
)
)
)
))</f>
        <v/>
      </c>
      <c r="AG86" s="14" t="str">
        <f>IF($B86="","",
IF(AG$5="","",
IF(Midterm!AG86="",0,
IF(NOT(ISNUMBER(Midterm!AG86)),"NAN",
IF(Midterm!AG86&lt;0,"NEG",
IF(Midterm!AG86&gt;AG$5,"OVER",
IF(AND(AG$5&lt;=100,Midterm!AG86&gt;100),"ERR",
IF(Info!$B$4="Non-board program",
IF(OR(AND(AG$5&gt;0,AG$5&gt;100),AND(AG$5&gt;0,AG$5&lt;100)),
VLOOKUP(FLOOR((Midterm!AG86/AG$5)*100,1),new_transmute,2,FALSE),
VLOOKUP(Midterm!AG86,new_transmute,2,FALSE)
),
IF(Info!$B$4="Board program",
IF(OR(AND(AG$5&gt;0,AG$5&gt;100),AND(AG$5&gt;0,AG$5&lt;100)),
VLOOKUP(FLOOR((Midterm!AG86/AG$5)*100,1),new_transmute,3,FALSE),
VLOOKUP(Midterm!AG86,new_transmute,3,FALSE)
),
IF(Info!$B$4="Board program (Medicine)",
IF(OR(AND(AG$5&gt;0,AG$5&gt;100),AND(AG$5&gt;0,AG$5&lt;100)),
VLOOKUP(FLOOR((Midterm!AG86/AG$5)*100,1),new_transmute,4,FALSE),
VLOOKUP(Midterm!AG86,new_transmute,4,FALSE)
),
""
)
)
)
)
)
)
)
)
))</f>
        <v/>
      </c>
      <c r="AH86" s="14" t="str">
        <f>IF($B86="","",
IF(AH$5="","",
IF(Midterm!AH86="",0,
IF(NOT(ISNUMBER(Midterm!AH86)),"NAN",
IF(Midterm!AH86&lt;0,"NEG",
IF(Midterm!AH86&gt;AH$5,"OVER",
IF(AND(AH$5&lt;=100,Midterm!AH86&gt;100),"ERR",
IF(Info!$B$4="Non-board program",
IF(OR(AND(AH$5&gt;0,AH$5&gt;100),AND(AH$5&gt;0,AH$5&lt;100)),
VLOOKUP(FLOOR((Midterm!AH86/AH$5)*100,1),new_transmute,2,FALSE),
VLOOKUP(Midterm!AH86,new_transmute,2,FALSE)
),
IF(Info!$B$4="Board program",
IF(OR(AND(AH$5&gt;0,AH$5&gt;100),AND(AH$5&gt;0,AH$5&lt;100)),
VLOOKUP(FLOOR((Midterm!AH86/AH$5)*100,1),new_transmute,3,FALSE),
VLOOKUP(Midterm!AH86,new_transmute,3,FALSE)
),
IF(Info!$B$4="Board program (Medicine)",
IF(OR(AND(AH$5&gt;0,AH$5&gt;100),AND(AH$5&gt;0,AH$5&lt;100)),
VLOOKUP(FLOOR((Midterm!AH86/AH$5)*100,1),new_transmute,4,FALSE),
VLOOKUP(Midterm!AH86,new_transmute,4,FALSE)
),
""
)
)
)
)
)
)
)
)
))</f>
        <v/>
      </c>
      <c r="AI86" s="14" t="str">
        <f>IF($B86="","",
IF(AI$5="","",
IF(Midterm!AI86="",0,
IF(NOT(ISNUMBER(Midterm!AI86)),"NAN",
IF(Midterm!AI86&lt;0,"NEG",
IF(Midterm!AI86&gt;AI$5,"OVER",
IF(AND(AI$5&lt;=100,Midterm!AI86&gt;100),"ERR",
IF(Info!$B$4="Non-board program",
IF(OR(AND(AI$5&gt;0,AI$5&gt;100),AND(AI$5&gt;0,AI$5&lt;100)),
VLOOKUP(FLOOR((Midterm!AI86/AI$5)*100,1),new_transmute,2,FALSE),
VLOOKUP(Midterm!AI86,new_transmute,2,FALSE)
),
IF(Info!$B$4="Board program",
IF(OR(AND(AI$5&gt;0,AI$5&gt;100),AND(AI$5&gt;0,AI$5&lt;100)),
VLOOKUP(FLOOR((Midterm!AI86/AI$5)*100,1),new_transmute,3,FALSE),
VLOOKUP(Midterm!AI86,new_transmute,3,FALSE)
),
IF(Info!$B$4="Board program (Medicine)",
IF(OR(AND(AI$5&gt;0,AI$5&gt;100),AND(AI$5&gt;0,AI$5&lt;100)),
VLOOKUP(FLOOR((Midterm!AI86/AI$5)*100,1),new_transmute,4,FALSE),
VLOOKUP(Midterm!AI86,new_transmute,4,FALSE)
),
""
)
)
)
)
)
)
)
)
))</f>
        <v/>
      </c>
      <c r="AJ86" s="14" t="str">
        <f>IF($B86="","",
IF(AJ$5="","",
IF(Midterm!AJ86="",0,
IF(NOT(ISNUMBER(Midterm!AJ86)),"NAN",
IF(Midterm!AJ86&lt;0,"NEG",
IF(Midterm!AJ86&gt;AJ$5,"OVER",
IF(AND(AJ$5&lt;=100,Midterm!AJ86&gt;100),"ERR",
IF(Info!$B$4="Non-board program",
IF(OR(AND(AJ$5&gt;0,AJ$5&gt;100),AND(AJ$5&gt;0,AJ$5&lt;100)),
VLOOKUP(FLOOR((Midterm!AJ86/AJ$5)*100,1),new_transmute,2,FALSE),
VLOOKUP(Midterm!AJ86,new_transmute,2,FALSE)
),
IF(Info!$B$4="Board program",
IF(OR(AND(AJ$5&gt;0,AJ$5&gt;100),AND(AJ$5&gt;0,AJ$5&lt;100)),
VLOOKUP(FLOOR((Midterm!AJ86/AJ$5)*100,1),new_transmute,3,FALSE),
VLOOKUP(Midterm!AJ86,new_transmute,3,FALSE)
),
IF(Info!$B$4="Board program (Medicine)",
IF(OR(AND(AJ$5&gt;0,AJ$5&gt;100),AND(AJ$5&gt;0,AJ$5&lt;100)),
VLOOKUP(FLOOR((Midterm!AJ86/AJ$5)*100,1),new_transmute,4,FALSE),
VLOOKUP(Midterm!AJ86,new_transmute,4,FALSE)
),
""
)
)
)
)
)
)
)
)
))</f>
        <v/>
      </c>
      <c r="AK86" s="59" t="str">
        <f t="shared" si="16"/>
        <v/>
      </c>
      <c r="AL86" s="60" t="str">
        <f>IF(B86="", "",
    IF(OR(M86="OVER", S86="OVER", Y86="OVER", AE86="OVER", AK86="OVER"),
        "OVER",
        IF(Info!$B$4="Non-board program",
            VLOOKUP(IFERROR(FLOOR(SUM((M86*$M$4), (S86*$S$4), (Y86*$Y$4), (AE86*$AE$4), (AK86*$AK$4)) * (100 / 60), 1), 0), new_transmute, 2, FALSE),
            IF(Info!$B$4="Board program",
                VLOOKUP(IFERROR(FLOOR(SUM((M86*$M$4), (S86*$S$4), (Y86*$Y$4), (AE86*$AE$4), (AK86*$AK$4)) * (100 / 60), 1), 0), new_transmute, 3, FALSE),
                IF(Info!$B$4="Board program (Medicine)",
                    VLOOKUP(IFERROR(FLOOR(SUM((M86*$M$4), (S86*$S$4), (Y86*$Y$4), (AE86*$AE$4), (AK86*$AK$4)) * (100 / 60), 1), 0), new_transmute, 4, FALSE),
                    ""
                )
            )
        )
    )
)</f>
        <v/>
      </c>
      <c r="AM86" s="14" t="str">
        <f>IF($B86="","",
IF(AM$5="","",
IF(Midterm!AM86="",0,
IF(NOT(ISNUMBER(Midterm!AM86)),"NAN",
IF(Midterm!AM86&lt;0,"NEG",
IF(Midterm!AM86&gt;AM$5,"OVER",
IF(AND(AM$5&lt;=100,Midterm!AM86&gt;100),"ERR",
IF(Info!$B$4="Non-board program",
IF(OR(AND(AM$5&gt;0,AM$5&gt;100),AND(AM$5&gt;0,AM$5&lt;100)),
VLOOKUP(FLOOR((Midterm!AM86/AM$5)*100,1),new_transmute,2,FALSE),
VLOOKUP(Midterm!AM86,new_transmute,2,FALSE)
),
IF(Info!$B$4="Board program",
IF(OR(AND(AM$5&gt;0,AM$5&gt;100),AND(AM$5&gt;0,AM$5&lt;100)),
VLOOKUP(FLOOR((Midterm!AM86/AM$5)*100,1),new_transmute,3,FALSE),
VLOOKUP(Midterm!AM86,new_transmute,3,FALSE)
),
IF(Info!$B$4="Board program (Medicine)",
IF(OR(AND(AM$5&gt;0,AM$5&gt;100),AND(AM$5&gt;0,AM$5&lt;100)),
VLOOKUP(FLOOR((Midterm!AM86/AM$5)*100,1),new_transmute,4,FALSE),
VLOOKUP(Midterm!AM86,new_transmute,4,FALSE)
),
""
)
)
)
)
)
)
)
)
))</f>
        <v/>
      </c>
      <c r="AN86" s="14" t="str">
        <f>IF($B86="","",
IF(AN$5="","",
IF(Midterm!AN86="",0,
IF(NOT(ISNUMBER(Midterm!AN86)),"NAN",
IF(Midterm!AN86&lt;0,"NEG",
IF(Midterm!AN86&gt;AN$5,"OVER",
IF(AND(AN$5&lt;=100,Midterm!AN86&gt;100),"ERR",
IF(Info!$B$4="Non-board program",
IF(OR(AND(AN$5&gt;0,AN$5&gt;100),AND(AN$5&gt;0,AN$5&lt;100)),
VLOOKUP(FLOOR((Midterm!AN86/AN$5)*100,1),new_transmute,2,FALSE),
VLOOKUP(Midterm!AN86,new_transmute,2,FALSE)
),
IF(Info!$B$4="Board program",
IF(OR(AND(AN$5&gt;0,AN$5&gt;100),AND(AN$5&gt;0,AN$5&lt;100)),
VLOOKUP(FLOOR((Midterm!AN86/AN$5)*100,1),new_transmute,3,FALSE),
VLOOKUP(Midterm!AN86,new_transmute,3,FALSE)
),
IF(Info!$B$4="Board program (Medicine)",
IF(OR(AND(AN$5&gt;0,AN$5&gt;100),AND(AN$5&gt;0,AN$5&lt;100)),
VLOOKUP(FLOOR((Midterm!AN86/AN$5)*100,1),new_transmute,4,FALSE),
VLOOKUP(Midterm!AN86,new_transmute,4,FALSE)
),
""
)
)
)
)
)
)
)
)
))</f>
        <v/>
      </c>
      <c r="AO86" s="14" t="str">
        <f>IF($B86="","",
IF(AO$5="","",
IF(Midterm!AO86="",0,
IF(NOT(ISNUMBER(Midterm!AO86)),"NAN",
IF(Midterm!AO86&lt;0,"NEG",
IF(Midterm!AO86&gt;AO$5,"OVER",
IF(AND(AO$5&lt;=100,Midterm!AO86&gt;100),"ERR",
IF(Info!$B$4="Non-board program",
IF(OR(AND(AO$5&gt;0,AO$5&gt;100),AND(AO$5&gt;0,AO$5&lt;100)),
VLOOKUP(FLOOR((Midterm!AO86/AO$5)*100,1),new_transmute,2,FALSE),
VLOOKUP(Midterm!AO86,new_transmute,2,FALSE)
),
IF(Info!$B$4="Board program",
IF(OR(AND(AO$5&gt;0,AO$5&gt;100),AND(AO$5&gt;0,AO$5&lt;100)),
VLOOKUP(FLOOR((Midterm!AO86/AO$5)*100,1),new_transmute,3,FALSE),
VLOOKUP(Midterm!AO86,new_transmute,3,FALSE)
),
IF(Info!$B$4="Board program (Medicine)",
IF(OR(AND(AO$5&gt;0,AO$5&gt;100),AND(AO$5&gt;0,AO$5&lt;100)),
VLOOKUP(FLOOR((Midterm!AO86/AO$5)*100,1),new_transmute,4,FALSE),
VLOOKUP(Midterm!AO86,new_transmute,4,FALSE)
),
""
)
)
)
)
)
)
)
)
))</f>
        <v/>
      </c>
      <c r="AP86" s="14" t="str">
        <f>IF($B86="","",
IF(AP$5="","",
IF(Midterm!AP86="",0,
IF(NOT(ISNUMBER(Midterm!AP86)),"NAN",
IF(Midterm!AP86&lt;0,"NEG",
IF(Midterm!AP86&gt;AP$5,"OVER",
IF(AND(AP$5&lt;=100,Midterm!AP86&gt;100),"ERR",
IF(Info!$B$4="Non-board program",
IF(OR(AND(AP$5&gt;0,AP$5&gt;100),AND(AP$5&gt;0,AP$5&lt;100)),
VLOOKUP(FLOOR((Midterm!AP86/AP$5)*100,1),new_transmute,2,FALSE),
VLOOKUP(Midterm!AP86,new_transmute,2,FALSE)
),
IF(Info!$B$4="Board program",
IF(OR(AND(AP$5&gt;0,AP$5&gt;100),AND(AP$5&gt;0,AP$5&lt;100)),
VLOOKUP(FLOOR((Midterm!AP86/AP$5)*100,1),new_transmute,3,FALSE),
VLOOKUP(Midterm!AP86,new_transmute,3,FALSE)
),
IF(Info!$B$4="Board program (Medicine)",
IF(OR(AND(AP$5&gt;0,AP$5&gt;100),AND(AP$5&gt;0,AP$5&lt;100)),
VLOOKUP(FLOOR((Midterm!AP86/AP$5)*100,1),new_transmute,4,FALSE),
VLOOKUP(Midterm!AP86,new_transmute,4,FALSE)
),
""
)
)
)
)
)
)
)
)
))</f>
        <v/>
      </c>
      <c r="AQ86" s="61" t="str">
        <f t="shared" si="17"/>
        <v/>
      </c>
      <c r="AR86" s="48" t="str">
        <f>IF(Midterm!AR86="","",Midterm!AR86)</f>
        <v/>
      </c>
      <c r="AS86" s="165" t="str">
        <f t="shared" si="18"/>
        <v/>
      </c>
      <c r="AT86" s="14" t="str">
        <f t="shared" si="19"/>
        <v/>
      </c>
      <c r="AU86" s="14" t="str">
        <f>IF(B86="","",VLOOKUP(AT86,'New Grade Equivalent'!$B$3:$C$47,2,FALSE))</f>
        <v/>
      </c>
    </row>
    <row r="87" spans="1:47" x14ac:dyDescent="0.25">
      <c r="A87" s="8">
        <v>82</v>
      </c>
      <c r="B87" s="2" t="str">
        <f>IF('Student List'!C91="","",UPPER(LEFT('Student List'!C91,FIND(",",'Student List'!C91)-1)))</f>
        <v/>
      </c>
      <c r="C87" s="12" t="str">
        <f>IF('Student List'!C91="","",PROPER(MID('Student List'!C91, FIND(",", 'Student List'!C91) + 2, LEN('Student List'!C91) - FIND(",", 'Student List'!C91) - 1)))</f>
        <v/>
      </c>
      <c r="D87" s="127" t="str">
        <f>IF(B87="","",IF(Midterm!D87="", "NA", Midterm!D87))</f>
        <v/>
      </c>
      <c r="E87" s="8" t="str">
        <f>IF(B87="","",
  IF(Info!$B$5="First Year",
    IF(D87="Yes", "DRP",
      IF(D87="No", "WF", "")
    )
  )
)</f>
        <v/>
      </c>
      <c r="F87" s="14" t="str">
        <f>IF($B87="","",
IF(F$5="","",
IF(Midterm!F87="",0,
IF(NOT(ISNUMBER(Midterm!F87)),"NAN",
IF(Midterm!F87&lt;0,"NEG",
IF(Midterm!F87&gt;F$5,"OVER",
IF(AND(F$5&lt;=100,Midterm!F87&gt;100),"ERR",
IF(Info!$B$4="Non-board program",
IF(OR(AND(F$5&gt;0,F$5&gt;100),AND(F$5&gt;0,F$5&lt;100)),
VLOOKUP(FLOOR((Midterm!F87/F$5)*100,1),new_transmute,2,FALSE),
VLOOKUP(Midterm!F87,new_transmute,2,FALSE)
),
IF(Info!$B$4="Board program",
IF(OR(AND(F$5&gt;0,F$5&gt;100),AND(F$5&gt;0,F$5&lt;100)),
VLOOKUP(FLOOR((Midterm!F87/F$5)*100,1),new_transmute,3,FALSE),
VLOOKUP(Midterm!F87,new_transmute,3,FALSE)
),
IF(Info!$B$4="Board program (Medicine)",
IF(OR(AND(F$5&gt;0,F$5&gt;100),AND(F$5&gt;0,F$5&lt;100)),
VLOOKUP(FLOOR((Midterm!F87/F$5)*100,1),new_transmute,4,FALSE),
VLOOKUP(Midterm!F87,new_transmute,4,FALSE)
),
""
)
)
)
)
)
)
)
)
))</f>
        <v/>
      </c>
      <c r="G87" s="57" t="str">
        <f t="shared" si="11"/>
        <v/>
      </c>
      <c r="H87" s="14" t="str">
        <f>IF($B87="","",
IF(H$5="","",
IF(Midterm!H87="",0,
IF(NOT(ISNUMBER(Midterm!H87)),"NAN",
IF(Midterm!H87&lt;0,"NEG",
IF(Midterm!H87&gt;H$5,"OVER",
IF(AND(H$5&lt;=100,Midterm!H87&gt;100),"ERR",
IF(Info!$B$4="Non-board program",
IF(OR(AND(H$5&gt;0,H$5&gt;100),AND(H$5&gt;0,H$5&lt;100)),
VLOOKUP(FLOOR((Midterm!H87/H$5)*100,1),new_transmute,2,FALSE),
VLOOKUP(Midterm!H87,new_transmute,2,FALSE)
),
IF(Info!$B$4="Board program",
IF(OR(AND(H$5&gt;0,H$5&gt;100),AND(H$5&gt;0,H$5&lt;100)),
VLOOKUP(FLOOR((Midterm!H87/H$5)*100,1),new_transmute,3,FALSE),
VLOOKUP(Midterm!H87,new_transmute,3,FALSE)
),
IF(Info!$B$4="Board program (Medicine)",
IF(OR(AND(H$5&gt;0,H$5&gt;100),AND(H$5&gt;0,H$5&lt;100)),
VLOOKUP(FLOOR((Midterm!H87/H$5)*100,1),new_transmute,4,FALSE),
VLOOKUP(Midterm!H87,new_transmute,4,FALSE)
),
""
)
)
)
)
)
)
)
)
))</f>
        <v/>
      </c>
      <c r="I87" s="14" t="str">
        <f>IF($B87="","",
IF(I$5="","",
IF(Midterm!I87="",0,
IF(NOT(ISNUMBER(Midterm!I87)),"NAN",
IF(Midterm!I87&lt;0,"NEG",
IF(Midterm!I87&gt;I$5,"OVER",
IF(AND(I$5&lt;=100,Midterm!I87&gt;100),"ERR",
IF(Info!$B$4="Non-board program",
IF(OR(AND(I$5&gt;0,I$5&gt;100),AND(I$5&gt;0,I$5&lt;100)),
VLOOKUP(FLOOR((Midterm!I87/I$5)*100,1),new_transmute,2,FALSE),
VLOOKUP(Midterm!I87,new_transmute,2,FALSE)
),
IF(Info!$B$4="Board program",
IF(OR(AND(I$5&gt;0,I$5&gt;100),AND(I$5&gt;0,I$5&lt;100)),
VLOOKUP(FLOOR((Midterm!I87/I$5)*100,1),new_transmute,3,FALSE),
VLOOKUP(Midterm!I87,new_transmute,3,FALSE)
),
IF(Info!$B$4="Board program (Medicine)",
IF(OR(AND(I$5&gt;0,I$5&gt;100),AND(I$5&gt;0,I$5&lt;100)),
VLOOKUP(FLOOR((Midterm!I87/I$5)*100,1),new_transmute,4,FALSE),
VLOOKUP(Midterm!I87,new_transmute,4,FALSE)
),
""
)
)
)
)
)
)
)
)
))</f>
        <v/>
      </c>
      <c r="J87" s="14" t="str">
        <f>IF($B87="","",
IF(J$5="","",
IF(Midterm!J87="",0,
IF(NOT(ISNUMBER(Midterm!J87)),"NAN",
IF(Midterm!J87&lt;0,"NEG",
IF(Midterm!J87&gt;J$5,"OVER",
IF(AND(J$5&lt;=100,Midterm!J87&gt;100),"ERR",
IF(Info!$B$4="Non-board program",
IF(OR(AND(J$5&gt;0,J$5&gt;100),AND(J$5&gt;0,J$5&lt;100)),
VLOOKUP(FLOOR((Midterm!J87/J$5)*100,1),new_transmute,2,FALSE),
VLOOKUP(Midterm!J87,new_transmute,2,FALSE)
),
IF(Info!$B$4="Board program",
IF(OR(AND(J$5&gt;0,J$5&gt;100),AND(J$5&gt;0,J$5&lt;100)),
VLOOKUP(FLOOR((Midterm!J87/J$5)*100,1),new_transmute,3,FALSE),
VLOOKUP(Midterm!J87,new_transmute,3,FALSE)
),
IF(Info!$B$4="Board program (Medicine)",
IF(OR(AND(J$5&gt;0,J$5&gt;100),AND(J$5&gt;0,J$5&lt;100)),
VLOOKUP(FLOOR((Midterm!J87/J$5)*100,1),new_transmute,4,FALSE),
VLOOKUP(Midterm!J87,new_transmute,4,FALSE)
),
""
)
)
)
)
)
)
)
)
))</f>
        <v/>
      </c>
      <c r="K87" s="14" t="str">
        <f>IF($B87="","",
IF(K$5="","",
IF(Midterm!K87="",0,
IF(NOT(ISNUMBER(Midterm!K87)),"NAN",
IF(Midterm!K87&lt;0,"NEG",
IF(Midterm!K87&gt;K$5,"OVER",
IF(AND(K$5&lt;=100,Midterm!K87&gt;100),"ERR",
IF(Info!$B$4="Non-board program",
IF(OR(AND(K$5&gt;0,K$5&gt;100),AND(K$5&gt;0,K$5&lt;100)),
VLOOKUP(FLOOR((Midterm!K87/K$5)*100,1),new_transmute,2,FALSE),
VLOOKUP(Midterm!K87,new_transmute,2,FALSE)
),
IF(Info!$B$4="Board program",
IF(OR(AND(K$5&gt;0,K$5&gt;100),AND(K$5&gt;0,K$5&lt;100)),
VLOOKUP(FLOOR((Midterm!K87/K$5)*100,1),new_transmute,3,FALSE),
VLOOKUP(Midterm!K87,new_transmute,3,FALSE)
),
IF(Info!$B$4="Board program (Medicine)",
IF(OR(AND(K$5&gt;0,K$5&gt;100),AND(K$5&gt;0,K$5&lt;100)),
VLOOKUP(FLOOR((Midterm!K87/K$5)*100,1),new_transmute,4,FALSE),
VLOOKUP(Midterm!K87,new_transmute,4,FALSE)
),
""
)
)
)
)
)
)
)
)
))</f>
        <v/>
      </c>
      <c r="L87" s="14" t="str">
        <f>IF($B87="","",
IF(L$5="","",
IF(Midterm!L87="",0,
IF(NOT(ISNUMBER(Midterm!L87)),"NAN",
IF(Midterm!L87&lt;0,"NEG",
IF(Midterm!L87&gt;L$5,"OVER",
IF(AND(L$5&lt;=100,Midterm!L87&gt;100),"ERR",
IF(Info!$B$4="Non-board program",
IF(OR(AND(L$5&gt;0,L$5&gt;100),AND(L$5&gt;0,L$5&lt;100)),
VLOOKUP(FLOOR((Midterm!L87/L$5)*100,1),new_transmute,2,FALSE),
VLOOKUP(Midterm!L87,new_transmute,2,FALSE)
),
IF(Info!$B$4="Board program",
IF(OR(AND(L$5&gt;0,L$5&gt;100),AND(L$5&gt;0,L$5&lt;100)),
VLOOKUP(FLOOR((Midterm!L87/L$5)*100,1),new_transmute,3,FALSE),
VLOOKUP(Midterm!L87,new_transmute,3,FALSE)
),
IF(Info!$B$4="Board program (Medicine)",
IF(OR(AND(L$5&gt;0,L$5&gt;100),AND(L$5&gt;0,L$5&lt;100)),
VLOOKUP(FLOOR((Midterm!L87/L$5)*100,1),new_transmute,4,FALSE),
VLOOKUP(Midterm!L87,new_transmute,4,FALSE)
),
""
)
)
)
)
)
)
)
)
))</f>
        <v/>
      </c>
      <c r="M87" s="111" t="str">
        <f t="shared" si="12"/>
        <v/>
      </c>
      <c r="N87" s="14" t="str">
        <f>IF($B87="","",
IF(N$5="","",
IF(Midterm!N87="",0,
IF(NOT(ISNUMBER(Midterm!N87)),"NAN",
IF(Midterm!N87&lt;0,"NEG",
IF(Midterm!N87&gt;N$5,"OVER",
IF(AND(N$5&lt;=100,Midterm!N87&gt;100),"ERR",
IF(Info!$B$4="Non-board program",
IF(OR(AND(N$5&gt;0,N$5&gt;100),AND(N$5&gt;0,N$5&lt;100)),
VLOOKUP(FLOOR((Midterm!N87/N$5)*100,1),new_transmute,2,FALSE),
VLOOKUP(Midterm!N87,new_transmute,2,FALSE)
),
IF(Info!$B$4="Board program",
IF(OR(AND(N$5&gt;0,N$5&gt;100),AND(N$5&gt;0,N$5&lt;100)),
VLOOKUP(FLOOR((Midterm!N87/N$5)*100,1),new_transmute,3,FALSE),
VLOOKUP(Midterm!N87,new_transmute,3,FALSE)
),
IF(Info!$B$4="Board program (Medicine)",
IF(OR(AND(N$5&gt;0,N$5&gt;100),AND(N$5&gt;0,N$5&lt;100)),
VLOOKUP(FLOOR((Midterm!N87/N$5)*100,1),new_transmute,4,FALSE),
VLOOKUP(Midterm!N87,new_transmute,4,FALSE)
),
""
)
)
)
)
)
)
)
)
))</f>
        <v/>
      </c>
      <c r="O87" s="14" t="str">
        <f>IF($B87="","",
IF(O$5="","",
IF(Midterm!O87="",0,
IF(NOT(ISNUMBER(Midterm!O87)),"NAN",
IF(Midterm!O87&lt;0,"NEG",
IF(Midterm!O87&gt;O$5,"OVER",
IF(AND(O$5&lt;=100,Midterm!O87&gt;100),"ERR",
IF(Info!$B$4="Non-board program",
IF(OR(AND(O$5&gt;0,O$5&gt;100),AND(O$5&gt;0,O$5&lt;100)),
VLOOKUP(FLOOR((Midterm!O87/O$5)*100,1),new_transmute,2,FALSE),
VLOOKUP(Midterm!O87,new_transmute,2,FALSE)
),
IF(Info!$B$4="Board program",
IF(OR(AND(O$5&gt;0,O$5&gt;100),AND(O$5&gt;0,O$5&lt;100)),
VLOOKUP(FLOOR((Midterm!O87/O$5)*100,1),new_transmute,3,FALSE),
VLOOKUP(Midterm!O87,new_transmute,3,FALSE)
),
IF(Info!$B$4="Board program (Medicine)",
IF(OR(AND(O$5&gt;0,O$5&gt;100),AND(O$5&gt;0,O$5&lt;100)),
VLOOKUP(FLOOR((Midterm!O87/O$5)*100,1),new_transmute,4,FALSE),
VLOOKUP(Midterm!O87,new_transmute,4,FALSE)
),
""
)
)
)
)
)
)
)
)
))</f>
        <v/>
      </c>
      <c r="P87" s="14" t="str">
        <f>IF($B87="","",
IF(P$5="","",
IF(Midterm!P87="",0,
IF(NOT(ISNUMBER(Midterm!P87)),"NAN",
IF(Midterm!P87&lt;0,"NEG",
IF(Midterm!P87&gt;P$5,"OVER",
IF(AND(P$5&lt;=100,Midterm!P87&gt;100),"ERR",
IF(Info!$B$4="Non-board program",
IF(OR(AND(P$5&gt;0,P$5&gt;100),AND(P$5&gt;0,P$5&lt;100)),
VLOOKUP(FLOOR((Midterm!P87/P$5)*100,1),new_transmute,2,FALSE),
VLOOKUP(Midterm!P87,new_transmute,2,FALSE)
),
IF(Info!$B$4="Board program",
IF(OR(AND(P$5&gt;0,P$5&gt;100),AND(P$5&gt;0,P$5&lt;100)),
VLOOKUP(FLOOR((Midterm!P87/P$5)*100,1),new_transmute,3,FALSE),
VLOOKUP(Midterm!P87,new_transmute,3,FALSE)
),
IF(Info!$B$4="Board program (Medicine)",
IF(OR(AND(P$5&gt;0,P$5&gt;100),AND(P$5&gt;0,P$5&lt;100)),
VLOOKUP(FLOOR((Midterm!P87/P$5)*100,1),new_transmute,4,FALSE),
VLOOKUP(Midterm!P87,new_transmute,4,FALSE)
),
""
)
)
)
)
)
)
)
)
))</f>
        <v/>
      </c>
      <c r="Q87" s="14" t="str">
        <f>IF($B87="","",
IF(Q$5="","",
IF(Midterm!Q87="",0,
IF(NOT(ISNUMBER(Midterm!Q87)),"NAN",
IF(Midterm!Q87&lt;0,"NEG",
IF(Midterm!Q87&gt;Q$5,"OVER",
IF(AND(Q$5&lt;=100,Midterm!Q87&gt;100),"ERR",
IF(Info!$B$4="Non-board program",
IF(OR(AND(Q$5&gt;0,Q$5&gt;100),AND(Q$5&gt;0,Q$5&lt;100)),
VLOOKUP(FLOOR((Midterm!Q87/Q$5)*100,1),new_transmute,2,FALSE),
VLOOKUP(Midterm!Q87,new_transmute,2,FALSE)
),
IF(Info!$B$4="Board program",
IF(OR(AND(Q$5&gt;0,Q$5&gt;100),AND(Q$5&gt;0,Q$5&lt;100)),
VLOOKUP(FLOOR((Midterm!Q87/Q$5)*100,1),new_transmute,3,FALSE),
VLOOKUP(Midterm!Q87,new_transmute,3,FALSE)
),
IF(Info!$B$4="Board program (Medicine)",
IF(OR(AND(Q$5&gt;0,Q$5&gt;100),AND(Q$5&gt;0,Q$5&lt;100)),
VLOOKUP(FLOOR((Midterm!Q87/Q$5)*100,1),new_transmute,4,FALSE),
VLOOKUP(Midterm!Q87,new_transmute,4,FALSE)
),
""
)
)
)
)
)
)
)
)
))</f>
        <v/>
      </c>
      <c r="R87" s="14" t="str">
        <f>IF($B87="","",
IF(R$5="","",
IF(Midterm!R87="",0,
IF(NOT(ISNUMBER(Midterm!R87)),"NAN",
IF(Midterm!R87&lt;0,"NEG",
IF(Midterm!R87&gt;R$5,"OVER",
IF(AND(R$5&lt;=100,Midterm!R87&gt;100),"ERR",
IF(Info!$B$4="Non-board program",
IF(OR(AND(R$5&gt;0,R$5&gt;100),AND(R$5&gt;0,R$5&lt;100)),
VLOOKUP(FLOOR((Midterm!R87/R$5)*100,1),new_transmute,2,FALSE),
VLOOKUP(Midterm!R87,new_transmute,2,FALSE)
),
IF(Info!$B$4="Board program",
IF(OR(AND(R$5&gt;0,R$5&gt;100),AND(R$5&gt;0,R$5&lt;100)),
VLOOKUP(FLOOR((Midterm!R87/R$5)*100,1),new_transmute,3,FALSE),
VLOOKUP(Midterm!R87,new_transmute,3,FALSE)
),
IF(Info!$B$4="Board program (Medicine)",
IF(OR(AND(R$5&gt;0,R$5&gt;100),AND(R$5&gt;0,R$5&lt;100)),
VLOOKUP(FLOOR((Midterm!R87/R$5)*100,1),new_transmute,4,FALSE),
VLOOKUP(Midterm!R87,new_transmute,4,FALSE)
),
""
)
)
)
)
)
)
)
)
))</f>
        <v/>
      </c>
      <c r="S87" s="115" t="str">
        <f t="shared" si="13"/>
        <v/>
      </c>
      <c r="T87" s="14" t="str">
        <f>IF($B87="","",
IF(T$5="","",
IF(Midterm!T87="",0,
IF(NOT(ISNUMBER(Midterm!T87)),"NAN",
IF(Midterm!T87&lt;0,"NEG",
IF(Midterm!T87&gt;T$5,"OVER",
IF(AND(T$5&lt;=100,Midterm!T87&gt;100),"ERR",
IF(Info!$B$4="Non-board program",
IF(OR(AND(T$5&gt;0,T$5&gt;100),AND(T$5&gt;0,T$5&lt;100)),
VLOOKUP(FLOOR((Midterm!T87/T$5)*100,1),new_transmute,2,FALSE),
VLOOKUP(Midterm!T87,new_transmute,2,FALSE)
),
IF(Info!$B$4="Board program",
IF(OR(AND(T$5&gt;0,T$5&gt;100),AND(T$5&gt;0,T$5&lt;100)),
VLOOKUP(FLOOR((Midterm!T87/T$5)*100,1),new_transmute,3,FALSE),
VLOOKUP(Midterm!T87,new_transmute,3,FALSE)
),
IF(Info!$B$4="Board program (Medicine)",
IF(OR(AND(T$5&gt;0,T$5&gt;100),AND(T$5&gt;0,T$5&lt;100)),
VLOOKUP(FLOOR((Midterm!T87/T$5)*100,1),new_transmute,4,FALSE),
VLOOKUP(Midterm!T87,new_transmute,4,FALSE)
),
""
)
)
)
)
)
)
)
)
))</f>
        <v/>
      </c>
      <c r="U87" s="14" t="str">
        <f>IF($B87="","",
IF(U$5="","",
IF(Midterm!U87="",0,
IF(NOT(ISNUMBER(Midterm!U87)),"NAN",
IF(Midterm!U87&lt;0,"NEG",
IF(Midterm!U87&gt;U$5,"OVER",
IF(AND(U$5&lt;=100,Midterm!U87&gt;100),"ERR",
IF(Info!$B$4="Non-board program",
IF(OR(AND(U$5&gt;0,U$5&gt;100),AND(U$5&gt;0,U$5&lt;100)),
VLOOKUP(FLOOR((Midterm!U87/U$5)*100,1),new_transmute,2,FALSE),
VLOOKUP(Midterm!U87,new_transmute,2,FALSE)
),
IF(Info!$B$4="Board program",
IF(OR(AND(U$5&gt;0,U$5&gt;100),AND(U$5&gt;0,U$5&lt;100)),
VLOOKUP(FLOOR((Midterm!U87/U$5)*100,1),new_transmute,3,FALSE),
VLOOKUP(Midterm!U87,new_transmute,3,FALSE)
),
IF(Info!$B$4="Board program (Medicine)",
IF(OR(AND(U$5&gt;0,U$5&gt;100),AND(U$5&gt;0,U$5&lt;100)),
VLOOKUP(FLOOR((Midterm!U87/U$5)*100,1),new_transmute,4,FALSE),
VLOOKUP(Midterm!U87,new_transmute,4,FALSE)
),
""
)
)
)
)
)
)
)
)
))</f>
        <v/>
      </c>
      <c r="V87" s="14" t="str">
        <f>IF($B87="","",
IF(V$5="","",
IF(Midterm!V87="",0,
IF(NOT(ISNUMBER(Midterm!V87)),"NAN",
IF(Midterm!V87&lt;0,"NEG",
IF(Midterm!V87&gt;V$5,"OVER",
IF(AND(V$5&lt;=100,Midterm!V87&gt;100),"ERR",
IF(Info!$B$4="Non-board program",
IF(OR(AND(V$5&gt;0,V$5&gt;100),AND(V$5&gt;0,V$5&lt;100)),
VLOOKUP(FLOOR((Midterm!V87/V$5)*100,1),new_transmute,2,FALSE),
VLOOKUP(Midterm!V87,new_transmute,2,FALSE)
),
IF(Info!$B$4="Board program",
IF(OR(AND(V$5&gt;0,V$5&gt;100),AND(V$5&gt;0,V$5&lt;100)),
VLOOKUP(FLOOR((Midterm!V87/V$5)*100,1),new_transmute,3,FALSE),
VLOOKUP(Midterm!V87,new_transmute,3,FALSE)
),
IF(Info!$B$4="Board program (Medicine)",
IF(OR(AND(V$5&gt;0,V$5&gt;100),AND(V$5&gt;0,V$5&lt;100)),
VLOOKUP(FLOOR((Midterm!V87/V$5)*100,1),new_transmute,4,FALSE),
VLOOKUP(Midterm!V87,new_transmute,4,FALSE)
),
""
)
)
)
)
)
)
)
)
))</f>
        <v/>
      </c>
      <c r="W87" s="14" t="str">
        <f>IF($B87="","",
IF(W$5="","",
IF(Midterm!W87="",0,
IF(NOT(ISNUMBER(Midterm!W87)),"NAN",
IF(Midterm!W87&lt;0,"NEG",
IF(Midterm!W87&gt;W$5,"OVER",
IF(AND(W$5&lt;=100,Midterm!W87&gt;100),"ERR",
IF(Info!$B$4="Non-board program",
IF(OR(AND(W$5&gt;0,W$5&gt;100),AND(W$5&gt;0,W$5&lt;100)),
VLOOKUP(FLOOR((Midterm!W87/W$5)*100,1),new_transmute,2,FALSE),
VLOOKUP(Midterm!W87,new_transmute,2,FALSE)
),
IF(Info!$B$4="Board program",
IF(OR(AND(W$5&gt;0,W$5&gt;100),AND(W$5&gt;0,W$5&lt;100)),
VLOOKUP(FLOOR((Midterm!W87/W$5)*100,1),new_transmute,3,FALSE),
VLOOKUP(Midterm!W87,new_transmute,3,FALSE)
),
IF(Info!$B$4="Board program (Medicine)",
IF(OR(AND(W$5&gt;0,W$5&gt;100),AND(W$5&gt;0,W$5&lt;100)),
VLOOKUP(FLOOR((Midterm!W87/W$5)*100,1),new_transmute,4,FALSE),
VLOOKUP(Midterm!W87,new_transmute,4,FALSE)
),
""
)
)
)
)
)
)
)
)
))</f>
        <v/>
      </c>
      <c r="X87" s="14" t="str">
        <f>IF($B87="","",
IF(X$5="","",
IF(Midterm!X87="",0,
IF(NOT(ISNUMBER(Midterm!X87)),"NAN",
IF(Midterm!X87&lt;0,"NEG",
IF(Midterm!X87&gt;X$5,"OVER",
IF(AND(X$5&lt;=100,Midterm!X87&gt;100),"ERR",
IF(Info!$B$4="Non-board program",
IF(OR(AND(X$5&gt;0,X$5&gt;100),AND(X$5&gt;0,X$5&lt;100)),
VLOOKUP(FLOOR((Midterm!X87/X$5)*100,1),new_transmute,2,FALSE),
VLOOKUP(Midterm!X87,new_transmute,2,FALSE)
),
IF(Info!$B$4="Board program",
IF(OR(AND(X$5&gt;0,X$5&gt;100),AND(X$5&gt;0,X$5&lt;100)),
VLOOKUP(FLOOR((Midterm!X87/X$5)*100,1),new_transmute,3,FALSE),
VLOOKUP(Midterm!X87,new_transmute,3,FALSE)
),
IF(Info!$B$4="Board program (Medicine)",
IF(OR(AND(X$5&gt;0,X$5&gt;100),AND(X$5&gt;0,X$5&lt;100)),
VLOOKUP(FLOOR((Midterm!X87/X$5)*100,1),new_transmute,4,FALSE),
VLOOKUP(Midterm!X87,new_transmute,4,FALSE)
),
""
)
)
)
)
)
)
)
)
))</f>
        <v/>
      </c>
      <c r="Y87" s="112" t="str">
        <f t="shared" si="14"/>
        <v/>
      </c>
      <c r="Z87" s="14" t="str">
        <f>IF($B87="","",
IF(Z$5="","",
IF(Midterm!Z87="",0,
IF(NOT(ISNUMBER(Midterm!Z87)),"NAN",
IF(Midterm!Z87&lt;0,"NEG",
IF(Midterm!Z87&gt;Z$5,"OVER",
IF(AND(Z$5&lt;=100,Midterm!Z87&gt;100),"ERR",
IF(Info!$B$4="Non-board program",
IF(OR(AND(Z$5&gt;0,Z$5&gt;100),AND(Z$5&gt;0,Z$5&lt;100)),
VLOOKUP(FLOOR((Midterm!Z87/Z$5)*100,1),new_transmute,2,FALSE),
VLOOKUP(Midterm!Z87,new_transmute,2,FALSE)
),
IF(Info!$B$4="Board program",
IF(OR(AND(Z$5&gt;0,Z$5&gt;100),AND(Z$5&gt;0,Z$5&lt;100)),
VLOOKUP(FLOOR((Midterm!Z87/Z$5)*100,1),new_transmute,3,FALSE),
VLOOKUP(Midterm!Z87,new_transmute,3,FALSE)
),
IF(Info!$B$4="Board program (Medicine)",
IF(OR(AND(Z$5&gt;0,Z$5&gt;100),AND(Z$5&gt;0,Z$5&lt;100)),
VLOOKUP(FLOOR((Midterm!Z87/Z$5)*100,1),new_transmute,4,FALSE),
VLOOKUP(Midterm!Z87,new_transmute,4,FALSE)
),
""
)
)
)
)
)
)
)
)
))</f>
        <v/>
      </c>
      <c r="AA87" s="14" t="str">
        <f>IF($B87="","",
IF(AA$5="","",
IF(Midterm!AA87="",0,
IF(NOT(ISNUMBER(Midterm!AA87)),"NAN",
IF(Midterm!AA87&lt;0,"NEG",
IF(Midterm!AA87&gt;AA$5,"OVER",
IF(AND(AA$5&lt;=100,Midterm!AA87&gt;100),"ERR",
IF(Info!$B$4="Non-board program",
IF(OR(AND(AA$5&gt;0,AA$5&gt;100),AND(AA$5&gt;0,AA$5&lt;100)),
VLOOKUP(FLOOR((Midterm!AA87/AA$5)*100,1),new_transmute,2,FALSE),
VLOOKUP(Midterm!AA87,new_transmute,2,FALSE)
),
IF(Info!$B$4="Board program",
IF(OR(AND(AA$5&gt;0,AA$5&gt;100),AND(AA$5&gt;0,AA$5&lt;100)),
VLOOKUP(FLOOR((Midterm!AA87/AA$5)*100,1),new_transmute,3,FALSE),
VLOOKUP(Midterm!AA87,new_transmute,3,FALSE)
),
IF(Info!$B$4="Board program (Medicine)",
IF(OR(AND(AA$5&gt;0,AA$5&gt;100),AND(AA$5&gt;0,AA$5&lt;100)),
VLOOKUP(FLOOR((Midterm!AA87/AA$5)*100,1),new_transmute,4,FALSE),
VLOOKUP(Midterm!AA87,new_transmute,4,FALSE)
),
""
)
)
)
)
)
)
)
)
))</f>
        <v/>
      </c>
      <c r="AB87" s="14" t="str">
        <f>IF($B87="","",
IF(AB$5="","",
IF(Midterm!AB87="",0,
IF(NOT(ISNUMBER(Midterm!AB87)),"NAN",
IF(Midterm!AB87&lt;0,"NEG",
IF(Midterm!AB87&gt;AB$5,"OVER",
IF(AND(AB$5&lt;=100,Midterm!AB87&gt;100),"ERR",
IF(Info!$B$4="Non-board program",
IF(OR(AND(AB$5&gt;0,AB$5&gt;100),AND(AB$5&gt;0,AB$5&lt;100)),
VLOOKUP(FLOOR((Midterm!AB87/AB$5)*100,1),new_transmute,2,FALSE),
VLOOKUP(Midterm!AB87,new_transmute,2,FALSE)
),
IF(Info!$B$4="Board program",
IF(OR(AND(AB$5&gt;0,AB$5&gt;100),AND(AB$5&gt;0,AB$5&lt;100)),
VLOOKUP(FLOOR((Midterm!AB87/AB$5)*100,1),new_transmute,3,FALSE),
VLOOKUP(Midterm!AB87,new_transmute,3,FALSE)
),
IF(Info!$B$4="Board program (Medicine)",
IF(OR(AND(AB$5&gt;0,AB$5&gt;100),AND(AB$5&gt;0,AB$5&lt;100)),
VLOOKUP(FLOOR((Midterm!AB87/AB$5)*100,1),new_transmute,4,FALSE),
VLOOKUP(Midterm!AB87,new_transmute,4,FALSE)
),
""
)
)
)
)
)
)
)
)
))</f>
        <v/>
      </c>
      <c r="AC87" s="14" t="str">
        <f>IF($B87="","",
IF(AC$5="","",
IF(Midterm!AC87="",0,
IF(NOT(ISNUMBER(Midterm!AC87)),"NAN",
IF(Midterm!AC87&lt;0,"NEG",
IF(Midterm!AC87&gt;AC$5,"OVER",
IF(AND(AC$5&lt;=100,Midterm!AC87&gt;100),"ERR",
IF(Info!$B$4="Non-board program",
IF(OR(AND(AC$5&gt;0,AC$5&gt;100),AND(AC$5&gt;0,AC$5&lt;100)),
VLOOKUP(FLOOR((Midterm!AC87/AC$5)*100,1),new_transmute,2,FALSE),
VLOOKUP(Midterm!AC87,new_transmute,2,FALSE)
),
IF(Info!$B$4="Board program",
IF(OR(AND(AC$5&gt;0,AC$5&gt;100),AND(AC$5&gt;0,AC$5&lt;100)),
VLOOKUP(FLOOR((Midterm!AC87/AC$5)*100,1),new_transmute,3,FALSE),
VLOOKUP(Midterm!AC87,new_transmute,3,FALSE)
),
IF(Info!$B$4="Board program (Medicine)",
IF(OR(AND(AC$5&gt;0,AC$5&gt;100),AND(AC$5&gt;0,AC$5&lt;100)),
VLOOKUP(FLOOR((Midterm!AC87/AC$5)*100,1),new_transmute,4,FALSE),
VLOOKUP(Midterm!AC87,new_transmute,4,FALSE)
),
""
)
)
)
)
)
)
)
)
))</f>
        <v/>
      </c>
      <c r="AD87" s="14" t="str">
        <f>IF($B87="","",
IF(AD$5="","",
IF(Midterm!AD87="",0,
IF(NOT(ISNUMBER(Midterm!AD87)),"NAN",
IF(Midterm!AD87&lt;0,"NEG",
IF(Midterm!AD87&gt;AD$5,"OVER",
IF(AND(AD$5&lt;=100,Midterm!AD87&gt;100),"ERR",
IF(Info!$B$4="Non-board program",
IF(OR(AND(AD$5&gt;0,AD$5&gt;100),AND(AD$5&gt;0,AD$5&lt;100)),
VLOOKUP(FLOOR((Midterm!AD87/AD$5)*100,1),new_transmute,2,FALSE),
VLOOKUP(Midterm!AD87,new_transmute,2,FALSE)
),
IF(Info!$B$4="Board program",
IF(OR(AND(AD$5&gt;0,AD$5&gt;100),AND(AD$5&gt;0,AD$5&lt;100)),
VLOOKUP(FLOOR((Midterm!AD87/AD$5)*100,1),new_transmute,3,FALSE),
VLOOKUP(Midterm!AD87,new_transmute,3,FALSE)
),
IF(Info!$B$4="Board program (Medicine)",
IF(OR(AND(AD$5&gt;0,AD$5&gt;100),AND(AD$5&gt;0,AD$5&lt;100)),
VLOOKUP(FLOOR((Midterm!AD87/AD$5)*100,1),new_transmute,4,FALSE),
VLOOKUP(Midterm!AD87,new_transmute,4,FALSE)
),
""
)
)
)
)
)
)
)
)
))</f>
        <v/>
      </c>
      <c r="AE87" s="58" t="str">
        <f t="shared" si="15"/>
        <v/>
      </c>
      <c r="AF87" s="14" t="str">
        <f>IF($B87="","",
IF(AF$5="","",
IF(Midterm!AF87="",0,
IF(NOT(ISNUMBER(Midterm!AF87)),"NAN",
IF(Midterm!AF87&lt;0,"NEG",
IF(Midterm!AF87&gt;AF$5,"OVER",
IF(AND(AF$5&lt;=100,Midterm!AF87&gt;100),"ERR",
IF(Info!$B$4="Non-board program",
IF(OR(AND(AF$5&gt;0,AF$5&gt;100),AND(AF$5&gt;0,AF$5&lt;100)),
VLOOKUP(FLOOR((Midterm!AF87/AF$5)*100,1),new_transmute,2,FALSE),
VLOOKUP(Midterm!AF87,new_transmute,2,FALSE)
),
IF(Info!$B$4="Board program",
IF(OR(AND(AF$5&gt;0,AF$5&gt;100),AND(AF$5&gt;0,AF$5&lt;100)),
VLOOKUP(FLOOR((Midterm!AF87/AF$5)*100,1),new_transmute,3,FALSE),
VLOOKUP(Midterm!AF87,new_transmute,3,FALSE)
),
IF(Info!$B$4="Board program (Medicine)",
IF(OR(AND(AF$5&gt;0,AF$5&gt;100),AND(AF$5&gt;0,AF$5&lt;100)),
VLOOKUP(FLOOR((Midterm!AF87/AF$5)*100,1),new_transmute,4,FALSE),
VLOOKUP(Midterm!AF87,new_transmute,4,FALSE)
),
""
)
)
)
)
)
)
)
)
))</f>
        <v/>
      </c>
      <c r="AG87" s="14" t="str">
        <f>IF($B87="","",
IF(AG$5="","",
IF(Midterm!AG87="",0,
IF(NOT(ISNUMBER(Midterm!AG87)),"NAN",
IF(Midterm!AG87&lt;0,"NEG",
IF(Midterm!AG87&gt;AG$5,"OVER",
IF(AND(AG$5&lt;=100,Midterm!AG87&gt;100),"ERR",
IF(Info!$B$4="Non-board program",
IF(OR(AND(AG$5&gt;0,AG$5&gt;100),AND(AG$5&gt;0,AG$5&lt;100)),
VLOOKUP(FLOOR((Midterm!AG87/AG$5)*100,1),new_transmute,2,FALSE),
VLOOKUP(Midterm!AG87,new_transmute,2,FALSE)
),
IF(Info!$B$4="Board program",
IF(OR(AND(AG$5&gt;0,AG$5&gt;100),AND(AG$5&gt;0,AG$5&lt;100)),
VLOOKUP(FLOOR((Midterm!AG87/AG$5)*100,1),new_transmute,3,FALSE),
VLOOKUP(Midterm!AG87,new_transmute,3,FALSE)
),
IF(Info!$B$4="Board program (Medicine)",
IF(OR(AND(AG$5&gt;0,AG$5&gt;100),AND(AG$5&gt;0,AG$5&lt;100)),
VLOOKUP(FLOOR((Midterm!AG87/AG$5)*100,1),new_transmute,4,FALSE),
VLOOKUP(Midterm!AG87,new_transmute,4,FALSE)
),
""
)
)
)
)
)
)
)
)
))</f>
        <v/>
      </c>
      <c r="AH87" s="14" t="str">
        <f>IF($B87="","",
IF(AH$5="","",
IF(Midterm!AH87="",0,
IF(NOT(ISNUMBER(Midterm!AH87)),"NAN",
IF(Midterm!AH87&lt;0,"NEG",
IF(Midterm!AH87&gt;AH$5,"OVER",
IF(AND(AH$5&lt;=100,Midterm!AH87&gt;100),"ERR",
IF(Info!$B$4="Non-board program",
IF(OR(AND(AH$5&gt;0,AH$5&gt;100),AND(AH$5&gt;0,AH$5&lt;100)),
VLOOKUP(FLOOR((Midterm!AH87/AH$5)*100,1),new_transmute,2,FALSE),
VLOOKUP(Midterm!AH87,new_transmute,2,FALSE)
),
IF(Info!$B$4="Board program",
IF(OR(AND(AH$5&gt;0,AH$5&gt;100),AND(AH$5&gt;0,AH$5&lt;100)),
VLOOKUP(FLOOR((Midterm!AH87/AH$5)*100,1),new_transmute,3,FALSE),
VLOOKUP(Midterm!AH87,new_transmute,3,FALSE)
),
IF(Info!$B$4="Board program (Medicine)",
IF(OR(AND(AH$5&gt;0,AH$5&gt;100),AND(AH$5&gt;0,AH$5&lt;100)),
VLOOKUP(FLOOR((Midterm!AH87/AH$5)*100,1),new_transmute,4,FALSE),
VLOOKUP(Midterm!AH87,new_transmute,4,FALSE)
),
""
)
)
)
)
)
)
)
)
))</f>
        <v/>
      </c>
      <c r="AI87" s="14" t="str">
        <f>IF($B87="","",
IF(AI$5="","",
IF(Midterm!AI87="",0,
IF(NOT(ISNUMBER(Midterm!AI87)),"NAN",
IF(Midterm!AI87&lt;0,"NEG",
IF(Midterm!AI87&gt;AI$5,"OVER",
IF(AND(AI$5&lt;=100,Midterm!AI87&gt;100),"ERR",
IF(Info!$B$4="Non-board program",
IF(OR(AND(AI$5&gt;0,AI$5&gt;100),AND(AI$5&gt;0,AI$5&lt;100)),
VLOOKUP(FLOOR((Midterm!AI87/AI$5)*100,1),new_transmute,2,FALSE),
VLOOKUP(Midterm!AI87,new_transmute,2,FALSE)
),
IF(Info!$B$4="Board program",
IF(OR(AND(AI$5&gt;0,AI$5&gt;100),AND(AI$5&gt;0,AI$5&lt;100)),
VLOOKUP(FLOOR((Midterm!AI87/AI$5)*100,1),new_transmute,3,FALSE),
VLOOKUP(Midterm!AI87,new_transmute,3,FALSE)
),
IF(Info!$B$4="Board program (Medicine)",
IF(OR(AND(AI$5&gt;0,AI$5&gt;100),AND(AI$5&gt;0,AI$5&lt;100)),
VLOOKUP(FLOOR((Midterm!AI87/AI$5)*100,1),new_transmute,4,FALSE),
VLOOKUP(Midterm!AI87,new_transmute,4,FALSE)
),
""
)
)
)
)
)
)
)
)
))</f>
        <v/>
      </c>
      <c r="AJ87" s="14" t="str">
        <f>IF($B87="","",
IF(AJ$5="","",
IF(Midterm!AJ87="",0,
IF(NOT(ISNUMBER(Midterm!AJ87)),"NAN",
IF(Midterm!AJ87&lt;0,"NEG",
IF(Midterm!AJ87&gt;AJ$5,"OVER",
IF(AND(AJ$5&lt;=100,Midterm!AJ87&gt;100),"ERR",
IF(Info!$B$4="Non-board program",
IF(OR(AND(AJ$5&gt;0,AJ$5&gt;100),AND(AJ$5&gt;0,AJ$5&lt;100)),
VLOOKUP(FLOOR((Midterm!AJ87/AJ$5)*100,1),new_transmute,2,FALSE),
VLOOKUP(Midterm!AJ87,new_transmute,2,FALSE)
),
IF(Info!$B$4="Board program",
IF(OR(AND(AJ$5&gt;0,AJ$5&gt;100),AND(AJ$5&gt;0,AJ$5&lt;100)),
VLOOKUP(FLOOR((Midterm!AJ87/AJ$5)*100,1),new_transmute,3,FALSE),
VLOOKUP(Midterm!AJ87,new_transmute,3,FALSE)
),
IF(Info!$B$4="Board program (Medicine)",
IF(OR(AND(AJ$5&gt;0,AJ$5&gt;100),AND(AJ$5&gt;0,AJ$5&lt;100)),
VLOOKUP(FLOOR((Midterm!AJ87/AJ$5)*100,1),new_transmute,4,FALSE),
VLOOKUP(Midterm!AJ87,new_transmute,4,FALSE)
),
""
)
)
)
)
)
)
)
)
))</f>
        <v/>
      </c>
      <c r="AK87" s="59" t="str">
        <f t="shared" si="16"/>
        <v/>
      </c>
      <c r="AL87" s="60" t="str">
        <f>IF(B87="", "",
    IF(OR(M87="OVER", S87="OVER", Y87="OVER", AE87="OVER", AK87="OVER"),
        "OVER",
        IF(Info!$B$4="Non-board program",
            VLOOKUP(IFERROR(FLOOR(SUM((M87*$M$4), (S87*$S$4), (Y87*$Y$4), (AE87*$AE$4), (AK87*$AK$4)) * (100 / 60), 1), 0), new_transmute, 2, FALSE),
            IF(Info!$B$4="Board program",
                VLOOKUP(IFERROR(FLOOR(SUM((M87*$M$4), (S87*$S$4), (Y87*$Y$4), (AE87*$AE$4), (AK87*$AK$4)) * (100 / 60), 1), 0), new_transmute, 3, FALSE),
                IF(Info!$B$4="Board program (Medicine)",
                    VLOOKUP(IFERROR(FLOOR(SUM((M87*$M$4), (S87*$S$4), (Y87*$Y$4), (AE87*$AE$4), (AK87*$AK$4)) * (100 / 60), 1), 0), new_transmute, 4, FALSE),
                    ""
                )
            )
        )
    )
)</f>
        <v/>
      </c>
      <c r="AM87" s="14" t="str">
        <f>IF($B87="","",
IF(AM$5="","",
IF(Midterm!AM87="",0,
IF(NOT(ISNUMBER(Midterm!AM87)),"NAN",
IF(Midterm!AM87&lt;0,"NEG",
IF(Midterm!AM87&gt;AM$5,"OVER",
IF(AND(AM$5&lt;=100,Midterm!AM87&gt;100),"ERR",
IF(Info!$B$4="Non-board program",
IF(OR(AND(AM$5&gt;0,AM$5&gt;100),AND(AM$5&gt;0,AM$5&lt;100)),
VLOOKUP(FLOOR((Midterm!AM87/AM$5)*100,1),new_transmute,2,FALSE),
VLOOKUP(Midterm!AM87,new_transmute,2,FALSE)
),
IF(Info!$B$4="Board program",
IF(OR(AND(AM$5&gt;0,AM$5&gt;100),AND(AM$5&gt;0,AM$5&lt;100)),
VLOOKUP(FLOOR((Midterm!AM87/AM$5)*100,1),new_transmute,3,FALSE),
VLOOKUP(Midterm!AM87,new_transmute,3,FALSE)
),
IF(Info!$B$4="Board program (Medicine)",
IF(OR(AND(AM$5&gt;0,AM$5&gt;100),AND(AM$5&gt;0,AM$5&lt;100)),
VLOOKUP(FLOOR((Midterm!AM87/AM$5)*100,1),new_transmute,4,FALSE),
VLOOKUP(Midterm!AM87,new_transmute,4,FALSE)
),
""
)
)
)
)
)
)
)
)
))</f>
        <v/>
      </c>
      <c r="AN87" s="14" t="str">
        <f>IF($B87="","",
IF(AN$5="","",
IF(Midterm!AN87="",0,
IF(NOT(ISNUMBER(Midterm!AN87)),"NAN",
IF(Midterm!AN87&lt;0,"NEG",
IF(Midterm!AN87&gt;AN$5,"OVER",
IF(AND(AN$5&lt;=100,Midterm!AN87&gt;100),"ERR",
IF(Info!$B$4="Non-board program",
IF(OR(AND(AN$5&gt;0,AN$5&gt;100),AND(AN$5&gt;0,AN$5&lt;100)),
VLOOKUP(FLOOR((Midterm!AN87/AN$5)*100,1),new_transmute,2,FALSE),
VLOOKUP(Midterm!AN87,new_transmute,2,FALSE)
),
IF(Info!$B$4="Board program",
IF(OR(AND(AN$5&gt;0,AN$5&gt;100),AND(AN$5&gt;0,AN$5&lt;100)),
VLOOKUP(FLOOR((Midterm!AN87/AN$5)*100,1),new_transmute,3,FALSE),
VLOOKUP(Midterm!AN87,new_transmute,3,FALSE)
),
IF(Info!$B$4="Board program (Medicine)",
IF(OR(AND(AN$5&gt;0,AN$5&gt;100),AND(AN$5&gt;0,AN$5&lt;100)),
VLOOKUP(FLOOR((Midterm!AN87/AN$5)*100,1),new_transmute,4,FALSE),
VLOOKUP(Midterm!AN87,new_transmute,4,FALSE)
),
""
)
)
)
)
)
)
)
)
))</f>
        <v/>
      </c>
      <c r="AO87" s="14" t="str">
        <f>IF($B87="","",
IF(AO$5="","",
IF(Midterm!AO87="",0,
IF(NOT(ISNUMBER(Midterm!AO87)),"NAN",
IF(Midterm!AO87&lt;0,"NEG",
IF(Midterm!AO87&gt;AO$5,"OVER",
IF(AND(AO$5&lt;=100,Midterm!AO87&gt;100),"ERR",
IF(Info!$B$4="Non-board program",
IF(OR(AND(AO$5&gt;0,AO$5&gt;100),AND(AO$5&gt;0,AO$5&lt;100)),
VLOOKUP(FLOOR((Midterm!AO87/AO$5)*100,1),new_transmute,2,FALSE),
VLOOKUP(Midterm!AO87,new_transmute,2,FALSE)
),
IF(Info!$B$4="Board program",
IF(OR(AND(AO$5&gt;0,AO$5&gt;100),AND(AO$5&gt;0,AO$5&lt;100)),
VLOOKUP(FLOOR((Midterm!AO87/AO$5)*100,1),new_transmute,3,FALSE),
VLOOKUP(Midterm!AO87,new_transmute,3,FALSE)
),
IF(Info!$B$4="Board program (Medicine)",
IF(OR(AND(AO$5&gt;0,AO$5&gt;100),AND(AO$5&gt;0,AO$5&lt;100)),
VLOOKUP(FLOOR((Midterm!AO87/AO$5)*100,1),new_transmute,4,FALSE),
VLOOKUP(Midterm!AO87,new_transmute,4,FALSE)
),
""
)
)
)
)
)
)
)
)
))</f>
        <v/>
      </c>
      <c r="AP87" s="14" t="str">
        <f>IF($B87="","",
IF(AP$5="","",
IF(Midterm!AP87="",0,
IF(NOT(ISNUMBER(Midterm!AP87)),"NAN",
IF(Midterm!AP87&lt;0,"NEG",
IF(Midterm!AP87&gt;AP$5,"OVER",
IF(AND(AP$5&lt;=100,Midterm!AP87&gt;100),"ERR",
IF(Info!$B$4="Non-board program",
IF(OR(AND(AP$5&gt;0,AP$5&gt;100),AND(AP$5&gt;0,AP$5&lt;100)),
VLOOKUP(FLOOR((Midterm!AP87/AP$5)*100,1),new_transmute,2,FALSE),
VLOOKUP(Midterm!AP87,new_transmute,2,FALSE)
),
IF(Info!$B$4="Board program",
IF(OR(AND(AP$5&gt;0,AP$5&gt;100),AND(AP$5&gt;0,AP$5&lt;100)),
VLOOKUP(FLOOR((Midterm!AP87/AP$5)*100,1),new_transmute,3,FALSE),
VLOOKUP(Midterm!AP87,new_transmute,3,FALSE)
),
IF(Info!$B$4="Board program (Medicine)",
IF(OR(AND(AP$5&gt;0,AP$5&gt;100),AND(AP$5&gt;0,AP$5&lt;100)),
VLOOKUP(FLOOR((Midterm!AP87/AP$5)*100,1),new_transmute,4,FALSE),
VLOOKUP(Midterm!AP87,new_transmute,4,FALSE)
),
""
)
)
)
)
)
)
)
)
))</f>
        <v/>
      </c>
      <c r="AQ87" s="61" t="str">
        <f t="shared" si="17"/>
        <v/>
      </c>
      <c r="AR87" s="48" t="str">
        <f>IF(Midterm!AR87="","",Midterm!AR87)</f>
        <v/>
      </c>
      <c r="AS87" s="165" t="str">
        <f t="shared" si="18"/>
        <v/>
      </c>
      <c r="AT87" s="14" t="str">
        <f t="shared" si="19"/>
        <v/>
      </c>
      <c r="AU87" s="14" t="str">
        <f>IF(B87="","",VLOOKUP(AT87,'New Grade Equivalent'!$B$3:$C$47,2,FALSE))</f>
        <v/>
      </c>
    </row>
    <row r="88" spans="1:47" x14ac:dyDescent="0.25">
      <c r="A88" s="8">
        <v>83</v>
      </c>
      <c r="B88" s="2" t="str">
        <f>IF('Student List'!C92="","",UPPER(LEFT('Student List'!C92,FIND(",",'Student List'!C92)-1)))</f>
        <v/>
      </c>
      <c r="C88" s="12" t="str">
        <f>IF('Student List'!C92="","",PROPER(MID('Student List'!C92, FIND(",", 'Student List'!C92) + 2, LEN('Student List'!C92) - FIND(",", 'Student List'!C92) - 1)))</f>
        <v/>
      </c>
      <c r="D88" s="127" t="str">
        <f>IF(B88="","",IF(Midterm!D88="", "NA", Midterm!D88))</f>
        <v/>
      </c>
      <c r="E88" s="8" t="str">
        <f>IF(B88="","",
  IF(Info!$B$5="First Year",
    IF(D88="Yes", "DRP",
      IF(D88="No", "WF", "")
    )
  )
)</f>
        <v/>
      </c>
      <c r="F88" s="14" t="str">
        <f>IF($B88="","",
IF(F$5="","",
IF(Midterm!F88="",0,
IF(NOT(ISNUMBER(Midterm!F88)),"NAN",
IF(Midterm!F88&lt;0,"NEG",
IF(Midterm!F88&gt;F$5,"OVER",
IF(AND(F$5&lt;=100,Midterm!F88&gt;100),"ERR",
IF(Info!$B$4="Non-board program",
IF(OR(AND(F$5&gt;0,F$5&gt;100),AND(F$5&gt;0,F$5&lt;100)),
VLOOKUP(FLOOR((Midterm!F88/F$5)*100,1),new_transmute,2,FALSE),
VLOOKUP(Midterm!F88,new_transmute,2,FALSE)
),
IF(Info!$B$4="Board program",
IF(OR(AND(F$5&gt;0,F$5&gt;100),AND(F$5&gt;0,F$5&lt;100)),
VLOOKUP(FLOOR((Midterm!F88/F$5)*100,1),new_transmute,3,FALSE),
VLOOKUP(Midterm!F88,new_transmute,3,FALSE)
),
IF(Info!$B$4="Board program (Medicine)",
IF(OR(AND(F$5&gt;0,F$5&gt;100),AND(F$5&gt;0,F$5&lt;100)),
VLOOKUP(FLOOR((Midterm!F88/F$5)*100,1),new_transmute,4,FALSE),
VLOOKUP(Midterm!F88,new_transmute,4,FALSE)
),
""
)
)
)
)
)
)
)
)
))</f>
        <v/>
      </c>
      <c r="G88" s="57" t="str">
        <f t="shared" si="11"/>
        <v/>
      </c>
      <c r="H88" s="14" t="str">
        <f>IF($B88="","",
IF(H$5="","",
IF(Midterm!H88="",0,
IF(NOT(ISNUMBER(Midterm!H88)),"NAN",
IF(Midterm!H88&lt;0,"NEG",
IF(Midterm!H88&gt;H$5,"OVER",
IF(AND(H$5&lt;=100,Midterm!H88&gt;100),"ERR",
IF(Info!$B$4="Non-board program",
IF(OR(AND(H$5&gt;0,H$5&gt;100),AND(H$5&gt;0,H$5&lt;100)),
VLOOKUP(FLOOR((Midterm!H88/H$5)*100,1),new_transmute,2,FALSE),
VLOOKUP(Midterm!H88,new_transmute,2,FALSE)
),
IF(Info!$B$4="Board program",
IF(OR(AND(H$5&gt;0,H$5&gt;100),AND(H$5&gt;0,H$5&lt;100)),
VLOOKUP(FLOOR((Midterm!H88/H$5)*100,1),new_transmute,3,FALSE),
VLOOKUP(Midterm!H88,new_transmute,3,FALSE)
),
IF(Info!$B$4="Board program (Medicine)",
IF(OR(AND(H$5&gt;0,H$5&gt;100),AND(H$5&gt;0,H$5&lt;100)),
VLOOKUP(FLOOR((Midterm!H88/H$5)*100,1),new_transmute,4,FALSE),
VLOOKUP(Midterm!H88,new_transmute,4,FALSE)
),
""
)
)
)
)
)
)
)
)
))</f>
        <v/>
      </c>
      <c r="I88" s="14" t="str">
        <f>IF($B88="","",
IF(I$5="","",
IF(Midterm!I88="",0,
IF(NOT(ISNUMBER(Midterm!I88)),"NAN",
IF(Midterm!I88&lt;0,"NEG",
IF(Midterm!I88&gt;I$5,"OVER",
IF(AND(I$5&lt;=100,Midterm!I88&gt;100),"ERR",
IF(Info!$B$4="Non-board program",
IF(OR(AND(I$5&gt;0,I$5&gt;100),AND(I$5&gt;0,I$5&lt;100)),
VLOOKUP(FLOOR((Midterm!I88/I$5)*100,1),new_transmute,2,FALSE),
VLOOKUP(Midterm!I88,new_transmute,2,FALSE)
),
IF(Info!$B$4="Board program",
IF(OR(AND(I$5&gt;0,I$5&gt;100),AND(I$5&gt;0,I$5&lt;100)),
VLOOKUP(FLOOR((Midterm!I88/I$5)*100,1),new_transmute,3,FALSE),
VLOOKUP(Midterm!I88,new_transmute,3,FALSE)
),
IF(Info!$B$4="Board program (Medicine)",
IF(OR(AND(I$5&gt;0,I$5&gt;100),AND(I$5&gt;0,I$5&lt;100)),
VLOOKUP(FLOOR((Midterm!I88/I$5)*100,1),new_transmute,4,FALSE),
VLOOKUP(Midterm!I88,new_transmute,4,FALSE)
),
""
)
)
)
)
)
)
)
)
))</f>
        <v/>
      </c>
      <c r="J88" s="14" t="str">
        <f>IF($B88="","",
IF(J$5="","",
IF(Midterm!J88="",0,
IF(NOT(ISNUMBER(Midterm!J88)),"NAN",
IF(Midterm!J88&lt;0,"NEG",
IF(Midterm!J88&gt;J$5,"OVER",
IF(AND(J$5&lt;=100,Midterm!J88&gt;100),"ERR",
IF(Info!$B$4="Non-board program",
IF(OR(AND(J$5&gt;0,J$5&gt;100),AND(J$5&gt;0,J$5&lt;100)),
VLOOKUP(FLOOR((Midterm!J88/J$5)*100,1),new_transmute,2,FALSE),
VLOOKUP(Midterm!J88,new_transmute,2,FALSE)
),
IF(Info!$B$4="Board program",
IF(OR(AND(J$5&gt;0,J$5&gt;100),AND(J$5&gt;0,J$5&lt;100)),
VLOOKUP(FLOOR((Midterm!J88/J$5)*100,1),new_transmute,3,FALSE),
VLOOKUP(Midterm!J88,new_transmute,3,FALSE)
),
IF(Info!$B$4="Board program (Medicine)",
IF(OR(AND(J$5&gt;0,J$5&gt;100),AND(J$5&gt;0,J$5&lt;100)),
VLOOKUP(FLOOR((Midterm!J88/J$5)*100,1),new_transmute,4,FALSE),
VLOOKUP(Midterm!J88,new_transmute,4,FALSE)
),
""
)
)
)
)
)
)
)
)
))</f>
        <v/>
      </c>
      <c r="K88" s="14" t="str">
        <f>IF($B88="","",
IF(K$5="","",
IF(Midterm!K88="",0,
IF(NOT(ISNUMBER(Midterm!K88)),"NAN",
IF(Midterm!K88&lt;0,"NEG",
IF(Midterm!K88&gt;K$5,"OVER",
IF(AND(K$5&lt;=100,Midterm!K88&gt;100),"ERR",
IF(Info!$B$4="Non-board program",
IF(OR(AND(K$5&gt;0,K$5&gt;100),AND(K$5&gt;0,K$5&lt;100)),
VLOOKUP(FLOOR((Midterm!K88/K$5)*100,1),new_transmute,2,FALSE),
VLOOKUP(Midterm!K88,new_transmute,2,FALSE)
),
IF(Info!$B$4="Board program",
IF(OR(AND(K$5&gt;0,K$5&gt;100),AND(K$5&gt;0,K$5&lt;100)),
VLOOKUP(FLOOR((Midterm!K88/K$5)*100,1),new_transmute,3,FALSE),
VLOOKUP(Midterm!K88,new_transmute,3,FALSE)
),
IF(Info!$B$4="Board program (Medicine)",
IF(OR(AND(K$5&gt;0,K$5&gt;100),AND(K$5&gt;0,K$5&lt;100)),
VLOOKUP(FLOOR((Midterm!K88/K$5)*100,1),new_transmute,4,FALSE),
VLOOKUP(Midterm!K88,new_transmute,4,FALSE)
),
""
)
)
)
)
)
)
)
)
))</f>
        <v/>
      </c>
      <c r="L88" s="14" t="str">
        <f>IF($B88="","",
IF(L$5="","",
IF(Midterm!L88="",0,
IF(NOT(ISNUMBER(Midterm!L88)),"NAN",
IF(Midterm!L88&lt;0,"NEG",
IF(Midterm!L88&gt;L$5,"OVER",
IF(AND(L$5&lt;=100,Midterm!L88&gt;100),"ERR",
IF(Info!$B$4="Non-board program",
IF(OR(AND(L$5&gt;0,L$5&gt;100),AND(L$5&gt;0,L$5&lt;100)),
VLOOKUP(FLOOR((Midterm!L88/L$5)*100,1),new_transmute,2,FALSE),
VLOOKUP(Midterm!L88,new_transmute,2,FALSE)
),
IF(Info!$B$4="Board program",
IF(OR(AND(L$5&gt;0,L$5&gt;100),AND(L$5&gt;0,L$5&lt;100)),
VLOOKUP(FLOOR((Midterm!L88/L$5)*100,1),new_transmute,3,FALSE),
VLOOKUP(Midterm!L88,new_transmute,3,FALSE)
),
IF(Info!$B$4="Board program (Medicine)",
IF(OR(AND(L$5&gt;0,L$5&gt;100),AND(L$5&gt;0,L$5&lt;100)),
VLOOKUP(FLOOR((Midterm!L88/L$5)*100,1),new_transmute,4,FALSE),
VLOOKUP(Midterm!L88,new_transmute,4,FALSE)
),
""
)
)
)
)
)
)
)
)
))</f>
        <v/>
      </c>
      <c r="M88" s="111" t="str">
        <f t="shared" si="12"/>
        <v/>
      </c>
      <c r="N88" s="14" t="str">
        <f>IF($B88="","",
IF(N$5="","",
IF(Midterm!N88="",0,
IF(NOT(ISNUMBER(Midterm!N88)),"NAN",
IF(Midterm!N88&lt;0,"NEG",
IF(Midterm!N88&gt;N$5,"OVER",
IF(AND(N$5&lt;=100,Midterm!N88&gt;100),"ERR",
IF(Info!$B$4="Non-board program",
IF(OR(AND(N$5&gt;0,N$5&gt;100),AND(N$5&gt;0,N$5&lt;100)),
VLOOKUP(FLOOR((Midterm!N88/N$5)*100,1),new_transmute,2,FALSE),
VLOOKUP(Midterm!N88,new_transmute,2,FALSE)
),
IF(Info!$B$4="Board program",
IF(OR(AND(N$5&gt;0,N$5&gt;100),AND(N$5&gt;0,N$5&lt;100)),
VLOOKUP(FLOOR((Midterm!N88/N$5)*100,1),new_transmute,3,FALSE),
VLOOKUP(Midterm!N88,new_transmute,3,FALSE)
),
IF(Info!$B$4="Board program (Medicine)",
IF(OR(AND(N$5&gt;0,N$5&gt;100),AND(N$5&gt;0,N$5&lt;100)),
VLOOKUP(FLOOR((Midterm!N88/N$5)*100,1),new_transmute,4,FALSE),
VLOOKUP(Midterm!N88,new_transmute,4,FALSE)
),
""
)
)
)
)
)
)
)
)
))</f>
        <v/>
      </c>
      <c r="O88" s="14" t="str">
        <f>IF($B88="","",
IF(O$5="","",
IF(Midterm!O88="",0,
IF(NOT(ISNUMBER(Midterm!O88)),"NAN",
IF(Midterm!O88&lt;0,"NEG",
IF(Midterm!O88&gt;O$5,"OVER",
IF(AND(O$5&lt;=100,Midterm!O88&gt;100),"ERR",
IF(Info!$B$4="Non-board program",
IF(OR(AND(O$5&gt;0,O$5&gt;100),AND(O$5&gt;0,O$5&lt;100)),
VLOOKUP(FLOOR((Midterm!O88/O$5)*100,1),new_transmute,2,FALSE),
VLOOKUP(Midterm!O88,new_transmute,2,FALSE)
),
IF(Info!$B$4="Board program",
IF(OR(AND(O$5&gt;0,O$5&gt;100),AND(O$5&gt;0,O$5&lt;100)),
VLOOKUP(FLOOR((Midterm!O88/O$5)*100,1),new_transmute,3,FALSE),
VLOOKUP(Midterm!O88,new_transmute,3,FALSE)
),
IF(Info!$B$4="Board program (Medicine)",
IF(OR(AND(O$5&gt;0,O$5&gt;100),AND(O$5&gt;0,O$5&lt;100)),
VLOOKUP(FLOOR((Midterm!O88/O$5)*100,1),new_transmute,4,FALSE),
VLOOKUP(Midterm!O88,new_transmute,4,FALSE)
),
""
)
)
)
)
)
)
)
)
))</f>
        <v/>
      </c>
      <c r="P88" s="14" t="str">
        <f>IF($B88="","",
IF(P$5="","",
IF(Midterm!P88="",0,
IF(NOT(ISNUMBER(Midterm!P88)),"NAN",
IF(Midterm!P88&lt;0,"NEG",
IF(Midterm!P88&gt;P$5,"OVER",
IF(AND(P$5&lt;=100,Midterm!P88&gt;100),"ERR",
IF(Info!$B$4="Non-board program",
IF(OR(AND(P$5&gt;0,P$5&gt;100),AND(P$5&gt;0,P$5&lt;100)),
VLOOKUP(FLOOR((Midterm!P88/P$5)*100,1),new_transmute,2,FALSE),
VLOOKUP(Midterm!P88,new_transmute,2,FALSE)
),
IF(Info!$B$4="Board program",
IF(OR(AND(P$5&gt;0,P$5&gt;100),AND(P$5&gt;0,P$5&lt;100)),
VLOOKUP(FLOOR((Midterm!P88/P$5)*100,1),new_transmute,3,FALSE),
VLOOKUP(Midterm!P88,new_transmute,3,FALSE)
),
IF(Info!$B$4="Board program (Medicine)",
IF(OR(AND(P$5&gt;0,P$5&gt;100),AND(P$5&gt;0,P$5&lt;100)),
VLOOKUP(FLOOR((Midterm!P88/P$5)*100,1),new_transmute,4,FALSE),
VLOOKUP(Midterm!P88,new_transmute,4,FALSE)
),
""
)
)
)
)
)
)
)
)
))</f>
        <v/>
      </c>
      <c r="Q88" s="14" t="str">
        <f>IF($B88="","",
IF(Q$5="","",
IF(Midterm!Q88="",0,
IF(NOT(ISNUMBER(Midterm!Q88)),"NAN",
IF(Midterm!Q88&lt;0,"NEG",
IF(Midterm!Q88&gt;Q$5,"OVER",
IF(AND(Q$5&lt;=100,Midterm!Q88&gt;100),"ERR",
IF(Info!$B$4="Non-board program",
IF(OR(AND(Q$5&gt;0,Q$5&gt;100),AND(Q$5&gt;0,Q$5&lt;100)),
VLOOKUP(FLOOR((Midterm!Q88/Q$5)*100,1),new_transmute,2,FALSE),
VLOOKUP(Midterm!Q88,new_transmute,2,FALSE)
),
IF(Info!$B$4="Board program",
IF(OR(AND(Q$5&gt;0,Q$5&gt;100),AND(Q$5&gt;0,Q$5&lt;100)),
VLOOKUP(FLOOR((Midterm!Q88/Q$5)*100,1),new_transmute,3,FALSE),
VLOOKUP(Midterm!Q88,new_transmute,3,FALSE)
),
IF(Info!$B$4="Board program (Medicine)",
IF(OR(AND(Q$5&gt;0,Q$5&gt;100),AND(Q$5&gt;0,Q$5&lt;100)),
VLOOKUP(FLOOR((Midterm!Q88/Q$5)*100,1),new_transmute,4,FALSE),
VLOOKUP(Midterm!Q88,new_transmute,4,FALSE)
),
""
)
)
)
)
)
)
)
)
))</f>
        <v/>
      </c>
      <c r="R88" s="14" t="str">
        <f>IF($B88="","",
IF(R$5="","",
IF(Midterm!R88="",0,
IF(NOT(ISNUMBER(Midterm!R88)),"NAN",
IF(Midterm!R88&lt;0,"NEG",
IF(Midterm!R88&gt;R$5,"OVER",
IF(AND(R$5&lt;=100,Midterm!R88&gt;100),"ERR",
IF(Info!$B$4="Non-board program",
IF(OR(AND(R$5&gt;0,R$5&gt;100),AND(R$5&gt;0,R$5&lt;100)),
VLOOKUP(FLOOR((Midterm!R88/R$5)*100,1),new_transmute,2,FALSE),
VLOOKUP(Midterm!R88,new_transmute,2,FALSE)
),
IF(Info!$B$4="Board program",
IF(OR(AND(R$5&gt;0,R$5&gt;100),AND(R$5&gt;0,R$5&lt;100)),
VLOOKUP(FLOOR((Midterm!R88/R$5)*100,1),new_transmute,3,FALSE),
VLOOKUP(Midterm!R88,new_transmute,3,FALSE)
),
IF(Info!$B$4="Board program (Medicine)",
IF(OR(AND(R$5&gt;0,R$5&gt;100),AND(R$5&gt;0,R$5&lt;100)),
VLOOKUP(FLOOR((Midterm!R88/R$5)*100,1),new_transmute,4,FALSE),
VLOOKUP(Midterm!R88,new_transmute,4,FALSE)
),
""
)
)
)
)
)
)
)
)
))</f>
        <v/>
      </c>
      <c r="S88" s="115" t="str">
        <f t="shared" si="13"/>
        <v/>
      </c>
      <c r="T88" s="14" t="str">
        <f>IF($B88="","",
IF(T$5="","",
IF(Midterm!T88="",0,
IF(NOT(ISNUMBER(Midterm!T88)),"NAN",
IF(Midterm!T88&lt;0,"NEG",
IF(Midterm!T88&gt;T$5,"OVER",
IF(AND(T$5&lt;=100,Midterm!T88&gt;100),"ERR",
IF(Info!$B$4="Non-board program",
IF(OR(AND(T$5&gt;0,T$5&gt;100),AND(T$5&gt;0,T$5&lt;100)),
VLOOKUP(FLOOR((Midterm!T88/T$5)*100,1),new_transmute,2,FALSE),
VLOOKUP(Midterm!T88,new_transmute,2,FALSE)
),
IF(Info!$B$4="Board program",
IF(OR(AND(T$5&gt;0,T$5&gt;100),AND(T$5&gt;0,T$5&lt;100)),
VLOOKUP(FLOOR((Midterm!T88/T$5)*100,1),new_transmute,3,FALSE),
VLOOKUP(Midterm!T88,new_transmute,3,FALSE)
),
IF(Info!$B$4="Board program (Medicine)",
IF(OR(AND(T$5&gt;0,T$5&gt;100),AND(T$5&gt;0,T$5&lt;100)),
VLOOKUP(FLOOR((Midterm!T88/T$5)*100,1),new_transmute,4,FALSE),
VLOOKUP(Midterm!T88,new_transmute,4,FALSE)
),
""
)
)
)
)
)
)
)
)
))</f>
        <v/>
      </c>
      <c r="U88" s="14" t="str">
        <f>IF($B88="","",
IF(U$5="","",
IF(Midterm!U88="",0,
IF(NOT(ISNUMBER(Midterm!U88)),"NAN",
IF(Midterm!U88&lt;0,"NEG",
IF(Midterm!U88&gt;U$5,"OVER",
IF(AND(U$5&lt;=100,Midterm!U88&gt;100),"ERR",
IF(Info!$B$4="Non-board program",
IF(OR(AND(U$5&gt;0,U$5&gt;100),AND(U$5&gt;0,U$5&lt;100)),
VLOOKUP(FLOOR((Midterm!U88/U$5)*100,1),new_transmute,2,FALSE),
VLOOKUP(Midterm!U88,new_transmute,2,FALSE)
),
IF(Info!$B$4="Board program",
IF(OR(AND(U$5&gt;0,U$5&gt;100),AND(U$5&gt;0,U$5&lt;100)),
VLOOKUP(FLOOR((Midterm!U88/U$5)*100,1),new_transmute,3,FALSE),
VLOOKUP(Midterm!U88,new_transmute,3,FALSE)
),
IF(Info!$B$4="Board program (Medicine)",
IF(OR(AND(U$5&gt;0,U$5&gt;100),AND(U$5&gt;0,U$5&lt;100)),
VLOOKUP(FLOOR((Midterm!U88/U$5)*100,1),new_transmute,4,FALSE),
VLOOKUP(Midterm!U88,new_transmute,4,FALSE)
),
""
)
)
)
)
)
)
)
)
))</f>
        <v/>
      </c>
      <c r="V88" s="14" t="str">
        <f>IF($B88="","",
IF(V$5="","",
IF(Midterm!V88="",0,
IF(NOT(ISNUMBER(Midterm!V88)),"NAN",
IF(Midterm!V88&lt;0,"NEG",
IF(Midterm!V88&gt;V$5,"OVER",
IF(AND(V$5&lt;=100,Midterm!V88&gt;100),"ERR",
IF(Info!$B$4="Non-board program",
IF(OR(AND(V$5&gt;0,V$5&gt;100),AND(V$5&gt;0,V$5&lt;100)),
VLOOKUP(FLOOR((Midterm!V88/V$5)*100,1),new_transmute,2,FALSE),
VLOOKUP(Midterm!V88,new_transmute,2,FALSE)
),
IF(Info!$B$4="Board program",
IF(OR(AND(V$5&gt;0,V$5&gt;100),AND(V$5&gt;0,V$5&lt;100)),
VLOOKUP(FLOOR((Midterm!V88/V$5)*100,1),new_transmute,3,FALSE),
VLOOKUP(Midterm!V88,new_transmute,3,FALSE)
),
IF(Info!$B$4="Board program (Medicine)",
IF(OR(AND(V$5&gt;0,V$5&gt;100),AND(V$5&gt;0,V$5&lt;100)),
VLOOKUP(FLOOR((Midterm!V88/V$5)*100,1),new_transmute,4,FALSE),
VLOOKUP(Midterm!V88,new_transmute,4,FALSE)
),
""
)
)
)
)
)
)
)
)
))</f>
        <v/>
      </c>
      <c r="W88" s="14" t="str">
        <f>IF($B88="","",
IF(W$5="","",
IF(Midterm!W88="",0,
IF(NOT(ISNUMBER(Midterm!W88)),"NAN",
IF(Midterm!W88&lt;0,"NEG",
IF(Midterm!W88&gt;W$5,"OVER",
IF(AND(W$5&lt;=100,Midterm!W88&gt;100),"ERR",
IF(Info!$B$4="Non-board program",
IF(OR(AND(W$5&gt;0,W$5&gt;100),AND(W$5&gt;0,W$5&lt;100)),
VLOOKUP(FLOOR((Midterm!W88/W$5)*100,1),new_transmute,2,FALSE),
VLOOKUP(Midterm!W88,new_transmute,2,FALSE)
),
IF(Info!$B$4="Board program",
IF(OR(AND(W$5&gt;0,W$5&gt;100),AND(W$5&gt;0,W$5&lt;100)),
VLOOKUP(FLOOR((Midterm!W88/W$5)*100,1),new_transmute,3,FALSE),
VLOOKUP(Midterm!W88,new_transmute,3,FALSE)
),
IF(Info!$B$4="Board program (Medicine)",
IF(OR(AND(W$5&gt;0,W$5&gt;100),AND(W$5&gt;0,W$5&lt;100)),
VLOOKUP(FLOOR((Midterm!W88/W$5)*100,1),new_transmute,4,FALSE),
VLOOKUP(Midterm!W88,new_transmute,4,FALSE)
),
""
)
)
)
)
)
)
)
)
))</f>
        <v/>
      </c>
      <c r="X88" s="14" t="str">
        <f>IF($B88="","",
IF(X$5="","",
IF(Midterm!X88="",0,
IF(NOT(ISNUMBER(Midterm!X88)),"NAN",
IF(Midterm!X88&lt;0,"NEG",
IF(Midterm!X88&gt;X$5,"OVER",
IF(AND(X$5&lt;=100,Midterm!X88&gt;100),"ERR",
IF(Info!$B$4="Non-board program",
IF(OR(AND(X$5&gt;0,X$5&gt;100),AND(X$5&gt;0,X$5&lt;100)),
VLOOKUP(FLOOR((Midterm!X88/X$5)*100,1),new_transmute,2,FALSE),
VLOOKUP(Midterm!X88,new_transmute,2,FALSE)
),
IF(Info!$B$4="Board program",
IF(OR(AND(X$5&gt;0,X$5&gt;100),AND(X$5&gt;0,X$5&lt;100)),
VLOOKUP(FLOOR((Midterm!X88/X$5)*100,1),new_transmute,3,FALSE),
VLOOKUP(Midterm!X88,new_transmute,3,FALSE)
),
IF(Info!$B$4="Board program (Medicine)",
IF(OR(AND(X$5&gt;0,X$5&gt;100),AND(X$5&gt;0,X$5&lt;100)),
VLOOKUP(FLOOR((Midterm!X88/X$5)*100,1),new_transmute,4,FALSE),
VLOOKUP(Midterm!X88,new_transmute,4,FALSE)
),
""
)
)
)
)
)
)
)
)
))</f>
        <v/>
      </c>
      <c r="Y88" s="112" t="str">
        <f t="shared" si="14"/>
        <v/>
      </c>
      <c r="Z88" s="14" t="str">
        <f>IF($B88="","",
IF(Z$5="","",
IF(Midterm!Z88="",0,
IF(NOT(ISNUMBER(Midterm!Z88)),"NAN",
IF(Midterm!Z88&lt;0,"NEG",
IF(Midterm!Z88&gt;Z$5,"OVER",
IF(AND(Z$5&lt;=100,Midterm!Z88&gt;100),"ERR",
IF(Info!$B$4="Non-board program",
IF(OR(AND(Z$5&gt;0,Z$5&gt;100),AND(Z$5&gt;0,Z$5&lt;100)),
VLOOKUP(FLOOR((Midterm!Z88/Z$5)*100,1),new_transmute,2,FALSE),
VLOOKUP(Midterm!Z88,new_transmute,2,FALSE)
),
IF(Info!$B$4="Board program",
IF(OR(AND(Z$5&gt;0,Z$5&gt;100),AND(Z$5&gt;0,Z$5&lt;100)),
VLOOKUP(FLOOR((Midterm!Z88/Z$5)*100,1),new_transmute,3,FALSE),
VLOOKUP(Midterm!Z88,new_transmute,3,FALSE)
),
IF(Info!$B$4="Board program (Medicine)",
IF(OR(AND(Z$5&gt;0,Z$5&gt;100),AND(Z$5&gt;0,Z$5&lt;100)),
VLOOKUP(FLOOR((Midterm!Z88/Z$5)*100,1),new_transmute,4,FALSE),
VLOOKUP(Midterm!Z88,new_transmute,4,FALSE)
),
""
)
)
)
)
)
)
)
)
))</f>
        <v/>
      </c>
      <c r="AA88" s="14" t="str">
        <f>IF($B88="","",
IF(AA$5="","",
IF(Midterm!AA88="",0,
IF(NOT(ISNUMBER(Midterm!AA88)),"NAN",
IF(Midterm!AA88&lt;0,"NEG",
IF(Midterm!AA88&gt;AA$5,"OVER",
IF(AND(AA$5&lt;=100,Midterm!AA88&gt;100),"ERR",
IF(Info!$B$4="Non-board program",
IF(OR(AND(AA$5&gt;0,AA$5&gt;100),AND(AA$5&gt;0,AA$5&lt;100)),
VLOOKUP(FLOOR((Midterm!AA88/AA$5)*100,1),new_transmute,2,FALSE),
VLOOKUP(Midterm!AA88,new_transmute,2,FALSE)
),
IF(Info!$B$4="Board program",
IF(OR(AND(AA$5&gt;0,AA$5&gt;100),AND(AA$5&gt;0,AA$5&lt;100)),
VLOOKUP(FLOOR((Midterm!AA88/AA$5)*100,1),new_transmute,3,FALSE),
VLOOKUP(Midterm!AA88,new_transmute,3,FALSE)
),
IF(Info!$B$4="Board program (Medicine)",
IF(OR(AND(AA$5&gt;0,AA$5&gt;100),AND(AA$5&gt;0,AA$5&lt;100)),
VLOOKUP(FLOOR((Midterm!AA88/AA$5)*100,1),new_transmute,4,FALSE),
VLOOKUP(Midterm!AA88,new_transmute,4,FALSE)
),
""
)
)
)
)
)
)
)
)
))</f>
        <v/>
      </c>
      <c r="AB88" s="14" t="str">
        <f>IF($B88="","",
IF(AB$5="","",
IF(Midterm!AB88="",0,
IF(NOT(ISNUMBER(Midterm!AB88)),"NAN",
IF(Midterm!AB88&lt;0,"NEG",
IF(Midterm!AB88&gt;AB$5,"OVER",
IF(AND(AB$5&lt;=100,Midterm!AB88&gt;100),"ERR",
IF(Info!$B$4="Non-board program",
IF(OR(AND(AB$5&gt;0,AB$5&gt;100),AND(AB$5&gt;0,AB$5&lt;100)),
VLOOKUP(FLOOR((Midterm!AB88/AB$5)*100,1),new_transmute,2,FALSE),
VLOOKUP(Midterm!AB88,new_transmute,2,FALSE)
),
IF(Info!$B$4="Board program",
IF(OR(AND(AB$5&gt;0,AB$5&gt;100),AND(AB$5&gt;0,AB$5&lt;100)),
VLOOKUP(FLOOR((Midterm!AB88/AB$5)*100,1),new_transmute,3,FALSE),
VLOOKUP(Midterm!AB88,new_transmute,3,FALSE)
),
IF(Info!$B$4="Board program (Medicine)",
IF(OR(AND(AB$5&gt;0,AB$5&gt;100),AND(AB$5&gt;0,AB$5&lt;100)),
VLOOKUP(FLOOR((Midterm!AB88/AB$5)*100,1),new_transmute,4,FALSE),
VLOOKUP(Midterm!AB88,new_transmute,4,FALSE)
),
""
)
)
)
)
)
)
)
)
))</f>
        <v/>
      </c>
      <c r="AC88" s="14" t="str">
        <f>IF($B88="","",
IF(AC$5="","",
IF(Midterm!AC88="",0,
IF(NOT(ISNUMBER(Midterm!AC88)),"NAN",
IF(Midterm!AC88&lt;0,"NEG",
IF(Midterm!AC88&gt;AC$5,"OVER",
IF(AND(AC$5&lt;=100,Midterm!AC88&gt;100),"ERR",
IF(Info!$B$4="Non-board program",
IF(OR(AND(AC$5&gt;0,AC$5&gt;100),AND(AC$5&gt;0,AC$5&lt;100)),
VLOOKUP(FLOOR((Midterm!AC88/AC$5)*100,1),new_transmute,2,FALSE),
VLOOKUP(Midterm!AC88,new_transmute,2,FALSE)
),
IF(Info!$B$4="Board program",
IF(OR(AND(AC$5&gt;0,AC$5&gt;100),AND(AC$5&gt;0,AC$5&lt;100)),
VLOOKUP(FLOOR((Midterm!AC88/AC$5)*100,1),new_transmute,3,FALSE),
VLOOKUP(Midterm!AC88,new_transmute,3,FALSE)
),
IF(Info!$B$4="Board program (Medicine)",
IF(OR(AND(AC$5&gt;0,AC$5&gt;100),AND(AC$5&gt;0,AC$5&lt;100)),
VLOOKUP(FLOOR((Midterm!AC88/AC$5)*100,1),new_transmute,4,FALSE),
VLOOKUP(Midterm!AC88,new_transmute,4,FALSE)
),
""
)
)
)
)
)
)
)
)
))</f>
        <v/>
      </c>
      <c r="AD88" s="14" t="str">
        <f>IF($B88="","",
IF(AD$5="","",
IF(Midterm!AD88="",0,
IF(NOT(ISNUMBER(Midterm!AD88)),"NAN",
IF(Midterm!AD88&lt;0,"NEG",
IF(Midterm!AD88&gt;AD$5,"OVER",
IF(AND(AD$5&lt;=100,Midterm!AD88&gt;100),"ERR",
IF(Info!$B$4="Non-board program",
IF(OR(AND(AD$5&gt;0,AD$5&gt;100),AND(AD$5&gt;0,AD$5&lt;100)),
VLOOKUP(FLOOR((Midterm!AD88/AD$5)*100,1),new_transmute,2,FALSE),
VLOOKUP(Midterm!AD88,new_transmute,2,FALSE)
),
IF(Info!$B$4="Board program",
IF(OR(AND(AD$5&gt;0,AD$5&gt;100),AND(AD$5&gt;0,AD$5&lt;100)),
VLOOKUP(FLOOR((Midterm!AD88/AD$5)*100,1),new_transmute,3,FALSE),
VLOOKUP(Midterm!AD88,new_transmute,3,FALSE)
),
IF(Info!$B$4="Board program (Medicine)",
IF(OR(AND(AD$5&gt;0,AD$5&gt;100),AND(AD$5&gt;0,AD$5&lt;100)),
VLOOKUP(FLOOR((Midterm!AD88/AD$5)*100,1),new_transmute,4,FALSE),
VLOOKUP(Midterm!AD88,new_transmute,4,FALSE)
),
""
)
)
)
)
)
)
)
)
))</f>
        <v/>
      </c>
      <c r="AE88" s="58" t="str">
        <f t="shared" si="15"/>
        <v/>
      </c>
      <c r="AF88" s="14" t="str">
        <f>IF($B88="","",
IF(AF$5="","",
IF(Midterm!AF88="",0,
IF(NOT(ISNUMBER(Midterm!AF88)),"NAN",
IF(Midterm!AF88&lt;0,"NEG",
IF(Midterm!AF88&gt;AF$5,"OVER",
IF(AND(AF$5&lt;=100,Midterm!AF88&gt;100),"ERR",
IF(Info!$B$4="Non-board program",
IF(OR(AND(AF$5&gt;0,AF$5&gt;100),AND(AF$5&gt;0,AF$5&lt;100)),
VLOOKUP(FLOOR((Midterm!AF88/AF$5)*100,1),new_transmute,2,FALSE),
VLOOKUP(Midterm!AF88,new_transmute,2,FALSE)
),
IF(Info!$B$4="Board program",
IF(OR(AND(AF$5&gt;0,AF$5&gt;100),AND(AF$5&gt;0,AF$5&lt;100)),
VLOOKUP(FLOOR((Midterm!AF88/AF$5)*100,1),new_transmute,3,FALSE),
VLOOKUP(Midterm!AF88,new_transmute,3,FALSE)
),
IF(Info!$B$4="Board program (Medicine)",
IF(OR(AND(AF$5&gt;0,AF$5&gt;100),AND(AF$5&gt;0,AF$5&lt;100)),
VLOOKUP(FLOOR((Midterm!AF88/AF$5)*100,1),new_transmute,4,FALSE),
VLOOKUP(Midterm!AF88,new_transmute,4,FALSE)
),
""
)
)
)
)
)
)
)
)
))</f>
        <v/>
      </c>
      <c r="AG88" s="14" t="str">
        <f>IF($B88="","",
IF(AG$5="","",
IF(Midterm!AG88="",0,
IF(NOT(ISNUMBER(Midterm!AG88)),"NAN",
IF(Midterm!AG88&lt;0,"NEG",
IF(Midterm!AG88&gt;AG$5,"OVER",
IF(AND(AG$5&lt;=100,Midterm!AG88&gt;100),"ERR",
IF(Info!$B$4="Non-board program",
IF(OR(AND(AG$5&gt;0,AG$5&gt;100),AND(AG$5&gt;0,AG$5&lt;100)),
VLOOKUP(FLOOR((Midterm!AG88/AG$5)*100,1),new_transmute,2,FALSE),
VLOOKUP(Midterm!AG88,new_transmute,2,FALSE)
),
IF(Info!$B$4="Board program",
IF(OR(AND(AG$5&gt;0,AG$5&gt;100),AND(AG$5&gt;0,AG$5&lt;100)),
VLOOKUP(FLOOR((Midterm!AG88/AG$5)*100,1),new_transmute,3,FALSE),
VLOOKUP(Midterm!AG88,new_transmute,3,FALSE)
),
IF(Info!$B$4="Board program (Medicine)",
IF(OR(AND(AG$5&gt;0,AG$5&gt;100),AND(AG$5&gt;0,AG$5&lt;100)),
VLOOKUP(FLOOR((Midterm!AG88/AG$5)*100,1),new_transmute,4,FALSE),
VLOOKUP(Midterm!AG88,new_transmute,4,FALSE)
),
""
)
)
)
)
)
)
)
)
))</f>
        <v/>
      </c>
      <c r="AH88" s="14" t="str">
        <f>IF($B88="","",
IF(AH$5="","",
IF(Midterm!AH88="",0,
IF(NOT(ISNUMBER(Midterm!AH88)),"NAN",
IF(Midterm!AH88&lt;0,"NEG",
IF(Midterm!AH88&gt;AH$5,"OVER",
IF(AND(AH$5&lt;=100,Midterm!AH88&gt;100),"ERR",
IF(Info!$B$4="Non-board program",
IF(OR(AND(AH$5&gt;0,AH$5&gt;100),AND(AH$5&gt;0,AH$5&lt;100)),
VLOOKUP(FLOOR((Midterm!AH88/AH$5)*100,1),new_transmute,2,FALSE),
VLOOKUP(Midterm!AH88,new_transmute,2,FALSE)
),
IF(Info!$B$4="Board program",
IF(OR(AND(AH$5&gt;0,AH$5&gt;100),AND(AH$5&gt;0,AH$5&lt;100)),
VLOOKUP(FLOOR((Midterm!AH88/AH$5)*100,1),new_transmute,3,FALSE),
VLOOKUP(Midterm!AH88,new_transmute,3,FALSE)
),
IF(Info!$B$4="Board program (Medicine)",
IF(OR(AND(AH$5&gt;0,AH$5&gt;100),AND(AH$5&gt;0,AH$5&lt;100)),
VLOOKUP(FLOOR((Midterm!AH88/AH$5)*100,1),new_transmute,4,FALSE),
VLOOKUP(Midterm!AH88,new_transmute,4,FALSE)
),
""
)
)
)
)
)
)
)
)
))</f>
        <v/>
      </c>
      <c r="AI88" s="14" t="str">
        <f>IF($B88="","",
IF(AI$5="","",
IF(Midterm!AI88="",0,
IF(NOT(ISNUMBER(Midterm!AI88)),"NAN",
IF(Midterm!AI88&lt;0,"NEG",
IF(Midterm!AI88&gt;AI$5,"OVER",
IF(AND(AI$5&lt;=100,Midterm!AI88&gt;100),"ERR",
IF(Info!$B$4="Non-board program",
IF(OR(AND(AI$5&gt;0,AI$5&gt;100),AND(AI$5&gt;0,AI$5&lt;100)),
VLOOKUP(FLOOR((Midterm!AI88/AI$5)*100,1),new_transmute,2,FALSE),
VLOOKUP(Midterm!AI88,new_transmute,2,FALSE)
),
IF(Info!$B$4="Board program",
IF(OR(AND(AI$5&gt;0,AI$5&gt;100),AND(AI$5&gt;0,AI$5&lt;100)),
VLOOKUP(FLOOR((Midterm!AI88/AI$5)*100,1),new_transmute,3,FALSE),
VLOOKUP(Midterm!AI88,new_transmute,3,FALSE)
),
IF(Info!$B$4="Board program (Medicine)",
IF(OR(AND(AI$5&gt;0,AI$5&gt;100),AND(AI$5&gt;0,AI$5&lt;100)),
VLOOKUP(FLOOR((Midterm!AI88/AI$5)*100,1),new_transmute,4,FALSE),
VLOOKUP(Midterm!AI88,new_transmute,4,FALSE)
),
""
)
)
)
)
)
)
)
)
))</f>
        <v/>
      </c>
      <c r="AJ88" s="14" t="str">
        <f>IF($B88="","",
IF(AJ$5="","",
IF(Midterm!AJ88="",0,
IF(NOT(ISNUMBER(Midterm!AJ88)),"NAN",
IF(Midterm!AJ88&lt;0,"NEG",
IF(Midterm!AJ88&gt;AJ$5,"OVER",
IF(AND(AJ$5&lt;=100,Midterm!AJ88&gt;100),"ERR",
IF(Info!$B$4="Non-board program",
IF(OR(AND(AJ$5&gt;0,AJ$5&gt;100),AND(AJ$5&gt;0,AJ$5&lt;100)),
VLOOKUP(FLOOR((Midterm!AJ88/AJ$5)*100,1),new_transmute,2,FALSE),
VLOOKUP(Midterm!AJ88,new_transmute,2,FALSE)
),
IF(Info!$B$4="Board program",
IF(OR(AND(AJ$5&gt;0,AJ$5&gt;100),AND(AJ$5&gt;0,AJ$5&lt;100)),
VLOOKUP(FLOOR((Midterm!AJ88/AJ$5)*100,1),new_transmute,3,FALSE),
VLOOKUP(Midterm!AJ88,new_transmute,3,FALSE)
),
IF(Info!$B$4="Board program (Medicine)",
IF(OR(AND(AJ$5&gt;0,AJ$5&gt;100),AND(AJ$5&gt;0,AJ$5&lt;100)),
VLOOKUP(FLOOR((Midterm!AJ88/AJ$5)*100,1),new_transmute,4,FALSE),
VLOOKUP(Midterm!AJ88,new_transmute,4,FALSE)
),
""
)
)
)
)
)
)
)
)
))</f>
        <v/>
      </c>
      <c r="AK88" s="59" t="str">
        <f t="shared" si="16"/>
        <v/>
      </c>
      <c r="AL88" s="60" t="str">
        <f>IF(B88="", "",
    IF(OR(M88="OVER", S88="OVER", Y88="OVER", AE88="OVER", AK88="OVER"),
        "OVER",
        IF(Info!$B$4="Non-board program",
            VLOOKUP(IFERROR(FLOOR(SUM((M88*$M$4), (S88*$S$4), (Y88*$Y$4), (AE88*$AE$4), (AK88*$AK$4)) * (100 / 60), 1), 0), new_transmute, 2, FALSE),
            IF(Info!$B$4="Board program",
                VLOOKUP(IFERROR(FLOOR(SUM((M88*$M$4), (S88*$S$4), (Y88*$Y$4), (AE88*$AE$4), (AK88*$AK$4)) * (100 / 60), 1), 0), new_transmute, 3, FALSE),
                IF(Info!$B$4="Board program (Medicine)",
                    VLOOKUP(IFERROR(FLOOR(SUM((M88*$M$4), (S88*$S$4), (Y88*$Y$4), (AE88*$AE$4), (AK88*$AK$4)) * (100 / 60), 1), 0), new_transmute, 4, FALSE),
                    ""
                )
            )
        )
    )
)</f>
        <v/>
      </c>
      <c r="AM88" s="14" t="str">
        <f>IF($B88="","",
IF(AM$5="","",
IF(Midterm!AM88="",0,
IF(NOT(ISNUMBER(Midterm!AM88)),"NAN",
IF(Midterm!AM88&lt;0,"NEG",
IF(Midterm!AM88&gt;AM$5,"OVER",
IF(AND(AM$5&lt;=100,Midterm!AM88&gt;100),"ERR",
IF(Info!$B$4="Non-board program",
IF(OR(AND(AM$5&gt;0,AM$5&gt;100),AND(AM$5&gt;0,AM$5&lt;100)),
VLOOKUP(FLOOR((Midterm!AM88/AM$5)*100,1),new_transmute,2,FALSE),
VLOOKUP(Midterm!AM88,new_transmute,2,FALSE)
),
IF(Info!$B$4="Board program",
IF(OR(AND(AM$5&gt;0,AM$5&gt;100),AND(AM$5&gt;0,AM$5&lt;100)),
VLOOKUP(FLOOR((Midterm!AM88/AM$5)*100,1),new_transmute,3,FALSE),
VLOOKUP(Midterm!AM88,new_transmute,3,FALSE)
),
IF(Info!$B$4="Board program (Medicine)",
IF(OR(AND(AM$5&gt;0,AM$5&gt;100),AND(AM$5&gt;0,AM$5&lt;100)),
VLOOKUP(FLOOR((Midterm!AM88/AM$5)*100,1),new_transmute,4,FALSE),
VLOOKUP(Midterm!AM88,new_transmute,4,FALSE)
),
""
)
)
)
)
)
)
)
)
))</f>
        <v/>
      </c>
      <c r="AN88" s="14" t="str">
        <f>IF($B88="","",
IF(AN$5="","",
IF(Midterm!AN88="",0,
IF(NOT(ISNUMBER(Midterm!AN88)),"NAN",
IF(Midterm!AN88&lt;0,"NEG",
IF(Midterm!AN88&gt;AN$5,"OVER",
IF(AND(AN$5&lt;=100,Midterm!AN88&gt;100),"ERR",
IF(Info!$B$4="Non-board program",
IF(OR(AND(AN$5&gt;0,AN$5&gt;100),AND(AN$5&gt;0,AN$5&lt;100)),
VLOOKUP(FLOOR((Midterm!AN88/AN$5)*100,1),new_transmute,2,FALSE),
VLOOKUP(Midterm!AN88,new_transmute,2,FALSE)
),
IF(Info!$B$4="Board program",
IF(OR(AND(AN$5&gt;0,AN$5&gt;100),AND(AN$5&gt;0,AN$5&lt;100)),
VLOOKUP(FLOOR((Midterm!AN88/AN$5)*100,1),new_transmute,3,FALSE),
VLOOKUP(Midterm!AN88,new_transmute,3,FALSE)
),
IF(Info!$B$4="Board program (Medicine)",
IF(OR(AND(AN$5&gt;0,AN$5&gt;100),AND(AN$5&gt;0,AN$5&lt;100)),
VLOOKUP(FLOOR((Midterm!AN88/AN$5)*100,1),new_transmute,4,FALSE),
VLOOKUP(Midterm!AN88,new_transmute,4,FALSE)
),
""
)
)
)
)
)
)
)
)
))</f>
        <v/>
      </c>
      <c r="AO88" s="14" t="str">
        <f>IF($B88="","",
IF(AO$5="","",
IF(Midterm!AO88="",0,
IF(NOT(ISNUMBER(Midterm!AO88)),"NAN",
IF(Midterm!AO88&lt;0,"NEG",
IF(Midterm!AO88&gt;AO$5,"OVER",
IF(AND(AO$5&lt;=100,Midterm!AO88&gt;100),"ERR",
IF(Info!$B$4="Non-board program",
IF(OR(AND(AO$5&gt;0,AO$5&gt;100),AND(AO$5&gt;0,AO$5&lt;100)),
VLOOKUP(FLOOR((Midterm!AO88/AO$5)*100,1),new_transmute,2,FALSE),
VLOOKUP(Midterm!AO88,new_transmute,2,FALSE)
),
IF(Info!$B$4="Board program",
IF(OR(AND(AO$5&gt;0,AO$5&gt;100),AND(AO$5&gt;0,AO$5&lt;100)),
VLOOKUP(FLOOR((Midterm!AO88/AO$5)*100,1),new_transmute,3,FALSE),
VLOOKUP(Midterm!AO88,new_transmute,3,FALSE)
),
IF(Info!$B$4="Board program (Medicine)",
IF(OR(AND(AO$5&gt;0,AO$5&gt;100),AND(AO$5&gt;0,AO$5&lt;100)),
VLOOKUP(FLOOR((Midterm!AO88/AO$5)*100,1),new_transmute,4,FALSE),
VLOOKUP(Midterm!AO88,new_transmute,4,FALSE)
),
""
)
)
)
)
)
)
)
)
))</f>
        <v/>
      </c>
      <c r="AP88" s="14" t="str">
        <f>IF($B88="","",
IF(AP$5="","",
IF(Midterm!AP88="",0,
IF(NOT(ISNUMBER(Midterm!AP88)),"NAN",
IF(Midterm!AP88&lt;0,"NEG",
IF(Midterm!AP88&gt;AP$5,"OVER",
IF(AND(AP$5&lt;=100,Midterm!AP88&gt;100),"ERR",
IF(Info!$B$4="Non-board program",
IF(OR(AND(AP$5&gt;0,AP$5&gt;100),AND(AP$5&gt;0,AP$5&lt;100)),
VLOOKUP(FLOOR((Midterm!AP88/AP$5)*100,1),new_transmute,2,FALSE),
VLOOKUP(Midterm!AP88,new_transmute,2,FALSE)
),
IF(Info!$B$4="Board program",
IF(OR(AND(AP$5&gt;0,AP$5&gt;100),AND(AP$5&gt;0,AP$5&lt;100)),
VLOOKUP(FLOOR((Midterm!AP88/AP$5)*100,1),new_transmute,3,FALSE),
VLOOKUP(Midterm!AP88,new_transmute,3,FALSE)
),
IF(Info!$B$4="Board program (Medicine)",
IF(OR(AND(AP$5&gt;0,AP$5&gt;100),AND(AP$5&gt;0,AP$5&lt;100)),
VLOOKUP(FLOOR((Midterm!AP88/AP$5)*100,1),new_transmute,4,FALSE),
VLOOKUP(Midterm!AP88,new_transmute,4,FALSE)
),
""
)
)
)
)
)
)
)
)
))</f>
        <v/>
      </c>
      <c r="AQ88" s="61" t="str">
        <f t="shared" si="17"/>
        <v/>
      </c>
      <c r="AR88" s="48" t="str">
        <f>IF(Midterm!AR88="","",Midterm!AR88)</f>
        <v/>
      </c>
      <c r="AS88" s="165" t="str">
        <f t="shared" si="18"/>
        <v/>
      </c>
      <c r="AT88" s="14" t="str">
        <f t="shared" si="19"/>
        <v/>
      </c>
      <c r="AU88" s="14" t="str">
        <f>IF(B88="","",VLOOKUP(AT88,'New Grade Equivalent'!$B$3:$C$47,2,FALSE))</f>
        <v/>
      </c>
    </row>
    <row r="89" spans="1:47" x14ac:dyDescent="0.25">
      <c r="A89" s="8">
        <v>84</v>
      </c>
      <c r="B89" s="2" t="str">
        <f>IF('Student List'!C93="","",UPPER(LEFT('Student List'!C93,FIND(",",'Student List'!C93)-1)))</f>
        <v/>
      </c>
      <c r="C89" s="12" t="str">
        <f>IF('Student List'!C93="","",PROPER(MID('Student List'!C93, FIND(",", 'Student List'!C93) + 2, LEN('Student List'!C93) - FIND(",", 'Student List'!C93) - 1)))</f>
        <v/>
      </c>
      <c r="D89" s="127" t="str">
        <f>IF(B89="","",IF(Midterm!D89="", "NA", Midterm!D89))</f>
        <v/>
      </c>
      <c r="E89" s="8" t="str">
        <f>IF(B89="","",
  IF(Info!$B$5="First Year",
    IF(D89="Yes", "DRP",
      IF(D89="No", "WF", "")
    )
  )
)</f>
        <v/>
      </c>
      <c r="F89" s="14" t="str">
        <f>IF($B89="","",
IF(F$5="","",
IF(Midterm!F89="",0,
IF(NOT(ISNUMBER(Midterm!F89)),"NAN",
IF(Midterm!F89&lt;0,"NEG",
IF(Midterm!F89&gt;F$5,"OVER",
IF(AND(F$5&lt;=100,Midterm!F89&gt;100),"ERR",
IF(Info!$B$4="Non-board program",
IF(OR(AND(F$5&gt;0,F$5&gt;100),AND(F$5&gt;0,F$5&lt;100)),
VLOOKUP(FLOOR((Midterm!F89/F$5)*100,1),new_transmute,2,FALSE),
VLOOKUP(Midterm!F89,new_transmute,2,FALSE)
),
IF(Info!$B$4="Board program",
IF(OR(AND(F$5&gt;0,F$5&gt;100),AND(F$5&gt;0,F$5&lt;100)),
VLOOKUP(FLOOR((Midterm!F89/F$5)*100,1),new_transmute,3,FALSE),
VLOOKUP(Midterm!F89,new_transmute,3,FALSE)
),
IF(Info!$B$4="Board program (Medicine)",
IF(OR(AND(F$5&gt;0,F$5&gt;100),AND(F$5&gt;0,F$5&lt;100)),
VLOOKUP(FLOOR((Midterm!F89/F$5)*100,1),new_transmute,4,FALSE),
VLOOKUP(Midterm!F89,new_transmute,4,FALSE)
),
""
)
)
)
)
)
)
)
)
))</f>
        <v/>
      </c>
      <c r="G89" s="57" t="str">
        <f t="shared" si="11"/>
        <v/>
      </c>
      <c r="H89" s="14" t="str">
        <f>IF($B89="","",
IF(H$5="","",
IF(Midterm!H89="",0,
IF(NOT(ISNUMBER(Midterm!H89)),"NAN",
IF(Midterm!H89&lt;0,"NEG",
IF(Midterm!H89&gt;H$5,"OVER",
IF(AND(H$5&lt;=100,Midterm!H89&gt;100),"ERR",
IF(Info!$B$4="Non-board program",
IF(OR(AND(H$5&gt;0,H$5&gt;100),AND(H$5&gt;0,H$5&lt;100)),
VLOOKUP(FLOOR((Midterm!H89/H$5)*100,1),new_transmute,2,FALSE),
VLOOKUP(Midterm!H89,new_transmute,2,FALSE)
),
IF(Info!$B$4="Board program",
IF(OR(AND(H$5&gt;0,H$5&gt;100),AND(H$5&gt;0,H$5&lt;100)),
VLOOKUP(FLOOR((Midterm!H89/H$5)*100,1),new_transmute,3,FALSE),
VLOOKUP(Midterm!H89,new_transmute,3,FALSE)
),
IF(Info!$B$4="Board program (Medicine)",
IF(OR(AND(H$5&gt;0,H$5&gt;100),AND(H$5&gt;0,H$5&lt;100)),
VLOOKUP(FLOOR((Midterm!H89/H$5)*100,1),new_transmute,4,FALSE),
VLOOKUP(Midterm!H89,new_transmute,4,FALSE)
),
""
)
)
)
)
)
)
)
)
))</f>
        <v/>
      </c>
      <c r="I89" s="14" t="str">
        <f>IF($B89="","",
IF(I$5="","",
IF(Midterm!I89="",0,
IF(NOT(ISNUMBER(Midterm!I89)),"NAN",
IF(Midterm!I89&lt;0,"NEG",
IF(Midterm!I89&gt;I$5,"OVER",
IF(AND(I$5&lt;=100,Midterm!I89&gt;100),"ERR",
IF(Info!$B$4="Non-board program",
IF(OR(AND(I$5&gt;0,I$5&gt;100),AND(I$5&gt;0,I$5&lt;100)),
VLOOKUP(FLOOR((Midterm!I89/I$5)*100,1),new_transmute,2,FALSE),
VLOOKUP(Midterm!I89,new_transmute,2,FALSE)
),
IF(Info!$B$4="Board program",
IF(OR(AND(I$5&gt;0,I$5&gt;100),AND(I$5&gt;0,I$5&lt;100)),
VLOOKUP(FLOOR((Midterm!I89/I$5)*100,1),new_transmute,3,FALSE),
VLOOKUP(Midterm!I89,new_transmute,3,FALSE)
),
IF(Info!$B$4="Board program (Medicine)",
IF(OR(AND(I$5&gt;0,I$5&gt;100),AND(I$5&gt;0,I$5&lt;100)),
VLOOKUP(FLOOR((Midterm!I89/I$5)*100,1),new_transmute,4,FALSE),
VLOOKUP(Midterm!I89,new_transmute,4,FALSE)
),
""
)
)
)
)
)
)
)
)
))</f>
        <v/>
      </c>
      <c r="J89" s="14" t="str">
        <f>IF($B89="","",
IF(J$5="","",
IF(Midterm!J89="",0,
IF(NOT(ISNUMBER(Midterm!J89)),"NAN",
IF(Midterm!J89&lt;0,"NEG",
IF(Midterm!J89&gt;J$5,"OVER",
IF(AND(J$5&lt;=100,Midterm!J89&gt;100),"ERR",
IF(Info!$B$4="Non-board program",
IF(OR(AND(J$5&gt;0,J$5&gt;100),AND(J$5&gt;0,J$5&lt;100)),
VLOOKUP(FLOOR((Midterm!J89/J$5)*100,1),new_transmute,2,FALSE),
VLOOKUP(Midterm!J89,new_transmute,2,FALSE)
),
IF(Info!$B$4="Board program",
IF(OR(AND(J$5&gt;0,J$5&gt;100),AND(J$5&gt;0,J$5&lt;100)),
VLOOKUP(FLOOR((Midterm!J89/J$5)*100,1),new_transmute,3,FALSE),
VLOOKUP(Midterm!J89,new_transmute,3,FALSE)
),
IF(Info!$B$4="Board program (Medicine)",
IF(OR(AND(J$5&gt;0,J$5&gt;100),AND(J$5&gt;0,J$5&lt;100)),
VLOOKUP(FLOOR((Midterm!J89/J$5)*100,1),new_transmute,4,FALSE),
VLOOKUP(Midterm!J89,new_transmute,4,FALSE)
),
""
)
)
)
)
)
)
)
)
))</f>
        <v/>
      </c>
      <c r="K89" s="14" t="str">
        <f>IF($B89="","",
IF(K$5="","",
IF(Midterm!K89="",0,
IF(NOT(ISNUMBER(Midterm!K89)),"NAN",
IF(Midterm!K89&lt;0,"NEG",
IF(Midterm!K89&gt;K$5,"OVER",
IF(AND(K$5&lt;=100,Midterm!K89&gt;100),"ERR",
IF(Info!$B$4="Non-board program",
IF(OR(AND(K$5&gt;0,K$5&gt;100),AND(K$5&gt;0,K$5&lt;100)),
VLOOKUP(FLOOR((Midterm!K89/K$5)*100,1),new_transmute,2,FALSE),
VLOOKUP(Midterm!K89,new_transmute,2,FALSE)
),
IF(Info!$B$4="Board program",
IF(OR(AND(K$5&gt;0,K$5&gt;100),AND(K$5&gt;0,K$5&lt;100)),
VLOOKUP(FLOOR((Midterm!K89/K$5)*100,1),new_transmute,3,FALSE),
VLOOKUP(Midterm!K89,new_transmute,3,FALSE)
),
IF(Info!$B$4="Board program (Medicine)",
IF(OR(AND(K$5&gt;0,K$5&gt;100),AND(K$5&gt;0,K$5&lt;100)),
VLOOKUP(FLOOR((Midterm!K89/K$5)*100,1),new_transmute,4,FALSE),
VLOOKUP(Midterm!K89,new_transmute,4,FALSE)
),
""
)
)
)
)
)
)
)
)
))</f>
        <v/>
      </c>
      <c r="L89" s="14" t="str">
        <f>IF($B89="","",
IF(L$5="","",
IF(Midterm!L89="",0,
IF(NOT(ISNUMBER(Midterm!L89)),"NAN",
IF(Midterm!L89&lt;0,"NEG",
IF(Midterm!L89&gt;L$5,"OVER",
IF(AND(L$5&lt;=100,Midterm!L89&gt;100),"ERR",
IF(Info!$B$4="Non-board program",
IF(OR(AND(L$5&gt;0,L$5&gt;100),AND(L$5&gt;0,L$5&lt;100)),
VLOOKUP(FLOOR((Midterm!L89/L$5)*100,1),new_transmute,2,FALSE),
VLOOKUP(Midterm!L89,new_transmute,2,FALSE)
),
IF(Info!$B$4="Board program",
IF(OR(AND(L$5&gt;0,L$5&gt;100),AND(L$5&gt;0,L$5&lt;100)),
VLOOKUP(FLOOR((Midterm!L89/L$5)*100,1),new_transmute,3,FALSE),
VLOOKUP(Midterm!L89,new_transmute,3,FALSE)
),
IF(Info!$B$4="Board program (Medicine)",
IF(OR(AND(L$5&gt;0,L$5&gt;100),AND(L$5&gt;0,L$5&lt;100)),
VLOOKUP(FLOOR((Midterm!L89/L$5)*100,1),new_transmute,4,FALSE),
VLOOKUP(Midterm!L89,new_transmute,4,FALSE)
),
""
)
)
)
)
)
)
)
)
))</f>
        <v/>
      </c>
      <c r="M89" s="111" t="str">
        <f t="shared" si="12"/>
        <v/>
      </c>
      <c r="N89" s="14" t="str">
        <f>IF($B89="","",
IF(N$5="","",
IF(Midterm!N89="",0,
IF(NOT(ISNUMBER(Midterm!N89)),"NAN",
IF(Midterm!N89&lt;0,"NEG",
IF(Midterm!N89&gt;N$5,"OVER",
IF(AND(N$5&lt;=100,Midterm!N89&gt;100),"ERR",
IF(Info!$B$4="Non-board program",
IF(OR(AND(N$5&gt;0,N$5&gt;100),AND(N$5&gt;0,N$5&lt;100)),
VLOOKUP(FLOOR((Midterm!N89/N$5)*100,1),new_transmute,2,FALSE),
VLOOKUP(Midterm!N89,new_transmute,2,FALSE)
),
IF(Info!$B$4="Board program",
IF(OR(AND(N$5&gt;0,N$5&gt;100),AND(N$5&gt;0,N$5&lt;100)),
VLOOKUP(FLOOR((Midterm!N89/N$5)*100,1),new_transmute,3,FALSE),
VLOOKUP(Midterm!N89,new_transmute,3,FALSE)
),
IF(Info!$B$4="Board program (Medicine)",
IF(OR(AND(N$5&gt;0,N$5&gt;100),AND(N$5&gt;0,N$5&lt;100)),
VLOOKUP(FLOOR((Midterm!N89/N$5)*100,1),new_transmute,4,FALSE),
VLOOKUP(Midterm!N89,new_transmute,4,FALSE)
),
""
)
)
)
)
)
)
)
)
))</f>
        <v/>
      </c>
      <c r="O89" s="14" t="str">
        <f>IF($B89="","",
IF(O$5="","",
IF(Midterm!O89="",0,
IF(NOT(ISNUMBER(Midterm!O89)),"NAN",
IF(Midterm!O89&lt;0,"NEG",
IF(Midterm!O89&gt;O$5,"OVER",
IF(AND(O$5&lt;=100,Midterm!O89&gt;100),"ERR",
IF(Info!$B$4="Non-board program",
IF(OR(AND(O$5&gt;0,O$5&gt;100),AND(O$5&gt;0,O$5&lt;100)),
VLOOKUP(FLOOR((Midterm!O89/O$5)*100,1),new_transmute,2,FALSE),
VLOOKUP(Midterm!O89,new_transmute,2,FALSE)
),
IF(Info!$B$4="Board program",
IF(OR(AND(O$5&gt;0,O$5&gt;100),AND(O$5&gt;0,O$5&lt;100)),
VLOOKUP(FLOOR((Midterm!O89/O$5)*100,1),new_transmute,3,FALSE),
VLOOKUP(Midterm!O89,new_transmute,3,FALSE)
),
IF(Info!$B$4="Board program (Medicine)",
IF(OR(AND(O$5&gt;0,O$5&gt;100),AND(O$5&gt;0,O$5&lt;100)),
VLOOKUP(FLOOR((Midterm!O89/O$5)*100,1),new_transmute,4,FALSE),
VLOOKUP(Midterm!O89,new_transmute,4,FALSE)
),
""
)
)
)
)
)
)
)
)
))</f>
        <v/>
      </c>
      <c r="P89" s="14" t="str">
        <f>IF($B89="","",
IF(P$5="","",
IF(Midterm!P89="",0,
IF(NOT(ISNUMBER(Midterm!P89)),"NAN",
IF(Midterm!P89&lt;0,"NEG",
IF(Midterm!P89&gt;P$5,"OVER",
IF(AND(P$5&lt;=100,Midterm!P89&gt;100),"ERR",
IF(Info!$B$4="Non-board program",
IF(OR(AND(P$5&gt;0,P$5&gt;100),AND(P$5&gt;0,P$5&lt;100)),
VLOOKUP(FLOOR((Midterm!P89/P$5)*100,1),new_transmute,2,FALSE),
VLOOKUP(Midterm!P89,new_transmute,2,FALSE)
),
IF(Info!$B$4="Board program",
IF(OR(AND(P$5&gt;0,P$5&gt;100),AND(P$5&gt;0,P$5&lt;100)),
VLOOKUP(FLOOR((Midterm!P89/P$5)*100,1),new_transmute,3,FALSE),
VLOOKUP(Midterm!P89,new_transmute,3,FALSE)
),
IF(Info!$B$4="Board program (Medicine)",
IF(OR(AND(P$5&gt;0,P$5&gt;100),AND(P$5&gt;0,P$5&lt;100)),
VLOOKUP(FLOOR((Midterm!P89/P$5)*100,1),new_transmute,4,FALSE),
VLOOKUP(Midterm!P89,new_transmute,4,FALSE)
),
""
)
)
)
)
)
)
)
)
))</f>
        <v/>
      </c>
      <c r="Q89" s="14" t="str">
        <f>IF($B89="","",
IF(Q$5="","",
IF(Midterm!Q89="",0,
IF(NOT(ISNUMBER(Midterm!Q89)),"NAN",
IF(Midterm!Q89&lt;0,"NEG",
IF(Midterm!Q89&gt;Q$5,"OVER",
IF(AND(Q$5&lt;=100,Midterm!Q89&gt;100),"ERR",
IF(Info!$B$4="Non-board program",
IF(OR(AND(Q$5&gt;0,Q$5&gt;100),AND(Q$5&gt;0,Q$5&lt;100)),
VLOOKUP(FLOOR((Midterm!Q89/Q$5)*100,1),new_transmute,2,FALSE),
VLOOKUP(Midterm!Q89,new_transmute,2,FALSE)
),
IF(Info!$B$4="Board program",
IF(OR(AND(Q$5&gt;0,Q$5&gt;100),AND(Q$5&gt;0,Q$5&lt;100)),
VLOOKUP(FLOOR((Midterm!Q89/Q$5)*100,1),new_transmute,3,FALSE),
VLOOKUP(Midterm!Q89,new_transmute,3,FALSE)
),
IF(Info!$B$4="Board program (Medicine)",
IF(OR(AND(Q$5&gt;0,Q$5&gt;100),AND(Q$5&gt;0,Q$5&lt;100)),
VLOOKUP(FLOOR((Midterm!Q89/Q$5)*100,1),new_transmute,4,FALSE),
VLOOKUP(Midterm!Q89,new_transmute,4,FALSE)
),
""
)
)
)
)
)
)
)
)
))</f>
        <v/>
      </c>
      <c r="R89" s="14" t="str">
        <f>IF($B89="","",
IF(R$5="","",
IF(Midterm!R89="",0,
IF(NOT(ISNUMBER(Midterm!R89)),"NAN",
IF(Midterm!R89&lt;0,"NEG",
IF(Midterm!R89&gt;R$5,"OVER",
IF(AND(R$5&lt;=100,Midterm!R89&gt;100),"ERR",
IF(Info!$B$4="Non-board program",
IF(OR(AND(R$5&gt;0,R$5&gt;100),AND(R$5&gt;0,R$5&lt;100)),
VLOOKUP(FLOOR((Midterm!R89/R$5)*100,1),new_transmute,2,FALSE),
VLOOKUP(Midterm!R89,new_transmute,2,FALSE)
),
IF(Info!$B$4="Board program",
IF(OR(AND(R$5&gt;0,R$5&gt;100),AND(R$5&gt;0,R$5&lt;100)),
VLOOKUP(FLOOR((Midterm!R89/R$5)*100,1),new_transmute,3,FALSE),
VLOOKUP(Midterm!R89,new_transmute,3,FALSE)
),
IF(Info!$B$4="Board program (Medicine)",
IF(OR(AND(R$5&gt;0,R$5&gt;100),AND(R$5&gt;0,R$5&lt;100)),
VLOOKUP(FLOOR((Midterm!R89/R$5)*100,1),new_transmute,4,FALSE),
VLOOKUP(Midterm!R89,new_transmute,4,FALSE)
),
""
)
)
)
)
)
)
)
)
))</f>
        <v/>
      </c>
      <c r="S89" s="115" t="str">
        <f t="shared" si="13"/>
        <v/>
      </c>
      <c r="T89" s="14" t="str">
        <f>IF($B89="","",
IF(T$5="","",
IF(Midterm!T89="",0,
IF(NOT(ISNUMBER(Midterm!T89)),"NAN",
IF(Midterm!T89&lt;0,"NEG",
IF(Midterm!T89&gt;T$5,"OVER",
IF(AND(T$5&lt;=100,Midterm!T89&gt;100),"ERR",
IF(Info!$B$4="Non-board program",
IF(OR(AND(T$5&gt;0,T$5&gt;100),AND(T$5&gt;0,T$5&lt;100)),
VLOOKUP(FLOOR((Midterm!T89/T$5)*100,1),new_transmute,2,FALSE),
VLOOKUP(Midterm!T89,new_transmute,2,FALSE)
),
IF(Info!$B$4="Board program",
IF(OR(AND(T$5&gt;0,T$5&gt;100),AND(T$5&gt;0,T$5&lt;100)),
VLOOKUP(FLOOR((Midterm!T89/T$5)*100,1),new_transmute,3,FALSE),
VLOOKUP(Midterm!T89,new_transmute,3,FALSE)
),
IF(Info!$B$4="Board program (Medicine)",
IF(OR(AND(T$5&gt;0,T$5&gt;100),AND(T$5&gt;0,T$5&lt;100)),
VLOOKUP(FLOOR((Midterm!T89/T$5)*100,1),new_transmute,4,FALSE),
VLOOKUP(Midterm!T89,new_transmute,4,FALSE)
),
""
)
)
)
)
)
)
)
)
))</f>
        <v/>
      </c>
      <c r="U89" s="14" t="str">
        <f>IF($B89="","",
IF(U$5="","",
IF(Midterm!U89="",0,
IF(NOT(ISNUMBER(Midterm!U89)),"NAN",
IF(Midterm!U89&lt;0,"NEG",
IF(Midterm!U89&gt;U$5,"OVER",
IF(AND(U$5&lt;=100,Midterm!U89&gt;100),"ERR",
IF(Info!$B$4="Non-board program",
IF(OR(AND(U$5&gt;0,U$5&gt;100),AND(U$5&gt;0,U$5&lt;100)),
VLOOKUP(FLOOR((Midterm!U89/U$5)*100,1),new_transmute,2,FALSE),
VLOOKUP(Midterm!U89,new_transmute,2,FALSE)
),
IF(Info!$B$4="Board program",
IF(OR(AND(U$5&gt;0,U$5&gt;100),AND(U$5&gt;0,U$5&lt;100)),
VLOOKUP(FLOOR((Midterm!U89/U$5)*100,1),new_transmute,3,FALSE),
VLOOKUP(Midterm!U89,new_transmute,3,FALSE)
),
IF(Info!$B$4="Board program (Medicine)",
IF(OR(AND(U$5&gt;0,U$5&gt;100),AND(U$5&gt;0,U$5&lt;100)),
VLOOKUP(FLOOR((Midterm!U89/U$5)*100,1),new_transmute,4,FALSE),
VLOOKUP(Midterm!U89,new_transmute,4,FALSE)
),
""
)
)
)
)
)
)
)
)
))</f>
        <v/>
      </c>
      <c r="V89" s="14" t="str">
        <f>IF($B89="","",
IF(V$5="","",
IF(Midterm!V89="",0,
IF(NOT(ISNUMBER(Midterm!V89)),"NAN",
IF(Midterm!V89&lt;0,"NEG",
IF(Midterm!V89&gt;V$5,"OVER",
IF(AND(V$5&lt;=100,Midterm!V89&gt;100),"ERR",
IF(Info!$B$4="Non-board program",
IF(OR(AND(V$5&gt;0,V$5&gt;100),AND(V$5&gt;0,V$5&lt;100)),
VLOOKUP(FLOOR((Midterm!V89/V$5)*100,1),new_transmute,2,FALSE),
VLOOKUP(Midterm!V89,new_transmute,2,FALSE)
),
IF(Info!$B$4="Board program",
IF(OR(AND(V$5&gt;0,V$5&gt;100),AND(V$5&gt;0,V$5&lt;100)),
VLOOKUP(FLOOR((Midterm!V89/V$5)*100,1),new_transmute,3,FALSE),
VLOOKUP(Midterm!V89,new_transmute,3,FALSE)
),
IF(Info!$B$4="Board program (Medicine)",
IF(OR(AND(V$5&gt;0,V$5&gt;100),AND(V$5&gt;0,V$5&lt;100)),
VLOOKUP(FLOOR((Midterm!V89/V$5)*100,1),new_transmute,4,FALSE),
VLOOKUP(Midterm!V89,new_transmute,4,FALSE)
),
""
)
)
)
)
)
)
)
)
))</f>
        <v/>
      </c>
      <c r="W89" s="14" t="str">
        <f>IF($B89="","",
IF(W$5="","",
IF(Midterm!W89="",0,
IF(NOT(ISNUMBER(Midterm!W89)),"NAN",
IF(Midterm!W89&lt;0,"NEG",
IF(Midterm!W89&gt;W$5,"OVER",
IF(AND(W$5&lt;=100,Midterm!W89&gt;100),"ERR",
IF(Info!$B$4="Non-board program",
IF(OR(AND(W$5&gt;0,W$5&gt;100),AND(W$5&gt;0,W$5&lt;100)),
VLOOKUP(FLOOR((Midterm!W89/W$5)*100,1),new_transmute,2,FALSE),
VLOOKUP(Midterm!W89,new_transmute,2,FALSE)
),
IF(Info!$B$4="Board program",
IF(OR(AND(W$5&gt;0,W$5&gt;100),AND(W$5&gt;0,W$5&lt;100)),
VLOOKUP(FLOOR((Midterm!W89/W$5)*100,1),new_transmute,3,FALSE),
VLOOKUP(Midterm!W89,new_transmute,3,FALSE)
),
IF(Info!$B$4="Board program (Medicine)",
IF(OR(AND(W$5&gt;0,W$5&gt;100),AND(W$5&gt;0,W$5&lt;100)),
VLOOKUP(FLOOR((Midterm!W89/W$5)*100,1),new_transmute,4,FALSE),
VLOOKUP(Midterm!W89,new_transmute,4,FALSE)
),
""
)
)
)
)
)
)
)
)
))</f>
        <v/>
      </c>
      <c r="X89" s="14" t="str">
        <f>IF($B89="","",
IF(X$5="","",
IF(Midterm!X89="",0,
IF(NOT(ISNUMBER(Midterm!X89)),"NAN",
IF(Midterm!X89&lt;0,"NEG",
IF(Midterm!X89&gt;X$5,"OVER",
IF(AND(X$5&lt;=100,Midterm!X89&gt;100),"ERR",
IF(Info!$B$4="Non-board program",
IF(OR(AND(X$5&gt;0,X$5&gt;100),AND(X$5&gt;0,X$5&lt;100)),
VLOOKUP(FLOOR((Midterm!X89/X$5)*100,1),new_transmute,2,FALSE),
VLOOKUP(Midterm!X89,new_transmute,2,FALSE)
),
IF(Info!$B$4="Board program",
IF(OR(AND(X$5&gt;0,X$5&gt;100),AND(X$5&gt;0,X$5&lt;100)),
VLOOKUP(FLOOR((Midterm!X89/X$5)*100,1),new_transmute,3,FALSE),
VLOOKUP(Midterm!X89,new_transmute,3,FALSE)
),
IF(Info!$B$4="Board program (Medicine)",
IF(OR(AND(X$5&gt;0,X$5&gt;100),AND(X$5&gt;0,X$5&lt;100)),
VLOOKUP(FLOOR((Midterm!X89/X$5)*100,1),new_transmute,4,FALSE),
VLOOKUP(Midterm!X89,new_transmute,4,FALSE)
),
""
)
)
)
)
)
)
)
)
))</f>
        <v/>
      </c>
      <c r="Y89" s="112" t="str">
        <f t="shared" si="14"/>
        <v/>
      </c>
      <c r="Z89" s="14" t="str">
        <f>IF($B89="","",
IF(Z$5="","",
IF(Midterm!Z89="",0,
IF(NOT(ISNUMBER(Midterm!Z89)),"NAN",
IF(Midterm!Z89&lt;0,"NEG",
IF(Midterm!Z89&gt;Z$5,"OVER",
IF(AND(Z$5&lt;=100,Midterm!Z89&gt;100),"ERR",
IF(Info!$B$4="Non-board program",
IF(OR(AND(Z$5&gt;0,Z$5&gt;100),AND(Z$5&gt;0,Z$5&lt;100)),
VLOOKUP(FLOOR((Midterm!Z89/Z$5)*100,1),new_transmute,2,FALSE),
VLOOKUP(Midterm!Z89,new_transmute,2,FALSE)
),
IF(Info!$B$4="Board program",
IF(OR(AND(Z$5&gt;0,Z$5&gt;100),AND(Z$5&gt;0,Z$5&lt;100)),
VLOOKUP(FLOOR((Midterm!Z89/Z$5)*100,1),new_transmute,3,FALSE),
VLOOKUP(Midterm!Z89,new_transmute,3,FALSE)
),
IF(Info!$B$4="Board program (Medicine)",
IF(OR(AND(Z$5&gt;0,Z$5&gt;100),AND(Z$5&gt;0,Z$5&lt;100)),
VLOOKUP(FLOOR((Midterm!Z89/Z$5)*100,1),new_transmute,4,FALSE),
VLOOKUP(Midterm!Z89,new_transmute,4,FALSE)
),
""
)
)
)
)
)
)
)
)
))</f>
        <v/>
      </c>
      <c r="AA89" s="14" t="str">
        <f>IF($B89="","",
IF(AA$5="","",
IF(Midterm!AA89="",0,
IF(NOT(ISNUMBER(Midterm!AA89)),"NAN",
IF(Midterm!AA89&lt;0,"NEG",
IF(Midterm!AA89&gt;AA$5,"OVER",
IF(AND(AA$5&lt;=100,Midterm!AA89&gt;100),"ERR",
IF(Info!$B$4="Non-board program",
IF(OR(AND(AA$5&gt;0,AA$5&gt;100),AND(AA$5&gt;0,AA$5&lt;100)),
VLOOKUP(FLOOR((Midterm!AA89/AA$5)*100,1),new_transmute,2,FALSE),
VLOOKUP(Midterm!AA89,new_transmute,2,FALSE)
),
IF(Info!$B$4="Board program",
IF(OR(AND(AA$5&gt;0,AA$5&gt;100),AND(AA$5&gt;0,AA$5&lt;100)),
VLOOKUP(FLOOR((Midterm!AA89/AA$5)*100,1),new_transmute,3,FALSE),
VLOOKUP(Midterm!AA89,new_transmute,3,FALSE)
),
IF(Info!$B$4="Board program (Medicine)",
IF(OR(AND(AA$5&gt;0,AA$5&gt;100),AND(AA$5&gt;0,AA$5&lt;100)),
VLOOKUP(FLOOR((Midterm!AA89/AA$5)*100,1),new_transmute,4,FALSE),
VLOOKUP(Midterm!AA89,new_transmute,4,FALSE)
),
""
)
)
)
)
)
)
)
)
))</f>
        <v/>
      </c>
      <c r="AB89" s="14" t="str">
        <f>IF($B89="","",
IF(AB$5="","",
IF(Midterm!AB89="",0,
IF(NOT(ISNUMBER(Midterm!AB89)),"NAN",
IF(Midterm!AB89&lt;0,"NEG",
IF(Midterm!AB89&gt;AB$5,"OVER",
IF(AND(AB$5&lt;=100,Midterm!AB89&gt;100),"ERR",
IF(Info!$B$4="Non-board program",
IF(OR(AND(AB$5&gt;0,AB$5&gt;100),AND(AB$5&gt;0,AB$5&lt;100)),
VLOOKUP(FLOOR((Midterm!AB89/AB$5)*100,1),new_transmute,2,FALSE),
VLOOKUP(Midterm!AB89,new_transmute,2,FALSE)
),
IF(Info!$B$4="Board program",
IF(OR(AND(AB$5&gt;0,AB$5&gt;100),AND(AB$5&gt;0,AB$5&lt;100)),
VLOOKUP(FLOOR((Midterm!AB89/AB$5)*100,1),new_transmute,3,FALSE),
VLOOKUP(Midterm!AB89,new_transmute,3,FALSE)
),
IF(Info!$B$4="Board program (Medicine)",
IF(OR(AND(AB$5&gt;0,AB$5&gt;100),AND(AB$5&gt;0,AB$5&lt;100)),
VLOOKUP(FLOOR((Midterm!AB89/AB$5)*100,1),new_transmute,4,FALSE),
VLOOKUP(Midterm!AB89,new_transmute,4,FALSE)
),
""
)
)
)
)
)
)
)
)
))</f>
        <v/>
      </c>
      <c r="AC89" s="14" t="str">
        <f>IF($B89="","",
IF(AC$5="","",
IF(Midterm!AC89="",0,
IF(NOT(ISNUMBER(Midterm!AC89)),"NAN",
IF(Midterm!AC89&lt;0,"NEG",
IF(Midterm!AC89&gt;AC$5,"OVER",
IF(AND(AC$5&lt;=100,Midterm!AC89&gt;100),"ERR",
IF(Info!$B$4="Non-board program",
IF(OR(AND(AC$5&gt;0,AC$5&gt;100),AND(AC$5&gt;0,AC$5&lt;100)),
VLOOKUP(FLOOR((Midterm!AC89/AC$5)*100,1),new_transmute,2,FALSE),
VLOOKUP(Midterm!AC89,new_transmute,2,FALSE)
),
IF(Info!$B$4="Board program",
IF(OR(AND(AC$5&gt;0,AC$5&gt;100),AND(AC$5&gt;0,AC$5&lt;100)),
VLOOKUP(FLOOR((Midterm!AC89/AC$5)*100,1),new_transmute,3,FALSE),
VLOOKUP(Midterm!AC89,new_transmute,3,FALSE)
),
IF(Info!$B$4="Board program (Medicine)",
IF(OR(AND(AC$5&gt;0,AC$5&gt;100),AND(AC$5&gt;0,AC$5&lt;100)),
VLOOKUP(FLOOR((Midterm!AC89/AC$5)*100,1),new_transmute,4,FALSE),
VLOOKUP(Midterm!AC89,new_transmute,4,FALSE)
),
""
)
)
)
)
)
)
)
)
))</f>
        <v/>
      </c>
      <c r="AD89" s="14" t="str">
        <f>IF($B89="","",
IF(AD$5="","",
IF(Midterm!AD89="",0,
IF(NOT(ISNUMBER(Midterm!AD89)),"NAN",
IF(Midterm!AD89&lt;0,"NEG",
IF(Midterm!AD89&gt;AD$5,"OVER",
IF(AND(AD$5&lt;=100,Midterm!AD89&gt;100),"ERR",
IF(Info!$B$4="Non-board program",
IF(OR(AND(AD$5&gt;0,AD$5&gt;100),AND(AD$5&gt;0,AD$5&lt;100)),
VLOOKUP(FLOOR((Midterm!AD89/AD$5)*100,1),new_transmute,2,FALSE),
VLOOKUP(Midterm!AD89,new_transmute,2,FALSE)
),
IF(Info!$B$4="Board program",
IF(OR(AND(AD$5&gt;0,AD$5&gt;100),AND(AD$5&gt;0,AD$5&lt;100)),
VLOOKUP(FLOOR((Midterm!AD89/AD$5)*100,1),new_transmute,3,FALSE),
VLOOKUP(Midterm!AD89,new_transmute,3,FALSE)
),
IF(Info!$B$4="Board program (Medicine)",
IF(OR(AND(AD$5&gt;0,AD$5&gt;100),AND(AD$5&gt;0,AD$5&lt;100)),
VLOOKUP(FLOOR((Midterm!AD89/AD$5)*100,1),new_transmute,4,FALSE),
VLOOKUP(Midterm!AD89,new_transmute,4,FALSE)
),
""
)
)
)
)
)
)
)
)
))</f>
        <v/>
      </c>
      <c r="AE89" s="58" t="str">
        <f t="shared" si="15"/>
        <v/>
      </c>
      <c r="AF89" s="14" t="str">
        <f>IF($B89="","",
IF(AF$5="","",
IF(Midterm!AF89="",0,
IF(NOT(ISNUMBER(Midterm!AF89)),"NAN",
IF(Midterm!AF89&lt;0,"NEG",
IF(Midterm!AF89&gt;AF$5,"OVER",
IF(AND(AF$5&lt;=100,Midterm!AF89&gt;100),"ERR",
IF(Info!$B$4="Non-board program",
IF(OR(AND(AF$5&gt;0,AF$5&gt;100),AND(AF$5&gt;0,AF$5&lt;100)),
VLOOKUP(FLOOR((Midterm!AF89/AF$5)*100,1),new_transmute,2,FALSE),
VLOOKUP(Midterm!AF89,new_transmute,2,FALSE)
),
IF(Info!$B$4="Board program",
IF(OR(AND(AF$5&gt;0,AF$5&gt;100),AND(AF$5&gt;0,AF$5&lt;100)),
VLOOKUP(FLOOR((Midterm!AF89/AF$5)*100,1),new_transmute,3,FALSE),
VLOOKUP(Midterm!AF89,new_transmute,3,FALSE)
),
IF(Info!$B$4="Board program (Medicine)",
IF(OR(AND(AF$5&gt;0,AF$5&gt;100),AND(AF$5&gt;0,AF$5&lt;100)),
VLOOKUP(FLOOR((Midterm!AF89/AF$5)*100,1),new_transmute,4,FALSE),
VLOOKUP(Midterm!AF89,new_transmute,4,FALSE)
),
""
)
)
)
)
)
)
)
)
))</f>
        <v/>
      </c>
      <c r="AG89" s="14" t="str">
        <f>IF($B89="","",
IF(AG$5="","",
IF(Midterm!AG89="",0,
IF(NOT(ISNUMBER(Midterm!AG89)),"NAN",
IF(Midterm!AG89&lt;0,"NEG",
IF(Midterm!AG89&gt;AG$5,"OVER",
IF(AND(AG$5&lt;=100,Midterm!AG89&gt;100),"ERR",
IF(Info!$B$4="Non-board program",
IF(OR(AND(AG$5&gt;0,AG$5&gt;100),AND(AG$5&gt;0,AG$5&lt;100)),
VLOOKUP(FLOOR((Midterm!AG89/AG$5)*100,1),new_transmute,2,FALSE),
VLOOKUP(Midterm!AG89,new_transmute,2,FALSE)
),
IF(Info!$B$4="Board program",
IF(OR(AND(AG$5&gt;0,AG$5&gt;100),AND(AG$5&gt;0,AG$5&lt;100)),
VLOOKUP(FLOOR((Midterm!AG89/AG$5)*100,1),new_transmute,3,FALSE),
VLOOKUP(Midterm!AG89,new_transmute,3,FALSE)
),
IF(Info!$B$4="Board program (Medicine)",
IF(OR(AND(AG$5&gt;0,AG$5&gt;100),AND(AG$5&gt;0,AG$5&lt;100)),
VLOOKUP(FLOOR((Midterm!AG89/AG$5)*100,1),new_transmute,4,FALSE),
VLOOKUP(Midterm!AG89,new_transmute,4,FALSE)
),
""
)
)
)
)
)
)
)
)
))</f>
        <v/>
      </c>
      <c r="AH89" s="14" t="str">
        <f>IF($B89="","",
IF(AH$5="","",
IF(Midterm!AH89="",0,
IF(NOT(ISNUMBER(Midterm!AH89)),"NAN",
IF(Midterm!AH89&lt;0,"NEG",
IF(Midterm!AH89&gt;AH$5,"OVER",
IF(AND(AH$5&lt;=100,Midterm!AH89&gt;100),"ERR",
IF(Info!$B$4="Non-board program",
IF(OR(AND(AH$5&gt;0,AH$5&gt;100),AND(AH$5&gt;0,AH$5&lt;100)),
VLOOKUP(FLOOR((Midterm!AH89/AH$5)*100,1),new_transmute,2,FALSE),
VLOOKUP(Midterm!AH89,new_transmute,2,FALSE)
),
IF(Info!$B$4="Board program",
IF(OR(AND(AH$5&gt;0,AH$5&gt;100),AND(AH$5&gt;0,AH$5&lt;100)),
VLOOKUP(FLOOR((Midterm!AH89/AH$5)*100,1),new_transmute,3,FALSE),
VLOOKUP(Midterm!AH89,new_transmute,3,FALSE)
),
IF(Info!$B$4="Board program (Medicine)",
IF(OR(AND(AH$5&gt;0,AH$5&gt;100),AND(AH$5&gt;0,AH$5&lt;100)),
VLOOKUP(FLOOR((Midterm!AH89/AH$5)*100,1),new_transmute,4,FALSE),
VLOOKUP(Midterm!AH89,new_transmute,4,FALSE)
),
""
)
)
)
)
)
)
)
)
))</f>
        <v/>
      </c>
      <c r="AI89" s="14" t="str">
        <f>IF($B89="","",
IF(AI$5="","",
IF(Midterm!AI89="",0,
IF(NOT(ISNUMBER(Midterm!AI89)),"NAN",
IF(Midterm!AI89&lt;0,"NEG",
IF(Midterm!AI89&gt;AI$5,"OVER",
IF(AND(AI$5&lt;=100,Midterm!AI89&gt;100),"ERR",
IF(Info!$B$4="Non-board program",
IF(OR(AND(AI$5&gt;0,AI$5&gt;100),AND(AI$5&gt;0,AI$5&lt;100)),
VLOOKUP(FLOOR((Midterm!AI89/AI$5)*100,1),new_transmute,2,FALSE),
VLOOKUP(Midterm!AI89,new_transmute,2,FALSE)
),
IF(Info!$B$4="Board program",
IF(OR(AND(AI$5&gt;0,AI$5&gt;100),AND(AI$5&gt;0,AI$5&lt;100)),
VLOOKUP(FLOOR((Midterm!AI89/AI$5)*100,1),new_transmute,3,FALSE),
VLOOKUP(Midterm!AI89,new_transmute,3,FALSE)
),
IF(Info!$B$4="Board program (Medicine)",
IF(OR(AND(AI$5&gt;0,AI$5&gt;100),AND(AI$5&gt;0,AI$5&lt;100)),
VLOOKUP(FLOOR((Midterm!AI89/AI$5)*100,1),new_transmute,4,FALSE),
VLOOKUP(Midterm!AI89,new_transmute,4,FALSE)
),
""
)
)
)
)
)
)
)
)
))</f>
        <v/>
      </c>
      <c r="AJ89" s="14" t="str">
        <f>IF($B89="","",
IF(AJ$5="","",
IF(Midterm!AJ89="",0,
IF(NOT(ISNUMBER(Midterm!AJ89)),"NAN",
IF(Midterm!AJ89&lt;0,"NEG",
IF(Midterm!AJ89&gt;AJ$5,"OVER",
IF(AND(AJ$5&lt;=100,Midterm!AJ89&gt;100),"ERR",
IF(Info!$B$4="Non-board program",
IF(OR(AND(AJ$5&gt;0,AJ$5&gt;100),AND(AJ$5&gt;0,AJ$5&lt;100)),
VLOOKUP(FLOOR((Midterm!AJ89/AJ$5)*100,1),new_transmute,2,FALSE),
VLOOKUP(Midterm!AJ89,new_transmute,2,FALSE)
),
IF(Info!$B$4="Board program",
IF(OR(AND(AJ$5&gt;0,AJ$5&gt;100),AND(AJ$5&gt;0,AJ$5&lt;100)),
VLOOKUP(FLOOR((Midterm!AJ89/AJ$5)*100,1),new_transmute,3,FALSE),
VLOOKUP(Midterm!AJ89,new_transmute,3,FALSE)
),
IF(Info!$B$4="Board program (Medicine)",
IF(OR(AND(AJ$5&gt;0,AJ$5&gt;100),AND(AJ$5&gt;0,AJ$5&lt;100)),
VLOOKUP(FLOOR((Midterm!AJ89/AJ$5)*100,1),new_transmute,4,FALSE),
VLOOKUP(Midterm!AJ89,new_transmute,4,FALSE)
),
""
)
)
)
)
)
)
)
)
))</f>
        <v/>
      </c>
      <c r="AK89" s="59" t="str">
        <f t="shared" si="16"/>
        <v/>
      </c>
      <c r="AL89" s="60" t="str">
        <f>IF(B89="", "",
    IF(OR(M89="OVER", S89="OVER", Y89="OVER", AE89="OVER", AK89="OVER"),
        "OVER",
        IF(Info!$B$4="Non-board program",
            VLOOKUP(IFERROR(FLOOR(SUM((M89*$M$4), (S89*$S$4), (Y89*$Y$4), (AE89*$AE$4), (AK89*$AK$4)) * (100 / 60), 1), 0), new_transmute, 2, FALSE),
            IF(Info!$B$4="Board program",
                VLOOKUP(IFERROR(FLOOR(SUM((M89*$M$4), (S89*$S$4), (Y89*$Y$4), (AE89*$AE$4), (AK89*$AK$4)) * (100 / 60), 1), 0), new_transmute, 3, FALSE),
                IF(Info!$B$4="Board program (Medicine)",
                    VLOOKUP(IFERROR(FLOOR(SUM((M89*$M$4), (S89*$S$4), (Y89*$Y$4), (AE89*$AE$4), (AK89*$AK$4)) * (100 / 60), 1), 0), new_transmute, 4, FALSE),
                    ""
                )
            )
        )
    )
)</f>
        <v/>
      </c>
      <c r="AM89" s="14" t="str">
        <f>IF($B89="","",
IF(AM$5="","",
IF(Midterm!AM89="",0,
IF(NOT(ISNUMBER(Midterm!AM89)),"NAN",
IF(Midterm!AM89&lt;0,"NEG",
IF(Midterm!AM89&gt;AM$5,"OVER",
IF(AND(AM$5&lt;=100,Midterm!AM89&gt;100),"ERR",
IF(Info!$B$4="Non-board program",
IF(OR(AND(AM$5&gt;0,AM$5&gt;100),AND(AM$5&gt;0,AM$5&lt;100)),
VLOOKUP(FLOOR((Midterm!AM89/AM$5)*100,1),new_transmute,2,FALSE),
VLOOKUP(Midterm!AM89,new_transmute,2,FALSE)
),
IF(Info!$B$4="Board program",
IF(OR(AND(AM$5&gt;0,AM$5&gt;100),AND(AM$5&gt;0,AM$5&lt;100)),
VLOOKUP(FLOOR((Midterm!AM89/AM$5)*100,1),new_transmute,3,FALSE),
VLOOKUP(Midterm!AM89,new_transmute,3,FALSE)
),
IF(Info!$B$4="Board program (Medicine)",
IF(OR(AND(AM$5&gt;0,AM$5&gt;100),AND(AM$5&gt;0,AM$5&lt;100)),
VLOOKUP(FLOOR((Midterm!AM89/AM$5)*100,1),new_transmute,4,FALSE),
VLOOKUP(Midterm!AM89,new_transmute,4,FALSE)
),
""
)
)
)
)
)
)
)
)
))</f>
        <v/>
      </c>
      <c r="AN89" s="14" t="str">
        <f>IF($B89="","",
IF(AN$5="","",
IF(Midterm!AN89="",0,
IF(NOT(ISNUMBER(Midterm!AN89)),"NAN",
IF(Midterm!AN89&lt;0,"NEG",
IF(Midterm!AN89&gt;AN$5,"OVER",
IF(AND(AN$5&lt;=100,Midterm!AN89&gt;100),"ERR",
IF(Info!$B$4="Non-board program",
IF(OR(AND(AN$5&gt;0,AN$5&gt;100),AND(AN$5&gt;0,AN$5&lt;100)),
VLOOKUP(FLOOR((Midterm!AN89/AN$5)*100,1),new_transmute,2,FALSE),
VLOOKUP(Midterm!AN89,new_transmute,2,FALSE)
),
IF(Info!$B$4="Board program",
IF(OR(AND(AN$5&gt;0,AN$5&gt;100),AND(AN$5&gt;0,AN$5&lt;100)),
VLOOKUP(FLOOR((Midterm!AN89/AN$5)*100,1),new_transmute,3,FALSE),
VLOOKUP(Midterm!AN89,new_transmute,3,FALSE)
),
IF(Info!$B$4="Board program (Medicine)",
IF(OR(AND(AN$5&gt;0,AN$5&gt;100),AND(AN$5&gt;0,AN$5&lt;100)),
VLOOKUP(FLOOR((Midterm!AN89/AN$5)*100,1),new_transmute,4,FALSE),
VLOOKUP(Midterm!AN89,new_transmute,4,FALSE)
),
""
)
)
)
)
)
)
)
)
))</f>
        <v/>
      </c>
      <c r="AO89" s="14" t="str">
        <f>IF($B89="","",
IF(AO$5="","",
IF(Midterm!AO89="",0,
IF(NOT(ISNUMBER(Midterm!AO89)),"NAN",
IF(Midterm!AO89&lt;0,"NEG",
IF(Midterm!AO89&gt;AO$5,"OVER",
IF(AND(AO$5&lt;=100,Midterm!AO89&gt;100),"ERR",
IF(Info!$B$4="Non-board program",
IF(OR(AND(AO$5&gt;0,AO$5&gt;100),AND(AO$5&gt;0,AO$5&lt;100)),
VLOOKUP(FLOOR((Midterm!AO89/AO$5)*100,1),new_transmute,2,FALSE),
VLOOKUP(Midterm!AO89,new_transmute,2,FALSE)
),
IF(Info!$B$4="Board program",
IF(OR(AND(AO$5&gt;0,AO$5&gt;100),AND(AO$5&gt;0,AO$5&lt;100)),
VLOOKUP(FLOOR((Midterm!AO89/AO$5)*100,1),new_transmute,3,FALSE),
VLOOKUP(Midterm!AO89,new_transmute,3,FALSE)
),
IF(Info!$B$4="Board program (Medicine)",
IF(OR(AND(AO$5&gt;0,AO$5&gt;100),AND(AO$5&gt;0,AO$5&lt;100)),
VLOOKUP(FLOOR((Midterm!AO89/AO$5)*100,1),new_transmute,4,FALSE),
VLOOKUP(Midterm!AO89,new_transmute,4,FALSE)
),
""
)
)
)
)
)
)
)
)
))</f>
        <v/>
      </c>
      <c r="AP89" s="14" t="str">
        <f>IF($B89="","",
IF(AP$5="","",
IF(Midterm!AP89="",0,
IF(NOT(ISNUMBER(Midterm!AP89)),"NAN",
IF(Midterm!AP89&lt;0,"NEG",
IF(Midterm!AP89&gt;AP$5,"OVER",
IF(AND(AP$5&lt;=100,Midterm!AP89&gt;100),"ERR",
IF(Info!$B$4="Non-board program",
IF(OR(AND(AP$5&gt;0,AP$5&gt;100),AND(AP$5&gt;0,AP$5&lt;100)),
VLOOKUP(FLOOR((Midterm!AP89/AP$5)*100,1),new_transmute,2,FALSE),
VLOOKUP(Midterm!AP89,new_transmute,2,FALSE)
),
IF(Info!$B$4="Board program",
IF(OR(AND(AP$5&gt;0,AP$5&gt;100),AND(AP$5&gt;0,AP$5&lt;100)),
VLOOKUP(FLOOR((Midterm!AP89/AP$5)*100,1),new_transmute,3,FALSE),
VLOOKUP(Midterm!AP89,new_transmute,3,FALSE)
),
IF(Info!$B$4="Board program (Medicine)",
IF(OR(AND(AP$5&gt;0,AP$5&gt;100),AND(AP$5&gt;0,AP$5&lt;100)),
VLOOKUP(FLOOR((Midterm!AP89/AP$5)*100,1),new_transmute,4,FALSE),
VLOOKUP(Midterm!AP89,new_transmute,4,FALSE)
),
""
)
)
)
)
)
)
)
)
))</f>
        <v/>
      </c>
      <c r="AQ89" s="61" t="str">
        <f t="shared" si="17"/>
        <v/>
      </c>
      <c r="AR89" s="48" t="str">
        <f>IF(Midterm!AR89="","",Midterm!AR89)</f>
        <v/>
      </c>
      <c r="AS89" s="165" t="str">
        <f t="shared" si="18"/>
        <v/>
      </c>
      <c r="AT89" s="14" t="str">
        <f t="shared" si="19"/>
        <v/>
      </c>
      <c r="AU89" s="14" t="str">
        <f>IF(B89="","",VLOOKUP(AT89,'New Grade Equivalent'!$B$3:$C$47,2,FALSE))</f>
        <v/>
      </c>
    </row>
    <row r="90" spans="1:47" x14ac:dyDescent="0.25">
      <c r="A90" s="8">
        <v>85</v>
      </c>
      <c r="B90" s="2" t="str">
        <f>IF('Student List'!C94="","",UPPER(LEFT('Student List'!C94,FIND(",",'Student List'!C94)-1)))</f>
        <v/>
      </c>
      <c r="C90" s="12" t="str">
        <f>IF('Student List'!C94="","",PROPER(MID('Student List'!C94, FIND(",", 'Student List'!C94) + 2, LEN('Student List'!C94) - FIND(",", 'Student List'!C94) - 1)))</f>
        <v/>
      </c>
      <c r="D90" s="127" t="str">
        <f>IF(B90="","",IF(Midterm!D90="", "NA", Midterm!D90))</f>
        <v/>
      </c>
      <c r="E90" s="8" t="str">
        <f>IF(B90="","",
  IF(Info!$B$5="First Year",
    IF(D90="Yes", "DRP",
      IF(D90="No", "WF", "")
    )
  )
)</f>
        <v/>
      </c>
      <c r="F90" s="14" t="str">
        <f>IF($B90="","",
IF(F$5="","",
IF(Midterm!F90="",0,
IF(NOT(ISNUMBER(Midterm!F90)),"NAN",
IF(Midterm!F90&lt;0,"NEG",
IF(Midterm!F90&gt;F$5,"OVER",
IF(AND(F$5&lt;=100,Midterm!F90&gt;100),"ERR",
IF(Info!$B$4="Non-board program",
IF(OR(AND(F$5&gt;0,F$5&gt;100),AND(F$5&gt;0,F$5&lt;100)),
VLOOKUP(FLOOR((Midterm!F90/F$5)*100,1),new_transmute,2,FALSE),
VLOOKUP(Midterm!F90,new_transmute,2,FALSE)
),
IF(Info!$B$4="Board program",
IF(OR(AND(F$5&gt;0,F$5&gt;100),AND(F$5&gt;0,F$5&lt;100)),
VLOOKUP(FLOOR((Midterm!F90/F$5)*100,1),new_transmute,3,FALSE),
VLOOKUP(Midterm!F90,new_transmute,3,FALSE)
),
IF(Info!$B$4="Board program (Medicine)",
IF(OR(AND(F$5&gt;0,F$5&gt;100),AND(F$5&gt;0,F$5&lt;100)),
VLOOKUP(FLOOR((Midterm!F90/F$5)*100,1),new_transmute,4,FALSE),
VLOOKUP(Midterm!F90,new_transmute,4,FALSE)
),
""
)
)
)
)
)
)
)
)
))</f>
        <v/>
      </c>
      <c r="G90" s="57" t="str">
        <f t="shared" si="11"/>
        <v/>
      </c>
      <c r="H90" s="14" t="str">
        <f>IF($B90="","",
IF(H$5="","",
IF(Midterm!H90="",0,
IF(NOT(ISNUMBER(Midterm!H90)),"NAN",
IF(Midterm!H90&lt;0,"NEG",
IF(Midterm!H90&gt;H$5,"OVER",
IF(AND(H$5&lt;=100,Midterm!H90&gt;100),"ERR",
IF(Info!$B$4="Non-board program",
IF(OR(AND(H$5&gt;0,H$5&gt;100),AND(H$5&gt;0,H$5&lt;100)),
VLOOKUP(FLOOR((Midterm!H90/H$5)*100,1),new_transmute,2,FALSE),
VLOOKUP(Midterm!H90,new_transmute,2,FALSE)
),
IF(Info!$B$4="Board program",
IF(OR(AND(H$5&gt;0,H$5&gt;100),AND(H$5&gt;0,H$5&lt;100)),
VLOOKUP(FLOOR((Midterm!H90/H$5)*100,1),new_transmute,3,FALSE),
VLOOKUP(Midterm!H90,new_transmute,3,FALSE)
),
IF(Info!$B$4="Board program (Medicine)",
IF(OR(AND(H$5&gt;0,H$5&gt;100),AND(H$5&gt;0,H$5&lt;100)),
VLOOKUP(FLOOR((Midterm!H90/H$5)*100,1),new_transmute,4,FALSE),
VLOOKUP(Midterm!H90,new_transmute,4,FALSE)
),
""
)
)
)
)
)
)
)
)
))</f>
        <v/>
      </c>
      <c r="I90" s="14" t="str">
        <f>IF($B90="","",
IF(I$5="","",
IF(Midterm!I90="",0,
IF(NOT(ISNUMBER(Midterm!I90)),"NAN",
IF(Midterm!I90&lt;0,"NEG",
IF(Midterm!I90&gt;I$5,"OVER",
IF(AND(I$5&lt;=100,Midterm!I90&gt;100),"ERR",
IF(Info!$B$4="Non-board program",
IF(OR(AND(I$5&gt;0,I$5&gt;100),AND(I$5&gt;0,I$5&lt;100)),
VLOOKUP(FLOOR((Midterm!I90/I$5)*100,1),new_transmute,2,FALSE),
VLOOKUP(Midterm!I90,new_transmute,2,FALSE)
),
IF(Info!$B$4="Board program",
IF(OR(AND(I$5&gt;0,I$5&gt;100),AND(I$5&gt;0,I$5&lt;100)),
VLOOKUP(FLOOR((Midterm!I90/I$5)*100,1),new_transmute,3,FALSE),
VLOOKUP(Midterm!I90,new_transmute,3,FALSE)
),
IF(Info!$B$4="Board program (Medicine)",
IF(OR(AND(I$5&gt;0,I$5&gt;100),AND(I$5&gt;0,I$5&lt;100)),
VLOOKUP(FLOOR((Midterm!I90/I$5)*100,1),new_transmute,4,FALSE),
VLOOKUP(Midterm!I90,new_transmute,4,FALSE)
),
""
)
)
)
)
)
)
)
)
))</f>
        <v/>
      </c>
      <c r="J90" s="14" t="str">
        <f>IF($B90="","",
IF(J$5="","",
IF(Midterm!J90="",0,
IF(NOT(ISNUMBER(Midterm!J90)),"NAN",
IF(Midterm!J90&lt;0,"NEG",
IF(Midterm!J90&gt;J$5,"OVER",
IF(AND(J$5&lt;=100,Midterm!J90&gt;100),"ERR",
IF(Info!$B$4="Non-board program",
IF(OR(AND(J$5&gt;0,J$5&gt;100),AND(J$5&gt;0,J$5&lt;100)),
VLOOKUP(FLOOR((Midterm!J90/J$5)*100,1),new_transmute,2,FALSE),
VLOOKUP(Midterm!J90,new_transmute,2,FALSE)
),
IF(Info!$B$4="Board program",
IF(OR(AND(J$5&gt;0,J$5&gt;100),AND(J$5&gt;0,J$5&lt;100)),
VLOOKUP(FLOOR((Midterm!J90/J$5)*100,1),new_transmute,3,FALSE),
VLOOKUP(Midterm!J90,new_transmute,3,FALSE)
),
IF(Info!$B$4="Board program (Medicine)",
IF(OR(AND(J$5&gt;0,J$5&gt;100),AND(J$5&gt;0,J$5&lt;100)),
VLOOKUP(FLOOR((Midterm!J90/J$5)*100,1),new_transmute,4,FALSE),
VLOOKUP(Midterm!J90,new_transmute,4,FALSE)
),
""
)
)
)
)
)
)
)
)
))</f>
        <v/>
      </c>
      <c r="K90" s="14" t="str">
        <f>IF($B90="","",
IF(K$5="","",
IF(Midterm!K90="",0,
IF(NOT(ISNUMBER(Midterm!K90)),"NAN",
IF(Midterm!K90&lt;0,"NEG",
IF(Midterm!K90&gt;K$5,"OVER",
IF(AND(K$5&lt;=100,Midterm!K90&gt;100),"ERR",
IF(Info!$B$4="Non-board program",
IF(OR(AND(K$5&gt;0,K$5&gt;100),AND(K$5&gt;0,K$5&lt;100)),
VLOOKUP(FLOOR((Midterm!K90/K$5)*100,1),new_transmute,2,FALSE),
VLOOKUP(Midterm!K90,new_transmute,2,FALSE)
),
IF(Info!$B$4="Board program",
IF(OR(AND(K$5&gt;0,K$5&gt;100),AND(K$5&gt;0,K$5&lt;100)),
VLOOKUP(FLOOR((Midterm!K90/K$5)*100,1),new_transmute,3,FALSE),
VLOOKUP(Midterm!K90,new_transmute,3,FALSE)
),
IF(Info!$B$4="Board program (Medicine)",
IF(OR(AND(K$5&gt;0,K$5&gt;100),AND(K$5&gt;0,K$5&lt;100)),
VLOOKUP(FLOOR((Midterm!K90/K$5)*100,1),new_transmute,4,FALSE),
VLOOKUP(Midterm!K90,new_transmute,4,FALSE)
),
""
)
)
)
)
)
)
)
)
))</f>
        <v/>
      </c>
      <c r="L90" s="14" t="str">
        <f>IF($B90="","",
IF(L$5="","",
IF(Midterm!L90="",0,
IF(NOT(ISNUMBER(Midterm!L90)),"NAN",
IF(Midterm!L90&lt;0,"NEG",
IF(Midterm!L90&gt;L$5,"OVER",
IF(AND(L$5&lt;=100,Midterm!L90&gt;100),"ERR",
IF(Info!$B$4="Non-board program",
IF(OR(AND(L$5&gt;0,L$5&gt;100),AND(L$5&gt;0,L$5&lt;100)),
VLOOKUP(FLOOR((Midterm!L90/L$5)*100,1),new_transmute,2,FALSE),
VLOOKUP(Midterm!L90,new_transmute,2,FALSE)
),
IF(Info!$B$4="Board program",
IF(OR(AND(L$5&gt;0,L$5&gt;100),AND(L$5&gt;0,L$5&lt;100)),
VLOOKUP(FLOOR((Midterm!L90/L$5)*100,1),new_transmute,3,FALSE),
VLOOKUP(Midterm!L90,new_transmute,3,FALSE)
),
IF(Info!$B$4="Board program (Medicine)",
IF(OR(AND(L$5&gt;0,L$5&gt;100),AND(L$5&gt;0,L$5&lt;100)),
VLOOKUP(FLOOR((Midterm!L90/L$5)*100,1),new_transmute,4,FALSE),
VLOOKUP(Midterm!L90,new_transmute,4,FALSE)
),
""
)
)
)
)
)
)
)
)
))</f>
        <v/>
      </c>
      <c r="M90" s="111" t="str">
        <f t="shared" si="12"/>
        <v/>
      </c>
      <c r="N90" s="14" t="str">
        <f>IF($B90="","",
IF(N$5="","",
IF(Midterm!N90="",0,
IF(NOT(ISNUMBER(Midterm!N90)),"NAN",
IF(Midterm!N90&lt;0,"NEG",
IF(Midterm!N90&gt;N$5,"OVER",
IF(AND(N$5&lt;=100,Midterm!N90&gt;100),"ERR",
IF(Info!$B$4="Non-board program",
IF(OR(AND(N$5&gt;0,N$5&gt;100),AND(N$5&gt;0,N$5&lt;100)),
VLOOKUP(FLOOR((Midterm!N90/N$5)*100,1),new_transmute,2,FALSE),
VLOOKUP(Midterm!N90,new_transmute,2,FALSE)
),
IF(Info!$B$4="Board program",
IF(OR(AND(N$5&gt;0,N$5&gt;100),AND(N$5&gt;0,N$5&lt;100)),
VLOOKUP(FLOOR((Midterm!N90/N$5)*100,1),new_transmute,3,FALSE),
VLOOKUP(Midterm!N90,new_transmute,3,FALSE)
),
IF(Info!$B$4="Board program (Medicine)",
IF(OR(AND(N$5&gt;0,N$5&gt;100),AND(N$5&gt;0,N$5&lt;100)),
VLOOKUP(FLOOR((Midterm!N90/N$5)*100,1),new_transmute,4,FALSE),
VLOOKUP(Midterm!N90,new_transmute,4,FALSE)
),
""
)
)
)
)
)
)
)
)
))</f>
        <v/>
      </c>
      <c r="O90" s="14" t="str">
        <f>IF($B90="","",
IF(O$5="","",
IF(Midterm!O90="",0,
IF(NOT(ISNUMBER(Midterm!O90)),"NAN",
IF(Midterm!O90&lt;0,"NEG",
IF(Midterm!O90&gt;O$5,"OVER",
IF(AND(O$5&lt;=100,Midterm!O90&gt;100),"ERR",
IF(Info!$B$4="Non-board program",
IF(OR(AND(O$5&gt;0,O$5&gt;100),AND(O$5&gt;0,O$5&lt;100)),
VLOOKUP(FLOOR((Midterm!O90/O$5)*100,1),new_transmute,2,FALSE),
VLOOKUP(Midterm!O90,new_transmute,2,FALSE)
),
IF(Info!$B$4="Board program",
IF(OR(AND(O$5&gt;0,O$5&gt;100),AND(O$5&gt;0,O$5&lt;100)),
VLOOKUP(FLOOR((Midterm!O90/O$5)*100,1),new_transmute,3,FALSE),
VLOOKUP(Midterm!O90,new_transmute,3,FALSE)
),
IF(Info!$B$4="Board program (Medicine)",
IF(OR(AND(O$5&gt;0,O$5&gt;100),AND(O$5&gt;0,O$5&lt;100)),
VLOOKUP(FLOOR((Midterm!O90/O$5)*100,1),new_transmute,4,FALSE),
VLOOKUP(Midterm!O90,new_transmute,4,FALSE)
),
""
)
)
)
)
)
)
)
)
))</f>
        <v/>
      </c>
      <c r="P90" s="14" t="str">
        <f>IF($B90="","",
IF(P$5="","",
IF(Midterm!P90="",0,
IF(NOT(ISNUMBER(Midterm!P90)),"NAN",
IF(Midterm!P90&lt;0,"NEG",
IF(Midterm!P90&gt;P$5,"OVER",
IF(AND(P$5&lt;=100,Midterm!P90&gt;100),"ERR",
IF(Info!$B$4="Non-board program",
IF(OR(AND(P$5&gt;0,P$5&gt;100),AND(P$5&gt;0,P$5&lt;100)),
VLOOKUP(FLOOR((Midterm!P90/P$5)*100,1),new_transmute,2,FALSE),
VLOOKUP(Midterm!P90,new_transmute,2,FALSE)
),
IF(Info!$B$4="Board program",
IF(OR(AND(P$5&gt;0,P$5&gt;100),AND(P$5&gt;0,P$5&lt;100)),
VLOOKUP(FLOOR((Midterm!P90/P$5)*100,1),new_transmute,3,FALSE),
VLOOKUP(Midterm!P90,new_transmute,3,FALSE)
),
IF(Info!$B$4="Board program (Medicine)",
IF(OR(AND(P$5&gt;0,P$5&gt;100),AND(P$5&gt;0,P$5&lt;100)),
VLOOKUP(FLOOR((Midterm!P90/P$5)*100,1),new_transmute,4,FALSE),
VLOOKUP(Midterm!P90,new_transmute,4,FALSE)
),
""
)
)
)
)
)
)
)
)
))</f>
        <v/>
      </c>
      <c r="Q90" s="14" t="str">
        <f>IF($B90="","",
IF(Q$5="","",
IF(Midterm!Q90="",0,
IF(NOT(ISNUMBER(Midterm!Q90)),"NAN",
IF(Midterm!Q90&lt;0,"NEG",
IF(Midterm!Q90&gt;Q$5,"OVER",
IF(AND(Q$5&lt;=100,Midterm!Q90&gt;100),"ERR",
IF(Info!$B$4="Non-board program",
IF(OR(AND(Q$5&gt;0,Q$5&gt;100),AND(Q$5&gt;0,Q$5&lt;100)),
VLOOKUP(FLOOR((Midterm!Q90/Q$5)*100,1),new_transmute,2,FALSE),
VLOOKUP(Midterm!Q90,new_transmute,2,FALSE)
),
IF(Info!$B$4="Board program",
IF(OR(AND(Q$5&gt;0,Q$5&gt;100),AND(Q$5&gt;0,Q$5&lt;100)),
VLOOKUP(FLOOR((Midterm!Q90/Q$5)*100,1),new_transmute,3,FALSE),
VLOOKUP(Midterm!Q90,new_transmute,3,FALSE)
),
IF(Info!$B$4="Board program (Medicine)",
IF(OR(AND(Q$5&gt;0,Q$5&gt;100),AND(Q$5&gt;0,Q$5&lt;100)),
VLOOKUP(FLOOR((Midterm!Q90/Q$5)*100,1),new_transmute,4,FALSE),
VLOOKUP(Midterm!Q90,new_transmute,4,FALSE)
),
""
)
)
)
)
)
)
)
)
))</f>
        <v/>
      </c>
      <c r="R90" s="14" t="str">
        <f>IF($B90="","",
IF(R$5="","",
IF(Midterm!R90="",0,
IF(NOT(ISNUMBER(Midterm!R90)),"NAN",
IF(Midterm!R90&lt;0,"NEG",
IF(Midterm!R90&gt;R$5,"OVER",
IF(AND(R$5&lt;=100,Midterm!R90&gt;100),"ERR",
IF(Info!$B$4="Non-board program",
IF(OR(AND(R$5&gt;0,R$5&gt;100),AND(R$5&gt;0,R$5&lt;100)),
VLOOKUP(FLOOR((Midterm!R90/R$5)*100,1),new_transmute,2,FALSE),
VLOOKUP(Midterm!R90,new_transmute,2,FALSE)
),
IF(Info!$B$4="Board program",
IF(OR(AND(R$5&gt;0,R$5&gt;100),AND(R$5&gt;0,R$5&lt;100)),
VLOOKUP(FLOOR((Midterm!R90/R$5)*100,1),new_transmute,3,FALSE),
VLOOKUP(Midterm!R90,new_transmute,3,FALSE)
),
IF(Info!$B$4="Board program (Medicine)",
IF(OR(AND(R$5&gt;0,R$5&gt;100),AND(R$5&gt;0,R$5&lt;100)),
VLOOKUP(FLOOR((Midterm!R90/R$5)*100,1),new_transmute,4,FALSE),
VLOOKUP(Midterm!R90,new_transmute,4,FALSE)
),
""
)
)
)
)
)
)
)
)
))</f>
        <v/>
      </c>
      <c r="S90" s="115" t="str">
        <f t="shared" si="13"/>
        <v/>
      </c>
      <c r="T90" s="14" t="str">
        <f>IF($B90="","",
IF(T$5="","",
IF(Midterm!T90="",0,
IF(NOT(ISNUMBER(Midterm!T90)),"NAN",
IF(Midterm!T90&lt;0,"NEG",
IF(Midterm!T90&gt;T$5,"OVER",
IF(AND(T$5&lt;=100,Midterm!T90&gt;100),"ERR",
IF(Info!$B$4="Non-board program",
IF(OR(AND(T$5&gt;0,T$5&gt;100),AND(T$5&gt;0,T$5&lt;100)),
VLOOKUP(FLOOR((Midterm!T90/T$5)*100,1),new_transmute,2,FALSE),
VLOOKUP(Midterm!T90,new_transmute,2,FALSE)
),
IF(Info!$B$4="Board program",
IF(OR(AND(T$5&gt;0,T$5&gt;100),AND(T$5&gt;0,T$5&lt;100)),
VLOOKUP(FLOOR((Midterm!T90/T$5)*100,1),new_transmute,3,FALSE),
VLOOKUP(Midterm!T90,new_transmute,3,FALSE)
),
IF(Info!$B$4="Board program (Medicine)",
IF(OR(AND(T$5&gt;0,T$5&gt;100),AND(T$5&gt;0,T$5&lt;100)),
VLOOKUP(FLOOR((Midterm!T90/T$5)*100,1),new_transmute,4,FALSE),
VLOOKUP(Midterm!T90,new_transmute,4,FALSE)
),
""
)
)
)
)
)
)
)
)
))</f>
        <v/>
      </c>
      <c r="U90" s="14" t="str">
        <f>IF($B90="","",
IF(U$5="","",
IF(Midterm!U90="",0,
IF(NOT(ISNUMBER(Midterm!U90)),"NAN",
IF(Midterm!U90&lt;0,"NEG",
IF(Midterm!U90&gt;U$5,"OVER",
IF(AND(U$5&lt;=100,Midterm!U90&gt;100),"ERR",
IF(Info!$B$4="Non-board program",
IF(OR(AND(U$5&gt;0,U$5&gt;100),AND(U$5&gt;0,U$5&lt;100)),
VLOOKUP(FLOOR((Midterm!U90/U$5)*100,1),new_transmute,2,FALSE),
VLOOKUP(Midterm!U90,new_transmute,2,FALSE)
),
IF(Info!$B$4="Board program",
IF(OR(AND(U$5&gt;0,U$5&gt;100),AND(U$5&gt;0,U$5&lt;100)),
VLOOKUP(FLOOR((Midterm!U90/U$5)*100,1),new_transmute,3,FALSE),
VLOOKUP(Midterm!U90,new_transmute,3,FALSE)
),
IF(Info!$B$4="Board program (Medicine)",
IF(OR(AND(U$5&gt;0,U$5&gt;100),AND(U$5&gt;0,U$5&lt;100)),
VLOOKUP(FLOOR((Midterm!U90/U$5)*100,1),new_transmute,4,FALSE),
VLOOKUP(Midterm!U90,new_transmute,4,FALSE)
),
""
)
)
)
)
)
)
)
)
))</f>
        <v/>
      </c>
      <c r="V90" s="14" t="str">
        <f>IF($B90="","",
IF(V$5="","",
IF(Midterm!V90="",0,
IF(NOT(ISNUMBER(Midterm!V90)),"NAN",
IF(Midterm!V90&lt;0,"NEG",
IF(Midterm!V90&gt;V$5,"OVER",
IF(AND(V$5&lt;=100,Midterm!V90&gt;100),"ERR",
IF(Info!$B$4="Non-board program",
IF(OR(AND(V$5&gt;0,V$5&gt;100),AND(V$5&gt;0,V$5&lt;100)),
VLOOKUP(FLOOR((Midterm!V90/V$5)*100,1),new_transmute,2,FALSE),
VLOOKUP(Midterm!V90,new_transmute,2,FALSE)
),
IF(Info!$B$4="Board program",
IF(OR(AND(V$5&gt;0,V$5&gt;100),AND(V$5&gt;0,V$5&lt;100)),
VLOOKUP(FLOOR((Midterm!V90/V$5)*100,1),new_transmute,3,FALSE),
VLOOKUP(Midterm!V90,new_transmute,3,FALSE)
),
IF(Info!$B$4="Board program (Medicine)",
IF(OR(AND(V$5&gt;0,V$5&gt;100),AND(V$5&gt;0,V$5&lt;100)),
VLOOKUP(FLOOR((Midterm!V90/V$5)*100,1),new_transmute,4,FALSE),
VLOOKUP(Midterm!V90,new_transmute,4,FALSE)
),
""
)
)
)
)
)
)
)
)
))</f>
        <v/>
      </c>
      <c r="W90" s="14" t="str">
        <f>IF($B90="","",
IF(W$5="","",
IF(Midterm!W90="",0,
IF(NOT(ISNUMBER(Midterm!W90)),"NAN",
IF(Midterm!W90&lt;0,"NEG",
IF(Midterm!W90&gt;W$5,"OVER",
IF(AND(W$5&lt;=100,Midterm!W90&gt;100),"ERR",
IF(Info!$B$4="Non-board program",
IF(OR(AND(W$5&gt;0,W$5&gt;100),AND(W$5&gt;0,W$5&lt;100)),
VLOOKUP(FLOOR((Midterm!W90/W$5)*100,1),new_transmute,2,FALSE),
VLOOKUP(Midterm!W90,new_transmute,2,FALSE)
),
IF(Info!$B$4="Board program",
IF(OR(AND(W$5&gt;0,W$5&gt;100),AND(W$5&gt;0,W$5&lt;100)),
VLOOKUP(FLOOR((Midterm!W90/W$5)*100,1),new_transmute,3,FALSE),
VLOOKUP(Midterm!W90,new_transmute,3,FALSE)
),
IF(Info!$B$4="Board program (Medicine)",
IF(OR(AND(W$5&gt;0,W$5&gt;100),AND(W$5&gt;0,W$5&lt;100)),
VLOOKUP(FLOOR((Midterm!W90/W$5)*100,1),new_transmute,4,FALSE),
VLOOKUP(Midterm!W90,new_transmute,4,FALSE)
),
""
)
)
)
)
)
)
)
)
))</f>
        <v/>
      </c>
      <c r="X90" s="14" t="str">
        <f>IF($B90="","",
IF(X$5="","",
IF(Midterm!X90="",0,
IF(NOT(ISNUMBER(Midterm!X90)),"NAN",
IF(Midterm!X90&lt;0,"NEG",
IF(Midterm!X90&gt;X$5,"OVER",
IF(AND(X$5&lt;=100,Midterm!X90&gt;100),"ERR",
IF(Info!$B$4="Non-board program",
IF(OR(AND(X$5&gt;0,X$5&gt;100),AND(X$5&gt;0,X$5&lt;100)),
VLOOKUP(FLOOR((Midterm!X90/X$5)*100,1),new_transmute,2,FALSE),
VLOOKUP(Midterm!X90,new_transmute,2,FALSE)
),
IF(Info!$B$4="Board program",
IF(OR(AND(X$5&gt;0,X$5&gt;100),AND(X$5&gt;0,X$5&lt;100)),
VLOOKUP(FLOOR((Midterm!X90/X$5)*100,1),new_transmute,3,FALSE),
VLOOKUP(Midterm!X90,new_transmute,3,FALSE)
),
IF(Info!$B$4="Board program (Medicine)",
IF(OR(AND(X$5&gt;0,X$5&gt;100),AND(X$5&gt;0,X$5&lt;100)),
VLOOKUP(FLOOR((Midterm!X90/X$5)*100,1),new_transmute,4,FALSE),
VLOOKUP(Midterm!X90,new_transmute,4,FALSE)
),
""
)
)
)
)
)
)
)
)
))</f>
        <v/>
      </c>
      <c r="Y90" s="112" t="str">
        <f t="shared" si="14"/>
        <v/>
      </c>
      <c r="Z90" s="14" t="str">
        <f>IF($B90="","",
IF(Z$5="","",
IF(Midterm!Z90="",0,
IF(NOT(ISNUMBER(Midterm!Z90)),"NAN",
IF(Midterm!Z90&lt;0,"NEG",
IF(Midterm!Z90&gt;Z$5,"OVER",
IF(AND(Z$5&lt;=100,Midterm!Z90&gt;100),"ERR",
IF(Info!$B$4="Non-board program",
IF(OR(AND(Z$5&gt;0,Z$5&gt;100),AND(Z$5&gt;0,Z$5&lt;100)),
VLOOKUP(FLOOR((Midterm!Z90/Z$5)*100,1),new_transmute,2,FALSE),
VLOOKUP(Midterm!Z90,new_transmute,2,FALSE)
),
IF(Info!$B$4="Board program",
IF(OR(AND(Z$5&gt;0,Z$5&gt;100),AND(Z$5&gt;0,Z$5&lt;100)),
VLOOKUP(FLOOR((Midterm!Z90/Z$5)*100,1),new_transmute,3,FALSE),
VLOOKUP(Midterm!Z90,new_transmute,3,FALSE)
),
IF(Info!$B$4="Board program (Medicine)",
IF(OR(AND(Z$5&gt;0,Z$5&gt;100),AND(Z$5&gt;0,Z$5&lt;100)),
VLOOKUP(FLOOR((Midterm!Z90/Z$5)*100,1),new_transmute,4,FALSE),
VLOOKUP(Midterm!Z90,new_transmute,4,FALSE)
),
""
)
)
)
)
)
)
)
)
))</f>
        <v/>
      </c>
      <c r="AA90" s="14" t="str">
        <f>IF($B90="","",
IF(AA$5="","",
IF(Midterm!AA90="",0,
IF(NOT(ISNUMBER(Midterm!AA90)),"NAN",
IF(Midterm!AA90&lt;0,"NEG",
IF(Midterm!AA90&gt;AA$5,"OVER",
IF(AND(AA$5&lt;=100,Midterm!AA90&gt;100),"ERR",
IF(Info!$B$4="Non-board program",
IF(OR(AND(AA$5&gt;0,AA$5&gt;100),AND(AA$5&gt;0,AA$5&lt;100)),
VLOOKUP(FLOOR((Midterm!AA90/AA$5)*100,1),new_transmute,2,FALSE),
VLOOKUP(Midterm!AA90,new_transmute,2,FALSE)
),
IF(Info!$B$4="Board program",
IF(OR(AND(AA$5&gt;0,AA$5&gt;100),AND(AA$5&gt;0,AA$5&lt;100)),
VLOOKUP(FLOOR((Midterm!AA90/AA$5)*100,1),new_transmute,3,FALSE),
VLOOKUP(Midterm!AA90,new_transmute,3,FALSE)
),
IF(Info!$B$4="Board program (Medicine)",
IF(OR(AND(AA$5&gt;0,AA$5&gt;100),AND(AA$5&gt;0,AA$5&lt;100)),
VLOOKUP(FLOOR((Midterm!AA90/AA$5)*100,1),new_transmute,4,FALSE),
VLOOKUP(Midterm!AA90,new_transmute,4,FALSE)
),
""
)
)
)
)
)
)
)
)
))</f>
        <v/>
      </c>
      <c r="AB90" s="14" t="str">
        <f>IF($B90="","",
IF(AB$5="","",
IF(Midterm!AB90="",0,
IF(NOT(ISNUMBER(Midterm!AB90)),"NAN",
IF(Midterm!AB90&lt;0,"NEG",
IF(Midterm!AB90&gt;AB$5,"OVER",
IF(AND(AB$5&lt;=100,Midterm!AB90&gt;100),"ERR",
IF(Info!$B$4="Non-board program",
IF(OR(AND(AB$5&gt;0,AB$5&gt;100),AND(AB$5&gt;0,AB$5&lt;100)),
VLOOKUP(FLOOR((Midterm!AB90/AB$5)*100,1),new_transmute,2,FALSE),
VLOOKUP(Midterm!AB90,new_transmute,2,FALSE)
),
IF(Info!$B$4="Board program",
IF(OR(AND(AB$5&gt;0,AB$5&gt;100),AND(AB$5&gt;0,AB$5&lt;100)),
VLOOKUP(FLOOR((Midterm!AB90/AB$5)*100,1),new_transmute,3,FALSE),
VLOOKUP(Midterm!AB90,new_transmute,3,FALSE)
),
IF(Info!$B$4="Board program (Medicine)",
IF(OR(AND(AB$5&gt;0,AB$5&gt;100),AND(AB$5&gt;0,AB$5&lt;100)),
VLOOKUP(FLOOR((Midterm!AB90/AB$5)*100,1),new_transmute,4,FALSE),
VLOOKUP(Midterm!AB90,new_transmute,4,FALSE)
),
""
)
)
)
)
)
)
)
)
))</f>
        <v/>
      </c>
      <c r="AC90" s="14" t="str">
        <f>IF($B90="","",
IF(AC$5="","",
IF(Midterm!AC90="",0,
IF(NOT(ISNUMBER(Midterm!AC90)),"NAN",
IF(Midterm!AC90&lt;0,"NEG",
IF(Midterm!AC90&gt;AC$5,"OVER",
IF(AND(AC$5&lt;=100,Midterm!AC90&gt;100),"ERR",
IF(Info!$B$4="Non-board program",
IF(OR(AND(AC$5&gt;0,AC$5&gt;100),AND(AC$5&gt;0,AC$5&lt;100)),
VLOOKUP(FLOOR((Midterm!AC90/AC$5)*100,1),new_transmute,2,FALSE),
VLOOKUP(Midterm!AC90,new_transmute,2,FALSE)
),
IF(Info!$B$4="Board program",
IF(OR(AND(AC$5&gt;0,AC$5&gt;100),AND(AC$5&gt;0,AC$5&lt;100)),
VLOOKUP(FLOOR((Midterm!AC90/AC$5)*100,1),new_transmute,3,FALSE),
VLOOKUP(Midterm!AC90,new_transmute,3,FALSE)
),
IF(Info!$B$4="Board program (Medicine)",
IF(OR(AND(AC$5&gt;0,AC$5&gt;100),AND(AC$5&gt;0,AC$5&lt;100)),
VLOOKUP(FLOOR((Midterm!AC90/AC$5)*100,1),new_transmute,4,FALSE),
VLOOKUP(Midterm!AC90,new_transmute,4,FALSE)
),
""
)
)
)
)
)
)
)
)
))</f>
        <v/>
      </c>
      <c r="AD90" s="14" t="str">
        <f>IF($B90="","",
IF(AD$5="","",
IF(Midterm!AD90="",0,
IF(NOT(ISNUMBER(Midterm!AD90)),"NAN",
IF(Midterm!AD90&lt;0,"NEG",
IF(Midterm!AD90&gt;AD$5,"OVER",
IF(AND(AD$5&lt;=100,Midterm!AD90&gt;100),"ERR",
IF(Info!$B$4="Non-board program",
IF(OR(AND(AD$5&gt;0,AD$5&gt;100),AND(AD$5&gt;0,AD$5&lt;100)),
VLOOKUP(FLOOR((Midterm!AD90/AD$5)*100,1),new_transmute,2,FALSE),
VLOOKUP(Midterm!AD90,new_transmute,2,FALSE)
),
IF(Info!$B$4="Board program",
IF(OR(AND(AD$5&gt;0,AD$5&gt;100),AND(AD$5&gt;0,AD$5&lt;100)),
VLOOKUP(FLOOR((Midterm!AD90/AD$5)*100,1),new_transmute,3,FALSE),
VLOOKUP(Midterm!AD90,new_transmute,3,FALSE)
),
IF(Info!$B$4="Board program (Medicine)",
IF(OR(AND(AD$5&gt;0,AD$5&gt;100),AND(AD$5&gt;0,AD$5&lt;100)),
VLOOKUP(FLOOR((Midterm!AD90/AD$5)*100,1),new_transmute,4,FALSE),
VLOOKUP(Midterm!AD90,new_transmute,4,FALSE)
),
""
)
)
)
)
)
)
)
)
))</f>
        <v/>
      </c>
      <c r="AE90" s="58" t="str">
        <f t="shared" si="15"/>
        <v/>
      </c>
      <c r="AF90" s="14" t="str">
        <f>IF($B90="","",
IF(AF$5="","",
IF(Midterm!AF90="",0,
IF(NOT(ISNUMBER(Midterm!AF90)),"NAN",
IF(Midterm!AF90&lt;0,"NEG",
IF(Midterm!AF90&gt;AF$5,"OVER",
IF(AND(AF$5&lt;=100,Midterm!AF90&gt;100),"ERR",
IF(Info!$B$4="Non-board program",
IF(OR(AND(AF$5&gt;0,AF$5&gt;100),AND(AF$5&gt;0,AF$5&lt;100)),
VLOOKUP(FLOOR((Midterm!AF90/AF$5)*100,1),new_transmute,2,FALSE),
VLOOKUP(Midterm!AF90,new_transmute,2,FALSE)
),
IF(Info!$B$4="Board program",
IF(OR(AND(AF$5&gt;0,AF$5&gt;100),AND(AF$5&gt;0,AF$5&lt;100)),
VLOOKUP(FLOOR((Midterm!AF90/AF$5)*100,1),new_transmute,3,FALSE),
VLOOKUP(Midterm!AF90,new_transmute,3,FALSE)
),
IF(Info!$B$4="Board program (Medicine)",
IF(OR(AND(AF$5&gt;0,AF$5&gt;100),AND(AF$5&gt;0,AF$5&lt;100)),
VLOOKUP(FLOOR((Midterm!AF90/AF$5)*100,1),new_transmute,4,FALSE),
VLOOKUP(Midterm!AF90,new_transmute,4,FALSE)
),
""
)
)
)
)
)
)
)
)
))</f>
        <v/>
      </c>
      <c r="AG90" s="14" t="str">
        <f>IF($B90="","",
IF(AG$5="","",
IF(Midterm!AG90="",0,
IF(NOT(ISNUMBER(Midterm!AG90)),"NAN",
IF(Midterm!AG90&lt;0,"NEG",
IF(Midterm!AG90&gt;AG$5,"OVER",
IF(AND(AG$5&lt;=100,Midterm!AG90&gt;100),"ERR",
IF(Info!$B$4="Non-board program",
IF(OR(AND(AG$5&gt;0,AG$5&gt;100),AND(AG$5&gt;0,AG$5&lt;100)),
VLOOKUP(FLOOR((Midterm!AG90/AG$5)*100,1),new_transmute,2,FALSE),
VLOOKUP(Midterm!AG90,new_transmute,2,FALSE)
),
IF(Info!$B$4="Board program",
IF(OR(AND(AG$5&gt;0,AG$5&gt;100),AND(AG$5&gt;0,AG$5&lt;100)),
VLOOKUP(FLOOR((Midterm!AG90/AG$5)*100,1),new_transmute,3,FALSE),
VLOOKUP(Midterm!AG90,new_transmute,3,FALSE)
),
IF(Info!$B$4="Board program (Medicine)",
IF(OR(AND(AG$5&gt;0,AG$5&gt;100),AND(AG$5&gt;0,AG$5&lt;100)),
VLOOKUP(FLOOR((Midterm!AG90/AG$5)*100,1),new_transmute,4,FALSE),
VLOOKUP(Midterm!AG90,new_transmute,4,FALSE)
),
""
)
)
)
)
)
)
)
)
))</f>
        <v/>
      </c>
      <c r="AH90" s="14" t="str">
        <f>IF($B90="","",
IF(AH$5="","",
IF(Midterm!AH90="",0,
IF(NOT(ISNUMBER(Midterm!AH90)),"NAN",
IF(Midterm!AH90&lt;0,"NEG",
IF(Midterm!AH90&gt;AH$5,"OVER",
IF(AND(AH$5&lt;=100,Midterm!AH90&gt;100),"ERR",
IF(Info!$B$4="Non-board program",
IF(OR(AND(AH$5&gt;0,AH$5&gt;100),AND(AH$5&gt;0,AH$5&lt;100)),
VLOOKUP(FLOOR((Midterm!AH90/AH$5)*100,1),new_transmute,2,FALSE),
VLOOKUP(Midterm!AH90,new_transmute,2,FALSE)
),
IF(Info!$B$4="Board program",
IF(OR(AND(AH$5&gt;0,AH$5&gt;100),AND(AH$5&gt;0,AH$5&lt;100)),
VLOOKUP(FLOOR((Midterm!AH90/AH$5)*100,1),new_transmute,3,FALSE),
VLOOKUP(Midterm!AH90,new_transmute,3,FALSE)
),
IF(Info!$B$4="Board program (Medicine)",
IF(OR(AND(AH$5&gt;0,AH$5&gt;100),AND(AH$5&gt;0,AH$5&lt;100)),
VLOOKUP(FLOOR((Midterm!AH90/AH$5)*100,1),new_transmute,4,FALSE),
VLOOKUP(Midterm!AH90,new_transmute,4,FALSE)
),
""
)
)
)
)
)
)
)
)
))</f>
        <v/>
      </c>
      <c r="AI90" s="14" t="str">
        <f>IF($B90="","",
IF(AI$5="","",
IF(Midterm!AI90="",0,
IF(NOT(ISNUMBER(Midterm!AI90)),"NAN",
IF(Midterm!AI90&lt;0,"NEG",
IF(Midterm!AI90&gt;AI$5,"OVER",
IF(AND(AI$5&lt;=100,Midterm!AI90&gt;100),"ERR",
IF(Info!$B$4="Non-board program",
IF(OR(AND(AI$5&gt;0,AI$5&gt;100),AND(AI$5&gt;0,AI$5&lt;100)),
VLOOKUP(FLOOR((Midterm!AI90/AI$5)*100,1),new_transmute,2,FALSE),
VLOOKUP(Midterm!AI90,new_transmute,2,FALSE)
),
IF(Info!$B$4="Board program",
IF(OR(AND(AI$5&gt;0,AI$5&gt;100),AND(AI$5&gt;0,AI$5&lt;100)),
VLOOKUP(FLOOR((Midterm!AI90/AI$5)*100,1),new_transmute,3,FALSE),
VLOOKUP(Midterm!AI90,new_transmute,3,FALSE)
),
IF(Info!$B$4="Board program (Medicine)",
IF(OR(AND(AI$5&gt;0,AI$5&gt;100),AND(AI$5&gt;0,AI$5&lt;100)),
VLOOKUP(FLOOR((Midterm!AI90/AI$5)*100,1),new_transmute,4,FALSE),
VLOOKUP(Midterm!AI90,new_transmute,4,FALSE)
),
""
)
)
)
)
)
)
)
)
))</f>
        <v/>
      </c>
      <c r="AJ90" s="14" t="str">
        <f>IF($B90="","",
IF(AJ$5="","",
IF(Midterm!AJ90="",0,
IF(NOT(ISNUMBER(Midterm!AJ90)),"NAN",
IF(Midterm!AJ90&lt;0,"NEG",
IF(Midterm!AJ90&gt;AJ$5,"OVER",
IF(AND(AJ$5&lt;=100,Midterm!AJ90&gt;100),"ERR",
IF(Info!$B$4="Non-board program",
IF(OR(AND(AJ$5&gt;0,AJ$5&gt;100),AND(AJ$5&gt;0,AJ$5&lt;100)),
VLOOKUP(FLOOR((Midterm!AJ90/AJ$5)*100,1),new_transmute,2,FALSE),
VLOOKUP(Midterm!AJ90,new_transmute,2,FALSE)
),
IF(Info!$B$4="Board program",
IF(OR(AND(AJ$5&gt;0,AJ$5&gt;100),AND(AJ$5&gt;0,AJ$5&lt;100)),
VLOOKUP(FLOOR((Midterm!AJ90/AJ$5)*100,1),new_transmute,3,FALSE),
VLOOKUP(Midterm!AJ90,new_transmute,3,FALSE)
),
IF(Info!$B$4="Board program (Medicine)",
IF(OR(AND(AJ$5&gt;0,AJ$5&gt;100),AND(AJ$5&gt;0,AJ$5&lt;100)),
VLOOKUP(FLOOR((Midterm!AJ90/AJ$5)*100,1),new_transmute,4,FALSE),
VLOOKUP(Midterm!AJ90,new_transmute,4,FALSE)
),
""
)
)
)
)
)
)
)
)
))</f>
        <v/>
      </c>
      <c r="AK90" s="59" t="str">
        <f t="shared" si="16"/>
        <v/>
      </c>
      <c r="AL90" s="60" t="str">
        <f>IF(B90="", "",
    IF(OR(M90="OVER", S90="OVER", Y90="OVER", AE90="OVER", AK90="OVER"),
        "OVER",
        IF(Info!$B$4="Non-board program",
            VLOOKUP(IFERROR(FLOOR(SUM((M90*$M$4), (S90*$S$4), (Y90*$Y$4), (AE90*$AE$4), (AK90*$AK$4)) * (100 / 60), 1), 0), new_transmute, 2, FALSE),
            IF(Info!$B$4="Board program",
                VLOOKUP(IFERROR(FLOOR(SUM((M90*$M$4), (S90*$S$4), (Y90*$Y$4), (AE90*$AE$4), (AK90*$AK$4)) * (100 / 60), 1), 0), new_transmute, 3, FALSE),
                IF(Info!$B$4="Board program (Medicine)",
                    VLOOKUP(IFERROR(FLOOR(SUM((M90*$M$4), (S90*$S$4), (Y90*$Y$4), (AE90*$AE$4), (AK90*$AK$4)) * (100 / 60), 1), 0), new_transmute, 4, FALSE),
                    ""
                )
            )
        )
    )
)</f>
        <v/>
      </c>
      <c r="AM90" s="14" t="str">
        <f>IF($B90="","",
IF(AM$5="","",
IF(Midterm!AM90="",0,
IF(NOT(ISNUMBER(Midterm!AM90)),"NAN",
IF(Midterm!AM90&lt;0,"NEG",
IF(Midterm!AM90&gt;AM$5,"OVER",
IF(AND(AM$5&lt;=100,Midterm!AM90&gt;100),"ERR",
IF(Info!$B$4="Non-board program",
IF(OR(AND(AM$5&gt;0,AM$5&gt;100),AND(AM$5&gt;0,AM$5&lt;100)),
VLOOKUP(FLOOR((Midterm!AM90/AM$5)*100,1),new_transmute,2,FALSE),
VLOOKUP(Midterm!AM90,new_transmute,2,FALSE)
),
IF(Info!$B$4="Board program",
IF(OR(AND(AM$5&gt;0,AM$5&gt;100),AND(AM$5&gt;0,AM$5&lt;100)),
VLOOKUP(FLOOR((Midterm!AM90/AM$5)*100,1),new_transmute,3,FALSE),
VLOOKUP(Midterm!AM90,new_transmute,3,FALSE)
),
IF(Info!$B$4="Board program (Medicine)",
IF(OR(AND(AM$5&gt;0,AM$5&gt;100),AND(AM$5&gt;0,AM$5&lt;100)),
VLOOKUP(FLOOR((Midterm!AM90/AM$5)*100,1),new_transmute,4,FALSE),
VLOOKUP(Midterm!AM90,new_transmute,4,FALSE)
),
""
)
)
)
)
)
)
)
)
))</f>
        <v/>
      </c>
      <c r="AN90" s="14" t="str">
        <f>IF($B90="","",
IF(AN$5="","",
IF(Midterm!AN90="",0,
IF(NOT(ISNUMBER(Midterm!AN90)),"NAN",
IF(Midterm!AN90&lt;0,"NEG",
IF(Midterm!AN90&gt;AN$5,"OVER",
IF(AND(AN$5&lt;=100,Midterm!AN90&gt;100),"ERR",
IF(Info!$B$4="Non-board program",
IF(OR(AND(AN$5&gt;0,AN$5&gt;100),AND(AN$5&gt;0,AN$5&lt;100)),
VLOOKUP(FLOOR((Midterm!AN90/AN$5)*100,1),new_transmute,2,FALSE),
VLOOKUP(Midterm!AN90,new_transmute,2,FALSE)
),
IF(Info!$B$4="Board program",
IF(OR(AND(AN$5&gt;0,AN$5&gt;100),AND(AN$5&gt;0,AN$5&lt;100)),
VLOOKUP(FLOOR((Midterm!AN90/AN$5)*100,1),new_transmute,3,FALSE),
VLOOKUP(Midterm!AN90,new_transmute,3,FALSE)
),
IF(Info!$B$4="Board program (Medicine)",
IF(OR(AND(AN$5&gt;0,AN$5&gt;100),AND(AN$5&gt;0,AN$5&lt;100)),
VLOOKUP(FLOOR((Midterm!AN90/AN$5)*100,1),new_transmute,4,FALSE),
VLOOKUP(Midterm!AN90,new_transmute,4,FALSE)
),
""
)
)
)
)
)
)
)
)
))</f>
        <v/>
      </c>
      <c r="AO90" s="14" t="str">
        <f>IF($B90="","",
IF(AO$5="","",
IF(Midterm!AO90="",0,
IF(NOT(ISNUMBER(Midterm!AO90)),"NAN",
IF(Midterm!AO90&lt;0,"NEG",
IF(Midterm!AO90&gt;AO$5,"OVER",
IF(AND(AO$5&lt;=100,Midterm!AO90&gt;100),"ERR",
IF(Info!$B$4="Non-board program",
IF(OR(AND(AO$5&gt;0,AO$5&gt;100),AND(AO$5&gt;0,AO$5&lt;100)),
VLOOKUP(FLOOR((Midterm!AO90/AO$5)*100,1),new_transmute,2,FALSE),
VLOOKUP(Midterm!AO90,new_transmute,2,FALSE)
),
IF(Info!$B$4="Board program",
IF(OR(AND(AO$5&gt;0,AO$5&gt;100),AND(AO$5&gt;0,AO$5&lt;100)),
VLOOKUP(FLOOR((Midterm!AO90/AO$5)*100,1),new_transmute,3,FALSE),
VLOOKUP(Midterm!AO90,new_transmute,3,FALSE)
),
IF(Info!$B$4="Board program (Medicine)",
IF(OR(AND(AO$5&gt;0,AO$5&gt;100),AND(AO$5&gt;0,AO$5&lt;100)),
VLOOKUP(FLOOR((Midterm!AO90/AO$5)*100,1),new_transmute,4,FALSE),
VLOOKUP(Midterm!AO90,new_transmute,4,FALSE)
),
""
)
)
)
)
)
)
)
)
))</f>
        <v/>
      </c>
      <c r="AP90" s="14" t="str">
        <f>IF($B90="","",
IF(AP$5="","",
IF(Midterm!AP90="",0,
IF(NOT(ISNUMBER(Midterm!AP90)),"NAN",
IF(Midterm!AP90&lt;0,"NEG",
IF(Midterm!AP90&gt;AP$5,"OVER",
IF(AND(AP$5&lt;=100,Midterm!AP90&gt;100),"ERR",
IF(Info!$B$4="Non-board program",
IF(OR(AND(AP$5&gt;0,AP$5&gt;100),AND(AP$5&gt;0,AP$5&lt;100)),
VLOOKUP(FLOOR((Midterm!AP90/AP$5)*100,1),new_transmute,2,FALSE),
VLOOKUP(Midterm!AP90,new_transmute,2,FALSE)
),
IF(Info!$B$4="Board program",
IF(OR(AND(AP$5&gt;0,AP$5&gt;100),AND(AP$5&gt;0,AP$5&lt;100)),
VLOOKUP(FLOOR((Midterm!AP90/AP$5)*100,1),new_transmute,3,FALSE),
VLOOKUP(Midterm!AP90,new_transmute,3,FALSE)
),
IF(Info!$B$4="Board program (Medicine)",
IF(OR(AND(AP$5&gt;0,AP$5&gt;100),AND(AP$5&gt;0,AP$5&lt;100)),
VLOOKUP(FLOOR((Midterm!AP90/AP$5)*100,1),new_transmute,4,FALSE),
VLOOKUP(Midterm!AP90,new_transmute,4,FALSE)
),
""
)
)
)
)
)
)
)
)
))</f>
        <v/>
      </c>
      <c r="AQ90" s="61" t="str">
        <f t="shared" si="17"/>
        <v/>
      </c>
      <c r="AR90" s="48" t="str">
        <f>IF(Midterm!AR90="","",Midterm!AR90)</f>
        <v/>
      </c>
      <c r="AS90" s="165" t="str">
        <f t="shared" si="18"/>
        <v/>
      </c>
      <c r="AT90" s="14" t="str">
        <f t="shared" si="19"/>
        <v/>
      </c>
      <c r="AU90" s="14" t="str">
        <f>IF(B90="","",VLOOKUP(AT90,'New Grade Equivalent'!$B$3:$C$47,2,FALSE))</f>
        <v/>
      </c>
    </row>
  </sheetData>
  <sheetProtection algorithmName="SHA-512" hashValue="2GXiIvTWtkQulMgobjfItWbBPHoOJG+BOWzoiyJWHfCmjTLyBaISm+jncYX3rPGWSVi5HMIAsPs7LgdiK+qJMQ==" saltValue="fcugBGgJ3iRtAC90oA9lWQ==" spinCount="100000" sheet="1" formatColumns="0" formatRows="0"/>
  <mergeCells count="27">
    <mergeCell ref="A4:C4"/>
    <mergeCell ref="D4:D5"/>
    <mergeCell ref="AR4:AR5"/>
    <mergeCell ref="AR1:AR3"/>
    <mergeCell ref="AS1:AS5"/>
    <mergeCell ref="A1:D3"/>
    <mergeCell ref="G1:G3"/>
    <mergeCell ref="AE4:AE5"/>
    <mergeCell ref="AQ4:AQ5"/>
    <mergeCell ref="G4:G5"/>
    <mergeCell ref="E1:F1"/>
    <mergeCell ref="AT1:AT5"/>
    <mergeCell ref="AU1:AU5"/>
    <mergeCell ref="M2:M3"/>
    <mergeCell ref="S2:S3"/>
    <mergeCell ref="Y2:Y3"/>
    <mergeCell ref="AE2:AE3"/>
    <mergeCell ref="AK2:AK3"/>
    <mergeCell ref="H1:AK1"/>
    <mergeCell ref="AL1:AL3"/>
    <mergeCell ref="AM1:AP1"/>
    <mergeCell ref="AQ1:AQ3"/>
    <mergeCell ref="Y4:Y5"/>
    <mergeCell ref="S4:S5"/>
    <mergeCell ref="M4:M5"/>
    <mergeCell ref="AK4:AK5"/>
    <mergeCell ref="AL4:AL5"/>
  </mergeCells>
  <conditionalFormatting sqref="AT6:AT90">
    <cfRule type="cellIs" dxfId="73" priority="17" operator="between">
      <formula>1.01</formula>
      <formula>2.94</formula>
    </cfRule>
    <cfRule type="cellIs" dxfId="72" priority="18" operator="equal">
      <formula>1</formula>
    </cfRule>
    <cfRule type="cellIs" dxfId="71" priority="19" operator="equal">
      <formula>3</formula>
    </cfRule>
    <cfRule type="cellIs" dxfId="70" priority="20" operator="equal">
      <formula>6</formula>
    </cfRule>
    <cfRule type="cellIs" dxfId="69" priority="21" operator="equal">
      <formula>5</formula>
    </cfRule>
  </conditionalFormatting>
  <conditionalFormatting sqref="E6:E90">
    <cfRule type="cellIs" dxfId="68" priority="1" operator="equal">
      <formula>"DRP"</formula>
    </cfRule>
    <cfRule type="cellIs" dxfId="67" priority="2" operator="equal">
      <formula>"WF"</formula>
    </cfRule>
    <cfRule type="cellIs" dxfId="66" priority="16" operator="equal">
      <formula>"FA"</formula>
    </cfRule>
  </conditionalFormatting>
  <conditionalFormatting sqref="AU6:AU90">
    <cfRule type="cellIs" dxfId="65" priority="6" operator="between">
      <formula>1.01</formula>
      <formula>2.94</formula>
    </cfRule>
    <cfRule type="cellIs" dxfId="64" priority="7" operator="equal">
      <formula>1</formula>
    </cfRule>
    <cfRule type="cellIs" dxfId="63" priority="8" operator="equal">
      <formula>3</formula>
    </cfRule>
    <cfRule type="cellIs" dxfId="62" priority="9" operator="equal">
      <formula>6</formula>
    </cfRule>
    <cfRule type="cellIs" dxfId="61" priority="10" operator="equal">
      <formula>5</formula>
    </cfRule>
  </conditionalFormatting>
  <conditionalFormatting sqref="AS6:AT1048576">
    <cfRule type="cellIs" dxfId="60" priority="3" operator="equal">
      <formula>"FA"</formula>
    </cfRule>
    <cfRule type="cellIs" dxfId="59" priority="4" operator="equal">
      <formula>"DRP"</formula>
    </cfRule>
    <cfRule type="cellIs" dxfId="58" priority="5" operator="equal">
      <formula>"WF"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9423-7129-41E3-B423-61A468025601}">
  <sheetPr codeName="Sheet5"/>
  <dimension ref="A1:BH88"/>
  <sheetViews>
    <sheetView zoomScale="160" zoomScaleNormal="160" workbookViewId="0">
      <pane xSplit="2" ySplit="3" topLeftCell="K76" activePane="bottomRight" state="frozen"/>
      <selection pane="topRight" activeCell="C1" sqref="C1"/>
      <selection pane="bottomLeft" activeCell="A3" sqref="A3"/>
      <selection pane="bottomRight" activeCell="O85" sqref="O85"/>
    </sheetView>
  </sheetViews>
  <sheetFormatPr defaultColWidth="0" defaultRowHeight="15" zeroHeight="1" x14ac:dyDescent="0.25"/>
  <cols>
    <col min="1" max="1" width="7.28515625" style="1" customWidth="1"/>
    <col min="2" max="2" width="37.140625" customWidth="1"/>
    <col min="3" max="47" width="3.7109375" style="75" customWidth="1"/>
    <col min="48" max="48" width="8.85546875" style="13" customWidth="1"/>
    <col min="49" max="50" width="9.140625" style="8" customWidth="1"/>
    <col min="51" max="51" width="9.42578125" style="8" customWidth="1"/>
    <col min="52" max="52" width="9.140625" hidden="1" customWidth="1"/>
    <col min="53" max="53" width="11.140625" hidden="1" customWidth="1"/>
    <col min="54" max="54" width="11" hidden="1" customWidth="1"/>
    <col min="55" max="55" width="16.140625" hidden="1" customWidth="1"/>
    <col min="56" max="16384" width="9.140625" hidden="1"/>
  </cols>
  <sheetData>
    <row r="1" spans="1:60" x14ac:dyDescent="0.25">
      <c r="A1" s="250" t="s">
        <v>370</v>
      </c>
      <c r="B1" s="251"/>
      <c r="C1" s="248" t="s">
        <v>156</v>
      </c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249"/>
      <c r="AV1" s="196" t="str">
        <f>CONCATENATE(COUNTA(C2:AU2)," Classes Conducted")</f>
        <v>1 Classes Conducted</v>
      </c>
      <c r="AW1" s="196"/>
      <c r="AX1" s="196"/>
      <c r="AY1" s="196"/>
    </row>
    <row r="2" spans="1:60" ht="90.75" customHeight="1" x14ac:dyDescent="0.25">
      <c r="A2" s="252"/>
      <c r="B2" s="252"/>
      <c r="C2" s="76" t="s">
        <v>385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7"/>
      <c r="AV2" s="196"/>
      <c r="AW2" s="196"/>
      <c r="AX2" s="196"/>
      <c r="AY2" s="196"/>
    </row>
    <row r="3" spans="1:60" x14ac:dyDescent="0.25">
      <c r="A3" s="63" t="s">
        <v>25</v>
      </c>
      <c r="B3" s="64" t="s">
        <v>60</v>
      </c>
      <c r="C3" s="63">
        <v>1</v>
      </c>
      <c r="D3" s="63">
        <v>2</v>
      </c>
      <c r="E3" s="63">
        <v>3</v>
      </c>
      <c r="F3" s="63">
        <v>4</v>
      </c>
      <c r="G3" s="63">
        <v>5</v>
      </c>
      <c r="H3" s="63">
        <v>6</v>
      </c>
      <c r="I3" s="63">
        <v>7</v>
      </c>
      <c r="J3" s="63">
        <v>8</v>
      </c>
      <c r="K3" s="63">
        <v>9</v>
      </c>
      <c r="L3" s="63">
        <v>10</v>
      </c>
      <c r="M3" s="63">
        <v>11</v>
      </c>
      <c r="N3" s="63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3">
        <v>18</v>
      </c>
      <c r="U3" s="63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3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63">
        <v>31</v>
      </c>
      <c r="AH3" s="63">
        <v>32</v>
      </c>
      <c r="AI3" s="63">
        <v>33</v>
      </c>
      <c r="AJ3" s="63">
        <v>34</v>
      </c>
      <c r="AK3" s="63">
        <v>35</v>
      </c>
      <c r="AL3" s="63">
        <v>36</v>
      </c>
      <c r="AM3" s="63">
        <v>37</v>
      </c>
      <c r="AN3" s="63">
        <v>38</v>
      </c>
      <c r="AO3" s="63">
        <v>39</v>
      </c>
      <c r="AP3" s="63">
        <v>40</v>
      </c>
      <c r="AQ3" s="63">
        <v>41</v>
      </c>
      <c r="AR3" s="63">
        <v>42</v>
      </c>
      <c r="AS3" s="63">
        <v>43</v>
      </c>
      <c r="AT3" s="63">
        <v>44</v>
      </c>
      <c r="AU3" s="65">
        <v>45</v>
      </c>
      <c r="AV3" s="85" t="s">
        <v>152</v>
      </c>
      <c r="AW3" s="86" t="s">
        <v>154</v>
      </c>
      <c r="AX3" s="87" t="s">
        <v>153</v>
      </c>
      <c r="AY3" s="88" t="s">
        <v>155</v>
      </c>
      <c r="BA3" t="s">
        <v>379</v>
      </c>
      <c r="BB3" t="s">
        <v>380</v>
      </c>
      <c r="BC3" t="s">
        <v>381</v>
      </c>
    </row>
    <row r="4" spans="1:60" x14ac:dyDescent="0.25">
      <c r="A4" s="8">
        <v>1</v>
      </c>
      <c r="B4" s="2" t="str">
        <f>IF('Student List'!C10="","",CONCATENATE(Midterm!B6,", ",Midterm!C6))</f>
        <v>XX, X</v>
      </c>
      <c r="C4" s="29">
        <v>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55"/>
      <c r="AV4" s="13">
        <f>IF(B4="","",SUMPRODUCT(($C$2:$AU$2&lt;&gt;"")*(LEN(C4:AU4)-LEN(SUBSTITUTE(UPPER(C4:AU4),"P","")))))</f>
        <v>0</v>
      </c>
      <c r="AW4" s="13">
        <f>IF(B4="","",SUMPRODUCT(($C$2:$AU$2&lt;&gt;"")*(LEN(C4:AU4)-LEN(SUBSTITUTE(UPPER(C4:AU4),"L","")))))</f>
        <v>0</v>
      </c>
      <c r="AX4" s="13">
        <f>IF(B4="","",SUMPRODUCT(($C$2:$AU$2&lt;&gt;"")*(LEN(C4:AU4)-LEN(SUBSTITUTE(UPPER(C4:AU4),"E","")))))</f>
        <v>0</v>
      </c>
      <c r="AY4" s="13">
        <f>IF(B4="","",SUMPRODUCT(($C$2:$AU$2&lt;&gt;"")*((LEN(C4:AU4)-LEN(SUBSTITUTE(UPPER(C4:AU4),"A","")))+(C4:AU4=""))))</f>
        <v>0</v>
      </c>
      <c r="BA4">
        <f>_xlfn.FLOOR.MATH(SUM('MT Attendance'!AW4)/3)+SUM('MT Attendance'!AY4)</f>
        <v>0</v>
      </c>
      <c r="BB4">
        <f>SUMPRODUCT(--(ISTEXT('MT Attendance'!$C$2:$AU$2)))</f>
        <v>1</v>
      </c>
      <c r="BC4">
        <v>0.2</v>
      </c>
      <c r="BD4" t="str">
        <f>IF((SUM('MT Attendance'!AW4) / 3 + SUM('MT Attendance'!AY4)) &gt;= 0.2 * SUMPRODUCT(--(ISTEXT('MT Attendance'!$C$2:$AU$2))), "FA", "")</f>
        <v/>
      </c>
      <c r="BF4">
        <f>SUM('MT Attendance'!AW4) / 3 + SUM('MT Attendance'!AY4)</f>
        <v>0</v>
      </c>
      <c r="BG4" t="b">
        <f>BF4&gt;0.2 * SUMPRODUCT(--(ISTEXT('MT Attendance'!$C$2:$AU$2)))</f>
        <v>0</v>
      </c>
      <c r="BH4">
        <f>0.2* SUMPRODUCT(--(ISTEXT('MT Attendance'!$C$2:$AU$2)))</f>
        <v>0.2</v>
      </c>
    </row>
    <row r="5" spans="1:60" x14ac:dyDescent="0.25">
      <c r="A5" s="8">
        <v>2</v>
      </c>
      <c r="B5" s="2" t="str">
        <f>IF('Student List'!C11="","",CONCATENATE(Midterm!B7,", ",Midterm!C7))</f>
        <v/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55"/>
      <c r="AV5" s="13" t="str">
        <f t="shared" ref="AV5:AV68" si="0">IF(B5="","",SUMPRODUCT(($C$2:$AU$2&lt;&gt;"")*(LEN(C5:AU5)-LEN(SUBSTITUTE(UPPER(C5:AU5),"P","")))))</f>
        <v/>
      </c>
      <c r="AW5" s="13" t="str">
        <f t="shared" ref="AW5:AW68" si="1">IF(B5="","",SUMPRODUCT(($C$2:$AU$2&lt;&gt;"")*(LEN(C5:AU5)-LEN(SUBSTITUTE(UPPER(C5:AU5),"L","")))))</f>
        <v/>
      </c>
      <c r="AX5" s="13" t="str">
        <f t="shared" ref="AX5:AX68" si="2">IF(B5="","",SUMPRODUCT(($C$2:$AU$2&lt;&gt;"")*(LEN(C5:AU5)-LEN(SUBSTITUTE(UPPER(C5:AU5),"E","")))))</f>
        <v/>
      </c>
      <c r="AY5" s="13" t="str">
        <f t="shared" ref="AY5:AY68" si="3">IF(B5="","",SUMPRODUCT(($C$2:$AU$2&lt;&gt;"")*((LEN(C5:AU5)-LEN(SUBSTITUTE(UPPER(C5:AU5),"A","")))+(C5:AU5=""))))</f>
        <v/>
      </c>
    </row>
    <row r="6" spans="1:60" x14ac:dyDescent="0.25">
      <c r="A6" s="8">
        <v>3</v>
      </c>
      <c r="B6" s="2" t="str">
        <f>IF('Student List'!C12="","",CONCATENATE(Midterm!B8,", ",Midterm!C8))</f>
        <v/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55"/>
      <c r="AV6" s="13" t="str">
        <f t="shared" si="0"/>
        <v/>
      </c>
      <c r="AW6" s="13" t="str">
        <f t="shared" si="1"/>
        <v/>
      </c>
      <c r="AX6" s="13" t="str">
        <f t="shared" si="2"/>
        <v/>
      </c>
      <c r="AY6" s="13" t="str">
        <f t="shared" si="3"/>
        <v/>
      </c>
    </row>
    <row r="7" spans="1:60" x14ac:dyDescent="0.25">
      <c r="A7" s="8">
        <v>4</v>
      </c>
      <c r="B7" s="2" t="str">
        <f>IF('Student List'!C13="","",CONCATENATE(Midterm!B9,", ",Midterm!C9))</f>
        <v/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55"/>
      <c r="AV7" s="13" t="str">
        <f t="shared" si="0"/>
        <v/>
      </c>
      <c r="AW7" s="13" t="str">
        <f t="shared" si="1"/>
        <v/>
      </c>
      <c r="AX7" s="13" t="str">
        <f t="shared" si="2"/>
        <v/>
      </c>
      <c r="AY7" s="13" t="str">
        <f t="shared" si="3"/>
        <v/>
      </c>
    </row>
    <row r="8" spans="1:60" x14ac:dyDescent="0.25">
      <c r="A8" s="8">
        <v>5</v>
      </c>
      <c r="B8" s="2" t="str">
        <f>IF('Student List'!C14="","",CONCATENATE(Midterm!B10,", ",Midterm!C10))</f>
        <v/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55"/>
      <c r="AV8" s="13" t="str">
        <f t="shared" si="0"/>
        <v/>
      </c>
      <c r="AW8" s="13" t="str">
        <f t="shared" si="1"/>
        <v/>
      </c>
      <c r="AX8" s="13" t="str">
        <f t="shared" si="2"/>
        <v/>
      </c>
      <c r="AY8" s="13" t="str">
        <f t="shared" si="3"/>
        <v/>
      </c>
    </row>
    <row r="9" spans="1:60" x14ac:dyDescent="0.25">
      <c r="A9" s="8">
        <v>6</v>
      </c>
      <c r="B9" s="2" t="str">
        <f>IF('Student List'!C15="","",CONCATENATE(Midterm!B11,", ",Midterm!C11))</f>
        <v/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55"/>
      <c r="AV9" s="13" t="str">
        <f t="shared" si="0"/>
        <v/>
      </c>
      <c r="AW9" s="13" t="str">
        <f t="shared" si="1"/>
        <v/>
      </c>
      <c r="AX9" s="13" t="str">
        <f t="shared" si="2"/>
        <v/>
      </c>
      <c r="AY9" s="13" t="str">
        <f t="shared" si="3"/>
        <v/>
      </c>
    </row>
    <row r="10" spans="1:60" x14ac:dyDescent="0.25">
      <c r="A10" s="8">
        <v>7</v>
      </c>
      <c r="B10" s="2" t="str">
        <f>IF('Student List'!C16="","",CONCATENATE(Midterm!B12,", ",Midterm!C12))</f>
        <v/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55"/>
      <c r="AV10" s="13" t="str">
        <f t="shared" si="0"/>
        <v/>
      </c>
      <c r="AW10" s="13" t="str">
        <f t="shared" si="1"/>
        <v/>
      </c>
      <c r="AX10" s="13" t="str">
        <f t="shared" si="2"/>
        <v/>
      </c>
      <c r="AY10" s="13" t="str">
        <f t="shared" si="3"/>
        <v/>
      </c>
    </row>
    <row r="11" spans="1:60" x14ac:dyDescent="0.25">
      <c r="A11" s="8">
        <v>8</v>
      </c>
      <c r="B11" s="2" t="str">
        <f>IF('Student List'!C17="","",CONCATENATE(Midterm!B13,", ",Midterm!C13))</f>
        <v/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55"/>
      <c r="AV11" s="13" t="str">
        <f t="shared" si="0"/>
        <v/>
      </c>
      <c r="AW11" s="13" t="str">
        <f t="shared" si="1"/>
        <v/>
      </c>
      <c r="AX11" s="13" t="str">
        <f t="shared" si="2"/>
        <v/>
      </c>
      <c r="AY11" s="13" t="str">
        <f t="shared" si="3"/>
        <v/>
      </c>
    </row>
    <row r="12" spans="1:60" x14ac:dyDescent="0.25">
      <c r="A12" s="8">
        <v>9</v>
      </c>
      <c r="B12" s="2" t="str">
        <f>IF('Student List'!C18="","",CONCATENATE(Midterm!B14,", ",Midterm!C14))</f>
        <v/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55"/>
      <c r="AV12" s="13" t="str">
        <f t="shared" si="0"/>
        <v/>
      </c>
      <c r="AW12" s="13" t="str">
        <f t="shared" si="1"/>
        <v/>
      </c>
      <c r="AX12" s="13" t="str">
        <f t="shared" si="2"/>
        <v/>
      </c>
      <c r="AY12" s="13" t="str">
        <f t="shared" si="3"/>
        <v/>
      </c>
    </row>
    <row r="13" spans="1:60" x14ac:dyDescent="0.25">
      <c r="A13" s="8">
        <v>10</v>
      </c>
      <c r="B13" s="2" t="str">
        <f>IF('Student List'!C19="","",CONCATENATE(Midterm!B15,", ",Midterm!C15))</f>
        <v/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55"/>
      <c r="AV13" s="13" t="str">
        <f t="shared" si="0"/>
        <v/>
      </c>
      <c r="AW13" s="13" t="str">
        <f t="shared" si="1"/>
        <v/>
      </c>
      <c r="AX13" s="13" t="str">
        <f t="shared" si="2"/>
        <v/>
      </c>
      <c r="AY13" s="13" t="str">
        <f t="shared" si="3"/>
        <v/>
      </c>
    </row>
    <row r="14" spans="1:60" x14ac:dyDescent="0.25">
      <c r="A14" s="8">
        <v>11</v>
      </c>
      <c r="B14" s="2" t="str">
        <f>IF('Student List'!C20="","",CONCATENATE(Midterm!B16,", ",Midterm!C16))</f>
        <v/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55"/>
      <c r="AV14" s="13" t="str">
        <f t="shared" si="0"/>
        <v/>
      </c>
      <c r="AW14" s="13" t="str">
        <f t="shared" si="1"/>
        <v/>
      </c>
      <c r="AX14" s="13" t="str">
        <f t="shared" si="2"/>
        <v/>
      </c>
      <c r="AY14" s="13" t="str">
        <f t="shared" si="3"/>
        <v/>
      </c>
    </row>
    <row r="15" spans="1:60" x14ac:dyDescent="0.25">
      <c r="A15" s="8">
        <v>12</v>
      </c>
      <c r="B15" s="2" t="str">
        <f>IF('Student List'!C21="","",CONCATENATE(Midterm!B17,", ",Midterm!C17))</f>
        <v/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55"/>
      <c r="AV15" s="13" t="str">
        <f t="shared" si="0"/>
        <v/>
      </c>
      <c r="AW15" s="13" t="str">
        <f t="shared" si="1"/>
        <v/>
      </c>
      <c r="AX15" s="13" t="str">
        <f t="shared" si="2"/>
        <v/>
      </c>
      <c r="AY15" s="13" t="str">
        <f t="shared" si="3"/>
        <v/>
      </c>
    </row>
    <row r="16" spans="1:60" x14ac:dyDescent="0.25">
      <c r="A16" s="8">
        <v>13</v>
      </c>
      <c r="B16" s="2" t="str">
        <f>IF('Student List'!C22="","",CONCATENATE(Midterm!B18,", ",Midterm!C18))</f>
        <v/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55"/>
      <c r="AV16" s="13" t="str">
        <f t="shared" si="0"/>
        <v/>
      </c>
      <c r="AW16" s="13" t="str">
        <f t="shared" si="1"/>
        <v/>
      </c>
      <c r="AX16" s="13" t="str">
        <f t="shared" si="2"/>
        <v/>
      </c>
      <c r="AY16" s="13" t="str">
        <f t="shared" si="3"/>
        <v/>
      </c>
    </row>
    <row r="17" spans="1:51" x14ac:dyDescent="0.25">
      <c r="A17" s="8">
        <v>14</v>
      </c>
      <c r="B17" s="2" t="str">
        <f>IF('Student List'!C23="","",CONCATENATE(Midterm!B19,", ",Midterm!C19))</f>
        <v/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55"/>
      <c r="AV17" s="13" t="str">
        <f t="shared" si="0"/>
        <v/>
      </c>
      <c r="AW17" s="13" t="str">
        <f t="shared" si="1"/>
        <v/>
      </c>
      <c r="AX17" s="13" t="str">
        <f t="shared" si="2"/>
        <v/>
      </c>
      <c r="AY17" s="13" t="str">
        <f t="shared" si="3"/>
        <v/>
      </c>
    </row>
    <row r="18" spans="1:51" x14ac:dyDescent="0.25">
      <c r="A18" s="8">
        <v>15</v>
      </c>
      <c r="B18" s="2" t="str">
        <f>IF('Student List'!C24="","",CONCATENATE(Midterm!B20,", ",Midterm!C20))</f>
        <v/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55"/>
      <c r="AV18" s="13" t="str">
        <f t="shared" si="0"/>
        <v/>
      </c>
      <c r="AW18" s="13" t="str">
        <f t="shared" si="1"/>
        <v/>
      </c>
      <c r="AX18" s="13" t="str">
        <f t="shared" si="2"/>
        <v/>
      </c>
      <c r="AY18" s="13" t="str">
        <f t="shared" si="3"/>
        <v/>
      </c>
    </row>
    <row r="19" spans="1:51" x14ac:dyDescent="0.25">
      <c r="A19" s="8">
        <v>16</v>
      </c>
      <c r="B19" s="2" t="str">
        <f>IF('Student List'!C25="","",CONCATENATE(Midterm!B21,", ",Midterm!C21))</f>
        <v/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55"/>
      <c r="AV19" s="13" t="str">
        <f t="shared" si="0"/>
        <v/>
      </c>
      <c r="AW19" s="13" t="str">
        <f t="shared" si="1"/>
        <v/>
      </c>
      <c r="AX19" s="13" t="str">
        <f t="shared" si="2"/>
        <v/>
      </c>
      <c r="AY19" s="13" t="str">
        <f t="shared" si="3"/>
        <v/>
      </c>
    </row>
    <row r="20" spans="1:51" x14ac:dyDescent="0.25">
      <c r="A20" s="8">
        <v>17</v>
      </c>
      <c r="B20" s="2" t="str">
        <f>IF('Student List'!C26="","",CONCATENATE(Midterm!B22,", ",Midterm!C22))</f>
        <v/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55"/>
      <c r="AV20" s="13" t="str">
        <f t="shared" si="0"/>
        <v/>
      </c>
      <c r="AW20" s="13" t="str">
        <f t="shared" si="1"/>
        <v/>
      </c>
      <c r="AX20" s="13" t="str">
        <f t="shared" si="2"/>
        <v/>
      </c>
      <c r="AY20" s="13" t="str">
        <f t="shared" si="3"/>
        <v/>
      </c>
    </row>
    <row r="21" spans="1:51" x14ac:dyDescent="0.25">
      <c r="A21" s="8">
        <v>18</v>
      </c>
      <c r="B21" s="2" t="str">
        <f>IF('Student List'!C27="","",CONCATENATE(Midterm!B23,", ",Midterm!C23))</f>
        <v/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55"/>
      <c r="AV21" s="13" t="str">
        <f t="shared" si="0"/>
        <v/>
      </c>
      <c r="AW21" s="13" t="str">
        <f t="shared" si="1"/>
        <v/>
      </c>
      <c r="AX21" s="13" t="str">
        <f t="shared" si="2"/>
        <v/>
      </c>
      <c r="AY21" s="13" t="str">
        <f t="shared" si="3"/>
        <v/>
      </c>
    </row>
    <row r="22" spans="1:51" x14ac:dyDescent="0.25">
      <c r="A22" s="8">
        <v>19</v>
      </c>
      <c r="B22" s="2" t="str">
        <f>IF('Student List'!C28="","",CONCATENATE(Midterm!B24,", ",Midterm!C24))</f>
        <v/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55"/>
      <c r="AV22" s="13" t="str">
        <f t="shared" si="0"/>
        <v/>
      </c>
      <c r="AW22" s="13" t="str">
        <f t="shared" si="1"/>
        <v/>
      </c>
      <c r="AX22" s="13" t="str">
        <f t="shared" si="2"/>
        <v/>
      </c>
      <c r="AY22" s="13" t="str">
        <f t="shared" si="3"/>
        <v/>
      </c>
    </row>
    <row r="23" spans="1:51" x14ac:dyDescent="0.25">
      <c r="A23" s="8">
        <v>20</v>
      </c>
      <c r="B23" s="2" t="str">
        <f>IF('Student List'!C29="","",CONCATENATE(Midterm!B25,", ",Midterm!C25))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55"/>
      <c r="AV23" s="13" t="str">
        <f t="shared" si="0"/>
        <v/>
      </c>
      <c r="AW23" s="13" t="str">
        <f t="shared" si="1"/>
        <v/>
      </c>
      <c r="AX23" s="13" t="str">
        <f t="shared" si="2"/>
        <v/>
      </c>
      <c r="AY23" s="13" t="str">
        <f t="shared" si="3"/>
        <v/>
      </c>
    </row>
    <row r="24" spans="1:51" x14ac:dyDescent="0.25">
      <c r="A24" s="8">
        <v>21</v>
      </c>
      <c r="B24" s="2" t="str">
        <f>IF('Student List'!C30="","",CONCATENATE(Midterm!B26,", ",Midterm!C26))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55"/>
      <c r="AV24" s="13" t="str">
        <f t="shared" si="0"/>
        <v/>
      </c>
      <c r="AW24" s="13" t="str">
        <f t="shared" si="1"/>
        <v/>
      </c>
      <c r="AX24" s="13" t="str">
        <f t="shared" si="2"/>
        <v/>
      </c>
      <c r="AY24" s="13" t="str">
        <f t="shared" si="3"/>
        <v/>
      </c>
    </row>
    <row r="25" spans="1:51" x14ac:dyDescent="0.25">
      <c r="A25" s="8">
        <v>22</v>
      </c>
      <c r="B25" s="2" t="str">
        <f>IF('Student List'!C31="","",CONCATENATE(Midterm!B27,", ",Midterm!C27))</f>
        <v/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55"/>
      <c r="AV25" s="13" t="str">
        <f t="shared" si="0"/>
        <v/>
      </c>
      <c r="AW25" s="13" t="str">
        <f t="shared" si="1"/>
        <v/>
      </c>
      <c r="AX25" s="13" t="str">
        <f t="shared" si="2"/>
        <v/>
      </c>
      <c r="AY25" s="13" t="str">
        <f t="shared" si="3"/>
        <v/>
      </c>
    </row>
    <row r="26" spans="1:51" x14ac:dyDescent="0.25">
      <c r="A26" s="8">
        <v>23</v>
      </c>
      <c r="B26" s="2" t="str">
        <f>IF('Student List'!C32="","",CONCATENATE(Midterm!B28,", ",Midterm!C28))</f>
        <v/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55"/>
      <c r="AV26" s="13" t="str">
        <f t="shared" si="0"/>
        <v/>
      </c>
      <c r="AW26" s="13" t="str">
        <f t="shared" si="1"/>
        <v/>
      </c>
      <c r="AX26" s="13" t="str">
        <f t="shared" si="2"/>
        <v/>
      </c>
      <c r="AY26" s="13" t="str">
        <f t="shared" si="3"/>
        <v/>
      </c>
    </row>
    <row r="27" spans="1:51" x14ac:dyDescent="0.25">
      <c r="A27" s="8">
        <v>24</v>
      </c>
      <c r="B27" s="2" t="str">
        <f>IF('Student List'!C33="","",CONCATENATE(Midterm!B29,", ",Midterm!C29))</f>
        <v/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55"/>
      <c r="AV27" s="13" t="str">
        <f t="shared" si="0"/>
        <v/>
      </c>
      <c r="AW27" s="13" t="str">
        <f t="shared" si="1"/>
        <v/>
      </c>
      <c r="AX27" s="13" t="str">
        <f t="shared" si="2"/>
        <v/>
      </c>
      <c r="AY27" s="13" t="str">
        <f t="shared" si="3"/>
        <v/>
      </c>
    </row>
    <row r="28" spans="1:51" x14ac:dyDescent="0.25">
      <c r="A28" s="8">
        <v>25</v>
      </c>
      <c r="B28" s="2" t="str">
        <f>IF('Student List'!C34="","",CONCATENATE(Midterm!B30,", ",Midterm!C30))</f>
        <v/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55"/>
      <c r="AV28" s="13" t="str">
        <f t="shared" si="0"/>
        <v/>
      </c>
      <c r="AW28" s="13" t="str">
        <f t="shared" si="1"/>
        <v/>
      </c>
      <c r="AX28" s="13" t="str">
        <f t="shared" si="2"/>
        <v/>
      </c>
      <c r="AY28" s="13" t="str">
        <f t="shared" si="3"/>
        <v/>
      </c>
    </row>
    <row r="29" spans="1:51" x14ac:dyDescent="0.25">
      <c r="A29" s="8">
        <v>26</v>
      </c>
      <c r="B29" s="2" t="str">
        <f>IF('Student List'!C35="","",CONCATENATE(Midterm!B31,", ",Midterm!C31))</f>
        <v/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55"/>
      <c r="AV29" s="13" t="str">
        <f t="shared" si="0"/>
        <v/>
      </c>
      <c r="AW29" s="13" t="str">
        <f t="shared" si="1"/>
        <v/>
      </c>
      <c r="AX29" s="13" t="str">
        <f t="shared" si="2"/>
        <v/>
      </c>
      <c r="AY29" s="13" t="str">
        <f t="shared" si="3"/>
        <v/>
      </c>
    </row>
    <row r="30" spans="1:51" x14ac:dyDescent="0.25">
      <c r="A30" s="8">
        <v>27</v>
      </c>
      <c r="B30" s="2" t="str">
        <f>IF('Student List'!C36="","",CONCATENATE(Midterm!B32,", ",Midterm!C32))</f>
        <v/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55"/>
      <c r="AV30" s="13" t="str">
        <f t="shared" si="0"/>
        <v/>
      </c>
      <c r="AW30" s="13" t="str">
        <f t="shared" si="1"/>
        <v/>
      </c>
      <c r="AX30" s="13" t="str">
        <f t="shared" si="2"/>
        <v/>
      </c>
      <c r="AY30" s="13" t="str">
        <f t="shared" si="3"/>
        <v/>
      </c>
    </row>
    <row r="31" spans="1:51" x14ac:dyDescent="0.25">
      <c r="A31" s="8">
        <v>28</v>
      </c>
      <c r="B31" s="2" t="str">
        <f>IF('Student List'!C37="","",CONCATENATE(Midterm!B33,", ",Midterm!C33))</f>
        <v/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55"/>
      <c r="AV31" s="13" t="str">
        <f t="shared" si="0"/>
        <v/>
      </c>
      <c r="AW31" s="13" t="str">
        <f t="shared" si="1"/>
        <v/>
      </c>
      <c r="AX31" s="13" t="str">
        <f t="shared" si="2"/>
        <v/>
      </c>
      <c r="AY31" s="13" t="str">
        <f t="shared" si="3"/>
        <v/>
      </c>
    </row>
    <row r="32" spans="1:51" x14ac:dyDescent="0.25">
      <c r="A32" s="8">
        <v>29</v>
      </c>
      <c r="B32" s="2" t="str">
        <f>IF('Student List'!C38="","",CONCATENATE(Midterm!B34,", ",Midterm!C34))</f>
        <v/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55"/>
      <c r="AV32" s="13" t="str">
        <f t="shared" si="0"/>
        <v/>
      </c>
      <c r="AW32" s="13" t="str">
        <f t="shared" si="1"/>
        <v/>
      </c>
      <c r="AX32" s="13" t="str">
        <f t="shared" si="2"/>
        <v/>
      </c>
      <c r="AY32" s="13" t="str">
        <f t="shared" si="3"/>
        <v/>
      </c>
    </row>
    <row r="33" spans="1:51" x14ac:dyDescent="0.25">
      <c r="A33" s="8">
        <v>30</v>
      </c>
      <c r="B33" s="2" t="str">
        <f>IF('Student List'!C39="","",CONCATENATE(Midterm!B35,", ",Midterm!C35))</f>
        <v/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55"/>
      <c r="AV33" s="13" t="str">
        <f t="shared" si="0"/>
        <v/>
      </c>
      <c r="AW33" s="13" t="str">
        <f t="shared" si="1"/>
        <v/>
      </c>
      <c r="AX33" s="13" t="str">
        <f t="shared" si="2"/>
        <v/>
      </c>
      <c r="AY33" s="13" t="str">
        <f t="shared" si="3"/>
        <v/>
      </c>
    </row>
    <row r="34" spans="1:51" x14ac:dyDescent="0.25">
      <c r="A34" s="8">
        <v>31</v>
      </c>
      <c r="B34" s="2" t="str">
        <f>IF('Student List'!C40="","",CONCATENATE(Midterm!B36,", ",Midterm!C36))</f>
        <v/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55"/>
      <c r="AV34" s="13" t="str">
        <f t="shared" si="0"/>
        <v/>
      </c>
      <c r="AW34" s="13" t="str">
        <f t="shared" si="1"/>
        <v/>
      </c>
      <c r="AX34" s="13" t="str">
        <f t="shared" si="2"/>
        <v/>
      </c>
      <c r="AY34" s="13" t="str">
        <f t="shared" si="3"/>
        <v/>
      </c>
    </row>
    <row r="35" spans="1:51" x14ac:dyDescent="0.25">
      <c r="A35" s="8">
        <v>32</v>
      </c>
      <c r="B35" s="2" t="str">
        <f>IF('Student List'!C41="","",CONCATENATE(Midterm!B37,", ",Midterm!C37))</f>
        <v/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55"/>
      <c r="AV35" s="13" t="str">
        <f t="shared" si="0"/>
        <v/>
      </c>
      <c r="AW35" s="13" t="str">
        <f t="shared" si="1"/>
        <v/>
      </c>
      <c r="AX35" s="13" t="str">
        <f t="shared" si="2"/>
        <v/>
      </c>
      <c r="AY35" s="13" t="str">
        <f t="shared" si="3"/>
        <v/>
      </c>
    </row>
    <row r="36" spans="1:51" x14ac:dyDescent="0.25">
      <c r="A36" s="8">
        <v>33</v>
      </c>
      <c r="B36" s="2" t="str">
        <f>IF('Student List'!C42="","",CONCATENATE(Midterm!B38,", ",Midterm!C38))</f>
        <v/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55"/>
      <c r="AV36" s="13" t="str">
        <f t="shared" si="0"/>
        <v/>
      </c>
      <c r="AW36" s="13" t="str">
        <f t="shared" si="1"/>
        <v/>
      </c>
      <c r="AX36" s="13" t="str">
        <f t="shared" si="2"/>
        <v/>
      </c>
      <c r="AY36" s="13" t="str">
        <f t="shared" si="3"/>
        <v/>
      </c>
    </row>
    <row r="37" spans="1:51" x14ac:dyDescent="0.25">
      <c r="A37" s="8">
        <v>34</v>
      </c>
      <c r="B37" s="2" t="str">
        <f>IF('Student List'!C43="","",CONCATENATE(Midterm!B39,", ",Midterm!C39))</f>
        <v/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55"/>
      <c r="AV37" s="13" t="str">
        <f t="shared" si="0"/>
        <v/>
      </c>
      <c r="AW37" s="13" t="str">
        <f t="shared" si="1"/>
        <v/>
      </c>
      <c r="AX37" s="13" t="str">
        <f t="shared" si="2"/>
        <v/>
      </c>
      <c r="AY37" s="13" t="str">
        <f t="shared" si="3"/>
        <v/>
      </c>
    </row>
    <row r="38" spans="1:51" x14ac:dyDescent="0.25">
      <c r="A38" s="8">
        <v>35</v>
      </c>
      <c r="B38" s="2" t="str">
        <f>IF('Student List'!C44="","",CONCATENATE(Midterm!B40,", ",Midterm!C40))</f>
        <v/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55"/>
      <c r="AV38" s="13" t="str">
        <f t="shared" si="0"/>
        <v/>
      </c>
      <c r="AW38" s="13" t="str">
        <f t="shared" si="1"/>
        <v/>
      </c>
      <c r="AX38" s="13" t="str">
        <f t="shared" si="2"/>
        <v/>
      </c>
      <c r="AY38" s="13" t="str">
        <f t="shared" si="3"/>
        <v/>
      </c>
    </row>
    <row r="39" spans="1:51" x14ac:dyDescent="0.25">
      <c r="A39" s="8">
        <v>36</v>
      </c>
      <c r="B39" s="2" t="str">
        <f>IF('Student List'!C45="","",CONCATENATE(Midterm!B41,", ",Midterm!C41))</f>
        <v/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55"/>
      <c r="AV39" s="13" t="str">
        <f t="shared" si="0"/>
        <v/>
      </c>
      <c r="AW39" s="13" t="str">
        <f t="shared" si="1"/>
        <v/>
      </c>
      <c r="AX39" s="13" t="str">
        <f t="shared" si="2"/>
        <v/>
      </c>
      <c r="AY39" s="13" t="str">
        <f t="shared" si="3"/>
        <v/>
      </c>
    </row>
    <row r="40" spans="1:51" x14ac:dyDescent="0.25">
      <c r="A40" s="8">
        <v>37</v>
      </c>
      <c r="B40" s="2" t="str">
        <f>IF('Student List'!C46="","",CONCATENATE(Midterm!B42,", ",Midterm!C42))</f>
        <v/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55"/>
      <c r="AV40" s="13" t="str">
        <f t="shared" si="0"/>
        <v/>
      </c>
      <c r="AW40" s="13" t="str">
        <f t="shared" si="1"/>
        <v/>
      </c>
      <c r="AX40" s="13" t="str">
        <f t="shared" si="2"/>
        <v/>
      </c>
      <c r="AY40" s="13" t="str">
        <f t="shared" si="3"/>
        <v/>
      </c>
    </row>
    <row r="41" spans="1:51" x14ac:dyDescent="0.25">
      <c r="A41" s="8">
        <v>38</v>
      </c>
      <c r="B41" s="2" t="str">
        <f>IF('Student List'!C47="","",CONCATENATE(Midterm!B43,", ",Midterm!C43))</f>
        <v/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55"/>
      <c r="AV41" s="13" t="str">
        <f t="shared" si="0"/>
        <v/>
      </c>
      <c r="AW41" s="13" t="str">
        <f t="shared" si="1"/>
        <v/>
      </c>
      <c r="AX41" s="13" t="str">
        <f t="shared" si="2"/>
        <v/>
      </c>
      <c r="AY41" s="13" t="str">
        <f t="shared" si="3"/>
        <v/>
      </c>
    </row>
    <row r="42" spans="1:51" x14ac:dyDescent="0.25">
      <c r="A42" s="8">
        <v>39</v>
      </c>
      <c r="B42" s="2" t="str">
        <f>IF('Student List'!C48="","",CONCATENATE(Midterm!B44,", ",Midterm!C44))</f>
        <v/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55"/>
      <c r="AV42" s="13" t="str">
        <f t="shared" si="0"/>
        <v/>
      </c>
      <c r="AW42" s="13" t="str">
        <f t="shared" si="1"/>
        <v/>
      </c>
      <c r="AX42" s="13" t="str">
        <f t="shared" si="2"/>
        <v/>
      </c>
      <c r="AY42" s="13" t="str">
        <f t="shared" si="3"/>
        <v/>
      </c>
    </row>
    <row r="43" spans="1:51" x14ac:dyDescent="0.25">
      <c r="A43" s="8">
        <v>40</v>
      </c>
      <c r="B43" s="2" t="str">
        <f>IF('Student List'!C49="","",CONCATENATE(Midterm!B45,", ",Midterm!C45))</f>
        <v/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55"/>
      <c r="AV43" s="13" t="str">
        <f t="shared" si="0"/>
        <v/>
      </c>
      <c r="AW43" s="13" t="str">
        <f t="shared" si="1"/>
        <v/>
      </c>
      <c r="AX43" s="13" t="str">
        <f t="shared" si="2"/>
        <v/>
      </c>
      <c r="AY43" s="13" t="str">
        <f t="shared" si="3"/>
        <v/>
      </c>
    </row>
    <row r="44" spans="1:51" x14ac:dyDescent="0.25">
      <c r="A44" s="8">
        <v>41</v>
      </c>
      <c r="B44" s="2" t="str">
        <f>IF('Student List'!C50="","",CONCATENATE(Midterm!B46,", ",Midterm!C46))</f>
        <v/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55"/>
      <c r="AV44" s="13" t="str">
        <f t="shared" si="0"/>
        <v/>
      </c>
      <c r="AW44" s="13" t="str">
        <f t="shared" si="1"/>
        <v/>
      </c>
      <c r="AX44" s="13" t="str">
        <f t="shared" si="2"/>
        <v/>
      </c>
      <c r="AY44" s="13" t="str">
        <f t="shared" si="3"/>
        <v/>
      </c>
    </row>
    <row r="45" spans="1:51" x14ac:dyDescent="0.25">
      <c r="A45" s="8">
        <v>42</v>
      </c>
      <c r="B45" s="2" t="str">
        <f>IF('Student List'!C51="","",CONCATENATE(Midterm!B47,", ",Midterm!C47))</f>
        <v/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55"/>
      <c r="AV45" s="13" t="str">
        <f t="shared" si="0"/>
        <v/>
      </c>
      <c r="AW45" s="13" t="str">
        <f t="shared" si="1"/>
        <v/>
      </c>
      <c r="AX45" s="13" t="str">
        <f t="shared" si="2"/>
        <v/>
      </c>
      <c r="AY45" s="13" t="str">
        <f t="shared" si="3"/>
        <v/>
      </c>
    </row>
    <row r="46" spans="1:51" x14ac:dyDescent="0.25">
      <c r="A46" s="8">
        <v>43</v>
      </c>
      <c r="B46" s="2" t="str">
        <f>IF('Student List'!C52="","",CONCATENATE(Midterm!B48,", ",Midterm!C48))</f>
        <v/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55"/>
      <c r="AV46" s="13" t="str">
        <f t="shared" si="0"/>
        <v/>
      </c>
      <c r="AW46" s="13" t="str">
        <f t="shared" si="1"/>
        <v/>
      </c>
      <c r="AX46" s="13" t="str">
        <f t="shared" si="2"/>
        <v/>
      </c>
      <c r="AY46" s="13" t="str">
        <f t="shared" si="3"/>
        <v/>
      </c>
    </row>
    <row r="47" spans="1:51" x14ac:dyDescent="0.25">
      <c r="A47" s="8">
        <v>44</v>
      </c>
      <c r="B47" s="2" t="str">
        <f>IF('Student List'!C53="","",CONCATENATE(Midterm!B49,", ",Midterm!C49))</f>
        <v/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55"/>
      <c r="AV47" s="13" t="str">
        <f t="shared" si="0"/>
        <v/>
      </c>
      <c r="AW47" s="13" t="str">
        <f t="shared" si="1"/>
        <v/>
      </c>
      <c r="AX47" s="13" t="str">
        <f t="shared" si="2"/>
        <v/>
      </c>
      <c r="AY47" s="13" t="str">
        <f t="shared" si="3"/>
        <v/>
      </c>
    </row>
    <row r="48" spans="1:51" x14ac:dyDescent="0.25">
      <c r="A48" s="8">
        <v>45</v>
      </c>
      <c r="B48" s="2" t="str">
        <f>IF('Student List'!C54="","",CONCATENATE(Midterm!B50,", ",Midterm!C50))</f>
        <v/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55"/>
      <c r="AV48" s="13" t="str">
        <f t="shared" si="0"/>
        <v/>
      </c>
      <c r="AW48" s="13" t="str">
        <f t="shared" si="1"/>
        <v/>
      </c>
      <c r="AX48" s="13" t="str">
        <f t="shared" si="2"/>
        <v/>
      </c>
      <c r="AY48" s="13" t="str">
        <f t="shared" si="3"/>
        <v/>
      </c>
    </row>
    <row r="49" spans="1:51" x14ac:dyDescent="0.25">
      <c r="A49" s="8">
        <v>46</v>
      </c>
      <c r="B49" s="2" t="str">
        <f>IF('Student List'!C55="","",CONCATENATE(Midterm!B51,", ",Midterm!C51))</f>
        <v/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55"/>
      <c r="AV49" s="13" t="str">
        <f t="shared" si="0"/>
        <v/>
      </c>
      <c r="AW49" s="13" t="str">
        <f t="shared" si="1"/>
        <v/>
      </c>
      <c r="AX49" s="13" t="str">
        <f t="shared" si="2"/>
        <v/>
      </c>
      <c r="AY49" s="13" t="str">
        <f t="shared" si="3"/>
        <v/>
      </c>
    </row>
    <row r="50" spans="1:51" x14ac:dyDescent="0.25">
      <c r="A50" s="8">
        <v>47</v>
      </c>
      <c r="B50" s="2" t="str">
        <f>IF('Student List'!C56="","",CONCATENATE(Midterm!B52,", ",Midterm!C52))</f>
        <v/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55"/>
      <c r="AV50" s="13" t="str">
        <f t="shared" si="0"/>
        <v/>
      </c>
      <c r="AW50" s="13" t="str">
        <f t="shared" si="1"/>
        <v/>
      </c>
      <c r="AX50" s="13" t="str">
        <f t="shared" si="2"/>
        <v/>
      </c>
      <c r="AY50" s="13" t="str">
        <f t="shared" si="3"/>
        <v/>
      </c>
    </row>
    <row r="51" spans="1:51" x14ac:dyDescent="0.25">
      <c r="A51" s="8">
        <v>48</v>
      </c>
      <c r="B51" s="2" t="str">
        <f>IF('Student List'!C57="","",CONCATENATE(Midterm!B53,", ",Midterm!C53))</f>
        <v/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55"/>
      <c r="AV51" s="13" t="str">
        <f t="shared" si="0"/>
        <v/>
      </c>
      <c r="AW51" s="13" t="str">
        <f t="shared" si="1"/>
        <v/>
      </c>
      <c r="AX51" s="13" t="str">
        <f t="shared" si="2"/>
        <v/>
      </c>
      <c r="AY51" s="13" t="str">
        <f t="shared" si="3"/>
        <v/>
      </c>
    </row>
    <row r="52" spans="1:51" x14ac:dyDescent="0.25">
      <c r="A52" s="8">
        <v>49</v>
      </c>
      <c r="B52" s="2" t="str">
        <f>IF('Student List'!C58="","",CONCATENATE(Midterm!B54,", ",Midterm!C54))</f>
        <v/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55"/>
      <c r="AV52" s="13" t="str">
        <f t="shared" si="0"/>
        <v/>
      </c>
      <c r="AW52" s="13" t="str">
        <f t="shared" si="1"/>
        <v/>
      </c>
      <c r="AX52" s="13" t="str">
        <f t="shared" si="2"/>
        <v/>
      </c>
      <c r="AY52" s="13" t="str">
        <f t="shared" si="3"/>
        <v/>
      </c>
    </row>
    <row r="53" spans="1:51" x14ac:dyDescent="0.25">
      <c r="A53" s="8">
        <v>50</v>
      </c>
      <c r="B53" s="2" t="str">
        <f>IF('Student List'!C59="","",CONCATENATE(Midterm!B55,", ",Midterm!C55))</f>
        <v/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55"/>
      <c r="AV53" s="13" t="str">
        <f t="shared" si="0"/>
        <v/>
      </c>
      <c r="AW53" s="13" t="str">
        <f t="shared" si="1"/>
        <v/>
      </c>
      <c r="AX53" s="13" t="str">
        <f t="shared" si="2"/>
        <v/>
      </c>
      <c r="AY53" s="13" t="str">
        <f t="shared" si="3"/>
        <v/>
      </c>
    </row>
    <row r="54" spans="1:51" x14ac:dyDescent="0.25">
      <c r="A54" s="8">
        <v>51</v>
      </c>
      <c r="B54" s="2" t="str">
        <f>IF('Student List'!C60="","",CONCATENATE(Midterm!B56,", ",Midterm!C56))</f>
        <v/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55"/>
      <c r="AV54" s="13" t="str">
        <f t="shared" si="0"/>
        <v/>
      </c>
      <c r="AW54" s="13" t="str">
        <f t="shared" si="1"/>
        <v/>
      </c>
      <c r="AX54" s="13" t="str">
        <f t="shared" si="2"/>
        <v/>
      </c>
      <c r="AY54" s="13" t="str">
        <f t="shared" si="3"/>
        <v/>
      </c>
    </row>
    <row r="55" spans="1:51" x14ac:dyDescent="0.25">
      <c r="A55" s="8">
        <v>52</v>
      </c>
      <c r="B55" s="2" t="str">
        <f>IF('Student List'!C61="","",CONCATENATE(Midterm!B57,", ",Midterm!C57))</f>
        <v/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55"/>
      <c r="AV55" s="13" t="str">
        <f t="shared" si="0"/>
        <v/>
      </c>
      <c r="AW55" s="13" t="str">
        <f t="shared" si="1"/>
        <v/>
      </c>
      <c r="AX55" s="13" t="str">
        <f t="shared" si="2"/>
        <v/>
      </c>
      <c r="AY55" s="13" t="str">
        <f t="shared" si="3"/>
        <v/>
      </c>
    </row>
    <row r="56" spans="1:51" x14ac:dyDescent="0.25">
      <c r="A56" s="8">
        <v>53</v>
      </c>
      <c r="B56" s="2" t="str">
        <f>IF('Student List'!C62="","",CONCATENATE(Midterm!B58,", ",Midterm!C58))</f>
        <v/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55"/>
      <c r="AV56" s="13" t="str">
        <f t="shared" si="0"/>
        <v/>
      </c>
      <c r="AW56" s="13" t="str">
        <f t="shared" si="1"/>
        <v/>
      </c>
      <c r="AX56" s="13" t="str">
        <f t="shared" si="2"/>
        <v/>
      </c>
      <c r="AY56" s="13" t="str">
        <f t="shared" si="3"/>
        <v/>
      </c>
    </row>
    <row r="57" spans="1:51" x14ac:dyDescent="0.25">
      <c r="A57" s="8">
        <v>54</v>
      </c>
      <c r="B57" s="2" t="str">
        <f>IF('Student List'!C63="","",CONCATENATE(Midterm!B59,", ",Midterm!C59))</f>
        <v/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55"/>
      <c r="AV57" s="13" t="str">
        <f t="shared" si="0"/>
        <v/>
      </c>
      <c r="AW57" s="13" t="str">
        <f t="shared" si="1"/>
        <v/>
      </c>
      <c r="AX57" s="13" t="str">
        <f t="shared" si="2"/>
        <v/>
      </c>
      <c r="AY57" s="13" t="str">
        <f t="shared" si="3"/>
        <v/>
      </c>
    </row>
    <row r="58" spans="1:51" x14ac:dyDescent="0.25">
      <c r="A58" s="8">
        <v>55</v>
      </c>
      <c r="B58" s="2" t="str">
        <f>IF('Student List'!C64="","",CONCATENATE(Midterm!B60,", ",Midterm!C60))</f>
        <v/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55"/>
      <c r="AV58" s="13" t="str">
        <f t="shared" si="0"/>
        <v/>
      </c>
      <c r="AW58" s="13" t="str">
        <f t="shared" si="1"/>
        <v/>
      </c>
      <c r="AX58" s="13" t="str">
        <f t="shared" si="2"/>
        <v/>
      </c>
      <c r="AY58" s="13" t="str">
        <f t="shared" si="3"/>
        <v/>
      </c>
    </row>
    <row r="59" spans="1:51" x14ac:dyDescent="0.25">
      <c r="A59" s="8">
        <v>56</v>
      </c>
      <c r="B59" s="2" t="str">
        <f>IF('Student List'!C65="","",CONCATENATE(Midterm!B61,", ",Midterm!C61))</f>
        <v/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55"/>
      <c r="AV59" s="13" t="str">
        <f t="shared" si="0"/>
        <v/>
      </c>
      <c r="AW59" s="13" t="str">
        <f t="shared" si="1"/>
        <v/>
      </c>
      <c r="AX59" s="13" t="str">
        <f t="shared" si="2"/>
        <v/>
      </c>
      <c r="AY59" s="13" t="str">
        <f t="shared" si="3"/>
        <v/>
      </c>
    </row>
    <row r="60" spans="1:51" x14ac:dyDescent="0.25">
      <c r="A60" s="8">
        <v>57</v>
      </c>
      <c r="B60" s="2" t="str">
        <f>IF('Student List'!C66="","",CONCATENATE(Midterm!B62,", ",Midterm!C62))</f>
        <v/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55"/>
      <c r="AV60" s="13" t="str">
        <f t="shared" si="0"/>
        <v/>
      </c>
      <c r="AW60" s="13" t="str">
        <f t="shared" si="1"/>
        <v/>
      </c>
      <c r="AX60" s="13" t="str">
        <f t="shared" si="2"/>
        <v/>
      </c>
      <c r="AY60" s="13" t="str">
        <f t="shared" si="3"/>
        <v/>
      </c>
    </row>
    <row r="61" spans="1:51" x14ac:dyDescent="0.25">
      <c r="A61" s="8">
        <v>58</v>
      </c>
      <c r="B61" s="2" t="str">
        <f>IF('Student List'!C67="","",CONCATENATE(Midterm!B63,", ",Midterm!C63))</f>
        <v/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55"/>
      <c r="AV61" s="13" t="str">
        <f t="shared" si="0"/>
        <v/>
      </c>
      <c r="AW61" s="13" t="str">
        <f t="shared" si="1"/>
        <v/>
      </c>
      <c r="AX61" s="13" t="str">
        <f t="shared" si="2"/>
        <v/>
      </c>
      <c r="AY61" s="13" t="str">
        <f t="shared" si="3"/>
        <v/>
      </c>
    </row>
    <row r="62" spans="1:51" x14ac:dyDescent="0.25">
      <c r="A62" s="8">
        <v>59</v>
      </c>
      <c r="B62" s="2" t="str">
        <f>IF('Student List'!C68="","",CONCATENATE(Midterm!B64,", ",Midterm!C64))</f>
        <v/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55"/>
      <c r="AV62" s="13" t="str">
        <f t="shared" si="0"/>
        <v/>
      </c>
      <c r="AW62" s="13" t="str">
        <f t="shared" si="1"/>
        <v/>
      </c>
      <c r="AX62" s="13" t="str">
        <f t="shared" si="2"/>
        <v/>
      </c>
      <c r="AY62" s="13" t="str">
        <f t="shared" si="3"/>
        <v/>
      </c>
    </row>
    <row r="63" spans="1:51" x14ac:dyDescent="0.25">
      <c r="A63" s="8">
        <v>60</v>
      </c>
      <c r="B63" s="2" t="str">
        <f>IF('Student List'!C69="","",CONCATENATE(Midterm!B65,", ",Midterm!C65))</f>
        <v/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55"/>
      <c r="AV63" s="13" t="str">
        <f t="shared" si="0"/>
        <v/>
      </c>
      <c r="AW63" s="13" t="str">
        <f t="shared" si="1"/>
        <v/>
      </c>
      <c r="AX63" s="13" t="str">
        <f t="shared" si="2"/>
        <v/>
      </c>
      <c r="AY63" s="13" t="str">
        <f t="shared" si="3"/>
        <v/>
      </c>
    </row>
    <row r="64" spans="1:51" x14ac:dyDescent="0.25">
      <c r="A64" s="8">
        <v>61</v>
      </c>
      <c r="B64" s="2" t="str">
        <f>IF('Student List'!C70="","",CONCATENATE(Midterm!B66,", ",Midterm!C66))</f>
        <v/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55"/>
      <c r="AV64" s="13" t="str">
        <f t="shared" si="0"/>
        <v/>
      </c>
      <c r="AW64" s="13" t="str">
        <f t="shared" si="1"/>
        <v/>
      </c>
      <c r="AX64" s="13" t="str">
        <f t="shared" si="2"/>
        <v/>
      </c>
      <c r="AY64" s="13" t="str">
        <f t="shared" si="3"/>
        <v/>
      </c>
    </row>
    <row r="65" spans="1:51" x14ac:dyDescent="0.25">
      <c r="A65" s="8">
        <v>62</v>
      </c>
      <c r="B65" s="2" t="str">
        <f>IF('Student List'!C71="","",CONCATENATE(Midterm!B67,", ",Midterm!C67))</f>
        <v/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55"/>
      <c r="AV65" s="13" t="str">
        <f t="shared" si="0"/>
        <v/>
      </c>
      <c r="AW65" s="13" t="str">
        <f t="shared" si="1"/>
        <v/>
      </c>
      <c r="AX65" s="13" t="str">
        <f t="shared" si="2"/>
        <v/>
      </c>
      <c r="AY65" s="13" t="str">
        <f t="shared" si="3"/>
        <v/>
      </c>
    </row>
    <row r="66" spans="1:51" x14ac:dyDescent="0.25">
      <c r="A66" s="8">
        <v>63</v>
      </c>
      <c r="B66" s="2" t="str">
        <f>IF('Student List'!C72="","",CONCATENATE(Midterm!B68,", ",Midterm!C68))</f>
        <v/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55"/>
      <c r="AV66" s="13" t="str">
        <f t="shared" si="0"/>
        <v/>
      </c>
      <c r="AW66" s="13" t="str">
        <f t="shared" si="1"/>
        <v/>
      </c>
      <c r="AX66" s="13" t="str">
        <f t="shared" si="2"/>
        <v/>
      </c>
      <c r="AY66" s="13" t="str">
        <f t="shared" si="3"/>
        <v/>
      </c>
    </row>
    <row r="67" spans="1:51" x14ac:dyDescent="0.25">
      <c r="A67" s="8">
        <v>64</v>
      </c>
      <c r="B67" s="2" t="str">
        <f>IF('Student List'!C73="","",CONCATENATE(Midterm!B69,", ",Midterm!C69))</f>
        <v/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55"/>
      <c r="AV67" s="13" t="str">
        <f t="shared" si="0"/>
        <v/>
      </c>
      <c r="AW67" s="13" t="str">
        <f t="shared" si="1"/>
        <v/>
      </c>
      <c r="AX67" s="13" t="str">
        <f t="shared" si="2"/>
        <v/>
      </c>
      <c r="AY67" s="13" t="str">
        <f t="shared" si="3"/>
        <v/>
      </c>
    </row>
    <row r="68" spans="1:51" x14ac:dyDescent="0.25">
      <c r="A68" s="8">
        <v>65</v>
      </c>
      <c r="B68" s="2" t="str">
        <f>IF('Student List'!C74="","",CONCATENATE(Midterm!B70,", ",Midterm!C70))</f>
        <v/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55"/>
      <c r="AV68" s="13" t="str">
        <f t="shared" si="0"/>
        <v/>
      </c>
      <c r="AW68" s="13" t="str">
        <f t="shared" si="1"/>
        <v/>
      </c>
      <c r="AX68" s="13" t="str">
        <f t="shared" si="2"/>
        <v/>
      </c>
      <c r="AY68" s="13" t="str">
        <f t="shared" si="3"/>
        <v/>
      </c>
    </row>
    <row r="69" spans="1:51" x14ac:dyDescent="0.25">
      <c r="A69" s="8">
        <v>66</v>
      </c>
      <c r="B69" s="2" t="str">
        <f>IF('Student List'!C75="","",CONCATENATE(Midterm!B71,", ",Midterm!C71))</f>
        <v/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55"/>
      <c r="AV69" s="13" t="str">
        <f t="shared" ref="AV69:AV88" si="4">IF(B69="","",SUMPRODUCT(($C$2:$AU$2&lt;&gt;"")*(LEN(C69:AU69)-LEN(SUBSTITUTE(UPPER(C69:AU69),"P","")))))</f>
        <v/>
      </c>
      <c r="AW69" s="13" t="str">
        <f t="shared" ref="AW69:AW88" si="5">IF(B69="","",SUMPRODUCT(($C$2:$AU$2&lt;&gt;"")*(LEN(C69:AU69)-LEN(SUBSTITUTE(UPPER(C69:AU69),"L","")))))</f>
        <v/>
      </c>
      <c r="AX69" s="13" t="str">
        <f t="shared" ref="AX69:AX88" si="6">IF(B69="","",SUMPRODUCT(($C$2:$AU$2&lt;&gt;"")*(LEN(C69:AU69)-LEN(SUBSTITUTE(UPPER(C69:AU69),"E","")))))</f>
        <v/>
      </c>
      <c r="AY69" s="13" t="str">
        <f t="shared" ref="AY69:AY88" si="7">IF(B69="","",SUMPRODUCT(($C$2:$AU$2&lt;&gt;"")*((LEN(C69:AU69)-LEN(SUBSTITUTE(UPPER(C69:AU69),"A","")))+(C69:AU69=""))))</f>
        <v/>
      </c>
    </row>
    <row r="70" spans="1:51" x14ac:dyDescent="0.25">
      <c r="A70" s="8">
        <v>67</v>
      </c>
      <c r="B70" s="2" t="str">
        <f>IF('Student List'!C76="","",CONCATENATE(Midterm!B72,", ",Midterm!C72))</f>
        <v/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55"/>
      <c r="AV70" s="13" t="str">
        <f t="shared" si="4"/>
        <v/>
      </c>
      <c r="AW70" s="13" t="str">
        <f t="shared" si="5"/>
        <v/>
      </c>
      <c r="AX70" s="13" t="str">
        <f t="shared" si="6"/>
        <v/>
      </c>
      <c r="AY70" s="13" t="str">
        <f t="shared" si="7"/>
        <v/>
      </c>
    </row>
    <row r="71" spans="1:51" x14ac:dyDescent="0.25">
      <c r="A71" s="8">
        <v>68</v>
      </c>
      <c r="B71" s="2" t="str">
        <f>IF('Student List'!C77="","",CONCATENATE(Midterm!B73,", ",Midterm!C73))</f>
        <v/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55"/>
      <c r="AV71" s="13" t="str">
        <f t="shared" si="4"/>
        <v/>
      </c>
      <c r="AW71" s="13" t="str">
        <f t="shared" si="5"/>
        <v/>
      </c>
      <c r="AX71" s="13" t="str">
        <f t="shared" si="6"/>
        <v/>
      </c>
      <c r="AY71" s="13" t="str">
        <f t="shared" si="7"/>
        <v/>
      </c>
    </row>
    <row r="72" spans="1:51" x14ac:dyDescent="0.25">
      <c r="A72" s="8">
        <v>69</v>
      </c>
      <c r="B72" s="2" t="str">
        <f>IF('Student List'!C78="","",CONCATENATE(Midterm!B74,", ",Midterm!C74))</f>
        <v/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55"/>
      <c r="AV72" s="13" t="str">
        <f t="shared" si="4"/>
        <v/>
      </c>
      <c r="AW72" s="13" t="str">
        <f t="shared" si="5"/>
        <v/>
      </c>
      <c r="AX72" s="13" t="str">
        <f t="shared" si="6"/>
        <v/>
      </c>
      <c r="AY72" s="13" t="str">
        <f t="shared" si="7"/>
        <v/>
      </c>
    </row>
    <row r="73" spans="1:51" x14ac:dyDescent="0.25">
      <c r="A73" s="8">
        <v>70</v>
      </c>
      <c r="B73" s="2" t="str">
        <f>IF('Student List'!C79="","",CONCATENATE(Midterm!B75,", ",Midterm!C75))</f>
        <v/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55"/>
      <c r="AV73" s="13" t="str">
        <f t="shared" si="4"/>
        <v/>
      </c>
      <c r="AW73" s="13" t="str">
        <f t="shared" si="5"/>
        <v/>
      </c>
      <c r="AX73" s="13" t="str">
        <f t="shared" si="6"/>
        <v/>
      </c>
      <c r="AY73" s="13" t="str">
        <f t="shared" si="7"/>
        <v/>
      </c>
    </row>
    <row r="74" spans="1:51" x14ac:dyDescent="0.25">
      <c r="A74" s="8">
        <v>71</v>
      </c>
      <c r="B74" s="2" t="str">
        <f>IF('Student List'!C80="","",CONCATENATE(Midterm!B76,", ",Midterm!C76))</f>
        <v/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55"/>
      <c r="AV74" s="13" t="str">
        <f t="shared" si="4"/>
        <v/>
      </c>
      <c r="AW74" s="13" t="str">
        <f t="shared" si="5"/>
        <v/>
      </c>
      <c r="AX74" s="13" t="str">
        <f t="shared" si="6"/>
        <v/>
      </c>
      <c r="AY74" s="13" t="str">
        <f t="shared" si="7"/>
        <v/>
      </c>
    </row>
    <row r="75" spans="1:51" x14ac:dyDescent="0.25">
      <c r="A75" s="8">
        <v>72</v>
      </c>
      <c r="B75" s="2" t="str">
        <f>IF('Student List'!C81="","",CONCATENATE(Midterm!B77,", ",Midterm!C77))</f>
        <v/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55"/>
      <c r="AV75" s="13" t="str">
        <f t="shared" si="4"/>
        <v/>
      </c>
      <c r="AW75" s="13" t="str">
        <f t="shared" si="5"/>
        <v/>
      </c>
      <c r="AX75" s="13" t="str">
        <f t="shared" si="6"/>
        <v/>
      </c>
      <c r="AY75" s="13" t="str">
        <f t="shared" si="7"/>
        <v/>
      </c>
    </row>
    <row r="76" spans="1:51" x14ac:dyDescent="0.25">
      <c r="A76" s="8">
        <v>73</v>
      </c>
      <c r="B76" s="2" t="str">
        <f>IF('Student List'!C82="","",CONCATENATE(Midterm!B78,", ",Midterm!C78))</f>
        <v/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55"/>
      <c r="AV76" s="13" t="str">
        <f t="shared" si="4"/>
        <v/>
      </c>
      <c r="AW76" s="13" t="str">
        <f t="shared" si="5"/>
        <v/>
      </c>
      <c r="AX76" s="13" t="str">
        <f t="shared" si="6"/>
        <v/>
      </c>
      <c r="AY76" s="13" t="str">
        <f t="shared" si="7"/>
        <v/>
      </c>
    </row>
    <row r="77" spans="1:51" x14ac:dyDescent="0.25">
      <c r="A77" s="8">
        <v>74</v>
      </c>
      <c r="B77" s="2" t="str">
        <f>IF('Student List'!C83="","",CONCATENATE(Midterm!B79,", ",Midterm!C79))</f>
        <v/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55"/>
      <c r="AV77" s="13" t="str">
        <f t="shared" si="4"/>
        <v/>
      </c>
      <c r="AW77" s="13" t="str">
        <f t="shared" si="5"/>
        <v/>
      </c>
      <c r="AX77" s="13" t="str">
        <f t="shared" si="6"/>
        <v/>
      </c>
      <c r="AY77" s="13" t="str">
        <f t="shared" si="7"/>
        <v/>
      </c>
    </row>
    <row r="78" spans="1:51" x14ac:dyDescent="0.25">
      <c r="A78" s="8">
        <v>75</v>
      </c>
      <c r="B78" s="2" t="str">
        <f>IF('Student List'!C84="","",CONCATENATE(Midterm!B80,", ",Midterm!C80))</f>
        <v/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55"/>
      <c r="AV78" s="13" t="str">
        <f t="shared" si="4"/>
        <v/>
      </c>
      <c r="AW78" s="13" t="str">
        <f t="shared" si="5"/>
        <v/>
      </c>
      <c r="AX78" s="13" t="str">
        <f t="shared" si="6"/>
        <v/>
      </c>
      <c r="AY78" s="13" t="str">
        <f t="shared" si="7"/>
        <v/>
      </c>
    </row>
    <row r="79" spans="1:51" x14ac:dyDescent="0.25">
      <c r="A79" s="8">
        <v>76</v>
      </c>
      <c r="B79" s="2" t="str">
        <f>IF('Student List'!C85="","",CONCATENATE(Midterm!B81,", ",Midterm!C81))</f>
        <v/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55"/>
      <c r="AV79" s="13" t="str">
        <f t="shared" si="4"/>
        <v/>
      </c>
      <c r="AW79" s="13" t="str">
        <f t="shared" si="5"/>
        <v/>
      </c>
      <c r="AX79" s="13" t="str">
        <f t="shared" si="6"/>
        <v/>
      </c>
      <c r="AY79" s="13" t="str">
        <f t="shared" si="7"/>
        <v/>
      </c>
    </row>
    <row r="80" spans="1:51" x14ac:dyDescent="0.25">
      <c r="A80" s="8">
        <v>77</v>
      </c>
      <c r="B80" s="2" t="str">
        <f>IF('Student List'!C86="","",CONCATENATE(Midterm!B82,", ",Midterm!C82))</f>
        <v/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55"/>
      <c r="AV80" s="13" t="str">
        <f t="shared" si="4"/>
        <v/>
      </c>
      <c r="AW80" s="13" t="str">
        <f t="shared" si="5"/>
        <v/>
      </c>
      <c r="AX80" s="13" t="str">
        <f t="shared" si="6"/>
        <v/>
      </c>
      <c r="AY80" s="13" t="str">
        <f t="shared" si="7"/>
        <v/>
      </c>
    </row>
    <row r="81" spans="1:51" x14ac:dyDescent="0.25">
      <c r="A81" s="8">
        <v>78</v>
      </c>
      <c r="B81" s="2" t="str">
        <f>IF('Student List'!C87="","",CONCATENATE(Midterm!B83,", ",Midterm!C83))</f>
        <v/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55"/>
      <c r="AV81" s="13" t="str">
        <f t="shared" si="4"/>
        <v/>
      </c>
      <c r="AW81" s="13" t="str">
        <f t="shared" si="5"/>
        <v/>
      </c>
      <c r="AX81" s="13" t="str">
        <f t="shared" si="6"/>
        <v/>
      </c>
      <c r="AY81" s="13" t="str">
        <f t="shared" si="7"/>
        <v/>
      </c>
    </row>
    <row r="82" spans="1:51" x14ac:dyDescent="0.25">
      <c r="A82" s="8">
        <v>79</v>
      </c>
      <c r="B82" s="2" t="str">
        <f>IF('Student List'!C88="","",CONCATENATE(Midterm!B84,", ",Midterm!C84))</f>
        <v/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55"/>
      <c r="AV82" s="13" t="str">
        <f t="shared" si="4"/>
        <v/>
      </c>
      <c r="AW82" s="13" t="str">
        <f t="shared" si="5"/>
        <v/>
      </c>
      <c r="AX82" s="13" t="str">
        <f t="shared" si="6"/>
        <v/>
      </c>
      <c r="AY82" s="13" t="str">
        <f t="shared" si="7"/>
        <v/>
      </c>
    </row>
    <row r="83" spans="1:51" x14ac:dyDescent="0.25">
      <c r="A83" s="8">
        <v>80</v>
      </c>
      <c r="B83" s="2" t="str">
        <f>IF('Student List'!C89="","",CONCATENATE(Midterm!B85,", ",Midterm!C85))</f>
        <v/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55"/>
      <c r="AV83" s="13" t="str">
        <f t="shared" si="4"/>
        <v/>
      </c>
      <c r="AW83" s="13" t="str">
        <f t="shared" si="5"/>
        <v/>
      </c>
      <c r="AX83" s="13" t="str">
        <f t="shared" si="6"/>
        <v/>
      </c>
      <c r="AY83" s="13" t="str">
        <f t="shared" si="7"/>
        <v/>
      </c>
    </row>
    <row r="84" spans="1:51" x14ac:dyDescent="0.25">
      <c r="A84" s="8">
        <v>81</v>
      </c>
      <c r="B84" s="2" t="str">
        <f>IF('Student List'!C90="","",CONCATENATE(Midterm!B86,", ",Midterm!C86))</f>
        <v/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55"/>
      <c r="AV84" s="13" t="str">
        <f t="shared" si="4"/>
        <v/>
      </c>
      <c r="AW84" s="13" t="str">
        <f t="shared" si="5"/>
        <v/>
      </c>
      <c r="AX84" s="13" t="str">
        <f t="shared" si="6"/>
        <v/>
      </c>
      <c r="AY84" s="13" t="str">
        <f t="shared" si="7"/>
        <v/>
      </c>
    </row>
    <row r="85" spans="1:51" x14ac:dyDescent="0.25">
      <c r="A85" s="8">
        <v>82</v>
      </c>
      <c r="B85" s="2" t="str">
        <f>IF('Student List'!C91="","",CONCATENATE(Midterm!B87,", ",Midterm!C87))</f>
        <v/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55"/>
      <c r="AV85" s="13" t="str">
        <f t="shared" si="4"/>
        <v/>
      </c>
      <c r="AW85" s="13" t="str">
        <f t="shared" si="5"/>
        <v/>
      </c>
      <c r="AX85" s="13" t="str">
        <f t="shared" si="6"/>
        <v/>
      </c>
      <c r="AY85" s="13" t="str">
        <f t="shared" si="7"/>
        <v/>
      </c>
    </row>
    <row r="86" spans="1:51" x14ac:dyDescent="0.25">
      <c r="A86" s="8">
        <v>83</v>
      </c>
      <c r="B86" s="2" t="str">
        <f>IF('Student List'!C92="","",CONCATENATE(Midterm!B88,", ",Midterm!C88))</f>
        <v/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55"/>
      <c r="AV86" s="13" t="str">
        <f t="shared" si="4"/>
        <v/>
      </c>
      <c r="AW86" s="13" t="str">
        <f t="shared" si="5"/>
        <v/>
      </c>
      <c r="AX86" s="13" t="str">
        <f t="shared" si="6"/>
        <v/>
      </c>
      <c r="AY86" s="13" t="str">
        <f t="shared" si="7"/>
        <v/>
      </c>
    </row>
    <row r="87" spans="1:51" x14ac:dyDescent="0.25">
      <c r="A87" s="8">
        <v>84</v>
      </c>
      <c r="B87" s="2" t="str">
        <f>IF('Student List'!C93="","",CONCATENATE(Midterm!B89,", ",Midterm!C89))</f>
        <v/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55"/>
      <c r="AV87" s="13" t="str">
        <f t="shared" si="4"/>
        <v/>
      </c>
      <c r="AW87" s="13" t="str">
        <f t="shared" si="5"/>
        <v/>
      </c>
      <c r="AX87" s="13" t="str">
        <f t="shared" si="6"/>
        <v/>
      </c>
      <c r="AY87" s="13" t="str">
        <f t="shared" si="7"/>
        <v/>
      </c>
    </row>
    <row r="88" spans="1:51" x14ac:dyDescent="0.25">
      <c r="A88" s="8">
        <v>85</v>
      </c>
      <c r="B88" s="2" t="str">
        <f>IF('Student List'!C94="","",CONCATENATE(Midterm!B90,", ",Midterm!C90))</f>
        <v/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55"/>
      <c r="AV88" s="13" t="str">
        <f t="shared" si="4"/>
        <v/>
      </c>
      <c r="AW88" s="13" t="str">
        <f t="shared" si="5"/>
        <v/>
      </c>
      <c r="AX88" s="13" t="str">
        <f t="shared" si="6"/>
        <v/>
      </c>
      <c r="AY88" s="13" t="str">
        <f t="shared" si="7"/>
        <v/>
      </c>
    </row>
  </sheetData>
  <sheetProtection algorithmName="SHA-512" hashValue="4izO6jsbGyybBBFtRHQxJj7pjLSp5mdmt3M9rTQ95R2Eck9/OJIO5U4e7yFdhGfRVEEmbMP8utaNu6Q9SUQewA==" saltValue="00hSTaFaxQ+D1t1MWy2VUg==" spinCount="100000" sheet="1" objects="1" scenarios="1" formatRows="0"/>
  <mergeCells count="3">
    <mergeCell ref="C1:AU1"/>
    <mergeCell ref="A1:B2"/>
    <mergeCell ref="AV1:AY2"/>
  </mergeCells>
  <phoneticPr fontId="3" type="noConversion"/>
  <conditionalFormatting sqref="C4:AU88">
    <cfRule type="cellIs" dxfId="57" priority="2" operator="equal">
      <formula>"E"</formula>
    </cfRule>
    <cfRule type="cellIs" dxfId="56" priority="3" operator="equal">
      <formula>"L"</formula>
    </cfRule>
    <cfRule type="cellIs" dxfId="55" priority="6" operator="equal">
      <formula>"A"</formula>
    </cfRule>
    <cfRule type="cellIs" dxfId="54" priority="7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5D04-635F-4630-9A2C-544A589AF82D}">
  <sheetPr codeName="Sheet6"/>
  <dimension ref="A1:BL90"/>
  <sheetViews>
    <sheetView zoomScaleNormal="100" workbookViewId="0">
      <pane xSplit="3" ySplit="5" topLeftCell="R6" activePane="bottomRight" state="frozen"/>
      <selection pane="topRight" activeCell="D1" sqref="D1"/>
      <selection pane="bottomLeft" activeCell="A6" sqref="A6"/>
      <selection pane="bottomRight" activeCell="U17" sqref="U17"/>
    </sheetView>
  </sheetViews>
  <sheetFormatPr defaultColWidth="0" defaultRowHeight="15" zeroHeight="1" outlineLevelCol="2" x14ac:dyDescent="0.25"/>
  <cols>
    <col min="1" max="1" width="5" customWidth="1"/>
    <col min="2" max="2" width="24.85546875" customWidth="1"/>
    <col min="3" max="3" width="25.140625" customWidth="1"/>
    <col min="4" max="4" width="12" style="56" customWidth="1"/>
    <col min="5" max="5" width="9.140625" style="8" customWidth="1"/>
    <col min="6" max="6" width="9.140625" style="74" customWidth="1" outlineLevel="1"/>
    <col min="7" max="7" width="9.140625" style="15" customWidth="1"/>
    <col min="8" max="12" width="9.140625" style="142" customWidth="1" outlineLevel="2"/>
    <col min="13" max="13" width="9.140625" style="113" customWidth="1" outlineLevel="1"/>
    <col min="14" max="18" width="9.140625" style="159" customWidth="1" outlineLevel="2"/>
    <col min="19" max="19" width="9.140625" style="114" customWidth="1" outlineLevel="1"/>
    <col min="20" max="24" width="9.140625" style="142" customWidth="1" outlineLevel="2"/>
    <col min="25" max="25" width="9.140625" style="116" customWidth="1" outlineLevel="1"/>
    <col min="26" max="30" width="9.140625" style="29" customWidth="1" outlineLevel="2"/>
    <col min="31" max="31" width="9.140625" style="42" customWidth="1" outlineLevel="1"/>
    <col min="32" max="36" width="9.140625" style="29" customWidth="1" outlineLevel="2"/>
    <col min="37" max="37" width="9.140625" style="5" customWidth="1" outlineLevel="1"/>
    <col min="38" max="38" width="9.140625" style="43" customWidth="1"/>
    <col min="39" max="42" width="9.140625" style="29" customWidth="1" outlineLevel="1"/>
    <col min="43" max="43" width="9.140625" style="40" customWidth="1"/>
    <col min="44" max="44" width="9.140625" style="17" customWidth="1"/>
    <col min="45" max="45" width="9.85546875" style="16" customWidth="1"/>
    <col min="46" max="46" width="9.140625" style="2" customWidth="1"/>
    <col min="47" max="47" width="28.42578125" style="21" customWidth="1"/>
    <col min="48" max="64" width="0" hidden="1" customWidth="1"/>
    <col min="65" max="16384" width="9.140625" hidden="1"/>
  </cols>
  <sheetData>
    <row r="1" spans="1:47" ht="33" customHeight="1" x14ac:dyDescent="0.25">
      <c r="A1" s="199" t="str">
        <f>FinCom!A1</f>
        <v>DHVSU Bacolor Campus
Modeling and Simulation
Tuesday 3:30 - 5:00 pm, Friday 2:00 - 3:30 pm
First Semester, A.Y. 2024-2025
LECTURE COURSE
NON-BOARD PROGRAM
FINAL TERM</v>
      </c>
      <c r="B1" s="200"/>
      <c r="C1" s="200"/>
      <c r="D1" s="200"/>
      <c r="E1" s="216"/>
      <c r="F1" s="217"/>
      <c r="G1" s="220" t="str">
        <f>UPPER(Info!A38)</f>
        <v>ATTENDANCE</v>
      </c>
      <c r="H1" s="223" t="str">
        <f>UPPER(Info!A40)</f>
        <v>CLASS STANDING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192" t="str">
        <f>UPPER(Info!A40)</f>
        <v>CLASS STANDING</v>
      </c>
      <c r="AM1" s="190" t="s">
        <v>36</v>
      </c>
      <c r="AN1" s="191"/>
      <c r="AO1" s="191"/>
      <c r="AP1" s="191"/>
      <c r="AQ1" s="194" t="str">
        <f>UPPER(Info!A39)</f>
        <v>MAJOR EXAM</v>
      </c>
      <c r="AR1" s="189" t="s">
        <v>37</v>
      </c>
      <c r="AS1" s="186" t="s">
        <v>187</v>
      </c>
      <c r="AT1" s="189" t="s">
        <v>40</v>
      </c>
      <c r="AU1" s="186" t="s">
        <v>57</v>
      </c>
    </row>
    <row r="2" spans="1:47" ht="90.75" customHeight="1" x14ac:dyDescent="0.25">
      <c r="A2" s="201"/>
      <c r="B2" s="202"/>
      <c r="C2" s="202"/>
      <c r="D2" s="203"/>
      <c r="E2" s="98" t="s">
        <v>31</v>
      </c>
      <c r="F2" s="70"/>
      <c r="G2" s="221"/>
      <c r="H2" s="145"/>
      <c r="I2" s="146"/>
      <c r="J2" s="146"/>
      <c r="K2" s="146"/>
      <c r="L2" s="146"/>
      <c r="M2" s="228" t="str">
        <f>UPPER(Info!A41)</f>
        <v>QUIZZES</v>
      </c>
      <c r="N2" s="146"/>
      <c r="O2" s="146"/>
      <c r="P2" s="146"/>
      <c r="Q2" s="146"/>
      <c r="R2" s="146"/>
      <c r="S2" s="230" t="str">
        <f>UPPER(Info!A42)</f>
        <v>RECITATION</v>
      </c>
      <c r="T2" s="146"/>
      <c r="U2" s="146"/>
      <c r="V2" s="146"/>
      <c r="W2" s="146"/>
      <c r="X2" s="146"/>
      <c r="Y2" s="232" t="str">
        <f>UPPER(Info!A43)</f>
        <v>OTHER</v>
      </c>
      <c r="Z2" s="54"/>
      <c r="AA2" s="54"/>
      <c r="AB2" s="54"/>
      <c r="AC2" s="54"/>
      <c r="AD2" s="54"/>
      <c r="AE2" s="207" t="str">
        <f>UPPER(Info!A44)</f>
        <v>ACTIVITIES</v>
      </c>
      <c r="AF2" s="54"/>
      <c r="AG2" s="54"/>
      <c r="AH2" s="54"/>
      <c r="AI2" s="54"/>
      <c r="AJ2" s="117"/>
      <c r="AK2" s="222" t="str">
        <f>UPPER(Info!A45)</f>
        <v/>
      </c>
      <c r="AL2" s="193"/>
      <c r="AM2" s="28"/>
      <c r="AN2" s="28"/>
      <c r="AO2" s="28"/>
      <c r="AP2" s="28"/>
      <c r="AQ2" s="195"/>
      <c r="AR2" s="189"/>
      <c r="AS2" s="187"/>
      <c r="AT2" s="189"/>
      <c r="AU2" s="187"/>
    </row>
    <row r="3" spans="1:47" ht="119.25" customHeight="1" x14ac:dyDescent="0.25">
      <c r="A3" s="204"/>
      <c r="B3" s="205"/>
      <c r="C3" s="205"/>
      <c r="D3" s="206"/>
      <c r="E3" s="98" t="s">
        <v>32</v>
      </c>
      <c r="F3" s="70" t="s">
        <v>33</v>
      </c>
      <c r="G3" s="221"/>
      <c r="H3" s="145"/>
      <c r="I3" s="146"/>
      <c r="J3" s="146"/>
      <c r="K3" s="146"/>
      <c r="L3" s="146"/>
      <c r="M3" s="229"/>
      <c r="N3" s="146"/>
      <c r="O3" s="146"/>
      <c r="P3" s="146"/>
      <c r="Q3" s="146"/>
      <c r="R3" s="146"/>
      <c r="S3" s="231"/>
      <c r="T3" s="146"/>
      <c r="U3" s="146"/>
      <c r="V3" s="146"/>
      <c r="W3" s="146"/>
      <c r="X3" s="146"/>
      <c r="Y3" s="233"/>
      <c r="Z3" s="54"/>
      <c r="AA3" s="54"/>
      <c r="AB3" s="54"/>
      <c r="AC3" s="54"/>
      <c r="AD3" s="54"/>
      <c r="AE3" s="207"/>
      <c r="AF3" s="54"/>
      <c r="AG3" s="54"/>
      <c r="AH3" s="54"/>
      <c r="AI3" s="54"/>
      <c r="AJ3" s="117"/>
      <c r="AK3" s="222"/>
      <c r="AL3" s="193"/>
      <c r="AM3" s="27"/>
      <c r="AN3" s="27"/>
      <c r="AO3" s="27"/>
      <c r="AP3" s="27"/>
      <c r="AQ3" s="195"/>
      <c r="AR3" s="189"/>
      <c r="AS3" s="187"/>
      <c r="AT3" s="189"/>
      <c r="AU3" s="187"/>
    </row>
    <row r="4" spans="1:47" ht="12.75" customHeight="1" x14ac:dyDescent="0.25">
      <c r="A4" s="218" t="s">
        <v>24</v>
      </c>
      <c r="B4" s="218"/>
      <c r="C4" s="219"/>
      <c r="D4" s="253" t="s">
        <v>278</v>
      </c>
      <c r="E4" s="152" t="s">
        <v>25</v>
      </c>
      <c r="F4" s="151">
        <v>1</v>
      </c>
      <c r="G4" s="208">
        <f>FinCom!G4</f>
        <v>0.1</v>
      </c>
      <c r="H4" s="118">
        <v>1</v>
      </c>
      <c r="I4" s="118">
        <v>2</v>
      </c>
      <c r="J4" s="118">
        <v>3</v>
      </c>
      <c r="K4" s="118">
        <v>4</v>
      </c>
      <c r="L4" s="118">
        <v>5</v>
      </c>
      <c r="M4" s="210">
        <f>FinCom!M4</f>
        <v>0.3</v>
      </c>
      <c r="N4" s="118">
        <v>1</v>
      </c>
      <c r="O4" s="118">
        <v>2</v>
      </c>
      <c r="P4" s="118">
        <v>3</v>
      </c>
      <c r="Q4" s="118">
        <v>4</v>
      </c>
      <c r="R4" s="118">
        <v>5</v>
      </c>
      <c r="S4" s="212">
        <f>FinCom!S4</f>
        <v>0.1</v>
      </c>
      <c r="T4" s="118">
        <v>1</v>
      </c>
      <c r="U4" s="118">
        <v>2</v>
      </c>
      <c r="V4" s="118">
        <v>3</v>
      </c>
      <c r="W4" s="118">
        <v>4</v>
      </c>
      <c r="X4" s="118">
        <v>5</v>
      </c>
      <c r="Y4" s="214">
        <f>FinCom!Y4</f>
        <v>0.1</v>
      </c>
      <c r="Z4" s="118">
        <v>1</v>
      </c>
      <c r="AA4" s="118">
        <v>2</v>
      </c>
      <c r="AB4" s="118">
        <v>3</v>
      </c>
      <c r="AC4" s="118">
        <v>4</v>
      </c>
      <c r="AD4" s="118">
        <v>5</v>
      </c>
      <c r="AE4" s="224">
        <f>FinCom!AE4</f>
        <v>0.1</v>
      </c>
      <c r="AF4" s="118">
        <v>1</v>
      </c>
      <c r="AG4" s="118">
        <v>2</v>
      </c>
      <c r="AH4" s="118">
        <v>3</v>
      </c>
      <c r="AI4" s="118">
        <v>4</v>
      </c>
      <c r="AJ4" s="118">
        <v>5</v>
      </c>
      <c r="AK4" s="226">
        <f>FinCom!AK4</f>
        <v>0</v>
      </c>
      <c r="AL4" s="182">
        <f>FinCom!AL4</f>
        <v>0.6</v>
      </c>
      <c r="AM4" s="119">
        <v>1</v>
      </c>
      <c r="AN4" s="119">
        <v>2</v>
      </c>
      <c r="AO4" s="119">
        <v>3</v>
      </c>
      <c r="AP4" s="119">
        <v>4</v>
      </c>
      <c r="AQ4" s="184">
        <f>FinCom!AQ4</f>
        <v>0.3</v>
      </c>
      <c r="AR4" s="196" t="s">
        <v>38</v>
      </c>
      <c r="AS4" s="187"/>
      <c r="AT4" s="189"/>
      <c r="AU4" s="187"/>
    </row>
    <row r="5" spans="1:47" x14ac:dyDescent="0.25">
      <c r="A5" s="10" t="s">
        <v>25</v>
      </c>
      <c r="B5" s="10" t="s">
        <v>29</v>
      </c>
      <c r="C5" s="11" t="s">
        <v>30</v>
      </c>
      <c r="D5" s="254"/>
      <c r="E5" s="99" t="s">
        <v>34</v>
      </c>
      <c r="F5" s="72">
        <f>FinCom!F5</f>
        <v>0</v>
      </c>
      <c r="G5" s="209"/>
      <c r="H5" s="147"/>
      <c r="I5" s="147"/>
      <c r="J5" s="147"/>
      <c r="K5" s="147"/>
      <c r="L5" s="147"/>
      <c r="M5" s="211"/>
      <c r="N5" s="147"/>
      <c r="O5" s="147"/>
      <c r="P5" s="147"/>
      <c r="Q5" s="147"/>
      <c r="R5" s="147"/>
      <c r="S5" s="213"/>
      <c r="T5" s="147"/>
      <c r="U5" s="147"/>
      <c r="V5" s="147"/>
      <c r="W5" s="147"/>
      <c r="X5" s="147"/>
      <c r="Y5" s="215"/>
      <c r="Z5" s="147"/>
      <c r="AA5" s="147"/>
      <c r="AB5" s="147"/>
      <c r="AC5" s="147"/>
      <c r="AD5" s="147"/>
      <c r="AE5" s="225"/>
      <c r="AF5" s="147"/>
      <c r="AG5" s="147"/>
      <c r="AH5" s="147"/>
      <c r="AI5" s="147"/>
      <c r="AJ5" s="147"/>
      <c r="AK5" s="227"/>
      <c r="AL5" s="183"/>
      <c r="AM5" s="120"/>
      <c r="AN5" s="120"/>
      <c r="AO5" s="120"/>
      <c r="AP5" s="120"/>
      <c r="AQ5" s="185"/>
      <c r="AR5" s="196"/>
      <c r="AS5" s="188"/>
      <c r="AT5" s="189"/>
      <c r="AU5" s="188"/>
    </row>
    <row r="6" spans="1:47" x14ac:dyDescent="0.25">
      <c r="A6" s="8">
        <v>1</v>
      </c>
      <c r="B6" s="2" t="str">
        <f>IF('Student List'!C10="","",UPPER(LEFT('Student List'!C10,FIND(",",'Student List'!C10)-1)))</f>
        <v>XX</v>
      </c>
      <c r="C6" s="12" t="str">
        <f>IF('Student List'!C10="","",PROPER(MID('Student List'!C10, FIND(",", 'Student List'!C10) + 2, LEN('Student List'!C10) - FIND(",", 'Student List'!C10) - 1)))</f>
        <v>X</v>
      </c>
      <c r="D6" s="55"/>
      <c r="E6" s="8" t="b">
        <f>IF(Midterm!E6="",IF(D6="Yes","INC",Midterm!E6), Midterm!E6)</f>
        <v>0</v>
      </c>
      <c r="F6" s="73">
        <f>IF(B6="","",SUM(('FT Attendance'!AV4*5),('FT Attendance'!AW4*3),('FT Attendance'!AX4*2)))</f>
        <v>0</v>
      </c>
      <c r="G6" s="57">
        <f>FinCom!G6</f>
        <v>60</v>
      </c>
      <c r="M6" s="111">
        <f>FinCom!M6</f>
        <v>0</v>
      </c>
      <c r="N6" s="142"/>
      <c r="O6" s="142"/>
      <c r="P6" s="142"/>
      <c r="Q6" s="142"/>
      <c r="R6" s="142"/>
      <c r="S6" s="115">
        <f>FinCom!S6</f>
        <v>0</v>
      </c>
      <c r="Y6" s="112">
        <f>FinCom!Y6</f>
        <v>0</v>
      </c>
      <c r="AE6" s="58">
        <f>FinCom!AE6</f>
        <v>0</v>
      </c>
      <c r="AK6" s="59">
        <f>FinCom!AK6</f>
        <v>0</v>
      </c>
      <c r="AL6" s="60">
        <f>FinCom!AL6</f>
        <v>60</v>
      </c>
      <c r="AQ6" s="61">
        <f>FinCom!AQ6</f>
        <v>0</v>
      </c>
      <c r="AR6" s="31"/>
      <c r="AS6" s="165">
        <f>FinCom!AS6</f>
        <v>6</v>
      </c>
      <c r="AT6" s="17">
        <f>FinCom!AT6</f>
        <v>5</v>
      </c>
      <c r="AU6" s="17" t="str">
        <f>FinCom!AU6</f>
        <v>Failed</v>
      </c>
    </row>
    <row r="7" spans="1:47" x14ac:dyDescent="0.25">
      <c r="A7" s="8">
        <v>2</v>
      </c>
      <c r="B7" s="2" t="str">
        <f>IF('Student List'!C11="","",UPPER(LEFT('Student List'!C11,FIND(",",'Student List'!C11)-1)))</f>
        <v/>
      </c>
      <c r="C7" s="12" t="str">
        <f>IF('Student List'!C11="","",PROPER(MID('Student List'!C11, FIND(",", 'Student List'!C11) + 2, LEN('Student List'!C11) - FIND(",", 'Student List'!C11) - 1)))</f>
        <v/>
      </c>
      <c r="D7" s="55"/>
      <c r="E7" s="8" t="str">
        <f>IF(Midterm!E7="",IF(D7="Yes","INC",Midterm!E7), Midterm!E7)</f>
        <v/>
      </c>
      <c r="F7" s="73" t="str">
        <f>IF(B7="","",SUM(('FT Attendance'!AV5*5),('FT Attendance'!AW5*3),('FT Attendance'!AX5*2)))</f>
        <v/>
      </c>
      <c r="G7" s="57" t="str">
        <f>FinCom!G7</f>
        <v/>
      </c>
      <c r="M7" s="111" t="str">
        <f>FinCom!M7</f>
        <v/>
      </c>
      <c r="N7" s="142"/>
      <c r="O7" s="142"/>
      <c r="P7" s="142"/>
      <c r="Q7" s="142"/>
      <c r="R7" s="142"/>
      <c r="S7" s="115" t="str">
        <f>FinCom!S7</f>
        <v/>
      </c>
      <c r="Y7" s="112" t="str">
        <f>FinCom!Y7</f>
        <v/>
      </c>
      <c r="AE7" s="58" t="str">
        <f>FinCom!AE7</f>
        <v/>
      </c>
      <c r="AK7" s="59" t="str">
        <f>FinCom!AK7</f>
        <v/>
      </c>
      <c r="AL7" s="60" t="str">
        <f>FinCom!AL7</f>
        <v/>
      </c>
      <c r="AQ7" s="61" t="str">
        <f>FinCom!AQ7</f>
        <v/>
      </c>
      <c r="AR7" s="31"/>
      <c r="AS7" s="165" t="str">
        <f>FinCom!AS7</f>
        <v/>
      </c>
      <c r="AT7" s="17" t="str">
        <f>FinCom!AT7</f>
        <v/>
      </c>
      <c r="AU7" s="17" t="str">
        <f>FinCom!AU7</f>
        <v/>
      </c>
    </row>
    <row r="8" spans="1:47" x14ac:dyDescent="0.25">
      <c r="A8" s="8">
        <v>3</v>
      </c>
      <c r="B8" s="2" t="str">
        <f>IF('Student List'!C12="","",UPPER(LEFT('Student List'!C12,FIND(",",'Student List'!C12)-1)))</f>
        <v/>
      </c>
      <c r="C8" s="12" t="str">
        <f>IF('Student List'!C12="","",PROPER(MID('Student List'!C12, FIND(",", 'Student List'!C12) + 2, LEN('Student List'!C12) - FIND(",", 'Student List'!C12) - 1)))</f>
        <v/>
      </c>
      <c r="D8" s="55"/>
      <c r="E8" s="8" t="str">
        <f>IF(Midterm!E8="",IF(D8="Yes","INC",Midterm!E8), Midterm!E8)</f>
        <v/>
      </c>
      <c r="F8" s="73" t="str">
        <f>IF(B8="","",SUM(('FT Attendance'!AV6*5),('FT Attendance'!AW6*3),('FT Attendance'!AX6*2)))</f>
        <v/>
      </c>
      <c r="G8" s="57" t="str">
        <f>FinCom!G8</f>
        <v/>
      </c>
      <c r="M8" s="111" t="str">
        <f>FinCom!M8</f>
        <v/>
      </c>
      <c r="N8" s="142"/>
      <c r="O8" s="142"/>
      <c r="P8" s="142"/>
      <c r="Q8" s="142"/>
      <c r="R8" s="142"/>
      <c r="S8" s="115" t="str">
        <f>FinCom!S8</f>
        <v/>
      </c>
      <c r="Y8" s="112" t="str">
        <f>FinCom!Y8</f>
        <v/>
      </c>
      <c r="AE8" s="58" t="str">
        <f>FinCom!AE8</f>
        <v/>
      </c>
      <c r="AK8" s="59" t="str">
        <f>FinCom!AK8</f>
        <v/>
      </c>
      <c r="AL8" s="60" t="str">
        <f>FinCom!AL8</f>
        <v/>
      </c>
      <c r="AQ8" s="61" t="str">
        <f>FinCom!AQ8</f>
        <v/>
      </c>
      <c r="AR8" s="31"/>
      <c r="AS8" s="165" t="str">
        <f>FinCom!AS8</f>
        <v/>
      </c>
      <c r="AT8" s="17" t="str">
        <f>FinCom!AT8</f>
        <v/>
      </c>
      <c r="AU8" s="17" t="str">
        <f>FinCom!AU8</f>
        <v/>
      </c>
    </row>
    <row r="9" spans="1:47" x14ac:dyDescent="0.25">
      <c r="A9" s="8">
        <v>4</v>
      </c>
      <c r="B9" s="2" t="str">
        <f>IF('Student List'!C13="","",UPPER(LEFT('Student List'!C13,FIND(",",'Student List'!C13)-1)))</f>
        <v/>
      </c>
      <c r="C9" s="12" t="str">
        <f>IF('Student List'!C13="","",PROPER(MID('Student List'!C13, FIND(",", 'Student List'!C13) + 2, LEN('Student List'!C13) - FIND(",", 'Student List'!C13) - 1)))</f>
        <v/>
      </c>
      <c r="D9" s="55"/>
      <c r="E9" s="8" t="str">
        <f>IF(Midterm!E9="",IF(D9="Yes","INC",Midterm!E9), Midterm!E9)</f>
        <v/>
      </c>
      <c r="F9" s="73" t="str">
        <f>IF(B9="","",SUM(('FT Attendance'!AV7*5),('FT Attendance'!AW7*3),('FT Attendance'!AX7*2)))</f>
        <v/>
      </c>
      <c r="G9" s="57" t="str">
        <f>FinCom!G9</f>
        <v/>
      </c>
      <c r="M9" s="111" t="str">
        <f>FinCom!M9</f>
        <v/>
      </c>
      <c r="N9" s="142"/>
      <c r="O9" s="142"/>
      <c r="P9" s="142"/>
      <c r="Q9" s="142"/>
      <c r="R9" s="142"/>
      <c r="S9" s="115" t="str">
        <f>FinCom!S9</f>
        <v/>
      </c>
      <c r="Y9" s="112" t="str">
        <f>FinCom!Y9</f>
        <v/>
      </c>
      <c r="AE9" s="58" t="str">
        <f>FinCom!AE9</f>
        <v/>
      </c>
      <c r="AK9" s="59" t="str">
        <f>FinCom!AK9</f>
        <v/>
      </c>
      <c r="AL9" s="60" t="str">
        <f>FinCom!AL9</f>
        <v/>
      </c>
      <c r="AQ9" s="61" t="str">
        <f>FinCom!AQ9</f>
        <v/>
      </c>
      <c r="AR9" s="31"/>
      <c r="AS9" s="165" t="str">
        <f>FinCom!AS9</f>
        <v/>
      </c>
      <c r="AT9" s="17" t="str">
        <f>FinCom!AT9</f>
        <v/>
      </c>
      <c r="AU9" s="17" t="str">
        <f>FinCom!AU9</f>
        <v/>
      </c>
    </row>
    <row r="10" spans="1:47" x14ac:dyDescent="0.25">
      <c r="A10" s="8">
        <v>5</v>
      </c>
      <c r="B10" s="2" t="str">
        <f>IF('Student List'!C14="","",UPPER(LEFT('Student List'!C14,FIND(",",'Student List'!C14)-1)))</f>
        <v/>
      </c>
      <c r="C10" s="12" t="str">
        <f>IF('Student List'!C14="","",PROPER(MID('Student List'!C14, FIND(",", 'Student List'!C14) + 2, LEN('Student List'!C14) - FIND(",", 'Student List'!C14) - 1)))</f>
        <v/>
      </c>
      <c r="D10" s="55"/>
      <c r="E10" s="8" t="str">
        <f>IF(Midterm!E10="",IF(D10="Yes","INC",Midterm!E10), Midterm!E10)</f>
        <v/>
      </c>
      <c r="F10" s="73" t="str">
        <f>IF(B10="","",SUM(('FT Attendance'!AV8*5),('FT Attendance'!AW8*3),('FT Attendance'!AX8*2)))</f>
        <v/>
      </c>
      <c r="G10" s="57" t="str">
        <f>FinCom!G10</f>
        <v/>
      </c>
      <c r="M10" s="111" t="str">
        <f>FinCom!M10</f>
        <v/>
      </c>
      <c r="N10" s="142"/>
      <c r="O10" s="142"/>
      <c r="P10" s="142"/>
      <c r="Q10" s="142"/>
      <c r="R10" s="142"/>
      <c r="S10" s="115" t="str">
        <f>FinCom!S10</f>
        <v/>
      </c>
      <c r="Y10" s="112" t="str">
        <f>FinCom!Y10</f>
        <v/>
      </c>
      <c r="AE10" s="58" t="str">
        <f>FinCom!AE10</f>
        <v/>
      </c>
      <c r="AK10" s="59" t="str">
        <f>FinCom!AK10</f>
        <v/>
      </c>
      <c r="AL10" s="60" t="str">
        <f>FinCom!AL10</f>
        <v/>
      </c>
      <c r="AQ10" s="61" t="str">
        <f>FinCom!AQ10</f>
        <v/>
      </c>
      <c r="AR10" s="31"/>
      <c r="AS10" s="165" t="str">
        <f>FinCom!AS10</f>
        <v/>
      </c>
      <c r="AT10" s="17" t="str">
        <f>FinCom!AT10</f>
        <v/>
      </c>
      <c r="AU10" s="17" t="str">
        <f>FinCom!AU10</f>
        <v/>
      </c>
    </row>
    <row r="11" spans="1:47" x14ac:dyDescent="0.25">
      <c r="A11" s="8">
        <v>6</v>
      </c>
      <c r="B11" s="2" t="str">
        <f>IF('Student List'!C15="","",UPPER(LEFT('Student List'!C15,FIND(",",'Student List'!C15)-1)))</f>
        <v/>
      </c>
      <c r="C11" s="12" t="str">
        <f>IF('Student List'!C15="","",PROPER(MID('Student List'!C15, FIND(",", 'Student List'!C15) + 2, LEN('Student List'!C15) - FIND(",", 'Student List'!C15) - 1)))</f>
        <v/>
      </c>
      <c r="D11" s="55"/>
      <c r="E11" s="8" t="str">
        <f>IF(Midterm!E11="",IF(D11="Yes","INC",Midterm!E11), Midterm!E11)</f>
        <v/>
      </c>
      <c r="F11" s="73" t="str">
        <f>IF(B11="","",SUM(('FT Attendance'!AV9*5),('FT Attendance'!AW9*3),('FT Attendance'!AX9*2)))</f>
        <v/>
      </c>
      <c r="G11" s="57" t="str">
        <f>FinCom!G11</f>
        <v/>
      </c>
      <c r="M11" s="111" t="str">
        <f>FinCom!M11</f>
        <v/>
      </c>
      <c r="N11" s="142"/>
      <c r="O11" s="142"/>
      <c r="P11" s="142"/>
      <c r="Q11" s="142"/>
      <c r="R11" s="142"/>
      <c r="S11" s="115" t="str">
        <f>FinCom!S11</f>
        <v/>
      </c>
      <c r="Y11" s="112" t="str">
        <f>FinCom!Y11</f>
        <v/>
      </c>
      <c r="AE11" s="58" t="str">
        <f>FinCom!AE11</f>
        <v/>
      </c>
      <c r="AK11" s="59" t="str">
        <f>FinCom!AK11</f>
        <v/>
      </c>
      <c r="AL11" s="60" t="str">
        <f>FinCom!AL11</f>
        <v/>
      </c>
      <c r="AQ11" s="61" t="str">
        <f>FinCom!AQ11</f>
        <v/>
      </c>
      <c r="AR11" s="31"/>
      <c r="AS11" s="165" t="str">
        <f>FinCom!AS11</f>
        <v/>
      </c>
      <c r="AT11" s="17" t="str">
        <f>FinCom!AT11</f>
        <v/>
      </c>
      <c r="AU11" s="17" t="str">
        <f>FinCom!AU11</f>
        <v/>
      </c>
    </row>
    <row r="12" spans="1:47" x14ac:dyDescent="0.25">
      <c r="A12" s="8">
        <v>7</v>
      </c>
      <c r="B12" s="2" t="str">
        <f>IF('Student List'!C16="","",UPPER(LEFT('Student List'!C16,FIND(",",'Student List'!C16)-1)))</f>
        <v/>
      </c>
      <c r="C12" s="12" t="str">
        <f>IF('Student List'!C16="","",PROPER(MID('Student List'!C16, FIND(",", 'Student List'!C16) + 2, LEN('Student List'!C16) - FIND(",", 'Student List'!C16) - 1)))</f>
        <v/>
      </c>
      <c r="D12" s="55"/>
      <c r="E12" s="8" t="str">
        <f>IF(Midterm!E12="",IF(D12="Yes","INC",Midterm!E12), Midterm!E12)</f>
        <v/>
      </c>
      <c r="F12" s="73" t="str">
        <f>IF(B12="","",SUM(('FT Attendance'!AV10*5),('FT Attendance'!AW10*3),('FT Attendance'!AX10*2)))</f>
        <v/>
      </c>
      <c r="G12" s="57" t="str">
        <f>FinCom!G12</f>
        <v/>
      </c>
      <c r="M12" s="111" t="str">
        <f>FinCom!M12</f>
        <v/>
      </c>
      <c r="N12" s="142"/>
      <c r="O12" s="142"/>
      <c r="P12" s="142"/>
      <c r="Q12" s="142"/>
      <c r="R12" s="142"/>
      <c r="S12" s="115" t="str">
        <f>FinCom!S12</f>
        <v/>
      </c>
      <c r="Y12" s="112" t="str">
        <f>FinCom!Y12</f>
        <v/>
      </c>
      <c r="AE12" s="58" t="str">
        <f>FinCom!AE12</f>
        <v/>
      </c>
      <c r="AK12" s="59" t="str">
        <f>FinCom!AK12</f>
        <v/>
      </c>
      <c r="AL12" s="60" t="str">
        <f>FinCom!AL12</f>
        <v/>
      </c>
      <c r="AQ12" s="61" t="str">
        <f>FinCom!AQ12</f>
        <v/>
      </c>
      <c r="AR12" s="31"/>
      <c r="AS12" s="165" t="str">
        <f>FinCom!AS12</f>
        <v/>
      </c>
      <c r="AT12" s="17" t="str">
        <f>FinCom!AT12</f>
        <v/>
      </c>
      <c r="AU12" s="17" t="str">
        <f>FinCom!AU12</f>
        <v/>
      </c>
    </row>
    <row r="13" spans="1:47" x14ac:dyDescent="0.25">
      <c r="A13" s="8">
        <v>8</v>
      </c>
      <c r="B13" s="2" t="str">
        <f>IF('Student List'!C17="","",UPPER(LEFT('Student List'!C17,FIND(",",'Student List'!C17)-1)))</f>
        <v/>
      </c>
      <c r="C13" s="12" t="str">
        <f>IF('Student List'!C17="","",PROPER(MID('Student List'!C17, FIND(",", 'Student List'!C17) + 2, LEN('Student List'!C17) - FIND(",", 'Student List'!C17) - 1)))</f>
        <v/>
      </c>
      <c r="D13" s="55"/>
      <c r="E13" s="8" t="str">
        <f>IF(Midterm!E13="",IF(D13="Yes","INC",Midterm!E13), Midterm!E13)</f>
        <v/>
      </c>
      <c r="F13" s="73" t="str">
        <f>IF(B13="","",SUM(('FT Attendance'!AV11*5),('FT Attendance'!AW11*3),('FT Attendance'!AX11*2)))</f>
        <v/>
      </c>
      <c r="G13" s="57" t="str">
        <f>FinCom!G13</f>
        <v/>
      </c>
      <c r="M13" s="111" t="str">
        <f>FinCom!M13</f>
        <v/>
      </c>
      <c r="N13" s="142"/>
      <c r="O13" s="142"/>
      <c r="P13" s="142"/>
      <c r="Q13" s="142"/>
      <c r="R13" s="142"/>
      <c r="S13" s="115" t="str">
        <f>FinCom!S13</f>
        <v/>
      </c>
      <c r="Y13" s="112" t="str">
        <f>FinCom!Y13</f>
        <v/>
      </c>
      <c r="AE13" s="58" t="str">
        <f>FinCom!AE13</f>
        <v/>
      </c>
      <c r="AK13" s="59" t="str">
        <f>FinCom!AK13</f>
        <v/>
      </c>
      <c r="AL13" s="60" t="str">
        <f>FinCom!AL13</f>
        <v/>
      </c>
      <c r="AQ13" s="61" t="str">
        <f>FinCom!AQ13</f>
        <v/>
      </c>
      <c r="AR13" s="31"/>
      <c r="AS13" s="165" t="str">
        <f>FinCom!AS13</f>
        <v/>
      </c>
      <c r="AT13" s="17" t="str">
        <f>FinCom!AT13</f>
        <v/>
      </c>
      <c r="AU13" s="17" t="str">
        <f>FinCom!AU13</f>
        <v/>
      </c>
    </row>
    <row r="14" spans="1:47" x14ac:dyDescent="0.25">
      <c r="A14" s="8">
        <v>9</v>
      </c>
      <c r="B14" s="2" t="str">
        <f>IF('Student List'!C18="","",UPPER(LEFT('Student List'!C18,FIND(",",'Student List'!C18)-1)))</f>
        <v/>
      </c>
      <c r="C14" s="12" t="str">
        <f>IF('Student List'!C18="","",PROPER(MID('Student List'!C18, FIND(",", 'Student List'!C18) + 2, LEN('Student List'!C18) - FIND(",", 'Student List'!C18) - 1)))</f>
        <v/>
      </c>
      <c r="D14" s="55"/>
      <c r="E14" s="8" t="str">
        <f>IF(Midterm!E14="",IF(D14="Yes","INC",Midterm!E14), Midterm!E14)</f>
        <v/>
      </c>
      <c r="F14" s="73" t="str">
        <f>IF(B14="","",SUM(('FT Attendance'!AV12*5),('FT Attendance'!AW12*3),('FT Attendance'!AX12*2)))</f>
        <v/>
      </c>
      <c r="G14" s="57" t="str">
        <f>FinCom!G14</f>
        <v/>
      </c>
      <c r="M14" s="111" t="str">
        <f>FinCom!M14</f>
        <v/>
      </c>
      <c r="N14" s="142"/>
      <c r="O14" s="142"/>
      <c r="P14" s="142"/>
      <c r="Q14" s="142"/>
      <c r="R14" s="142"/>
      <c r="S14" s="115" t="str">
        <f>FinCom!S14</f>
        <v/>
      </c>
      <c r="Y14" s="112" t="str">
        <f>FinCom!Y14</f>
        <v/>
      </c>
      <c r="AE14" s="58" t="str">
        <f>FinCom!AE14</f>
        <v/>
      </c>
      <c r="AK14" s="59" t="str">
        <f>FinCom!AK14</f>
        <v/>
      </c>
      <c r="AL14" s="60" t="str">
        <f>FinCom!AL14</f>
        <v/>
      </c>
      <c r="AQ14" s="61" t="str">
        <f>FinCom!AQ14</f>
        <v/>
      </c>
      <c r="AR14" s="31"/>
      <c r="AS14" s="165" t="str">
        <f>FinCom!AS14</f>
        <v/>
      </c>
      <c r="AT14" s="17" t="str">
        <f>FinCom!AT14</f>
        <v/>
      </c>
      <c r="AU14" s="17" t="str">
        <f>FinCom!AU14</f>
        <v/>
      </c>
    </row>
    <row r="15" spans="1:47" x14ac:dyDescent="0.25">
      <c r="A15" s="8">
        <v>10</v>
      </c>
      <c r="B15" s="2" t="str">
        <f>IF('Student List'!C19="","",UPPER(LEFT('Student List'!C19,FIND(",",'Student List'!C19)-1)))</f>
        <v/>
      </c>
      <c r="C15" s="12" t="str">
        <f>IF('Student List'!C19="","",PROPER(MID('Student List'!C19, FIND(",", 'Student List'!C19) + 2, LEN('Student List'!C19) - FIND(",", 'Student List'!C19) - 1)))</f>
        <v/>
      </c>
      <c r="D15" s="55"/>
      <c r="E15" s="8" t="str">
        <f>IF(Midterm!E15="",IF(D15="Yes","INC",Midterm!E15), Midterm!E15)</f>
        <v/>
      </c>
      <c r="F15" s="73" t="str">
        <f>IF(B15="","",SUM(('FT Attendance'!AV13*5),('FT Attendance'!AW13*3),('FT Attendance'!AX13*2)))</f>
        <v/>
      </c>
      <c r="G15" s="57" t="str">
        <f>FinCom!G15</f>
        <v/>
      </c>
      <c r="M15" s="111" t="str">
        <f>FinCom!M15</f>
        <v/>
      </c>
      <c r="N15" s="142"/>
      <c r="O15" s="142"/>
      <c r="P15" s="142"/>
      <c r="Q15" s="142"/>
      <c r="R15" s="142"/>
      <c r="S15" s="115" t="str">
        <f>FinCom!S15</f>
        <v/>
      </c>
      <c r="Y15" s="112" t="str">
        <f>FinCom!Y15</f>
        <v/>
      </c>
      <c r="AE15" s="58" t="str">
        <f>FinCom!AE15</f>
        <v/>
      </c>
      <c r="AK15" s="59" t="str">
        <f>FinCom!AK15</f>
        <v/>
      </c>
      <c r="AL15" s="60" t="str">
        <f>FinCom!AL15</f>
        <v/>
      </c>
      <c r="AQ15" s="61" t="str">
        <f>FinCom!AQ15</f>
        <v/>
      </c>
      <c r="AR15" s="31"/>
      <c r="AS15" s="165" t="str">
        <f>FinCom!AS15</f>
        <v/>
      </c>
      <c r="AT15" s="17" t="str">
        <f>FinCom!AT15</f>
        <v/>
      </c>
      <c r="AU15" s="17" t="str">
        <f>FinCom!AU15</f>
        <v/>
      </c>
    </row>
    <row r="16" spans="1:47" x14ac:dyDescent="0.25">
      <c r="A16" s="8">
        <v>11</v>
      </c>
      <c r="B16" s="2" t="str">
        <f>IF('Student List'!C20="","",UPPER(LEFT('Student List'!C20,FIND(",",'Student List'!C20)-1)))</f>
        <v/>
      </c>
      <c r="C16" s="12" t="str">
        <f>IF('Student List'!C20="","",PROPER(MID('Student List'!C20, FIND(",", 'Student List'!C20) + 2, LEN('Student List'!C20) - FIND(",", 'Student List'!C20) - 1)))</f>
        <v/>
      </c>
      <c r="D16" s="55"/>
      <c r="E16" s="8" t="str">
        <f>IF(Midterm!E16="",IF(D16="Yes","INC",Midterm!E16), Midterm!E16)</f>
        <v/>
      </c>
      <c r="F16" s="73" t="str">
        <f>IF(B16="","",SUM(('FT Attendance'!AV14*5),('FT Attendance'!AW14*3),('FT Attendance'!AX14*2)))</f>
        <v/>
      </c>
      <c r="G16" s="57" t="str">
        <f>FinCom!G16</f>
        <v/>
      </c>
      <c r="M16" s="111" t="str">
        <f>FinCom!M16</f>
        <v/>
      </c>
      <c r="N16" s="142"/>
      <c r="O16" s="142"/>
      <c r="P16" s="142"/>
      <c r="Q16" s="142"/>
      <c r="R16" s="142"/>
      <c r="S16" s="115" t="str">
        <f>FinCom!S16</f>
        <v/>
      </c>
      <c r="Y16" s="112" t="str">
        <f>FinCom!Y16</f>
        <v/>
      </c>
      <c r="AE16" s="58" t="str">
        <f>FinCom!AE16</f>
        <v/>
      </c>
      <c r="AK16" s="59" t="str">
        <f>FinCom!AK16</f>
        <v/>
      </c>
      <c r="AL16" s="60" t="str">
        <f>FinCom!AL16</f>
        <v/>
      </c>
      <c r="AQ16" s="61" t="str">
        <f>FinCom!AQ16</f>
        <v/>
      </c>
      <c r="AR16" s="31"/>
      <c r="AS16" s="165" t="str">
        <f>FinCom!AS16</f>
        <v/>
      </c>
      <c r="AT16" s="17" t="str">
        <f>FinCom!AT16</f>
        <v/>
      </c>
      <c r="AU16" s="17" t="str">
        <f>FinCom!AU16</f>
        <v/>
      </c>
    </row>
    <row r="17" spans="1:47" x14ac:dyDescent="0.25">
      <c r="A17" s="8">
        <v>12</v>
      </c>
      <c r="B17" s="2" t="str">
        <f>IF('Student List'!C21="","",UPPER(LEFT('Student List'!C21,FIND(",",'Student List'!C21)-1)))</f>
        <v/>
      </c>
      <c r="C17" s="12" t="str">
        <f>IF('Student List'!C21="","",PROPER(MID('Student List'!C21, FIND(",", 'Student List'!C21) + 2, LEN('Student List'!C21) - FIND(",", 'Student List'!C21) - 1)))</f>
        <v/>
      </c>
      <c r="D17" s="55"/>
      <c r="E17" s="8" t="str">
        <f>IF(Midterm!E17="",IF(D17="Yes","INC",Midterm!E17), Midterm!E17)</f>
        <v/>
      </c>
      <c r="F17" s="73" t="str">
        <f>IF(B17="","",SUM(('FT Attendance'!AV15*5),('FT Attendance'!AW15*3),('FT Attendance'!AX15*2)))</f>
        <v/>
      </c>
      <c r="G17" s="57" t="str">
        <f>FinCom!G17</f>
        <v/>
      </c>
      <c r="M17" s="111" t="str">
        <f>FinCom!M17</f>
        <v/>
      </c>
      <c r="N17" s="142"/>
      <c r="O17" s="142"/>
      <c r="P17" s="142"/>
      <c r="Q17" s="142"/>
      <c r="R17" s="142"/>
      <c r="S17" s="115" t="str">
        <f>FinCom!S17</f>
        <v/>
      </c>
      <c r="Y17" s="112" t="str">
        <f>FinCom!Y17</f>
        <v/>
      </c>
      <c r="AE17" s="58" t="str">
        <f>FinCom!AE17</f>
        <v/>
      </c>
      <c r="AK17" s="59" t="str">
        <f>FinCom!AK17</f>
        <v/>
      </c>
      <c r="AL17" s="60" t="str">
        <f>FinCom!AL17</f>
        <v/>
      </c>
      <c r="AQ17" s="61" t="str">
        <f>FinCom!AQ17</f>
        <v/>
      </c>
      <c r="AR17" s="31"/>
      <c r="AS17" s="165" t="str">
        <f>FinCom!AS17</f>
        <v/>
      </c>
      <c r="AT17" s="17" t="str">
        <f>FinCom!AT17</f>
        <v/>
      </c>
      <c r="AU17" s="17" t="str">
        <f>FinCom!AU17</f>
        <v/>
      </c>
    </row>
    <row r="18" spans="1:47" x14ac:dyDescent="0.25">
      <c r="A18" s="8">
        <v>13</v>
      </c>
      <c r="B18" s="2" t="str">
        <f>IF('Student List'!C22="","",UPPER(LEFT('Student List'!C22,FIND(",",'Student List'!C22)-1)))</f>
        <v/>
      </c>
      <c r="C18" s="12" t="str">
        <f>IF('Student List'!C22="","",PROPER(MID('Student List'!C22, FIND(",", 'Student List'!C22) + 2, LEN('Student List'!C22) - FIND(",", 'Student List'!C22) - 1)))</f>
        <v/>
      </c>
      <c r="D18" s="55"/>
      <c r="E18" s="8" t="str">
        <f>IF(Midterm!E18="",IF(D18="Yes","INC",Midterm!E18), Midterm!E18)</f>
        <v/>
      </c>
      <c r="F18" s="73" t="str">
        <f>IF(B18="","",SUM(('FT Attendance'!AV16*5),('FT Attendance'!AW16*3),('FT Attendance'!AX16*2)))</f>
        <v/>
      </c>
      <c r="G18" s="57" t="str">
        <f>FinCom!G18</f>
        <v/>
      </c>
      <c r="M18" s="111" t="str">
        <f>FinCom!M18</f>
        <v/>
      </c>
      <c r="N18" s="142"/>
      <c r="O18" s="142"/>
      <c r="P18" s="142"/>
      <c r="Q18" s="142"/>
      <c r="R18" s="142"/>
      <c r="S18" s="115" t="str">
        <f>FinCom!S18</f>
        <v/>
      </c>
      <c r="Y18" s="112" t="str">
        <f>FinCom!Y18</f>
        <v/>
      </c>
      <c r="AE18" s="58" t="str">
        <f>FinCom!AE18</f>
        <v/>
      </c>
      <c r="AK18" s="59" t="str">
        <f>FinCom!AK18</f>
        <v/>
      </c>
      <c r="AL18" s="60" t="str">
        <f>FinCom!AL18</f>
        <v/>
      </c>
      <c r="AQ18" s="61" t="str">
        <f>FinCom!AQ18</f>
        <v/>
      </c>
      <c r="AR18" s="31"/>
      <c r="AS18" s="165" t="str">
        <f>FinCom!AS18</f>
        <v/>
      </c>
      <c r="AT18" s="17" t="str">
        <f>FinCom!AT18</f>
        <v/>
      </c>
      <c r="AU18" s="17" t="str">
        <f>FinCom!AU18</f>
        <v/>
      </c>
    </row>
    <row r="19" spans="1:47" x14ac:dyDescent="0.25">
      <c r="A19" s="8">
        <v>14</v>
      </c>
      <c r="B19" s="2" t="str">
        <f>IF('Student List'!C23="","",UPPER(LEFT('Student List'!C23,FIND(",",'Student List'!C23)-1)))</f>
        <v/>
      </c>
      <c r="C19" s="12" t="str">
        <f>IF('Student List'!C23="","",PROPER(MID('Student List'!C23, FIND(",", 'Student List'!C23) + 2, LEN('Student List'!C23) - FIND(",", 'Student List'!C23) - 1)))</f>
        <v/>
      </c>
      <c r="D19" s="55"/>
      <c r="E19" s="8" t="str">
        <f>IF(Midterm!E19="",IF(D19="Yes","INC",Midterm!E19), Midterm!E19)</f>
        <v/>
      </c>
      <c r="F19" s="73" t="str">
        <f>IF(B19="","",SUM(('FT Attendance'!AV17*5),('FT Attendance'!AW17*3),('FT Attendance'!AX17*2)))</f>
        <v/>
      </c>
      <c r="G19" s="57" t="str">
        <f>FinCom!G19</f>
        <v/>
      </c>
      <c r="M19" s="111" t="str">
        <f>FinCom!M19</f>
        <v/>
      </c>
      <c r="N19" s="142"/>
      <c r="O19" s="142"/>
      <c r="P19" s="142"/>
      <c r="Q19" s="142"/>
      <c r="R19" s="142"/>
      <c r="S19" s="115" t="str">
        <f>FinCom!S19</f>
        <v/>
      </c>
      <c r="Y19" s="112" t="str">
        <f>FinCom!Y19</f>
        <v/>
      </c>
      <c r="AE19" s="58" t="str">
        <f>FinCom!AE19</f>
        <v/>
      </c>
      <c r="AK19" s="59" t="str">
        <f>FinCom!AK19</f>
        <v/>
      </c>
      <c r="AL19" s="60" t="str">
        <f>FinCom!AL19</f>
        <v/>
      </c>
      <c r="AQ19" s="61" t="str">
        <f>FinCom!AQ19</f>
        <v/>
      </c>
      <c r="AR19" s="31"/>
      <c r="AS19" s="165" t="str">
        <f>FinCom!AS19</f>
        <v/>
      </c>
      <c r="AT19" s="17" t="str">
        <f>FinCom!AT19</f>
        <v/>
      </c>
      <c r="AU19" s="17" t="str">
        <f>FinCom!AU19</f>
        <v/>
      </c>
    </row>
    <row r="20" spans="1:47" x14ac:dyDescent="0.25">
      <c r="A20" s="8">
        <v>15</v>
      </c>
      <c r="B20" s="2" t="str">
        <f>IF('Student List'!C24="","",UPPER(LEFT('Student List'!C24,FIND(",",'Student List'!C24)-1)))</f>
        <v/>
      </c>
      <c r="C20" s="12" t="str">
        <f>IF('Student List'!C24="","",PROPER(MID('Student List'!C24, FIND(",", 'Student List'!C24) + 2, LEN('Student List'!C24) - FIND(",", 'Student List'!C24) - 1)))</f>
        <v/>
      </c>
      <c r="D20" s="55"/>
      <c r="E20" s="8" t="str">
        <f>IF(Midterm!E20="",IF(D20="Yes","INC",Midterm!E20), Midterm!E20)</f>
        <v/>
      </c>
      <c r="F20" s="73" t="str">
        <f>IF(B20="","",SUM(('FT Attendance'!AV18*5),('FT Attendance'!AW18*3),('FT Attendance'!AX18*2)))</f>
        <v/>
      </c>
      <c r="G20" s="57" t="str">
        <f>FinCom!G20</f>
        <v/>
      </c>
      <c r="M20" s="111" t="str">
        <f>FinCom!M20</f>
        <v/>
      </c>
      <c r="N20" s="142"/>
      <c r="O20" s="142"/>
      <c r="P20" s="142"/>
      <c r="Q20" s="142"/>
      <c r="R20" s="142"/>
      <c r="S20" s="115" t="str">
        <f>FinCom!S20</f>
        <v/>
      </c>
      <c r="Y20" s="112" t="str">
        <f>FinCom!Y20</f>
        <v/>
      </c>
      <c r="AE20" s="58" t="str">
        <f>FinCom!AE20</f>
        <v/>
      </c>
      <c r="AK20" s="59" t="str">
        <f>FinCom!AK20</f>
        <v/>
      </c>
      <c r="AL20" s="60" t="str">
        <f>FinCom!AL20</f>
        <v/>
      </c>
      <c r="AQ20" s="61" t="str">
        <f>FinCom!AQ20</f>
        <v/>
      </c>
      <c r="AR20" s="31"/>
      <c r="AS20" s="165" t="str">
        <f>FinCom!AS20</f>
        <v/>
      </c>
      <c r="AT20" s="17" t="str">
        <f>FinCom!AT20</f>
        <v/>
      </c>
      <c r="AU20" s="17" t="str">
        <f>FinCom!AU20</f>
        <v/>
      </c>
    </row>
    <row r="21" spans="1:47" x14ac:dyDescent="0.25">
      <c r="A21" s="8">
        <v>16</v>
      </c>
      <c r="B21" s="2" t="str">
        <f>IF('Student List'!C25="","",UPPER(LEFT('Student List'!C25,FIND(",",'Student List'!C25)-1)))</f>
        <v/>
      </c>
      <c r="C21" s="12" t="str">
        <f>IF('Student List'!C25="","",PROPER(MID('Student List'!C25, FIND(",", 'Student List'!C25) + 2, LEN('Student List'!C25) - FIND(",", 'Student List'!C25) - 1)))</f>
        <v/>
      </c>
      <c r="D21" s="55"/>
      <c r="E21" s="8" t="str">
        <f>IF(Midterm!E21="",IF(D21="Yes","INC",Midterm!E21), Midterm!E21)</f>
        <v/>
      </c>
      <c r="F21" s="73" t="str">
        <f>IF(B21="","",SUM(('FT Attendance'!AV19*5),('FT Attendance'!AW19*3),('FT Attendance'!AX19*2)))</f>
        <v/>
      </c>
      <c r="G21" s="57" t="str">
        <f>FinCom!G21</f>
        <v/>
      </c>
      <c r="M21" s="111" t="str">
        <f>FinCom!M21</f>
        <v/>
      </c>
      <c r="N21" s="142"/>
      <c r="O21" s="142"/>
      <c r="P21" s="142"/>
      <c r="Q21" s="142"/>
      <c r="R21" s="142"/>
      <c r="S21" s="115" t="str">
        <f>FinCom!S21</f>
        <v/>
      </c>
      <c r="Y21" s="112" t="str">
        <f>FinCom!Y21</f>
        <v/>
      </c>
      <c r="AE21" s="58" t="str">
        <f>FinCom!AE21</f>
        <v/>
      </c>
      <c r="AK21" s="59" t="str">
        <f>FinCom!AK21</f>
        <v/>
      </c>
      <c r="AL21" s="60" t="str">
        <f>FinCom!AL21</f>
        <v/>
      </c>
      <c r="AQ21" s="61" t="str">
        <f>FinCom!AQ21</f>
        <v/>
      </c>
      <c r="AR21" s="31"/>
      <c r="AS21" s="165" t="str">
        <f>FinCom!AS21</f>
        <v/>
      </c>
      <c r="AT21" s="17" t="str">
        <f>FinCom!AT21</f>
        <v/>
      </c>
      <c r="AU21" s="17" t="str">
        <f>FinCom!AU21</f>
        <v/>
      </c>
    </row>
    <row r="22" spans="1:47" x14ac:dyDescent="0.25">
      <c r="A22" s="8">
        <v>17</v>
      </c>
      <c r="B22" s="2" t="str">
        <f>IF('Student List'!C26="","",UPPER(LEFT('Student List'!C26,FIND(",",'Student List'!C26)-1)))</f>
        <v/>
      </c>
      <c r="C22" s="12" t="str">
        <f>IF('Student List'!C26="","",PROPER(MID('Student List'!C26, FIND(",", 'Student List'!C26) + 2, LEN('Student List'!C26) - FIND(",", 'Student List'!C26) - 1)))</f>
        <v/>
      </c>
      <c r="D22" s="55"/>
      <c r="E22" s="8" t="str">
        <f>IF(Midterm!E22="",IF(D22="Yes","INC",Midterm!E22), Midterm!E22)</f>
        <v/>
      </c>
      <c r="F22" s="73" t="str">
        <f>IF(B22="","",SUM(('FT Attendance'!AV20*5),('FT Attendance'!AW20*3),('FT Attendance'!AX20*2)))</f>
        <v/>
      </c>
      <c r="G22" s="57" t="str">
        <f>FinCom!G22</f>
        <v/>
      </c>
      <c r="M22" s="111" t="str">
        <f>FinCom!M22</f>
        <v/>
      </c>
      <c r="N22" s="142"/>
      <c r="O22" s="142"/>
      <c r="P22" s="142"/>
      <c r="Q22" s="142"/>
      <c r="R22" s="142"/>
      <c r="S22" s="115" t="str">
        <f>FinCom!S22</f>
        <v/>
      </c>
      <c r="Y22" s="112" t="str">
        <f>FinCom!Y22</f>
        <v/>
      </c>
      <c r="AE22" s="58" t="str">
        <f>FinCom!AE22</f>
        <v/>
      </c>
      <c r="AK22" s="59" t="str">
        <f>FinCom!AK22</f>
        <v/>
      </c>
      <c r="AL22" s="60" t="str">
        <f>FinCom!AL22</f>
        <v/>
      </c>
      <c r="AQ22" s="61" t="str">
        <f>FinCom!AQ22</f>
        <v/>
      </c>
      <c r="AR22" s="31"/>
      <c r="AS22" s="165" t="str">
        <f>FinCom!AS22</f>
        <v/>
      </c>
      <c r="AT22" s="17" t="str">
        <f>FinCom!AT22</f>
        <v/>
      </c>
      <c r="AU22" s="17" t="str">
        <f>FinCom!AU22</f>
        <v/>
      </c>
    </row>
    <row r="23" spans="1:47" x14ac:dyDescent="0.25">
      <c r="A23" s="8">
        <v>18</v>
      </c>
      <c r="B23" s="2" t="str">
        <f>IF('Student List'!C27="","",UPPER(LEFT('Student List'!C27,FIND(",",'Student List'!C27)-1)))</f>
        <v/>
      </c>
      <c r="C23" s="12" t="str">
        <f>IF('Student List'!C27="","",PROPER(MID('Student List'!C27, FIND(",", 'Student List'!C27) + 2, LEN('Student List'!C27) - FIND(",", 'Student List'!C27) - 1)))</f>
        <v/>
      </c>
      <c r="D23" s="55"/>
      <c r="E23" s="8" t="str">
        <f>IF(Midterm!E23="",IF(D23="Yes","INC",Midterm!E23), Midterm!E23)</f>
        <v/>
      </c>
      <c r="F23" s="73" t="str">
        <f>IF(B23="","",SUM(('FT Attendance'!AV21*5),('FT Attendance'!AW21*3),('FT Attendance'!AX21*2)))</f>
        <v/>
      </c>
      <c r="G23" s="57" t="str">
        <f>FinCom!G23</f>
        <v/>
      </c>
      <c r="M23" s="111" t="str">
        <f>FinCom!M23</f>
        <v/>
      </c>
      <c r="N23" s="142"/>
      <c r="O23" s="142"/>
      <c r="P23" s="142"/>
      <c r="Q23" s="142"/>
      <c r="R23" s="142"/>
      <c r="S23" s="115" t="str">
        <f>FinCom!S23</f>
        <v/>
      </c>
      <c r="Y23" s="112" t="str">
        <f>FinCom!Y23</f>
        <v/>
      </c>
      <c r="AE23" s="58" t="str">
        <f>FinCom!AE23</f>
        <v/>
      </c>
      <c r="AK23" s="59" t="str">
        <f>FinCom!AK23</f>
        <v/>
      </c>
      <c r="AL23" s="60" t="str">
        <f>FinCom!AL23</f>
        <v/>
      </c>
      <c r="AQ23" s="61" t="str">
        <f>FinCom!AQ23</f>
        <v/>
      </c>
      <c r="AR23" s="31"/>
      <c r="AS23" s="165" t="str">
        <f>FinCom!AS23</f>
        <v/>
      </c>
      <c r="AT23" s="17" t="str">
        <f>FinCom!AT23</f>
        <v/>
      </c>
      <c r="AU23" s="17" t="str">
        <f>FinCom!AU23</f>
        <v/>
      </c>
    </row>
    <row r="24" spans="1:47" x14ac:dyDescent="0.25">
      <c r="A24" s="8">
        <v>19</v>
      </c>
      <c r="B24" s="2" t="str">
        <f>IF('Student List'!C28="","",UPPER(LEFT('Student List'!C28,FIND(",",'Student List'!C28)-1)))</f>
        <v/>
      </c>
      <c r="C24" s="12" t="str">
        <f>IF('Student List'!C28="","",PROPER(MID('Student List'!C28, FIND(",", 'Student List'!C28) + 2, LEN('Student List'!C28) - FIND(",", 'Student List'!C28) - 1)))</f>
        <v/>
      </c>
      <c r="D24" s="55"/>
      <c r="E24" s="8" t="str">
        <f>IF(Midterm!E24="",IF(D24="Yes","INC",Midterm!E24), Midterm!E24)</f>
        <v/>
      </c>
      <c r="F24" s="73" t="str">
        <f>IF(B24="","",SUM(('FT Attendance'!AV22*5),('FT Attendance'!AW22*3),('FT Attendance'!AX22*2)))</f>
        <v/>
      </c>
      <c r="G24" s="57" t="str">
        <f>FinCom!G24</f>
        <v/>
      </c>
      <c r="M24" s="111" t="str">
        <f>FinCom!M24</f>
        <v/>
      </c>
      <c r="N24" s="142"/>
      <c r="O24" s="142"/>
      <c r="P24" s="142"/>
      <c r="Q24" s="142"/>
      <c r="R24" s="142"/>
      <c r="S24" s="115" t="str">
        <f>FinCom!S24</f>
        <v/>
      </c>
      <c r="Y24" s="112" t="str">
        <f>FinCom!Y24</f>
        <v/>
      </c>
      <c r="AE24" s="58" t="str">
        <f>FinCom!AE24</f>
        <v/>
      </c>
      <c r="AK24" s="59" t="str">
        <f>FinCom!AK24</f>
        <v/>
      </c>
      <c r="AL24" s="60" t="str">
        <f>FinCom!AL24</f>
        <v/>
      </c>
      <c r="AQ24" s="61" t="str">
        <f>FinCom!AQ24</f>
        <v/>
      </c>
      <c r="AR24" s="31"/>
      <c r="AS24" s="165" t="str">
        <f>FinCom!AS24</f>
        <v/>
      </c>
      <c r="AT24" s="17" t="str">
        <f>FinCom!AT24</f>
        <v/>
      </c>
      <c r="AU24" s="17" t="str">
        <f>FinCom!AU24</f>
        <v/>
      </c>
    </row>
    <row r="25" spans="1:47" x14ac:dyDescent="0.25">
      <c r="A25" s="8">
        <v>20</v>
      </c>
      <c r="B25" s="2" t="str">
        <f>IF('Student List'!C29="","",UPPER(LEFT('Student List'!C29,FIND(",",'Student List'!C29)-1)))</f>
        <v/>
      </c>
      <c r="C25" s="12" t="str">
        <f>IF('Student List'!C29="","",PROPER(MID('Student List'!C29, FIND(",", 'Student List'!C29) + 2, LEN('Student List'!C29) - FIND(",", 'Student List'!C29) - 1)))</f>
        <v/>
      </c>
      <c r="D25" s="55"/>
      <c r="E25" s="8" t="str">
        <f>IF(Midterm!E25="",IF(D25="Yes","INC",Midterm!E25), Midterm!E25)</f>
        <v/>
      </c>
      <c r="F25" s="73" t="str">
        <f>IF(B25="","",SUM(('FT Attendance'!AV23*5),('FT Attendance'!AW23*3),('FT Attendance'!AX23*2)))</f>
        <v/>
      </c>
      <c r="G25" s="57" t="str">
        <f>FinCom!G25</f>
        <v/>
      </c>
      <c r="M25" s="111" t="str">
        <f>FinCom!M25</f>
        <v/>
      </c>
      <c r="N25" s="142"/>
      <c r="O25" s="142"/>
      <c r="P25" s="142"/>
      <c r="Q25" s="142"/>
      <c r="R25" s="142"/>
      <c r="S25" s="115" t="str">
        <f>FinCom!S25</f>
        <v/>
      </c>
      <c r="Y25" s="112" t="str">
        <f>FinCom!Y25</f>
        <v/>
      </c>
      <c r="AE25" s="58" t="str">
        <f>FinCom!AE25</f>
        <v/>
      </c>
      <c r="AK25" s="59" t="str">
        <f>FinCom!AK25</f>
        <v/>
      </c>
      <c r="AL25" s="60" t="str">
        <f>FinCom!AL25</f>
        <v/>
      </c>
      <c r="AQ25" s="61" t="str">
        <f>FinCom!AQ25</f>
        <v/>
      </c>
      <c r="AR25" s="31"/>
      <c r="AS25" s="165" t="str">
        <f>FinCom!AS25</f>
        <v/>
      </c>
      <c r="AT25" s="17" t="str">
        <f>FinCom!AT25</f>
        <v/>
      </c>
      <c r="AU25" s="17" t="str">
        <f>FinCom!AU25</f>
        <v/>
      </c>
    </row>
    <row r="26" spans="1:47" x14ac:dyDescent="0.25">
      <c r="A26" s="8">
        <v>21</v>
      </c>
      <c r="B26" s="2" t="str">
        <f>IF('Student List'!C30="","",UPPER(LEFT('Student List'!C30,FIND(",",'Student List'!C30)-1)))</f>
        <v/>
      </c>
      <c r="C26" s="12" t="str">
        <f>IF('Student List'!C30="","",PROPER(MID('Student List'!C30, FIND(",", 'Student List'!C30) + 2, LEN('Student List'!C30) - FIND(",", 'Student List'!C30) - 1)))</f>
        <v/>
      </c>
      <c r="D26" s="55"/>
      <c r="E26" s="8" t="str">
        <f>IF(Midterm!E26="",IF(D26="Yes","INC",Midterm!E26), Midterm!E26)</f>
        <v/>
      </c>
      <c r="F26" s="73" t="str">
        <f>IF(B26="","",SUM(('FT Attendance'!AV24*5),('FT Attendance'!AW24*3),('FT Attendance'!AX24*2)))</f>
        <v/>
      </c>
      <c r="G26" s="57" t="str">
        <f>FinCom!G26</f>
        <v/>
      </c>
      <c r="M26" s="111" t="str">
        <f>FinCom!M26</f>
        <v/>
      </c>
      <c r="N26" s="142"/>
      <c r="O26" s="142"/>
      <c r="P26" s="142"/>
      <c r="Q26" s="142"/>
      <c r="R26" s="142"/>
      <c r="S26" s="115" t="str">
        <f>FinCom!S26</f>
        <v/>
      </c>
      <c r="Y26" s="112" t="str">
        <f>FinCom!Y26</f>
        <v/>
      </c>
      <c r="AE26" s="58" t="str">
        <f>FinCom!AE26</f>
        <v/>
      </c>
      <c r="AK26" s="59" t="str">
        <f>FinCom!AK26</f>
        <v/>
      </c>
      <c r="AL26" s="60" t="str">
        <f>FinCom!AL26</f>
        <v/>
      </c>
      <c r="AQ26" s="61" t="str">
        <f>FinCom!AQ26</f>
        <v/>
      </c>
      <c r="AR26" s="31"/>
      <c r="AS26" s="165" t="str">
        <f>FinCom!AS26</f>
        <v/>
      </c>
      <c r="AT26" s="17" t="str">
        <f>FinCom!AT26</f>
        <v/>
      </c>
      <c r="AU26" s="17" t="str">
        <f>FinCom!AU26</f>
        <v/>
      </c>
    </row>
    <row r="27" spans="1:47" x14ac:dyDescent="0.25">
      <c r="A27" s="8">
        <v>22</v>
      </c>
      <c r="B27" s="2" t="str">
        <f>IF('Student List'!C31="","",UPPER(LEFT('Student List'!C31,FIND(",",'Student List'!C31)-1)))</f>
        <v/>
      </c>
      <c r="C27" s="12" t="str">
        <f>IF('Student List'!C31="","",PROPER(MID('Student List'!C31, FIND(",", 'Student List'!C31) + 2, LEN('Student List'!C31) - FIND(",", 'Student List'!C31) - 1)))</f>
        <v/>
      </c>
      <c r="D27" s="55"/>
      <c r="E27" s="8" t="str">
        <f>IF(Midterm!E27="",IF(D27="Yes","INC",Midterm!E27), Midterm!E27)</f>
        <v/>
      </c>
      <c r="F27" s="73" t="str">
        <f>IF(B27="","",SUM(('FT Attendance'!AV25*5),('FT Attendance'!AW25*3),('FT Attendance'!AX25*2)))</f>
        <v/>
      </c>
      <c r="G27" s="57" t="str">
        <f>FinCom!G27</f>
        <v/>
      </c>
      <c r="M27" s="111" t="str">
        <f>FinCom!M27</f>
        <v/>
      </c>
      <c r="N27" s="142"/>
      <c r="O27" s="142"/>
      <c r="P27" s="142"/>
      <c r="Q27" s="142"/>
      <c r="R27" s="142"/>
      <c r="S27" s="115" t="str">
        <f>FinCom!S27</f>
        <v/>
      </c>
      <c r="Y27" s="112" t="str">
        <f>FinCom!Y27</f>
        <v/>
      </c>
      <c r="AE27" s="58" t="str">
        <f>FinCom!AE27</f>
        <v/>
      </c>
      <c r="AK27" s="59" t="str">
        <f>FinCom!AK27</f>
        <v/>
      </c>
      <c r="AL27" s="60" t="str">
        <f>FinCom!AL27</f>
        <v/>
      </c>
      <c r="AQ27" s="61" t="str">
        <f>FinCom!AQ27</f>
        <v/>
      </c>
      <c r="AR27" s="31"/>
      <c r="AS27" s="165" t="str">
        <f>FinCom!AS27</f>
        <v/>
      </c>
      <c r="AT27" s="17" t="str">
        <f>FinCom!AT27</f>
        <v/>
      </c>
      <c r="AU27" s="17" t="str">
        <f>FinCom!AU27</f>
        <v/>
      </c>
    </row>
    <row r="28" spans="1:47" x14ac:dyDescent="0.25">
      <c r="A28" s="8">
        <v>23</v>
      </c>
      <c r="B28" s="2" t="str">
        <f>IF('Student List'!C32="","",UPPER(LEFT('Student List'!C32,FIND(",",'Student List'!C32)-1)))</f>
        <v/>
      </c>
      <c r="C28" s="12" t="str">
        <f>IF('Student List'!C32="","",PROPER(MID('Student List'!C32, FIND(",", 'Student List'!C32) + 2, LEN('Student List'!C32) - FIND(",", 'Student List'!C32) - 1)))</f>
        <v/>
      </c>
      <c r="D28" s="55"/>
      <c r="E28" s="8" t="str">
        <f>IF(Midterm!E28="",IF(D28="Yes","INC",Midterm!E28), Midterm!E28)</f>
        <v/>
      </c>
      <c r="F28" s="73" t="str">
        <f>IF(B28="","",SUM(('FT Attendance'!AV26*5),('FT Attendance'!AW26*3),('FT Attendance'!AX26*2)))</f>
        <v/>
      </c>
      <c r="G28" s="57" t="str">
        <f>FinCom!G28</f>
        <v/>
      </c>
      <c r="M28" s="111" t="str">
        <f>FinCom!M28</f>
        <v/>
      </c>
      <c r="N28" s="142"/>
      <c r="O28" s="142"/>
      <c r="P28" s="142"/>
      <c r="Q28" s="142"/>
      <c r="R28" s="142"/>
      <c r="S28" s="115" t="str">
        <f>FinCom!S28</f>
        <v/>
      </c>
      <c r="Y28" s="112" t="str">
        <f>FinCom!Y28</f>
        <v/>
      </c>
      <c r="AE28" s="58" t="str">
        <f>FinCom!AE28</f>
        <v/>
      </c>
      <c r="AK28" s="59" t="str">
        <f>FinCom!AK28</f>
        <v/>
      </c>
      <c r="AL28" s="60" t="str">
        <f>FinCom!AL28</f>
        <v/>
      </c>
      <c r="AQ28" s="61" t="str">
        <f>FinCom!AQ28</f>
        <v/>
      </c>
      <c r="AR28" s="31"/>
      <c r="AS28" s="165" t="str">
        <f>FinCom!AS28</f>
        <v/>
      </c>
      <c r="AT28" s="17" t="str">
        <f>FinCom!AT28</f>
        <v/>
      </c>
      <c r="AU28" s="17" t="str">
        <f>FinCom!AU28</f>
        <v/>
      </c>
    </row>
    <row r="29" spans="1:47" x14ac:dyDescent="0.25">
      <c r="A29" s="8">
        <v>24</v>
      </c>
      <c r="B29" s="2" t="str">
        <f>IF('Student List'!C33="","",UPPER(LEFT('Student List'!C33,FIND(",",'Student List'!C33)-1)))</f>
        <v/>
      </c>
      <c r="C29" s="12" t="str">
        <f>IF('Student List'!C33="","",PROPER(MID('Student List'!C33, FIND(",", 'Student List'!C33) + 2, LEN('Student List'!C33) - FIND(",", 'Student List'!C33) - 1)))</f>
        <v/>
      </c>
      <c r="D29" s="55"/>
      <c r="E29" s="8" t="str">
        <f>IF(Midterm!E29="",IF(D29="Yes","INC",Midterm!E29), Midterm!E29)</f>
        <v/>
      </c>
      <c r="F29" s="73" t="str">
        <f>IF(B29="","",SUM(('FT Attendance'!AV27*5),('FT Attendance'!AW27*3),('FT Attendance'!AX27*2)))</f>
        <v/>
      </c>
      <c r="G29" s="57" t="str">
        <f>FinCom!G29</f>
        <v/>
      </c>
      <c r="M29" s="111" t="str">
        <f>FinCom!M29</f>
        <v/>
      </c>
      <c r="N29" s="142"/>
      <c r="O29" s="142"/>
      <c r="P29" s="142"/>
      <c r="Q29" s="142"/>
      <c r="R29" s="142"/>
      <c r="S29" s="115" t="str">
        <f>FinCom!S29</f>
        <v/>
      </c>
      <c r="Y29" s="112" t="str">
        <f>FinCom!Y29</f>
        <v/>
      </c>
      <c r="AE29" s="58" t="str">
        <f>FinCom!AE29</f>
        <v/>
      </c>
      <c r="AK29" s="59" t="str">
        <f>FinCom!AK29</f>
        <v/>
      </c>
      <c r="AL29" s="60" t="str">
        <f>FinCom!AL29</f>
        <v/>
      </c>
      <c r="AQ29" s="61" t="str">
        <f>FinCom!AQ29</f>
        <v/>
      </c>
      <c r="AR29" s="31"/>
      <c r="AS29" s="165" t="str">
        <f>FinCom!AS29</f>
        <v/>
      </c>
      <c r="AT29" s="17" t="str">
        <f>FinCom!AT29</f>
        <v/>
      </c>
      <c r="AU29" s="17" t="str">
        <f>FinCom!AU29</f>
        <v/>
      </c>
    </row>
    <row r="30" spans="1:47" x14ac:dyDescent="0.25">
      <c r="A30" s="8">
        <v>25</v>
      </c>
      <c r="B30" s="2" t="str">
        <f>IF('Student List'!C34="","",UPPER(LEFT('Student List'!C34,FIND(",",'Student List'!C34)-1)))</f>
        <v/>
      </c>
      <c r="C30" s="12" t="str">
        <f>IF('Student List'!C34="","",PROPER(MID('Student List'!C34, FIND(",", 'Student List'!C34) + 2, LEN('Student List'!C34) - FIND(",", 'Student List'!C34) - 1)))</f>
        <v/>
      </c>
      <c r="D30" s="55"/>
      <c r="E30" s="8" t="str">
        <f>IF(Midterm!E30="",IF(D30="Yes","INC",Midterm!E30), Midterm!E30)</f>
        <v/>
      </c>
      <c r="F30" s="73" t="str">
        <f>IF(B30="","",SUM(('FT Attendance'!AV28*5),('FT Attendance'!AW28*3),('FT Attendance'!AX28*2)))</f>
        <v/>
      </c>
      <c r="G30" s="57" t="str">
        <f>FinCom!G30</f>
        <v/>
      </c>
      <c r="M30" s="111" t="str">
        <f>FinCom!M30</f>
        <v/>
      </c>
      <c r="N30" s="142"/>
      <c r="O30" s="142"/>
      <c r="P30" s="142"/>
      <c r="Q30" s="142"/>
      <c r="R30" s="142"/>
      <c r="S30" s="115" t="str">
        <f>FinCom!S30</f>
        <v/>
      </c>
      <c r="Y30" s="112" t="str">
        <f>FinCom!Y30</f>
        <v/>
      </c>
      <c r="AE30" s="58" t="str">
        <f>FinCom!AE30</f>
        <v/>
      </c>
      <c r="AK30" s="59" t="str">
        <f>FinCom!AK30</f>
        <v/>
      </c>
      <c r="AL30" s="60" t="str">
        <f>FinCom!AL30</f>
        <v/>
      </c>
      <c r="AQ30" s="61" t="str">
        <f>FinCom!AQ30</f>
        <v/>
      </c>
      <c r="AR30" s="31"/>
      <c r="AS30" s="165" t="str">
        <f>FinCom!AS30</f>
        <v/>
      </c>
      <c r="AT30" s="17" t="str">
        <f>FinCom!AT30</f>
        <v/>
      </c>
      <c r="AU30" s="17" t="str">
        <f>FinCom!AU30</f>
        <v/>
      </c>
    </row>
    <row r="31" spans="1:47" x14ac:dyDescent="0.25">
      <c r="A31" s="8">
        <v>26</v>
      </c>
      <c r="B31" s="2" t="str">
        <f>IF('Student List'!C35="","",UPPER(LEFT('Student List'!C35,FIND(",",'Student List'!C35)-1)))</f>
        <v/>
      </c>
      <c r="C31" s="12" t="str">
        <f>IF('Student List'!C35="","",PROPER(MID('Student List'!C35, FIND(",", 'Student List'!C35) + 2, LEN('Student List'!C35) - FIND(",", 'Student List'!C35) - 1)))</f>
        <v/>
      </c>
      <c r="D31" s="55"/>
      <c r="E31" s="8" t="str">
        <f>IF(Midterm!E31="",IF(D31="Yes","INC",Midterm!E31), Midterm!E31)</f>
        <v/>
      </c>
      <c r="F31" s="73" t="str">
        <f>IF(B31="","",SUM(('FT Attendance'!AV29*5),('FT Attendance'!AW29*3),('FT Attendance'!AX29*2)))</f>
        <v/>
      </c>
      <c r="G31" s="57" t="str">
        <f>FinCom!G31</f>
        <v/>
      </c>
      <c r="M31" s="111" t="str">
        <f>FinCom!M31</f>
        <v/>
      </c>
      <c r="N31" s="142"/>
      <c r="O31" s="142"/>
      <c r="P31" s="142"/>
      <c r="Q31" s="142"/>
      <c r="R31" s="142"/>
      <c r="S31" s="115" t="str">
        <f>FinCom!S31</f>
        <v/>
      </c>
      <c r="Y31" s="112" t="str">
        <f>FinCom!Y31</f>
        <v/>
      </c>
      <c r="AE31" s="58" t="str">
        <f>FinCom!AE31</f>
        <v/>
      </c>
      <c r="AK31" s="59" t="str">
        <f>FinCom!AK31</f>
        <v/>
      </c>
      <c r="AL31" s="60" t="str">
        <f>FinCom!AL31</f>
        <v/>
      </c>
      <c r="AQ31" s="61" t="str">
        <f>FinCom!AQ31</f>
        <v/>
      </c>
      <c r="AR31" s="31"/>
      <c r="AS31" s="165" t="str">
        <f>FinCom!AS31</f>
        <v/>
      </c>
      <c r="AT31" s="17" t="str">
        <f>FinCom!AT31</f>
        <v/>
      </c>
      <c r="AU31" s="17" t="str">
        <f>FinCom!AU31</f>
        <v/>
      </c>
    </row>
    <row r="32" spans="1:47" x14ac:dyDescent="0.25">
      <c r="A32" s="8">
        <v>27</v>
      </c>
      <c r="B32" s="2" t="str">
        <f>IF('Student List'!C36="","",UPPER(LEFT('Student List'!C36,FIND(",",'Student List'!C36)-1)))</f>
        <v/>
      </c>
      <c r="C32" s="12" t="str">
        <f>IF('Student List'!C36="","",PROPER(MID('Student List'!C36, FIND(",", 'Student List'!C36) + 2, LEN('Student List'!C36) - FIND(",", 'Student List'!C36) - 1)))</f>
        <v/>
      </c>
      <c r="D32" s="55"/>
      <c r="E32" s="8" t="str">
        <f>IF(Midterm!E32="",IF(D32="Yes","INC",Midterm!E32), Midterm!E32)</f>
        <v/>
      </c>
      <c r="F32" s="73" t="str">
        <f>IF(B32="","",SUM(('FT Attendance'!AV30*5),('FT Attendance'!AW30*3),('FT Attendance'!AX30*2)))</f>
        <v/>
      </c>
      <c r="G32" s="57" t="str">
        <f>FinCom!G32</f>
        <v/>
      </c>
      <c r="M32" s="111" t="str">
        <f>FinCom!M32</f>
        <v/>
      </c>
      <c r="N32" s="142"/>
      <c r="O32" s="142"/>
      <c r="P32" s="142"/>
      <c r="Q32" s="142"/>
      <c r="R32" s="142"/>
      <c r="S32" s="115" t="str">
        <f>FinCom!S32</f>
        <v/>
      </c>
      <c r="Y32" s="112" t="str">
        <f>FinCom!Y32</f>
        <v/>
      </c>
      <c r="AE32" s="58" t="str">
        <f>FinCom!AE32</f>
        <v/>
      </c>
      <c r="AK32" s="59" t="str">
        <f>FinCom!AK32</f>
        <v/>
      </c>
      <c r="AL32" s="60" t="str">
        <f>FinCom!AL32</f>
        <v/>
      </c>
      <c r="AQ32" s="61" t="str">
        <f>FinCom!AQ32</f>
        <v/>
      </c>
      <c r="AR32" s="31"/>
      <c r="AS32" s="165" t="str">
        <f>FinCom!AS32</f>
        <v/>
      </c>
      <c r="AT32" s="17" t="str">
        <f>FinCom!AT32</f>
        <v/>
      </c>
      <c r="AU32" s="17" t="str">
        <f>FinCom!AU32</f>
        <v/>
      </c>
    </row>
    <row r="33" spans="1:47" x14ac:dyDescent="0.25">
      <c r="A33" s="8">
        <v>28</v>
      </c>
      <c r="B33" s="2" t="str">
        <f>IF('Student List'!C37="","",UPPER(LEFT('Student List'!C37,FIND(",",'Student List'!C37)-1)))</f>
        <v/>
      </c>
      <c r="C33" s="12" t="str">
        <f>IF('Student List'!C37="","",PROPER(MID('Student List'!C37, FIND(",", 'Student List'!C37) + 2, LEN('Student List'!C37) - FIND(",", 'Student List'!C37) - 1)))</f>
        <v/>
      </c>
      <c r="D33" s="55"/>
      <c r="E33" s="8" t="str">
        <f>IF(Midterm!E33="",IF(D33="Yes","INC",Midterm!E33), Midterm!E33)</f>
        <v/>
      </c>
      <c r="F33" s="73" t="str">
        <f>IF(B33="","",SUM(('FT Attendance'!AV31*5),('FT Attendance'!AW31*3),('FT Attendance'!AX31*2)))</f>
        <v/>
      </c>
      <c r="G33" s="57" t="str">
        <f>FinCom!G33</f>
        <v/>
      </c>
      <c r="M33" s="111" t="str">
        <f>FinCom!M33</f>
        <v/>
      </c>
      <c r="N33" s="142"/>
      <c r="O33" s="142"/>
      <c r="P33" s="142"/>
      <c r="Q33" s="142"/>
      <c r="R33" s="142"/>
      <c r="S33" s="115" t="str">
        <f>FinCom!S33</f>
        <v/>
      </c>
      <c r="Y33" s="112" t="str">
        <f>FinCom!Y33</f>
        <v/>
      </c>
      <c r="AE33" s="58" t="str">
        <f>FinCom!AE33</f>
        <v/>
      </c>
      <c r="AK33" s="59" t="str">
        <f>FinCom!AK33</f>
        <v/>
      </c>
      <c r="AL33" s="60" t="str">
        <f>FinCom!AL33</f>
        <v/>
      </c>
      <c r="AQ33" s="61" t="str">
        <f>FinCom!AQ33</f>
        <v/>
      </c>
      <c r="AR33" s="31"/>
      <c r="AS33" s="165" t="str">
        <f>FinCom!AS33</f>
        <v/>
      </c>
      <c r="AT33" s="17" t="str">
        <f>FinCom!AT33</f>
        <v/>
      </c>
      <c r="AU33" s="17" t="str">
        <f>FinCom!AU33</f>
        <v/>
      </c>
    </row>
    <row r="34" spans="1:47" x14ac:dyDescent="0.25">
      <c r="A34" s="8">
        <v>29</v>
      </c>
      <c r="B34" s="2" t="str">
        <f>IF('Student List'!C38="","",UPPER(LEFT('Student List'!C38,FIND(",",'Student List'!C38)-1)))</f>
        <v/>
      </c>
      <c r="C34" s="12" t="str">
        <f>IF('Student List'!C38="","",PROPER(MID('Student List'!C38, FIND(",", 'Student List'!C38) + 2, LEN('Student List'!C38) - FIND(",", 'Student List'!C38) - 1)))</f>
        <v/>
      </c>
      <c r="D34" s="55"/>
      <c r="E34" s="8" t="str">
        <f>IF(Midterm!E34="",IF(D34="Yes","INC",Midterm!E34), Midterm!E34)</f>
        <v/>
      </c>
      <c r="F34" s="73" t="str">
        <f>IF(B34="","",SUM(('FT Attendance'!AV32*5),('FT Attendance'!AW32*3),('FT Attendance'!AX32*2)))</f>
        <v/>
      </c>
      <c r="G34" s="57" t="str">
        <f>FinCom!G34</f>
        <v/>
      </c>
      <c r="M34" s="111" t="str">
        <f>FinCom!M34</f>
        <v/>
      </c>
      <c r="N34" s="142"/>
      <c r="O34" s="142"/>
      <c r="P34" s="142"/>
      <c r="Q34" s="142"/>
      <c r="R34" s="142"/>
      <c r="S34" s="115" t="str">
        <f>FinCom!S34</f>
        <v/>
      </c>
      <c r="Y34" s="112" t="str">
        <f>FinCom!Y34</f>
        <v/>
      </c>
      <c r="AE34" s="58" t="str">
        <f>FinCom!AE34</f>
        <v/>
      </c>
      <c r="AK34" s="59" t="str">
        <f>FinCom!AK34</f>
        <v/>
      </c>
      <c r="AL34" s="60" t="str">
        <f>FinCom!AL34</f>
        <v/>
      </c>
      <c r="AQ34" s="61" t="str">
        <f>FinCom!AQ34</f>
        <v/>
      </c>
      <c r="AR34" s="31"/>
      <c r="AS34" s="165" t="str">
        <f>FinCom!AS34</f>
        <v/>
      </c>
      <c r="AT34" s="17" t="str">
        <f>FinCom!AT34</f>
        <v/>
      </c>
      <c r="AU34" s="17" t="str">
        <f>FinCom!AU34</f>
        <v/>
      </c>
    </row>
    <row r="35" spans="1:47" x14ac:dyDescent="0.25">
      <c r="A35" s="8">
        <v>30</v>
      </c>
      <c r="B35" s="2" t="str">
        <f>IF('Student List'!C39="","",UPPER(LEFT('Student List'!C39,FIND(",",'Student List'!C39)-1)))</f>
        <v/>
      </c>
      <c r="C35" s="12" t="str">
        <f>IF('Student List'!C39="","",PROPER(MID('Student List'!C39, FIND(",", 'Student List'!C39) + 2, LEN('Student List'!C39) - FIND(",", 'Student List'!C39) - 1)))</f>
        <v/>
      </c>
      <c r="D35" s="55"/>
      <c r="E35" s="8" t="str">
        <f>IF(Midterm!E35="",IF(D35="Yes","INC",Midterm!E35), Midterm!E35)</f>
        <v/>
      </c>
      <c r="F35" s="73" t="str">
        <f>IF(B35="","",SUM(('FT Attendance'!AV33*5),('FT Attendance'!AW33*3),('FT Attendance'!AX33*2)))</f>
        <v/>
      </c>
      <c r="G35" s="57" t="str">
        <f>FinCom!G35</f>
        <v/>
      </c>
      <c r="M35" s="111" t="str">
        <f>FinCom!M35</f>
        <v/>
      </c>
      <c r="N35" s="142"/>
      <c r="O35" s="142"/>
      <c r="P35" s="142"/>
      <c r="Q35" s="142"/>
      <c r="R35" s="142"/>
      <c r="S35" s="115" t="str">
        <f>FinCom!S35</f>
        <v/>
      </c>
      <c r="Y35" s="112" t="str">
        <f>FinCom!Y35</f>
        <v/>
      </c>
      <c r="AE35" s="58" t="str">
        <f>FinCom!AE35</f>
        <v/>
      </c>
      <c r="AK35" s="59" t="str">
        <f>FinCom!AK35</f>
        <v/>
      </c>
      <c r="AL35" s="60" t="str">
        <f>FinCom!AL35</f>
        <v/>
      </c>
      <c r="AQ35" s="61" t="str">
        <f>FinCom!AQ35</f>
        <v/>
      </c>
      <c r="AR35" s="31"/>
      <c r="AS35" s="165" t="str">
        <f>FinCom!AS35</f>
        <v/>
      </c>
      <c r="AT35" s="17" t="str">
        <f>FinCom!AT35</f>
        <v/>
      </c>
      <c r="AU35" s="17" t="str">
        <f>FinCom!AU35</f>
        <v/>
      </c>
    </row>
    <row r="36" spans="1:47" x14ac:dyDescent="0.25">
      <c r="A36" s="8">
        <v>31</v>
      </c>
      <c r="B36" s="2" t="str">
        <f>IF('Student List'!C40="","",UPPER(LEFT('Student List'!C40,FIND(",",'Student List'!C40)-1)))</f>
        <v/>
      </c>
      <c r="C36" s="12" t="str">
        <f>IF('Student List'!C40="","",PROPER(MID('Student List'!C40, FIND(",", 'Student List'!C40) + 2, LEN('Student List'!C40) - FIND(",", 'Student List'!C40) - 1)))</f>
        <v/>
      </c>
      <c r="D36" s="55"/>
      <c r="E36" s="8" t="str">
        <f>IF(Midterm!E36="",IF(D36="Yes","INC",Midterm!E36), Midterm!E36)</f>
        <v/>
      </c>
      <c r="F36" s="73" t="str">
        <f>IF(B36="","",SUM(('FT Attendance'!AV34*5),('FT Attendance'!AW34*3),('FT Attendance'!AX34*2)))</f>
        <v/>
      </c>
      <c r="G36" s="57" t="str">
        <f>FinCom!G36</f>
        <v/>
      </c>
      <c r="M36" s="111" t="str">
        <f>FinCom!M36</f>
        <v/>
      </c>
      <c r="N36" s="142"/>
      <c r="O36" s="142"/>
      <c r="P36" s="142"/>
      <c r="Q36" s="142"/>
      <c r="R36" s="142"/>
      <c r="S36" s="115" t="str">
        <f>FinCom!S36</f>
        <v/>
      </c>
      <c r="Y36" s="112" t="str">
        <f>FinCom!Y36</f>
        <v/>
      </c>
      <c r="AE36" s="58" t="str">
        <f>FinCom!AE36</f>
        <v/>
      </c>
      <c r="AK36" s="59" t="str">
        <f>FinCom!AK36</f>
        <v/>
      </c>
      <c r="AL36" s="60" t="str">
        <f>FinCom!AL36</f>
        <v/>
      </c>
      <c r="AQ36" s="61" t="str">
        <f>FinCom!AQ36</f>
        <v/>
      </c>
      <c r="AR36" s="31"/>
      <c r="AS36" s="165" t="str">
        <f>FinCom!AS36</f>
        <v/>
      </c>
      <c r="AT36" s="17" t="str">
        <f>FinCom!AT36</f>
        <v/>
      </c>
      <c r="AU36" s="17" t="str">
        <f>FinCom!AU36</f>
        <v/>
      </c>
    </row>
    <row r="37" spans="1:47" x14ac:dyDescent="0.25">
      <c r="A37" s="8">
        <v>32</v>
      </c>
      <c r="B37" s="2" t="str">
        <f>IF('Student List'!C41="","",UPPER(LEFT('Student List'!C41,FIND(",",'Student List'!C41)-1)))</f>
        <v/>
      </c>
      <c r="C37" s="12" t="str">
        <f>IF('Student List'!C41="","",PROPER(MID('Student List'!C41, FIND(",", 'Student List'!C41) + 2, LEN('Student List'!C41) - FIND(",", 'Student List'!C41) - 1)))</f>
        <v/>
      </c>
      <c r="D37" s="55"/>
      <c r="E37" s="8" t="str">
        <f>IF(Midterm!E37="",IF(D37="Yes","INC",Midterm!E37), Midterm!E37)</f>
        <v/>
      </c>
      <c r="F37" s="73" t="str">
        <f>IF(B37="","",SUM(('FT Attendance'!AV35*5),('FT Attendance'!AW35*3),('FT Attendance'!AX35*2)))</f>
        <v/>
      </c>
      <c r="G37" s="57" t="str">
        <f>FinCom!G37</f>
        <v/>
      </c>
      <c r="M37" s="111" t="str">
        <f>FinCom!M37</f>
        <v/>
      </c>
      <c r="N37" s="142"/>
      <c r="O37" s="142"/>
      <c r="P37" s="142"/>
      <c r="Q37" s="142"/>
      <c r="R37" s="142"/>
      <c r="S37" s="115" t="str">
        <f>FinCom!S37</f>
        <v/>
      </c>
      <c r="Y37" s="112" t="str">
        <f>FinCom!Y37</f>
        <v/>
      </c>
      <c r="AE37" s="58" t="str">
        <f>FinCom!AE37</f>
        <v/>
      </c>
      <c r="AK37" s="59" t="str">
        <f>FinCom!AK37</f>
        <v/>
      </c>
      <c r="AL37" s="60" t="str">
        <f>FinCom!AL37</f>
        <v/>
      </c>
      <c r="AQ37" s="61" t="str">
        <f>FinCom!AQ37</f>
        <v/>
      </c>
      <c r="AR37" s="31"/>
      <c r="AS37" s="165" t="str">
        <f>FinCom!AS37</f>
        <v/>
      </c>
      <c r="AT37" s="17" t="str">
        <f>FinCom!AT37</f>
        <v/>
      </c>
      <c r="AU37" s="17" t="str">
        <f>FinCom!AU37</f>
        <v/>
      </c>
    </row>
    <row r="38" spans="1:47" x14ac:dyDescent="0.25">
      <c r="A38" s="8">
        <v>33</v>
      </c>
      <c r="B38" s="2" t="str">
        <f>IF('Student List'!C42="","",UPPER(LEFT('Student List'!C42,FIND(",",'Student List'!C42)-1)))</f>
        <v/>
      </c>
      <c r="C38" s="12" t="str">
        <f>IF('Student List'!C42="","",PROPER(MID('Student List'!C42, FIND(",", 'Student List'!C42) + 2, LEN('Student List'!C42) - FIND(",", 'Student List'!C42) - 1)))</f>
        <v/>
      </c>
      <c r="D38" s="55"/>
      <c r="E38" s="8" t="str">
        <f>IF(Midterm!E38="",IF(D38="Yes","INC",Midterm!E38), Midterm!E38)</f>
        <v/>
      </c>
      <c r="F38" s="73" t="str">
        <f>IF(B38="","",SUM(('FT Attendance'!AV36*5),('FT Attendance'!AW36*3),('FT Attendance'!AX36*2)))</f>
        <v/>
      </c>
      <c r="G38" s="57" t="str">
        <f>FinCom!G38</f>
        <v/>
      </c>
      <c r="M38" s="111" t="str">
        <f>FinCom!M38</f>
        <v/>
      </c>
      <c r="N38" s="142"/>
      <c r="O38" s="142"/>
      <c r="P38" s="142"/>
      <c r="Q38" s="142"/>
      <c r="R38" s="142"/>
      <c r="S38" s="115" t="str">
        <f>FinCom!S38</f>
        <v/>
      </c>
      <c r="Y38" s="112" t="str">
        <f>FinCom!Y38</f>
        <v/>
      </c>
      <c r="AE38" s="58" t="str">
        <f>FinCom!AE38</f>
        <v/>
      </c>
      <c r="AK38" s="59" t="str">
        <f>FinCom!AK38</f>
        <v/>
      </c>
      <c r="AL38" s="60" t="str">
        <f>FinCom!AL38</f>
        <v/>
      </c>
      <c r="AQ38" s="61" t="str">
        <f>FinCom!AQ38</f>
        <v/>
      </c>
      <c r="AR38" s="31"/>
      <c r="AS38" s="165" t="str">
        <f>FinCom!AS38</f>
        <v/>
      </c>
      <c r="AT38" s="17" t="str">
        <f>FinCom!AT38</f>
        <v/>
      </c>
      <c r="AU38" s="17" t="str">
        <f>FinCom!AU38</f>
        <v/>
      </c>
    </row>
    <row r="39" spans="1:47" x14ac:dyDescent="0.25">
      <c r="A39" s="8">
        <v>34</v>
      </c>
      <c r="B39" s="2" t="str">
        <f>IF('Student List'!C43="","",UPPER(LEFT('Student List'!C43,FIND(",",'Student List'!C43)-1)))</f>
        <v/>
      </c>
      <c r="C39" s="12" t="str">
        <f>IF('Student List'!C43="","",PROPER(MID('Student List'!C43, FIND(",", 'Student List'!C43) + 2, LEN('Student List'!C43) - FIND(",", 'Student List'!C43) - 1)))</f>
        <v/>
      </c>
      <c r="D39" s="55"/>
      <c r="E39" s="8" t="str">
        <f>IF(Midterm!E39="",IF(D39="Yes","INC",Midterm!E39), Midterm!E39)</f>
        <v/>
      </c>
      <c r="F39" s="73" t="str">
        <f>IF(B39="","",SUM(('FT Attendance'!AV37*5),('FT Attendance'!AW37*3),('FT Attendance'!AX37*2)))</f>
        <v/>
      </c>
      <c r="G39" s="57" t="str">
        <f>FinCom!G39</f>
        <v/>
      </c>
      <c r="M39" s="111" t="str">
        <f>FinCom!M39</f>
        <v/>
      </c>
      <c r="N39" s="142"/>
      <c r="O39" s="142"/>
      <c r="P39" s="142"/>
      <c r="Q39" s="142"/>
      <c r="R39" s="142"/>
      <c r="S39" s="115" t="str">
        <f>FinCom!S39</f>
        <v/>
      </c>
      <c r="Y39" s="112" t="str">
        <f>FinCom!Y39</f>
        <v/>
      </c>
      <c r="AE39" s="58" t="str">
        <f>FinCom!AE39</f>
        <v/>
      </c>
      <c r="AK39" s="59" t="str">
        <f>FinCom!AK39</f>
        <v/>
      </c>
      <c r="AL39" s="60" t="str">
        <f>FinCom!AL39</f>
        <v/>
      </c>
      <c r="AQ39" s="61" t="str">
        <f>FinCom!AQ39</f>
        <v/>
      </c>
      <c r="AR39" s="31"/>
      <c r="AS39" s="165" t="str">
        <f>FinCom!AS39</f>
        <v/>
      </c>
      <c r="AT39" s="17" t="str">
        <f>FinCom!AT39</f>
        <v/>
      </c>
      <c r="AU39" s="17" t="str">
        <f>FinCom!AU39</f>
        <v/>
      </c>
    </row>
    <row r="40" spans="1:47" x14ac:dyDescent="0.25">
      <c r="A40" s="8">
        <v>35</v>
      </c>
      <c r="B40" s="2" t="str">
        <f>IF('Student List'!C44="","",UPPER(LEFT('Student List'!C44,FIND(",",'Student List'!C44)-1)))</f>
        <v/>
      </c>
      <c r="C40" s="12" t="str">
        <f>IF('Student List'!C44="","",PROPER(MID('Student List'!C44, FIND(",", 'Student List'!C44) + 2, LEN('Student List'!C44) - FIND(",", 'Student List'!C44) - 1)))</f>
        <v/>
      </c>
      <c r="D40" s="55"/>
      <c r="E40" s="8" t="str">
        <f>IF(Midterm!E40="",IF(D40="Yes","INC",Midterm!E40), Midterm!E40)</f>
        <v/>
      </c>
      <c r="F40" s="73" t="str">
        <f>IF(B40="","",SUM(('FT Attendance'!AV38*5),('FT Attendance'!AW38*3),('FT Attendance'!AX38*2)))</f>
        <v/>
      </c>
      <c r="G40" s="57" t="str">
        <f>FinCom!G40</f>
        <v/>
      </c>
      <c r="M40" s="111" t="str">
        <f>FinCom!M40</f>
        <v/>
      </c>
      <c r="N40" s="142"/>
      <c r="O40" s="142"/>
      <c r="P40" s="142"/>
      <c r="Q40" s="142"/>
      <c r="R40" s="142"/>
      <c r="S40" s="115" t="str">
        <f>FinCom!S40</f>
        <v/>
      </c>
      <c r="Y40" s="112" t="str">
        <f>FinCom!Y40</f>
        <v/>
      </c>
      <c r="AE40" s="58" t="str">
        <f>FinCom!AE40</f>
        <v/>
      </c>
      <c r="AK40" s="59" t="str">
        <f>FinCom!AK40</f>
        <v/>
      </c>
      <c r="AL40" s="60" t="str">
        <f>FinCom!AL40</f>
        <v/>
      </c>
      <c r="AQ40" s="61" t="str">
        <f>FinCom!AQ40</f>
        <v/>
      </c>
      <c r="AR40" s="31"/>
      <c r="AS40" s="165" t="str">
        <f>FinCom!AS40</f>
        <v/>
      </c>
      <c r="AT40" s="17" t="str">
        <f>FinCom!AT40</f>
        <v/>
      </c>
      <c r="AU40" s="17" t="str">
        <f>FinCom!AU40</f>
        <v/>
      </c>
    </row>
    <row r="41" spans="1:47" x14ac:dyDescent="0.25">
      <c r="A41" s="8">
        <v>36</v>
      </c>
      <c r="B41" s="2" t="str">
        <f>IF('Student List'!C45="","",UPPER(LEFT('Student List'!C45,FIND(",",'Student List'!C45)-1)))</f>
        <v/>
      </c>
      <c r="C41" s="12" t="str">
        <f>IF('Student List'!C45="","",PROPER(MID('Student List'!C45, FIND(",", 'Student List'!C45) + 2, LEN('Student List'!C45) - FIND(",", 'Student List'!C45) - 1)))</f>
        <v/>
      </c>
      <c r="D41" s="55"/>
      <c r="E41" s="8" t="str">
        <f>IF(Midterm!E41="",IF(D41="Yes","INC",Midterm!E41), Midterm!E41)</f>
        <v/>
      </c>
      <c r="F41" s="73" t="str">
        <f>IF(B41="","",SUM(('FT Attendance'!AV39*5),('FT Attendance'!AW39*3),('FT Attendance'!AX39*2)))</f>
        <v/>
      </c>
      <c r="G41" s="57" t="str">
        <f>FinCom!G41</f>
        <v/>
      </c>
      <c r="M41" s="111" t="str">
        <f>FinCom!M41</f>
        <v/>
      </c>
      <c r="N41" s="142"/>
      <c r="O41" s="142"/>
      <c r="P41" s="142"/>
      <c r="Q41" s="142"/>
      <c r="R41" s="142"/>
      <c r="S41" s="115" t="str">
        <f>FinCom!S41</f>
        <v/>
      </c>
      <c r="Y41" s="112" t="str">
        <f>FinCom!Y41</f>
        <v/>
      </c>
      <c r="AE41" s="58" t="str">
        <f>FinCom!AE41</f>
        <v/>
      </c>
      <c r="AK41" s="59" t="str">
        <f>FinCom!AK41</f>
        <v/>
      </c>
      <c r="AL41" s="60" t="str">
        <f>FinCom!AL41</f>
        <v/>
      </c>
      <c r="AQ41" s="61" t="str">
        <f>FinCom!AQ41</f>
        <v/>
      </c>
      <c r="AR41" s="31"/>
      <c r="AS41" s="165" t="str">
        <f>FinCom!AS41</f>
        <v/>
      </c>
      <c r="AT41" s="17" t="str">
        <f>FinCom!AT41</f>
        <v/>
      </c>
      <c r="AU41" s="17" t="str">
        <f>FinCom!AU41</f>
        <v/>
      </c>
    </row>
    <row r="42" spans="1:47" x14ac:dyDescent="0.25">
      <c r="A42" s="8">
        <v>37</v>
      </c>
      <c r="B42" s="2" t="str">
        <f>IF('Student List'!C46="","",UPPER(LEFT('Student List'!C46,FIND(",",'Student List'!C46)-1)))</f>
        <v/>
      </c>
      <c r="C42" s="12" t="str">
        <f>IF('Student List'!C46="","",PROPER(MID('Student List'!C46, FIND(",", 'Student List'!C46) + 2, LEN('Student List'!C46) - FIND(",", 'Student List'!C46) - 1)))</f>
        <v/>
      </c>
      <c r="D42" s="55"/>
      <c r="E42" s="8" t="str">
        <f>IF(Midterm!E42="",IF(D42="Yes","INC",Midterm!E42), Midterm!E42)</f>
        <v/>
      </c>
      <c r="F42" s="73" t="str">
        <f>IF(B42="","",SUM(('FT Attendance'!AV40*5),('FT Attendance'!AW40*3),('FT Attendance'!AX40*2)))</f>
        <v/>
      </c>
      <c r="G42" s="57" t="str">
        <f>FinCom!G42</f>
        <v/>
      </c>
      <c r="M42" s="111" t="str">
        <f>FinCom!M42</f>
        <v/>
      </c>
      <c r="N42" s="142"/>
      <c r="O42" s="142"/>
      <c r="P42" s="142"/>
      <c r="Q42" s="142"/>
      <c r="R42" s="142"/>
      <c r="S42" s="115" t="str">
        <f>FinCom!S42</f>
        <v/>
      </c>
      <c r="Y42" s="112" t="str">
        <f>FinCom!Y42</f>
        <v/>
      </c>
      <c r="AE42" s="58" t="str">
        <f>FinCom!AE42</f>
        <v/>
      </c>
      <c r="AK42" s="59" t="str">
        <f>FinCom!AK42</f>
        <v/>
      </c>
      <c r="AL42" s="60" t="str">
        <f>FinCom!AL42</f>
        <v/>
      </c>
      <c r="AQ42" s="61" t="str">
        <f>FinCom!AQ42</f>
        <v/>
      </c>
      <c r="AR42" s="31"/>
      <c r="AS42" s="165" t="str">
        <f>FinCom!AS42</f>
        <v/>
      </c>
      <c r="AT42" s="17" t="str">
        <f>FinCom!AT42</f>
        <v/>
      </c>
      <c r="AU42" s="17" t="str">
        <f>FinCom!AU42</f>
        <v/>
      </c>
    </row>
    <row r="43" spans="1:47" x14ac:dyDescent="0.25">
      <c r="A43" s="8">
        <v>38</v>
      </c>
      <c r="B43" s="2" t="str">
        <f>IF('Student List'!C47="","",UPPER(LEFT('Student List'!C47,FIND(",",'Student List'!C47)-1)))</f>
        <v/>
      </c>
      <c r="C43" s="12" t="str">
        <f>IF('Student List'!C47="","",PROPER(MID('Student List'!C47, FIND(",", 'Student List'!C47) + 2, LEN('Student List'!C47) - FIND(",", 'Student List'!C47) - 1)))</f>
        <v/>
      </c>
      <c r="D43" s="55"/>
      <c r="E43" s="8" t="str">
        <f>IF(Midterm!E43="",IF(D43="Yes","INC",Midterm!E43), Midterm!E43)</f>
        <v/>
      </c>
      <c r="F43" s="73" t="str">
        <f>IF(B43="","",SUM(('FT Attendance'!AV41*5),('FT Attendance'!AW41*3),('FT Attendance'!AX41*2)))</f>
        <v/>
      </c>
      <c r="G43" s="57" t="str">
        <f>FinCom!G43</f>
        <v/>
      </c>
      <c r="M43" s="111" t="str">
        <f>FinCom!M43</f>
        <v/>
      </c>
      <c r="N43" s="142"/>
      <c r="O43" s="142"/>
      <c r="P43" s="142"/>
      <c r="Q43" s="142"/>
      <c r="R43" s="142"/>
      <c r="S43" s="115" t="str">
        <f>FinCom!S43</f>
        <v/>
      </c>
      <c r="Y43" s="112" t="str">
        <f>FinCom!Y43</f>
        <v/>
      </c>
      <c r="AE43" s="58" t="str">
        <f>FinCom!AE43</f>
        <v/>
      </c>
      <c r="AK43" s="59" t="str">
        <f>FinCom!AK43</f>
        <v/>
      </c>
      <c r="AL43" s="60" t="str">
        <f>FinCom!AL43</f>
        <v/>
      </c>
      <c r="AQ43" s="61" t="str">
        <f>FinCom!AQ43</f>
        <v/>
      </c>
      <c r="AR43" s="31"/>
      <c r="AS43" s="165" t="str">
        <f>FinCom!AS43</f>
        <v/>
      </c>
      <c r="AT43" s="17" t="str">
        <f>FinCom!AT43</f>
        <v/>
      </c>
      <c r="AU43" s="17" t="str">
        <f>FinCom!AU43</f>
        <v/>
      </c>
    </row>
    <row r="44" spans="1:47" x14ac:dyDescent="0.25">
      <c r="A44" s="8">
        <v>39</v>
      </c>
      <c r="B44" s="2" t="str">
        <f>IF('Student List'!C48="","",UPPER(LEFT('Student List'!C48,FIND(",",'Student List'!C48)-1)))</f>
        <v/>
      </c>
      <c r="C44" s="12" t="str">
        <f>IF('Student List'!C48="","",PROPER(MID('Student List'!C48, FIND(",", 'Student List'!C48) + 2, LEN('Student List'!C48) - FIND(",", 'Student List'!C48) - 1)))</f>
        <v/>
      </c>
      <c r="D44" s="55"/>
      <c r="E44" s="8" t="str">
        <f>IF(Midterm!E44="",IF(D44="Yes","INC",Midterm!E44), Midterm!E44)</f>
        <v/>
      </c>
      <c r="F44" s="73" t="str">
        <f>IF(B44="","",SUM(('FT Attendance'!AV42*5),('FT Attendance'!AW42*3),('FT Attendance'!AX42*2)))</f>
        <v/>
      </c>
      <c r="G44" s="57" t="str">
        <f>FinCom!G44</f>
        <v/>
      </c>
      <c r="M44" s="111" t="str">
        <f>FinCom!M44</f>
        <v/>
      </c>
      <c r="N44" s="142"/>
      <c r="O44" s="142"/>
      <c r="P44" s="142"/>
      <c r="Q44" s="142"/>
      <c r="R44" s="142"/>
      <c r="S44" s="115" t="str">
        <f>FinCom!S44</f>
        <v/>
      </c>
      <c r="Y44" s="112" t="str">
        <f>FinCom!Y44</f>
        <v/>
      </c>
      <c r="AE44" s="58" t="str">
        <f>FinCom!AE44</f>
        <v/>
      </c>
      <c r="AK44" s="59" t="str">
        <f>FinCom!AK44</f>
        <v/>
      </c>
      <c r="AL44" s="60" t="str">
        <f>FinCom!AL44</f>
        <v/>
      </c>
      <c r="AQ44" s="61" t="str">
        <f>FinCom!AQ44</f>
        <v/>
      </c>
      <c r="AR44" s="31"/>
      <c r="AS44" s="165" t="str">
        <f>FinCom!AS44</f>
        <v/>
      </c>
      <c r="AT44" s="17" t="str">
        <f>FinCom!AT44</f>
        <v/>
      </c>
      <c r="AU44" s="17" t="str">
        <f>FinCom!AU44</f>
        <v/>
      </c>
    </row>
    <row r="45" spans="1:47" x14ac:dyDescent="0.25">
      <c r="A45" s="8">
        <v>40</v>
      </c>
      <c r="B45" s="2" t="str">
        <f>IF('Student List'!C49="","",UPPER(LEFT('Student List'!C49,FIND(",",'Student List'!C49)-1)))</f>
        <v/>
      </c>
      <c r="C45" s="12" t="str">
        <f>IF('Student List'!C49="","",PROPER(MID('Student List'!C49, FIND(",", 'Student List'!C49) + 2, LEN('Student List'!C49) - FIND(",", 'Student List'!C49) - 1)))</f>
        <v/>
      </c>
      <c r="D45" s="55"/>
      <c r="E45" s="8" t="str">
        <f>IF(Midterm!E45="",IF(D45="Yes","INC",Midterm!E45), Midterm!E45)</f>
        <v/>
      </c>
      <c r="F45" s="73" t="str">
        <f>IF(B45="","",SUM(('FT Attendance'!AV43*5),('FT Attendance'!AW43*3),('FT Attendance'!AX43*2)))</f>
        <v/>
      </c>
      <c r="G45" s="57" t="str">
        <f>FinCom!G45</f>
        <v/>
      </c>
      <c r="M45" s="111" t="str">
        <f>FinCom!M45</f>
        <v/>
      </c>
      <c r="N45" s="142"/>
      <c r="O45" s="142"/>
      <c r="P45" s="142"/>
      <c r="Q45" s="142"/>
      <c r="R45" s="142"/>
      <c r="S45" s="115" t="str">
        <f>FinCom!S45</f>
        <v/>
      </c>
      <c r="Y45" s="112" t="str">
        <f>FinCom!Y45</f>
        <v/>
      </c>
      <c r="AE45" s="58" t="str">
        <f>FinCom!AE45</f>
        <v/>
      </c>
      <c r="AK45" s="59" t="str">
        <f>FinCom!AK45</f>
        <v/>
      </c>
      <c r="AL45" s="60" t="str">
        <f>FinCom!AL45</f>
        <v/>
      </c>
      <c r="AQ45" s="61" t="str">
        <f>FinCom!AQ45</f>
        <v/>
      </c>
      <c r="AR45" s="31"/>
      <c r="AS45" s="165" t="str">
        <f>FinCom!AS45</f>
        <v/>
      </c>
      <c r="AT45" s="17" t="str">
        <f>FinCom!AT45</f>
        <v/>
      </c>
      <c r="AU45" s="17" t="str">
        <f>FinCom!AU45</f>
        <v/>
      </c>
    </row>
    <row r="46" spans="1:47" x14ac:dyDescent="0.25">
      <c r="A46" s="8">
        <v>41</v>
      </c>
      <c r="B46" s="2" t="str">
        <f>IF('Student List'!C50="","",UPPER(LEFT('Student List'!C50,FIND(",",'Student List'!C50)-1)))</f>
        <v/>
      </c>
      <c r="C46" s="12" t="str">
        <f>IF('Student List'!C50="","",PROPER(MID('Student List'!C50, FIND(",", 'Student List'!C50) + 2, LEN('Student List'!C50) - FIND(",", 'Student List'!C50) - 1)))</f>
        <v/>
      </c>
      <c r="D46" s="55"/>
      <c r="E46" s="8" t="str">
        <f>IF(Midterm!E46="",IF(D46="Yes","INC",Midterm!E46), Midterm!E46)</f>
        <v/>
      </c>
      <c r="F46" s="73" t="str">
        <f>IF(B46="","",SUM(('FT Attendance'!AV44*5),('FT Attendance'!AW44*3),('FT Attendance'!AX44*2)))</f>
        <v/>
      </c>
      <c r="G46" s="57" t="str">
        <f>FinCom!G46</f>
        <v/>
      </c>
      <c r="M46" s="111" t="str">
        <f>FinCom!M46</f>
        <v/>
      </c>
      <c r="N46" s="142"/>
      <c r="O46" s="142"/>
      <c r="P46" s="142"/>
      <c r="Q46" s="142"/>
      <c r="R46" s="142"/>
      <c r="S46" s="115" t="str">
        <f>FinCom!S46</f>
        <v/>
      </c>
      <c r="Y46" s="112" t="str">
        <f>FinCom!Y46</f>
        <v/>
      </c>
      <c r="AE46" s="58" t="str">
        <f>FinCom!AE46</f>
        <v/>
      </c>
      <c r="AK46" s="59" t="str">
        <f>FinCom!AK46</f>
        <v/>
      </c>
      <c r="AL46" s="60" t="str">
        <f>FinCom!AL46</f>
        <v/>
      </c>
      <c r="AQ46" s="61" t="str">
        <f>FinCom!AQ46</f>
        <v/>
      </c>
      <c r="AR46" s="31"/>
      <c r="AS46" s="165" t="str">
        <f>FinCom!AS46</f>
        <v/>
      </c>
      <c r="AT46" s="17" t="str">
        <f>FinCom!AT46</f>
        <v/>
      </c>
      <c r="AU46" s="17" t="str">
        <f>FinCom!AU46</f>
        <v/>
      </c>
    </row>
    <row r="47" spans="1:47" x14ac:dyDescent="0.25">
      <c r="A47" s="8">
        <v>42</v>
      </c>
      <c r="B47" s="2" t="str">
        <f>IF('Student List'!C51="","",UPPER(LEFT('Student List'!C51,FIND(",",'Student List'!C51)-1)))</f>
        <v/>
      </c>
      <c r="C47" s="12" t="str">
        <f>IF('Student List'!C51="","",PROPER(MID('Student List'!C51, FIND(",", 'Student List'!C51) + 2, LEN('Student List'!C51) - FIND(",", 'Student List'!C51) - 1)))</f>
        <v/>
      </c>
      <c r="D47" s="55"/>
      <c r="E47" s="8" t="str">
        <f>IF(Midterm!E47="",IF(D47="Yes","INC",Midterm!E47), Midterm!E47)</f>
        <v/>
      </c>
      <c r="F47" s="73" t="str">
        <f>IF(B47="","",SUM(('FT Attendance'!AV45*5),('FT Attendance'!AW45*3),('FT Attendance'!AX45*2)))</f>
        <v/>
      </c>
      <c r="G47" s="57" t="str">
        <f>FinCom!G47</f>
        <v/>
      </c>
      <c r="M47" s="111" t="str">
        <f>FinCom!M47</f>
        <v/>
      </c>
      <c r="N47" s="142"/>
      <c r="O47" s="142"/>
      <c r="P47" s="142"/>
      <c r="Q47" s="142"/>
      <c r="R47" s="142"/>
      <c r="S47" s="115" t="str">
        <f>FinCom!S47</f>
        <v/>
      </c>
      <c r="Y47" s="112" t="str">
        <f>FinCom!Y47</f>
        <v/>
      </c>
      <c r="AE47" s="58" t="str">
        <f>FinCom!AE47</f>
        <v/>
      </c>
      <c r="AK47" s="59" t="str">
        <f>FinCom!AK47</f>
        <v/>
      </c>
      <c r="AL47" s="60" t="str">
        <f>FinCom!AL47</f>
        <v/>
      </c>
      <c r="AQ47" s="61" t="str">
        <f>FinCom!AQ47</f>
        <v/>
      </c>
      <c r="AR47" s="31"/>
      <c r="AS47" s="165" t="str">
        <f>FinCom!AS47</f>
        <v/>
      </c>
      <c r="AT47" s="17" t="str">
        <f>FinCom!AT47</f>
        <v/>
      </c>
      <c r="AU47" s="17" t="str">
        <f>FinCom!AU47</f>
        <v/>
      </c>
    </row>
    <row r="48" spans="1:47" x14ac:dyDescent="0.25">
      <c r="A48" s="8">
        <v>43</v>
      </c>
      <c r="B48" s="2" t="str">
        <f>IF('Student List'!C52="","",UPPER(LEFT('Student List'!C52,FIND(",",'Student List'!C52)-1)))</f>
        <v/>
      </c>
      <c r="C48" s="12" t="str">
        <f>IF('Student List'!C52="","",PROPER(MID('Student List'!C52, FIND(",", 'Student List'!C52) + 2, LEN('Student List'!C52) - FIND(",", 'Student List'!C52) - 1)))</f>
        <v/>
      </c>
      <c r="D48" s="55"/>
      <c r="E48" s="8" t="str">
        <f>IF(Midterm!E48="",IF(D48="Yes","INC",Midterm!E48), Midterm!E48)</f>
        <v/>
      </c>
      <c r="F48" s="73" t="str">
        <f>IF(B48="","",SUM(('FT Attendance'!AV46*5),('FT Attendance'!AW46*3),('FT Attendance'!AX46*2)))</f>
        <v/>
      </c>
      <c r="G48" s="57" t="str">
        <f>FinCom!G48</f>
        <v/>
      </c>
      <c r="M48" s="111" t="str">
        <f>FinCom!M48</f>
        <v/>
      </c>
      <c r="N48" s="142"/>
      <c r="O48" s="142"/>
      <c r="P48" s="142"/>
      <c r="Q48" s="142"/>
      <c r="R48" s="142"/>
      <c r="S48" s="115" t="str">
        <f>FinCom!S48</f>
        <v/>
      </c>
      <c r="Y48" s="112" t="str">
        <f>FinCom!Y48</f>
        <v/>
      </c>
      <c r="AE48" s="58" t="str">
        <f>FinCom!AE48</f>
        <v/>
      </c>
      <c r="AK48" s="59" t="str">
        <f>FinCom!AK48</f>
        <v/>
      </c>
      <c r="AL48" s="60" t="str">
        <f>FinCom!AL48</f>
        <v/>
      </c>
      <c r="AQ48" s="61" t="str">
        <f>FinCom!AQ48</f>
        <v/>
      </c>
      <c r="AR48" s="31"/>
      <c r="AS48" s="165" t="str">
        <f>FinCom!AS48</f>
        <v/>
      </c>
      <c r="AT48" s="17" t="str">
        <f>FinCom!AT48</f>
        <v/>
      </c>
      <c r="AU48" s="17" t="str">
        <f>FinCom!AU48</f>
        <v/>
      </c>
    </row>
    <row r="49" spans="1:47" x14ac:dyDescent="0.25">
      <c r="A49" s="8">
        <v>44</v>
      </c>
      <c r="B49" s="2" t="str">
        <f>IF('Student List'!C53="","",UPPER(LEFT('Student List'!C53,FIND(",",'Student List'!C53)-1)))</f>
        <v/>
      </c>
      <c r="C49" s="12" t="str">
        <f>IF('Student List'!C53="","",PROPER(MID('Student List'!C53, FIND(",", 'Student List'!C53) + 2, LEN('Student List'!C53) - FIND(",", 'Student List'!C53) - 1)))</f>
        <v/>
      </c>
      <c r="D49" s="55"/>
      <c r="E49" s="8" t="str">
        <f>IF(Midterm!E49="",IF(D49="Yes","INC",Midterm!E49), Midterm!E49)</f>
        <v/>
      </c>
      <c r="F49" s="73" t="str">
        <f>IF(B49="","",SUM(('FT Attendance'!AV47*5),('FT Attendance'!AW47*3),('FT Attendance'!AX47*2)))</f>
        <v/>
      </c>
      <c r="G49" s="57" t="str">
        <f>FinCom!G49</f>
        <v/>
      </c>
      <c r="M49" s="111" t="str">
        <f>FinCom!M49</f>
        <v/>
      </c>
      <c r="N49" s="142"/>
      <c r="O49" s="142"/>
      <c r="P49" s="142"/>
      <c r="Q49" s="142"/>
      <c r="R49" s="142"/>
      <c r="S49" s="115" t="str">
        <f>FinCom!S49</f>
        <v/>
      </c>
      <c r="Y49" s="112" t="str">
        <f>FinCom!Y49</f>
        <v/>
      </c>
      <c r="AE49" s="58" t="str">
        <f>FinCom!AE49</f>
        <v/>
      </c>
      <c r="AK49" s="59" t="str">
        <f>FinCom!AK49</f>
        <v/>
      </c>
      <c r="AL49" s="60" t="str">
        <f>FinCom!AL49</f>
        <v/>
      </c>
      <c r="AQ49" s="61" t="str">
        <f>FinCom!AQ49</f>
        <v/>
      </c>
      <c r="AR49" s="31"/>
      <c r="AS49" s="165" t="str">
        <f>FinCom!AS49</f>
        <v/>
      </c>
      <c r="AT49" s="17" t="str">
        <f>FinCom!AT49</f>
        <v/>
      </c>
      <c r="AU49" s="17" t="str">
        <f>FinCom!AU49</f>
        <v/>
      </c>
    </row>
    <row r="50" spans="1:47" x14ac:dyDescent="0.25">
      <c r="A50" s="8">
        <v>45</v>
      </c>
      <c r="B50" s="2" t="str">
        <f>IF('Student List'!C54="","",UPPER(LEFT('Student List'!C54,FIND(",",'Student List'!C54)-1)))</f>
        <v/>
      </c>
      <c r="C50" s="12" t="str">
        <f>IF('Student List'!C54="","",PROPER(MID('Student List'!C54, FIND(",", 'Student List'!C54) + 2, LEN('Student List'!C54) - FIND(",", 'Student List'!C54) - 1)))</f>
        <v/>
      </c>
      <c r="D50" s="55"/>
      <c r="E50" s="8" t="str">
        <f>IF(Midterm!E50="",IF(D50="Yes","INC",Midterm!E50), Midterm!E50)</f>
        <v/>
      </c>
      <c r="F50" s="73" t="str">
        <f>IF(B50="","",SUM(('FT Attendance'!AV48*5),('FT Attendance'!AW48*3),('FT Attendance'!AX48*2)))</f>
        <v/>
      </c>
      <c r="G50" s="57" t="str">
        <f>FinCom!G50</f>
        <v/>
      </c>
      <c r="M50" s="111" t="str">
        <f>FinCom!M50</f>
        <v/>
      </c>
      <c r="N50" s="142"/>
      <c r="O50" s="142"/>
      <c r="P50" s="142"/>
      <c r="Q50" s="142"/>
      <c r="R50" s="142"/>
      <c r="S50" s="115" t="str">
        <f>FinCom!S50</f>
        <v/>
      </c>
      <c r="Y50" s="112" t="str">
        <f>FinCom!Y50</f>
        <v/>
      </c>
      <c r="AE50" s="58" t="str">
        <f>FinCom!AE50</f>
        <v/>
      </c>
      <c r="AK50" s="59" t="str">
        <f>FinCom!AK50</f>
        <v/>
      </c>
      <c r="AL50" s="60" t="str">
        <f>FinCom!AL50</f>
        <v/>
      </c>
      <c r="AQ50" s="61" t="str">
        <f>FinCom!AQ50</f>
        <v/>
      </c>
      <c r="AR50" s="31"/>
      <c r="AS50" s="165" t="str">
        <f>FinCom!AS50</f>
        <v/>
      </c>
      <c r="AT50" s="17" t="str">
        <f>FinCom!AT50</f>
        <v/>
      </c>
      <c r="AU50" s="17" t="str">
        <f>FinCom!AU50</f>
        <v/>
      </c>
    </row>
    <row r="51" spans="1:47" x14ac:dyDescent="0.25">
      <c r="A51" s="8">
        <v>46</v>
      </c>
      <c r="B51" s="2" t="str">
        <f>IF('Student List'!C55="","",UPPER(LEFT('Student List'!C55,FIND(",",'Student List'!C55)-1)))</f>
        <v/>
      </c>
      <c r="C51" s="12" t="str">
        <f>IF('Student List'!C55="","",PROPER(MID('Student List'!C55, FIND(",", 'Student List'!C55) + 2, LEN('Student List'!C55) - FIND(",", 'Student List'!C55) - 1)))</f>
        <v/>
      </c>
      <c r="D51" s="55"/>
      <c r="E51" s="8" t="str">
        <f>IF(Midterm!E51="",IF(D51="Yes","INC",Midterm!E51), Midterm!E51)</f>
        <v/>
      </c>
      <c r="F51" s="73" t="str">
        <f>IF(B51="","",SUM(('FT Attendance'!AV49*5),('FT Attendance'!AW49*3),('FT Attendance'!AX49*2)))</f>
        <v/>
      </c>
      <c r="G51" s="57" t="str">
        <f>FinCom!G51</f>
        <v/>
      </c>
      <c r="M51" s="111" t="str">
        <f>FinCom!M51</f>
        <v/>
      </c>
      <c r="N51" s="142"/>
      <c r="O51" s="142"/>
      <c r="P51" s="142"/>
      <c r="Q51" s="142"/>
      <c r="R51" s="142"/>
      <c r="S51" s="115" t="str">
        <f>FinCom!S51</f>
        <v/>
      </c>
      <c r="Y51" s="112" t="str">
        <f>FinCom!Y51</f>
        <v/>
      </c>
      <c r="AE51" s="58" t="str">
        <f>FinCom!AE51</f>
        <v/>
      </c>
      <c r="AK51" s="59" t="str">
        <f>FinCom!AK51</f>
        <v/>
      </c>
      <c r="AL51" s="60" t="str">
        <f>FinCom!AL51</f>
        <v/>
      </c>
      <c r="AQ51" s="61" t="str">
        <f>FinCom!AQ51</f>
        <v/>
      </c>
      <c r="AR51" s="31"/>
      <c r="AS51" s="165" t="str">
        <f>FinCom!AS51</f>
        <v/>
      </c>
      <c r="AT51" s="17" t="str">
        <f>FinCom!AT51</f>
        <v/>
      </c>
      <c r="AU51" s="17" t="str">
        <f>FinCom!AU51</f>
        <v/>
      </c>
    </row>
    <row r="52" spans="1:47" x14ac:dyDescent="0.25">
      <c r="A52" s="8">
        <v>47</v>
      </c>
      <c r="B52" s="2" t="str">
        <f>IF('Student List'!C56="","",UPPER(LEFT('Student List'!C56,FIND(",",'Student List'!C56)-1)))</f>
        <v/>
      </c>
      <c r="C52" s="12" t="str">
        <f>IF('Student List'!C56="","",PROPER(MID('Student List'!C56, FIND(",", 'Student List'!C56) + 2, LEN('Student List'!C56) - FIND(",", 'Student List'!C56) - 1)))</f>
        <v/>
      </c>
      <c r="D52" s="55"/>
      <c r="E52" s="8" t="str">
        <f>IF(Midterm!E52="",IF(D52="Yes","INC",Midterm!E52), Midterm!E52)</f>
        <v/>
      </c>
      <c r="F52" s="73" t="str">
        <f>IF(B52="","",SUM(('FT Attendance'!AV50*5),('FT Attendance'!AW50*3),('FT Attendance'!AX50*2)))</f>
        <v/>
      </c>
      <c r="G52" s="57" t="str">
        <f>FinCom!G52</f>
        <v/>
      </c>
      <c r="M52" s="111" t="str">
        <f>FinCom!M52</f>
        <v/>
      </c>
      <c r="N52" s="142"/>
      <c r="O52" s="142"/>
      <c r="P52" s="142"/>
      <c r="Q52" s="142"/>
      <c r="R52" s="142"/>
      <c r="S52" s="115" t="str">
        <f>FinCom!S52</f>
        <v/>
      </c>
      <c r="Y52" s="112" t="str">
        <f>FinCom!Y52</f>
        <v/>
      </c>
      <c r="AE52" s="58" t="str">
        <f>FinCom!AE52</f>
        <v/>
      </c>
      <c r="AK52" s="59" t="str">
        <f>FinCom!AK52</f>
        <v/>
      </c>
      <c r="AL52" s="60" t="str">
        <f>FinCom!AL52</f>
        <v/>
      </c>
      <c r="AQ52" s="61" t="str">
        <f>FinCom!AQ52</f>
        <v/>
      </c>
      <c r="AR52" s="31"/>
      <c r="AS52" s="165" t="str">
        <f>FinCom!AS52</f>
        <v/>
      </c>
      <c r="AT52" s="17" t="str">
        <f>FinCom!AT52</f>
        <v/>
      </c>
      <c r="AU52" s="17" t="str">
        <f>FinCom!AU52</f>
        <v/>
      </c>
    </row>
    <row r="53" spans="1:47" x14ac:dyDescent="0.25">
      <c r="A53" s="8">
        <v>48</v>
      </c>
      <c r="B53" s="2" t="str">
        <f>IF('Student List'!C57="","",UPPER(LEFT('Student List'!C57,FIND(",",'Student List'!C57)-1)))</f>
        <v/>
      </c>
      <c r="C53" s="12" t="str">
        <f>IF('Student List'!C57="","",PROPER(MID('Student List'!C57, FIND(",", 'Student List'!C57) + 2, LEN('Student List'!C57) - FIND(",", 'Student List'!C57) - 1)))</f>
        <v/>
      </c>
      <c r="D53" s="55"/>
      <c r="E53" s="8" t="str">
        <f>IF(Midterm!E53="",IF(D53="Yes","INC",Midterm!E53), Midterm!E53)</f>
        <v/>
      </c>
      <c r="F53" s="73" t="str">
        <f>IF(B53="","",SUM(('FT Attendance'!AV51*5),('FT Attendance'!AW51*3),('FT Attendance'!AX51*2)))</f>
        <v/>
      </c>
      <c r="G53" s="57" t="str">
        <f>FinCom!G53</f>
        <v/>
      </c>
      <c r="M53" s="111" t="str">
        <f>FinCom!M53</f>
        <v/>
      </c>
      <c r="N53" s="142"/>
      <c r="O53" s="142"/>
      <c r="P53" s="142"/>
      <c r="Q53" s="142"/>
      <c r="R53" s="142"/>
      <c r="S53" s="115" t="str">
        <f>FinCom!S53</f>
        <v/>
      </c>
      <c r="Y53" s="112" t="str">
        <f>FinCom!Y53</f>
        <v/>
      </c>
      <c r="AE53" s="58" t="str">
        <f>FinCom!AE53</f>
        <v/>
      </c>
      <c r="AK53" s="59" t="str">
        <f>FinCom!AK53</f>
        <v/>
      </c>
      <c r="AL53" s="60" t="str">
        <f>FinCom!AL53</f>
        <v/>
      </c>
      <c r="AQ53" s="61" t="str">
        <f>FinCom!AQ53</f>
        <v/>
      </c>
      <c r="AR53" s="31"/>
      <c r="AS53" s="165" t="str">
        <f>FinCom!AS53</f>
        <v/>
      </c>
      <c r="AT53" s="17" t="str">
        <f>FinCom!AT53</f>
        <v/>
      </c>
      <c r="AU53" s="17" t="str">
        <f>FinCom!AU53</f>
        <v/>
      </c>
    </row>
    <row r="54" spans="1:47" x14ac:dyDescent="0.25">
      <c r="A54" s="8">
        <v>49</v>
      </c>
      <c r="B54" s="2" t="str">
        <f>IF('Student List'!C58="","",UPPER(LEFT('Student List'!C58,FIND(",",'Student List'!C58)-1)))</f>
        <v/>
      </c>
      <c r="C54" s="12" t="str">
        <f>IF('Student List'!C58="","",PROPER(MID('Student List'!C58, FIND(",", 'Student List'!C58) + 2, LEN('Student List'!C58) - FIND(",", 'Student List'!C58) - 1)))</f>
        <v/>
      </c>
      <c r="D54" s="55"/>
      <c r="E54" s="8" t="str">
        <f>IF(Midterm!E54="",IF(D54="Yes","INC",Midterm!E54), Midterm!E54)</f>
        <v/>
      </c>
      <c r="F54" s="73" t="str">
        <f>IF(B54="","",SUM(('FT Attendance'!AV52*5),('FT Attendance'!AW52*3),('FT Attendance'!AX52*2)))</f>
        <v/>
      </c>
      <c r="G54" s="57" t="str">
        <f>FinCom!G54</f>
        <v/>
      </c>
      <c r="M54" s="111" t="str">
        <f>FinCom!M54</f>
        <v/>
      </c>
      <c r="N54" s="142"/>
      <c r="O54" s="142"/>
      <c r="P54" s="142"/>
      <c r="Q54" s="142"/>
      <c r="R54" s="142"/>
      <c r="S54" s="115" t="str">
        <f>FinCom!S54</f>
        <v/>
      </c>
      <c r="Y54" s="112" t="str">
        <f>FinCom!Y54</f>
        <v/>
      </c>
      <c r="AE54" s="58" t="str">
        <f>FinCom!AE54</f>
        <v/>
      </c>
      <c r="AK54" s="59" t="str">
        <f>FinCom!AK54</f>
        <v/>
      </c>
      <c r="AL54" s="60" t="str">
        <f>FinCom!AL54</f>
        <v/>
      </c>
      <c r="AQ54" s="61" t="str">
        <f>FinCom!AQ54</f>
        <v/>
      </c>
      <c r="AR54" s="31"/>
      <c r="AS54" s="165" t="str">
        <f>FinCom!AS54</f>
        <v/>
      </c>
      <c r="AT54" s="17" t="str">
        <f>FinCom!AT54</f>
        <v/>
      </c>
      <c r="AU54" s="17" t="str">
        <f>FinCom!AU54</f>
        <v/>
      </c>
    </row>
    <row r="55" spans="1:47" x14ac:dyDescent="0.25">
      <c r="A55" s="8">
        <v>50</v>
      </c>
      <c r="B55" s="2" t="str">
        <f>IF('Student List'!C59="","",UPPER(LEFT('Student List'!C59,FIND(",",'Student List'!C59)-1)))</f>
        <v/>
      </c>
      <c r="C55" s="12" t="str">
        <f>IF('Student List'!C59="","",PROPER(MID('Student List'!C59, FIND(",", 'Student List'!C59) + 2, LEN('Student List'!C59) - FIND(",", 'Student List'!C59) - 1)))</f>
        <v/>
      </c>
      <c r="D55" s="55"/>
      <c r="E55" s="8" t="str">
        <f>IF(Midterm!E55="",IF(D55="Yes","INC",Midterm!E55), Midterm!E55)</f>
        <v/>
      </c>
      <c r="F55" s="73" t="str">
        <f>IF(B55="","",SUM(('FT Attendance'!AV53*5),('FT Attendance'!AW53*3),('FT Attendance'!AX53*2)))</f>
        <v/>
      </c>
      <c r="G55" s="57" t="str">
        <f>FinCom!G55</f>
        <v/>
      </c>
      <c r="M55" s="111" t="str">
        <f>FinCom!M55</f>
        <v/>
      </c>
      <c r="N55" s="142"/>
      <c r="O55" s="142"/>
      <c r="P55" s="142"/>
      <c r="Q55" s="142"/>
      <c r="R55" s="142"/>
      <c r="S55" s="115" t="str">
        <f>FinCom!S55</f>
        <v/>
      </c>
      <c r="Y55" s="112" t="str">
        <f>FinCom!Y55</f>
        <v/>
      </c>
      <c r="AE55" s="58" t="str">
        <f>FinCom!AE55</f>
        <v/>
      </c>
      <c r="AK55" s="59" t="str">
        <f>FinCom!AK55</f>
        <v/>
      </c>
      <c r="AL55" s="60" t="str">
        <f>FinCom!AL55</f>
        <v/>
      </c>
      <c r="AQ55" s="61" t="str">
        <f>FinCom!AQ55</f>
        <v/>
      </c>
      <c r="AR55" s="31"/>
      <c r="AS55" s="165" t="str">
        <f>FinCom!AS55</f>
        <v/>
      </c>
      <c r="AT55" s="17" t="str">
        <f>FinCom!AT55</f>
        <v/>
      </c>
      <c r="AU55" s="17" t="str">
        <f>FinCom!AU55</f>
        <v/>
      </c>
    </row>
    <row r="56" spans="1:47" x14ac:dyDescent="0.25">
      <c r="A56" s="8">
        <v>51</v>
      </c>
      <c r="B56" s="2" t="str">
        <f>IF('Student List'!C60="","",UPPER(LEFT('Student List'!C60,FIND(",",'Student List'!C60)-1)))</f>
        <v/>
      </c>
      <c r="C56" s="12" t="str">
        <f>IF('Student List'!C60="","",PROPER(MID('Student List'!C60, FIND(",", 'Student List'!C60) + 2, LEN('Student List'!C60) - FIND(",", 'Student List'!C60) - 1)))</f>
        <v/>
      </c>
      <c r="D56" s="55"/>
      <c r="E56" s="8" t="str">
        <f>IF(Midterm!E56="",IF(D56="Yes","INC",Midterm!E56), Midterm!E56)</f>
        <v/>
      </c>
      <c r="F56" s="73" t="str">
        <f>IF(B56="","",SUM(('FT Attendance'!AV54*5),('FT Attendance'!AW54*3),('FT Attendance'!AX54*2)))</f>
        <v/>
      </c>
      <c r="G56" s="57" t="str">
        <f>FinCom!G56</f>
        <v/>
      </c>
      <c r="M56" s="111" t="str">
        <f>FinCom!M56</f>
        <v/>
      </c>
      <c r="N56" s="142"/>
      <c r="O56" s="142"/>
      <c r="P56" s="142"/>
      <c r="Q56" s="142"/>
      <c r="R56" s="142"/>
      <c r="S56" s="115" t="str">
        <f>FinCom!S56</f>
        <v/>
      </c>
      <c r="Y56" s="112" t="str">
        <f>FinCom!Y56</f>
        <v/>
      </c>
      <c r="AE56" s="58" t="str">
        <f>FinCom!AE56</f>
        <v/>
      </c>
      <c r="AK56" s="59" t="str">
        <f>FinCom!AK56</f>
        <v/>
      </c>
      <c r="AL56" s="60" t="str">
        <f>FinCom!AL56</f>
        <v/>
      </c>
      <c r="AQ56" s="61" t="str">
        <f>FinCom!AQ56</f>
        <v/>
      </c>
      <c r="AR56" s="31"/>
      <c r="AS56" s="165" t="str">
        <f>FinCom!AS56</f>
        <v/>
      </c>
      <c r="AT56" s="17" t="str">
        <f>FinCom!AT56</f>
        <v/>
      </c>
      <c r="AU56" s="17" t="str">
        <f>FinCom!AU56</f>
        <v/>
      </c>
    </row>
    <row r="57" spans="1:47" x14ac:dyDescent="0.25">
      <c r="A57" s="8">
        <v>52</v>
      </c>
      <c r="B57" s="2" t="str">
        <f>IF('Student List'!C61="","",UPPER(LEFT('Student List'!C61,FIND(",",'Student List'!C61)-1)))</f>
        <v/>
      </c>
      <c r="C57" s="12" t="str">
        <f>IF('Student List'!C61="","",PROPER(MID('Student List'!C61, FIND(",", 'Student List'!C61) + 2, LEN('Student List'!C61) - FIND(",", 'Student List'!C61) - 1)))</f>
        <v/>
      </c>
      <c r="D57" s="55"/>
      <c r="E57" s="8" t="str">
        <f>IF(Midterm!E57="",IF(D57="Yes","INC",Midterm!E57), Midterm!E57)</f>
        <v/>
      </c>
      <c r="F57" s="73" t="str">
        <f>IF(B57="","",SUM(('FT Attendance'!AV55*5),('FT Attendance'!AW55*3),('FT Attendance'!AX55*2)))</f>
        <v/>
      </c>
      <c r="G57" s="57" t="str">
        <f>FinCom!G57</f>
        <v/>
      </c>
      <c r="M57" s="111" t="str">
        <f>FinCom!M57</f>
        <v/>
      </c>
      <c r="N57" s="142"/>
      <c r="O57" s="142"/>
      <c r="P57" s="142"/>
      <c r="Q57" s="142"/>
      <c r="R57" s="142"/>
      <c r="S57" s="115" t="str">
        <f>FinCom!S57</f>
        <v/>
      </c>
      <c r="Y57" s="112" t="str">
        <f>FinCom!Y57</f>
        <v/>
      </c>
      <c r="AE57" s="58" t="str">
        <f>FinCom!AE57</f>
        <v/>
      </c>
      <c r="AK57" s="59" t="str">
        <f>FinCom!AK57</f>
        <v/>
      </c>
      <c r="AL57" s="60" t="str">
        <f>FinCom!AL57</f>
        <v/>
      </c>
      <c r="AQ57" s="61" t="str">
        <f>FinCom!AQ57</f>
        <v/>
      </c>
      <c r="AR57" s="31"/>
      <c r="AS57" s="165" t="str">
        <f>FinCom!AS57</f>
        <v/>
      </c>
      <c r="AT57" s="17" t="str">
        <f>FinCom!AT57</f>
        <v/>
      </c>
      <c r="AU57" s="17" t="str">
        <f>FinCom!AU57</f>
        <v/>
      </c>
    </row>
    <row r="58" spans="1:47" x14ac:dyDescent="0.25">
      <c r="A58" s="8">
        <v>53</v>
      </c>
      <c r="B58" s="2" t="str">
        <f>IF('Student List'!C62="","",UPPER(LEFT('Student List'!C62,FIND(",",'Student List'!C62)-1)))</f>
        <v/>
      </c>
      <c r="C58" s="12" t="str">
        <f>IF('Student List'!C62="","",PROPER(MID('Student List'!C62, FIND(",", 'Student List'!C62) + 2, LEN('Student List'!C62) - FIND(",", 'Student List'!C62) - 1)))</f>
        <v/>
      </c>
      <c r="D58" s="55"/>
      <c r="E58" s="8" t="str">
        <f>IF(Midterm!E58="",IF(D58="Yes","INC",Midterm!E58), Midterm!E58)</f>
        <v/>
      </c>
      <c r="F58" s="73" t="str">
        <f>IF(B58="","",SUM(('FT Attendance'!AV56*5),('FT Attendance'!AW56*3),('FT Attendance'!AX56*2)))</f>
        <v/>
      </c>
      <c r="G58" s="57" t="str">
        <f>FinCom!G58</f>
        <v/>
      </c>
      <c r="M58" s="111" t="str">
        <f>FinCom!M58</f>
        <v/>
      </c>
      <c r="N58" s="142"/>
      <c r="O58" s="142"/>
      <c r="P58" s="142"/>
      <c r="Q58" s="142"/>
      <c r="R58" s="142"/>
      <c r="S58" s="115" t="str">
        <f>FinCom!S58</f>
        <v/>
      </c>
      <c r="Y58" s="112" t="str">
        <f>FinCom!Y58</f>
        <v/>
      </c>
      <c r="AE58" s="58" t="str">
        <f>FinCom!AE58</f>
        <v/>
      </c>
      <c r="AK58" s="59" t="str">
        <f>FinCom!AK58</f>
        <v/>
      </c>
      <c r="AL58" s="60" t="str">
        <f>FinCom!AL58</f>
        <v/>
      </c>
      <c r="AQ58" s="61" t="str">
        <f>FinCom!AQ58</f>
        <v/>
      </c>
      <c r="AR58" s="31"/>
      <c r="AS58" s="165" t="str">
        <f>FinCom!AS58</f>
        <v/>
      </c>
      <c r="AT58" s="17" t="str">
        <f>FinCom!AT58</f>
        <v/>
      </c>
      <c r="AU58" s="17" t="str">
        <f>FinCom!AU58</f>
        <v/>
      </c>
    </row>
    <row r="59" spans="1:47" x14ac:dyDescent="0.25">
      <c r="A59" s="8">
        <v>54</v>
      </c>
      <c r="B59" s="2" t="str">
        <f>IF('Student List'!C63="","",UPPER(LEFT('Student List'!C63,FIND(",",'Student List'!C63)-1)))</f>
        <v/>
      </c>
      <c r="C59" s="12" t="str">
        <f>IF('Student List'!C63="","",PROPER(MID('Student List'!C63, FIND(",", 'Student List'!C63) + 2, LEN('Student List'!C63) - FIND(",", 'Student List'!C63) - 1)))</f>
        <v/>
      </c>
      <c r="D59" s="55"/>
      <c r="E59" s="8" t="str">
        <f>IF(Midterm!E59="",IF(D59="Yes","INC",Midterm!E59), Midterm!E59)</f>
        <v/>
      </c>
      <c r="F59" s="73" t="str">
        <f>IF(B59="","",SUM(('FT Attendance'!AV57*5),('FT Attendance'!AW57*3),('FT Attendance'!AX57*2)))</f>
        <v/>
      </c>
      <c r="G59" s="57" t="str">
        <f>FinCom!G59</f>
        <v/>
      </c>
      <c r="M59" s="111" t="str">
        <f>FinCom!M59</f>
        <v/>
      </c>
      <c r="N59" s="142"/>
      <c r="O59" s="142"/>
      <c r="P59" s="142"/>
      <c r="Q59" s="142"/>
      <c r="R59" s="142"/>
      <c r="S59" s="115" t="str">
        <f>FinCom!S59</f>
        <v/>
      </c>
      <c r="Y59" s="112" t="str">
        <f>FinCom!Y59</f>
        <v/>
      </c>
      <c r="AE59" s="58" t="str">
        <f>FinCom!AE59</f>
        <v/>
      </c>
      <c r="AK59" s="59" t="str">
        <f>FinCom!AK59</f>
        <v/>
      </c>
      <c r="AL59" s="60" t="str">
        <f>FinCom!AL59</f>
        <v/>
      </c>
      <c r="AQ59" s="61" t="str">
        <f>FinCom!AQ59</f>
        <v/>
      </c>
      <c r="AR59" s="31"/>
      <c r="AS59" s="165" t="str">
        <f>FinCom!AS59</f>
        <v/>
      </c>
      <c r="AT59" s="17" t="str">
        <f>FinCom!AT59</f>
        <v/>
      </c>
      <c r="AU59" s="17" t="str">
        <f>FinCom!AU59</f>
        <v/>
      </c>
    </row>
    <row r="60" spans="1:47" x14ac:dyDescent="0.25">
      <c r="A60" s="8">
        <v>55</v>
      </c>
      <c r="B60" s="2" t="str">
        <f>IF('Student List'!C64="","",UPPER(LEFT('Student List'!C64,FIND(",",'Student List'!C64)-1)))</f>
        <v/>
      </c>
      <c r="C60" s="12" t="str">
        <f>IF('Student List'!C64="","",PROPER(MID('Student List'!C64, FIND(",", 'Student List'!C64) + 2, LEN('Student List'!C64) - FIND(",", 'Student List'!C64) - 1)))</f>
        <v/>
      </c>
      <c r="D60" s="55"/>
      <c r="E60" s="8" t="str">
        <f>IF(Midterm!E60="",IF(D60="Yes","INC",Midterm!E60), Midterm!E60)</f>
        <v/>
      </c>
      <c r="F60" s="73" t="str">
        <f>IF(B60="","",SUM(('FT Attendance'!AV58*5),('FT Attendance'!AW58*3),('FT Attendance'!AX58*2)))</f>
        <v/>
      </c>
      <c r="G60" s="57" t="str">
        <f>FinCom!G60</f>
        <v/>
      </c>
      <c r="M60" s="111" t="str">
        <f>FinCom!M60</f>
        <v/>
      </c>
      <c r="N60" s="142"/>
      <c r="O60" s="142"/>
      <c r="P60" s="142"/>
      <c r="Q60" s="142"/>
      <c r="R60" s="142"/>
      <c r="S60" s="115" t="str">
        <f>FinCom!S60</f>
        <v/>
      </c>
      <c r="Y60" s="112" t="str">
        <f>FinCom!Y60</f>
        <v/>
      </c>
      <c r="AE60" s="58" t="str">
        <f>FinCom!AE60</f>
        <v/>
      </c>
      <c r="AK60" s="59" t="str">
        <f>FinCom!AK60</f>
        <v/>
      </c>
      <c r="AL60" s="60" t="str">
        <f>FinCom!AL60</f>
        <v/>
      </c>
      <c r="AQ60" s="61" t="str">
        <f>FinCom!AQ60</f>
        <v/>
      </c>
      <c r="AR60" s="31"/>
      <c r="AS60" s="165" t="str">
        <f>FinCom!AS60</f>
        <v/>
      </c>
      <c r="AT60" s="17" t="str">
        <f>FinCom!AT60</f>
        <v/>
      </c>
      <c r="AU60" s="17" t="str">
        <f>FinCom!AU60</f>
        <v/>
      </c>
    </row>
    <row r="61" spans="1:47" x14ac:dyDescent="0.25">
      <c r="A61" s="8">
        <v>56</v>
      </c>
      <c r="B61" s="2" t="str">
        <f>IF('Student List'!C65="","",UPPER(LEFT('Student List'!C65,FIND(",",'Student List'!C65)-1)))</f>
        <v/>
      </c>
      <c r="C61" s="12" t="str">
        <f>IF('Student List'!C65="","",PROPER(MID('Student List'!C65, FIND(",", 'Student List'!C65) + 2, LEN('Student List'!C65) - FIND(",", 'Student List'!C65) - 1)))</f>
        <v/>
      </c>
      <c r="D61" s="55"/>
      <c r="E61" s="8" t="str">
        <f>IF(Midterm!E61="",IF(D61="Yes","INC",Midterm!E61), Midterm!E61)</f>
        <v/>
      </c>
      <c r="F61" s="73" t="str">
        <f>IF(B61="","",SUM(('FT Attendance'!AV59*5),('FT Attendance'!AW59*3),('FT Attendance'!AX59*2)))</f>
        <v/>
      </c>
      <c r="G61" s="57" t="str">
        <f>FinCom!G61</f>
        <v/>
      </c>
      <c r="M61" s="111" t="str">
        <f>FinCom!M61</f>
        <v/>
      </c>
      <c r="N61" s="142"/>
      <c r="O61" s="142"/>
      <c r="P61" s="142"/>
      <c r="Q61" s="142"/>
      <c r="R61" s="142"/>
      <c r="S61" s="115" t="str">
        <f>FinCom!S61</f>
        <v/>
      </c>
      <c r="Y61" s="112" t="str">
        <f>FinCom!Y61</f>
        <v/>
      </c>
      <c r="AE61" s="58" t="str">
        <f>FinCom!AE61</f>
        <v/>
      </c>
      <c r="AK61" s="59" t="str">
        <f>FinCom!AK61</f>
        <v/>
      </c>
      <c r="AL61" s="60" t="str">
        <f>FinCom!AL61</f>
        <v/>
      </c>
      <c r="AQ61" s="61" t="str">
        <f>FinCom!AQ61</f>
        <v/>
      </c>
      <c r="AR61" s="31"/>
      <c r="AS61" s="165" t="str">
        <f>FinCom!AS61</f>
        <v/>
      </c>
      <c r="AT61" s="17" t="str">
        <f>FinCom!AT61</f>
        <v/>
      </c>
      <c r="AU61" s="17" t="str">
        <f>FinCom!AU61</f>
        <v/>
      </c>
    </row>
    <row r="62" spans="1:47" x14ac:dyDescent="0.25">
      <c r="A62" s="8">
        <v>57</v>
      </c>
      <c r="B62" s="2" t="str">
        <f>IF('Student List'!C66="","",UPPER(LEFT('Student List'!C66,FIND(",",'Student List'!C66)-1)))</f>
        <v/>
      </c>
      <c r="C62" s="12" t="str">
        <f>IF('Student List'!C66="","",PROPER(MID('Student List'!C66, FIND(",", 'Student List'!C66) + 2, LEN('Student List'!C66) - FIND(",", 'Student List'!C66) - 1)))</f>
        <v/>
      </c>
      <c r="D62" s="55"/>
      <c r="E62" s="8" t="str">
        <f>IF(Midterm!E62="",IF(D62="Yes","INC",Midterm!E62), Midterm!E62)</f>
        <v/>
      </c>
      <c r="F62" s="73" t="str">
        <f>IF(B62="","",SUM(('FT Attendance'!AV60*5),('FT Attendance'!AW60*3),('FT Attendance'!AX60*2)))</f>
        <v/>
      </c>
      <c r="G62" s="57" t="str">
        <f>FinCom!G62</f>
        <v/>
      </c>
      <c r="M62" s="111" t="str">
        <f>FinCom!M62</f>
        <v/>
      </c>
      <c r="N62" s="142"/>
      <c r="O62" s="142"/>
      <c r="P62" s="142"/>
      <c r="Q62" s="142"/>
      <c r="R62" s="142"/>
      <c r="S62" s="115" t="str">
        <f>FinCom!S62</f>
        <v/>
      </c>
      <c r="Y62" s="112" t="str">
        <f>FinCom!Y62</f>
        <v/>
      </c>
      <c r="AE62" s="58" t="str">
        <f>FinCom!AE62</f>
        <v/>
      </c>
      <c r="AK62" s="59" t="str">
        <f>FinCom!AK62</f>
        <v/>
      </c>
      <c r="AL62" s="60" t="str">
        <f>FinCom!AL62</f>
        <v/>
      </c>
      <c r="AQ62" s="61" t="str">
        <f>FinCom!AQ62</f>
        <v/>
      </c>
      <c r="AR62" s="31"/>
      <c r="AS62" s="165" t="str">
        <f>FinCom!AS62</f>
        <v/>
      </c>
      <c r="AT62" s="17" t="str">
        <f>FinCom!AT62</f>
        <v/>
      </c>
      <c r="AU62" s="17" t="str">
        <f>FinCom!AU62</f>
        <v/>
      </c>
    </row>
    <row r="63" spans="1:47" x14ac:dyDescent="0.25">
      <c r="A63" s="8">
        <v>58</v>
      </c>
      <c r="B63" s="2" t="str">
        <f>IF('Student List'!C67="","",UPPER(LEFT('Student List'!C67,FIND(",",'Student List'!C67)-1)))</f>
        <v/>
      </c>
      <c r="C63" s="12" t="str">
        <f>IF('Student List'!C67="","",PROPER(MID('Student List'!C67, FIND(",", 'Student List'!C67) + 2, LEN('Student List'!C67) - FIND(",", 'Student List'!C67) - 1)))</f>
        <v/>
      </c>
      <c r="D63" s="55"/>
      <c r="E63" s="8" t="str">
        <f>IF(Midterm!E63="",IF(D63="Yes","INC",Midterm!E63), Midterm!E63)</f>
        <v/>
      </c>
      <c r="F63" s="73" t="str">
        <f>IF(B63="","",SUM(('FT Attendance'!AV61*5),('FT Attendance'!AW61*3),('FT Attendance'!AX61*2)))</f>
        <v/>
      </c>
      <c r="G63" s="57" t="str">
        <f>FinCom!G63</f>
        <v/>
      </c>
      <c r="M63" s="111" t="str">
        <f>FinCom!M63</f>
        <v/>
      </c>
      <c r="N63" s="142"/>
      <c r="O63" s="142"/>
      <c r="P63" s="142"/>
      <c r="Q63" s="142"/>
      <c r="R63" s="142"/>
      <c r="S63" s="115" t="str">
        <f>FinCom!S63</f>
        <v/>
      </c>
      <c r="Y63" s="112" t="str">
        <f>FinCom!Y63</f>
        <v/>
      </c>
      <c r="AE63" s="58" t="str">
        <f>FinCom!AE63</f>
        <v/>
      </c>
      <c r="AK63" s="59" t="str">
        <f>FinCom!AK63</f>
        <v/>
      </c>
      <c r="AL63" s="60" t="str">
        <f>FinCom!AL63</f>
        <v/>
      </c>
      <c r="AQ63" s="61" t="str">
        <f>FinCom!AQ63</f>
        <v/>
      </c>
      <c r="AR63" s="31"/>
      <c r="AS63" s="165" t="str">
        <f>FinCom!AS63</f>
        <v/>
      </c>
      <c r="AT63" s="17" t="str">
        <f>FinCom!AT63</f>
        <v/>
      </c>
      <c r="AU63" s="17" t="str">
        <f>FinCom!AU63</f>
        <v/>
      </c>
    </row>
    <row r="64" spans="1:47" x14ac:dyDescent="0.25">
      <c r="A64" s="8">
        <v>59</v>
      </c>
      <c r="B64" s="2" t="str">
        <f>IF('Student List'!C68="","",UPPER(LEFT('Student List'!C68,FIND(",",'Student List'!C68)-1)))</f>
        <v/>
      </c>
      <c r="C64" s="12" t="str">
        <f>IF('Student List'!C68="","",PROPER(MID('Student List'!C68, FIND(",", 'Student List'!C68) + 2, LEN('Student List'!C68) - FIND(",", 'Student List'!C68) - 1)))</f>
        <v/>
      </c>
      <c r="D64" s="55"/>
      <c r="E64" s="8" t="str">
        <f>IF(Midterm!E64="",IF(D64="Yes","INC",Midterm!E64), Midterm!E64)</f>
        <v/>
      </c>
      <c r="F64" s="73" t="str">
        <f>IF(B64="","",SUM(('FT Attendance'!AV62*5),('FT Attendance'!AW62*3),('FT Attendance'!AX62*2)))</f>
        <v/>
      </c>
      <c r="G64" s="57" t="str">
        <f>FinCom!G64</f>
        <v/>
      </c>
      <c r="M64" s="111" t="str">
        <f>FinCom!M64</f>
        <v/>
      </c>
      <c r="N64" s="142"/>
      <c r="O64" s="142"/>
      <c r="P64" s="142"/>
      <c r="Q64" s="142"/>
      <c r="R64" s="142"/>
      <c r="S64" s="115" t="str">
        <f>FinCom!S64</f>
        <v/>
      </c>
      <c r="Y64" s="112" t="str">
        <f>FinCom!Y64</f>
        <v/>
      </c>
      <c r="AE64" s="58" t="str">
        <f>FinCom!AE64</f>
        <v/>
      </c>
      <c r="AK64" s="59" t="str">
        <f>FinCom!AK64</f>
        <v/>
      </c>
      <c r="AL64" s="60" t="str">
        <f>FinCom!AL64</f>
        <v/>
      </c>
      <c r="AQ64" s="61" t="str">
        <f>FinCom!AQ64</f>
        <v/>
      </c>
      <c r="AR64" s="31"/>
      <c r="AS64" s="165" t="str">
        <f>FinCom!AS64</f>
        <v/>
      </c>
      <c r="AT64" s="17" t="str">
        <f>FinCom!AT64</f>
        <v/>
      </c>
      <c r="AU64" s="17" t="str">
        <f>FinCom!AU64</f>
        <v/>
      </c>
    </row>
    <row r="65" spans="1:47" x14ac:dyDescent="0.25">
      <c r="A65" s="8">
        <v>60</v>
      </c>
      <c r="B65" s="2" t="str">
        <f>IF('Student List'!C69="","",UPPER(LEFT('Student List'!C69,FIND(",",'Student List'!C69)-1)))</f>
        <v/>
      </c>
      <c r="C65" s="12" t="str">
        <f>IF('Student List'!C69="","",PROPER(MID('Student List'!C69, FIND(",", 'Student List'!C69) + 2, LEN('Student List'!C69) - FIND(",", 'Student List'!C69) - 1)))</f>
        <v/>
      </c>
      <c r="D65" s="55"/>
      <c r="E65" s="8" t="str">
        <f>IF(Midterm!E65="",IF(D65="Yes","INC",Midterm!E65), Midterm!E65)</f>
        <v/>
      </c>
      <c r="F65" s="73" t="str">
        <f>IF(B65="","",SUM(('FT Attendance'!AV63*5),('FT Attendance'!AW63*3),('FT Attendance'!AX63*2)))</f>
        <v/>
      </c>
      <c r="G65" s="57" t="str">
        <f>FinCom!G65</f>
        <v/>
      </c>
      <c r="M65" s="111" t="str">
        <f>FinCom!M65</f>
        <v/>
      </c>
      <c r="N65" s="142"/>
      <c r="O65" s="142"/>
      <c r="P65" s="142"/>
      <c r="Q65" s="142"/>
      <c r="R65" s="142"/>
      <c r="S65" s="115" t="str">
        <f>FinCom!S65</f>
        <v/>
      </c>
      <c r="Y65" s="112" t="str">
        <f>FinCom!Y65</f>
        <v/>
      </c>
      <c r="AE65" s="58" t="str">
        <f>FinCom!AE65</f>
        <v/>
      </c>
      <c r="AK65" s="59" t="str">
        <f>FinCom!AK65</f>
        <v/>
      </c>
      <c r="AL65" s="60" t="str">
        <f>FinCom!AL65</f>
        <v/>
      </c>
      <c r="AQ65" s="61" t="str">
        <f>FinCom!AQ65</f>
        <v/>
      </c>
      <c r="AR65" s="31"/>
      <c r="AS65" s="165" t="str">
        <f>FinCom!AS65</f>
        <v/>
      </c>
      <c r="AT65" s="17" t="str">
        <f>FinCom!AT65</f>
        <v/>
      </c>
      <c r="AU65" s="17" t="str">
        <f>FinCom!AU65</f>
        <v/>
      </c>
    </row>
    <row r="66" spans="1:47" x14ac:dyDescent="0.25">
      <c r="A66" s="8">
        <v>61</v>
      </c>
      <c r="B66" s="2" t="str">
        <f>IF('Student List'!C70="","",UPPER(LEFT('Student List'!C70,FIND(",",'Student List'!C70)-1)))</f>
        <v/>
      </c>
      <c r="C66" s="12" t="str">
        <f>IF('Student List'!C70="","",PROPER(MID('Student List'!C70, FIND(",", 'Student List'!C70) + 2, LEN('Student List'!C70) - FIND(",", 'Student List'!C70) - 1)))</f>
        <v/>
      </c>
      <c r="D66" s="55"/>
      <c r="E66" s="8" t="str">
        <f>IF(Midterm!E66="",IF(D66="Yes","INC",Midterm!E66), Midterm!E66)</f>
        <v/>
      </c>
      <c r="F66" s="73" t="str">
        <f>IF(B66="","",SUM(('FT Attendance'!AV64*5),('FT Attendance'!AW64*3),('FT Attendance'!AX64*2)))</f>
        <v/>
      </c>
      <c r="G66" s="57" t="str">
        <f>FinCom!G66</f>
        <v/>
      </c>
      <c r="M66" s="111" t="str">
        <f>FinCom!M66</f>
        <v/>
      </c>
      <c r="N66" s="142"/>
      <c r="O66" s="142"/>
      <c r="P66" s="142"/>
      <c r="Q66" s="142"/>
      <c r="R66" s="142"/>
      <c r="S66" s="115" t="str">
        <f>FinCom!S66</f>
        <v/>
      </c>
      <c r="Y66" s="112" t="str">
        <f>FinCom!Y66</f>
        <v/>
      </c>
      <c r="AE66" s="58" t="str">
        <f>FinCom!AE66</f>
        <v/>
      </c>
      <c r="AK66" s="59" t="str">
        <f>FinCom!AK66</f>
        <v/>
      </c>
      <c r="AL66" s="60" t="str">
        <f>FinCom!AL66</f>
        <v/>
      </c>
      <c r="AQ66" s="61" t="str">
        <f>FinCom!AQ66</f>
        <v/>
      </c>
      <c r="AR66" s="31"/>
      <c r="AS66" s="165" t="str">
        <f>FinCom!AS66</f>
        <v/>
      </c>
      <c r="AT66" s="17" t="str">
        <f>FinCom!AT66</f>
        <v/>
      </c>
      <c r="AU66" s="17" t="str">
        <f>FinCom!AU66</f>
        <v/>
      </c>
    </row>
    <row r="67" spans="1:47" x14ac:dyDescent="0.25">
      <c r="A67" s="8">
        <v>62</v>
      </c>
      <c r="B67" s="2" t="str">
        <f>IF('Student List'!C71="","",UPPER(LEFT('Student List'!C71,FIND(",",'Student List'!C71)-1)))</f>
        <v/>
      </c>
      <c r="C67" s="12" t="str">
        <f>IF('Student List'!C71="","",PROPER(MID('Student List'!C71, FIND(",", 'Student List'!C71) + 2, LEN('Student List'!C71) - FIND(",", 'Student List'!C71) - 1)))</f>
        <v/>
      </c>
      <c r="D67" s="55"/>
      <c r="E67" s="8" t="str">
        <f>IF(Midterm!E67="",IF(D67="Yes","INC",Midterm!E67), Midterm!E67)</f>
        <v/>
      </c>
      <c r="F67" s="73" t="str">
        <f>IF(B67="","",SUM(('FT Attendance'!AV65*5),('FT Attendance'!AW65*3),('FT Attendance'!AX65*2)))</f>
        <v/>
      </c>
      <c r="G67" s="57" t="str">
        <f>FinCom!G67</f>
        <v/>
      </c>
      <c r="M67" s="111" t="str">
        <f>FinCom!M67</f>
        <v/>
      </c>
      <c r="N67" s="142"/>
      <c r="O67" s="142"/>
      <c r="P67" s="142"/>
      <c r="Q67" s="142"/>
      <c r="R67" s="142"/>
      <c r="S67" s="115" t="str">
        <f>FinCom!S67</f>
        <v/>
      </c>
      <c r="Y67" s="112" t="str">
        <f>FinCom!Y67</f>
        <v/>
      </c>
      <c r="AE67" s="58" t="str">
        <f>FinCom!AE67</f>
        <v/>
      </c>
      <c r="AK67" s="59" t="str">
        <f>FinCom!AK67</f>
        <v/>
      </c>
      <c r="AL67" s="60" t="str">
        <f>FinCom!AL67</f>
        <v/>
      </c>
      <c r="AQ67" s="61" t="str">
        <f>FinCom!AQ67</f>
        <v/>
      </c>
      <c r="AR67" s="31"/>
      <c r="AS67" s="165" t="str">
        <f>FinCom!AS67</f>
        <v/>
      </c>
      <c r="AT67" s="17" t="str">
        <f>FinCom!AT67</f>
        <v/>
      </c>
      <c r="AU67" s="17" t="str">
        <f>FinCom!AU67</f>
        <v/>
      </c>
    </row>
    <row r="68" spans="1:47" x14ac:dyDescent="0.25">
      <c r="A68" s="8">
        <v>63</v>
      </c>
      <c r="B68" s="2" t="str">
        <f>IF('Student List'!C72="","",UPPER(LEFT('Student List'!C72,FIND(",",'Student List'!C72)-1)))</f>
        <v/>
      </c>
      <c r="C68" s="12" t="str">
        <f>IF('Student List'!C72="","",PROPER(MID('Student List'!C72, FIND(",", 'Student List'!C72) + 2, LEN('Student List'!C72) - FIND(",", 'Student List'!C72) - 1)))</f>
        <v/>
      </c>
      <c r="D68" s="55"/>
      <c r="E68" s="8" t="str">
        <f>IF(Midterm!E68="",IF(D68="Yes","INC",Midterm!E68), Midterm!E68)</f>
        <v/>
      </c>
      <c r="F68" s="73" t="str">
        <f>IF(B68="","",SUM(('FT Attendance'!AV66*5),('FT Attendance'!AW66*3),('FT Attendance'!AX66*2)))</f>
        <v/>
      </c>
      <c r="G68" s="57" t="str">
        <f>FinCom!G68</f>
        <v/>
      </c>
      <c r="M68" s="111" t="str">
        <f>FinCom!M68</f>
        <v/>
      </c>
      <c r="N68" s="142"/>
      <c r="O68" s="142"/>
      <c r="P68" s="142"/>
      <c r="Q68" s="142"/>
      <c r="R68" s="142"/>
      <c r="S68" s="115" t="str">
        <f>FinCom!S68</f>
        <v/>
      </c>
      <c r="Y68" s="112" t="str">
        <f>FinCom!Y68</f>
        <v/>
      </c>
      <c r="AE68" s="58" t="str">
        <f>FinCom!AE68</f>
        <v/>
      </c>
      <c r="AK68" s="59" t="str">
        <f>FinCom!AK68</f>
        <v/>
      </c>
      <c r="AL68" s="60" t="str">
        <f>FinCom!AL68</f>
        <v/>
      </c>
      <c r="AQ68" s="61" t="str">
        <f>FinCom!AQ68</f>
        <v/>
      </c>
      <c r="AR68" s="31"/>
      <c r="AS68" s="165" t="str">
        <f>FinCom!AS68</f>
        <v/>
      </c>
      <c r="AT68" s="17" t="str">
        <f>FinCom!AT68</f>
        <v/>
      </c>
      <c r="AU68" s="17" t="str">
        <f>FinCom!AU68</f>
        <v/>
      </c>
    </row>
    <row r="69" spans="1:47" x14ac:dyDescent="0.25">
      <c r="A69" s="8">
        <v>64</v>
      </c>
      <c r="B69" s="2" t="str">
        <f>IF('Student List'!C73="","",UPPER(LEFT('Student List'!C73,FIND(",",'Student List'!C73)-1)))</f>
        <v/>
      </c>
      <c r="C69" s="12" t="str">
        <f>IF('Student List'!C73="","",PROPER(MID('Student List'!C73, FIND(",", 'Student List'!C73) + 2, LEN('Student List'!C73) - FIND(",", 'Student List'!C73) - 1)))</f>
        <v/>
      </c>
      <c r="D69" s="55"/>
      <c r="E69" s="8" t="str">
        <f>IF(Midterm!E69="",IF(D69="Yes","INC",Midterm!E69), Midterm!E69)</f>
        <v/>
      </c>
      <c r="F69" s="73" t="str">
        <f>IF(B69="","",SUM(('FT Attendance'!AV67*5),('FT Attendance'!AW67*3),('FT Attendance'!AX67*2)))</f>
        <v/>
      </c>
      <c r="G69" s="57" t="str">
        <f>FinCom!G69</f>
        <v/>
      </c>
      <c r="M69" s="111" t="str">
        <f>FinCom!M69</f>
        <v/>
      </c>
      <c r="N69" s="142"/>
      <c r="O69" s="142"/>
      <c r="P69" s="142"/>
      <c r="Q69" s="142"/>
      <c r="R69" s="142"/>
      <c r="S69" s="115" t="str">
        <f>FinCom!S69</f>
        <v/>
      </c>
      <c r="Y69" s="112" t="str">
        <f>FinCom!Y69</f>
        <v/>
      </c>
      <c r="AE69" s="58" t="str">
        <f>FinCom!AE69</f>
        <v/>
      </c>
      <c r="AK69" s="59" t="str">
        <f>FinCom!AK69</f>
        <v/>
      </c>
      <c r="AL69" s="60" t="str">
        <f>FinCom!AL69</f>
        <v/>
      </c>
      <c r="AQ69" s="61" t="str">
        <f>FinCom!AQ69</f>
        <v/>
      </c>
      <c r="AR69" s="31"/>
      <c r="AS69" s="165" t="str">
        <f>FinCom!AS69</f>
        <v/>
      </c>
      <c r="AT69" s="17" t="str">
        <f>FinCom!AT69</f>
        <v/>
      </c>
      <c r="AU69" s="17" t="str">
        <f>FinCom!AU69</f>
        <v/>
      </c>
    </row>
    <row r="70" spans="1:47" x14ac:dyDescent="0.25">
      <c r="A70" s="8">
        <v>65</v>
      </c>
      <c r="B70" s="2" t="str">
        <f>IF('Student List'!C74="","",UPPER(LEFT('Student List'!C74,FIND(",",'Student List'!C74)-1)))</f>
        <v/>
      </c>
      <c r="C70" s="12" t="str">
        <f>IF('Student List'!C74="","",PROPER(MID('Student List'!C74, FIND(",", 'Student List'!C74) + 2, LEN('Student List'!C74) - FIND(",", 'Student List'!C74) - 1)))</f>
        <v/>
      </c>
      <c r="D70" s="55"/>
      <c r="E70" s="8" t="str">
        <f>IF(Midterm!E70="",IF(D70="Yes","INC",Midterm!E70), Midterm!E70)</f>
        <v/>
      </c>
      <c r="F70" s="73" t="str">
        <f>IF(B70="","",SUM(('FT Attendance'!AV68*5),('FT Attendance'!AW68*3),('FT Attendance'!AX68*2)))</f>
        <v/>
      </c>
      <c r="G70" s="57" t="str">
        <f>FinCom!G70</f>
        <v/>
      </c>
      <c r="M70" s="111" t="str">
        <f>FinCom!M70</f>
        <v/>
      </c>
      <c r="N70" s="142"/>
      <c r="O70" s="142"/>
      <c r="P70" s="142"/>
      <c r="Q70" s="142"/>
      <c r="R70" s="142"/>
      <c r="S70" s="115" t="str">
        <f>FinCom!S70</f>
        <v/>
      </c>
      <c r="Y70" s="112" t="str">
        <f>FinCom!Y70</f>
        <v/>
      </c>
      <c r="AE70" s="58" t="str">
        <f>FinCom!AE70</f>
        <v/>
      </c>
      <c r="AK70" s="59" t="str">
        <f>FinCom!AK70</f>
        <v/>
      </c>
      <c r="AL70" s="60" t="str">
        <f>FinCom!AL70</f>
        <v/>
      </c>
      <c r="AQ70" s="61" t="str">
        <f>FinCom!AQ70</f>
        <v/>
      </c>
      <c r="AR70" s="31"/>
      <c r="AS70" s="165" t="str">
        <f>FinCom!AS70</f>
        <v/>
      </c>
      <c r="AT70" s="17" t="str">
        <f>FinCom!AT70</f>
        <v/>
      </c>
      <c r="AU70" s="17" t="str">
        <f>FinCom!AU70</f>
        <v/>
      </c>
    </row>
    <row r="71" spans="1:47" x14ac:dyDescent="0.25">
      <c r="A71" s="8">
        <v>66</v>
      </c>
      <c r="B71" s="2" t="str">
        <f>IF('Student List'!C75="","",UPPER(LEFT('Student List'!C75,FIND(",",'Student List'!C75)-1)))</f>
        <v/>
      </c>
      <c r="C71" s="12" t="str">
        <f>IF('Student List'!C75="","",PROPER(MID('Student List'!C75, FIND(",", 'Student List'!C75) + 2, LEN('Student List'!C75) - FIND(",", 'Student List'!C75) - 1)))</f>
        <v/>
      </c>
      <c r="D71" s="55"/>
      <c r="E71" s="8" t="str">
        <f>IF(Midterm!E71="",IF(D71="Yes","INC",Midterm!E71), Midterm!E71)</f>
        <v/>
      </c>
      <c r="F71" s="73" t="str">
        <f>IF(B71="","",SUM(('FT Attendance'!AV69*5),('FT Attendance'!AW69*3),('FT Attendance'!AX69*2)))</f>
        <v/>
      </c>
      <c r="G71" s="57" t="str">
        <f>FinCom!G71</f>
        <v/>
      </c>
      <c r="M71" s="111" t="str">
        <f>FinCom!M71</f>
        <v/>
      </c>
      <c r="N71" s="142"/>
      <c r="O71" s="142"/>
      <c r="P71" s="142"/>
      <c r="Q71" s="142"/>
      <c r="R71" s="142"/>
      <c r="S71" s="115" t="str">
        <f>FinCom!S71</f>
        <v/>
      </c>
      <c r="Y71" s="112" t="str">
        <f>FinCom!Y71</f>
        <v/>
      </c>
      <c r="AE71" s="58" t="str">
        <f>FinCom!AE71</f>
        <v/>
      </c>
      <c r="AK71" s="59" t="str">
        <f>FinCom!AK71</f>
        <v/>
      </c>
      <c r="AL71" s="60" t="str">
        <f>FinCom!AL71</f>
        <v/>
      </c>
      <c r="AQ71" s="61" t="str">
        <f>FinCom!AQ71</f>
        <v/>
      </c>
      <c r="AR71" s="31"/>
      <c r="AS71" s="165" t="str">
        <f>FinCom!AS71</f>
        <v/>
      </c>
      <c r="AT71" s="17" t="str">
        <f>FinCom!AT71</f>
        <v/>
      </c>
      <c r="AU71" s="17" t="str">
        <f>FinCom!AU71</f>
        <v/>
      </c>
    </row>
    <row r="72" spans="1:47" x14ac:dyDescent="0.25">
      <c r="A72" s="8">
        <v>67</v>
      </c>
      <c r="B72" s="2" t="str">
        <f>IF('Student List'!C76="","",UPPER(LEFT('Student List'!C76,FIND(",",'Student List'!C76)-1)))</f>
        <v/>
      </c>
      <c r="C72" s="12" t="str">
        <f>IF('Student List'!C76="","",PROPER(MID('Student List'!C76, FIND(",", 'Student List'!C76) + 2, LEN('Student List'!C76) - FIND(",", 'Student List'!C76) - 1)))</f>
        <v/>
      </c>
      <c r="D72" s="55"/>
      <c r="E72" s="8" t="str">
        <f>IF(Midterm!E72="",IF(D72="Yes","INC",Midterm!E72), Midterm!E72)</f>
        <v/>
      </c>
      <c r="F72" s="73" t="str">
        <f>IF(B72="","",SUM(('FT Attendance'!AV70*5),('FT Attendance'!AW70*3),('FT Attendance'!AX70*2)))</f>
        <v/>
      </c>
      <c r="G72" s="57" t="str">
        <f>FinCom!G72</f>
        <v/>
      </c>
      <c r="M72" s="111" t="str">
        <f>FinCom!M72</f>
        <v/>
      </c>
      <c r="N72" s="142"/>
      <c r="O72" s="142"/>
      <c r="P72" s="142"/>
      <c r="Q72" s="142"/>
      <c r="R72" s="142"/>
      <c r="S72" s="115" t="str">
        <f>FinCom!S72</f>
        <v/>
      </c>
      <c r="Y72" s="112" t="str">
        <f>FinCom!Y72</f>
        <v/>
      </c>
      <c r="AE72" s="58" t="str">
        <f>FinCom!AE72</f>
        <v/>
      </c>
      <c r="AK72" s="59" t="str">
        <f>FinCom!AK72</f>
        <v/>
      </c>
      <c r="AL72" s="60" t="str">
        <f>FinCom!AL72</f>
        <v/>
      </c>
      <c r="AQ72" s="61" t="str">
        <f>FinCom!AQ72</f>
        <v/>
      </c>
      <c r="AR72" s="31"/>
      <c r="AS72" s="165" t="str">
        <f>FinCom!AS72</f>
        <v/>
      </c>
      <c r="AT72" s="17" t="str">
        <f>FinCom!AT72</f>
        <v/>
      </c>
      <c r="AU72" s="17" t="str">
        <f>FinCom!AU72</f>
        <v/>
      </c>
    </row>
    <row r="73" spans="1:47" x14ac:dyDescent="0.25">
      <c r="A73" s="8">
        <v>68</v>
      </c>
      <c r="B73" s="2" t="str">
        <f>IF('Student List'!C77="","",UPPER(LEFT('Student List'!C77,FIND(",",'Student List'!C77)-1)))</f>
        <v/>
      </c>
      <c r="C73" s="12" t="str">
        <f>IF('Student List'!C77="","",PROPER(MID('Student List'!C77, FIND(",", 'Student List'!C77) + 2, LEN('Student List'!C77) - FIND(",", 'Student List'!C77) - 1)))</f>
        <v/>
      </c>
      <c r="D73" s="55"/>
      <c r="E73" s="8" t="str">
        <f>IF(Midterm!E73="",IF(D73="Yes","INC",Midterm!E73), Midterm!E73)</f>
        <v/>
      </c>
      <c r="F73" s="73" t="str">
        <f>IF(B73="","",SUM(('FT Attendance'!AV71*5),('FT Attendance'!AW71*3),('FT Attendance'!AX71*2)))</f>
        <v/>
      </c>
      <c r="G73" s="57" t="str">
        <f>FinCom!G73</f>
        <v/>
      </c>
      <c r="M73" s="111" t="str">
        <f>FinCom!M73</f>
        <v/>
      </c>
      <c r="N73" s="142"/>
      <c r="O73" s="142"/>
      <c r="P73" s="142"/>
      <c r="Q73" s="142"/>
      <c r="R73" s="142"/>
      <c r="S73" s="115" t="str">
        <f>FinCom!S73</f>
        <v/>
      </c>
      <c r="Y73" s="112" t="str">
        <f>FinCom!Y73</f>
        <v/>
      </c>
      <c r="AE73" s="58" t="str">
        <f>FinCom!AE73</f>
        <v/>
      </c>
      <c r="AK73" s="59" t="str">
        <f>FinCom!AK73</f>
        <v/>
      </c>
      <c r="AL73" s="60" t="str">
        <f>FinCom!AL73</f>
        <v/>
      </c>
      <c r="AQ73" s="61" t="str">
        <f>FinCom!AQ73</f>
        <v/>
      </c>
      <c r="AR73" s="31"/>
      <c r="AS73" s="165" t="str">
        <f>FinCom!AS73</f>
        <v/>
      </c>
      <c r="AT73" s="17" t="str">
        <f>FinCom!AT73</f>
        <v/>
      </c>
      <c r="AU73" s="17" t="str">
        <f>FinCom!AU73</f>
        <v/>
      </c>
    </row>
    <row r="74" spans="1:47" x14ac:dyDescent="0.25">
      <c r="A74" s="8">
        <v>69</v>
      </c>
      <c r="B74" s="2" t="str">
        <f>IF('Student List'!C78="","",UPPER(LEFT('Student List'!C78,FIND(",",'Student List'!C78)-1)))</f>
        <v/>
      </c>
      <c r="C74" s="12" t="str">
        <f>IF('Student List'!C78="","",PROPER(MID('Student List'!C78, FIND(",", 'Student List'!C78) + 2, LEN('Student List'!C78) - FIND(",", 'Student List'!C78) - 1)))</f>
        <v/>
      </c>
      <c r="D74" s="55"/>
      <c r="E74" s="8" t="str">
        <f>IF(Midterm!E74="",IF(D74="Yes","INC",Midterm!E74), Midterm!E74)</f>
        <v/>
      </c>
      <c r="F74" s="73" t="str">
        <f>IF(B74="","",SUM(('FT Attendance'!AV72*5),('FT Attendance'!AW72*3),('FT Attendance'!AX72*2)))</f>
        <v/>
      </c>
      <c r="G74" s="57" t="str">
        <f>FinCom!G74</f>
        <v/>
      </c>
      <c r="M74" s="111" t="str">
        <f>FinCom!M74</f>
        <v/>
      </c>
      <c r="N74" s="142"/>
      <c r="O74" s="142"/>
      <c r="P74" s="142"/>
      <c r="Q74" s="142"/>
      <c r="R74" s="142"/>
      <c r="S74" s="115" t="str">
        <f>FinCom!S74</f>
        <v/>
      </c>
      <c r="Y74" s="112" t="str">
        <f>FinCom!Y74</f>
        <v/>
      </c>
      <c r="AE74" s="58" t="str">
        <f>FinCom!AE74</f>
        <v/>
      </c>
      <c r="AK74" s="59" t="str">
        <f>FinCom!AK74</f>
        <v/>
      </c>
      <c r="AL74" s="60" t="str">
        <f>FinCom!AL74</f>
        <v/>
      </c>
      <c r="AQ74" s="61" t="str">
        <f>FinCom!AQ74</f>
        <v/>
      </c>
      <c r="AR74" s="31"/>
      <c r="AS74" s="165" t="str">
        <f>FinCom!AS74</f>
        <v/>
      </c>
      <c r="AT74" s="17" t="str">
        <f>FinCom!AT74</f>
        <v/>
      </c>
      <c r="AU74" s="17" t="str">
        <f>FinCom!AU74</f>
        <v/>
      </c>
    </row>
    <row r="75" spans="1:47" x14ac:dyDescent="0.25">
      <c r="A75" s="8">
        <v>70</v>
      </c>
      <c r="B75" s="2" t="str">
        <f>IF('Student List'!C79="","",UPPER(LEFT('Student List'!C79,FIND(",",'Student List'!C79)-1)))</f>
        <v/>
      </c>
      <c r="C75" s="12" t="str">
        <f>IF('Student List'!C79="","",PROPER(MID('Student List'!C79, FIND(",", 'Student List'!C79) + 2, LEN('Student List'!C79) - FIND(",", 'Student List'!C79) - 1)))</f>
        <v/>
      </c>
      <c r="D75" s="55"/>
      <c r="E75" s="8" t="str">
        <f>IF(Midterm!E75="",IF(D75="Yes","INC",Midterm!E75), Midterm!E75)</f>
        <v/>
      </c>
      <c r="F75" s="73" t="str">
        <f>IF(B75="","",SUM(('FT Attendance'!AV73*5),('FT Attendance'!AW73*3),('FT Attendance'!AX73*2)))</f>
        <v/>
      </c>
      <c r="G75" s="57" t="str">
        <f>FinCom!G75</f>
        <v/>
      </c>
      <c r="M75" s="111" t="str">
        <f>FinCom!M75</f>
        <v/>
      </c>
      <c r="N75" s="142"/>
      <c r="O75" s="142"/>
      <c r="P75" s="142"/>
      <c r="Q75" s="142"/>
      <c r="R75" s="142"/>
      <c r="S75" s="115" t="str">
        <f>FinCom!S75</f>
        <v/>
      </c>
      <c r="Y75" s="112" t="str">
        <f>FinCom!Y75</f>
        <v/>
      </c>
      <c r="AE75" s="58" t="str">
        <f>FinCom!AE75</f>
        <v/>
      </c>
      <c r="AK75" s="59" t="str">
        <f>FinCom!AK75</f>
        <v/>
      </c>
      <c r="AL75" s="60" t="str">
        <f>FinCom!AL75</f>
        <v/>
      </c>
      <c r="AQ75" s="61" t="str">
        <f>FinCom!AQ75</f>
        <v/>
      </c>
      <c r="AR75" s="31"/>
      <c r="AS75" s="165" t="str">
        <f>FinCom!AS75</f>
        <v/>
      </c>
      <c r="AT75" s="17" t="str">
        <f>FinCom!AT75</f>
        <v/>
      </c>
      <c r="AU75" s="17" t="str">
        <f>FinCom!AU75</f>
        <v/>
      </c>
    </row>
    <row r="76" spans="1:47" x14ac:dyDescent="0.25">
      <c r="A76" s="8">
        <v>71</v>
      </c>
      <c r="B76" s="2" t="str">
        <f>IF('Student List'!C80="","",UPPER(LEFT('Student List'!C80,FIND(",",'Student List'!C80)-1)))</f>
        <v/>
      </c>
      <c r="C76" s="12" t="str">
        <f>IF('Student List'!C80="","",PROPER(MID('Student List'!C80, FIND(",", 'Student List'!C80) + 2, LEN('Student List'!C80) - FIND(",", 'Student List'!C80) - 1)))</f>
        <v/>
      </c>
      <c r="D76" s="55"/>
      <c r="E76" s="8" t="str">
        <f>IF(Midterm!E76="",IF(D76="Yes","INC",Midterm!E76), Midterm!E76)</f>
        <v/>
      </c>
      <c r="F76" s="73" t="str">
        <f>IF(B76="","",SUM(('FT Attendance'!AV74*5),('FT Attendance'!AW74*3),('FT Attendance'!AX74*2)))</f>
        <v/>
      </c>
      <c r="G76" s="57" t="str">
        <f>FinCom!G76</f>
        <v/>
      </c>
      <c r="M76" s="111" t="str">
        <f>FinCom!M76</f>
        <v/>
      </c>
      <c r="N76" s="142"/>
      <c r="O76" s="142"/>
      <c r="P76" s="142"/>
      <c r="Q76" s="142"/>
      <c r="R76" s="142"/>
      <c r="S76" s="115" t="str">
        <f>FinCom!S76</f>
        <v/>
      </c>
      <c r="Y76" s="112" t="str">
        <f>FinCom!Y76</f>
        <v/>
      </c>
      <c r="AE76" s="58" t="str">
        <f>FinCom!AE76</f>
        <v/>
      </c>
      <c r="AK76" s="59" t="str">
        <f>FinCom!AK76</f>
        <v/>
      </c>
      <c r="AL76" s="60" t="str">
        <f>FinCom!AL76</f>
        <v/>
      </c>
      <c r="AQ76" s="61" t="str">
        <f>FinCom!AQ76</f>
        <v/>
      </c>
      <c r="AR76" s="31"/>
      <c r="AS76" s="165" t="str">
        <f>FinCom!AS76</f>
        <v/>
      </c>
      <c r="AT76" s="17" t="str">
        <f>FinCom!AT76</f>
        <v/>
      </c>
      <c r="AU76" s="17" t="str">
        <f>FinCom!AU76</f>
        <v/>
      </c>
    </row>
    <row r="77" spans="1:47" x14ac:dyDescent="0.25">
      <c r="A77" s="8">
        <v>72</v>
      </c>
      <c r="B77" s="2" t="str">
        <f>IF('Student List'!C81="","",UPPER(LEFT('Student List'!C81,FIND(",",'Student List'!C81)-1)))</f>
        <v/>
      </c>
      <c r="C77" s="12" t="str">
        <f>IF('Student List'!C81="","",PROPER(MID('Student List'!C81, FIND(",", 'Student List'!C81) + 2, LEN('Student List'!C81) - FIND(",", 'Student List'!C81) - 1)))</f>
        <v/>
      </c>
      <c r="D77" s="55"/>
      <c r="E77" s="8" t="str">
        <f>IF(Midterm!E77="",IF(D77="Yes","INC",Midterm!E77), Midterm!E77)</f>
        <v/>
      </c>
      <c r="F77" s="73" t="str">
        <f>IF(B77="","",SUM(('FT Attendance'!AV75*5),('FT Attendance'!AW75*3),('FT Attendance'!AX75*2)))</f>
        <v/>
      </c>
      <c r="G77" s="57" t="str">
        <f>FinCom!G77</f>
        <v/>
      </c>
      <c r="M77" s="111" t="str">
        <f>FinCom!M77</f>
        <v/>
      </c>
      <c r="N77" s="142"/>
      <c r="O77" s="142"/>
      <c r="P77" s="142"/>
      <c r="Q77" s="142"/>
      <c r="R77" s="142"/>
      <c r="S77" s="115" t="str">
        <f>FinCom!S77</f>
        <v/>
      </c>
      <c r="Y77" s="112" t="str">
        <f>FinCom!Y77</f>
        <v/>
      </c>
      <c r="AE77" s="58" t="str">
        <f>FinCom!AE77</f>
        <v/>
      </c>
      <c r="AK77" s="59" t="str">
        <f>FinCom!AK77</f>
        <v/>
      </c>
      <c r="AL77" s="60" t="str">
        <f>FinCom!AL77</f>
        <v/>
      </c>
      <c r="AQ77" s="61" t="str">
        <f>FinCom!AQ77</f>
        <v/>
      </c>
      <c r="AR77" s="31"/>
      <c r="AS77" s="165" t="str">
        <f>FinCom!AS77</f>
        <v/>
      </c>
      <c r="AT77" s="17" t="str">
        <f>FinCom!AT77</f>
        <v/>
      </c>
      <c r="AU77" s="17" t="str">
        <f>FinCom!AU77</f>
        <v/>
      </c>
    </row>
    <row r="78" spans="1:47" x14ac:dyDescent="0.25">
      <c r="A78" s="8">
        <v>73</v>
      </c>
      <c r="B78" s="2" t="str">
        <f>IF('Student List'!C82="","",UPPER(LEFT('Student List'!C82,FIND(",",'Student List'!C82)-1)))</f>
        <v/>
      </c>
      <c r="C78" s="12" t="str">
        <f>IF('Student List'!C82="","",PROPER(MID('Student List'!C82, FIND(",", 'Student List'!C82) + 2, LEN('Student List'!C82) - FIND(",", 'Student List'!C82) - 1)))</f>
        <v/>
      </c>
      <c r="D78" s="55"/>
      <c r="E78" s="8" t="str">
        <f>IF(Midterm!E78="",IF(D78="Yes","INC",Midterm!E78), Midterm!E78)</f>
        <v/>
      </c>
      <c r="F78" s="73" t="str">
        <f>IF(B78="","",SUM(('FT Attendance'!AV76*5),('FT Attendance'!AW76*3),('FT Attendance'!AX76*2)))</f>
        <v/>
      </c>
      <c r="G78" s="57" t="str">
        <f>FinCom!G78</f>
        <v/>
      </c>
      <c r="M78" s="111" t="str">
        <f>FinCom!M78</f>
        <v/>
      </c>
      <c r="N78" s="142"/>
      <c r="O78" s="142"/>
      <c r="P78" s="142"/>
      <c r="Q78" s="142"/>
      <c r="R78" s="142"/>
      <c r="S78" s="115" t="str">
        <f>FinCom!S78</f>
        <v/>
      </c>
      <c r="Y78" s="112" t="str">
        <f>FinCom!Y78</f>
        <v/>
      </c>
      <c r="AE78" s="58" t="str">
        <f>FinCom!AE78</f>
        <v/>
      </c>
      <c r="AK78" s="59" t="str">
        <f>FinCom!AK78</f>
        <v/>
      </c>
      <c r="AL78" s="60" t="str">
        <f>FinCom!AL78</f>
        <v/>
      </c>
      <c r="AQ78" s="61" t="str">
        <f>FinCom!AQ78</f>
        <v/>
      </c>
      <c r="AR78" s="31"/>
      <c r="AS78" s="165" t="str">
        <f>FinCom!AS78</f>
        <v/>
      </c>
      <c r="AT78" s="17" t="str">
        <f>FinCom!AT78</f>
        <v/>
      </c>
      <c r="AU78" s="17" t="str">
        <f>FinCom!AU78</f>
        <v/>
      </c>
    </row>
    <row r="79" spans="1:47" x14ac:dyDescent="0.25">
      <c r="A79" s="8">
        <v>74</v>
      </c>
      <c r="B79" s="2" t="str">
        <f>IF('Student List'!C83="","",UPPER(LEFT('Student List'!C83,FIND(",",'Student List'!C83)-1)))</f>
        <v/>
      </c>
      <c r="C79" s="12" t="str">
        <f>IF('Student List'!C83="","",PROPER(MID('Student List'!C83, FIND(",", 'Student List'!C83) + 2, LEN('Student List'!C83) - FIND(",", 'Student List'!C83) - 1)))</f>
        <v/>
      </c>
      <c r="D79" s="55"/>
      <c r="E79" s="8" t="str">
        <f>IF(Midterm!E79="",IF(D79="Yes","INC",Midterm!E79), Midterm!E79)</f>
        <v/>
      </c>
      <c r="F79" s="73" t="str">
        <f>IF(B79="","",SUM(('FT Attendance'!AV77*5),('FT Attendance'!AW77*3),('FT Attendance'!AX77*2)))</f>
        <v/>
      </c>
      <c r="G79" s="57" t="str">
        <f>FinCom!G79</f>
        <v/>
      </c>
      <c r="M79" s="111" t="str">
        <f>FinCom!M79</f>
        <v/>
      </c>
      <c r="N79" s="142"/>
      <c r="O79" s="142"/>
      <c r="P79" s="142"/>
      <c r="Q79" s="142"/>
      <c r="R79" s="142"/>
      <c r="S79" s="115" t="str">
        <f>FinCom!S79</f>
        <v/>
      </c>
      <c r="Y79" s="112" t="str">
        <f>FinCom!Y79</f>
        <v/>
      </c>
      <c r="AE79" s="58" t="str">
        <f>FinCom!AE79</f>
        <v/>
      </c>
      <c r="AK79" s="59" t="str">
        <f>FinCom!AK79</f>
        <v/>
      </c>
      <c r="AL79" s="60" t="str">
        <f>FinCom!AL79</f>
        <v/>
      </c>
      <c r="AQ79" s="61" t="str">
        <f>FinCom!AQ79</f>
        <v/>
      </c>
      <c r="AR79" s="31"/>
      <c r="AS79" s="165" t="str">
        <f>FinCom!AS79</f>
        <v/>
      </c>
      <c r="AT79" s="17" t="str">
        <f>FinCom!AT79</f>
        <v/>
      </c>
      <c r="AU79" s="17" t="str">
        <f>FinCom!AU79</f>
        <v/>
      </c>
    </row>
    <row r="80" spans="1:47" x14ac:dyDescent="0.25">
      <c r="A80" s="8">
        <v>75</v>
      </c>
      <c r="B80" s="2" t="str">
        <f>IF('Student List'!C84="","",UPPER(LEFT('Student List'!C84,FIND(",",'Student List'!C84)-1)))</f>
        <v/>
      </c>
      <c r="C80" s="12" t="str">
        <f>IF('Student List'!C84="","",PROPER(MID('Student List'!C84, FIND(",", 'Student List'!C84) + 2, LEN('Student List'!C84) - FIND(",", 'Student List'!C84) - 1)))</f>
        <v/>
      </c>
      <c r="D80" s="55"/>
      <c r="E80" s="8" t="str">
        <f>IF(Midterm!E80="",IF(D80="Yes","INC",Midterm!E80), Midterm!E80)</f>
        <v/>
      </c>
      <c r="F80" s="73" t="str">
        <f>IF(B80="","",SUM(('FT Attendance'!AV78*5),('FT Attendance'!AW78*3),('FT Attendance'!AX78*2)))</f>
        <v/>
      </c>
      <c r="G80" s="57" t="str">
        <f>FinCom!G80</f>
        <v/>
      </c>
      <c r="M80" s="111" t="str">
        <f>FinCom!M80</f>
        <v/>
      </c>
      <c r="N80" s="142"/>
      <c r="O80" s="142"/>
      <c r="P80" s="142"/>
      <c r="Q80" s="142"/>
      <c r="R80" s="142"/>
      <c r="S80" s="115" t="str">
        <f>FinCom!S80</f>
        <v/>
      </c>
      <c r="Y80" s="112" t="str">
        <f>FinCom!Y80</f>
        <v/>
      </c>
      <c r="AE80" s="58" t="str">
        <f>FinCom!AE80</f>
        <v/>
      </c>
      <c r="AK80" s="59" t="str">
        <f>FinCom!AK80</f>
        <v/>
      </c>
      <c r="AL80" s="60" t="str">
        <f>FinCom!AL80</f>
        <v/>
      </c>
      <c r="AQ80" s="61" t="str">
        <f>FinCom!AQ80</f>
        <v/>
      </c>
      <c r="AR80" s="31"/>
      <c r="AS80" s="165" t="str">
        <f>FinCom!AS80</f>
        <v/>
      </c>
      <c r="AT80" s="17" t="str">
        <f>FinCom!AT80</f>
        <v/>
      </c>
      <c r="AU80" s="17" t="str">
        <f>FinCom!AU80</f>
        <v/>
      </c>
    </row>
    <row r="81" spans="1:47" x14ac:dyDescent="0.25">
      <c r="A81" s="8">
        <v>76</v>
      </c>
      <c r="B81" s="2" t="str">
        <f>IF('Student List'!C85="","",UPPER(LEFT('Student List'!C85,FIND(",",'Student List'!C85)-1)))</f>
        <v/>
      </c>
      <c r="C81" s="12" t="str">
        <f>IF('Student List'!C85="","",PROPER(MID('Student List'!C85, FIND(",", 'Student List'!C85) + 2, LEN('Student List'!C85) - FIND(",", 'Student List'!C85) - 1)))</f>
        <v/>
      </c>
      <c r="D81" s="55"/>
      <c r="E81" s="8" t="str">
        <f>IF(Midterm!E81="",IF(D81="Yes","INC",Midterm!E81), Midterm!E81)</f>
        <v/>
      </c>
      <c r="F81" s="73" t="str">
        <f>IF(B81="","",SUM(('FT Attendance'!AV79*5),('FT Attendance'!AW79*3),('FT Attendance'!AX79*2)))</f>
        <v/>
      </c>
      <c r="G81" s="57" t="str">
        <f>FinCom!G81</f>
        <v/>
      </c>
      <c r="M81" s="111" t="str">
        <f>FinCom!M81</f>
        <v/>
      </c>
      <c r="N81" s="142"/>
      <c r="O81" s="142"/>
      <c r="P81" s="142"/>
      <c r="Q81" s="142"/>
      <c r="R81" s="142"/>
      <c r="S81" s="115" t="str">
        <f>FinCom!S81</f>
        <v/>
      </c>
      <c r="Y81" s="112" t="str">
        <f>FinCom!Y81</f>
        <v/>
      </c>
      <c r="AE81" s="58" t="str">
        <f>FinCom!AE81</f>
        <v/>
      </c>
      <c r="AK81" s="59" t="str">
        <f>FinCom!AK81</f>
        <v/>
      </c>
      <c r="AL81" s="60" t="str">
        <f>FinCom!AL81</f>
        <v/>
      </c>
      <c r="AQ81" s="61" t="str">
        <f>FinCom!AQ81</f>
        <v/>
      </c>
      <c r="AR81" s="31"/>
      <c r="AS81" s="165" t="str">
        <f>FinCom!AS81</f>
        <v/>
      </c>
      <c r="AT81" s="17" t="str">
        <f>FinCom!AT81</f>
        <v/>
      </c>
      <c r="AU81" s="17" t="str">
        <f>FinCom!AU81</f>
        <v/>
      </c>
    </row>
    <row r="82" spans="1:47" x14ac:dyDescent="0.25">
      <c r="A82" s="8">
        <v>77</v>
      </c>
      <c r="B82" s="2" t="str">
        <f>IF('Student List'!C86="","",UPPER(LEFT('Student List'!C86,FIND(",",'Student List'!C86)-1)))</f>
        <v/>
      </c>
      <c r="C82" s="12" t="str">
        <f>IF('Student List'!C86="","",PROPER(MID('Student List'!C86, FIND(",", 'Student List'!C86) + 2, LEN('Student List'!C86) - FIND(",", 'Student List'!C86) - 1)))</f>
        <v/>
      </c>
      <c r="D82" s="55"/>
      <c r="E82" s="8" t="str">
        <f>IF(Midterm!E82="",IF(D82="Yes","INC",Midterm!E82), Midterm!E82)</f>
        <v/>
      </c>
      <c r="F82" s="73" t="str">
        <f>IF(B82="","",SUM(('FT Attendance'!AV80*5),('FT Attendance'!AW80*3),('FT Attendance'!AX80*2)))</f>
        <v/>
      </c>
      <c r="G82" s="57" t="str">
        <f>FinCom!G82</f>
        <v/>
      </c>
      <c r="M82" s="111" t="str">
        <f>FinCom!M82</f>
        <v/>
      </c>
      <c r="N82" s="142"/>
      <c r="O82" s="142"/>
      <c r="P82" s="142"/>
      <c r="Q82" s="142"/>
      <c r="R82" s="142"/>
      <c r="S82" s="115" t="str">
        <f>FinCom!S82</f>
        <v/>
      </c>
      <c r="Y82" s="112" t="str">
        <f>FinCom!Y82</f>
        <v/>
      </c>
      <c r="AE82" s="58" t="str">
        <f>FinCom!AE82</f>
        <v/>
      </c>
      <c r="AK82" s="59" t="str">
        <f>FinCom!AK82</f>
        <v/>
      </c>
      <c r="AL82" s="60" t="str">
        <f>FinCom!AL82</f>
        <v/>
      </c>
      <c r="AQ82" s="61" t="str">
        <f>FinCom!AQ82</f>
        <v/>
      </c>
      <c r="AR82" s="31"/>
      <c r="AS82" s="165" t="str">
        <f>FinCom!AS82</f>
        <v/>
      </c>
      <c r="AT82" s="17" t="str">
        <f>FinCom!AT82</f>
        <v/>
      </c>
      <c r="AU82" s="17" t="str">
        <f>FinCom!AU82</f>
        <v/>
      </c>
    </row>
    <row r="83" spans="1:47" x14ac:dyDescent="0.25">
      <c r="A83" s="8">
        <v>78</v>
      </c>
      <c r="B83" s="2" t="str">
        <f>IF('Student List'!C87="","",UPPER(LEFT('Student List'!C87,FIND(",",'Student List'!C87)-1)))</f>
        <v/>
      </c>
      <c r="C83" s="12" t="str">
        <f>IF('Student List'!C87="","",PROPER(MID('Student List'!C87, FIND(",", 'Student List'!C87) + 2, LEN('Student List'!C87) - FIND(",", 'Student List'!C87) - 1)))</f>
        <v/>
      </c>
      <c r="D83" s="55"/>
      <c r="E83" s="8" t="str">
        <f>IF(Midterm!E83="",IF(D83="Yes","INC",Midterm!E83), Midterm!E83)</f>
        <v/>
      </c>
      <c r="F83" s="73" t="str">
        <f>IF(B83="","",SUM(('FT Attendance'!AV81*5),('FT Attendance'!AW81*3),('FT Attendance'!AX81*2)))</f>
        <v/>
      </c>
      <c r="G83" s="57" t="str">
        <f>FinCom!G83</f>
        <v/>
      </c>
      <c r="M83" s="111" t="str">
        <f>FinCom!M83</f>
        <v/>
      </c>
      <c r="N83" s="142"/>
      <c r="O83" s="142"/>
      <c r="P83" s="142"/>
      <c r="Q83" s="142"/>
      <c r="R83" s="142"/>
      <c r="S83" s="115" t="str">
        <f>FinCom!S83</f>
        <v/>
      </c>
      <c r="Y83" s="112" t="str">
        <f>FinCom!Y83</f>
        <v/>
      </c>
      <c r="AE83" s="58" t="str">
        <f>FinCom!AE83</f>
        <v/>
      </c>
      <c r="AK83" s="59" t="str">
        <f>FinCom!AK83</f>
        <v/>
      </c>
      <c r="AL83" s="60" t="str">
        <f>FinCom!AL83</f>
        <v/>
      </c>
      <c r="AQ83" s="61" t="str">
        <f>FinCom!AQ83</f>
        <v/>
      </c>
      <c r="AR83" s="31"/>
      <c r="AS83" s="165" t="str">
        <f>FinCom!AS83</f>
        <v/>
      </c>
      <c r="AT83" s="17" t="str">
        <f>FinCom!AT83</f>
        <v/>
      </c>
      <c r="AU83" s="17" t="str">
        <f>FinCom!AU83</f>
        <v/>
      </c>
    </row>
    <row r="84" spans="1:47" x14ac:dyDescent="0.25">
      <c r="A84" s="8">
        <v>79</v>
      </c>
      <c r="B84" s="2" t="str">
        <f>IF('Student List'!C88="","",UPPER(LEFT('Student List'!C88,FIND(",",'Student List'!C88)-1)))</f>
        <v/>
      </c>
      <c r="C84" s="12" t="str">
        <f>IF('Student List'!C88="","",PROPER(MID('Student List'!C88, FIND(",", 'Student List'!C88) + 2, LEN('Student List'!C88) - FIND(",", 'Student List'!C88) - 1)))</f>
        <v/>
      </c>
      <c r="D84" s="55"/>
      <c r="E84" s="8" t="str">
        <f>IF(Midterm!E84="",IF(D84="Yes","INC",Midterm!E84), Midterm!E84)</f>
        <v/>
      </c>
      <c r="F84" s="73" t="str">
        <f>IF(B84="","",SUM(('FT Attendance'!AV82*5),('FT Attendance'!AW82*3),('FT Attendance'!AX82*2)))</f>
        <v/>
      </c>
      <c r="G84" s="57" t="str">
        <f>FinCom!G84</f>
        <v/>
      </c>
      <c r="M84" s="111" t="str">
        <f>FinCom!M84</f>
        <v/>
      </c>
      <c r="N84" s="142"/>
      <c r="O84" s="142"/>
      <c r="P84" s="142"/>
      <c r="Q84" s="142"/>
      <c r="R84" s="142"/>
      <c r="S84" s="115" t="str">
        <f>FinCom!S84</f>
        <v/>
      </c>
      <c r="Y84" s="112" t="str">
        <f>FinCom!Y84</f>
        <v/>
      </c>
      <c r="AE84" s="58" t="str">
        <f>FinCom!AE84</f>
        <v/>
      </c>
      <c r="AK84" s="59" t="str">
        <f>FinCom!AK84</f>
        <v/>
      </c>
      <c r="AL84" s="60" t="str">
        <f>FinCom!AL84</f>
        <v/>
      </c>
      <c r="AQ84" s="61" t="str">
        <f>FinCom!AQ84</f>
        <v/>
      </c>
      <c r="AR84" s="31"/>
      <c r="AS84" s="165" t="str">
        <f>FinCom!AS84</f>
        <v/>
      </c>
      <c r="AT84" s="17" t="str">
        <f>FinCom!AT84</f>
        <v/>
      </c>
      <c r="AU84" s="17" t="str">
        <f>FinCom!AU84</f>
        <v/>
      </c>
    </row>
    <row r="85" spans="1:47" x14ac:dyDescent="0.25">
      <c r="A85" s="8">
        <v>80</v>
      </c>
      <c r="B85" s="2" t="str">
        <f>IF('Student List'!C89="","",UPPER(LEFT('Student List'!C89,FIND(",",'Student List'!C89)-1)))</f>
        <v/>
      </c>
      <c r="C85" s="12" t="str">
        <f>IF('Student List'!C89="","",PROPER(MID('Student List'!C89, FIND(",", 'Student List'!C89) + 2, LEN('Student List'!C89) - FIND(",", 'Student List'!C89) - 1)))</f>
        <v/>
      </c>
      <c r="D85" s="55"/>
      <c r="E85" s="8" t="str">
        <f>IF(Midterm!E85="",IF(D85="Yes","INC",Midterm!E85), Midterm!E85)</f>
        <v/>
      </c>
      <c r="F85" s="73" t="str">
        <f>IF(B85="","",SUM(('FT Attendance'!AV83*5),('FT Attendance'!AW83*3),('FT Attendance'!AX83*2)))</f>
        <v/>
      </c>
      <c r="G85" s="57" t="str">
        <f>FinCom!G85</f>
        <v/>
      </c>
      <c r="M85" s="111" t="str">
        <f>FinCom!M85</f>
        <v/>
      </c>
      <c r="N85" s="142"/>
      <c r="O85" s="142"/>
      <c r="P85" s="142"/>
      <c r="Q85" s="142"/>
      <c r="R85" s="142"/>
      <c r="S85" s="115" t="str">
        <f>FinCom!S85</f>
        <v/>
      </c>
      <c r="Y85" s="112" t="str">
        <f>FinCom!Y85</f>
        <v/>
      </c>
      <c r="AE85" s="58" t="str">
        <f>FinCom!AE85</f>
        <v/>
      </c>
      <c r="AK85" s="59" t="str">
        <f>FinCom!AK85</f>
        <v/>
      </c>
      <c r="AL85" s="60" t="str">
        <f>FinCom!AL85</f>
        <v/>
      </c>
      <c r="AQ85" s="61" t="str">
        <f>FinCom!AQ85</f>
        <v/>
      </c>
      <c r="AR85" s="31"/>
      <c r="AS85" s="165" t="str">
        <f>FinCom!AS85</f>
        <v/>
      </c>
      <c r="AT85" s="17" t="str">
        <f>FinCom!AT85</f>
        <v/>
      </c>
      <c r="AU85" s="17" t="str">
        <f>FinCom!AU85</f>
        <v/>
      </c>
    </row>
    <row r="86" spans="1:47" x14ac:dyDescent="0.25">
      <c r="A86" s="8">
        <v>81</v>
      </c>
      <c r="B86" s="2" t="str">
        <f>IF('Student List'!C90="","",UPPER(LEFT('Student List'!C90,FIND(",",'Student List'!C90)-1)))</f>
        <v/>
      </c>
      <c r="C86" s="12" t="str">
        <f>IF('Student List'!C90="","",PROPER(MID('Student List'!C90, FIND(",", 'Student List'!C90) + 2, LEN('Student List'!C90) - FIND(",", 'Student List'!C90) - 1)))</f>
        <v/>
      </c>
      <c r="D86" s="55"/>
      <c r="E86" s="8" t="str">
        <f>IF(Midterm!E86="",IF(D86="Yes","INC",Midterm!E86), Midterm!E86)</f>
        <v/>
      </c>
      <c r="F86" s="73" t="str">
        <f>IF(B86="","",SUM(('FT Attendance'!AV84*5),('FT Attendance'!AW84*3),('FT Attendance'!AX84*2)))</f>
        <v/>
      </c>
      <c r="G86" s="57" t="str">
        <f>FinCom!G86</f>
        <v/>
      </c>
      <c r="M86" s="111" t="str">
        <f>FinCom!M86</f>
        <v/>
      </c>
      <c r="N86" s="142"/>
      <c r="O86" s="142"/>
      <c r="P86" s="142"/>
      <c r="Q86" s="142"/>
      <c r="R86" s="142"/>
      <c r="S86" s="115" t="str">
        <f>FinCom!S86</f>
        <v/>
      </c>
      <c r="Y86" s="112" t="str">
        <f>FinCom!Y86</f>
        <v/>
      </c>
      <c r="AE86" s="58" t="str">
        <f>FinCom!AE86</f>
        <v/>
      </c>
      <c r="AK86" s="59" t="str">
        <f>FinCom!AK86</f>
        <v/>
      </c>
      <c r="AL86" s="60" t="str">
        <f>FinCom!AL86</f>
        <v/>
      </c>
      <c r="AQ86" s="61" t="str">
        <f>FinCom!AQ86</f>
        <v/>
      </c>
      <c r="AR86" s="31"/>
      <c r="AS86" s="165" t="str">
        <f>FinCom!AS86</f>
        <v/>
      </c>
      <c r="AT86" s="17" t="str">
        <f>FinCom!AT86</f>
        <v/>
      </c>
      <c r="AU86" s="17" t="str">
        <f>FinCom!AU86</f>
        <v/>
      </c>
    </row>
    <row r="87" spans="1:47" x14ac:dyDescent="0.25">
      <c r="A87" s="8">
        <v>82</v>
      </c>
      <c r="B87" s="2" t="str">
        <f>IF('Student List'!C91="","",UPPER(LEFT('Student List'!C91,FIND(",",'Student List'!C91)-1)))</f>
        <v/>
      </c>
      <c r="C87" s="12" t="str">
        <f>IF('Student List'!C91="","",PROPER(MID('Student List'!C91, FIND(",", 'Student List'!C91) + 2, LEN('Student List'!C91) - FIND(",", 'Student List'!C91) - 1)))</f>
        <v/>
      </c>
      <c r="D87" s="55"/>
      <c r="E87" s="8" t="str">
        <f>IF(Midterm!E87="",IF(D87="Yes","INC",Midterm!E87), Midterm!E87)</f>
        <v/>
      </c>
      <c r="F87" s="73" t="str">
        <f>IF(B87="","",SUM(('FT Attendance'!AV85*5),('FT Attendance'!AW85*3),('FT Attendance'!AX85*2)))</f>
        <v/>
      </c>
      <c r="G87" s="57" t="str">
        <f>FinCom!G87</f>
        <v/>
      </c>
      <c r="M87" s="111" t="str">
        <f>FinCom!M87</f>
        <v/>
      </c>
      <c r="N87" s="142"/>
      <c r="O87" s="142"/>
      <c r="P87" s="142"/>
      <c r="Q87" s="142"/>
      <c r="R87" s="142"/>
      <c r="S87" s="115" t="str">
        <f>FinCom!S87</f>
        <v/>
      </c>
      <c r="Y87" s="112" t="str">
        <f>FinCom!Y87</f>
        <v/>
      </c>
      <c r="AE87" s="58" t="str">
        <f>FinCom!AE87</f>
        <v/>
      </c>
      <c r="AK87" s="59" t="str">
        <f>FinCom!AK87</f>
        <v/>
      </c>
      <c r="AL87" s="60" t="str">
        <f>FinCom!AL87</f>
        <v/>
      </c>
      <c r="AQ87" s="61" t="str">
        <f>FinCom!AQ87</f>
        <v/>
      </c>
      <c r="AR87" s="31"/>
      <c r="AS87" s="165" t="str">
        <f>FinCom!AS87</f>
        <v/>
      </c>
      <c r="AT87" s="17" t="str">
        <f>FinCom!AT87</f>
        <v/>
      </c>
      <c r="AU87" s="17" t="str">
        <f>FinCom!AU87</f>
        <v/>
      </c>
    </row>
    <row r="88" spans="1:47" x14ac:dyDescent="0.25">
      <c r="A88" s="8">
        <v>83</v>
      </c>
      <c r="B88" s="2" t="str">
        <f>IF('Student List'!C92="","",UPPER(LEFT('Student List'!C92,FIND(",",'Student List'!C92)-1)))</f>
        <v/>
      </c>
      <c r="C88" s="12" t="str">
        <f>IF('Student List'!C92="","",PROPER(MID('Student List'!C92, FIND(",", 'Student List'!C92) + 2, LEN('Student List'!C92) - FIND(",", 'Student List'!C92) - 1)))</f>
        <v/>
      </c>
      <c r="D88" s="55"/>
      <c r="E88" s="8" t="str">
        <f>IF(Midterm!E88="",IF(D88="Yes","INC",Midterm!E88), Midterm!E88)</f>
        <v/>
      </c>
      <c r="F88" s="73" t="str">
        <f>IF(B88="","",SUM(('FT Attendance'!AV86*5),('FT Attendance'!AW86*3),('FT Attendance'!AX86*2)))</f>
        <v/>
      </c>
      <c r="G88" s="57" t="str">
        <f>FinCom!G88</f>
        <v/>
      </c>
      <c r="M88" s="111" t="str">
        <f>FinCom!M88</f>
        <v/>
      </c>
      <c r="N88" s="142"/>
      <c r="O88" s="142"/>
      <c r="P88" s="142"/>
      <c r="Q88" s="142"/>
      <c r="R88" s="142"/>
      <c r="S88" s="115" t="str">
        <f>FinCom!S88</f>
        <v/>
      </c>
      <c r="Y88" s="112" t="str">
        <f>FinCom!Y88</f>
        <v/>
      </c>
      <c r="AE88" s="58" t="str">
        <f>FinCom!AE88</f>
        <v/>
      </c>
      <c r="AK88" s="59" t="str">
        <f>FinCom!AK88</f>
        <v/>
      </c>
      <c r="AL88" s="60" t="str">
        <f>FinCom!AL88</f>
        <v/>
      </c>
      <c r="AQ88" s="61" t="str">
        <f>FinCom!AQ88</f>
        <v/>
      </c>
      <c r="AR88" s="31"/>
      <c r="AS88" s="165" t="str">
        <f>FinCom!AS88</f>
        <v/>
      </c>
      <c r="AT88" s="17" t="str">
        <f>FinCom!AT88</f>
        <v/>
      </c>
      <c r="AU88" s="17" t="str">
        <f>FinCom!AU88</f>
        <v/>
      </c>
    </row>
    <row r="89" spans="1:47" x14ac:dyDescent="0.25">
      <c r="A89" s="8">
        <v>84</v>
      </c>
      <c r="B89" s="2" t="str">
        <f>IF('Student List'!C93="","",UPPER(LEFT('Student List'!C93,FIND(",",'Student List'!C93)-1)))</f>
        <v/>
      </c>
      <c r="C89" s="12" t="str">
        <f>IF('Student List'!C93="","",PROPER(MID('Student List'!C93, FIND(",", 'Student List'!C93) + 2, LEN('Student List'!C93) - FIND(",", 'Student List'!C93) - 1)))</f>
        <v/>
      </c>
      <c r="D89" s="55"/>
      <c r="E89" s="8" t="str">
        <f>IF(Midterm!E89="",IF(D89="Yes","INC",Midterm!E89), Midterm!E89)</f>
        <v/>
      </c>
      <c r="F89" s="73" t="str">
        <f>IF(B89="","",SUM(('FT Attendance'!AV87*5),('FT Attendance'!AW87*3),('FT Attendance'!AX87*2)))</f>
        <v/>
      </c>
      <c r="G89" s="57" t="str">
        <f>FinCom!G89</f>
        <v/>
      </c>
      <c r="M89" s="111" t="str">
        <f>FinCom!M89</f>
        <v/>
      </c>
      <c r="N89" s="142"/>
      <c r="O89" s="142"/>
      <c r="P89" s="142"/>
      <c r="Q89" s="142"/>
      <c r="R89" s="142"/>
      <c r="S89" s="115" t="str">
        <f>FinCom!S89</f>
        <v/>
      </c>
      <c r="Y89" s="112" t="str">
        <f>FinCom!Y89</f>
        <v/>
      </c>
      <c r="AE89" s="58" t="str">
        <f>FinCom!AE89</f>
        <v/>
      </c>
      <c r="AK89" s="59" t="str">
        <f>FinCom!AK89</f>
        <v/>
      </c>
      <c r="AL89" s="60" t="str">
        <f>FinCom!AL89</f>
        <v/>
      </c>
      <c r="AQ89" s="61" t="str">
        <f>FinCom!AQ89</f>
        <v/>
      </c>
      <c r="AR89" s="31"/>
      <c r="AS89" s="165" t="str">
        <f>FinCom!AS89</f>
        <v/>
      </c>
      <c r="AT89" s="17" t="str">
        <f>FinCom!AT89</f>
        <v/>
      </c>
      <c r="AU89" s="17" t="str">
        <f>FinCom!AU89</f>
        <v/>
      </c>
    </row>
    <row r="90" spans="1:47" x14ac:dyDescent="0.25">
      <c r="A90" s="8">
        <v>85</v>
      </c>
      <c r="B90" s="2" t="str">
        <f>IF('Student List'!C94="","",UPPER(LEFT('Student List'!C94,FIND(",",'Student List'!C94)-1)))</f>
        <v/>
      </c>
      <c r="C90" s="12" t="str">
        <f>IF('Student List'!C94="","",PROPER(MID('Student List'!C94, FIND(",", 'Student List'!C94) + 2, LEN('Student List'!C94) - FIND(",", 'Student List'!C94) - 1)))</f>
        <v/>
      </c>
      <c r="D90" s="55"/>
      <c r="E90" s="8" t="str">
        <f>IF(Midterm!E90="",IF(D90="Yes","INC",Midterm!E90), Midterm!E90)</f>
        <v/>
      </c>
      <c r="F90" s="73" t="str">
        <f>IF(B90="","",SUM(('FT Attendance'!AV88*5),('FT Attendance'!AW88*3),('FT Attendance'!AX88*2)))</f>
        <v/>
      </c>
      <c r="G90" s="57" t="str">
        <f>FinCom!G90</f>
        <v/>
      </c>
      <c r="M90" s="111" t="str">
        <f>FinCom!M90</f>
        <v/>
      </c>
      <c r="N90" s="142"/>
      <c r="O90" s="142"/>
      <c r="P90" s="142"/>
      <c r="Q90" s="142"/>
      <c r="R90" s="142"/>
      <c r="S90" s="115" t="str">
        <f>FinCom!S90</f>
        <v/>
      </c>
      <c r="Y90" s="112" t="str">
        <f>FinCom!Y90</f>
        <v/>
      </c>
      <c r="AE90" s="58" t="str">
        <f>FinCom!AE90</f>
        <v/>
      </c>
      <c r="AK90" s="59" t="str">
        <f>FinCom!AK90</f>
        <v/>
      </c>
      <c r="AL90" s="60" t="str">
        <f>FinCom!AL90</f>
        <v/>
      </c>
      <c r="AQ90" s="61" t="str">
        <f>FinCom!AQ90</f>
        <v/>
      </c>
      <c r="AR90" s="31"/>
      <c r="AS90" s="165" t="str">
        <f>FinCom!AS90</f>
        <v/>
      </c>
      <c r="AT90" s="17" t="str">
        <f>FinCom!AT90</f>
        <v/>
      </c>
      <c r="AU90" s="17" t="str">
        <f>FinCom!AU90</f>
        <v/>
      </c>
    </row>
  </sheetData>
  <sheetProtection algorithmName="SHA-512" hashValue="MC9lH/a97j9SYb/5pRHqr6ApW5bcJd/VyovSRHZd410RX+UiEVMEQ7xpcYwINxa7zgakxq0IkTMXc0qVf7G1jQ==" saltValue="j87SOq9QuRScE8ugTY5owA==" spinCount="100000" sheet="1" formatColumns="0" formatRows="0"/>
  <mergeCells count="27">
    <mergeCell ref="A4:C4"/>
    <mergeCell ref="D4:D5"/>
    <mergeCell ref="AR4:AR5"/>
    <mergeCell ref="E1:F1"/>
    <mergeCell ref="AR1:AR3"/>
    <mergeCell ref="A1:D3"/>
    <mergeCell ref="G1:G3"/>
    <mergeCell ref="G4:G5"/>
    <mergeCell ref="AK4:AK5"/>
    <mergeCell ref="AL4:AL5"/>
    <mergeCell ref="AQ4:AQ5"/>
    <mergeCell ref="AS1:AS5"/>
    <mergeCell ref="AT1:AT5"/>
    <mergeCell ref="AU1:AU5"/>
    <mergeCell ref="M2:M3"/>
    <mergeCell ref="S2:S3"/>
    <mergeCell ref="Y2:Y3"/>
    <mergeCell ref="AE2:AE3"/>
    <mergeCell ref="AK2:AK3"/>
    <mergeCell ref="H1:AK1"/>
    <mergeCell ref="AL1:AL3"/>
    <mergeCell ref="AM1:AP1"/>
    <mergeCell ref="AQ1:AQ3"/>
    <mergeCell ref="M4:M5"/>
    <mergeCell ref="S4:S5"/>
    <mergeCell ref="Y4:Y5"/>
    <mergeCell ref="AE4:AE5"/>
  </mergeCells>
  <conditionalFormatting sqref="E6:E90">
    <cfRule type="cellIs" dxfId="53" priority="12" operator="equal">
      <formula>"DRP"</formula>
    </cfRule>
    <cfRule type="cellIs" dxfId="52" priority="13" operator="equal">
      <formula>"WF"</formula>
    </cfRule>
    <cfRule type="cellIs" dxfId="51" priority="17" operator="equal">
      <formula>"FA"</formula>
    </cfRule>
  </conditionalFormatting>
  <conditionalFormatting sqref="AS91:AT1048576 AS6:AU90">
    <cfRule type="cellIs" dxfId="50" priority="14" operator="equal">
      <formula>"WF"</formula>
    </cfRule>
    <cfRule type="cellIs" dxfId="49" priority="15" operator="equal">
      <formula>"FA"</formula>
    </cfRule>
    <cfRule type="cellIs" dxfId="48" priority="16" operator="equal">
      <formula>"DRP"</formula>
    </cfRule>
  </conditionalFormatting>
  <conditionalFormatting sqref="E6:E1048576">
    <cfRule type="cellIs" dxfId="47" priority="11" operator="equal">
      <formula>"INC"</formula>
    </cfRule>
  </conditionalFormatting>
  <conditionalFormatting sqref="AT6:AT1048576">
    <cfRule type="cellIs" dxfId="46" priority="1" operator="equal">
      <formula>3</formula>
    </cfRule>
    <cfRule type="cellIs" dxfId="45" priority="2" operator="equal">
      <formula>2.75</formula>
    </cfRule>
    <cfRule type="cellIs" dxfId="44" priority="3" operator="equal">
      <formula>2.5</formula>
    </cfRule>
    <cfRule type="cellIs" dxfId="43" priority="4" operator="equal">
      <formula>2.25</formula>
    </cfRule>
    <cfRule type="cellIs" dxfId="42" priority="5" operator="equal">
      <formula>2</formula>
    </cfRule>
    <cfRule type="cellIs" dxfId="41" priority="6" operator="equal">
      <formula>1.75</formula>
    </cfRule>
    <cfRule type="cellIs" dxfId="40" priority="7" operator="equal">
      <formula>1.5</formula>
    </cfRule>
    <cfRule type="cellIs" dxfId="39" priority="8" operator="equal">
      <formula>1.25</formula>
    </cfRule>
    <cfRule type="cellIs" dxfId="38" priority="9" operator="equal">
      <formula>1</formula>
    </cfRule>
    <cfRule type="cellIs" dxfId="37" priority="10" operator="equal">
      <formula>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9F806F-471E-4B75-AFF9-6C5BC4C327A0}">
          <x14:formula1>
            <xm:f>Version!$A$265:$A$266</xm:f>
          </x14:formula1>
          <xm:sqref>D6:D90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9D2D-2EDE-4692-8A38-B4CDE9DE8D4B}">
  <sheetPr codeName="Sheet7"/>
  <dimension ref="A1:XFC90"/>
  <sheetViews>
    <sheetView zoomScaleNormal="100" workbookViewId="0">
      <pane xSplit="3" ySplit="5" topLeftCell="R6" activePane="bottomRight" state="frozen"/>
      <selection pane="topRight" activeCell="D1" sqref="D1"/>
      <selection pane="bottomLeft" activeCell="A6" sqref="A6"/>
      <selection pane="bottomRight" activeCell="AS13" sqref="AS13"/>
    </sheetView>
  </sheetViews>
  <sheetFormatPr defaultColWidth="0" defaultRowHeight="15" zeroHeight="1" outlineLevelCol="2" x14ac:dyDescent="0.25"/>
  <cols>
    <col min="1" max="1" width="5" customWidth="1"/>
    <col min="2" max="2" width="24.85546875" customWidth="1"/>
    <col min="3" max="3" width="25.140625" customWidth="1"/>
    <col min="4" max="4" width="12" style="127" customWidth="1"/>
    <col min="5" max="5" width="9.140625" style="8" customWidth="1"/>
    <col min="6" max="6" width="9.140625" style="74" customWidth="1" outlineLevel="1"/>
    <col min="7" max="7" width="9.140625" style="15" customWidth="1"/>
    <col min="8" max="12" width="9.140625" style="103" customWidth="1" outlineLevel="2"/>
    <col min="13" max="13" width="9.140625" style="113" customWidth="1" outlineLevel="1"/>
    <col min="14" max="18" width="9.140625" style="103" customWidth="1" outlineLevel="2"/>
    <col min="19" max="19" width="9.140625" style="114" customWidth="1" outlineLevel="1"/>
    <col min="20" max="24" width="9.140625" style="103" customWidth="1" outlineLevel="2"/>
    <col min="25" max="25" width="9.140625" style="116" customWidth="1" outlineLevel="1"/>
    <col min="26" max="30" width="9.140625" style="8" customWidth="1" outlineLevel="2"/>
    <col min="31" max="31" width="9.140625" style="42" customWidth="1" outlineLevel="1"/>
    <col min="32" max="36" width="9.140625" style="8" customWidth="1" outlineLevel="2"/>
    <col min="37" max="37" width="9.140625" style="5" customWidth="1" outlineLevel="1"/>
    <col min="38" max="38" width="9.140625" style="43" customWidth="1"/>
    <col min="39" max="42" width="9.140625" style="29" customWidth="1" outlineLevel="1"/>
    <col min="43" max="43" width="9.140625" style="40" customWidth="1"/>
    <col min="44" max="44" width="9.140625" style="17" customWidth="1"/>
    <col min="45" max="45" width="12.28515625" style="16" customWidth="1"/>
    <col min="46" max="46" width="9.140625" style="2" customWidth="1"/>
    <col min="47" max="47" width="30.42578125" style="21" customWidth="1"/>
    <col min="48" max="64" width="0" hidden="1" customWidth="1"/>
    <col min="65" max="16383" width="9.140625" hidden="1"/>
    <col min="16384" max="16384" width="4.5703125" hidden="1" customWidth="1"/>
  </cols>
  <sheetData>
    <row r="1" spans="1:47" ht="33" customHeight="1" x14ac:dyDescent="0.25">
      <c r="A1" s="199" t="str">
        <f>Info!B16&amp;" Campus"&amp;CHAR(10)
&amp;CHAR(10)&amp;Info!B6&amp;CHAR(10)&amp;Info!B9
&amp;CHAR(10)
&amp;CHAR(10)
&amp;Info!B13
&amp;CHAR(10)
&amp;CHAR(10)
&amp;Info!B12&amp;", A.Y. "&amp;Info!B11
&amp;CHAR(10)
&amp;CHAR(10)
&amp;UPPER(Info!B8)
&amp;" COURSE"
&amp;CHAR(10)
&amp;CHAR(10)
&amp;UPPER(Info!B4)
&amp;CHAR(10)
&amp;CHAR(10)
&amp;"FINAL TERM"</f>
        <v>DHVSU Bacolor Campus
Modeling and Simulation
Tuesday 3:30 - 5:00 pm, Friday 2:00 - 3:30 pm
First Semester, A.Y. 2024-2025
LECTURE COURSE
NON-BOARD PROGRAM
FINAL TERM</v>
      </c>
      <c r="B1" s="200"/>
      <c r="C1" s="200"/>
      <c r="D1" s="200"/>
      <c r="E1" s="246"/>
      <c r="F1" s="247"/>
      <c r="G1" s="243" t="str">
        <f>UPPER(Info!A38)</f>
        <v>ATTENDANCE</v>
      </c>
      <c r="H1" s="234" t="str">
        <f>UPPER(Info!A40)</f>
        <v>CLASS STANDING</v>
      </c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192" t="str">
        <f>UPPER(Info!A40)</f>
        <v>CLASS STANDING</v>
      </c>
      <c r="AM1" s="236" t="str">
        <f>UPPER(Info!A40)</f>
        <v>CLASS STANDING</v>
      </c>
      <c r="AN1" s="237"/>
      <c r="AO1" s="237"/>
      <c r="AP1" s="237"/>
      <c r="AQ1" s="194" t="str">
        <f>UPPER(Info!A39)</f>
        <v>MAJOR EXAM</v>
      </c>
      <c r="AR1" s="189" t="s">
        <v>37</v>
      </c>
      <c r="AS1" s="186" t="s">
        <v>187</v>
      </c>
      <c r="AT1" s="189" t="s">
        <v>40</v>
      </c>
      <c r="AU1" s="186" t="s">
        <v>57</v>
      </c>
    </row>
    <row r="2" spans="1:47" ht="90.75" customHeight="1" x14ac:dyDescent="0.25">
      <c r="A2" s="201"/>
      <c r="B2" s="202"/>
      <c r="C2" s="202"/>
      <c r="D2" s="203"/>
      <c r="E2" s="100" t="s">
        <v>31</v>
      </c>
      <c r="F2" s="70"/>
      <c r="G2" s="221"/>
      <c r="H2" s="110" t="str">
        <f>IF('Final Term'!H2="","",'Final Term'!H2)</f>
        <v/>
      </c>
      <c r="I2" s="110" t="str">
        <f>IF('Final Term'!I2="","",'Final Term'!I2)</f>
        <v/>
      </c>
      <c r="J2" s="110" t="str">
        <f>IF('Final Term'!J2="","",'Final Term'!J2)</f>
        <v/>
      </c>
      <c r="K2" s="110" t="str">
        <f>IF('Final Term'!K2="","",'Final Term'!K2)</f>
        <v/>
      </c>
      <c r="L2" s="110" t="str">
        <f>IF('Final Term'!L2="","",'Final Term'!L2)</f>
        <v/>
      </c>
      <c r="M2" s="228" t="str">
        <f>UPPER(Info!A41)</f>
        <v>QUIZZES</v>
      </c>
      <c r="N2" s="110" t="str">
        <f>IF('Final Term'!N2="","",'Final Term'!N2)</f>
        <v/>
      </c>
      <c r="O2" s="110" t="str">
        <f>IF('Final Term'!O2="","",'Final Term'!O2)</f>
        <v/>
      </c>
      <c r="P2" s="110" t="str">
        <f>IF('Final Term'!P2="","",'Final Term'!P2)</f>
        <v/>
      </c>
      <c r="Q2" s="110" t="str">
        <f>IF('Final Term'!Q2="","",'Final Term'!Q2)</f>
        <v/>
      </c>
      <c r="R2" s="110" t="str">
        <f>IF('Final Term'!R2="","",'Final Term'!R2)</f>
        <v/>
      </c>
      <c r="S2" s="230" t="str">
        <f>UPPER(Info!A42)</f>
        <v>RECITATION</v>
      </c>
      <c r="T2" s="110" t="str">
        <f>IF('Final Term'!T2="","",'Final Term'!T2)</f>
        <v/>
      </c>
      <c r="U2" s="110" t="str">
        <f>IF('Final Term'!U2="","",'Final Term'!U2)</f>
        <v/>
      </c>
      <c r="V2" s="110" t="str">
        <f>IF('Final Term'!V2="","",'Final Term'!V2)</f>
        <v/>
      </c>
      <c r="W2" s="110" t="str">
        <f>IF('Final Term'!W2="","",'Final Term'!W2)</f>
        <v/>
      </c>
      <c r="X2" s="110" t="str">
        <f>IF('Final Term'!X2="","",'Final Term'!X2)</f>
        <v/>
      </c>
      <c r="Y2" s="232" t="str">
        <f>UPPER(Info!A43)</f>
        <v>OTHER</v>
      </c>
      <c r="Z2" s="110" t="str">
        <f>IF('Final Term'!Z2="","",'Final Term'!Z2)</f>
        <v/>
      </c>
      <c r="AA2" s="110" t="str">
        <f>IF('Final Term'!AA2="","",'Final Term'!AA2)</f>
        <v/>
      </c>
      <c r="AB2" s="110" t="str">
        <f>IF('Final Term'!AB2="","",'Final Term'!AB2)</f>
        <v/>
      </c>
      <c r="AC2" s="110" t="str">
        <f>IF('Final Term'!AC2="","",'Final Term'!AC2)</f>
        <v/>
      </c>
      <c r="AD2" s="110" t="str">
        <f>IF('Final Term'!AD2="","",'Final Term'!AD2)</f>
        <v/>
      </c>
      <c r="AE2" s="207" t="str">
        <f>UPPER(Info!A44)</f>
        <v>ACTIVITIES</v>
      </c>
      <c r="AF2" s="54"/>
      <c r="AG2" s="54"/>
      <c r="AH2" s="54"/>
      <c r="AI2" s="54"/>
      <c r="AJ2" s="117"/>
      <c r="AK2" s="222" t="str">
        <f>UPPER(Info!A45)</f>
        <v/>
      </c>
      <c r="AL2" s="193"/>
      <c r="AM2" s="54"/>
      <c r="AN2" s="54"/>
      <c r="AO2" s="54"/>
      <c r="AP2" s="54"/>
      <c r="AQ2" s="195"/>
      <c r="AR2" s="189"/>
      <c r="AS2" s="187"/>
      <c r="AT2" s="189"/>
      <c r="AU2" s="187"/>
    </row>
    <row r="3" spans="1:47" ht="119.25" customHeight="1" x14ac:dyDescent="0.25">
      <c r="A3" s="204"/>
      <c r="B3" s="205"/>
      <c r="C3" s="205"/>
      <c r="D3" s="206"/>
      <c r="E3" s="98" t="s">
        <v>32</v>
      </c>
      <c r="F3" s="70" t="s">
        <v>33</v>
      </c>
      <c r="G3" s="221"/>
      <c r="H3" s="110" t="str">
        <f>IF('Final Term'!H3="","",'Final Term'!H3)</f>
        <v/>
      </c>
      <c r="I3" s="110" t="str">
        <f>IF('Final Term'!I3="","",'Final Term'!I3)</f>
        <v/>
      </c>
      <c r="J3" s="110" t="str">
        <f>IF('Final Term'!J3="","",'Final Term'!J3)</f>
        <v/>
      </c>
      <c r="K3" s="110" t="str">
        <f>IF('Final Term'!K3="","",'Final Term'!K3)</f>
        <v/>
      </c>
      <c r="L3" s="110" t="str">
        <f>IF('Final Term'!L3="","",'Final Term'!L3)</f>
        <v/>
      </c>
      <c r="M3" s="229"/>
      <c r="N3" s="110" t="str">
        <f>IF('Final Term'!N3="","",'Final Term'!N3)</f>
        <v/>
      </c>
      <c r="O3" s="110" t="str">
        <f>IF('Final Term'!O3="","",'Final Term'!O3)</f>
        <v/>
      </c>
      <c r="P3" s="110" t="str">
        <f>IF('Final Term'!P3="","",'Final Term'!P3)</f>
        <v/>
      </c>
      <c r="Q3" s="110" t="str">
        <f>IF('Final Term'!Q3="","",'Final Term'!Q3)</f>
        <v/>
      </c>
      <c r="R3" s="110" t="str">
        <f>IF('Final Term'!R3="","",'Final Term'!R3)</f>
        <v/>
      </c>
      <c r="S3" s="231"/>
      <c r="T3" s="110" t="str">
        <f>IF('Final Term'!T3="","",'Final Term'!T3)</f>
        <v/>
      </c>
      <c r="U3" s="110" t="str">
        <f>IF('Final Term'!U3="","",'Final Term'!U3)</f>
        <v/>
      </c>
      <c r="V3" s="110" t="str">
        <f>IF('Final Term'!V3="","",'Final Term'!V3)</f>
        <v/>
      </c>
      <c r="W3" s="110" t="str">
        <f>IF('Final Term'!W3="","",'Final Term'!W3)</f>
        <v/>
      </c>
      <c r="X3" s="110" t="str">
        <f>IF('Final Term'!X3="","",'Final Term'!X3)</f>
        <v/>
      </c>
      <c r="Y3" s="233"/>
      <c r="Z3" s="110" t="str">
        <f>IF('Final Term'!Z3="","",'Final Term'!Z3)</f>
        <v/>
      </c>
      <c r="AA3" s="110" t="str">
        <f>IF('Final Term'!AA3="","",'Final Term'!AA3)</f>
        <v/>
      </c>
      <c r="AB3" s="110" t="str">
        <f>IF('Final Term'!AB3="","",'Final Term'!AB3)</f>
        <v/>
      </c>
      <c r="AC3" s="110" t="str">
        <f>IF('Final Term'!AC3="","",'Final Term'!AC3)</f>
        <v/>
      </c>
      <c r="AD3" s="110" t="str">
        <f>IF('Final Term'!AD3="","",'Final Term'!AD3)</f>
        <v/>
      </c>
      <c r="AE3" s="207"/>
      <c r="AF3" s="54"/>
      <c r="AG3" s="54"/>
      <c r="AH3" s="54"/>
      <c r="AI3" s="54"/>
      <c r="AJ3" s="117"/>
      <c r="AK3" s="222"/>
      <c r="AL3" s="193"/>
      <c r="AM3" s="54"/>
      <c r="AN3" s="54"/>
      <c r="AO3" s="54"/>
      <c r="AP3" s="54"/>
      <c r="AQ3" s="195"/>
      <c r="AR3" s="189"/>
      <c r="AS3" s="187"/>
      <c r="AT3" s="189"/>
      <c r="AU3" s="187"/>
    </row>
    <row r="4" spans="1:47" ht="12.75" customHeight="1" x14ac:dyDescent="0.25">
      <c r="A4" s="218" t="s">
        <v>24</v>
      </c>
      <c r="B4" s="218"/>
      <c r="C4" s="219"/>
      <c r="D4" s="253" t="s">
        <v>278</v>
      </c>
      <c r="E4" s="152" t="s">
        <v>25</v>
      </c>
      <c r="F4" s="151">
        <v>1</v>
      </c>
      <c r="G4" s="208">
        <f>Info!B38</f>
        <v>0.1</v>
      </c>
      <c r="H4" s="118">
        <v>1</v>
      </c>
      <c r="I4" s="118">
        <v>2</v>
      </c>
      <c r="J4" s="118">
        <v>3</v>
      </c>
      <c r="K4" s="118">
        <v>4</v>
      </c>
      <c r="L4" s="118">
        <v>5</v>
      </c>
      <c r="M4" s="210">
        <f>Info!B41</f>
        <v>0.3</v>
      </c>
      <c r="N4" s="118">
        <v>1</v>
      </c>
      <c r="O4" s="118">
        <v>2</v>
      </c>
      <c r="P4" s="118">
        <v>3</v>
      </c>
      <c r="Q4" s="118">
        <v>4</v>
      </c>
      <c r="R4" s="118">
        <v>5</v>
      </c>
      <c r="S4" s="212">
        <f>Info!B42</f>
        <v>0.1</v>
      </c>
      <c r="T4" s="118">
        <v>1</v>
      </c>
      <c r="U4" s="118">
        <v>2</v>
      </c>
      <c r="V4" s="118">
        <v>3</v>
      </c>
      <c r="W4" s="118">
        <v>4</v>
      </c>
      <c r="X4" s="118">
        <v>5</v>
      </c>
      <c r="Y4" s="214">
        <f>Info!B43</f>
        <v>0.1</v>
      </c>
      <c r="Z4" s="118">
        <v>1</v>
      </c>
      <c r="AA4" s="118">
        <v>2</v>
      </c>
      <c r="AB4" s="118">
        <v>3</v>
      </c>
      <c r="AC4" s="118">
        <v>4</v>
      </c>
      <c r="AD4" s="118">
        <v>5</v>
      </c>
      <c r="AE4" s="224">
        <f>Info!B44</f>
        <v>0.1</v>
      </c>
      <c r="AF4" s="118">
        <v>1</v>
      </c>
      <c r="AG4" s="118">
        <v>2</v>
      </c>
      <c r="AH4" s="118">
        <v>3</v>
      </c>
      <c r="AI4" s="118">
        <v>4</v>
      </c>
      <c r="AJ4" s="118">
        <v>5</v>
      </c>
      <c r="AK4" s="226">
        <f>Info!B45</f>
        <v>0</v>
      </c>
      <c r="AL4" s="182">
        <f>Info!B40</f>
        <v>0.6</v>
      </c>
      <c r="AM4" s="119">
        <v>1</v>
      </c>
      <c r="AN4" s="119">
        <v>2</v>
      </c>
      <c r="AO4" s="119">
        <v>3</v>
      </c>
      <c r="AP4" s="119">
        <v>4</v>
      </c>
      <c r="AQ4" s="184">
        <f>Info!B39</f>
        <v>0.3</v>
      </c>
      <c r="AR4" s="196" t="s">
        <v>38</v>
      </c>
      <c r="AS4" s="187"/>
      <c r="AT4" s="189"/>
      <c r="AU4" s="187"/>
    </row>
    <row r="5" spans="1:47" x14ac:dyDescent="0.25">
      <c r="A5" s="10" t="s">
        <v>25</v>
      </c>
      <c r="B5" s="10" t="s">
        <v>29</v>
      </c>
      <c r="C5" s="11" t="s">
        <v>30</v>
      </c>
      <c r="D5" s="254"/>
      <c r="E5" s="99" t="s">
        <v>34</v>
      </c>
      <c r="F5" s="72">
        <f>COUNTA('FT Attendance'!C2:AU2)*5</f>
        <v>0</v>
      </c>
      <c r="G5" s="209"/>
      <c r="H5" s="121" t="str">
        <f>IF('Final Term'!H5="","",'Final Term'!H5)</f>
        <v/>
      </c>
      <c r="I5" s="121" t="str">
        <f>IF('Final Term'!I5="","",'Final Term'!I5)</f>
        <v/>
      </c>
      <c r="J5" s="121" t="str">
        <f>IF('Final Term'!J5="","",'Final Term'!J5)</f>
        <v/>
      </c>
      <c r="K5" s="121" t="str">
        <f>IF('Final Term'!K5="","",'Final Term'!K5)</f>
        <v/>
      </c>
      <c r="L5" s="121" t="str">
        <f>IF('Final Term'!L5="","",'Final Term'!L5)</f>
        <v/>
      </c>
      <c r="M5" s="211"/>
      <c r="N5" s="121" t="str">
        <f>IF('Final Term'!N5="","",'Final Term'!N5)</f>
        <v/>
      </c>
      <c r="O5" s="121" t="str">
        <f>IF('Final Term'!O5="","",'Final Term'!O5)</f>
        <v/>
      </c>
      <c r="P5" s="121" t="str">
        <f>IF('Final Term'!P5="","",'Final Term'!P5)</f>
        <v/>
      </c>
      <c r="Q5" s="121" t="str">
        <f>IF('Final Term'!Q5="","",'Final Term'!Q5)</f>
        <v/>
      </c>
      <c r="R5" s="121" t="str">
        <f>IF('Final Term'!R5="","",'Final Term'!R5)</f>
        <v/>
      </c>
      <c r="S5" s="213"/>
      <c r="T5" s="121" t="str">
        <f>IF('Final Term'!T5="","",'Final Term'!T5)</f>
        <v/>
      </c>
      <c r="U5" s="121" t="str">
        <f>IF('Final Term'!U5="","",'Final Term'!U5)</f>
        <v/>
      </c>
      <c r="V5" s="121" t="str">
        <f>IF('Final Term'!V5="","",'Final Term'!V5)</f>
        <v/>
      </c>
      <c r="W5" s="121" t="str">
        <f>IF('Final Term'!W5="","",'Final Term'!W5)</f>
        <v/>
      </c>
      <c r="X5" s="121" t="str">
        <f>IF('Final Term'!X5="","",'Final Term'!X5)</f>
        <v/>
      </c>
      <c r="Y5" s="215"/>
      <c r="Z5" s="121" t="str">
        <f>IF('Final Term'!Z5="","",'Final Term'!Z5)</f>
        <v/>
      </c>
      <c r="AA5" s="121" t="str">
        <f>IF('Final Term'!AA5="","",'Final Term'!AA5)</f>
        <v/>
      </c>
      <c r="AB5" s="121" t="str">
        <f>IF('Final Term'!AB5="","",'Final Term'!AB5)</f>
        <v/>
      </c>
      <c r="AC5" s="121" t="str">
        <f>IF('Final Term'!AC5="","",'Final Term'!AC5)</f>
        <v/>
      </c>
      <c r="AD5" s="121" t="str">
        <f>IF('Final Term'!AD5="","",'Final Term'!AD5)</f>
        <v/>
      </c>
      <c r="AE5" s="225"/>
      <c r="AF5" s="121" t="str">
        <f>IF('Final Term'!AF5="","",'Final Term'!AF5)</f>
        <v/>
      </c>
      <c r="AG5" s="121" t="str">
        <f>IF('Final Term'!AG5="","",'Final Term'!AG5)</f>
        <v/>
      </c>
      <c r="AH5" s="121" t="str">
        <f>IF('Final Term'!AH5="","",'Final Term'!AH5)</f>
        <v/>
      </c>
      <c r="AI5" s="121" t="str">
        <f>IF('Final Term'!AI5="","",'Final Term'!AI5)</f>
        <v/>
      </c>
      <c r="AJ5" s="121" t="str">
        <f>IF('Final Term'!AJ5="","",'Final Term'!AJ5)</f>
        <v/>
      </c>
      <c r="AK5" s="227"/>
      <c r="AL5" s="183"/>
      <c r="AM5" s="121" t="str">
        <f>IF('Final Term'!AM5="","",'Final Term'!AM5)</f>
        <v/>
      </c>
      <c r="AN5" s="121" t="str">
        <f>IF('Final Term'!AN5="","",'Final Term'!AN5)</f>
        <v/>
      </c>
      <c r="AO5" s="121" t="str">
        <f>IF('Final Term'!AO5="","",'Final Term'!AO5)</f>
        <v/>
      </c>
      <c r="AP5" s="121" t="str">
        <f>IF('Final Term'!AP5="","",'Final Term'!AP5)</f>
        <v/>
      </c>
      <c r="AQ5" s="185"/>
      <c r="AR5" s="196"/>
      <c r="AS5" s="188"/>
      <c r="AT5" s="189"/>
      <c r="AU5" s="188"/>
    </row>
    <row r="6" spans="1:47" x14ac:dyDescent="0.25">
      <c r="A6" s="8">
        <v>1</v>
      </c>
      <c r="B6" s="2" t="str">
        <f>IF('Student List'!C10="","",UPPER(LEFT('Student List'!C10,FIND(",",'Student List'!C10)-1)))</f>
        <v>XX</v>
      </c>
      <c r="C6" s="12" t="str">
        <f>IF('Student List'!C10="","",PROPER(MID('Student List'!C10, FIND(",", 'Student List'!C10) + 2, LEN('Student List'!C10) - FIND(",", 'Student List'!C10) - 1)))</f>
        <v>X</v>
      </c>
      <c r="D6" s="127" t="str">
        <f>IF('Final Term'!D6="","",'Final Term'!D6)</f>
        <v/>
      </c>
      <c r="E6" s="8" t="b">
        <f>IF(MidCom!E6="FA", "FA",
    IF(MidCom!E6="DRP", "DRP",
        IF(MidCom!E6="WF", "WF",
            IF(D6="Yes", "INC",
               IF((SUM('MT Attendance'!AW4) / 3 + SUM('MT Attendance'!AY4) + SUM('FT Attendance'!AW4) / 3 + SUM('FT Attendance'!AY4)) &gt;= 0.2 * (SUMPRODUCT(--(ISTEXT('MT Attendance'!$C$2:$AU$2))) + SUMPRODUCT(--(ISTEXT('FT Attendance'!$C$2:$AU$2)))), "FA",
                   MidCom!E6
                )
            )
        )
    )
)</f>
        <v>0</v>
      </c>
      <c r="F6" s="73">
        <f>IF($B6="","",
IF(F$5="","",
IF('Final Term'!F6="",0,
IF(NOT(ISNUMBER('Final Term'!F6)),"NAN",
IF('Final Term'!F6&lt;0,"NEG",
IF('Final Term'!F6&gt;F$5,"OVER",
IF(AND(F$5&lt;=100,'Final Term'!F6&gt;100),"ERR",
IF(Info!$B$4="Non-board program",
IF(OR(AND(F$5&gt;0,F$5&gt;100),AND(F$5&gt;0,F$5&lt;100)),
VLOOKUP(FLOOR(('Final Term'!F6/F$5)*100,1),new_transmute,2,FALSE),
VLOOKUP('Final Term'!F6,new_transmute,2,FALSE)
),
IF(Info!$B$4="Board program",
IF(OR(AND(F$5&gt;0,F$5&gt;100),AND(F$5&gt;0,F$5&lt;100)),
VLOOKUP(FLOOR(('Final Term'!F6/F$5)*100,1),new_transmute,3,FALSE),
VLOOKUP('Final Term'!F6,new_transmute,3,FALSE)
),
IF(Info!$B$4="Board program (Medicine)",
IF(OR(AND(F$5&gt;0,F$5&gt;100),AND(F$5&gt;0,F$5&lt;100)),
VLOOKUP(FLOOR(('Final Term'!F6/F$5)*100,1),new_transmute,4,FALSE),
VLOOKUP('Final Term'!F6,new_transmute,4,FALSE)
),
""
)
)
)
)
)
)
)
)
))</f>
        <v>60</v>
      </c>
      <c r="G6" s="57">
        <f>F6</f>
        <v>60</v>
      </c>
      <c r="H6" s="73" t="str">
        <f>IF($B6="","",
IF(H$5="","",
IF('Final Term'!H6="",0,
IF(NOT(ISNUMBER('Final Term'!H6)),"NAN",
IF('Final Term'!H6&lt;0,"NEG",
IF('Final Term'!H6&gt;H$5,"OVER",
IF(AND(H$5&lt;=100,'Final Term'!H6&gt;100),"ERR",
IF(Info!$B$4="Non-board program",
IF(OR(AND(H$5&gt;0,H$5&gt;100),AND(H$5&gt;0,H$5&lt;100)),
VLOOKUP(FLOOR(('Final Term'!H6/H$5)*100,1),new_transmute,2,FALSE),
VLOOKUP('Final Term'!H6,new_transmute,2,FALSE)
),
IF(Info!$B$4="Board program",
IF(OR(AND(H$5&gt;0,H$5&gt;100),AND(H$5&gt;0,H$5&lt;100)),
VLOOKUP(FLOOR(('Final Term'!H6/H$5)*100,1),new_transmute,3,FALSE),
VLOOKUP('Final Term'!H6,new_transmute,3,FALSE)
),
IF(Info!$B$4="Board program (Medicine)",
IF(OR(AND(H$5&gt;0,H$5&gt;100),AND(H$5&gt;0,H$5&lt;100)),
VLOOKUP(FLOOR(('Final Term'!H6/H$5)*100,1),new_transmute,4,FALSE),
VLOOKUP('Final Term'!H6,new_transmute,4,FALSE)
),
""
)
)
)
)
)
)
)
)
))</f>
        <v/>
      </c>
      <c r="I6" s="73" t="str">
        <f>IF($B6="","",
IF(I$5="","",
IF('Final Term'!I6="",0,
IF(NOT(ISNUMBER('Final Term'!I6)),"NAN",
IF('Final Term'!I6&lt;0,"NEG",
IF('Final Term'!I6&gt;I$5,"OVER",
IF(AND(I$5&lt;=100,'Final Term'!I6&gt;100),"ERR",
IF(Info!$B$4="Non-board program",
IF(OR(AND(I$5&gt;0,I$5&gt;100),AND(I$5&gt;0,I$5&lt;100)),
VLOOKUP(FLOOR(('Final Term'!I6/I$5)*100,1),new_transmute,2,FALSE),
VLOOKUP('Final Term'!I6,new_transmute,2,FALSE)
),
IF(Info!$B$4="Board program",
IF(OR(AND(I$5&gt;0,I$5&gt;100),AND(I$5&gt;0,I$5&lt;100)),
VLOOKUP(FLOOR(('Final Term'!I6/I$5)*100,1),new_transmute,3,FALSE),
VLOOKUP('Final Term'!I6,new_transmute,3,FALSE)
),
IF(Info!$B$4="Board program (Medicine)",
IF(OR(AND(I$5&gt;0,I$5&gt;100),AND(I$5&gt;0,I$5&lt;100)),
VLOOKUP(FLOOR(('Final Term'!I6/I$5)*100,1),new_transmute,4,FALSE),
VLOOKUP('Final Term'!I6,new_transmute,4,FALSE)
),
""
)
)
)
)
)
)
)
)
))</f>
        <v/>
      </c>
      <c r="J6" s="73" t="str">
        <f>IF($B6="","",
IF(J$5="","",
IF('Final Term'!J6="",0,
IF(NOT(ISNUMBER('Final Term'!J6)),"NAN",
IF('Final Term'!J6&lt;0,"NEG",
IF('Final Term'!J6&gt;J$5,"OVER",
IF(AND(J$5&lt;=100,'Final Term'!J6&gt;100),"ERR",
IF(Info!$B$4="Non-board program",
IF(OR(AND(J$5&gt;0,J$5&gt;100),AND(J$5&gt;0,J$5&lt;100)),
VLOOKUP(FLOOR(('Final Term'!J6/J$5)*100,1),new_transmute,2,FALSE),
VLOOKUP('Final Term'!J6,new_transmute,2,FALSE)
),
IF(Info!$B$4="Board program",
IF(OR(AND(J$5&gt;0,J$5&gt;100),AND(J$5&gt;0,J$5&lt;100)),
VLOOKUP(FLOOR(('Final Term'!J6/J$5)*100,1),new_transmute,3,FALSE),
VLOOKUP('Final Term'!J6,new_transmute,3,FALSE)
),
IF(Info!$B$4="Board program (Medicine)",
IF(OR(AND(J$5&gt;0,J$5&gt;100),AND(J$5&gt;0,J$5&lt;100)),
VLOOKUP(FLOOR(('Final Term'!J6/J$5)*100,1),new_transmute,4,FALSE),
VLOOKUP('Final Term'!J6,new_transmute,4,FALSE)
),
""
)
)
)
)
)
)
)
)
))</f>
        <v/>
      </c>
      <c r="K6" s="73" t="str">
        <f>IF($B6="","",
IF(K$5="","",
IF('Final Term'!K6="",0,
IF(NOT(ISNUMBER('Final Term'!K6)),"NAN",
IF('Final Term'!K6&lt;0,"NEG",
IF('Final Term'!K6&gt;K$5,"OVER",
IF(AND(K$5&lt;=100,'Final Term'!K6&gt;100),"ERR",
IF(Info!$B$4="Non-board program",
IF(OR(AND(K$5&gt;0,K$5&gt;100),AND(K$5&gt;0,K$5&lt;100)),
VLOOKUP(FLOOR(('Final Term'!K6/K$5)*100,1),new_transmute,2,FALSE),
VLOOKUP('Final Term'!K6,new_transmute,2,FALSE)
),
IF(Info!$B$4="Board program",
IF(OR(AND(K$5&gt;0,K$5&gt;100),AND(K$5&gt;0,K$5&lt;100)),
VLOOKUP(FLOOR(('Final Term'!K6/K$5)*100,1),new_transmute,3,FALSE),
VLOOKUP('Final Term'!K6,new_transmute,3,FALSE)
),
IF(Info!$B$4="Board program (Medicine)",
IF(OR(AND(K$5&gt;0,K$5&gt;100),AND(K$5&gt;0,K$5&lt;100)),
VLOOKUP(FLOOR(('Final Term'!K6/K$5)*100,1),new_transmute,4,FALSE),
VLOOKUP('Final Term'!K6,new_transmute,4,FALSE)
),
""
)
)
)
)
)
)
)
)
))</f>
        <v/>
      </c>
      <c r="L6" s="73" t="str">
        <f>IF($B6="","",
IF(L$5="","",
IF('Final Term'!L6="",0,
IF(NOT(ISNUMBER('Final Term'!L6)),"NAN",
IF('Final Term'!L6&lt;0,"NEG",
IF('Final Term'!L6&gt;L$5,"OVER",
IF(AND(L$5&lt;=100,'Final Term'!L6&gt;100),"ERR",
IF(Info!$B$4="Non-board program",
IF(OR(AND(L$5&gt;0,L$5&gt;100),AND(L$5&gt;0,L$5&lt;100)),
VLOOKUP(FLOOR(('Final Term'!L6/L$5)*100,1),new_transmute,2,FALSE),
VLOOKUP('Final Term'!L6,new_transmute,2,FALSE)
),
IF(Info!$B$4="Board program",
IF(OR(AND(L$5&gt;0,L$5&gt;100),AND(L$5&gt;0,L$5&lt;100)),
VLOOKUP(FLOOR(('Final Term'!L6/L$5)*100,1),new_transmute,3,FALSE),
VLOOKUP('Final Term'!L6,new_transmute,3,FALSE)
),
IF(Info!$B$4="Board program (Medicine)",
IF(OR(AND(L$5&gt;0,L$5&gt;100),AND(L$5&gt;0,L$5&lt;100)),
VLOOKUP(FLOOR(('Final Term'!L6/L$5)*100,1),new_transmute,4,FALSE),
VLOOKUP('Final Term'!L6,new_transmute,4,FALSE)
),
""
)
)
)
)
)
)
)
)
))</f>
        <v/>
      </c>
      <c r="M6" s="111">
        <f>IF(B6="", "", IF(COUNTIF(H6:L6, "OVER") &gt; 0, "OVER", IFERROR(AVERAGEIF(H6:L6, "&lt;&gt;OVER"), 0)))</f>
        <v>0</v>
      </c>
      <c r="N6" s="73" t="str">
        <f>IF($B6="","",
IF(N$5="","",
IF('Final Term'!N6="",0,
IF(NOT(ISNUMBER('Final Term'!N6)),"NAN",
IF('Final Term'!N6&lt;0,"NEG",
IF('Final Term'!N6&gt;N$5,"OVER",
IF(AND(N$5&lt;=100,'Final Term'!N6&gt;100),"ERR",
IF(Info!$B$4="Non-board program",
IF(OR(AND(N$5&gt;0,N$5&gt;100),AND(N$5&gt;0,N$5&lt;100)),
VLOOKUP(FLOOR(('Final Term'!N6/N$5)*100,1),new_transmute,2,FALSE),
VLOOKUP('Final Term'!N6,new_transmute,2,FALSE)
),
IF(Info!$B$4="Board program",
IF(OR(AND(N$5&gt;0,N$5&gt;100),AND(N$5&gt;0,N$5&lt;100)),
VLOOKUP(FLOOR(('Final Term'!N6/N$5)*100,1),new_transmute,3,FALSE),
VLOOKUP('Final Term'!N6,new_transmute,3,FALSE)
),
IF(Info!$B$4="Board program (Medicine)",
IF(OR(AND(N$5&gt;0,N$5&gt;100),AND(N$5&gt;0,N$5&lt;100)),
VLOOKUP(FLOOR(('Final Term'!N6/N$5)*100,1),new_transmute,4,FALSE),
VLOOKUP('Final Term'!N6,new_transmute,4,FALSE)
),
""
)
)
)
)
)
)
)
)
))</f>
        <v/>
      </c>
      <c r="O6" s="73" t="str">
        <f>IF($B6="","",
IF(O$5="","",
IF('Final Term'!O6="",0,
IF(NOT(ISNUMBER('Final Term'!O6)),"NAN",
IF('Final Term'!O6&lt;0,"NEG",
IF('Final Term'!O6&gt;O$5,"OVER",
IF(AND(O$5&lt;=100,'Final Term'!O6&gt;100),"ERR",
IF(Info!$B$4="Non-board program",
IF(OR(AND(O$5&gt;0,O$5&gt;100),AND(O$5&gt;0,O$5&lt;100)),
VLOOKUP(FLOOR(('Final Term'!O6/O$5)*100,1),new_transmute,2,FALSE),
VLOOKUP('Final Term'!O6,new_transmute,2,FALSE)
),
IF(Info!$B$4="Board program",
IF(OR(AND(O$5&gt;0,O$5&gt;100),AND(O$5&gt;0,O$5&lt;100)),
VLOOKUP(FLOOR(('Final Term'!O6/O$5)*100,1),new_transmute,3,FALSE),
VLOOKUP('Final Term'!O6,new_transmute,3,FALSE)
),
IF(Info!$B$4="Board program (Medicine)",
IF(OR(AND(O$5&gt;0,O$5&gt;100),AND(O$5&gt;0,O$5&lt;100)),
VLOOKUP(FLOOR(('Final Term'!O6/O$5)*100,1),new_transmute,4,FALSE),
VLOOKUP('Final Term'!O6,new_transmute,4,FALSE)
),
""
)
)
)
)
)
)
)
)
))</f>
        <v/>
      </c>
      <c r="P6" s="73" t="str">
        <f>IF($B6="","",
IF(P$5="","",
IF('Final Term'!P6="",0,
IF(NOT(ISNUMBER('Final Term'!P6)),"NAN",
IF('Final Term'!P6&lt;0,"NEG",
IF('Final Term'!P6&gt;P$5,"OVER",
IF(AND(P$5&lt;=100,'Final Term'!P6&gt;100),"ERR",
IF(Info!$B$4="Non-board program",
IF(OR(AND(P$5&gt;0,P$5&gt;100),AND(P$5&gt;0,P$5&lt;100)),
VLOOKUP(FLOOR(('Final Term'!P6/P$5)*100,1),new_transmute,2,FALSE),
VLOOKUP('Final Term'!P6,new_transmute,2,FALSE)
),
IF(Info!$B$4="Board program",
IF(OR(AND(P$5&gt;0,P$5&gt;100),AND(P$5&gt;0,P$5&lt;100)),
VLOOKUP(FLOOR(('Final Term'!P6/P$5)*100,1),new_transmute,3,FALSE),
VLOOKUP('Final Term'!P6,new_transmute,3,FALSE)
),
IF(Info!$B$4="Board program (Medicine)",
IF(OR(AND(P$5&gt;0,P$5&gt;100),AND(P$5&gt;0,P$5&lt;100)),
VLOOKUP(FLOOR(('Final Term'!P6/P$5)*100,1),new_transmute,4,FALSE),
VLOOKUP('Final Term'!P6,new_transmute,4,FALSE)
),
""
)
)
)
)
)
)
)
)
))</f>
        <v/>
      </c>
      <c r="Q6" s="73" t="str">
        <f>IF($B6="","",
IF(Q$5="","",
IF('Final Term'!Q6="",0,
IF(NOT(ISNUMBER('Final Term'!Q6)),"NAN",
IF('Final Term'!Q6&lt;0,"NEG",
IF('Final Term'!Q6&gt;Q$5,"OVER",
IF(AND(Q$5&lt;=100,'Final Term'!Q6&gt;100),"ERR",
IF(Info!$B$4="Non-board program",
IF(OR(AND(Q$5&gt;0,Q$5&gt;100),AND(Q$5&gt;0,Q$5&lt;100)),
VLOOKUP(FLOOR(('Final Term'!Q6/Q$5)*100,1),new_transmute,2,FALSE),
VLOOKUP('Final Term'!Q6,new_transmute,2,FALSE)
),
IF(Info!$B$4="Board program",
IF(OR(AND(Q$5&gt;0,Q$5&gt;100),AND(Q$5&gt;0,Q$5&lt;100)),
VLOOKUP(FLOOR(('Final Term'!Q6/Q$5)*100,1),new_transmute,3,FALSE),
VLOOKUP('Final Term'!Q6,new_transmute,3,FALSE)
),
IF(Info!$B$4="Board program (Medicine)",
IF(OR(AND(Q$5&gt;0,Q$5&gt;100),AND(Q$5&gt;0,Q$5&lt;100)),
VLOOKUP(FLOOR(('Final Term'!Q6/Q$5)*100,1),new_transmute,4,FALSE),
VLOOKUP('Final Term'!Q6,new_transmute,4,FALSE)
),
""
)
)
)
)
)
)
)
)
))</f>
        <v/>
      </c>
      <c r="R6" s="73" t="str">
        <f>IF($B6="","",
IF(R$5="","",
IF('Final Term'!R6="",0,
IF(NOT(ISNUMBER('Final Term'!R6)),"NAN",
IF('Final Term'!R6&lt;0,"NEG",
IF('Final Term'!R6&gt;R$5,"OVER",
IF(AND(R$5&lt;=100,'Final Term'!R6&gt;100),"ERR",
IF(Info!$B$4="Non-board program",
IF(OR(AND(R$5&gt;0,R$5&gt;100),AND(R$5&gt;0,R$5&lt;100)),
VLOOKUP(FLOOR(('Final Term'!R6/R$5)*100,1),new_transmute,2,FALSE),
VLOOKUP('Final Term'!R6,new_transmute,2,FALSE)
),
IF(Info!$B$4="Board program",
IF(OR(AND(R$5&gt;0,R$5&gt;100),AND(R$5&gt;0,R$5&lt;100)),
VLOOKUP(FLOOR(('Final Term'!R6/R$5)*100,1),new_transmute,3,FALSE),
VLOOKUP('Final Term'!R6,new_transmute,3,FALSE)
),
IF(Info!$B$4="Board program (Medicine)",
IF(OR(AND(R$5&gt;0,R$5&gt;100),AND(R$5&gt;0,R$5&lt;100)),
VLOOKUP(FLOOR(('Final Term'!R6/R$5)*100,1),new_transmute,4,FALSE),
VLOOKUP('Final Term'!R6,new_transmute,4,FALSE)
),
""
)
)
)
)
)
)
)
)
))</f>
        <v/>
      </c>
      <c r="S6" s="115">
        <f>IF(B6="", "", IF(COUNTIF(N6:R6, "OVER") &gt; 0, "OVER", IFERROR(AVERAGEIF(N6:R6, "&lt;&gt;OVER"), 0)))</f>
        <v>0</v>
      </c>
      <c r="T6" s="73" t="str">
        <f>IF($B6="","",
IF(T$5="","",
IF('Final Term'!T6="",0,
IF(NOT(ISNUMBER('Final Term'!T6)),"NAN",
IF('Final Term'!T6&lt;0,"NEG",
IF('Final Term'!T6&gt;T$5,"OVER",
IF(AND(T$5&lt;=100,'Final Term'!T6&gt;100),"ERR",
IF(Info!$B$4="Non-board program",
IF(OR(AND(T$5&gt;0,T$5&gt;100),AND(T$5&gt;0,T$5&lt;100)),
VLOOKUP(FLOOR(('Final Term'!T6/T$5)*100,1),new_transmute,2,FALSE),
VLOOKUP('Final Term'!T6,new_transmute,2,FALSE)
),
IF(Info!$B$4="Board program",
IF(OR(AND(T$5&gt;0,T$5&gt;100),AND(T$5&gt;0,T$5&lt;100)),
VLOOKUP(FLOOR(('Final Term'!T6/T$5)*100,1),new_transmute,3,FALSE),
VLOOKUP('Final Term'!T6,new_transmute,3,FALSE)
),
IF(Info!$B$4="Board program (Medicine)",
IF(OR(AND(T$5&gt;0,T$5&gt;100),AND(T$5&gt;0,T$5&lt;100)),
VLOOKUP(FLOOR(('Final Term'!T6/T$5)*100,1),new_transmute,4,FALSE),
VLOOKUP('Final Term'!T6,new_transmute,4,FALSE)
),
""
)
)
)
)
)
)
)
)
))</f>
        <v/>
      </c>
      <c r="U6" s="73" t="str">
        <f>IF($B6="","",
IF(U$5="","",
IF('Final Term'!U6="",0,
IF(NOT(ISNUMBER('Final Term'!U6)),"NAN",
IF('Final Term'!U6&lt;0,"NEG",
IF('Final Term'!U6&gt;U$5,"OVER",
IF(AND(U$5&lt;=100,'Final Term'!U6&gt;100),"ERR",
IF(Info!$B$4="Non-board program",
IF(OR(AND(U$5&gt;0,U$5&gt;100),AND(U$5&gt;0,U$5&lt;100)),
VLOOKUP(FLOOR(('Final Term'!U6/U$5)*100,1),new_transmute,2,FALSE),
VLOOKUP('Final Term'!U6,new_transmute,2,FALSE)
),
IF(Info!$B$4="Board program",
IF(OR(AND(U$5&gt;0,U$5&gt;100),AND(U$5&gt;0,U$5&lt;100)),
VLOOKUP(FLOOR(('Final Term'!U6/U$5)*100,1),new_transmute,3,FALSE),
VLOOKUP('Final Term'!U6,new_transmute,3,FALSE)
),
IF(Info!$B$4="Board program (Medicine)",
IF(OR(AND(U$5&gt;0,U$5&gt;100),AND(U$5&gt;0,U$5&lt;100)),
VLOOKUP(FLOOR(('Final Term'!U6/U$5)*100,1),new_transmute,4,FALSE),
VLOOKUP('Final Term'!U6,new_transmute,4,FALSE)
),
""
)
)
)
)
)
)
)
)
))</f>
        <v/>
      </c>
      <c r="V6" s="73" t="str">
        <f>IF($B6="","",
IF(V$5="","",
IF('Final Term'!V6="",0,
IF(NOT(ISNUMBER('Final Term'!V6)),"NAN",
IF('Final Term'!V6&lt;0,"NEG",
IF('Final Term'!V6&gt;V$5,"OVER",
IF(AND(V$5&lt;=100,'Final Term'!V6&gt;100),"ERR",
IF(Info!$B$4="Non-board program",
IF(OR(AND(V$5&gt;0,V$5&gt;100),AND(V$5&gt;0,V$5&lt;100)),
VLOOKUP(FLOOR(('Final Term'!V6/V$5)*100,1),new_transmute,2,FALSE),
VLOOKUP('Final Term'!V6,new_transmute,2,FALSE)
),
IF(Info!$B$4="Board program",
IF(OR(AND(V$5&gt;0,V$5&gt;100),AND(V$5&gt;0,V$5&lt;100)),
VLOOKUP(FLOOR(('Final Term'!V6/V$5)*100,1),new_transmute,3,FALSE),
VLOOKUP('Final Term'!V6,new_transmute,3,FALSE)
),
IF(Info!$B$4="Board program (Medicine)",
IF(OR(AND(V$5&gt;0,V$5&gt;100),AND(V$5&gt;0,V$5&lt;100)),
VLOOKUP(FLOOR(('Final Term'!V6/V$5)*100,1),new_transmute,4,FALSE),
VLOOKUP('Final Term'!V6,new_transmute,4,FALSE)
),
""
)
)
)
)
)
)
)
)
))</f>
        <v/>
      </c>
      <c r="W6" s="73" t="str">
        <f>IF($B6="","",
IF(W$5="","",
IF('Final Term'!W6="",0,
IF(NOT(ISNUMBER('Final Term'!W6)),"NAN",
IF('Final Term'!W6&lt;0,"NEG",
IF('Final Term'!W6&gt;W$5,"OVER",
IF(AND(W$5&lt;=100,'Final Term'!W6&gt;100),"ERR",
IF(Info!$B$4="Non-board program",
IF(OR(AND(W$5&gt;0,W$5&gt;100),AND(W$5&gt;0,W$5&lt;100)),
VLOOKUP(FLOOR(('Final Term'!W6/W$5)*100,1),new_transmute,2,FALSE),
VLOOKUP('Final Term'!W6,new_transmute,2,FALSE)
),
IF(Info!$B$4="Board program",
IF(OR(AND(W$5&gt;0,W$5&gt;100),AND(W$5&gt;0,W$5&lt;100)),
VLOOKUP(FLOOR(('Final Term'!W6/W$5)*100,1),new_transmute,3,FALSE),
VLOOKUP('Final Term'!W6,new_transmute,3,FALSE)
),
IF(Info!$B$4="Board program (Medicine)",
IF(OR(AND(W$5&gt;0,W$5&gt;100),AND(W$5&gt;0,W$5&lt;100)),
VLOOKUP(FLOOR(('Final Term'!W6/W$5)*100,1),new_transmute,4,FALSE),
VLOOKUP('Final Term'!W6,new_transmute,4,FALSE)
),
""
)
)
)
)
)
)
)
)
))</f>
        <v/>
      </c>
      <c r="X6" s="73" t="str">
        <f>IF($B6="","",
IF(X$5="","",
IF('Final Term'!X6="",0,
IF(NOT(ISNUMBER('Final Term'!X6)),"NAN",
IF('Final Term'!X6&lt;0,"NEG",
IF('Final Term'!X6&gt;X$5,"OVER",
IF(AND(X$5&lt;=100,'Final Term'!X6&gt;100),"ERR",
IF(Info!$B$4="Non-board program",
IF(OR(AND(X$5&gt;0,X$5&gt;100),AND(X$5&gt;0,X$5&lt;100)),
VLOOKUP(FLOOR(('Final Term'!X6/X$5)*100,1),new_transmute,2,FALSE),
VLOOKUP('Final Term'!X6,new_transmute,2,FALSE)
),
IF(Info!$B$4="Board program",
IF(OR(AND(X$5&gt;0,X$5&gt;100),AND(X$5&gt;0,X$5&lt;100)),
VLOOKUP(FLOOR(('Final Term'!X6/X$5)*100,1),new_transmute,3,FALSE),
VLOOKUP('Final Term'!X6,new_transmute,3,FALSE)
),
IF(Info!$B$4="Board program (Medicine)",
IF(OR(AND(X$5&gt;0,X$5&gt;100),AND(X$5&gt;0,X$5&lt;100)),
VLOOKUP(FLOOR(('Final Term'!X6/X$5)*100,1),new_transmute,4,FALSE),
VLOOKUP('Final Term'!X6,new_transmute,4,FALSE)
),
""
)
)
)
)
)
)
)
)
))</f>
        <v/>
      </c>
      <c r="Y6" s="112">
        <f>IF(B6="", "", IF(COUNTIF(T6:X6, "OVER") &gt; 0, "OVER", IFERROR(AVERAGEIF(T6:X6, "&lt;&gt;OVER"), 0)))</f>
        <v>0</v>
      </c>
      <c r="Z6" s="73" t="str">
        <f>IF($B6="","",
IF(Z$5="","",
IF('Final Term'!Z6="",0,
IF(NOT(ISNUMBER('Final Term'!Z6)),"NAN",
IF('Final Term'!Z6&lt;0,"NEG",
IF('Final Term'!Z6&gt;Z$5,"OVER",
IF(AND(Z$5&lt;=100,'Final Term'!Z6&gt;100),"ERR",
IF(Info!$B$4="Non-board program",
IF(OR(AND(Z$5&gt;0,Z$5&gt;100),AND(Z$5&gt;0,Z$5&lt;100)),
VLOOKUP(FLOOR(('Final Term'!Z6/Z$5)*100,1),new_transmute,2,FALSE),
VLOOKUP('Final Term'!Z6,new_transmute,2,FALSE)
),
IF(Info!$B$4="Board program",
IF(OR(AND(Z$5&gt;0,Z$5&gt;100),AND(Z$5&gt;0,Z$5&lt;100)),
VLOOKUP(FLOOR(('Final Term'!Z6/Z$5)*100,1),new_transmute,3,FALSE),
VLOOKUP('Final Term'!Z6,new_transmute,3,FALSE)
),
IF(Info!$B$4="Board program (Medicine)",
IF(OR(AND(Z$5&gt;0,Z$5&gt;100),AND(Z$5&gt;0,Z$5&lt;100)),
VLOOKUP(FLOOR(('Final Term'!Z6/Z$5)*100,1),new_transmute,4,FALSE),
VLOOKUP('Final Term'!Z6,new_transmute,4,FALSE)
),
""
)
)
)
)
)
)
)
)
))</f>
        <v/>
      </c>
      <c r="AA6" s="73" t="str">
        <f>IF($B6="","",
IF(AA$5="","",
IF('Final Term'!AA6="",0,
IF(NOT(ISNUMBER('Final Term'!AA6)),"NAN",
IF('Final Term'!AA6&lt;0,"NEG",
IF('Final Term'!AA6&gt;AA$5,"OVER",
IF(AND(AA$5&lt;=100,'Final Term'!AA6&gt;100),"ERR",
IF(Info!$B$4="Non-board program",
IF(OR(AND(AA$5&gt;0,AA$5&gt;100),AND(AA$5&gt;0,AA$5&lt;100)),
VLOOKUP(FLOOR(('Final Term'!AA6/AA$5)*100,1),new_transmute,2,FALSE),
VLOOKUP('Final Term'!AA6,new_transmute,2,FALSE)
),
IF(Info!$B$4="Board program",
IF(OR(AND(AA$5&gt;0,AA$5&gt;100),AND(AA$5&gt;0,AA$5&lt;100)),
VLOOKUP(FLOOR(('Final Term'!AA6/AA$5)*100,1),new_transmute,3,FALSE),
VLOOKUP('Final Term'!AA6,new_transmute,3,FALSE)
),
IF(Info!$B$4="Board program (Medicine)",
IF(OR(AND(AA$5&gt;0,AA$5&gt;100),AND(AA$5&gt;0,AA$5&lt;100)),
VLOOKUP(FLOOR(('Final Term'!AA6/AA$5)*100,1),new_transmute,4,FALSE),
VLOOKUP('Final Term'!AA6,new_transmute,4,FALSE)
),
""
)
)
)
)
)
)
)
)
))</f>
        <v/>
      </c>
      <c r="AB6" s="73" t="str">
        <f>IF($B6="","",
IF(AB$5="","",
IF('Final Term'!AB6="",0,
IF(NOT(ISNUMBER('Final Term'!AB6)),"NAN",
IF('Final Term'!AB6&lt;0,"NEG",
IF('Final Term'!AB6&gt;AB$5,"OVER",
IF(AND(AB$5&lt;=100,'Final Term'!AB6&gt;100),"ERR",
IF(Info!$B$4="Non-board program",
IF(OR(AND(AB$5&gt;0,AB$5&gt;100),AND(AB$5&gt;0,AB$5&lt;100)),
VLOOKUP(FLOOR(('Final Term'!AB6/AB$5)*100,1),new_transmute,2,FALSE),
VLOOKUP('Final Term'!AB6,new_transmute,2,FALSE)
),
IF(Info!$B$4="Board program",
IF(OR(AND(AB$5&gt;0,AB$5&gt;100),AND(AB$5&gt;0,AB$5&lt;100)),
VLOOKUP(FLOOR(('Final Term'!AB6/AB$5)*100,1),new_transmute,3,FALSE),
VLOOKUP('Final Term'!AB6,new_transmute,3,FALSE)
),
IF(Info!$B$4="Board program (Medicine)",
IF(OR(AND(AB$5&gt;0,AB$5&gt;100),AND(AB$5&gt;0,AB$5&lt;100)),
VLOOKUP(FLOOR(('Final Term'!AB6/AB$5)*100,1),new_transmute,4,FALSE),
VLOOKUP('Final Term'!AB6,new_transmute,4,FALSE)
),
""
)
)
)
)
)
)
)
)
))</f>
        <v/>
      </c>
      <c r="AC6" s="73" t="str">
        <f>IF($B6="","",
IF(AC$5="","",
IF('Final Term'!AC6="",0,
IF(NOT(ISNUMBER('Final Term'!AC6)),"NAN",
IF('Final Term'!AC6&lt;0,"NEG",
IF('Final Term'!AC6&gt;AC$5,"OVER",
IF(AND(AC$5&lt;=100,'Final Term'!AC6&gt;100),"ERR",
IF(Info!$B$4="Non-board program",
IF(OR(AND(AC$5&gt;0,AC$5&gt;100),AND(AC$5&gt;0,AC$5&lt;100)),
VLOOKUP(FLOOR(('Final Term'!AC6/AC$5)*100,1),new_transmute,2,FALSE),
VLOOKUP('Final Term'!AC6,new_transmute,2,FALSE)
),
IF(Info!$B$4="Board program",
IF(OR(AND(AC$5&gt;0,AC$5&gt;100),AND(AC$5&gt;0,AC$5&lt;100)),
VLOOKUP(FLOOR(('Final Term'!AC6/AC$5)*100,1),new_transmute,3,FALSE),
VLOOKUP('Final Term'!AC6,new_transmute,3,FALSE)
),
IF(Info!$B$4="Board program (Medicine)",
IF(OR(AND(AC$5&gt;0,AC$5&gt;100),AND(AC$5&gt;0,AC$5&lt;100)),
VLOOKUP(FLOOR(('Final Term'!AC6/AC$5)*100,1),new_transmute,4,FALSE),
VLOOKUP('Final Term'!AC6,new_transmute,4,FALSE)
),
""
)
)
)
)
)
)
)
)
))</f>
        <v/>
      </c>
      <c r="AD6" s="73" t="str">
        <f>IF($B6="","",
IF(AD$5="","",
IF('Final Term'!AD6="",0,
IF(NOT(ISNUMBER('Final Term'!AD6)),"NAN",
IF('Final Term'!AD6&lt;0,"NEG",
IF('Final Term'!AD6&gt;AD$5,"OVER",
IF(AND(AD$5&lt;=100,'Final Term'!AD6&gt;100),"ERR",
IF(Info!$B$4="Non-board program",
IF(OR(AND(AD$5&gt;0,AD$5&gt;100),AND(AD$5&gt;0,AD$5&lt;100)),
VLOOKUP(FLOOR(('Final Term'!AD6/AD$5)*100,1),new_transmute,2,FALSE),
VLOOKUP('Final Term'!AD6,new_transmute,2,FALSE)
),
IF(Info!$B$4="Board program",
IF(OR(AND(AD$5&gt;0,AD$5&gt;100),AND(AD$5&gt;0,AD$5&lt;100)),
VLOOKUP(FLOOR(('Final Term'!AD6/AD$5)*100,1),new_transmute,3,FALSE),
VLOOKUP('Final Term'!AD6,new_transmute,3,FALSE)
),
IF(Info!$B$4="Board program (Medicine)",
IF(OR(AND(AD$5&gt;0,AD$5&gt;100),AND(AD$5&gt;0,AD$5&lt;100)),
VLOOKUP(FLOOR(('Final Term'!AD6/AD$5)*100,1),new_transmute,4,FALSE),
VLOOKUP('Final Term'!AD6,new_transmute,4,FALSE)
),
""
)
)
)
)
)
)
)
)
))</f>
        <v/>
      </c>
      <c r="AE6" s="58">
        <f>IF(B6="", "", IF(COUNTIF(Z6:AD6, "OVER") &gt; 0, "OVER", IFERROR(AVERAGEIF(Z6:AD6, "&lt;&gt;OVER"), 0)))</f>
        <v>0</v>
      </c>
      <c r="AF6" s="73" t="str">
        <f>IF($B6="","",
IF(AF$5="","",
IF('Final Term'!AF6="",0,
IF(NOT(ISNUMBER('Final Term'!AF6)),"NAN",
IF('Final Term'!AF6&lt;0,"NEG",
IF('Final Term'!AF6&gt;AF$5,"OVER",
IF(AND(AF$5&lt;=100,'Final Term'!AF6&gt;100),"ERR",
IF(Info!$B$4="Non-board program",
IF(OR(AND(AF$5&gt;0,AF$5&gt;100),AND(AF$5&gt;0,AF$5&lt;100)),
VLOOKUP(FLOOR(('Final Term'!AF6/AF$5)*100,1),new_transmute,2,FALSE),
VLOOKUP('Final Term'!AF6,new_transmute,2,FALSE)
),
IF(Info!$B$4="Board program",
IF(OR(AND(AF$5&gt;0,AF$5&gt;100),AND(AF$5&gt;0,AF$5&lt;100)),
VLOOKUP(FLOOR(('Final Term'!AF6/AF$5)*100,1),new_transmute,3,FALSE),
VLOOKUP('Final Term'!AF6,new_transmute,3,FALSE)
),
IF(Info!$B$4="Board program (Medicine)",
IF(OR(AND(AF$5&gt;0,AF$5&gt;100),AND(AF$5&gt;0,AF$5&lt;100)),
VLOOKUP(FLOOR(('Final Term'!AF6/AF$5)*100,1),new_transmute,4,FALSE),
VLOOKUP('Final Term'!AF6,new_transmute,4,FALSE)
),
""
)
)
)
)
)
)
)
)
))</f>
        <v/>
      </c>
      <c r="AG6" s="73" t="str">
        <f>IF($B6="","",
IF(AG$5="","",
IF('Final Term'!AG6="",0,
IF(NOT(ISNUMBER('Final Term'!AG6)),"NAN",
IF('Final Term'!AG6&lt;0,"NEG",
IF('Final Term'!AG6&gt;AG$5,"OVER",
IF(AND(AG$5&lt;=100,'Final Term'!AG6&gt;100),"ERR",
IF(Info!$B$4="Non-board program",
IF(OR(AND(AG$5&gt;0,AG$5&gt;100),AND(AG$5&gt;0,AG$5&lt;100)),
VLOOKUP(FLOOR(('Final Term'!AG6/AG$5)*100,1),new_transmute,2,FALSE),
VLOOKUP('Final Term'!AG6,new_transmute,2,FALSE)
),
IF(Info!$B$4="Board program",
IF(OR(AND(AG$5&gt;0,AG$5&gt;100),AND(AG$5&gt;0,AG$5&lt;100)),
VLOOKUP(FLOOR(('Final Term'!AG6/AG$5)*100,1),new_transmute,3,FALSE),
VLOOKUP('Final Term'!AG6,new_transmute,3,FALSE)
),
IF(Info!$B$4="Board program (Medicine)",
IF(OR(AND(AG$5&gt;0,AG$5&gt;100),AND(AG$5&gt;0,AG$5&lt;100)),
VLOOKUP(FLOOR(('Final Term'!AG6/AG$5)*100,1),new_transmute,4,FALSE),
VLOOKUP('Final Term'!AG6,new_transmute,4,FALSE)
),
""
)
)
)
)
)
)
)
)
))</f>
        <v/>
      </c>
      <c r="AH6" s="73" t="str">
        <f>IF($B6="","",
IF(AH$5="","",
IF('Final Term'!AH6="",0,
IF(NOT(ISNUMBER('Final Term'!AH6)),"NAN",
IF('Final Term'!AH6&lt;0,"NEG",
IF('Final Term'!AH6&gt;AH$5,"OVER",
IF(AND(AH$5&lt;=100,'Final Term'!AH6&gt;100),"ERR",
IF(Info!$B$4="Non-board program",
IF(OR(AND(AH$5&gt;0,AH$5&gt;100),AND(AH$5&gt;0,AH$5&lt;100)),
VLOOKUP(FLOOR(('Final Term'!AH6/AH$5)*100,1),new_transmute,2,FALSE),
VLOOKUP('Final Term'!AH6,new_transmute,2,FALSE)
),
IF(Info!$B$4="Board program",
IF(OR(AND(AH$5&gt;0,AH$5&gt;100),AND(AH$5&gt;0,AH$5&lt;100)),
VLOOKUP(FLOOR(('Final Term'!AH6/AH$5)*100,1),new_transmute,3,FALSE),
VLOOKUP('Final Term'!AH6,new_transmute,3,FALSE)
),
IF(Info!$B$4="Board program (Medicine)",
IF(OR(AND(AH$5&gt;0,AH$5&gt;100),AND(AH$5&gt;0,AH$5&lt;100)),
VLOOKUP(FLOOR(('Final Term'!AH6/AH$5)*100,1),new_transmute,4,FALSE),
VLOOKUP('Final Term'!AH6,new_transmute,4,FALSE)
),
""
)
)
)
)
)
)
)
)
))</f>
        <v/>
      </c>
      <c r="AI6" s="73" t="str">
        <f>IF($B6="","",
IF(AI$5="","",
IF('Final Term'!AI6="",0,
IF(NOT(ISNUMBER('Final Term'!AI6)),"NAN",
IF('Final Term'!AI6&lt;0,"NEG",
IF('Final Term'!AI6&gt;AI$5,"OVER",
IF(AND(AI$5&lt;=100,'Final Term'!AI6&gt;100),"ERR",
IF(Info!$B$4="Non-board program",
IF(OR(AND(AI$5&gt;0,AI$5&gt;100),AND(AI$5&gt;0,AI$5&lt;100)),
VLOOKUP(FLOOR(('Final Term'!AI6/AI$5)*100,1),new_transmute,2,FALSE),
VLOOKUP('Final Term'!AI6,new_transmute,2,FALSE)
),
IF(Info!$B$4="Board program",
IF(OR(AND(AI$5&gt;0,AI$5&gt;100),AND(AI$5&gt;0,AI$5&lt;100)),
VLOOKUP(FLOOR(('Final Term'!AI6/AI$5)*100,1),new_transmute,3,FALSE),
VLOOKUP('Final Term'!AI6,new_transmute,3,FALSE)
),
IF(Info!$B$4="Board program (Medicine)",
IF(OR(AND(AI$5&gt;0,AI$5&gt;100),AND(AI$5&gt;0,AI$5&lt;100)),
VLOOKUP(FLOOR(('Final Term'!AI6/AI$5)*100,1),new_transmute,4,FALSE),
VLOOKUP('Final Term'!AI6,new_transmute,4,FALSE)
),
""
)
)
)
)
)
)
)
)
))</f>
        <v/>
      </c>
      <c r="AJ6" s="73" t="str">
        <f>IF($B6="","",
IF(AJ$5="","",
IF('Final Term'!AJ6="",0,
IF(NOT(ISNUMBER('Final Term'!AJ6)),"NAN",
IF('Final Term'!AJ6&lt;0,"NEG",
IF('Final Term'!AJ6&gt;AJ$5,"OVER",
IF(AND(AJ$5&lt;=100,'Final Term'!AJ6&gt;100),"ERR",
IF(Info!$B$4="Non-board program",
IF(OR(AND(AJ$5&gt;0,AJ$5&gt;100),AND(AJ$5&gt;0,AJ$5&lt;100)),
VLOOKUP(FLOOR(('Final Term'!AJ6/AJ$5)*100,1),new_transmute,2,FALSE),
VLOOKUP('Final Term'!AJ6,new_transmute,2,FALSE)
),
IF(Info!$B$4="Board program",
IF(OR(AND(AJ$5&gt;0,AJ$5&gt;100),AND(AJ$5&gt;0,AJ$5&lt;100)),
VLOOKUP(FLOOR(('Final Term'!AJ6/AJ$5)*100,1),new_transmute,3,FALSE),
VLOOKUP('Final Term'!AJ6,new_transmute,3,FALSE)
),
IF(Info!$B$4="Board program (Medicine)",
IF(OR(AND(AJ$5&gt;0,AJ$5&gt;100),AND(AJ$5&gt;0,AJ$5&lt;100)),
VLOOKUP(FLOOR(('Final Term'!AJ6/AJ$5)*100,1),new_transmute,4,FALSE),
VLOOKUP('Final Term'!AJ6,new_transmute,4,FALSE)
),
""
)
)
)
)
)
)
)
)
))</f>
        <v/>
      </c>
      <c r="AK6" s="59">
        <f>IF(B6="", "", IF(COUNTIF(AF6:AJ6, "OVER") &gt; 0, "OVER", IFERROR(AVERAGEIF(AF6:AJ6, "&lt;&gt;OVER"), 0)))</f>
        <v>0</v>
      </c>
      <c r="AL6" s="60">
        <f>IF(B6="", "",
    IF(OR(M6="OVER", S6="OVER", Y6="OVER", AE6="OVER", AK6="OVER"),
        "OVER",
        IF(Info!$B$4="Non-board program",
            VLOOKUP(IFERROR(FLOOR(SUM((M6*$M$4), (S6*$S$4), (Y6*$Y$4), (AE6*$AE$4), (AK6*$AK$4)) * (100 / 60), 1), 0), new_transmute, 2, FALSE),
            IF(Info!$B$4="Board program",
                VLOOKUP(IFERROR(FLOOR(SUM((M6*$M$4), (S6*$S$4), (Y6*$Y$4), (AE6*$AE$4), (AK6*$AK$4)) * (100 / 60), 1), 0), new_transmute, 3, FALSE),
                IF(Info!$B$4="Board program (Medicine)",
                    VLOOKUP(IFERROR(FLOOR(SUM((M6*$M$4), (S6*$S$4), (Y6*$Y$4), (AE6*$AE$4), (AK6*$AK$4)) * (100 / 60), 1), 0), new_transmute, 4, FALSE),
                    ""
                )
            )
        )
    )
)</f>
        <v>60</v>
      </c>
      <c r="AM6" s="73" t="str">
        <f>IF($B6="","",
IF(AM$5="","",
IF('Final Term'!AM6="",0,
IF(NOT(ISNUMBER('Final Term'!AM6)),"NAN",
IF('Final Term'!AM6&lt;0,"NEG",
IF('Final Term'!AM6&gt;AM$5,"OVER",
IF(AND(AM$5&lt;=100,'Final Term'!AM6&gt;100),"ERR",
IF(Info!$B$4="Non-board program",
IF(OR(AND(AM$5&gt;0,AM$5&gt;100),AND(AM$5&gt;0,AM$5&lt;100)),
VLOOKUP(FLOOR(('Final Term'!AM6/AM$5)*100,1),new_transmute,2,FALSE),
VLOOKUP('Final Term'!AM6,new_transmute,2,FALSE)
),
IF(Info!$B$4="Board program",
IF(OR(AND(AM$5&gt;0,AM$5&gt;100),AND(AM$5&gt;0,AM$5&lt;100)),
VLOOKUP(FLOOR(('Final Term'!AM6/AM$5)*100,1),new_transmute,3,FALSE),
VLOOKUP('Final Term'!AM6,new_transmute,3,FALSE)
),
IF(Info!$B$4="Board program (Medicine)",
IF(OR(AND(AM$5&gt;0,AM$5&gt;100),AND(AM$5&gt;0,AM$5&lt;100)),
VLOOKUP(FLOOR(('Final Term'!AM6/AM$5)*100,1),new_transmute,4,FALSE),
VLOOKUP('Final Term'!AM6,new_transmute,4,FALSE)
),
""
)
)
)
)
)
)
)
)
))</f>
        <v/>
      </c>
      <c r="AN6" s="73" t="str">
        <f>IF($B6="","",
IF(AN$5="","",
IF('Final Term'!AN6="",0,
IF(NOT(ISNUMBER('Final Term'!AN6)),"NAN",
IF('Final Term'!AN6&lt;0,"NEG",
IF('Final Term'!AN6&gt;AN$5,"OVER",
IF(AND(AN$5&lt;=100,'Final Term'!AN6&gt;100),"ERR",
IF(Info!$B$4="Non-board program",
IF(OR(AND(AN$5&gt;0,AN$5&gt;100),AND(AN$5&gt;0,AN$5&lt;100)),
VLOOKUP(FLOOR(('Final Term'!AN6/AN$5)*100,1),new_transmute,2,FALSE),
VLOOKUP('Final Term'!AN6,new_transmute,2,FALSE)
),
IF(Info!$B$4="Board program",
IF(OR(AND(AN$5&gt;0,AN$5&gt;100),AND(AN$5&gt;0,AN$5&lt;100)),
VLOOKUP(FLOOR(('Final Term'!AN6/AN$5)*100,1),new_transmute,3,FALSE),
VLOOKUP('Final Term'!AN6,new_transmute,3,FALSE)
),
IF(Info!$B$4="Board program (Medicine)",
IF(OR(AND(AN$5&gt;0,AN$5&gt;100),AND(AN$5&gt;0,AN$5&lt;100)),
VLOOKUP(FLOOR(('Final Term'!AN6/AN$5)*100,1),new_transmute,4,FALSE),
VLOOKUP('Final Term'!AN6,new_transmute,4,FALSE)
),
""
)
)
)
)
)
)
)
)
))</f>
        <v/>
      </c>
      <c r="AO6" s="73" t="str">
        <f>IF($B6="","",
IF(AO$5="","",
IF('Final Term'!AO6="",0,
IF(NOT(ISNUMBER('Final Term'!AO6)),"NAN",
IF('Final Term'!AO6&lt;0,"NEG",
IF('Final Term'!AO6&gt;AO$5,"OVER",
IF(AND(AO$5&lt;=100,'Final Term'!AO6&gt;100),"ERR",
IF(Info!$B$4="Non-board program",
IF(OR(AND(AO$5&gt;0,AO$5&gt;100),AND(AO$5&gt;0,AO$5&lt;100)),
VLOOKUP(FLOOR(('Final Term'!AO6/AO$5)*100,1),new_transmute,2,FALSE),
VLOOKUP('Final Term'!AO6,new_transmute,2,FALSE)
),
IF(Info!$B$4="Board program",
IF(OR(AND(AO$5&gt;0,AO$5&gt;100),AND(AO$5&gt;0,AO$5&lt;100)),
VLOOKUP(FLOOR(('Final Term'!AO6/AO$5)*100,1),new_transmute,3,FALSE),
VLOOKUP('Final Term'!AO6,new_transmute,3,FALSE)
),
IF(Info!$B$4="Board program (Medicine)",
IF(OR(AND(AO$5&gt;0,AO$5&gt;100),AND(AO$5&gt;0,AO$5&lt;100)),
VLOOKUP(FLOOR(('Final Term'!AO6/AO$5)*100,1),new_transmute,4,FALSE),
VLOOKUP('Final Term'!AO6,new_transmute,4,FALSE)
),
""
)
)
)
)
)
)
)
)
))</f>
        <v/>
      </c>
      <c r="AP6" s="73" t="str">
        <f>IF($B6="","",
IF(AP$5="","",
IF('Final Term'!AP6="",0,
IF(NOT(ISNUMBER('Final Term'!AP6)),"NAN",
IF('Final Term'!AP6&lt;0,"NEG",
IF('Final Term'!AP6&gt;AP$5,"OVER",
IF(AND(AP$5&lt;=100,'Final Term'!AP6&gt;100),"ERR",
IF(Info!$B$4="Non-board program",
IF(OR(AND(AP$5&gt;0,AP$5&gt;100),AND(AP$5&gt;0,AP$5&lt;100)),
VLOOKUP(FLOOR(('Final Term'!AP6/AP$5)*100,1),new_transmute,2,FALSE),
VLOOKUP('Final Term'!AP6,new_transmute,2,FALSE)
),
IF(Info!$B$4="Board program",
IF(OR(AND(AP$5&gt;0,AP$5&gt;100),AND(AP$5&gt;0,AP$5&lt;100)),
VLOOKUP(FLOOR(('Final Term'!AP6/AP$5)*100,1),new_transmute,3,FALSE),
VLOOKUP('Final Term'!AP6,new_transmute,3,FALSE)
),
IF(Info!$B$4="Board program (Medicine)",
IF(OR(AND(AP$5&gt;0,AP$5&gt;100),AND(AP$5&gt;0,AP$5&lt;100)),
VLOOKUP(FLOOR(('Final Term'!AP6/AP$5)*100,1),new_transmute,4,FALSE),
VLOOKUP('Final Term'!AP6,new_transmute,4,FALSE)
),
""
)
)
)
)
)
)
)
)
))</f>
        <v/>
      </c>
      <c r="AQ6" s="61">
        <f>IF(B6="", "", IF(COUNTIF(AM6:AP6, "OVER") &gt; 0, "OVER", IFERROR(AVERAGEIF(AM6:AP6, "&lt;&gt;OVER"), 0)))</f>
        <v>0</v>
      </c>
      <c r="AR6" s="48" t="str">
        <f>IF('Final Term'!AR6="","",'Final Term'!AR6)</f>
        <v/>
      </c>
      <c r="AS6" s="165">
        <f>IF(B6="", "",
    IF(E6="DRP",
        "DRP",
        IF(E6="WF",
            "WF",
            IF(E6="INC",
                "INC",
                IFERROR(SUM(G6*$G$4, M6*$M$4, S6*$S$4, Y6*$Y$4, AE6*$AE$4, AK6*$AK$4, AQ6*$AQ$4, AR6), "ERR")
            )
        )
    )
)</f>
        <v>6</v>
      </c>
      <c r="AT6" s="14">
        <f t="shared" ref="AT6:AT37" si="0">IF(B6="", "",
    IF(AS6="ERR", "ERR",
        IF(AS6="INC",
            VLOOKUP(AS6, Equivalent, 1, FALSE),
            IF(AS6="DRP",
                VLOOKUP(AS6, Equivalent, 1, FALSE),
                IF(AS6="WF",
                    VLOOKUP(AS6, Equivalent, 1, FALSE),
                    IF(E6="FA",
                        VLOOKUP(E6, Equivalent, 1, FALSE),
                        IF(AS6&lt;60,
                            5,
                            VLOOKUP(FLOOR(AS6, 1), Equivalent, 2, FALSE)
                        )
                    )
                )
            )
        )
    )
)</f>
        <v>5</v>
      </c>
      <c r="AU6" s="13" t="str">
        <f>IF(B6="","",VLOOKUP(AT6,'New Grade Equivalent'!$B$3:$C$47,2,FALSE))</f>
        <v>Failed</v>
      </c>
    </row>
    <row r="7" spans="1:47" x14ac:dyDescent="0.25">
      <c r="A7" s="8">
        <v>2</v>
      </c>
      <c r="B7" s="2" t="str">
        <f>IF('Student List'!C11="","",UPPER(LEFT('Student List'!C11,FIND(",",'Student List'!C11)-1)))</f>
        <v/>
      </c>
      <c r="C7" s="12" t="str">
        <f>IF('Student List'!C11="","",PROPER(MID('Student List'!C11, FIND(",", 'Student List'!C11) + 2, LEN('Student List'!C11) - FIND(",", 'Student List'!C11) - 1)))</f>
        <v/>
      </c>
      <c r="D7" s="127" t="str">
        <f>IF('Final Term'!D7="","",'Final Term'!D7)</f>
        <v/>
      </c>
      <c r="E7" s="8" t="str">
        <f>IF(MidCom!E7="FA", "FA",
    IF(MidCom!E7="DRP", "DRP",
        IF(MidCom!E7="WF", "WF",
            IF(D7="Yes", "INC",
               IF((SUM('MT Attendance'!AW5) / 3 + SUM('MT Attendance'!AY5) + SUM('FT Attendance'!AW5) / 3 + SUM('FT Attendance'!AY5)) &gt;= 0.2 * (SUMPRODUCT(--(ISTEXT('MT Attendance'!$C$2:$AU$2))) + SUMPRODUCT(--(ISTEXT('FT Attendance'!$C$2:$AU$2)))), "FA",
                   MidCom!E7
                )
            )
        )
    )
)</f>
        <v/>
      </c>
      <c r="F7" s="73" t="str">
        <f>IF($B7="","",
IF(F$5="","",
IF('Final Term'!F7="",0,
IF(NOT(ISNUMBER('Final Term'!F7)),"NAN",
IF('Final Term'!F7&lt;0,"NEG",
IF('Final Term'!F7&gt;F$5,"OVER",
IF(AND(F$5&lt;=100,'Final Term'!F7&gt;100),"ERR",
IF(Info!$B$4="Non-board program",
IF(OR(AND(F$5&gt;0,F$5&gt;100),AND(F$5&gt;0,F$5&lt;100)),
VLOOKUP(FLOOR(('Final Term'!F7/F$5)*100,1),new_transmute,2,FALSE),
VLOOKUP('Final Term'!F7,new_transmute,2,FALSE)
),
IF(Info!$B$4="Board program",
IF(OR(AND(F$5&gt;0,F$5&gt;100),AND(F$5&gt;0,F$5&lt;100)),
VLOOKUP(FLOOR(('Final Term'!F7/F$5)*100,1),new_transmute,3,FALSE),
VLOOKUP('Final Term'!F7,new_transmute,3,FALSE)
),
IF(Info!$B$4="Board program (Medicine)",
IF(OR(AND(F$5&gt;0,F$5&gt;100),AND(F$5&gt;0,F$5&lt;100)),
VLOOKUP(FLOOR(('Final Term'!F7/F$5)*100,1),new_transmute,4,FALSE),
VLOOKUP('Final Term'!F7,new_transmute,4,FALSE)
),
""
)
)
)
)
)
)
)
)
))</f>
        <v/>
      </c>
      <c r="G7" s="57" t="str">
        <f t="shared" ref="G7:G70" si="1">F7</f>
        <v/>
      </c>
      <c r="H7" s="73" t="str">
        <f>IF($B7="","",
IF(H$5="","",
IF('Final Term'!H7="",0,
IF(NOT(ISNUMBER('Final Term'!H7)),"NAN",
IF('Final Term'!H7&lt;0,"NEG",
IF('Final Term'!H7&gt;H$5,"OVER",
IF(AND(H$5&lt;=100,'Final Term'!H7&gt;100),"ERR",
IF(Info!$B$4="Non-board program",
IF(OR(AND(H$5&gt;0,H$5&gt;100),AND(H$5&gt;0,H$5&lt;100)),
VLOOKUP(FLOOR(('Final Term'!H7/H$5)*100,1),new_transmute,2,FALSE),
VLOOKUP('Final Term'!H7,new_transmute,2,FALSE)
),
IF(Info!$B$4="Board program",
IF(OR(AND(H$5&gt;0,H$5&gt;100),AND(H$5&gt;0,H$5&lt;100)),
VLOOKUP(FLOOR(('Final Term'!H7/H$5)*100,1),new_transmute,3,FALSE),
VLOOKUP('Final Term'!H7,new_transmute,3,FALSE)
),
IF(Info!$B$4="Board program (Medicine)",
IF(OR(AND(H$5&gt;0,H$5&gt;100),AND(H$5&gt;0,H$5&lt;100)),
VLOOKUP(FLOOR(('Final Term'!H7/H$5)*100,1),new_transmute,4,FALSE),
VLOOKUP('Final Term'!H7,new_transmute,4,FALSE)
),
""
)
)
)
)
)
)
)
)
))</f>
        <v/>
      </c>
      <c r="I7" s="73" t="str">
        <f>IF($B7="","",
IF(I$5="","",
IF('Final Term'!I7="",0,
IF(NOT(ISNUMBER('Final Term'!I7)),"NAN",
IF('Final Term'!I7&lt;0,"NEG",
IF('Final Term'!I7&gt;I$5,"OVER",
IF(AND(I$5&lt;=100,'Final Term'!I7&gt;100),"ERR",
IF(Info!$B$4="Non-board program",
IF(OR(AND(I$5&gt;0,I$5&gt;100),AND(I$5&gt;0,I$5&lt;100)),
VLOOKUP(FLOOR(('Final Term'!I7/I$5)*100,1),new_transmute,2,FALSE),
VLOOKUP('Final Term'!I7,new_transmute,2,FALSE)
),
IF(Info!$B$4="Board program",
IF(OR(AND(I$5&gt;0,I$5&gt;100),AND(I$5&gt;0,I$5&lt;100)),
VLOOKUP(FLOOR(('Final Term'!I7/I$5)*100,1),new_transmute,3,FALSE),
VLOOKUP('Final Term'!I7,new_transmute,3,FALSE)
),
IF(Info!$B$4="Board program (Medicine)",
IF(OR(AND(I$5&gt;0,I$5&gt;100),AND(I$5&gt;0,I$5&lt;100)),
VLOOKUP(FLOOR(('Final Term'!I7/I$5)*100,1),new_transmute,4,FALSE),
VLOOKUP('Final Term'!I7,new_transmute,4,FALSE)
),
""
)
)
)
)
)
)
)
)
))</f>
        <v/>
      </c>
      <c r="J7" s="73" t="str">
        <f>IF($B7="","",
IF(J$5="","",
IF('Final Term'!J7="",0,
IF(NOT(ISNUMBER('Final Term'!J7)),"NAN",
IF('Final Term'!J7&lt;0,"NEG",
IF('Final Term'!J7&gt;J$5,"OVER",
IF(AND(J$5&lt;=100,'Final Term'!J7&gt;100),"ERR",
IF(Info!$B$4="Non-board program",
IF(OR(AND(J$5&gt;0,J$5&gt;100),AND(J$5&gt;0,J$5&lt;100)),
VLOOKUP(FLOOR(('Final Term'!J7/J$5)*100,1),new_transmute,2,FALSE),
VLOOKUP('Final Term'!J7,new_transmute,2,FALSE)
),
IF(Info!$B$4="Board program",
IF(OR(AND(J$5&gt;0,J$5&gt;100),AND(J$5&gt;0,J$5&lt;100)),
VLOOKUP(FLOOR(('Final Term'!J7/J$5)*100,1),new_transmute,3,FALSE),
VLOOKUP('Final Term'!J7,new_transmute,3,FALSE)
),
IF(Info!$B$4="Board program (Medicine)",
IF(OR(AND(J$5&gt;0,J$5&gt;100),AND(J$5&gt;0,J$5&lt;100)),
VLOOKUP(FLOOR(('Final Term'!J7/J$5)*100,1),new_transmute,4,FALSE),
VLOOKUP('Final Term'!J7,new_transmute,4,FALSE)
),
""
)
)
)
)
)
)
)
)
))</f>
        <v/>
      </c>
      <c r="K7" s="73" t="str">
        <f>IF($B7="","",
IF(K$5="","",
IF('Final Term'!K7="",0,
IF(NOT(ISNUMBER('Final Term'!K7)),"NAN",
IF('Final Term'!K7&lt;0,"NEG",
IF('Final Term'!K7&gt;K$5,"OVER",
IF(AND(K$5&lt;=100,'Final Term'!K7&gt;100),"ERR",
IF(Info!$B$4="Non-board program",
IF(OR(AND(K$5&gt;0,K$5&gt;100),AND(K$5&gt;0,K$5&lt;100)),
VLOOKUP(FLOOR(('Final Term'!K7/K$5)*100,1),new_transmute,2,FALSE),
VLOOKUP('Final Term'!K7,new_transmute,2,FALSE)
),
IF(Info!$B$4="Board program",
IF(OR(AND(K$5&gt;0,K$5&gt;100),AND(K$5&gt;0,K$5&lt;100)),
VLOOKUP(FLOOR(('Final Term'!K7/K$5)*100,1),new_transmute,3,FALSE),
VLOOKUP('Final Term'!K7,new_transmute,3,FALSE)
),
IF(Info!$B$4="Board program (Medicine)",
IF(OR(AND(K$5&gt;0,K$5&gt;100),AND(K$5&gt;0,K$5&lt;100)),
VLOOKUP(FLOOR(('Final Term'!K7/K$5)*100,1),new_transmute,4,FALSE),
VLOOKUP('Final Term'!K7,new_transmute,4,FALSE)
),
""
)
)
)
)
)
)
)
)
))</f>
        <v/>
      </c>
      <c r="L7" s="73" t="str">
        <f>IF($B7="","",
IF(L$5="","",
IF('Final Term'!L7="",0,
IF(NOT(ISNUMBER('Final Term'!L7)),"NAN",
IF('Final Term'!L7&lt;0,"NEG",
IF('Final Term'!L7&gt;L$5,"OVER",
IF(AND(L$5&lt;=100,'Final Term'!L7&gt;100),"ERR",
IF(Info!$B$4="Non-board program",
IF(OR(AND(L$5&gt;0,L$5&gt;100),AND(L$5&gt;0,L$5&lt;100)),
VLOOKUP(FLOOR(('Final Term'!L7/L$5)*100,1),new_transmute,2,FALSE),
VLOOKUP('Final Term'!L7,new_transmute,2,FALSE)
),
IF(Info!$B$4="Board program",
IF(OR(AND(L$5&gt;0,L$5&gt;100),AND(L$5&gt;0,L$5&lt;100)),
VLOOKUP(FLOOR(('Final Term'!L7/L$5)*100,1),new_transmute,3,FALSE),
VLOOKUP('Final Term'!L7,new_transmute,3,FALSE)
),
IF(Info!$B$4="Board program (Medicine)",
IF(OR(AND(L$5&gt;0,L$5&gt;100),AND(L$5&gt;0,L$5&lt;100)),
VLOOKUP(FLOOR(('Final Term'!L7/L$5)*100,1),new_transmute,4,FALSE),
VLOOKUP('Final Term'!L7,new_transmute,4,FALSE)
),
""
)
)
)
)
)
)
)
)
))</f>
        <v/>
      </c>
      <c r="M7" s="111" t="str">
        <f t="shared" ref="M7:M70" si="2">IF(B7="", "", IF(COUNTIF(H7:L7, "OVER") &gt; 0, "OVER", IFERROR(AVERAGEIF(H7:L7, "&lt;&gt;OVER"), 0)))</f>
        <v/>
      </c>
      <c r="N7" s="73" t="str">
        <f>IF($B7="","",
IF(N$5="","",
IF('Final Term'!N7="",0,
IF(NOT(ISNUMBER('Final Term'!N7)),"NAN",
IF('Final Term'!N7&lt;0,"NEG",
IF('Final Term'!N7&gt;N$5,"OVER",
IF(AND(N$5&lt;=100,'Final Term'!N7&gt;100),"ERR",
IF(Info!$B$4="Non-board program",
IF(OR(AND(N$5&gt;0,N$5&gt;100),AND(N$5&gt;0,N$5&lt;100)),
VLOOKUP(FLOOR(('Final Term'!N7/N$5)*100,1),new_transmute,2,FALSE),
VLOOKUP('Final Term'!N7,new_transmute,2,FALSE)
),
IF(Info!$B$4="Board program",
IF(OR(AND(N$5&gt;0,N$5&gt;100),AND(N$5&gt;0,N$5&lt;100)),
VLOOKUP(FLOOR(('Final Term'!N7/N$5)*100,1),new_transmute,3,FALSE),
VLOOKUP('Final Term'!N7,new_transmute,3,FALSE)
),
IF(Info!$B$4="Board program (Medicine)",
IF(OR(AND(N$5&gt;0,N$5&gt;100),AND(N$5&gt;0,N$5&lt;100)),
VLOOKUP(FLOOR(('Final Term'!N7/N$5)*100,1),new_transmute,4,FALSE),
VLOOKUP('Final Term'!N7,new_transmute,4,FALSE)
),
""
)
)
)
)
)
)
)
)
))</f>
        <v/>
      </c>
      <c r="O7" s="73" t="str">
        <f>IF($B7="","",
IF(O$5="","",
IF('Final Term'!O7="",0,
IF(NOT(ISNUMBER('Final Term'!O7)),"NAN",
IF('Final Term'!O7&lt;0,"NEG",
IF('Final Term'!O7&gt;O$5,"OVER",
IF(AND(O$5&lt;=100,'Final Term'!O7&gt;100),"ERR",
IF(Info!$B$4="Non-board program",
IF(OR(AND(O$5&gt;0,O$5&gt;100),AND(O$5&gt;0,O$5&lt;100)),
VLOOKUP(FLOOR(('Final Term'!O7/O$5)*100,1),new_transmute,2,FALSE),
VLOOKUP('Final Term'!O7,new_transmute,2,FALSE)
),
IF(Info!$B$4="Board program",
IF(OR(AND(O$5&gt;0,O$5&gt;100),AND(O$5&gt;0,O$5&lt;100)),
VLOOKUP(FLOOR(('Final Term'!O7/O$5)*100,1),new_transmute,3,FALSE),
VLOOKUP('Final Term'!O7,new_transmute,3,FALSE)
),
IF(Info!$B$4="Board program (Medicine)",
IF(OR(AND(O$5&gt;0,O$5&gt;100),AND(O$5&gt;0,O$5&lt;100)),
VLOOKUP(FLOOR(('Final Term'!O7/O$5)*100,1),new_transmute,4,FALSE),
VLOOKUP('Final Term'!O7,new_transmute,4,FALSE)
),
""
)
)
)
)
)
)
)
)
))</f>
        <v/>
      </c>
      <c r="P7" s="73" t="str">
        <f>IF($B7="","",
IF(P$5="","",
IF('Final Term'!P7="",0,
IF(NOT(ISNUMBER('Final Term'!P7)),"NAN",
IF('Final Term'!P7&lt;0,"NEG",
IF('Final Term'!P7&gt;P$5,"OVER",
IF(AND(P$5&lt;=100,'Final Term'!P7&gt;100),"ERR",
IF(Info!$B$4="Non-board program",
IF(OR(AND(P$5&gt;0,P$5&gt;100),AND(P$5&gt;0,P$5&lt;100)),
VLOOKUP(FLOOR(('Final Term'!P7/P$5)*100,1),new_transmute,2,FALSE),
VLOOKUP('Final Term'!P7,new_transmute,2,FALSE)
),
IF(Info!$B$4="Board program",
IF(OR(AND(P$5&gt;0,P$5&gt;100),AND(P$5&gt;0,P$5&lt;100)),
VLOOKUP(FLOOR(('Final Term'!P7/P$5)*100,1),new_transmute,3,FALSE),
VLOOKUP('Final Term'!P7,new_transmute,3,FALSE)
),
IF(Info!$B$4="Board program (Medicine)",
IF(OR(AND(P$5&gt;0,P$5&gt;100),AND(P$5&gt;0,P$5&lt;100)),
VLOOKUP(FLOOR(('Final Term'!P7/P$5)*100,1),new_transmute,4,FALSE),
VLOOKUP('Final Term'!P7,new_transmute,4,FALSE)
),
""
)
)
)
)
)
)
)
)
))</f>
        <v/>
      </c>
      <c r="Q7" s="73" t="str">
        <f>IF($B7="","",
IF(Q$5="","",
IF('Final Term'!Q7="",0,
IF(NOT(ISNUMBER('Final Term'!Q7)),"NAN",
IF('Final Term'!Q7&lt;0,"NEG",
IF('Final Term'!Q7&gt;Q$5,"OVER",
IF(AND(Q$5&lt;=100,'Final Term'!Q7&gt;100),"ERR",
IF(Info!$B$4="Non-board program",
IF(OR(AND(Q$5&gt;0,Q$5&gt;100),AND(Q$5&gt;0,Q$5&lt;100)),
VLOOKUP(FLOOR(('Final Term'!Q7/Q$5)*100,1),new_transmute,2,FALSE),
VLOOKUP('Final Term'!Q7,new_transmute,2,FALSE)
),
IF(Info!$B$4="Board program",
IF(OR(AND(Q$5&gt;0,Q$5&gt;100),AND(Q$5&gt;0,Q$5&lt;100)),
VLOOKUP(FLOOR(('Final Term'!Q7/Q$5)*100,1),new_transmute,3,FALSE),
VLOOKUP('Final Term'!Q7,new_transmute,3,FALSE)
),
IF(Info!$B$4="Board program (Medicine)",
IF(OR(AND(Q$5&gt;0,Q$5&gt;100),AND(Q$5&gt;0,Q$5&lt;100)),
VLOOKUP(FLOOR(('Final Term'!Q7/Q$5)*100,1),new_transmute,4,FALSE),
VLOOKUP('Final Term'!Q7,new_transmute,4,FALSE)
),
""
)
)
)
)
)
)
)
)
))</f>
        <v/>
      </c>
      <c r="R7" s="73" t="str">
        <f>IF($B7="","",
IF(R$5="","",
IF('Final Term'!R7="",0,
IF(NOT(ISNUMBER('Final Term'!R7)),"NAN",
IF('Final Term'!R7&lt;0,"NEG",
IF('Final Term'!R7&gt;R$5,"OVER",
IF(AND(R$5&lt;=100,'Final Term'!R7&gt;100),"ERR",
IF(Info!$B$4="Non-board program",
IF(OR(AND(R$5&gt;0,R$5&gt;100),AND(R$5&gt;0,R$5&lt;100)),
VLOOKUP(FLOOR(('Final Term'!R7/R$5)*100,1),new_transmute,2,FALSE),
VLOOKUP('Final Term'!R7,new_transmute,2,FALSE)
),
IF(Info!$B$4="Board program",
IF(OR(AND(R$5&gt;0,R$5&gt;100),AND(R$5&gt;0,R$5&lt;100)),
VLOOKUP(FLOOR(('Final Term'!R7/R$5)*100,1),new_transmute,3,FALSE),
VLOOKUP('Final Term'!R7,new_transmute,3,FALSE)
),
IF(Info!$B$4="Board program (Medicine)",
IF(OR(AND(R$5&gt;0,R$5&gt;100),AND(R$5&gt;0,R$5&lt;100)),
VLOOKUP(FLOOR(('Final Term'!R7/R$5)*100,1),new_transmute,4,FALSE),
VLOOKUP('Final Term'!R7,new_transmute,4,FALSE)
),
""
)
)
)
)
)
)
)
)
))</f>
        <v/>
      </c>
      <c r="S7" s="115" t="str">
        <f t="shared" ref="S7:S70" si="3">IF(B7="", "", IF(COUNTIF(N7:R7, "OVER") &gt; 0, "OVER", IFERROR(AVERAGEIF(N7:R7, "&lt;&gt;OVER"), 0)))</f>
        <v/>
      </c>
      <c r="T7" s="73" t="str">
        <f>IF($B7="","",
IF(T$5="","",
IF('Final Term'!T7="",0,
IF(NOT(ISNUMBER('Final Term'!T7)),"NAN",
IF('Final Term'!T7&lt;0,"NEG",
IF('Final Term'!T7&gt;T$5,"OVER",
IF(AND(T$5&lt;=100,'Final Term'!T7&gt;100),"ERR",
IF(Info!$B$4="Non-board program",
IF(OR(AND(T$5&gt;0,T$5&gt;100),AND(T$5&gt;0,T$5&lt;100)),
VLOOKUP(FLOOR(('Final Term'!T7/T$5)*100,1),new_transmute,2,FALSE),
VLOOKUP('Final Term'!T7,new_transmute,2,FALSE)
),
IF(Info!$B$4="Board program",
IF(OR(AND(T$5&gt;0,T$5&gt;100),AND(T$5&gt;0,T$5&lt;100)),
VLOOKUP(FLOOR(('Final Term'!T7/T$5)*100,1),new_transmute,3,FALSE),
VLOOKUP('Final Term'!T7,new_transmute,3,FALSE)
),
IF(Info!$B$4="Board program (Medicine)",
IF(OR(AND(T$5&gt;0,T$5&gt;100),AND(T$5&gt;0,T$5&lt;100)),
VLOOKUP(FLOOR(('Final Term'!T7/T$5)*100,1),new_transmute,4,FALSE),
VLOOKUP('Final Term'!T7,new_transmute,4,FALSE)
),
""
)
)
)
)
)
)
)
)
))</f>
        <v/>
      </c>
      <c r="U7" s="73" t="str">
        <f>IF($B7="","",
IF(U$5="","",
IF('Final Term'!U7="",0,
IF(NOT(ISNUMBER('Final Term'!U7)),"NAN",
IF('Final Term'!U7&lt;0,"NEG",
IF('Final Term'!U7&gt;U$5,"OVER",
IF(AND(U$5&lt;=100,'Final Term'!U7&gt;100),"ERR",
IF(Info!$B$4="Non-board program",
IF(OR(AND(U$5&gt;0,U$5&gt;100),AND(U$5&gt;0,U$5&lt;100)),
VLOOKUP(FLOOR(('Final Term'!U7/U$5)*100,1),new_transmute,2,FALSE),
VLOOKUP('Final Term'!U7,new_transmute,2,FALSE)
),
IF(Info!$B$4="Board program",
IF(OR(AND(U$5&gt;0,U$5&gt;100),AND(U$5&gt;0,U$5&lt;100)),
VLOOKUP(FLOOR(('Final Term'!U7/U$5)*100,1),new_transmute,3,FALSE),
VLOOKUP('Final Term'!U7,new_transmute,3,FALSE)
),
IF(Info!$B$4="Board program (Medicine)",
IF(OR(AND(U$5&gt;0,U$5&gt;100),AND(U$5&gt;0,U$5&lt;100)),
VLOOKUP(FLOOR(('Final Term'!U7/U$5)*100,1),new_transmute,4,FALSE),
VLOOKUP('Final Term'!U7,new_transmute,4,FALSE)
),
""
)
)
)
)
)
)
)
)
))</f>
        <v/>
      </c>
      <c r="V7" s="73" t="str">
        <f>IF($B7="","",
IF(V$5="","",
IF('Final Term'!V7="",0,
IF(NOT(ISNUMBER('Final Term'!V7)),"NAN",
IF('Final Term'!V7&lt;0,"NEG",
IF('Final Term'!V7&gt;V$5,"OVER",
IF(AND(V$5&lt;=100,'Final Term'!V7&gt;100),"ERR",
IF(Info!$B$4="Non-board program",
IF(OR(AND(V$5&gt;0,V$5&gt;100),AND(V$5&gt;0,V$5&lt;100)),
VLOOKUP(FLOOR(('Final Term'!V7/V$5)*100,1),new_transmute,2,FALSE),
VLOOKUP('Final Term'!V7,new_transmute,2,FALSE)
),
IF(Info!$B$4="Board program",
IF(OR(AND(V$5&gt;0,V$5&gt;100),AND(V$5&gt;0,V$5&lt;100)),
VLOOKUP(FLOOR(('Final Term'!V7/V$5)*100,1),new_transmute,3,FALSE),
VLOOKUP('Final Term'!V7,new_transmute,3,FALSE)
),
IF(Info!$B$4="Board program (Medicine)",
IF(OR(AND(V$5&gt;0,V$5&gt;100),AND(V$5&gt;0,V$5&lt;100)),
VLOOKUP(FLOOR(('Final Term'!V7/V$5)*100,1),new_transmute,4,FALSE),
VLOOKUP('Final Term'!V7,new_transmute,4,FALSE)
),
""
)
)
)
)
)
)
)
)
))</f>
        <v/>
      </c>
      <c r="W7" s="73" t="str">
        <f>IF($B7="","",
IF(W$5="","",
IF('Final Term'!W7="",0,
IF(NOT(ISNUMBER('Final Term'!W7)),"NAN",
IF('Final Term'!W7&lt;0,"NEG",
IF('Final Term'!W7&gt;W$5,"OVER",
IF(AND(W$5&lt;=100,'Final Term'!W7&gt;100),"ERR",
IF(Info!$B$4="Non-board program",
IF(OR(AND(W$5&gt;0,W$5&gt;100),AND(W$5&gt;0,W$5&lt;100)),
VLOOKUP(FLOOR(('Final Term'!W7/W$5)*100,1),new_transmute,2,FALSE),
VLOOKUP('Final Term'!W7,new_transmute,2,FALSE)
),
IF(Info!$B$4="Board program",
IF(OR(AND(W$5&gt;0,W$5&gt;100),AND(W$5&gt;0,W$5&lt;100)),
VLOOKUP(FLOOR(('Final Term'!W7/W$5)*100,1),new_transmute,3,FALSE),
VLOOKUP('Final Term'!W7,new_transmute,3,FALSE)
),
IF(Info!$B$4="Board program (Medicine)",
IF(OR(AND(W$5&gt;0,W$5&gt;100),AND(W$5&gt;0,W$5&lt;100)),
VLOOKUP(FLOOR(('Final Term'!W7/W$5)*100,1),new_transmute,4,FALSE),
VLOOKUP('Final Term'!W7,new_transmute,4,FALSE)
),
""
)
)
)
)
)
)
)
)
))</f>
        <v/>
      </c>
      <c r="X7" s="73" t="str">
        <f>IF($B7="","",
IF(X$5="","",
IF('Final Term'!X7="",0,
IF(NOT(ISNUMBER('Final Term'!X7)),"NAN",
IF('Final Term'!X7&lt;0,"NEG",
IF('Final Term'!X7&gt;X$5,"OVER",
IF(AND(X$5&lt;=100,'Final Term'!X7&gt;100),"ERR",
IF(Info!$B$4="Non-board program",
IF(OR(AND(X$5&gt;0,X$5&gt;100),AND(X$5&gt;0,X$5&lt;100)),
VLOOKUP(FLOOR(('Final Term'!X7/X$5)*100,1),new_transmute,2,FALSE),
VLOOKUP('Final Term'!X7,new_transmute,2,FALSE)
),
IF(Info!$B$4="Board program",
IF(OR(AND(X$5&gt;0,X$5&gt;100),AND(X$5&gt;0,X$5&lt;100)),
VLOOKUP(FLOOR(('Final Term'!X7/X$5)*100,1),new_transmute,3,FALSE),
VLOOKUP('Final Term'!X7,new_transmute,3,FALSE)
),
IF(Info!$B$4="Board program (Medicine)",
IF(OR(AND(X$5&gt;0,X$5&gt;100),AND(X$5&gt;0,X$5&lt;100)),
VLOOKUP(FLOOR(('Final Term'!X7/X$5)*100,1),new_transmute,4,FALSE),
VLOOKUP('Final Term'!X7,new_transmute,4,FALSE)
),
""
)
)
)
)
)
)
)
)
))</f>
        <v/>
      </c>
      <c r="Y7" s="112" t="str">
        <f t="shared" ref="Y7:Y70" si="4">IF(B7="", "", IF(COUNTIF(T7:X7, "OVER") &gt; 0, "OVER", IFERROR(AVERAGEIF(T7:X7, "&lt;&gt;OVER"), 0)))</f>
        <v/>
      </c>
      <c r="Z7" s="73" t="str">
        <f>IF($B7="","",
IF(Z$5="","",
IF('Final Term'!Z7="",0,
IF(NOT(ISNUMBER('Final Term'!Z7)),"NAN",
IF('Final Term'!Z7&lt;0,"NEG",
IF('Final Term'!Z7&gt;Z$5,"OVER",
IF(AND(Z$5&lt;=100,'Final Term'!Z7&gt;100),"ERR",
IF(Info!$B$4="Non-board program",
IF(OR(AND(Z$5&gt;0,Z$5&gt;100),AND(Z$5&gt;0,Z$5&lt;100)),
VLOOKUP(FLOOR(('Final Term'!Z7/Z$5)*100,1),new_transmute,2,FALSE),
VLOOKUP('Final Term'!Z7,new_transmute,2,FALSE)
),
IF(Info!$B$4="Board program",
IF(OR(AND(Z$5&gt;0,Z$5&gt;100),AND(Z$5&gt;0,Z$5&lt;100)),
VLOOKUP(FLOOR(('Final Term'!Z7/Z$5)*100,1),new_transmute,3,FALSE),
VLOOKUP('Final Term'!Z7,new_transmute,3,FALSE)
),
IF(Info!$B$4="Board program (Medicine)",
IF(OR(AND(Z$5&gt;0,Z$5&gt;100),AND(Z$5&gt;0,Z$5&lt;100)),
VLOOKUP(FLOOR(('Final Term'!Z7/Z$5)*100,1),new_transmute,4,FALSE),
VLOOKUP('Final Term'!Z7,new_transmute,4,FALSE)
),
""
)
)
)
)
)
)
)
)
))</f>
        <v/>
      </c>
      <c r="AA7" s="73" t="str">
        <f>IF($B7="","",
IF(AA$5="","",
IF('Final Term'!AA7="",0,
IF(NOT(ISNUMBER('Final Term'!AA7)),"NAN",
IF('Final Term'!AA7&lt;0,"NEG",
IF('Final Term'!AA7&gt;AA$5,"OVER",
IF(AND(AA$5&lt;=100,'Final Term'!AA7&gt;100),"ERR",
IF(Info!$B$4="Non-board program",
IF(OR(AND(AA$5&gt;0,AA$5&gt;100),AND(AA$5&gt;0,AA$5&lt;100)),
VLOOKUP(FLOOR(('Final Term'!AA7/AA$5)*100,1),new_transmute,2,FALSE),
VLOOKUP('Final Term'!AA7,new_transmute,2,FALSE)
),
IF(Info!$B$4="Board program",
IF(OR(AND(AA$5&gt;0,AA$5&gt;100),AND(AA$5&gt;0,AA$5&lt;100)),
VLOOKUP(FLOOR(('Final Term'!AA7/AA$5)*100,1),new_transmute,3,FALSE),
VLOOKUP('Final Term'!AA7,new_transmute,3,FALSE)
),
IF(Info!$B$4="Board program (Medicine)",
IF(OR(AND(AA$5&gt;0,AA$5&gt;100),AND(AA$5&gt;0,AA$5&lt;100)),
VLOOKUP(FLOOR(('Final Term'!AA7/AA$5)*100,1),new_transmute,4,FALSE),
VLOOKUP('Final Term'!AA7,new_transmute,4,FALSE)
),
""
)
)
)
)
)
)
)
)
))</f>
        <v/>
      </c>
      <c r="AB7" s="73" t="str">
        <f>IF($B7="","",
IF(AB$5="","",
IF('Final Term'!AB7="",0,
IF(NOT(ISNUMBER('Final Term'!AB7)),"NAN",
IF('Final Term'!AB7&lt;0,"NEG",
IF('Final Term'!AB7&gt;AB$5,"OVER",
IF(AND(AB$5&lt;=100,'Final Term'!AB7&gt;100),"ERR",
IF(Info!$B$4="Non-board program",
IF(OR(AND(AB$5&gt;0,AB$5&gt;100),AND(AB$5&gt;0,AB$5&lt;100)),
VLOOKUP(FLOOR(('Final Term'!AB7/AB$5)*100,1),new_transmute,2,FALSE),
VLOOKUP('Final Term'!AB7,new_transmute,2,FALSE)
),
IF(Info!$B$4="Board program",
IF(OR(AND(AB$5&gt;0,AB$5&gt;100),AND(AB$5&gt;0,AB$5&lt;100)),
VLOOKUP(FLOOR(('Final Term'!AB7/AB$5)*100,1),new_transmute,3,FALSE),
VLOOKUP('Final Term'!AB7,new_transmute,3,FALSE)
),
IF(Info!$B$4="Board program (Medicine)",
IF(OR(AND(AB$5&gt;0,AB$5&gt;100),AND(AB$5&gt;0,AB$5&lt;100)),
VLOOKUP(FLOOR(('Final Term'!AB7/AB$5)*100,1),new_transmute,4,FALSE),
VLOOKUP('Final Term'!AB7,new_transmute,4,FALSE)
),
""
)
)
)
)
)
)
)
)
))</f>
        <v/>
      </c>
      <c r="AC7" s="73" t="str">
        <f>IF($B7="","",
IF(AC$5="","",
IF('Final Term'!AC7="",0,
IF(NOT(ISNUMBER('Final Term'!AC7)),"NAN",
IF('Final Term'!AC7&lt;0,"NEG",
IF('Final Term'!AC7&gt;AC$5,"OVER",
IF(AND(AC$5&lt;=100,'Final Term'!AC7&gt;100),"ERR",
IF(Info!$B$4="Non-board program",
IF(OR(AND(AC$5&gt;0,AC$5&gt;100),AND(AC$5&gt;0,AC$5&lt;100)),
VLOOKUP(FLOOR(('Final Term'!AC7/AC$5)*100,1),new_transmute,2,FALSE),
VLOOKUP('Final Term'!AC7,new_transmute,2,FALSE)
),
IF(Info!$B$4="Board program",
IF(OR(AND(AC$5&gt;0,AC$5&gt;100),AND(AC$5&gt;0,AC$5&lt;100)),
VLOOKUP(FLOOR(('Final Term'!AC7/AC$5)*100,1),new_transmute,3,FALSE),
VLOOKUP('Final Term'!AC7,new_transmute,3,FALSE)
),
IF(Info!$B$4="Board program (Medicine)",
IF(OR(AND(AC$5&gt;0,AC$5&gt;100),AND(AC$5&gt;0,AC$5&lt;100)),
VLOOKUP(FLOOR(('Final Term'!AC7/AC$5)*100,1),new_transmute,4,FALSE),
VLOOKUP('Final Term'!AC7,new_transmute,4,FALSE)
),
""
)
)
)
)
)
)
)
)
))</f>
        <v/>
      </c>
      <c r="AD7" s="73" t="str">
        <f>IF($B7="","",
IF(AD$5="","",
IF('Final Term'!AD7="",0,
IF(NOT(ISNUMBER('Final Term'!AD7)),"NAN",
IF('Final Term'!AD7&lt;0,"NEG",
IF('Final Term'!AD7&gt;AD$5,"OVER",
IF(AND(AD$5&lt;=100,'Final Term'!AD7&gt;100),"ERR",
IF(Info!$B$4="Non-board program",
IF(OR(AND(AD$5&gt;0,AD$5&gt;100),AND(AD$5&gt;0,AD$5&lt;100)),
VLOOKUP(FLOOR(('Final Term'!AD7/AD$5)*100,1),new_transmute,2,FALSE),
VLOOKUP('Final Term'!AD7,new_transmute,2,FALSE)
),
IF(Info!$B$4="Board program",
IF(OR(AND(AD$5&gt;0,AD$5&gt;100),AND(AD$5&gt;0,AD$5&lt;100)),
VLOOKUP(FLOOR(('Final Term'!AD7/AD$5)*100,1),new_transmute,3,FALSE),
VLOOKUP('Final Term'!AD7,new_transmute,3,FALSE)
),
IF(Info!$B$4="Board program (Medicine)",
IF(OR(AND(AD$5&gt;0,AD$5&gt;100),AND(AD$5&gt;0,AD$5&lt;100)),
VLOOKUP(FLOOR(('Final Term'!AD7/AD$5)*100,1),new_transmute,4,FALSE),
VLOOKUP('Final Term'!AD7,new_transmute,4,FALSE)
),
""
)
)
)
)
)
)
)
)
))</f>
        <v/>
      </c>
      <c r="AE7" s="58" t="str">
        <f t="shared" ref="AE7:AE70" si="5">IF(B7="", "", IF(COUNTIF(Z7:AD7, "OVER") &gt; 0, "OVER", IFERROR(AVERAGEIF(Z7:AD7, "&lt;&gt;OVER"), 0)))</f>
        <v/>
      </c>
      <c r="AF7" s="73" t="str">
        <f>IF($B7="","",
IF(AF$5="","",
IF('Final Term'!AF7="",0,
IF(NOT(ISNUMBER('Final Term'!AF7)),"NAN",
IF('Final Term'!AF7&lt;0,"NEG",
IF('Final Term'!AF7&gt;AF$5,"OVER",
IF(AND(AF$5&lt;=100,'Final Term'!AF7&gt;100),"ERR",
IF(Info!$B$4="Non-board program",
IF(OR(AND(AF$5&gt;0,AF$5&gt;100),AND(AF$5&gt;0,AF$5&lt;100)),
VLOOKUP(FLOOR(('Final Term'!AF7/AF$5)*100,1),new_transmute,2,FALSE),
VLOOKUP('Final Term'!AF7,new_transmute,2,FALSE)
),
IF(Info!$B$4="Board program",
IF(OR(AND(AF$5&gt;0,AF$5&gt;100),AND(AF$5&gt;0,AF$5&lt;100)),
VLOOKUP(FLOOR(('Final Term'!AF7/AF$5)*100,1),new_transmute,3,FALSE),
VLOOKUP('Final Term'!AF7,new_transmute,3,FALSE)
),
IF(Info!$B$4="Board program (Medicine)",
IF(OR(AND(AF$5&gt;0,AF$5&gt;100),AND(AF$5&gt;0,AF$5&lt;100)),
VLOOKUP(FLOOR(('Final Term'!AF7/AF$5)*100,1),new_transmute,4,FALSE),
VLOOKUP('Final Term'!AF7,new_transmute,4,FALSE)
),
""
)
)
)
)
)
)
)
)
))</f>
        <v/>
      </c>
      <c r="AG7" s="73" t="str">
        <f>IF($B7="","",
IF(AG$5="","",
IF('Final Term'!AG7="",0,
IF(NOT(ISNUMBER('Final Term'!AG7)),"NAN",
IF('Final Term'!AG7&lt;0,"NEG",
IF('Final Term'!AG7&gt;AG$5,"OVER",
IF(AND(AG$5&lt;=100,'Final Term'!AG7&gt;100),"ERR",
IF(Info!$B$4="Non-board program",
IF(OR(AND(AG$5&gt;0,AG$5&gt;100),AND(AG$5&gt;0,AG$5&lt;100)),
VLOOKUP(FLOOR(('Final Term'!AG7/AG$5)*100,1),new_transmute,2,FALSE),
VLOOKUP('Final Term'!AG7,new_transmute,2,FALSE)
),
IF(Info!$B$4="Board program",
IF(OR(AND(AG$5&gt;0,AG$5&gt;100),AND(AG$5&gt;0,AG$5&lt;100)),
VLOOKUP(FLOOR(('Final Term'!AG7/AG$5)*100,1),new_transmute,3,FALSE),
VLOOKUP('Final Term'!AG7,new_transmute,3,FALSE)
),
IF(Info!$B$4="Board program (Medicine)",
IF(OR(AND(AG$5&gt;0,AG$5&gt;100),AND(AG$5&gt;0,AG$5&lt;100)),
VLOOKUP(FLOOR(('Final Term'!AG7/AG$5)*100,1),new_transmute,4,FALSE),
VLOOKUP('Final Term'!AG7,new_transmute,4,FALSE)
),
""
)
)
)
)
)
)
)
)
))</f>
        <v/>
      </c>
      <c r="AH7" s="73" t="str">
        <f>IF($B7="","",
IF(AH$5="","",
IF('Final Term'!AH7="",0,
IF(NOT(ISNUMBER('Final Term'!AH7)),"NAN",
IF('Final Term'!AH7&lt;0,"NEG",
IF('Final Term'!AH7&gt;AH$5,"OVER",
IF(AND(AH$5&lt;=100,'Final Term'!AH7&gt;100),"ERR",
IF(Info!$B$4="Non-board program",
IF(OR(AND(AH$5&gt;0,AH$5&gt;100),AND(AH$5&gt;0,AH$5&lt;100)),
VLOOKUP(FLOOR(('Final Term'!AH7/AH$5)*100,1),new_transmute,2,FALSE),
VLOOKUP('Final Term'!AH7,new_transmute,2,FALSE)
),
IF(Info!$B$4="Board program",
IF(OR(AND(AH$5&gt;0,AH$5&gt;100),AND(AH$5&gt;0,AH$5&lt;100)),
VLOOKUP(FLOOR(('Final Term'!AH7/AH$5)*100,1),new_transmute,3,FALSE),
VLOOKUP('Final Term'!AH7,new_transmute,3,FALSE)
),
IF(Info!$B$4="Board program (Medicine)",
IF(OR(AND(AH$5&gt;0,AH$5&gt;100),AND(AH$5&gt;0,AH$5&lt;100)),
VLOOKUP(FLOOR(('Final Term'!AH7/AH$5)*100,1),new_transmute,4,FALSE),
VLOOKUP('Final Term'!AH7,new_transmute,4,FALSE)
),
""
)
)
)
)
)
)
)
)
))</f>
        <v/>
      </c>
      <c r="AI7" s="73" t="str">
        <f>IF($B7="","",
IF(AI$5="","",
IF('Final Term'!AI7="",0,
IF(NOT(ISNUMBER('Final Term'!AI7)),"NAN",
IF('Final Term'!AI7&lt;0,"NEG",
IF('Final Term'!AI7&gt;AI$5,"OVER",
IF(AND(AI$5&lt;=100,'Final Term'!AI7&gt;100),"ERR",
IF(Info!$B$4="Non-board program",
IF(OR(AND(AI$5&gt;0,AI$5&gt;100),AND(AI$5&gt;0,AI$5&lt;100)),
VLOOKUP(FLOOR(('Final Term'!AI7/AI$5)*100,1),new_transmute,2,FALSE),
VLOOKUP('Final Term'!AI7,new_transmute,2,FALSE)
),
IF(Info!$B$4="Board program",
IF(OR(AND(AI$5&gt;0,AI$5&gt;100),AND(AI$5&gt;0,AI$5&lt;100)),
VLOOKUP(FLOOR(('Final Term'!AI7/AI$5)*100,1),new_transmute,3,FALSE),
VLOOKUP('Final Term'!AI7,new_transmute,3,FALSE)
),
IF(Info!$B$4="Board program (Medicine)",
IF(OR(AND(AI$5&gt;0,AI$5&gt;100),AND(AI$5&gt;0,AI$5&lt;100)),
VLOOKUP(FLOOR(('Final Term'!AI7/AI$5)*100,1),new_transmute,4,FALSE),
VLOOKUP('Final Term'!AI7,new_transmute,4,FALSE)
),
""
)
)
)
)
)
)
)
)
))</f>
        <v/>
      </c>
      <c r="AJ7" s="73" t="str">
        <f>IF($B7="","",
IF(AJ$5="","",
IF('Final Term'!AJ7="",0,
IF(NOT(ISNUMBER('Final Term'!AJ7)),"NAN",
IF('Final Term'!AJ7&lt;0,"NEG",
IF('Final Term'!AJ7&gt;AJ$5,"OVER",
IF(AND(AJ$5&lt;=100,'Final Term'!AJ7&gt;100),"ERR",
IF(Info!$B$4="Non-board program",
IF(OR(AND(AJ$5&gt;0,AJ$5&gt;100),AND(AJ$5&gt;0,AJ$5&lt;100)),
VLOOKUP(FLOOR(('Final Term'!AJ7/AJ$5)*100,1),new_transmute,2,FALSE),
VLOOKUP('Final Term'!AJ7,new_transmute,2,FALSE)
),
IF(Info!$B$4="Board program",
IF(OR(AND(AJ$5&gt;0,AJ$5&gt;100),AND(AJ$5&gt;0,AJ$5&lt;100)),
VLOOKUP(FLOOR(('Final Term'!AJ7/AJ$5)*100,1),new_transmute,3,FALSE),
VLOOKUP('Final Term'!AJ7,new_transmute,3,FALSE)
),
IF(Info!$B$4="Board program (Medicine)",
IF(OR(AND(AJ$5&gt;0,AJ$5&gt;100),AND(AJ$5&gt;0,AJ$5&lt;100)),
VLOOKUP(FLOOR(('Final Term'!AJ7/AJ$5)*100,1),new_transmute,4,FALSE),
VLOOKUP('Final Term'!AJ7,new_transmute,4,FALSE)
),
""
)
)
)
)
)
)
)
)
))</f>
        <v/>
      </c>
      <c r="AK7" s="59" t="str">
        <f t="shared" ref="AK7:AK70" si="6">IF(B7="", "", IF(COUNTIF(AF7:AJ7, "OVER") &gt; 0, "OVER", IFERROR(AVERAGEIF(AF7:AJ7, "&lt;&gt;OVER"), 0)))</f>
        <v/>
      </c>
      <c r="AL7" s="60" t="str">
        <f>IF(B7="", "",
    IF(OR(M7="OVER", S7="OVER", Y7="OVER", AE7="OVER", AK7="OVER"),
        "OVER",
        IF(Info!$B$4="Non-board program",
            VLOOKUP(IFERROR(FLOOR(SUM((M7*$M$4), (S7*$S$4), (Y7*$Y$4), (AE7*$AE$4), (AK7*$AK$4)) * (100 / 60), 1), 0), new_transmute, 2, FALSE),
            IF(Info!$B$4="Board program",
                VLOOKUP(IFERROR(FLOOR(SUM((M7*$M$4), (S7*$S$4), (Y7*$Y$4), (AE7*$AE$4), (AK7*$AK$4)) * (100 / 60), 1), 0), new_transmute, 3, FALSE),
                IF(Info!$B$4="Board program (Medicine)",
                    VLOOKUP(IFERROR(FLOOR(SUM((M7*$M$4), (S7*$S$4), (Y7*$Y$4), (AE7*$AE$4), (AK7*$AK$4)) * (100 / 60), 1), 0), new_transmute, 4, FALSE),
                    ""
                )
            )
        )
    )
)</f>
        <v/>
      </c>
      <c r="AM7" s="73" t="str">
        <f>IF($B7="","",
IF(AM$5="","",
IF('Final Term'!AM7="",0,
IF(NOT(ISNUMBER('Final Term'!AM7)),"NAN",
IF('Final Term'!AM7&lt;0,"NEG",
IF('Final Term'!AM7&gt;AM$5,"OVER",
IF(AND(AM$5&lt;=100,'Final Term'!AM7&gt;100),"ERR",
IF(Info!$B$4="Non-board program",
IF(OR(AND(AM$5&gt;0,AM$5&gt;100),AND(AM$5&gt;0,AM$5&lt;100)),
VLOOKUP(FLOOR(('Final Term'!AM7/AM$5)*100,1),new_transmute,2,FALSE),
VLOOKUP('Final Term'!AM7,new_transmute,2,FALSE)
),
IF(Info!$B$4="Board program",
IF(OR(AND(AM$5&gt;0,AM$5&gt;100),AND(AM$5&gt;0,AM$5&lt;100)),
VLOOKUP(FLOOR(('Final Term'!AM7/AM$5)*100,1),new_transmute,3,FALSE),
VLOOKUP('Final Term'!AM7,new_transmute,3,FALSE)
),
IF(Info!$B$4="Board program (Medicine)",
IF(OR(AND(AM$5&gt;0,AM$5&gt;100),AND(AM$5&gt;0,AM$5&lt;100)),
VLOOKUP(FLOOR(('Final Term'!AM7/AM$5)*100,1),new_transmute,4,FALSE),
VLOOKUP('Final Term'!AM7,new_transmute,4,FALSE)
),
""
)
)
)
)
)
)
)
)
))</f>
        <v/>
      </c>
      <c r="AN7" s="73" t="str">
        <f>IF($B7="","",
IF(AN$5="","",
IF('Final Term'!AN7="",0,
IF(NOT(ISNUMBER('Final Term'!AN7)),"NAN",
IF('Final Term'!AN7&lt;0,"NEG",
IF('Final Term'!AN7&gt;AN$5,"OVER",
IF(AND(AN$5&lt;=100,'Final Term'!AN7&gt;100),"ERR",
IF(Info!$B$4="Non-board program",
IF(OR(AND(AN$5&gt;0,AN$5&gt;100),AND(AN$5&gt;0,AN$5&lt;100)),
VLOOKUP(FLOOR(('Final Term'!AN7/AN$5)*100,1),new_transmute,2,FALSE),
VLOOKUP('Final Term'!AN7,new_transmute,2,FALSE)
),
IF(Info!$B$4="Board program",
IF(OR(AND(AN$5&gt;0,AN$5&gt;100),AND(AN$5&gt;0,AN$5&lt;100)),
VLOOKUP(FLOOR(('Final Term'!AN7/AN$5)*100,1),new_transmute,3,FALSE),
VLOOKUP('Final Term'!AN7,new_transmute,3,FALSE)
),
IF(Info!$B$4="Board program (Medicine)",
IF(OR(AND(AN$5&gt;0,AN$5&gt;100),AND(AN$5&gt;0,AN$5&lt;100)),
VLOOKUP(FLOOR(('Final Term'!AN7/AN$5)*100,1),new_transmute,4,FALSE),
VLOOKUP('Final Term'!AN7,new_transmute,4,FALSE)
),
""
)
)
)
)
)
)
)
)
))</f>
        <v/>
      </c>
      <c r="AO7" s="73" t="str">
        <f>IF($B7="","",
IF(AO$5="","",
IF('Final Term'!AO7="",0,
IF(NOT(ISNUMBER('Final Term'!AO7)),"NAN",
IF('Final Term'!AO7&lt;0,"NEG",
IF('Final Term'!AO7&gt;AO$5,"OVER",
IF(AND(AO$5&lt;=100,'Final Term'!AO7&gt;100),"ERR",
IF(Info!$B$4="Non-board program",
IF(OR(AND(AO$5&gt;0,AO$5&gt;100),AND(AO$5&gt;0,AO$5&lt;100)),
VLOOKUP(FLOOR(('Final Term'!AO7/AO$5)*100,1),new_transmute,2,FALSE),
VLOOKUP('Final Term'!AO7,new_transmute,2,FALSE)
),
IF(Info!$B$4="Board program",
IF(OR(AND(AO$5&gt;0,AO$5&gt;100),AND(AO$5&gt;0,AO$5&lt;100)),
VLOOKUP(FLOOR(('Final Term'!AO7/AO$5)*100,1),new_transmute,3,FALSE),
VLOOKUP('Final Term'!AO7,new_transmute,3,FALSE)
),
IF(Info!$B$4="Board program (Medicine)",
IF(OR(AND(AO$5&gt;0,AO$5&gt;100),AND(AO$5&gt;0,AO$5&lt;100)),
VLOOKUP(FLOOR(('Final Term'!AO7/AO$5)*100,1),new_transmute,4,FALSE),
VLOOKUP('Final Term'!AO7,new_transmute,4,FALSE)
),
""
)
)
)
)
)
)
)
)
))</f>
        <v/>
      </c>
      <c r="AP7" s="73" t="str">
        <f>IF($B7="","",
IF(AP$5="","",
IF('Final Term'!AP7="",0,
IF(NOT(ISNUMBER('Final Term'!AP7)),"NAN",
IF('Final Term'!AP7&lt;0,"NEG",
IF('Final Term'!AP7&gt;AP$5,"OVER",
IF(AND(AP$5&lt;=100,'Final Term'!AP7&gt;100),"ERR",
IF(Info!$B$4="Non-board program",
IF(OR(AND(AP$5&gt;0,AP$5&gt;100),AND(AP$5&gt;0,AP$5&lt;100)),
VLOOKUP(FLOOR(('Final Term'!AP7/AP$5)*100,1),new_transmute,2,FALSE),
VLOOKUP('Final Term'!AP7,new_transmute,2,FALSE)
),
IF(Info!$B$4="Board program",
IF(OR(AND(AP$5&gt;0,AP$5&gt;100),AND(AP$5&gt;0,AP$5&lt;100)),
VLOOKUP(FLOOR(('Final Term'!AP7/AP$5)*100,1),new_transmute,3,FALSE),
VLOOKUP('Final Term'!AP7,new_transmute,3,FALSE)
),
IF(Info!$B$4="Board program (Medicine)",
IF(OR(AND(AP$5&gt;0,AP$5&gt;100),AND(AP$5&gt;0,AP$5&lt;100)),
VLOOKUP(FLOOR(('Final Term'!AP7/AP$5)*100,1),new_transmute,4,FALSE),
VLOOKUP('Final Term'!AP7,new_transmute,4,FALSE)
),
""
)
)
)
)
)
)
)
)
))</f>
        <v/>
      </c>
      <c r="AQ7" s="61" t="str">
        <f t="shared" ref="AQ7:AQ70" si="7">IF(B7="", "", IF(COUNTIF(AM7:AP7, "OVER") &gt; 0, "OVER", IFERROR(AVERAGEIF(AM7:AP7, "&lt;&gt;OVER"), 0)))</f>
        <v/>
      </c>
      <c r="AR7" s="48" t="str">
        <f>IF('Final Term'!AR7="","",'Final Term'!AR7)</f>
        <v/>
      </c>
      <c r="AS7" s="165" t="str">
        <f t="shared" ref="AS7:AS70" si="8">IF(B7="", "",
    IF(E7="DRP",
        "DRP",
        IF(E7="WF",
            "WF",
            IF(E7="INC",
                "INC",
                IFERROR(SUM(G7*$G$4, M7*$M$4, S7*$S$4, Y7*$Y$4, AE7*$AE$4, AK7*$AK$4, AQ7*$AQ$4, AR7), "ERR")
            )
        )
    )
)</f>
        <v/>
      </c>
      <c r="AT7" s="14" t="str">
        <f t="shared" si="0"/>
        <v/>
      </c>
      <c r="AU7" s="13" t="str">
        <f>IF(B7="","",VLOOKUP(AT7,'New Grade Equivalent'!$B$3:$C$47,2,FALSE))</f>
        <v/>
      </c>
    </row>
    <row r="8" spans="1:47" x14ac:dyDescent="0.25">
      <c r="A8" s="8">
        <v>3</v>
      </c>
      <c r="B8" s="2" t="str">
        <f>IF('Student List'!C12="","",UPPER(LEFT('Student List'!C12,FIND(",",'Student List'!C12)-1)))</f>
        <v/>
      </c>
      <c r="C8" s="12" t="str">
        <f>IF('Student List'!C12="","",PROPER(MID('Student List'!C12, FIND(",", 'Student List'!C12) + 2, LEN('Student List'!C12) - FIND(",", 'Student List'!C12) - 1)))</f>
        <v/>
      </c>
      <c r="D8" s="127" t="str">
        <f>IF('Final Term'!D8="","",'Final Term'!D8)</f>
        <v/>
      </c>
      <c r="E8" s="8" t="str">
        <f>IF(MidCom!E8="FA", "FA",
    IF(MidCom!E8="DRP", "DRP",
        IF(MidCom!E8="WF", "WF",
            IF(D8="Yes", "INC",
               IF((SUM('MT Attendance'!AW6) / 3 + SUM('MT Attendance'!AY6) + SUM('FT Attendance'!AW6) / 3 + SUM('FT Attendance'!AY6)) &gt;= 0.2 * (SUMPRODUCT(--(ISTEXT('MT Attendance'!$C$2:$AU$2))) + SUMPRODUCT(--(ISTEXT('FT Attendance'!$C$2:$AU$2)))), "FA",
                   MidCom!E8
                )
            )
        )
    )
)</f>
        <v/>
      </c>
      <c r="F8" s="73" t="str">
        <f>IF($B8="","",
IF(F$5="","",
IF('Final Term'!F8="",0,
IF(NOT(ISNUMBER('Final Term'!F8)),"NAN",
IF('Final Term'!F8&lt;0,"NEG",
IF('Final Term'!F8&gt;F$5,"OVER",
IF(AND(F$5&lt;=100,'Final Term'!F8&gt;100),"ERR",
IF(Info!$B$4="Non-board program",
IF(OR(AND(F$5&gt;0,F$5&gt;100),AND(F$5&gt;0,F$5&lt;100)),
VLOOKUP(FLOOR(('Final Term'!F8/F$5)*100,1),new_transmute,2,FALSE),
VLOOKUP('Final Term'!F8,new_transmute,2,FALSE)
),
IF(Info!$B$4="Board program",
IF(OR(AND(F$5&gt;0,F$5&gt;100),AND(F$5&gt;0,F$5&lt;100)),
VLOOKUP(FLOOR(('Final Term'!F8/F$5)*100,1),new_transmute,3,FALSE),
VLOOKUP('Final Term'!F8,new_transmute,3,FALSE)
),
IF(Info!$B$4="Board program (Medicine)",
IF(OR(AND(F$5&gt;0,F$5&gt;100),AND(F$5&gt;0,F$5&lt;100)),
VLOOKUP(FLOOR(('Final Term'!F8/F$5)*100,1),new_transmute,4,FALSE),
VLOOKUP('Final Term'!F8,new_transmute,4,FALSE)
),
""
)
)
)
)
)
)
)
)
))</f>
        <v/>
      </c>
      <c r="G8" s="57" t="str">
        <f>F8</f>
        <v/>
      </c>
      <c r="H8" s="73" t="str">
        <f>IF($B8="","",
IF(H$5="","",
IF('Final Term'!H8="",0,
IF(NOT(ISNUMBER('Final Term'!H8)),"NAN",
IF('Final Term'!H8&lt;0,"NEG",
IF('Final Term'!H8&gt;H$5,"OVER",
IF(AND(H$5&lt;=100,'Final Term'!H8&gt;100),"ERR",
IF(Info!$B$4="Non-board program",
IF(OR(AND(H$5&gt;0,H$5&gt;100),AND(H$5&gt;0,H$5&lt;100)),
VLOOKUP(FLOOR(('Final Term'!H8/H$5)*100,1),new_transmute,2,FALSE),
VLOOKUP('Final Term'!H8,new_transmute,2,FALSE)
),
IF(Info!$B$4="Board program",
IF(OR(AND(H$5&gt;0,H$5&gt;100),AND(H$5&gt;0,H$5&lt;100)),
VLOOKUP(FLOOR(('Final Term'!H8/H$5)*100,1),new_transmute,3,FALSE),
VLOOKUP('Final Term'!H8,new_transmute,3,FALSE)
),
IF(Info!$B$4="Board program (Medicine)",
IF(OR(AND(H$5&gt;0,H$5&gt;100),AND(H$5&gt;0,H$5&lt;100)),
VLOOKUP(FLOOR(('Final Term'!H8/H$5)*100,1),new_transmute,4,FALSE),
VLOOKUP('Final Term'!H8,new_transmute,4,FALSE)
),
""
)
)
)
)
)
)
)
)
))</f>
        <v/>
      </c>
      <c r="I8" s="73" t="str">
        <f>IF($B8="","",
IF(I$5="","",
IF('Final Term'!I8="",0,
IF(NOT(ISNUMBER('Final Term'!I8)),"NAN",
IF('Final Term'!I8&lt;0,"NEG",
IF('Final Term'!I8&gt;I$5,"OVER",
IF(AND(I$5&lt;=100,'Final Term'!I8&gt;100),"ERR",
IF(Info!$B$4="Non-board program",
IF(OR(AND(I$5&gt;0,I$5&gt;100),AND(I$5&gt;0,I$5&lt;100)),
VLOOKUP(FLOOR(('Final Term'!I8/I$5)*100,1),new_transmute,2,FALSE),
VLOOKUP('Final Term'!I8,new_transmute,2,FALSE)
),
IF(Info!$B$4="Board program",
IF(OR(AND(I$5&gt;0,I$5&gt;100),AND(I$5&gt;0,I$5&lt;100)),
VLOOKUP(FLOOR(('Final Term'!I8/I$5)*100,1),new_transmute,3,FALSE),
VLOOKUP('Final Term'!I8,new_transmute,3,FALSE)
),
IF(Info!$B$4="Board program (Medicine)",
IF(OR(AND(I$5&gt;0,I$5&gt;100),AND(I$5&gt;0,I$5&lt;100)),
VLOOKUP(FLOOR(('Final Term'!I8/I$5)*100,1),new_transmute,4,FALSE),
VLOOKUP('Final Term'!I8,new_transmute,4,FALSE)
),
""
)
)
)
)
)
)
)
)
))</f>
        <v/>
      </c>
      <c r="J8" s="73" t="str">
        <f>IF($B8="","",
IF(J$5="","",
IF('Final Term'!J8="",0,
IF(NOT(ISNUMBER('Final Term'!J8)),"NAN",
IF('Final Term'!J8&lt;0,"NEG",
IF('Final Term'!J8&gt;J$5,"OVER",
IF(AND(J$5&lt;=100,'Final Term'!J8&gt;100),"ERR",
IF(Info!$B$4="Non-board program",
IF(OR(AND(J$5&gt;0,J$5&gt;100),AND(J$5&gt;0,J$5&lt;100)),
VLOOKUP(FLOOR(('Final Term'!J8/J$5)*100,1),new_transmute,2,FALSE),
VLOOKUP('Final Term'!J8,new_transmute,2,FALSE)
),
IF(Info!$B$4="Board program",
IF(OR(AND(J$5&gt;0,J$5&gt;100),AND(J$5&gt;0,J$5&lt;100)),
VLOOKUP(FLOOR(('Final Term'!J8/J$5)*100,1),new_transmute,3,FALSE),
VLOOKUP('Final Term'!J8,new_transmute,3,FALSE)
),
IF(Info!$B$4="Board program (Medicine)",
IF(OR(AND(J$5&gt;0,J$5&gt;100),AND(J$5&gt;0,J$5&lt;100)),
VLOOKUP(FLOOR(('Final Term'!J8/J$5)*100,1),new_transmute,4,FALSE),
VLOOKUP('Final Term'!J8,new_transmute,4,FALSE)
),
""
)
)
)
)
)
)
)
)
))</f>
        <v/>
      </c>
      <c r="K8" s="73" t="str">
        <f>IF($B8="","",
IF(K$5="","",
IF('Final Term'!K8="",0,
IF(NOT(ISNUMBER('Final Term'!K8)),"NAN",
IF('Final Term'!K8&lt;0,"NEG",
IF('Final Term'!K8&gt;K$5,"OVER",
IF(AND(K$5&lt;=100,'Final Term'!K8&gt;100),"ERR",
IF(Info!$B$4="Non-board program",
IF(OR(AND(K$5&gt;0,K$5&gt;100),AND(K$5&gt;0,K$5&lt;100)),
VLOOKUP(FLOOR(('Final Term'!K8/K$5)*100,1),new_transmute,2,FALSE),
VLOOKUP('Final Term'!K8,new_transmute,2,FALSE)
),
IF(Info!$B$4="Board program",
IF(OR(AND(K$5&gt;0,K$5&gt;100),AND(K$5&gt;0,K$5&lt;100)),
VLOOKUP(FLOOR(('Final Term'!K8/K$5)*100,1),new_transmute,3,FALSE),
VLOOKUP('Final Term'!K8,new_transmute,3,FALSE)
),
IF(Info!$B$4="Board program (Medicine)",
IF(OR(AND(K$5&gt;0,K$5&gt;100),AND(K$5&gt;0,K$5&lt;100)),
VLOOKUP(FLOOR(('Final Term'!K8/K$5)*100,1),new_transmute,4,FALSE),
VLOOKUP('Final Term'!K8,new_transmute,4,FALSE)
),
""
)
)
)
)
)
)
)
)
))</f>
        <v/>
      </c>
      <c r="L8" s="73" t="str">
        <f>IF($B8="","",
IF(L$5="","",
IF('Final Term'!L8="",0,
IF(NOT(ISNUMBER('Final Term'!L8)),"NAN",
IF('Final Term'!L8&lt;0,"NEG",
IF('Final Term'!L8&gt;L$5,"OVER",
IF(AND(L$5&lt;=100,'Final Term'!L8&gt;100),"ERR",
IF(Info!$B$4="Non-board program",
IF(OR(AND(L$5&gt;0,L$5&gt;100),AND(L$5&gt;0,L$5&lt;100)),
VLOOKUP(FLOOR(('Final Term'!L8/L$5)*100,1),new_transmute,2,FALSE),
VLOOKUP('Final Term'!L8,new_transmute,2,FALSE)
),
IF(Info!$B$4="Board program",
IF(OR(AND(L$5&gt;0,L$5&gt;100),AND(L$5&gt;0,L$5&lt;100)),
VLOOKUP(FLOOR(('Final Term'!L8/L$5)*100,1),new_transmute,3,FALSE),
VLOOKUP('Final Term'!L8,new_transmute,3,FALSE)
),
IF(Info!$B$4="Board program (Medicine)",
IF(OR(AND(L$5&gt;0,L$5&gt;100),AND(L$5&gt;0,L$5&lt;100)),
VLOOKUP(FLOOR(('Final Term'!L8/L$5)*100,1),new_transmute,4,FALSE),
VLOOKUP('Final Term'!L8,new_transmute,4,FALSE)
),
""
)
)
)
)
)
)
)
)
))</f>
        <v/>
      </c>
      <c r="M8" s="111" t="str">
        <f t="shared" si="2"/>
        <v/>
      </c>
      <c r="N8" s="73" t="str">
        <f>IF($B8="","",
IF(N$5="","",
IF('Final Term'!N8="",0,
IF(NOT(ISNUMBER('Final Term'!N8)),"NAN",
IF('Final Term'!N8&lt;0,"NEG",
IF('Final Term'!N8&gt;N$5,"OVER",
IF(AND(N$5&lt;=100,'Final Term'!N8&gt;100),"ERR",
IF(Info!$B$4="Non-board program",
IF(OR(AND(N$5&gt;0,N$5&gt;100),AND(N$5&gt;0,N$5&lt;100)),
VLOOKUP(FLOOR(('Final Term'!N8/N$5)*100,1),new_transmute,2,FALSE),
VLOOKUP('Final Term'!N8,new_transmute,2,FALSE)
),
IF(Info!$B$4="Board program",
IF(OR(AND(N$5&gt;0,N$5&gt;100),AND(N$5&gt;0,N$5&lt;100)),
VLOOKUP(FLOOR(('Final Term'!N8/N$5)*100,1),new_transmute,3,FALSE),
VLOOKUP('Final Term'!N8,new_transmute,3,FALSE)
),
IF(Info!$B$4="Board program (Medicine)",
IF(OR(AND(N$5&gt;0,N$5&gt;100),AND(N$5&gt;0,N$5&lt;100)),
VLOOKUP(FLOOR(('Final Term'!N8/N$5)*100,1),new_transmute,4,FALSE),
VLOOKUP('Final Term'!N8,new_transmute,4,FALSE)
),
""
)
)
)
)
)
)
)
)
))</f>
        <v/>
      </c>
      <c r="O8" s="73" t="str">
        <f>IF($B8="","",
IF(O$5="","",
IF('Final Term'!O8="",0,
IF(NOT(ISNUMBER('Final Term'!O8)),"NAN",
IF('Final Term'!O8&lt;0,"NEG",
IF('Final Term'!O8&gt;O$5,"OVER",
IF(AND(O$5&lt;=100,'Final Term'!O8&gt;100),"ERR",
IF(Info!$B$4="Non-board program",
IF(OR(AND(O$5&gt;0,O$5&gt;100),AND(O$5&gt;0,O$5&lt;100)),
VLOOKUP(FLOOR(('Final Term'!O8/O$5)*100,1),new_transmute,2,FALSE),
VLOOKUP('Final Term'!O8,new_transmute,2,FALSE)
),
IF(Info!$B$4="Board program",
IF(OR(AND(O$5&gt;0,O$5&gt;100),AND(O$5&gt;0,O$5&lt;100)),
VLOOKUP(FLOOR(('Final Term'!O8/O$5)*100,1),new_transmute,3,FALSE),
VLOOKUP('Final Term'!O8,new_transmute,3,FALSE)
),
IF(Info!$B$4="Board program (Medicine)",
IF(OR(AND(O$5&gt;0,O$5&gt;100),AND(O$5&gt;0,O$5&lt;100)),
VLOOKUP(FLOOR(('Final Term'!O8/O$5)*100,1),new_transmute,4,FALSE),
VLOOKUP('Final Term'!O8,new_transmute,4,FALSE)
),
""
)
)
)
)
)
)
)
)
))</f>
        <v/>
      </c>
      <c r="P8" s="73" t="str">
        <f>IF($B8="","",
IF(P$5="","",
IF('Final Term'!P8="",0,
IF(NOT(ISNUMBER('Final Term'!P8)),"NAN",
IF('Final Term'!P8&lt;0,"NEG",
IF('Final Term'!P8&gt;P$5,"OVER",
IF(AND(P$5&lt;=100,'Final Term'!P8&gt;100),"ERR",
IF(Info!$B$4="Non-board program",
IF(OR(AND(P$5&gt;0,P$5&gt;100),AND(P$5&gt;0,P$5&lt;100)),
VLOOKUP(FLOOR(('Final Term'!P8/P$5)*100,1),new_transmute,2,FALSE),
VLOOKUP('Final Term'!P8,new_transmute,2,FALSE)
),
IF(Info!$B$4="Board program",
IF(OR(AND(P$5&gt;0,P$5&gt;100),AND(P$5&gt;0,P$5&lt;100)),
VLOOKUP(FLOOR(('Final Term'!P8/P$5)*100,1),new_transmute,3,FALSE),
VLOOKUP('Final Term'!P8,new_transmute,3,FALSE)
),
IF(Info!$B$4="Board program (Medicine)",
IF(OR(AND(P$5&gt;0,P$5&gt;100),AND(P$5&gt;0,P$5&lt;100)),
VLOOKUP(FLOOR(('Final Term'!P8/P$5)*100,1),new_transmute,4,FALSE),
VLOOKUP('Final Term'!P8,new_transmute,4,FALSE)
),
""
)
)
)
)
)
)
)
)
))</f>
        <v/>
      </c>
      <c r="Q8" s="73" t="str">
        <f>IF($B8="","",
IF(Q$5="","",
IF('Final Term'!Q8="",0,
IF(NOT(ISNUMBER('Final Term'!Q8)),"NAN",
IF('Final Term'!Q8&lt;0,"NEG",
IF('Final Term'!Q8&gt;Q$5,"OVER",
IF(AND(Q$5&lt;=100,'Final Term'!Q8&gt;100),"ERR",
IF(Info!$B$4="Non-board program",
IF(OR(AND(Q$5&gt;0,Q$5&gt;100),AND(Q$5&gt;0,Q$5&lt;100)),
VLOOKUP(FLOOR(('Final Term'!Q8/Q$5)*100,1),new_transmute,2,FALSE),
VLOOKUP('Final Term'!Q8,new_transmute,2,FALSE)
),
IF(Info!$B$4="Board program",
IF(OR(AND(Q$5&gt;0,Q$5&gt;100),AND(Q$5&gt;0,Q$5&lt;100)),
VLOOKUP(FLOOR(('Final Term'!Q8/Q$5)*100,1),new_transmute,3,FALSE),
VLOOKUP('Final Term'!Q8,new_transmute,3,FALSE)
),
IF(Info!$B$4="Board program (Medicine)",
IF(OR(AND(Q$5&gt;0,Q$5&gt;100),AND(Q$5&gt;0,Q$5&lt;100)),
VLOOKUP(FLOOR(('Final Term'!Q8/Q$5)*100,1),new_transmute,4,FALSE),
VLOOKUP('Final Term'!Q8,new_transmute,4,FALSE)
),
""
)
)
)
)
)
)
)
)
))</f>
        <v/>
      </c>
      <c r="R8" s="73" t="str">
        <f>IF($B8="","",
IF(R$5="","",
IF('Final Term'!R8="",0,
IF(NOT(ISNUMBER('Final Term'!R8)),"NAN",
IF('Final Term'!R8&lt;0,"NEG",
IF('Final Term'!R8&gt;R$5,"OVER",
IF(AND(R$5&lt;=100,'Final Term'!R8&gt;100),"ERR",
IF(Info!$B$4="Non-board program",
IF(OR(AND(R$5&gt;0,R$5&gt;100),AND(R$5&gt;0,R$5&lt;100)),
VLOOKUP(FLOOR(('Final Term'!R8/R$5)*100,1),new_transmute,2,FALSE),
VLOOKUP('Final Term'!R8,new_transmute,2,FALSE)
),
IF(Info!$B$4="Board program",
IF(OR(AND(R$5&gt;0,R$5&gt;100),AND(R$5&gt;0,R$5&lt;100)),
VLOOKUP(FLOOR(('Final Term'!R8/R$5)*100,1),new_transmute,3,FALSE),
VLOOKUP('Final Term'!R8,new_transmute,3,FALSE)
),
IF(Info!$B$4="Board program (Medicine)",
IF(OR(AND(R$5&gt;0,R$5&gt;100),AND(R$5&gt;0,R$5&lt;100)),
VLOOKUP(FLOOR(('Final Term'!R8/R$5)*100,1),new_transmute,4,FALSE),
VLOOKUP('Final Term'!R8,new_transmute,4,FALSE)
),
""
)
)
)
)
)
)
)
)
))</f>
        <v/>
      </c>
      <c r="S8" s="115" t="str">
        <f t="shared" si="3"/>
        <v/>
      </c>
      <c r="T8" s="73" t="str">
        <f>IF($B8="","",
IF(T$5="","",
IF('Final Term'!T8="",0,
IF(NOT(ISNUMBER('Final Term'!T8)),"NAN",
IF('Final Term'!T8&lt;0,"NEG",
IF('Final Term'!T8&gt;T$5,"OVER",
IF(AND(T$5&lt;=100,'Final Term'!T8&gt;100),"ERR",
IF(Info!$B$4="Non-board program",
IF(OR(AND(T$5&gt;0,T$5&gt;100),AND(T$5&gt;0,T$5&lt;100)),
VLOOKUP(FLOOR(('Final Term'!T8/T$5)*100,1),new_transmute,2,FALSE),
VLOOKUP('Final Term'!T8,new_transmute,2,FALSE)
),
IF(Info!$B$4="Board program",
IF(OR(AND(T$5&gt;0,T$5&gt;100),AND(T$5&gt;0,T$5&lt;100)),
VLOOKUP(FLOOR(('Final Term'!T8/T$5)*100,1),new_transmute,3,FALSE),
VLOOKUP('Final Term'!T8,new_transmute,3,FALSE)
),
IF(Info!$B$4="Board program (Medicine)",
IF(OR(AND(T$5&gt;0,T$5&gt;100),AND(T$5&gt;0,T$5&lt;100)),
VLOOKUP(FLOOR(('Final Term'!T8/T$5)*100,1),new_transmute,4,FALSE),
VLOOKUP('Final Term'!T8,new_transmute,4,FALSE)
),
""
)
)
)
)
)
)
)
)
))</f>
        <v/>
      </c>
      <c r="U8" s="73" t="str">
        <f>IF($B8="","",
IF(U$5="","",
IF('Final Term'!U8="",0,
IF(NOT(ISNUMBER('Final Term'!U8)),"NAN",
IF('Final Term'!U8&lt;0,"NEG",
IF('Final Term'!U8&gt;U$5,"OVER",
IF(AND(U$5&lt;=100,'Final Term'!U8&gt;100),"ERR",
IF(Info!$B$4="Non-board program",
IF(OR(AND(U$5&gt;0,U$5&gt;100),AND(U$5&gt;0,U$5&lt;100)),
VLOOKUP(FLOOR(('Final Term'!U8/U$5)*100,1),new_transmute,2,FALSE),
VLOOKUP('Final Term'!U8,new_transmute,2,FALSE)
),
IF(Info!$B$4="Board program",
IF(OR(AND(U$5&gt;0,U$5&gt;100),AND(U$5&gt;0,U$5&lt;100)),
VLOOKUP(FLOOR(('Final Term'!U8/U$5)*100,1),new_transmute,3,FALSE),
VLOOKUP('Final Term'!U8,new_transmute,3,FALSE)
),
IF(Info!$B$4="Board program (Medicine)",
IF(OR(AND(U$5&gt;0,U$5&gt;100),AND(U$5&gt;0,U$5&lt;100)),
VLOOKUP(FLOOR(('Final Term'!U8/U$5)*100,1),new_transmute,4,FALSE),
VLOOKUP('Final Term'!U8,new_transmute,4,FALSE)
),
""
)
)
)
)
)
)
)
)
))</f>
        <v/>
      </c>
      <c r="V8" s="73" t="str">
        <f>IF($B8="","",
IF(V$5="","",
IF('Final Term'!V8="",0,
IF(NOT(ISNUMBER('Final Term'!V8)),"NAN",
IF('Final Term'!V8&lt;0,"NEG",
IF('Final Term'!V8&gt;V$5,"OVER",
IF(AND(V$5&lt;=100,'Final Term'!V8&gt;100),"ERR",
IF(Info!$B$4="Non-board program",
IF(OR(AND(V$5&gt;0,V$5&gt;100),AND(V$5&gt;0,V$5&lt;100)),
VLOOKUP(FLOOR(('Final Term'!V8/V$5)*100,1),new_transmute,2,FALSE),
VLOOKUP('Final Term'!V8,new_transmute,2,FALSE)
),
IF(Info!$B$4="Board program",
IF(OR(AND(V$5&gt;0,V$5&gt;100),AND(V$5&gt;0,V$5&lt;100)),
VLOOKUP(FLOOR(('Final Term'!V8/V$5)*100,1),new_transmute,3,FALSE),
VLOOKUP('Final Term'!V8,new_transmute,3,FALSE)
),
IF(Info!$B$4="Board program (Medicine)",
IF(OR(AND(V$5&gt;0,V$5&gt;100),AND(V$5&gt;0,V$5&lt;100)),
VLOOKUP(FLOOR(('Final Term'!V8/V$5)*100,1),new_transmute,4,FALSE),
VLOOKUP('Final Term'!V8,new_transmute,4,FALSE)
),
""
)
)
)
)
)
)
)
)
))</f>
        <v/>
      </c>
      <c r="W8" s="73" t="str">
        <f>IF($B8="","",
IF(W$5="","",
IF('Final Term'!W8="",0,
IF(NOT(ISNUMBER('Final Term'!W8)),"NAN",
IF('Final Term'!W8&lt;0,"NEG",
IF('Final Term'!W8&gt;W$5,"OVER",
IF(AND(W$5&lt;=100,'Final Term'!W8&gt;100),"ERR",
IF(Info!$B$4="Non-board program",
IF(OR(AND(W$5&gt;0,W$5&gt;100),AND(W$5&gt;0,W$5&lt;100)),
VLOOKUP(FLOOR(('Final Term'!W8/W$5)*100,1),new_transmute,2,FALSE),
VLOOKUP('Final Term'!W8,new_transmute,2,FALSE)
),
IF(Info!$B$4="Board program",
IF(OR(AND(W$5&gt;0,W$5&gt;100),AND(W$5&gt;0,W$5&lt;100)),
VLOOKUP(FLOOR(('Final Term'!W8/W$5)*100,1),new_transmute,3,FALSE),
VLOOKUP('Final Term'!W8,new_transmute,3,FALSE)
),
IF(Info!$B$4="Board program (Medicine)",
IF(OR(AND(W$5&gt;0,W$5&gt;100),AND(W$5&gt;0,W$5&lt;100)),
VLOOKUP(FLOOR(('Final Term'!W8/W$5)*100,1),new_transmute,4,FALSE),
VLOOKUP('Final Term'!W8,new_transmute,4,FALSE)
),
""
)
)
)
)
)
)
)
)
))</f>
        <v/>
      </c>
      <c r="X8" s="73" t="str">
        <f>IF($B8="","",
IF(X$5="","",
IF('Final Term'!X8="",0,
IF(NOT(ISNUMBER('Final Term'!X8)),"NAN",
IF('Final Term'!X8&lt;0,"NEG",
IF('Final Term'!X8&gt;X$5,"OVER",
IF(AND(X$5&lt;=100,'Final Term'!X8&gt;100),"ERR",
IF(Info!$B$4="Non-board program",
IF(OR(AND(X$5&gt;0,X$5&gt;100),AND(X$5&gt;0,X$5&lt;100)),
VLOOKUP(FLOOR(('Final Term'!X8/X$5)*100,1),new_transmute,2,FALSE),
VLOOKUP('Final Term'!X8,new_transmute,2,FALSE)
),
IF(Info!$B$4="Board program",
IF(OR(AND(X$5&gt;0,X$5&gt;100),AND(X$5&gt;0,X$5&lt;100)),
VLOOKUP(FLOOR(('Final Term'!X8/X$5)*100,1),new_transmute,3,FALSE),
VLOOKUP('Final Term'!X8,new_transmute,3,FALSE)
),
IF(Info!$B$4="Board program (Medicine)",
IF(OR(AND(X$5&gt;0,X$5&gt;100),AND(X$5&gt;0,X$5&lt;100)),
VLOOKUP(FLOOR(('Final Term'!X8/X$5)*100,1),new_transmute,4,FALSE),
VLOOKUP('Final Term'!X8,new_transmute,4,FALSE)
),
""
)
)
)
)
)
)
)
)
))</f>
        <v/>
      </c>
      <c r="Y8" s="112" t="str">
        <f t="shared" si="4"/>
        <v/>
      </c>
      <c r="Z8" s="73" t="str">
        <f>IF($B8="","",
IF(Z$5="","",
IF('Final Term'!Z8="",0,
IF(NOT(ISNUMBER('Final Term'!Z8)),"NAN",
IF('Final Term'!Z8&lt;0,"NEG",
IF('Final Term'!Z8&gt;Z$5,"OVER",
IF(AND(Z$5&lt;=100,'Final Term'!Z8&gt;100),"ERR",
IF(Info!$B$4="Non-board program",
IF(OR(AND(Z$5&gt;0,Z$5&gt;100),AND(Z$5&gt;0,Z$5&lt;100)),
VLOOKUP(FLOOR(('Final Term'!Z8/Z$5)*100,1),new_transmute,2,FALSE),
VLOOKUP('Final Term'!Z8,new_transmute,2,FALSE)
),
IF(Info!$B$4="Board program",
IF(OR(AND(Z$5&gt;0,Z$5&gt;100),AND(Z$5&gt;0,Z$5&lt;100)),
VLOOKUP(FLOOR(('Final Term'!Z8/Z$5)*100,1),new_transmute,3,FALSE),
VLOOKUP('Final Term'!Z8,new_transmute,3,FALSE)
),
IF(Info!$B$4="Board program (Medicine)",
IF(OR(AND(Z$5&gt;0,Z$5&gt;100),AND(Z$5&gt;0,Z$5&lt;100)),
VLOOKUP(FLOOR(('Final Term'!Z8/Z$5)*100,1),new_transmute,4,FALSE),
VLOOKUP('Final Term'!Z8,new_transmute,4,FALSE)
),
""
)
)
)
)
)
)
)
)
))</f>
        <v/>
      </c>
      <c r="AA8" s="73" t="str">
        <f>IF($B8="","",
IF(AA$5="","",
IF('Final Term'!AA8="",0,
IF(NOT(ISNUMBER('Final Term'!AA8)),"NAN",
IF('Final Term'!AA8&lt;0,"NEG",
IF('Final Term'!AA8&gt;AA$5,"OVER",
IF(AND(AA$5&lt;=100,'Final Term'!AA8&gt;100),"ERR",
IF(Info!$B$4="Non-board program",
IF(OR(AND(AA$5&gt;0,AA$5&gt;100),AND(AA$5&gt;0,AA$5&lt;100)),
VLOOKUP(FLOOR(('Final Term'!AA8/AA$5)*100,1),new_transmute,2,FALSE),
VLOOKUP('Final Term'!AA8,new_transmute,2,FALSE)
),
IF(Info!$B$4="Board program",
IF(OR(AND(AA$5&gt;0,AA$5&gt;100),AND(AA$5&gt;0,AA$5&lt;100)),
VLOOKUP(FLOOR(('Final Term'!AA8/AA$5)*100,1),new_transmute,3,FALSE),
VLOOKUP('Final Term'!AA8,new_transmute,3,FALSE)
),
IF(Info!$B$4="Board program (Medicine)",
IF(OR(AND(AA$5&gt;0,AA$5&gt;100),AND(AA$5&gt;0,AA$5&lt;100)),
VLOOKUP(FLOOR(('Final Term'!AA8/AA$5)*100,1),new_transmute,4,FALSE),
VLOOKUP('Final Term'!AA8,new_transmute,4,FALSE)
),
""
)
)
)
)
)
)
)
)
))</f>
        <v/>
      </c>
      <c r="AB8" s="73" t="str">
        <f>IF($B8="","",
IF(AB$5="","",
IF('Final Term'!AB8="",0,
IF(NOT(ISNUMBER('Final Term'!AB8)),"NAN",
IF('Final Term'!AB8&lt;0,"NEG",
IF('Final Term'!AB8&gt;AB$5,"OVER",
IF(AND(AB$5&lt;=100,'Final Term'!AB8&gt;100),"ERR",
IF(Info!$B$4="Non-board program",
IF(OR(AND(AB$5&gt;0,AB$5&gt;100),AND(AB$5&gt;0,AB$5&lt;100)),
VLOOKUP(FLOOR(('Final Term'!AB8/AB$5)*100,1),new_transmute,2,FALSE),
VLOOKUP('Final Term'!AB8,new_transmute,2,FALSE)
),
IF(Info!$B$4="Board program",
IF(OR(AND(AB$5&gt;0,AB$5&gt;100),AND(AB$5&gt;0,AB$5&lt;100)),
VLOOKUP(FLOOR(('Final Term'!AB8/AB$5)*100,1),new_transmute,3,FALSE),
VLOOKUP('Final Term'!AB8,new_transmute,3,FALSE)
),
IF(Info!$B$4="Board program (Medicine)",
IF(OR(AND(AB$5&gt;0,AB$5&gt;100),AND(AB$5&gt;0,AB$5&lt;100)),
VLOOKUP(FLOOR(('Final Term'!AB8/AB$5)*100,1),new_transmute,4,FALSE),
VLOOKUP('Final Term'!AB8,new_transmute,4,FALSE)
),
""
)
)
)
)
)
)
)
)
))</f>
        <v/>
      </c>
      <c r="AC8" s="73" t="str">
        <f>IF($B8="","",
IF(AC$5="","",
IF('Final Term'!AC8="",0,
IF(NOT(ISNUMBER('Final Term'!AC8)),"NAN",
IF('Final Term'!AC8&lt;0,"NEG",
IF('Final Term'!AC8&gt;AC$5,"OVER",
IF(AND(AC$5&lt;=100,'Final Term'!AC8&gt;100),"ERR",
IF(Info!$B$4="Non-board program",
IF(OR(AND(AC$5&gt;0,AC$5&gt;100),AND(AC$5&gt;0,AC$5&lt;100)),
VLOOKUP(FLOOR(('Final Term'!AC8/AC$5)*100,1),new_transmute,2,FALSE),
VLOOKUP('Final Term'!AC8,new_transmute,2,FALSE)
),
IF(Info!$B$4="Board program",
IF(OR(AND(AC$5&gt;0,AC$5&gt;100),AND(AC$5&gt;0,AC$5&lt;100)),
VLOOKUP(FLOOR(('Final Term'!AC8/AC$5)*100,1),new_transmute,3,FALSE),
VLOOKUP('Final Term'!AC8,new_transmute,3,FALSE)
),
IF(Info!$B$4="Board program (Medicine)",
IF(OR(AND(AC$5&gt;0,AC$5&gt;100),AND(AC$5&gt;0,AC$5&lt;100)),
VLOOKUP(FLOOR(('Final Term'!AC8/AC$5)*100,1),new_transmute,4,FALSE),
VLOOKUP('Final Term'!AC8,new_transmute,4,FALSE)
),
""
)
)
)
)
)
)
)
)
))</f>
        <v/>
      </c>
      <c r="AD8" s="73" t="str">
        <f>IF($B8="","",
IF(AD$5="","",
IF('Final Term'!AD8="",0,
IF(NOT(ISNUMBER('Final Term'!AD8)),"NAN",
IF('Final Term'!AD8&lt;0,"NEG",
IF('Final Term'!AD8&gt;AD$5,"OVER",
IF(AND(AD$5&lt;=100,'Final Term'!AD8&gt;100),"ERR",
IF(Info!$B$4="Non-board program",
IF(OR(AND(AD$5&gt;0,AD$5&gt;100),AND(AD$5&gt;0,AD$5&lt;100)),
VLOOKUP(FLOOR(('Final Term'!AD8/AD$5)*100,1),new_transmute,2,FALSE),
VLOOKUP('Final Term'!AD8,new_transmute,2,FALSE)
),
IF(Info!$B$4="Board program",
IF(OR(AND(AD$5&gt;0,AD$5&gt;100),AND(AD$5&gt;0,AD$5&lt;100)),
VLOOKUP(FLOOR(('Final Term'!AD8/AD$5)*100,1),new_transmute,3,FALSE),
VLOOKUP('Final Term'!AD8,new_transmute,3,FALSE)
),
IF(Info!$B$4="Board program (Medicine)",
IF(OR(AND(AD$5&gt;0,AD$5&gt;100),AND(AD$5&gt;0,AD$5&lt;100)),
VLOOKUP(FLOOR(('Final Term'!AD8/AD$5)*100,1),new_transmute,4,FALSE),
VLOOKUP('Final Term'!AD8,new_transmute,4,FALSE)
),
""
)
)
)
)
)
)
)
)
))</f>
        <v/>
      </c>
      <c r="AE8" s="58" t="str">
        <f t="shared" si="5"/>
        <v/>
      </c>
      <c r="AF8" s="73" t="str">
        <f>IF($B8="","",
IF(AF$5="","",
IF('Final Term'!AF8="",0,
IF(NOT(ISNUMBER('Final Term'!AF8)),"NAN",
IF('Final Term'!AF8&lt;0,"NEG",
IF('Final Term'!AF8&gt;AF$5,"OVER",
IF(AND(AF$5&lt;=100,'Final Term'!AF8&gt;100),"ERR",
IF(Info!$B$4="Non-board program",
IF(OR(AND(AF$5&gt;0,AF$5&gt;100),AND(AF$5&gt;0,AF$5&lt;100)),
VLOOKUP(FLOOR(('Final Term'!AF8/AF$5)*100,1),new_transmute,2,FALSE),
VLOOKUP('Final Term'!AF8,new_transmute,2,FALSE)
),
IF(Info!$B$4="Board program",
IF(OR(AND(AF$5&gt;0,AF$5&gt;100),AND(AF$5&gt;0,AF$5&lt;100)),
VLOOKUP(FLOOR(('Final Term'!AF8/AF$5)*100,1),new_transmute,3,FALSE),
VLOOKUP('Final Term'!AF8,new_transmute,3,FALSE)
),
IF(Info!$B$4="Board program (Medicine)",
IF(OR(AND(AF$5&gt;0,AF$5&gt;100),AND(AF$5&gt;0,AF$5&lt;100)),
VLOOKUP(FLOOR(('Final Term'!AF8/AF$5)*100,1),new_transmute,4,FALSE),
VLOOKUP('Final Term'!AF8,new_transmute,4,FALSE)
),
""
)
)
)
)
)
)
)
)
))</f>
        <v/>
      </c>
      <c r="AG8" s="73" t="str">
        <f>IF($B8="","",
IF(AG$5="","",
IF('Final Term'!AG8="",0,
IF(NOT(ISNUMBER('Final Term'!AG8)),"NAN",
IF('Final Term'!AG8&lt;0,"NEG",
IF('Final Term'!AG8&gt;AG$5,"OVER",
IF(AND(AG$5&lt;=100,'Final Term'!AG8&gt;100),"ERR",
IF(Info!$B$4="Non-board program",
IF(OR(AND(AG$5&gt;0,AG$5&gt;100),AND(AG$5&gt;0,AG$5&lt;100)),
VLOOKUP(FLOOR(('Final Term'!AG8/AG$5)*100,1),new_transmute,2,FALSE),
VLOOKUP('Final Term'!AG8,new_transmute,2,FALSE)
),
IF(Info!$B$4="Board program",
IF(OR(AND(AG$5&gt;0,AG$5&gt;100),AND(AG$5&gt;0,AG$5&lt;100)),
VLOOKUP(FLOOR(('Final Term'!AG8/AG$5)*100,1),new_transmute,3,FALSE),
VLOOKUP('Final Term'!AG8,new_transmute,3,FALSE)
),
IF(Info!$B$4="Board program (Medicine)",
IF(OR(AND(AG$5&gt;0,AG$5&gt;100),AND(AG$5&gt;0,AG$5&lt;100)),
VLOOKUP(FLOOR(('Final Term'!AG8/AG$5)*100,1),new_transmute,4,FALSE),
VLOOKUP('Final Term'!AG8,new_transmute,4,FALSE)
),
""
)
)
)
)
)
)
)
)
))</f>
        <v/>
      </c>
      <c r="AH8" s="73" t="str">
        <f>IF($B8="","",
IF(AH$5="","",
IF('Final Term'!AH8="",0,
IF(NOT(ISNUMBER('Final Term'!AH8)),"NAN",
IF('Final Term'!AH8&lt;0,"NEG",
IF('Final Term'!AH8&gt;AH$5,"OVER",
IF(AND(AH$5&lt;=100,'Final Term'!AH8&gt;100),"ERR",
IF(Info!$B$4="Non-board program",
IF(OR(AND(AH$5&gt;0,AH$5&gt;100),AND(AH$5&gt;0,AH$5&lt;100)),
VLOOKUP(FLOOR(('Final Term'!AH8/AH$5)*100,1),new_transmute,2,FALSE),
VLOOKUP('Final Term'!AH8,new_transmute,2,FALSE)
),
IF(Info!$B$4="Board program",
IF(OR(AND(AH$5&gt;0,AH$5&gt;100),AND(AH$5&gt;0,AH$5&lt;100)),
VLOOKUP(FLOOR(('Final Term'!AH8/AH$5)*100,1),new_transmute,3,FALSE),
VLOOKUP('Final Term'!AH8,new_transmute,3,FALSE)
),
IF(Info!$B$4="Board program (Medicine)",
IF(OR(AND(AH$5&gt;0,AH$5&gt;100),AND(AH$5&gt;0,AH$5&lt;100)),
VLOOKUP(FLOOR(('Final Term'!AH8/AH$5)*100,1),new_transmute,4,FALSE),
VLOOKUP('Final Term'!AH8,new_transmute,4,FALSE)
),
""
)
)
)
)
)
)
)
)
))</f>
        <v/>
      </c>
      <c r="AI8" s="73" t="str">
        <f>IF($B8="","",
IF(AI$5="","",
IF('Final Term'!AI8="",0,
IF(NOT(ISNUMBER('Final Term'!AI8)),"NAN",
IF('Final Term'!AI8&lt;0,"NEG",
IF('Final Term'!AI8&gt;AI$5,"OVER",
IF(AND(AI$5&lt;=100,'Final Term'!AI8&gt;100),"ERR",
IF(Info!$B$4="Non-board program",
IF(OR(AND(AI$5&gt;0,AI$5&gt;100),AND(AI$5&gt;0,AI$5&lt;100)),
VLOOKUP(FLOOR(('Final Term'!AI8/AI$5)*100,1),new_transmute,2,FALSE),
VLOOKUP('Final Term'!AI8,new_transmute,2,FALSE)
),
IF(Info!$B$4="Board program",
IF(OR(AND(AI$5&gt;0,AI$5&gt;100),AND(AI$5&gt;0,AI$5&lt;100)),
VLOOKUP(FLOOR(('Final Term'!AI8/AI$5)*100,1),new_transmute,3,FALSE),
VLOOKUP('Final Term'!AI8,new_transmute,3,FALSE)
),
IF(Info!$B$4="Board program (Medicine)",
IF(OR(AND(AI$5&gt;0,AI$5&gt;100),AND(AI$5&gt;0,AI$5&lt;100)),
VLOOKUP(FLOOR(('Final Term'!AI8/AI$5)*100,1),new_transmute,4,FALSE),
VLOOKUP('Final Term'!AI8,new_transmute,4,FALSE)
),
""
)
)
)
)
)
)
)
)
))</f>
        <v/>
      </c>
      <c r="AJ8" s="73" t="str">
        <f>IF($B8="","",
IF(AJ$5="","",
IF('Final Term'!AJ8="",0,
IF(NOT(ISNUMBER('Final Term'!AJ8)),"NAN",
IF('Final Term'!AJ8&lt;0,"NEG",
IF('Final Term'!AJ8&gt;AJ$5,"OVER",
IF(AND(AJ$5&lt;=100,'Final Term'!AJ8&gt;100),"ERR",
IF(Info!$B$4="Non-board program",
IF(OR(AND(AJ$5&gt;0,AJ$5&gt;100),AND(AJ$5&gt;0,AJ$5&lt;100)),
VLOOKUP(FLOOR(('Final Term'!AJ8/AJ$5)*100,1),new_transmute,2,FALSE),
VLOOKUP('Final Term'!AJ8,new_transmute,2,FALSE)
),
IF(Info!$B$4="Board program",
IF(OR(AND(AJ$5&gt;0,AJ$5&gt;100),AND(AJ$5&gt;0,AJ$5&lt;100)),
VLOOKUP(FLOOR(('Final Term'!AJ8/AJ$5)*100,1),new_transmute,3,FALSE),
VLOOKUP('Final Term'!AJ8,new_transmute,3,FALSE)
),
IF(Info!$B$4="Board program (Medicine)",
IF(OR(AND(AJ$5&gt;0,AJ$5&gt;100),AND(AJ$5&gt;0,AJ$5&lt;100)),
VLOOKUP(FLOOR(('Final Term'!AJ8/AJ$5)*100,1),new_transmute,4,FALSE),
VLOOKUP('Final Term'!AJ8,new_transmute,4,FALSE)
),
""
)
)
)
)
)
)
)
)
))</f>
        <v/>
      </c>
      <c r="AK8" s="59" t="str">
        <f t="shared" si="6"/>
        <v/>
      </c>
      <c r="AL8" s="60" t="str">
        <f>IF(B8="", "",
    IF(OR(M8="OVER", S8="OVER", Y8="OVER", AE8="OVER", AK8="OVER"),
        "OVER",
        IF(Info!$B$4="Non-board program",
            VLOOKUP(IFERROR(FLOOR(SUM((M8*$M$4), (S8*$S$4), (Y8*$Y$4), (AE8*$AE$4), (AK8*$AK$4)) * (100 / 60), 1), 0), new_transmute, 2, FALSE),
            IF(Info!$B$4="Board program",
                VLOOKUP(IFERROR(FLOOR(SUM((M8*$M$4), (S8*$S$4), (Y8*$Y$4), (AE8*$AE$4), (AK8*$AK$4)) * (100 / 60), 1), 0), new_transmute, 3, FALSE),
                IF(Info!$B$4="Board program (Medicine)",
                    VLOOKUP(IFERROR(FLOOR(SUM((M8*$M$4), (S8*$S$4), (Y8*$Y$4), (AE8*$AE$4), (AK8*$AK$4)) * (100 / 60), 1), 0), new_transmute, 4, FALSE),
                    ""
                )
            )
        )
    )
)</f>
        <v/>
      </c>
      <c r="AM8" s="73" t="str">
        <f>IF($B8="","",
IF(AM$5="","",
IF('Final Term'!AM8="",0,
IF(NOT(ISNUMBER('Final Term'!AM8)),"NAN",
IF('Final Term'!AM8&lt;0,"NEG",
IF('Final Term'!AM8&gt;AM$5,"OVER",
IF(AND(AM$5&lt;=100,'Final Term'!AM8&gt;100),"ERR",
IF(Info!$B$4="Non-board program",
IF(OR(AND(AM$5&gt;0,AM$5&gt;100),AND(AM$5&gt;0,AM$5&lt;100)),
VLOOKUP(FLOOR(('Final Term'!AM8/AM$5)*100,1),new_transmute,2,FALSE),
VLOOKUP('Final Term'!AM8,new_transmute,2,FALSE)
),
IF(Info!$B$4="Board program",
IF(OR(AND(AM$5&gt;0,AM$5&gt;100),AND(AM$5&gt;0,AM$5&lt;100)),
VLOOKUP(FLOOR(('Final Term'!AM8/AM$5)*100,1),new_transmute,3,FALSE),
VLOOKUP('Final Term'!AM8,new_transmute,3,FALSE)
),
IF(Info!$B$4="Board program (Medicine)",
IF(OR(AND(AM$5&gt;0,AM$5&gt;100),AND(AM$5&gt;0,AM$5&lt;100)),
VLOOKUP(FLOOR(('Final Term'!AM8/AM$5)*100,1),new_transmute,4,FALSE),
VLOOKUP('Final Term'!AM8,new_transmute,4,FALSE)
),
""
)
)
)
)
)
)
)
)
))</f>
        <v/>
      </c>
      <c r="AN8" s="73" t="str">
        <f>IF($B8="","",
IF(AN$5="","",
IF('Final Term'!AN8="",0,
IF(NOT(ISNUMBER('Final Term'!AN8)),"NAN",
IF('Final Term'!AN8&lt;0,"NEG",
IF('Final Term'!AN8&gt;AN$5,"OVER",
IF(AND(AN$5&lt;=100,'Final Term'!AN8&gt;100),"ERR",
IF(Info!$B$4="Non-board program",
IF(OR(AND(AN$5&gt;0,AN$5&gt;100),AND(AN$5&gt;0,AN$5&lt;100)),
VLOOKUP(FLOOR(('Final Term'!AN8/AN$5)*100,1),new_transmute,2,FALSE),
VLOOKUP('Final Term'!AN8,new_transmute,2,FALSE)
),
IF(Info!$B$4="Board program",
IF(OR(AND(AN$5&gt;0,AN$5&gt;100),AND(AN$5&gt;0,AN$5&lt;100)),
VLOOKUP(FLOOR(('Final Term'!AN8/AN$5)*100,1),new_transmute,3,FALSE),
VLOOKUP('Final Term'!AN8,new_transmute,3,FALSE)
),
IF(Info!$B$4="Board program (Medicine)",
IF(OR(AND(AN$5&gt;0,AN$5&gt;100),AND(AN$5&gt;0,AN$5&lt;100)),
VLOOKUP(FLOOR(('Final Term'!AN8/AN$5)*100,1),new_transmute,4,FALSE),
VLOOKUP('Final Term'!AN8,new_transmute,4,FALSE)
),
""
)
)
)
)
)
)
)
)
))</f>
        <v/>
      </c>
      <c r="AO8" s="73" t="str">
        <f>IF($B8="","",
IF(AO$5="","",
IF('Final Term'!AO8="",0,
IF(NOT(ISNUMBER('Final Term'!AO8)),"NAN",
IF('Final Term'!AO8&lt;0,"NEG",
IF('Final Term'!AO8&gt;AO$5,"OVER",
IF(AND(AO$5&lt;=100,'Final Term'!AO8&gt;100),"ERR",
IF(Info!$B$4="Non-board program",
IF(OR(AND(AO$5&gt;0,AO$5&gt;100),AND(AO$5&gt;0,AO$5&lt;100)),
VLOOKUP(FLOOR(('Final Term'!AO8/AO$5)*100,1),new_transmute,2,FALSE),
VLOOKUP('Final Term'!AO8,new_transmute,2,FALSE)
),
IF(Info!$B$4="Board program",
IF(OR(AND(AO$5&gt;0,AO$5&gt;100),AND(AO$5&gt;0,AO$5&lt;100)),
VLOOKUP(FLOOR(('Final Term'!AO8/AO$5)*100,1),new_transmute,3,FALSE),
VLOOKUP('Final Term'!AO8,new_transmute,3,FALSE)
),
IF(Info!$B$4="Board program (Medicine)",
IF(OR(AND(AO$5&gt;0,AO$5&gt;100),AND(AO$5&gt;0,AO$5&lt;100)),
VLOOKUP(FLOOR(('Final Term'!AO8/AO$5)*100,1),new_transmute,4,FALSE),
VLOOKUP('Final Term'!AO8,new_transmute,4,FALSE)
),
""
)
)
)
)
)
)
)
)
))</f>
        <v/>
      </c>
      <c r="AP8" s="73" t="str">
        <f>IF($B8="","",
IF(AP$5="","",
IF('Final Term'!AP8="",0,
IF(NOT(ISNUMBER('Final Term'!AP8)),"NAN",
IF('Final Term'!AP8&lt;0,"NEG",
IF('Final Term'!AP8&gt;AP$5,"OVER",
IF(AND(AP$5&lt;=100,'Final Term'!AP8&gt;100),"ERR",
IF(Info!$B$4="Non-board program",
IF(OR(AND(AP$5&gt;0,AP$5&gt;100),AND(AP$5&gt;0,AP$5&lt;100)),
VLOOKUP(FLOOR(('Final Term'!AP8/AP$5)*100,1),new_transmute,2,FALSE),
VLOOKUP('Final Term'!AP8,new_transmute,2,FALSE)
),
IF(Info!$B$4="Board program",
IF(OR(AND(AP$5&gt;0,AP$5&gt;100),AND(AP$5&gt;0,AP$5&lt;100)),
VLOOKUP(FLOOR(('Final Term'!AP8/AP$5)*100,1),new_transmute,3,FALSE),
VLOOKUP('Final Term'!AP8,new_transmute,3,FALSE)
),
IF(Info!$B$4="Board program (Medicine)",
IF(OR(AND(AP$5&gt;0,AP$5&gt;100),AND(AP$5&gt;0,AP$5&lt;100)),
VLOOKUP(FLOOR(('Final Term'!AP8/AP$5)*100,1),new_transmute,4,FALSE),
VLOOKUP('Final Term'!AP8,new_transmute,4,FALSE)
),
""
)
)
)
)
)
)
)
)
))</f>
        <v/>
      </c>
      <c r="AQ8" s="61" t="str">
        <f t="shared" si="7"/>
        <v/>
      </c>
      <c r="AR8" s="48" t="str">
        <f>IF('Final Term'!AR8="","",'Final Term'!AR8)</f>
        <v/>
      </c>
      <c r="AS8" s="165" t="str">
        <f t="shared" si="8"/>
        <v/>
      </c>
      <c r="AT8" s="14" t="str">
        <f t="shared" si="0"/>
        <v/>
      </c>
      <c r="AU8" s="13" t="str">
        <f>IF(B8="","",VLOOKUP(AT8,'New Grade Equivalent'!$B$3:$C$47,2,FALSE))</f>
        <v/>
      </c>
    </row>
    <row r="9" spans="1:47" x14ac:dyDescent="0.25">
      <c r="A9" s="8">
        <v>4</v>
      </c>
      <c r="B9" s="2" t="str">
        <f>IF('Student List'!C13="","",UPPER(LEFT('Student List'!C13,FIND(",",'Student List'!C13)-1)))</f>
        <v/>
      </c>
      <c r="C9" s="12" t="str">
        <f>IF('Student List'!C13="","",PROPER(MID('Student List'!C13, FIND(",", 'Student List'!C13) + 2, LEN('Student List'!C13) - FIND(",", 'Student List'!C13) - 1)))</f>
        <v/>
      </c>
      <c r="D9" s="127" t="str">
        <f>IF('Final Term'!D9="","",'Final Term'!D9)</f>
        <v/>
      </c>
      <c r="E9" s="8" t="str">
        <f>IF(MidCom!E9="FA", "FA",
    IF(MidCom!E9="DRP", "DRP",
        IF(MidCom!E9="WF", "WF",
            IF(D9="Yes", "INC",
               IF((SUM('MT Attendance'!AW7) / 3 + SUM('MT Attendance'!AY7) + SUM('FT Attendance'!AW7) / 3 + SUM('FT Attendance'!AY7)) &gt;= 0.2 * (SUMPRODUCT(--(ISTEXT('MT Attendance'!$C$2:$AU$2))) + SUMPRODUCT(--(ISTEXT('FT Attendance'!$C$2:$AU$2)))), "FA",
                   MidCom!E9
                )
            )
        )
    )
)</f>
        <v/>
      </c>
      <c r="F9" s="73" t="str">
        <f>IF($B9="","",
IF(F$5="","",
IF('Final Term'!F9="",0,
IF(NOT(ISNUMBER('Final Term'!F9)),"NAN",
IF('Final Term'!F9&lt;0,"NEG",
IF('Final Term'!F9&gt;F$5,"OVER",
IF(AND(F$5&lt;=100,'Final Term'!F9&gt;100),"ERR",
IF(Info!$B$4="Non-board program",
IF(OR(AND(F$5&gt;0,F$5&gt;100),AND(F$5&gt;0,F$5&lt;100)),
VLOOKUP(FLOOR(('Final Term'!F9/F$5)*100,1),new_transmute,2,FALSE),
VLOOKUP('Final Term'!F9,new_transmute,2,FALSE)
),
IF(Info!$B$4="Board program",
IF(OR(AND(F$5&gt;0,F$5&gt;100),AND(F$5&gt;0,F$5&lt;100)),
VLOOKUP(FLOOR(('Final Term'!F9/F$5)*100,1),new_transmute,3,FALSE),
VLOOKUP('Final Term'!F9,new_transmute,3,FALSE)
),
IF(Info!$B$4="Board program (Medicine)",
IF(OR(AND(F$5&gt;0,F$5&gt;100),AND(F$5&gt;0,F$5&lt;100)),
VLOOKUP(FLOOR(('Final Term'!F9/F$5)*100,1),new_transmute,4,FALSE),
VLOOKUP('Final Term'!F9,new_transmute,4,FALSE)
),
""
)
)
)
)
)
)
)
)
))</f>
        <v/>
      </c>
      <c r="G9" s="57" t="str">
        <f t="shared" si="1"/>
        <v/>
      </c>
      <c r="H9" s="73" t="str">
        <f>IF($B9="","",
IF(H$5="","",
IF('Final Term'!H9="",0,
IF(NOT(ISNUMBER('Final Term'!H9)),"NAN",
IF('Final Term'!H9&lt;0,"NEG",
IF('Final Term'!H9&gt;H$5,"OVER",
IF(AND(H$5&lt;=100,'Final Term'!H9&gt;100),"ERR",
IF(Info!$B$4="Non-board program",
IF(OR(AND(H$5&gt;0,H$5&gt;100),AND(H$5&gt;0,H$5&lt;100)),
VLOOKUP(FLOOR(('Final Term'!H9/H$5)*100,1),new_transmute,2,FALSE),
VLOOKUP('Final Term'!H9,new_transmute,2,FALSE)
),
IF(Info!$B$4="Board program",
IF(OR(AND(H$5&gt;0,H$5&gt;100),AND(H$5&gt;0,H$5&lt;100)),
VLOOKUP(FLOOR(('Final Term'!H9/H$5)*100,1),new_transmute,3,FALSE),
VLOOKUP('Final Term'!H9,new_transmute,3,FALSE)
),
IF(Info!$B$4="Board program (Medicine)",
IF(OR(AND(H$5&gt;0,H$5&gt;100),AND(H$5&gt;0,H$5&lt;100)),
VLOOKUP(FLOOR(('Final Term'!H9/H$5)*100,1),new_transmute,4,FALSE),
VLOOKUP('Final Term'!H9,new_transmute,4,FALSE)
),
""
)
)
)
)
)
)
)
)
))</f>
        <v/>
      </c>
      <c r="I9" s="73" t="str">
        <f>IF($B9="","",
IF(I$5="","",
IF('Final Term'!I9="",0,
IF(NOT(ISNUMBER('Final Term'!I9)),"NAN",
IF('Final Term'!I9&lt;0,"NEG",
IF('Final Term'!I9&gt;I$5,"OVER",
IF(AND(I$5&lt;=100,'Final Term'!I9&gt;100),"ERR",
IF(Info!$B$4="Non-board program",
IF(OR(AND(I$5&gt;0,I$5&gt;100),AND(I$5&gt;0,I$5&lt;100)),
VLOOKUP(FLOOR(('Final Term'!I9/I$5)*100,1),new_transmute,2,FALSE),
VLOOKUP('Final Term'!I9,new_transmute,2,FALSE)
),
IF(Info!$B$4="Board program",
IF(OR(AND(I$5&gt;0,I$5&gt;100),AND(I$5&gt;0,I$5&lt;100)),
VLOOKUP(FLOOR(('Final Term'!I9/I$5)*100,1),new_transmute,3,FALSE),
VLOOKUP('Final Term'!I9,new_transmute,3,FALSE)
),
IF(Info!$B$4="Board program (Medicine)",
IF(OR(AND(I$5&gt;0,I$5&gt;100),AND(I$5&gt;0,I$5&lt;100)),
VLOOKUP(FLOOR(('Final Term'!I9/I$5)*100,1),new_transmute,4,FALSE),
VLOOKUP('Final Term'!I9,new_transmute,4,FALSE)
),
""
)
)
)
)
)
)
)
)
))</f>
        <v/>
      </c>
      <c r="J9" s="73" t="str">
        <f>IF($B9="","",
IF(J$5="","",
IF('Final Term'!J9="",0,
IF(NOT(ISNUMBER('Final Term'!J9)),"NAN",
IF('Final Term'!J9&lt;0,"NEG",
IF('Final Term'!J9&gt;J$5,"OVER",
IF(AND(J$5&lt;=100,'Final Term'!J9&gt;100),"ERR",
IF(Info!$B$4="Non-board program",
IF(OR(AND(J$5&gt;0,J$5&gt;100),AND(J$5&gt;0,J$5&lt;100)),
VLOOKUP(FLOOR(('Final Term'!J9/J$5)*100,1),new_transmute,2,FALSE),
VLOOKUP('Final Term'!J9,new_transmute,2,FALSE)
),
IF(Info!$B$4="Board program",
IF(OR(AND(J$5&gt;0,J$5&gt;100),AND(J$5&gt;0,J$5&lt;100)),
VLOOKUP(FLOOR(('Final Term'!J9/J$5)*100,1),new_transmute,3,FALSE),
VLOOKUP('Final Term'!J9,new_transmute,3,FALSE)
),
IF(Info!$B$4="Board program (Medicine)",
IF(OR(AND(J$5&gt;0,J$5&gt;100),AND(J$5&gt;0,J$5&lt;100)),
VLOOKUP(FLOOR(('Final Term'!J9/J$5)*100,1),new_transmute,4,FALSE),
VLOOKUP('Final Term'!J9,new_transmute,4,FALSE)
),
""
)
)
)
)
)
)
)
)
))</f>
        <v/>
      </c>
      <c r="K9" s="73" t="str">
        <f>IF($B9="","",
IF(K$5="","",
IF('Final Term'!K9="",0,
IF(NOT(ISNUMBER('Final Term'!K9)),"NAN",
IF('Final Term'!K9&lt;0,"NEG",
IF('Final Term'!K9&gt;K$5,"OVER",
IF(AND(K$5&lt;=100,'Final Term'!K9&gt;100),"ERR",
IF(Info!$B$4="Non-board program",
IF(OR(AND(K$5&gt;0,K$5&gt;100),AND(K$5&gt;0,K$5&lt;100)),
VLOOKUP(FLOOR(('Final Term'!K9/K$5)*100,1),new_transmute,2,FALSE),
VLOOKUP('Final Term'!K9,new_transmute,2,FALSE)
),
IF(Info!$B$4="Board program",
IF(OR(AND(K$5&gt;0,K$5&gt;100),AND(K$5&gt;0,K$5&lt;100)),
VLOOKUP(FLOOR(('Final Term'!K9/K$5)*100,1),new_transmute,3,FALSE),
VLOOKUP('Final Term'!K9,new_transmute,3,FALSE)
),
IF(Info!$B$4="Board program (Medicine)",
IF(OR(AND(K$5&gt;0,K$5&gt;100),AND(K$5&gt;0,K$5&lt;100)),
VLOOKUP(FLOOR(('Final Term'!K9/K$5)*100,1),new_transmute,4,FALSE),
VLOOKUP('Final Term'!K9,new_transmute,4,FALSE)
),
""
)
)
)
)
)
)
)
)
))</f>
        <v/>
      </c>
      <c r="L9" s="73" t="str">
        <f>IF($B9="","",
IF(L$5="","",
IF('Final Term'!L9="",0,
IF(NOT(ISNUMBER('Final Term'!L9)),"NAN",
IF('Final Term'!L9&lt;0,"NEG",
IF('Final Term'!L9&gt;L$5,"OVER",
IF(AND(L$5&lt;=100,'Final Term'!L9&gt;100),"ERR",
IF(Info!$B$4="Non-board program",
IF(OR(AND(L$5&gt;0,L$5&gt;100),AND(L$5&gt;0,L$5&lt;100)),
VLOOKUP(FLOOR(('Final Term'!L9/L$5)*100,1),new_transmute,2,FALSE),
VLOOKUP('Final Term'!L9,new_transmute,2,FALSE)
),
IF(Info!$B$4="Board program",
IF(OR(AND(L$5&gt;0,L$5&gt;100),AND(L$5&gt;0,L$5&lt;100)),
VLOOKUP(FLOOR(('Final Term'!L9/L$5)*100,1),new_transmute,3,FALSE),
VLOOKUP('Final Term'!L9,new_transmute,3,FALSE)
),
IF(Info!$B$4="Board program (Medicine)",
IF(OR(AND(L$5&gt;0,L$5&gt;100),AND(L$5&gt;0,L$5&lt;100)),
VLOOKUP(FLOOR(('Final Term'!L9/L$5)*100,1),new_transmute,4,FALSE),
VLOOKUP('Final Term'!L9,new_transmute,4,FALSE)
),
""
)
)
)
)
)
)
)
)
))</f>
        <v/>
      </c>
      <c r="M9" s="111" t="str">
        <f t="shared" si="2"/>
        <v/>
      </c>
      <c r="N9" s="73" t="str">
        <f>IF($B9="","",
IF(N$5="","",
IF('Final Term'!N9="",0,
IF(NOT(ISNUMBER('Final Term'!N9)),"NAN",
IF('Final Term'!N9&lt;0,"NEG",
IF('Final Term'!N9&gt;N$5,"OVER",
IF(AND(N$5&lt;=100,'Final Term'!N9&gt;100),"ERR",
IF(Info!$B$4="Non-board program",
IF(OR(AND(N$5&gt;0,N$5&gt;100),AND(N$5&gt;0,N$5&lt;100)),
VLOOKUP(FLOOR(('Final Term'!N9/N$5)*100,1),new_transmute,2,FALSE),
VLOOKUP('Final Term'!N9,new_transmute,2,FALSE)
),
IF(Info!$B$4="Board program",
IF(OR(AND(N$5&gt;0,N$5&gt;100),AND(N$5&gt;0,N$5&lt;100)),
VLOOKUP(FLOOR(('Final Term'!N9/N$5)*100,1),new_transmute,3,FALSE),
VLOOKUP('Final Term'!N9,new_transmute,3,FALSE)
),
IF(Info!$B$4="Board program (Medicine)",
IF(OR(AND(N$5&gt;0,N$5&gt;100),AND(N$5&gt;0,N$5&lt;100)),
VLOOKUP(FLOOR(('Final Term'!N9/N$5)*100,1),new_transmute,4,FALSE),
VLOOKUP('Final Term'!N9,new_transmute,4,FALSE)
),
""
)
)
)
)
)
)
)
)
))</f>
        <v/>
      </c>
      <c r="O9" s="73" t="str">
        <f>IF($B9="","",
IF(O$5="","",
IF('Final Term'!O9="",0,
IF(NOT(ISNUMBER('Final Term'!O9)),"NAN",
IF('Final Term'!O9&lt;0,"NEG",
IF('Final Term'!O9&gt;O$5,"OVER",
IF(AND(O$5&lt;=100,'Final Term'!O9&gt;100),"ERR",
IF(Info!$B$4="Non-board program",
IF(OR(AND(O$5&gt;0,O$5&gt;100),AND(O$5&gt;0,O$5&lt;100)),
VLOOKUP(FLOOR(('Final Term'!O9/O$5)*100,1),new_transmute,2,FALSE),
VLOOKUP('Final Term'!O9,new_transmute,2,FALSE)
),
IF(Info!$B$4="Board program",
IF(OR(AND(O$5&gt;0,O$5&gt;100),AND(O$5&gt;0,O$5&lt;100)),
VLOOKUP(FLOOR(('Final Term'!O9/O$5)*100,1),new_transmute,3,FALSE),
VLOOKUP('Final Term'!O9,new_transmute,3,FALSE)
),
IF(Info!$B$4="Board program (Medicine)",
IF(OR(AND(O$5&gt;0,O$5&gt;100),AND(O$5&gt;0,O$5&lt;100)),
VLOOKUP(FLOOR(('Final Term'!O9/O$5)*100,1),new_transmute,4,FALSE),
VLOOKUP('Final Term'!O9,new_transmute,4,FALSE)
),
""
)
)
)
)
)
)
)
)
))</f>
        <v/>
      </c>
      <c r="P9" s="73" t="str">
        <f>IF($B9="","",
IF(P$5="","",
IF('Final Term'!P9="",0,
IF(NOT(ISNUMBER('Final Term'!P9)),"NAN",
IF('Final Term'!P9&lt;0,"NEG",
IF('Final Term'!P9&gt;P$5,"OVER",
IF(AND(P$5&lt;=100,'Final Term'!P9&gt;100),"ERR",
IF(Info!$B$4="Non-board program",
IF(OR(AND(P$5&gt;0,P$5&gt;100),AND(P$5&gt;0,P$5&lt;100)),
VLOOKUP(FLOOR(('Final Term'!P9/P$5)*100,1),new_transmute,2,FALSE),
VLOOKUP('Final Term'!P9,new_transmute,2,FALSE)
),
IF(Info!$B$4="Board program",
IF(OR(AND(P$5&gt;0,P$5&gt;100),AND(P$5&gt;0,P$5&lt;100)),
VLOOKUP(FLOOR(('Final Term'!P9/P$5)*100,1),new_transmute,3,FALSE),
VLOOKUP('Final Term'!P9,new_transmute,3,FALSE)
),
IF(Info!$B$4="Board program (Medicine)",
IF(OR(AND(P$5&gt;0,P$5&gt;100),AND(P$5&gt;0,P$5&lt;100)),
VLOOKUP(FLOOR(('Final Term'!P9/P$5)*100,1),new_transmute,4,FALSE),
VLOOKUP('Final Term'!P9,new_transmute,4,FALSE)
),
""
)
)
)
)
)
)
)
)
))</f>
        <v/>
      </c>
      <c r="Q9" s="73" t="str">
        <f>IF($B9="","",
IF(Q$5="","",
IF('Final Term'!Q9="",0,
IF(NOT(ISNUMBER('Final Term'!Q9)),"NAN",
IF('Final Term'!Q9&lt;0,"NEG",
IF('Final Term'!Q9&gt;Q$5,"OVER",
IF(AND(Q$5&lt;=100,'Final Term'!Q9&gt;100),"ERR",
IF(Info!$B$4="Non-board program",
IF(OR(AND(Q$5&gt;0,Q$5&gt;100),AND(Q$5&gt;0,Q$5&lt;100)),
VLOOKUP(FLOOR(('Final Term'!Q9/Q$5)*100,1),new_transmute,2,FALSE),
VLOOKUP('Final Term'!Q9,new_transmute,2,FALSE)
),
IF(Info!$B$4="Board program",
IF(OR(AND(Q$5&gt;0,Q$5&gt;100),AND(Q$5&gt;0,Q$5&lt;100)),
VLOOKUP(FLOOR(('Final Term'!Q9/Q$5)*100,1),new_transmute,3,FALSE),
VLOOKUP('Final Term'!Q9,new_transmute,3,FALSE)
),
IF(Info!$B$4="Board program (Medicine)",
IF(OR(AND(Q$5&gt;0,Q$5&gt;100),AND(Q$5&gt;0,Q$5&lt;100)),
VLOOKUP(FLOOR(('Final Term'!Q9/Q$5)*100,1),new_transmute,4,FALSE),
VLOOKUP('Final Term'!Q9,new_transmute,4,FALSE)
),
""
)
)
)
)
)
)
)
)
))</f>
        <v/>
      </c>
      <c r="R9" s="73" t="str">
        <f>IF($B9="","",
IF(R$5="","",
IF('Final Term'!R9="",0,
IF(NOT(ISNUMBER('Final Term'!R9)),"NAN",
IF('Final Term'!R9&lt;0,"NEG",
IF('Final Term'!R9&gt;R$5,"OVER",
IF(AND(R$5&lt;=100,'Final Term'!R9&gt;100),"ERR",
IF(Info!$B$4="Non-board program",
IF(OR(AND(R$5&gt;0,R$5&gt;100),AND(R$5&gt;0,R$5&lt;100)),
VLOOKUP(FLOOR(('Final Term'!R9/R$5)*100,1),new_transmute,2,FALSE),
VLOOKUP('Final Term'!R9,new_transmute,2,FALSE)
),
IF(Info!$B$4="Board program",
IF(OR(AND(R$5&gt;0,R$5&gt;100),AND(R$5&gt;0,R$5&lt;100)),
VLOOKUP(FLOOR(('Final Term'!R9/R$5)*100,1),new_transmute,3,FALSE),
VLOOKUP('Final Term'!R9,new_transmute,3,FALSE)
),
IF(Info!$B$4="Board program (Medicine)",
IF(OR(AND(R$5&gt;0,R$5&gt;100),AND(R$5&gt;0,R$5&lt;100)),
VLOOKUP(FLOOR(('Final Term'!R9/R$5)*100,1),new_transmute,4,FALSE),
VLOOKUP('Final Term'!R9,new_transmute,4,FALSE)
),
""
)
)
)
)
)
)
)
)
))</f>
        <v/>
      </c>
      <c r="S9" s="115" t="str">
        <f t="shared" si="3"/>
        <v/>
      </c>
      <c r="T9" s="73" t="str">
        <f>IF($B9="","",
IF(T$5="","",
IF('Final Term'!T9="",0,
IF(NOT(ISNUMBER('Final Term'!T9)),"NAN",
IF('Final Term'!T9&lt;0,"NEG",
IF('Final Term'!T9&gt;T$5,"OVER",
IF(AND(T$5&lt;=100,'Final Term'!T9&gt;100),"ERR",
IF(Info!$B$4="Non-board program",
IF(OR(AND(T$5&gt;0,T$5&gt;100),AND(T$5&gt;0,T$5&lt;100)),
VLOOKUP(FLOOR(('Final Term'!T9/T$5)*100,1),new_transmute,2,FALSE),
VLOOKUP('Final Term'!T9,new_transmute,2,FALSE)
),
IF(Info!$B$4="Board program",
IF(OR(AND(T$5&gt;0,T$5&gt;100),AND(T$5&gt;0,T$5&lt;100)),
VLOOKUP(FLOOR(('Final Term'!T9/T$5)*100,1),new_transmute,3,FALSE),
VLOOKUP('Final Term'!T9,new_transmute,3,FALSE)
),
IF(Info!$B$4="Board program (Medicine)",
IF(OR(AND(T$5&gt;0,T$5&gt;100),AND(T$5&gt;0,T$5&lt;100)),
VLOOKUP(FLOOR(('Final Term'!T9/T$5)*100,1),new_transmute,4,FALSE),
VLOOKUP('Final Term'!T9,new_transmute,4,FALSE)
),
""
)
)
)
)
)
)
)
)
))</f>
        <v/>
      </c>
      <c r="U9" s="73" t="str">
        <f>IF($B9="","",
IF(U$5="","",
IF('Final Term'!U9="",0,
IF(NOT(ISNUMBER('Final Term'!U9)),"NAN",
IF('Final Term'!U9&lt;0,"NEG",
IF('Final Term'!U9&gt;U$5,"OVER",
IF(AND(U$5&lt;=100,'Final Term'!U9&gt;100),"ERR",
IF(Info!$B$4="Non-board program",
IF(OR(AND(U$5&gt;0,U$5&gt;100),AND(U$5&gt;0,U$5&lt;100)),
VLOOKUP(FLOOR(('Final Term'!U9/U$5)*100,1),new_transmute,2,FALSE),
VLOOKUP('Final Term'!U9,new_transmute,2,FALSE)
),
IF(Info!$B$4="Board program",
IF(OR(AND(U$5&gt;0,U$5&gt;100),AND(U$5&gt;0,U$5&lt;100)),
VLOOKUP(FLOOR(('Final Term'!U9/U$5)*100,1),new_transmute,3,FALSE),
VLOOKUP('Final Term'!U9,new_transmute,3,FALSE)
),
IF(Info!$B$4="Board program (Medicine)",
IF(OR(AND(U$5&gt;0,U$5&gt;100),AND(U$5&gt;0,U$5&lt;100)),
VLOOKUP(FLOOR(('Final Term'!U9/U$5)*100,1),new_transmute,4,FALSE),
VLOOKUP('Final Term'!U9,new_transmute,4,FALSE)
),
""
)
)
)
)
)
)
)
)
))</f>
        <v/>
      </c>
      <c r="V9" s="73" t="str">
        <f>IF($B9="","",
IF(V$5="","",
IF('Final Term'!V9="",0,
IF(NOT(ISNUMBER('Final Term'!V9)),"NAN",
IF('Final Term'!V9&lt;0,"NEG",
IF('Final Term'!V9&gt;V$5,"OVER",
IF(AND(V$5&lt;=100,'Final Term'!V9&gt;100),"ERR",
IF(Info!$B$4="Non-board program",
IF(OR(AND(V$5&gt;0,V$5&gt;100),AND(V$5&gt;0,V$5&lt;100)),
VLOOKUP(FLOOR(('Final Term'!V9/V$5)*100,1),new_transmute,2,FALSE),
VLOOKUP('Final Term'!V9,new_transmute,2,FALSE)
),
IF(Info!$B$4="Board program",
IF(OR(AND(V$5&gt;0,V$5&gt;100),AND(V$5&gt;0,V$5&lt;100)),
VLOOKUP(FLOOR(('Final Term'!V9/V$5)*100,1),new_transmute,3,FALSE),
VLOOKUP('Final Term'!V9,new_transmute,3,FALSE)
),
IF(Info!$B$4="Board program (Medicine)",
IF(OR(AND(V$5&gt;0,V$5&gt;100),AND(V$5&gt;0,V$5&lt;100)),
VLOOKUP(FLOOR(('Final Term'!V9/V$5)*100,1),new_transmute,4,FALSE),
VLOOKUP('Final Term'!V9,new_transmute,4,FALSE)
),
""
)
)
)
)
)
)
)
)
))</f>
        <v/>
      </c>
      <c r="W9" s="73" t="str">
        <f>IF($B9="","",
IF(W$5="","",
IF('Final Term'!W9="",0,
IF(NOT(ISNUMBER('Final Term'!W9)),"NAN",
IF('Final Term'!W9&lt;0,"NEG",
IF('Final Term'!W9&gt;W$5,"OVER",
IF(AND(W$5&lt;=100,'Final Term'!W9&gt;100),"ERR",
IF(Info!$B$4="Non-board program",
IF(OR(AND(W$5&gt;0,W$5&gt;100),AND(W$5&gt;0,W$5&lt;100)),
VLOOKUP(FLOOR(('Final Term'!W9/W$5)*100,1),new_transmute,2,FALSE),
VLOOKUP('Final Term'!W9,new_transmute,2,FALSE)
),
IF(Info!$B$4="Board program",
IF(OR(AND(W$5&gt;0,W$5&gt;100),AND(W$5&gt;0,W$5&lt;100)),
VLOOKUP(FLOOR(('Final Term'!W9/W$5)*100,1),new_transmute,3,FALSE),
VLOOKUP('Final Term'!W9,new_transmute,3,FALSE)
),
IF(Info!$B$4="Board program (Medicine)",
IF(OR(AND(W$5&gt;0,W$5&gt;100),AND(W$5&gt;0,W$5&lt;100)),
VLOOKUP(FLOOR(('Final Term'!W9/W$5)*100,1),new_transmute,4,FALSE),
VLOOKUP('Final Term'!W9,new_transmute,4,FALSE)
),
""
)
)
)
)
)
)
)
)
))</f>
        <v/>
      </c>
      <c r="X9" s="73" t="str">
        <f>IF($B9="","",
IF(X$5="","",
IF('Final Term'!X9="",0,
IF(NOT(ISNUMBER('Final Term'!X9)),"NAN",
IF('Final Term'!X9&lt;0,"NEG",
IF('Final Term'!X9&gt;X$5,"OVER",
IF(AND(X$5&lt;=100,'Final Term'!X9&gt;100),"ERR",
IF(Info!$B$4="Non-board program",
IF(OR(AND(X$5&gt;0,X$5&gt;100),AND(X$5&gt;0,X$5&lt;100)),
VLOOKUP(FLOOR(('Final Term'!X9/X$5)*100,1),new_transmute,2,FALSE),
VLOOKUP('Final Term'!X9,new_transmute,2,FALSE)
),
IF(Info!$B$4="Board program",
IF(OR(AND(X$5&gt;0,X$5&gt;100),AND(X$5&gt;0,X$5&lt;100)),
VLOOKUP(FLOOR(('Final Term'!X9/X$5)*100,1),new_transmute,3,FALSE),
VLOOKUP('Final Term'!X9,new_transmute,3,FALSE)
),
IF(Info!$B$4="Board program (Medicine)",
IF(OR(AND(X$5&gt;0,X$5&gt;100),AND(X$5&gt;0,X$5&lt;100)),
VLOOKUP(FLOOR(('Final Term'!X9/X$5)*100,1),new_transmute,4,FALSE),
VLOOKUP('Final Term'!X9,new_transmute,4,FALSE)
),
""
)
)
)
)
)
)
)
)
))</f>
        <v/>
      </c>
      <c r="Y9" s="112" t="str">
        <f t="shared" si="4"/>
        <v/>
      </c>
      <c r="Z9" s="73" t="str">
        <f>IF($B9="","",
IF(Z$5="","",
IF('Final Term'!Z9="",0,
IF(NOT(ISNUMBER('Final Term'!Z9)),"NAN",
IF('Final Term'!Z9&lt;0,"NEG",
IF('Final Term'!Z9&gt;Z$5,"OVER",
IF(AND(Z$5&lt;=100,'Final Term'!Z9&gt;100),"ERR",
IF(Info!$B$4="Non-board program",
IF(OR(AND(Z$5&gt;0,Z$5&gt;100),AND(Z$5&gt;0,Z$5&lt;100)),
VLOOKUP(FLOOR(('Final Term'!Z9/Z$5)*100,1),new_transmute,2,FALSE),
VLOOKUP('Final Term'!Z9,new_transmute,2,FALSE)
),
IF(Info!$B$4="Board program",
IF(OR(AND(Z$5&gt;0,Z$5&gt;100),AND(Z$5&gt;0,Z$5&lt;100)),
VLOOKUP(FLOOR(('Final Term'!Z9/Z$5)*100,1),new_transmute,3,FALSE),
VLOOKUP('Final Term'!Z9,new_transmute,3,FALSE)
),
IF(Info!$B$4="Board program (Medicine)",
IF(OR(AND(Z$5&gt;0,Z$5&gt;100),AND(Z$5&gt;0,Z$5&lt;100)),
VLOOKUP(FLOOR(('Final Term'!Z9/Z$5)*100,1),new_transmute,4,FALSE),
VLOOKUP('Final Term'!Z9,new_transmute,4,FALSE)
),
""
)
)
)
)
)
)
)
)
))</f>
        <v/>
      </c>
      <c r="AA9" s="73" t="str">
        <f>IF($B9="","",
IF(AA$5="","",
IF('Final Term'!AA9="",0,
IF(NOT(ISNUMBER('Final Term'!AA9)),"NAN",
IF('Final Term'!AA9&lt;0,"NEG",
IF('Final Term'!AA9&gt;AA$5,"OVER",
IF(AND(AA$5&lt;=100,'Final Term'!AA9&gt;100),"ERR",
IF(Info!$B$4="Non-board program",
IF(OR(AND(AA$5&gt;0,AA$5&gt;100),AND(AA$5&gt;0,AA$5&lt;100)),
VLOOKUP(FLOOR(('Final Term'!AA9/AA$5)*100,1),new_transmute,2,FALSE),
VLOOKUP('Final Term'!AA9,new_transmute,2,FALSE)
),
IF(Info!$B$4="Board program",
IF(OR(AND(AA$5&gt;0,AA$5&gt;100),AND(AA$5&gt;0,AA$5&lt;100)),
VLOOKUP(FLOOR(('Final Term'!AA9/AA$5)*100,1),new_transmute,3,FALSE),
VLOOKUP('Final Term'!AA9,new_transmute,3,FALSE)
),
IF(Info!$B$4="Board program (Medicine)",
IF(OR(AND(AA$5&gt;0,AA$5&gt;100),AND(AA$5&gt;0,AA$5&lt;100)),
VLOOKUP(FLOOR(('Final Term'!AA9/AA$5)*100,1),new_transmute,4,FALSE),
VLOOKUP('Final Term'!AA9,new_transmute,4,FALSE)
),
""
)
)
)
)
)
)
)
)
))</f>
        <v/>
      </c>
      <c r="AB9" s="73" t="str">
        <f>IF($B9="","",
IF(AB$5="","",
IF('Final Term'!AB9="",0,
IF(NOT(ISNUMBER('Final Term'!AB9)),"NAN",
IF('Final Term'!AB9&lt;0,"NEG",
IF('Final Term'!AB9&gt;AB$5,"OVER",
IF(AND(AB$5&lt;=100,'Final Term'!AB9&gt;100),"ERR",
IF(Info!$B$4="Non-board program",
IF(OR(AND(AB$5&gt;0,AB$5&gt;100),AND(AB$5&gt;0,AB$5&lt;100)),
VLOOKUP(FLOOR(('Final Term'!AB9/AB$5)*100,1),new_transmute,2,FALSE),
VLOOKUP('Final Term'!AB9,new_transmute,2,FALSE)
),
IF(Info!$B$4="Board program",
IF(OR(AND(AB$5&gt;0,AB$5&gt;100),AND(AB$5&gt;0,AB$5&lt;100)),
VLOOKUP(FLOOR(('Final Term'!AB9/AB$5)*100,1),new_transmute,3,FALSE),
VLOOKUP('Final Term'!AB9,new_transmute,3,FALSE)
),
IF(Info!$B$4="Board program (Medicine)",
IF(OR(AND(AB$5&gt;0,AB$5&gt;100),AND(AB$5&gt;0,AB$5&lt;100)),
VLOOKUP(FLOOR(('Final Term'!AB9/AB$5)*100,1),new_transmute,4,FALSE),
VLOOKUP('Final Term'!AB9,new_transmute,4,FALSE)
),
""
)
)
)
)
)
)
)
)
))</f>
        <v/>
      </c>
      <c r="AC9" s="73" t="str">
        <f>IF($B9="","",
IF(AC$5="","",
IF('Final Term'!AC9="",0,
IF(NOT(ISNUMBER('Final Term'!AC9)),"NAN",
IF('Final Term'!AC9&lt;0,"NEG",
IF('Final Term'!AC9&gt;AC$5,"OVER",
IF(AND(AC$5&lt;=100,'Final Term'!AC9&gt;100),"ERR",
IF(Info!$B$4="Non-board program",
IF(OR(AND(AC$5&gt;0,AC$5&gt;100),AND(AC$5&gt;0,AC$5&lt;100)),
VLOOKUP(FLOOR(('Final Term'!AC9/AC$5)*100,1),new_transmute,2,FALSE),
VLOOKUP('Final Term'!AC9,new_transmute,2,FALSE)
),
IF(Info!$B$4="Board program",
IF(OR(AND(AC$5&gt;0,AC$5&gt;100),AND(AC$5&gt;0,AC$5&lt;100)),
VLOOKUP(FLOOR(('Final Term'!AC9/AC$5)*100,1),new_transmute,3,FALSE),
VLOOKUP('Final Term'!AC9,new_transmute,3,FALSE)
),
IF(Info!$B$4="Board program (Medicine)",
IF(OR(AND(AC$5&gt;0,AC$5&gt;100),AND(AC$5&gt;0,AC$5&lt;100)),
VLOOKUP(FLOOR(('Final Term'!AC9/AC$5)*100,1),new_transmute,4,FALSE),
VLOOKUP('Final Term'!AC9,new_transmute,4,FALSE)
),
""
)
)
)
)
)
)
)
)
))</f>
        <v/>
      </c>
      <c r="AD9" s="73" t="str">
        <f>IF($B9="","",
IF(AD$5="","",
IF('Final Term'!AD9="",0,
IF(NOT(ISNUMBER('Final Term'!AD9)),"NAN",
IF('Final Term'!AD9&lt;0,"NEG",
IF('Final Term'!AD9&gt;AD$5,"OVER",
IF(AND(AD$5&lt;=100,'Final Term'!AD9&gt;100),"ERR",
IF(Info!$B$4="Non-board program",
IF(OR(AND(AD$5&gt;0,AD$5&gt;100),AND(AD$5&gt;0,AD$5&lt;100)),
VLOOKUP(FLOOR(('Final Term'!AD9/AD$5)*100,1),new_transmute,2,FALSE),
VLOOKUP('Final Term'!AD9,new_transmute,2,FALSE)
),
IF(Info!$B$4="Board program",
IF(OR(AND(AD$5&gt;0,AD$5&gt;100),AND(AD$5&gt;0,AD$5&lt;100)),
VLOOKUP(FLOOR(('Final Term'!AD9/AD$5)*100,1),new_transmute,3,FALSE),
VLOOKUP('Final Term'!AD9,new_transmute,3,FALSE)
),
IF(Info!$B$4="Board program (Medicine)",
IF(OR(AND(AD$5&gt;0,AD$5&gt;100),AND(AD$5&gt;0,AD$5&lt;100)),
VLOOKUP(FLOOR(('Final Term'!AD9/AD$5)*100,1),new_transmute,4,FALSE),
VLOOKUP('Final Term'!AD9,new_transmute,4,FALSE)
),
""
)
)
)
)
)
)
)
)
))</f>
        <v/>
      </c>
      <c r="AE9" s="58" t="str">
        <f t="shared" si="5"/>
        <v/>
      </c>
      <c r="AF9" s="73" t="str">
        <f>IF($B9="","",
IF(AF$5="","",
IF('Final Term'!AF9="",0,
IF(NOT(ISNUMBER('Final Term'!AF9)),"NAN",
IF('Final Term'!AF9&lt;0,"NEG",
IF('Final Term'!AF9&gt;AF$5,"OVER",
IF(AND(AF$5&lt;=100,'Final Term'!AF9&gt;100),"ERR",
IF(Info!$B$4="Non-board program",
IF(OR(AND(AF$5&gt;0,AF$5&gt;100),AND(AF$5&gt;0,AF$5&lt;100)),
VLOOKUP(FLOOR(('Final Term'!AF9/AF$5)*100,1),new_transmute,2,FALSE),
VLOOKUP('Final Term'!AF9,new_transmute,2,FALSE)
),
IF(Info!$B$4="Board program",
IF(OR(AND(AF$5&gt;0,AF$5&gt;100),AND(AF$5&gt;0,AF$5&lt;100)),
VLOOKUP(FLOOR(('Final Term'!AF9/AF$5)*100,1),new_transmute,3,FALSE),
VLOOKUP('Final Term'!AF9,new_transmute,3,FALSE)
),
IF(Info!$B$4="Board program (Medicine)",
IF(OR(AND(AF$5&gt;0,AF$5&gt;100),AND(AF$5&gt;0,AF$5&lt;100)),
VLOOKUP(FLOOR(('Final Term'!AF9/AF$5)*100,1),new_transmute,4,FALSE),
VLOOKUP('Final Term'!AF9,new_transmute,4,FALSE)
),
""
)
)
)
)
)
)
)
)
))</f>
        <v/>
      </c>
      <c r="AG9" s="73" t="str">
        <f>IF($B9="","",
IF(AG$5="","",
IF('Final Term'!AG9="",0,
IF(NOT(ISNUMBER('Final Term'!AG9)),"NAN",
IF('Final Term'!AG9&lt;0,"NEG",
IF('Final Term'!AG9&gt;AG$5,"OVER",
IF(AND(AG$5&lt;=100,'Final Term'!AG9&gt;100),"ERR",
IF(Info!$B$4="Non-board program",
IF(OR(AND(AG$5&gt;0,AG$5&gt;100),AND(AG$5&gt;0,AG$5&lt;100)),
VLOOKUP(FLOOR(('Final Term'!AG9/AG$5)*100,1),new_transmute,2,FALSE),
VLOOKUP('Final Term'!AG9,new_transmute,2,FALSE)
),
IF(Info!$B$4="Board program",
IF(OR(AND(AG$5&gt;0,AG$5&gt;100),AND(AG$5&gt;0,AG$5&lt;100)),
VLOOKUP(FLOOR(('Final Term'!AG9/AG$5)*100,1),new_transmute,3,FALSE),
VLOOKUP('Final Term'!AG9,new_transmute,3,FALSE)
),
IF(Info!$B$4="Board program (Medicine)",
IF(OR(AND(AG$5&gt;0,AG$5&gt;100),AND(AG$5&gt;0,AG$5&lt;100)),
VLOOKUP(FLOOR(('Final Term'!AG9/AG$5)*100,1),new_transmute,4,FALSE),
VLOOKUP('Final Term'!AG9,new_transmute,4,FALSE)
),
""
)
)
)
)
)
)
)
)
))</f>
        <v/>
      </c>
      <c r="AH9" s="73" t="str">
        <f>IF($B9="","",
IF(AH$5="","",
IF('Final Term'!AH9="",0,
IF(NOT(ISNUMBER('Final Term'!AH9)),"NAN",
IF('Final Term'!AH9&lt;0,"NEG",
IF('Final Term'!AH9&gt;AH$5,"OVER",
IF(AND(AH$5&lt;=100,'Final Term'!AH9&gt;100),"ERR",
IF(Info!$B$4="Non-board program",
IF(OR(AND(AH$5&gt;0,AH$5&gt;100),AND(AH$5&gt;0,AH$5&lt;100)),
VLOOKUP(FLOOR(('Final Term'!AH9/AH$5)*100,1),new_transmute,2,FALSE),
VLOOKUP('Final Term'!AH9,new_transmute,2,FALSE)
),
IF(Info!$B$4="Board program",
IF(OR(AND(AH$5&gt;0,AH$5&gt;100),AND(AH$5&gt;0,AH$5&lt;100)),
VLOOKUP(FLOOR(('Final Term'!AH9/AH$5)*100,1),new_transmute,3,FALSE),
VLOOKUP('Final Term'!AH9,new_transmute,3,FALSE)
),
IF(Info!$B$4="Board program (Medicine)",
IF(OR(AND(AH$5&gt;0,AH$5&gt;100),AND(AH$5&gt;0,AH$5&lt;100)),
VLOOKUP(FLOOR(('Final Term'!AH9/AH$5)*100,1),new_transmute,4,FALSE),
VLOOKUP('Final Term'!AH9,new_transmute,4,FALSE)
),
""
)
)
)
)
)
)
)
)
))</f>
        <v/>
      </c>
      <c r="AI9" s="73" t="str">
        <f>IF($B9="","",
IF(AI$5="","",
IF('Final Term'!AI9="",0,
IF(NOT(ISNUMBER('Final Term'!AI9)),"NAN",
IF('Final Term'!AI9&lt;0,"NEG",
IF('Final Term'!AI9&gt;AI$5,"OVER",
IF(AND(AI$5&lt;=100,'Final Term'!AI9&gt;100),"ERR",
IF(Info!$B$4="Non-board program",
IF(OR(AND(AI$5&gt;0,AI$5&gt;100),AND(AI$5&gt;0,AI$5&lt;100)),
VLOOKUP(FLOOR(('Final Term'!AI9/AI$5)*100,1),new_transmute,2,FALSE),
VLOOKUP('Final Term'!AI9,new_transmute,2,FALSE)
),
IF(Info!$B$4="Board program",
IF(OR(AND(AI$5&gt;0,AI$5&gt;100),AND(AI$5&gt;0,AI$5&lt;100)),
VLOOKUP(FLOOR(('Final Term'!AI9/AI$5)*100,1),new_transmute,3,FALSE),
VLOOKUP('Final Term'!AI9,new_transmute,3,FALSE)
),
IF(Info!$B$4="Board program (Medicine)",
IF(OR(AND(AI$5&gt;0,AI$5&gt;100),AND(AI$5&gt;0,AI$5&lt;100)),
VLOOKUP(FLOOR(('Final Term'!AI9/AI$5)*100,1),new_transmute,4,FALSE),
VLOOKUP('Final Term'!AI9,new_transmute,4,FALSE)
),
""
)
)
)
)
)
)
)
)
))</f>
        <v/>
      </c>
      <c r="AJ9" s="73" t="str">
        <f>IF($B9="","",
IF(AJ$5="","",
IF('Final Term'!AJ9="",0,
IF(NOT(ISNUMBER('Final Term'!AJ9)),"NAN",
IF('Final Term'!AJ9&lt;0,"NEG",
IF('Final Term'!AJ9&gt;AJ$5,"OVER",
IF(AND(AJ$5&lt;=100,'Final Term'!AJ9&gt;100),"ERR",
IF(Info!$B$4="Non-board program",
IF(OR(AND(AJ$5&gt;0,AJ$5&gt;100),AND(AJ$5&gt;0,AJ$5&lt;100)),
VLOOKUP(FLOOR(('Final Term'!AJ9/AJ$5)*100,1),new_transmute,2,FALSE),
VLOOKUP('Final Term'!AJ9,new_transmute,2,FALSE)
),
IF(Info!$B$4="Board program",
IF(OR(AND(AJ$5&gt;0,AJ$5&gt;100),AND(AJ$5&gt;0,AJ$5&lt;100)),
VLOOKUP(FLOOR(('Final Term'!AJ9/AJ$5)*100,1),new_transmute,3,FALSE),
VLOOKUP('Final Term'!AJ9,new_transmute,3,FALSE)
),
IF(Info!$B$4="Board program (Medicine)",
IF(OR(AND(AJ$5&gt;0,AJ$5&gt;100),AND(AJ$5&gt;0,AJ$5&lt;100)),
VLOOKUP(FLOOR(('Final Term'!AJ9/AJ$5)*100,1),new_transmute,4,FALSE),
VLOOKUP('Final Term'!AJ9,new_transmute,4,FALSE)
),
""
)
)
)
)
)
)
)
)
))</f>
        <v/>
      </c>
      <c r="AK9" s="59" t="str">
        <f t="shared" si="6"/>
        <v/>
      </c>
      <c r="AL9" s="60" t="str">
        <f>IF(B9="", "",
    IF(OR(M9="OVER", S9="OVER", Y9="OVER", AE9="OVER", AK9="OVER"),
        "OVER",
        IF(Info!$B$4="Non-board program",
            VLOOKUP(IFERROR(FLOOR(SUM((M9*$M$4), (S9*$S$4), (Y9*$Y$4), (AE9*$AE$4), (AK9*$AK$4)) * (100 / 60), 1), 0), new_transmute, 2, FALSE),
            IF(Info!$B$4="Board program",
                VLOOKUP(IFERROR(FLOOR(SUM((M9*$M$4), (S9*$S$4), (Y9*$Y$4), (AE9*$AE$4), (AK9*$AK$4)) * (100 / 60), 1), 0), new_transmute, 3, FALSE),
                IF(Info!$B$4="Board program (Medicine)",
                    VLOOKUP(IFERROR(FLOOR(SUM((M9*$M$4), (S9*$S$4), (Y9*$Y$4), (AE9*$AE$4), (AK9*$AK$4)) * (100 / 60), 1), 0), new_transmute, 4, FALSE),
                    ""
                )
            )
        )
    )
)</f>
        <v/>
      </c>
      <c r="AM9" s="73" t="str">
        <f>IF($B9="","",
IF(AM$5="","",
IF('Final Term'!AM9="",0,
IF(NOT(ISNUMBER('Final Term'!AM9)),"NAN",
IF('Final Term'!AM9&lt;0,"NEG",
IF('Final Term'!AM9&gt;AM$5,"OVER",
IF(AND(AM$5&lt;=100,'Final Term'!AM9&gt;100),"ERR",
IF(Info!$B$4="Non-board program",
IF(OR(AND(AM$5&gt;0,AM$5&gt;100),AND(AM$5&gt;0,AM$5&lt;100)),
VLOOKUP(FLOOR(('Final Term'!AM9/AM$5)*100,1),new_transmute,2,FALSE),
VLOOKUP('Final Term'!AM9,new_transmute,2,FALSE)
),
IF(Info!$B$4="Board program",
IF(OR(AND(AM$5&gt;0,AM$5&gt;100),AND(AM$5&gt;0,AM$5&lt;100)),
VLOOKUP(FLOOR(('Final Term'!AM9/AM$5)*100,1),new_transmute,3,FALSE),
VLOOKUP('Final Term'!AM9,new_transmute,3,FALSE)
),
IF(Info!$B$4="Board program (Medicine)",
IF(OR(AND(AM$5&gt;0,AM$5&gt;100),AND(AM$5&gt;0,AM$5&lt;100)),
VLOOKUP(FLOOR(('Final Term'!AM9/AM$5)*100,1),new_transmute,4,FALSE),
VLOOKUP('Final Term'!AM9,new_transmute,4,FALSE)
),
""
)
)
)
)
)
)
)
)
))</f>
        <v/>
      </c>
      <c r="AN9" s="73" t="str">
        <f>IF($B9="","",
IF(AN$5="","",
IF('Final Term'!AN9="",0,
IF(NOT(ISNUMBER('Final Term'!AN9)),"NAN",
IF('Final Term'!AN9&lt;0,"NEG",
IF('Final Term'!AN9&gt;AN$5,"OVER",
IF(AND(AN$5&lt;=100,'Final Term'!AN9&gt;100),"ERR",
IF(Info!$B$4="Non-board program",
IF(OR(AND(AN$5&gt;0,AN$5&gt;100),AND(AN$5&gt;0,AN$5&lt;100)),
VLOOKUP(FLOOR(('Final Term'!AN9/AN$5)*100,1),new_transmute,2,FALSE),
VLOOKUP('Final Term'!AN9,new_transmute,2,FALSE)
),
IF(Info!$B$4="Board program",
IF(OR(AND(AN$5&gt;0,AN$5&gt;100),AND(AN$5&gt;0,AN$5&lt;100)),
VLOOKUP(FLOOR(('Final Term'!AN9/AN$5)*100,1),new_transmute,3,FALSE),
VLOOKUP('Final Term'!AN9,new_transmute,3,FALSE)
),
IF(Info!$B$4="Board program (Medicine)",
IF(OR(AND(AN$5&gt;0,AN$5&gt;100),AND(AN$5&gt;0,AN$5&lt;100)),
VLOOKUP(FLOOR(('Final Term'!AN9/AN$5)*100,1),new_transmute,4,FALSE),
VLOOKUP('Final Term'!AN9,new_transmute,4,FALSE)
),
""
)
)
)
)
)
)
)
)
))</f>
        <v/>
      </c>
      <c r="AO9" s="73" t="str">
        <f>IF($B9="","",
IF(AO$5="","",
IF('Final Term'!AO9="",0,
IF(NOT(ISNUMBER('Final Term'!AO9)),"NAN",
IF('Final Term'!AO9&lt;0,"NEG",
IF('Final Term'!AO9&gt;AO$5,"OVER",
IF(AND(AO$5&lt;=100,'Final Term'!AO9&gt;100),"ERR",
IF(Info!$B$4="Non-board program",
IF(OR(AND(AO$5&gt;0,AO$5&gt;100),AND(AO$5&gt;0,AO$5&lt;100)),
VLOOKUP(FLOOR(('Final Term'!AO9/AO$5)*100,1),new_transmute,2,FALSE),
VLOOKUP('Final Term'!AO9,new_transmute,2,FALSE)
),
IF(Info!$B$4="Board program",
IF(OR(AND(AO$5&gt;0,AO$5&gt;100),AND(AO$5&gt;0,AO$5&lt;100)),
VLOOKUP(FLOOR(('Final Term'!AO9/AO$5)*100,1),new_transmute,3,FALSE),
VLOOKUP('Final Term'!AO9,new_transmute,3,FALSE)
),
IF(Info!$B$4="Board program (Medicine)",
IF(OR(AND(AO$5&gt;0,AO$5&gt;100),AND(AO$5&gt;0,AO$5&lt;100)),
VLOOKUP(FLOOR(('Final Term'!AO9/AO$5)*100,1),new_transmute,4,FALSE),
VLOOKUP('Final Term'!AO9,new_transmute,4,FALSE)
),
""
)
)
)
)
)
)
)
)
))</f>
        <v/>
      </c>
      <c r="AP9" s="73" t="str">
        <f>IF($B9="","",
IF(AP$5="","",
IF('Final Term'!AP9="",0,
IF(NOT(ISNUMBER('Final Term'!AP9)),"NAN",
IF('Final Term'!AP9&lt;0,"NEG",
IF('Final Term'!AP9&gt;AP$5,"OVER",
IF(AND(AP$5&lt;=100,'Final Term'!AP9&gt;100),"ERR",
IF(Info!$B$4="Non-board program",
IF(OR(AND(AP$5&gt;0,AP$5&gt;100),AND(AP$5&gt;0,AP$5&lt;100)),
VLOOKUP(FLOOR(('Final Term'!AP9/AP$5)*100,1),new_transmute,2,FALSE),
VLOOKUP('Final Term'!AP9,new_transmute,2,FALSE)
),
IF(Info!$B$4="Board program",
IF(OR(AND(AP$5&gt;0,AP$5&gt;100),AND(AP$5&gt;0,AP$5&lt;100)),
VLOOKUP(FLOOR(('Final Term'!AP9/AP$5)*100,1),new_transmute,3,FALSE),
VLOOKUP('Final Term'!AP9,new_transmute,3,FALSE)
),
IF(Info!$B$4="Board program (Medicine)",
IF(OR(AND(AP$5&gt;0,AP$5&gt;100),AND(AP$5&gt;0,AP$5&lt;100)),
VLOOKUP(FLOOR(('Final Term'!AP9/AP$5)*100,1),new_transmute,4,FALSE),
VLOOKUP('Final Term'!AP9,new_transmute,4,FALSE)
),
""
)
)
)
)
)
)
)
)
))</f>
        <v/>
      </c>
      <c r="AQ9" s="61" t="str">
        <f t="shared" si="7"/>
        <v/>
      </c>
      <c r="AR9" s="48" t="str">
        <f>IF('Final Term'!AR9="","",'Final Term'!AR9)</f>
        <v/>
      </c>
      <c r="AS9" s="165" t="str">
        <f t="shared" si="8"/>
        <v/>
      </c>
      <c r="AT9" s="14" t="str">
        <f t="shared" si="0"/>
        <v/>
      </c>
      <c r="AU9" s="13" t="str">
        <f>IF(B9="","",VLOOKUP(AT9,'New Grade Equivalent'!$B$3:$C$47,2,FALSE))</f>
        <v/>
      </c>
    </row>
    <row r="10" spans="1:47" x14ac:dyDescent="0.25">
      <c r="A10" s="8">
        <v>5</v>
      </c>
      <c r="B10" s="2" t="str">
        <f>IF('Student List'!C14="","",UPPER(LEFT('Student List'!C14,FIND(",",'Student List'!C14)-1)))</f>
        <v/>
      </c>
      <c r="C10" s="12" t="str">
        <f>IF('Student List'!C14="","",PROPER(MID('Student List'!C14, FIND(",", 'Student List'!C14) + 2, LEN('Student List'!C14) - FIND(",", 'Student List'!C14) - 1)))</f>
        <v/>
      </c>
      <c r="D10" s="127" t="str">
        <f>IF('Final Term'!D10="","",'Final Term'!D10)</f>
        <v/>
      </c>
      <c r="E10" s="8" t="str">
        <f>IF(MidCom!E10="FA", "FA",
    IF(MidCom!E10="DRP", "DRP",
        IF(MidCom!E10="WF", "WF",
            IF(D10="Yes", "INC",
               IF((SUM('MT Attendance'!AW8) / 3 + SUM('MT Attendance'!AY8) + SUM('FT Attendance'!AW8) / 3 + SUM('FT Attendance'!AY8)) &gt;= 0.2 * (SUMPRODUCT(--(ISTEXT('MT Attendance'!$C$2:$AU$2))) + SUMPRODUCT(--(ISTEXT('FT Attendance'!$C$2:$AU$2)))), "FA",
                   MidCom!E10
                )
            )
        )
    )
)</f>
        <v/>
      </c>
      <c r="F10" s="73" t="str">
        <f>IF($B10="","",
IF(F$5="","",
IF('Final Term'!F10="",0,
IF(NOT(ISNUMBER('Final Term'!F10)),"NAN",
IF('Final Term'!F10&lt;0,"NEG",
IF('Final Term'!F10&gt;F$5,"OVER",
IF(AND(F$5&lt;=100,'Final Term'!F10&gt;100),"ERR",
IF(Info!$B$4="Non-board program",
IF(OR(AND(F$5&gt;0,F$5&gt;100),AND(F$5&gt;0,F$5&lt;100)),
VLOOKUP(FLOOR(('Final Term'!F10/F$5)*100,1),new_transmute,2,FALSE),
VLOOKUP('Final Term'!F10,new_transmute,2,FALSE)
),
IF(Info!$B$4="Board program",
IF(OR(AND(F$5&gt;0,F$5&gt;100),AND(F$5&gt;0,F$5&lt;100)),
VLOOKUP(FLOOR(('Final Term'!F10/F$5)*100,1),new_transmute,3,FALSE),
VLOOKUP('Final Term'!F10,new_transmute,3,FALSE)
),
IF(Info!$B$4="Board program (Medicine)",
IF(OR(AND(F$5&gt;0,F$5&gt;100),AND(F$5&gt;0,F$5&lt;100)),
VLOOKUP(FLOOR(('Final Term'!F10/F$5)*100,1),new_transmute,4,FALSE),
VLOOKUP('Final Term'!F10,new_transmute,4,FALSE)
),
""
)
)
)
)
)
)
)
)
))</f>
        <v/>
      </c>
      <c r="G10" s="57" t="str">
        <f t="shared" si="1"/>
        <v/>
      </c>
      <c r="H10" s="73" t="str">
        <f>IF($B10="","",
IF(H$5="","",
IF('Final Term'!H10="",0,
IF(NOT(ISNUMBER('Final Term'!H10)),"NAN",
IF('Final Term'!H10&lt;0,"NEG",
IF('Final Term'!H10&gt;H$5,"OVER",
IF(AND(H$5&lt;=100,'Final Term'!H10&gt;100),"ERR",
IF(Info!$B$4="Non-board program",
IF(OR(AND(H$5&gt;0,H$5&gt;100),AND(H$5&gt;0,H$5&lt;100)),
VLOOKUP(FLOOR(('Final Term'!H10/H$5)*100,1),new_transmute,2,FALSE),
VLOOKUP('Final Term'!H10,new_transmute,2,FALSE)
),
IF(Info!$B$4="Board program",
IF(OR(AND(H$5&gt;0,H$5&gt;100),AND(H$5&gt;0,H$5&lt;100)),
VLOOKUP(FLOOR(('Final Term'!H10/H$5)*100,1),new_transmute,3,FALSE),
VLOOKUP('Final Term'!H10,new_transmute,3,FALSE)
),
IF(Info!$B$4="Board program (Medicine)",
IF(OR(AND(H$5&gt;0,H$5&gt;100),AND(H$5&gt;0,H$5&lt;100)),
VLOOKUP(FLOOR(('Final Term'!H10/H$5)*100,1),new_transmute,4,FALSE),
VLOOKUP('Final Term'!H10,new_transmute,4,FALSE)
),
""
)
)
)
)
)
)
)
)
))</f>
        <v/>
      </c>
      <c r="I10" s="73" t="str">
        <f>IF($B10="","",
IF(I$5="","",
IF('Final Term'!I10="",0,
IF(NOT(ISNUMBER('Final Term'!I10)),"NAN",
IF('Final Term'!I10&lt;0,"NEG",
IF('Final Term'!I10&gt;I$5,"OVER",
IF(AND(I$5&lt;=100,'Final Term'!I10&gt;100),"ERR",
IF(Info!$B$4="Non-board program",
IF(OR(AND(I$5&gt;0,I$5&gt;100),AND(I$5&gt;0,I$5&lt;100)),
VLOOKUP(FLOOR(('Final Term'!I10/I$5)*100,1),new_transmute,2,FALSE),
VLOOKUP('Final Term'!I10,new_transmute,2,FALSE)
),
IF(Info!$B$4="Board program",
IF(OR(AND(I$5&gt;0,I$5&gt;100),AND(I$5&gt;0,I$5&lt;100)),
VLOOKUP(FLOOR(('Final Term'!I10/I$5)*100,1),new_transmute,3,FALSE),
VLOOKUP('Final Term'!I10,new_transmute,3,FALSE)
),
IF(Info!$B$4="Board program (Medicine)",
IF(OR(AND(I$5&gt;0,I$5&gt;100),AND(I$5&gt;0,I$5&lt;100)),
VLOOKUP(FLOOR(('Final Term'!I10/I$5)*100,1),new_transmute,4,FALSE),
VLOOKUP('Final Term'!I10,new_transmute,4,FALSE)
),
""
)
)
)
)
)
)
)
)
))</f>
        <v/>
      </c>
      <c r="J10" s="73" t="str">
        <f>IF($B10="","",
IF(J$5="","",
IF('Final Term'!J10="",0,
IF(NOT(ISNUMBER('Final Term'!J10)),"NAN",
IF('Final Term'!J10&lt;0,"NEG",
IF('Final Term'!J10&gt;J$5,"OVER",
IF(AND(J$5&lt;=100,'Final Term'!J10&gt;100),"ERR",
IF(Info!$B$4="Non-board program",
IF(OR(AND(J$5&gt;0,J$5&gt;100),AND(J$5&gt;0,J$5&lt;100)),
VLOOKUP(FLOOR(('Final Term'!J10/J$5)*100,1),new_transmute,2,FALSE),
VLOOKUP('Final Term'!J10,new_transmute,2,FALSE)
),
IF(Info!$B$4="Board program",
IF(OR(AND(J$5&gt;0,J$5&gt;100),AND(J$5&gt;0,J$5&lt;100)),
VLOOKUP(FLOOR(('Final Term'!J10/J$5)*100,1),new_transmute,3,FALSE),
VLOOKUP('Final Term'!J10,new_transmute,3,FALSE)
),
IF(Info!$B$4="Board program (Medicine)",
IF(OR(AND(J$5&gt;0,J$5&gt;100),AND(J$5&gt;0,J$5&lt;100)),
VLOOKUP(FLOOR(('Final Term'!J10/J$5)*100,1),new_transmute,4,FALSE),
VLOOKUP('Final Term'!J10,new_transmute,4,FALSE)
),
""
)
)
)
)
)
)
)
)
))</f>
        <v/>
      </c>
      <c r="K10" s="73" t="str">
        <f>IF($B10="","",
IF(K$5="","",
IF('Final Term'!K10="",0,
IF(NOT(ISNUMBER('Final Term'!K10)),"NAN",
IF('Final Term'!K10&lt;0,"NEG",
IF('Final Term'!K10&gt;K$5,"OVER",
IF(AND(K$5&lt;=100,'Final Term'!K10&gt;100),"ERR",
IF(Info!$B$4="Non-board program",
IF(OR(AND(K$5&gt;0,K$5&gt;100),AND(K$5&gt;0,K$5&lt;100)),
VLOOKUP(FLOOR(('Final Term'!K10/K$5)*100,1),new_transmute,2,FALSE),
VLOOKUP('Final Term'!K10,new_transmute,2,FALSE)
),
IF(Info!$B$4="Board program",
IF(OR(AND(K$5&gt;0,K$5&gt;100),AND(K$5&gt;0,K$5&lt;100)),
VLOOKUP(FLOOR(('Final Term'!K10/K$5)*100,1),new_transmute,3,FALSE),
VLOOKUP('Final Term'!K10,new_transmute,3,FALSE)
),
IF(Info!$B$4="Board program (Medicine)",
IF(OR(AND(K$5&gt;0,K$5&gt;100),AND(K$5&gt;0,K$5&lt;100)),
VLOOKUP(FLOOR(('Final Term'!K10/K$5)*100,1),new_transmute,4,FALSE),
VLOOKUP('Final Term'!K10,new_transmute,4,FALSE)
),
""
)
)
)
)
)
)
)
)
))</f>
        <v/>
      </c>
      <c r="L10" s="73" t="str">
        <f>IF($B10="","",
IF(L$5="","",
IF('Final Term'!L10="",0,
IF(NOT(ISNUMBER('Final Term'!L10)),"NAN",
IF('Final Term'!L10&lt;0,"NEG",
IF('Final Term'!L10&gt;L$5,"OVER",
IF(AND(L$5&lt;=100,'Final Term'!L10&gt;100),"ERR",
IF(Info!$B$4="Non-board program",
IF(OR(AND(L$5&gt;0,L$5&gt;100),AND(L$5&gt;0,L$5&lt;100)),
VLOOKUP(FLOOR(('Final Term'!L10/L$5)*100,1),new_transmute,2,FALSE),
VLOOKUP('Final Term'!L10,new_transmute,2,FALSE)
),
IF(Info!$B$4="Board program",
IF(OR(AND(L$5&gt;0,L$5&gt;100),AND(L$5&gt;0,L$5&lt;100)),
VLOOKUP(FLOOR(('Final Term'!L10/L$5)*100,1),new_transmute,3,FALSE),
VLOOKUP('Final Term'!L10,new_transmute,3,FALSE)
),
IF(Info!$B$4="Board program (Medicine)",
IF(OR(AND(L$5&gt;0,L$5&gt;100),AND(L$5&gt;0,L$5&lt;100)),
VLOOKUP(FLOOR(('Final Term'!L10/L$5)*100,1),new_transmute,4,FALSE),
VLOOKUP('Final Term'!L10,new_transmute,4,FALSE)
),
""
)
)
)
)
)
)
)
)
))</f>
        <v/>
      </c>
      <c r="M10" s="111" t="str">
        <f t="shared" si="2"/>
        <v/>
      </c>
      <c r="N10" s="73" t="str">
        <f>IF($B10="","",
IF(N$5="","",
IF('Final Term'!N10="",0,
IF(NOT(ISNUMBER('Final Term'!N10)),"NAN",
IF('Final Term'!N10&lt;0,"NEG",
IF('Final Term'!N10&gt;N$5,"OVER",
IF(AND(N$5&lt;=100,'Final Term'!N10&gt;100),"ERR",
IF(Info!$B$4="Non-board program",
IF(OR(AND(N$5&gt;0,N$5&gt;100),AND(N$5&gt;0,N$5&lt;100)),
VLOOKUP(FLOOR(('Final Term'!N10/N$5)*100,1),new_transmute,2,FALSE),
VLOOKUP('Final Term'!N10,new_transmute,2,FALSE)
),
IF(Info!$B$4="Board program",
IF(OR(AND(N$5&gt;0,N$5&gt;100),AND(N$5&gt;0,N$5&lt;100)),
VLOOKUP(FLOOR(('Final Term'!N10/N$5)*100,1),new_transmute,3,FALSE),
VLOOKUP('Final Term'!N10,new_transmute,3,FALSE)
),
IF(Info!$B$4="Board program (Medicine)",
IF(OR(AND(N$5&gt;0,N$5&gt;100),AND(N$5&gt;0,N$5&lt;100)),
VLOOKUP(FLOOR(('Final Term'!N10/N$5)*100,1),new_transmute,4,FALSE),
VLOOKUP('Final Term'!N10,new_transmute,4,FALSE)
),
""
)
)
)
)
)
)
)
)
))</f>
        <v/>
      </c>
      <c r="O10" s="73" t="str">
        <f>IF($B10="","",
IF(O$5="","",
IF('Final Term'!O10="",0,
IF(NOT(ISNUMBER('Final Term'!O10)),"NAN",
IF('Final Term'!O10&lt;0,"NEG",
IF('Final Term'!O10&gt;O$5,"OVER",
IF(AND(O$5&lt;=100,'Final Term'!O10&gt;100),"ERR",
IF(Info!$B$4="Non-board program",
IF(OR(AND(O$5&gt;0,O$5&gt;100),AND(O$5&gt;0,O$5&lt;100)),
VLOOKUP(FLOOR(('Final Term'!O10/O$5)*100,1),new_transmute,2,FALSE),
VLOOKUP('Final Term'!O10,new_transmute,2,FALSE)
),
IF(Info!$B$4="Board program",
IF(OR(AND(O$5&gt;0,O$5&gt;100),AND(O$5&gt;0,O$5&lt;100)),
VLOOKUP(FLOOR(('Final Term'!O10/O$5)*100,1),new_transmute,3,FALSE),
VLOOKUP('Final Term'!O10,new_transmute,3,FALSE)
),
IF(Info!$B$4="Board program (Medicine)",
IF(OR(AND(O$5&gt;0,O$5&gt;100),AND(O$5&gt;0,O$5&lt;100)),
VLOOKUP(FLOOR(('Final Term'!O10/O$5)*100,1),new_transmute,4,FALSE),
VLOOKUP('Final Term'!O10,new_transmute,4,FALSE)
),
""
)
)
)
)
)
)
)
)
))</f>
        <v/>
      </c>
      <c r="P10" s="73" t="str">
        <f>IF($B10="","",
IF(P$5="","",
IF('Final Term'!P10="",0,
IF(NOT(ISNUMBER('Final Term'!P10)),"NAN",
IF('Final Term'!P10&lt;0,"NEG",
IF('Final Term'!P10&gt;P$5,"OVER",
IF(AND(P$5&lt;=100,'Final Term'!P10&gt;100),"ERR",
IF(Info!$B$4="Non-board program",
IF(OR(AND(P$5&gt;0,P$5&gt;100),AND(P$5&gt;0,P$5&lt;100)),
VLOOKUP(FLOOR(('Final Term'!P10/P$5)*100,1),new_transmute,2,FALSE),
VLOOKUP('Final Term'!P10,new_transmute,2,FALSE)
),
IF(Info!$B$4="Board program",
IF(OR(AND(P$5&gt;0,P$5&gt;100),AND(P$5&gt;0,P$5&lt;100)),
VLOOKUP(FLOOR(('Final Term'!P10/P$5)*100,1),new_transmute,3,FALSE),
VLOOKUP('Final Term'!P10,new_transmute,3,FALSE)
),
IF(Info!$B$4="Board program (Medicine)",
IF(OR(AND(P$5&gt;0,P$5&gt;100),AND(P$5&gt;0,P$5&lt;100)),
VLOOKUP(FLOOR(('Final Term'!P10/P$5)*100,1),new_transmute,4,FALSE),
VLOOKUP('Final Term'!P10,new_transmute,4,FALSE)
),
""
)
)
)
)
)
)
)
)
))</f>
        <v/>
      </c>
      <c r="Q10" s="73" t="str">
        <f>IF($B10="","",
IF(Q$5="","",
IF('Final Term'!Q10="",0,
IF(NOT(ISNUMBER('Final Term'!Q10)),"NAN",
IF('Final Term'!Q10&lt;0,"NEG",
IF('Final Term'!Q10&gt;Q$5,"OVER",
IF(AND(Q$5&lt;=100,'Final Term'!Q10&gt;100),"ERR",
IF(Info!$B$4="Non-board program",
IF(OR(AND(Q$5&gt;0,Q$5&gt;100),AND(Q$5&gt;0,Q$5&lt;100)),
VLOOKUP(FLOOR(('Final Term'!Q10/Q$5)*100,1),new_transmute,2,FALSE),
VLOOKUP('Final Term'!Q10,new_transmute,2,FALSE)
),
IF(Info!$B$4="Board program",
IF(OR(AND(Q$5&gt;0,Q$5&gt;100),AND(Q$5&gt;0,Q$5&lt;100)),
VLOOKUP(FLOOR(('Final Term'!Q10/Q$5)*100,1),new_transmute,3,FALSE),
VLOOKUP('Final Term'!Q10,new_transmute,3,FALSE)
),
IF(Info!$B$4="Board program (Medicine)",
IF(OR(AND(Q$5&gt;0,Q$5&gt;100),AND(Q$5&gt;0,Q$5&lt;100)),
VLOOKUP(FLOOR(('Final Term'!Q10/Q$5)*100,1),new_transmute,4,FALSE),
VLOOKUP('Final Term'!Q10,new_transmute,4,FALSE)
),
""
)
)
)
)
)
)
)
)
))</f>
        <v/>
      </c>
      <c r="R10" s="73" t="str">
        <f>IF($B10="","",
IF(R$5="","",
IF('Final Term'!R10="",0,
IF(NOT(ISNUMBER('Final Term'!R10)),"NAN",
IF('Final Term'!R10&lt;0,"NEG",
IF('Final Term'!R10&gt;R$5,"OVER",
IF(AND(R$5&lt;=100,'Final Term'!R10&gt;100),"ERR",
IF(Info!$B$4="Non-board program",
IF(OR(AND(R$5&gt;0,R$5&gt;100),AND(R$5&gt;0,R$5&lt;100)),
VLOOKUP(FLOOR(('Final Term'!R10/R$5)*100,1),new_transmute,2,FALSE),
VLOOKUP('Final Term'!R10,new_transmute,2,FALSE)
),
IF(Info!$B$4="Board program",
IF(OR(AND(R$5&gt;0,R$5&gt;100),AND(R$5&gt;0,R$5&lt;100)),
VLOOKUP(FLOOR(('Final Term'!R10/R$5)*100,1),new_transmute,3,FALSE),
VLOOKUP('Final Term'!R10,new_transmute,3,FALSE)
),
IF(Info!$B$4="Board program (Medicine)",
IF(OR(AND(R$5&gt;0,R$5&gt;100),AND(R$5&gt;0,R$5&lt;100)),
VLOOKUP(FLOOR(('Final Term'!R10/R$5)*100,1),new_transmute,4,FALSE),
VLOOKUP('Final Term'!R10,new_transmute,4,FALSE)
),
""
)
)
)
)
)
)
)
)
))</f>
        <v/>
      </c>
      <c r="S10" s="115" t="str">
        <f t="shared" si="3"/>
        <v/>
      </c>
      <c r="T10" s="73" t="str">
        <f>IF($B10="","",
IF(T$5="","",
IF('Final Term'!T10="",0,
IF(NOT(ISNUMBER('Final Term'!T10)),"NAN",
IF('Final Term'!T10&lt;0,"NEG",
IF('Final Term'!T10&gt;T$5,"OVER",
IF(AND(T$5&lt;=100,'Final Term'!T10&gt;100),"ERR",
IF(Info!$B$4="Non-board program",
IF(OR(AND(T$5&gt;0,T$5&gt;100),AND(T$5&gt;0,T$5&lt;100)),
VLOOKUP(FLOOR(('Final Term'!T10/T$5)*100,1),new_transmute,2,FALSE),
VLOOKUP('Final Term'!T10,new_transmute,2,FALSE)
),
IF(Info!$B$4="Board program",
IF(OR(AND(T$5&gt;0,T$5&gt;100),AND(T$5&gt;0,T$5&lt;100)),
VLOOKUP(FLOOR(('Final Term'!T10/T$5)*100,1),new_transmute,3,FALSE),
VLOOKUP('Final Term'!T10,new_transmute,3,FALSE)
),
IF(Info!$B$4="Board program (Medicine)",
IF(OR(AND(T$5&gt;0,T$5&gt;100),AND(T$5&gt;0,T$5&lt;100)),
VLOOKUP(FLOOR(('Final Term'!T10/T$5)*100,1),new_transmute,4,FALSE),
VLOOKUP('Final Term'!T10,new_transmute,4,FALSE)
),
""
)
)
)
)
)
)
)
)
))</f>
        <v/>
      </c>
      <c r="U10" s="73" t="str">
        <f>IF($B10="","",
IF(U$5="","",
IF('Final Term'!U10="",0,
IF(NOT(ISNUMBER('Final Term'!U10)),"NAN",
IF('Final Term'!U10&lt;0,"NEG",
IF('Final Term'!U10&gt;U$5,"OVER",
IF(AND(U$5&lt;=100,'Final Term'!U10&gt;100),"ERR",
IF(Info!$B$4="Non-board program",
IF(OR(AND(U$5&gt;0,U$5&gt;100),AND(U$5&gt;0,U$5&lt;100)),
VLOOKUP(FLOOR(('Final Term'!U10/U$5)*100,1),new_transmute,2,FALSE),
VLOOKUP('Final Term'!U10,new_transmute,2,FALSE)
),
IF(Info!$B$4="Board program",
IF(OR(AND(U$5&gt;0,U$5&gt;100),AND(U$5&gt;0,U$5&lt;100)),
VLOOKUP(FLOOR(('Final Term'!U10/U$5)*100,1),new_transmute,3,FALSE),
VLOOKUP('Final Term'!U10,new_transmute,3,FALSE)
),
IF(Info!$B$4="Board program (Medicine)",
IF(OR(AND(U$5&gt;0,U$5&gt;100),AND(U$5&gt;0,U$5&lt;100)),
VLOOKUP(FLOOR(('Final Term'!U10/U$5)*100,1),new_transmute,4,FALSE),
VLOOKUP('Final Term'!U10,new_transmute,4,FALSE)
),
""
)
)
)
)
)
)
)
)
))</f>
        <v/>
      </c>
      <c r="V10" s="73" t="str">
        <f>IF($B10="","",
IF(V$5="","",
IF('Final Term'!V10="",0,
IF(NOT(ISNUMBER('Final Term'!V10)),"NAN",
IF('Final Term'!V10&lt;0,"NEG",
IF('Final Term'!V10&gt;V$5,"OVER",
IF(AND(V$5&lt;=100,'Final Term'!V10&gt;100),"ERR",
IF(Info!$B$4="Non-board program",
IF(OR(AND(V$5&gt;0,V$5&gt;100),AND(V$5&gt;0,V$5&lt;100)),
VLOOKUP(FLOOR(('Final Term'!V10/V$5)*100,1),new_transmute,2,FALSE),
VLOOKUP('Final Term'!V10,new_transmute,2,FALSE)
),
IF(Info!$B$4="Board program",
IF(OR(AND(V$5&gt;0,V$5&gt;100),AND(V$5&gt;0,V$5&lt;100)),
VLOOKUP(FLOOR(('Final Term'!V10/V$5)*100,1),new_transmute,3,FALSE),
VLOOKUP('Final Term'!V10,new_transmute,3,FALSE)
),
IF(Info!$B$4="Board program (Medicine)",
IF(OR(AND(V$5&gt;0,V$5&gt;100),AND(V$5&gt;0,V$5&lt;100)),
VLOOKUP(FLOOR(('Final Term'!V10/V$5)*100,1),new_transmute,4,FALSE),
VLOOKUP('Final Term'!V10,new_transmute,4,FALSE)
),
""
)
)
)
)
)
)
)
)
))</f>
        <v/>
      </c>
      <c r="W10" s="73" t="str">
        <f>IF($B10="","",
IF(W$5="","",
IF('Final Term'!W10="",0,
IF(NOT(ISNUMBER('Final Term'!W10)),"NAN",
IF('Final Term'!W10&lt;0,"NEG",
IF('Final Term'!W10&gt;W$5,"OVER",
IF(AND(W$5&lt;=100,'Final Term'!W10&gt;100),"ERR",
IF(Info!$B$4="Non-board program",
IF(OR(AND(W$5&gt;0,W$5&gt;100),AND(W$5&gt;0,W$5&lt;100)),
VLOOKUP(FLOOR(('Final Term'!W10/W$5)*100,1),new_transmute,2,FALSE),
VLOOKUP('Final Term'!W10,new_transmute,2,FALSE)
),
IF(Info!$B$4="Board program",
IF(OR(AND(W$5&gt;0,W$5&gt;100),AND(W$5&gt;0,W$5&lt;100)),
VLOOKUP(FLOOR(('Final Term'!W10/W$5)*100,1),new_transmute,3,FALSE),
VLOOKUP('Final Term'!W10,new_transmute,3,FALSE)
),
IF(Info!$B$4="Board program (Medicine)",
IF(OR(AND(W$5&gt;0,W$5&gt;100),AND(W$5&gt;0,W$5&lt;100)),
VLOOKUP(FLOOR(('Final Term'!W10/W$5)*100,1),new_transmute,4,FALSE),
VLOOKUP('Final Term'!W10,new_transmute,4,FALSE)
),
""
)
)
)
)
)
)
)
)
))</f>
        <v/>
      </c>
      <c r="X10" s="73" t="str">
        <f>IF($B10="","",
IF(X$5="","",
IF('Final Term'!X10="",0,
IF(NOT(ISNUMBER('Final Term'!X10)),"NAN",
IF('Final Term'!X10&lt;0,"NEG",
IF('Final Term'!X10&gt;X$5,"OVER",
IF(AND(X$5&lt;=100,'Final Term'!X10&gt;100),"ERR",
IF(Info!$B$4="Non-board program",
IF(OR(AND(X$5&gt;0,X$5&gt;100),AND(X$5&gt;0,X$5&lt;100)),
VLOOKUP(FLOOR(('Final Term'!X10/X$5)*100,1),new_transmute,2,FALSE),
VLOOKUP('Final Term'!X10,new_transmute,2,FALSE)
),
IF(Info!$B$4="Board program",
IF(OR(AND(X$5&gt;0,X$5&gt;100),AND(X$5&gt;0,X$5&lt;100)),
VLOOKUP(FLOOR(('Final Term'!X10/X$5)*100,1),new_transmute,3,FALSE),
VLOOKUP('Final Term'!X10,new_transmute,3,FALSE)
),
IF(Info!$B$4="Board program (Medicine)",
IF(OR(AND(X$5&gt;0,X$5&gt;100),AND(X$5&gt;0,X$5&lt;100)),
VLOOKUP(FLOOR(('Final Term'!X10/X$5)*100,1),new_transmute,4,FALSE),
VLOOKUP('Final Term'!X10,new_transmute,4,FALSE)
),
""
)
)
)
)
)
)
)
)
))</f>
        <v/>
      </c>
      <c r="Y10" s="112" t="str">
        <f t="shared" si="4"/>
        <v/>
      </c>
      <c r="Z10" s="73" t="str">
        <f>IF($B10="","",
IF(Z$5="","",
IF('Final Term'!Z10="",0,
IF(NOT(ISNUMBER('Final Term'!Z10)),"NAN",
IF('Final Term'!Z10&lt;0,"NEG",
IF('Final Term'!Z10&gt;Z$5,"OVER",
IF(AND(Z$5&lt;=100,'Final Term'!Z10&gt;100),"ERR",
IF(Info!$B$4="Non-board program",
IF(OR(AND(Z$5&gt;0,Z$5&gt;100),AND(Z$5&gt;0,Z$5&lt;100)),
VLOOKUP(FLOOR(('Final Term'!Z10/Z$5)*100,1),new_transmute,2,FALSE),
VLOOKUP('Final Term'!Z10,new_transmute,2,FALSE)
),
IF(Info!$B$4="Board program",
IF(OR(AND(Z$5&gt;0,Z$5&gt;100),AND(Z$5&gt;0,Z$5&lt;100)),
VLOOKUP(FLOOR(('Final Term'!Z10/Z$5)*100,1),new_transmute,3,FALSE),
VLOOKUP('Final Term'!Z10,new_transmute,3,FALSE)
),
IF(Info!$B$4="Board program (Medicine)",
IF(OR(AND(Z$5&gt;0,Z$5&gt;100),AND(Z$5&gt;0,Z$5&lt;100)),
VLOOKUP(FLOOR(('Final Term'!Z10/Z$5)*100,1),new_transmute,4,FALSE),
VLOOKUP('Final Term'!Z10,new_transmute,4,FALSE)
),
""
)
)
)
)
)
)
)
)
))</f>
        <v/>
      </c>
      <c r="AA10" s="73" t="str">
        <f>IF($B10="","",
IF(AA$5="","",
IF('Final Term'!AA10="",0,
IF(NOT(ISNUMBER('Final Term'!AA10)),"NAN",
IF('Final Term'!AA10&lt;0,"NEG",
IF('Final Term'!AA10&gt;AA$5,"OVER",
IF(AND(AA$5&lt;=100,'Final Term'!AA10&gt;100),"ERR",
IF(Info!$B$4="Non-board program",
IF(OR(AND(AA$5&gt;0,AA$5&gt;100),AND(AA$5&gt;0,AA$5&lt;100)),
VLOOKUP(FLOOR(('Final Term'!AA10/AA$5)*100,1),new_transmute,2,FALSE),
VLOOKUP('Final Term'!AA10,new_transmute,2,FALSE)
),
IF(Info!$B$4="Board program",
IF(OR(AND(AA$5&gt;0,AA$5&gt;100),AND(AA$5&gt;0,AA$5&lt;100)),
VLOOKUP(FLOOR(('Final Term'!AA10/AA$5)*100,1),new_transmute,3,FALSE),
VLOOKUP('Final Term'!AA10,new_transmute,3,FALSE)
),
IF(Info!$B$4="Board program (Medicine)",
IF(OR(AND(AA$5&gt;0,AA$5&gt;100),AND(AA$5&gt;0,AA$5&lt;100)),
VLOOKUP(FLOOR(('Final Term'!AA10/AA$5)*100,1),new_transmute,4,FALSE),
VLOOKUP('Final Term'!AA10,new_transmute,4,FALSE)
),
""
)
)
)
)
)
)
)
)
))</f>
        <v/>
      </c>
      <c r="AB10" s="73" t="str">
        <f>IF($B10="","",
IF(AB$5="","",
IF('Final Term'!AB10="",0,
IF(NOT(ISNUMBER('Final Term'!AB10)),"NAN",
IF('Final Term'!AB10&lt;0,"NEG",
IF('Final Term'!AB10&gt;AB$5,"OVER",
IF(AND(AB$5&lt;=100,'Final Term'!AB10&gt;100),"ERR",
IF(Info!$B$4="Non-board program",
IF(OR(AND(AB$5&gt;0,AB$5&gt;100),AND(AB$5&gt;0,AB$5&lt;100)),
VLOOKUP(FLOOR(('Final Term'!AB10/AB$5)*100,1),new_transmute,2,FALSE),
VLOOKUP('Final Term'!AB10,new_transmute,2,FALSE)
),
IF(Info!$B$4="Board program",
IF(OR(AND(AB$5&gt;0,AB$5&gt;100),AND(AB$5&gt;0,AB$5&lt;100)),
VLOOKUP(FLOOR(('Final Term'!AB10/AB$5)*100,1),new_transmute,3,FALSE),
VLOOKUP('Final Term'!AB10,new_transmute,3,FALSE)
),
IF(Info!$B$4="Board program (Medicine)",
IF(OR(AND(AB$5&gt;0,AB$5&gt;100),AND(AB$5&gt;0,AB$5&lt;100)),
VLOOKUP(FLOOR(('Final Term'!AB10/AB$5)*100,1),new_transmute,4,FALSE),
VLOOKUP('Final Term'!AB10,new_transmute,4,FALSE)
),
""
)
)
)
)
)
)
)
)
))</f>
        <v/>
      </c>
      <c r="AC10" s="73" t="str">
        <f>IF($B10="","",
IF(AC$5="","",
IF('Final Term'!AC10="",0,
IF(NOT(ISNUMBER('Final Term'!AC10)),"NAN",
IF('Final Term'!AC10&lt;0,"NEG",
IF('Final Term'!AC10&gt;AC$5,"OVER",
IF(AND(AC$5&lt;=100,'Final Term'!AC10&gt;100),"ERR",
IF(Info!$B$4="Non-board program",
IF(OR(AND(AC$5&gt;0,AC$5&gt;100),AND(AC$5&gt;0,AC$5&lt;100)),
VLOOKUP(FLOOR(('Final Term'!AC10/AC$5)*100,1),new_transmute,2,FALSE),
VLOOKUP('Final Term'!AC10,new_transmute,2,FALSE)
),
IF(Info!$B$4="Board program",
IF(OR(AND(AC$5&gt;0,AC$5&gt;100),AND(AC$5&gt;0,AC$5&lt;100)),
VLOOKUP(FLOOR(('Final Term'!AC10/AC$5)*100,1),new_transmute,3,FALSE),
VLOOKUP('Final Term'!AC10,new_transmute,3,FALSE)
),
IF(Info!$B$4="Board program (Medicine)",
IF(OR(AND(AC$5&gt;0,AC$5&gt;100),AND(AC$5&gt;0,AC$5&lt;100)),
VLOOKUP(FLOOR(('Final Term'!AC10/AC$5)*100,1),new_transmute,4,FALSE),
VLOOKUP('Final Term'!AC10,new_transmute,4,FALSE)
),
""
)
)
)
)
)
)
)
)
))</f>
        <v/>
      </c>
      <c r="AD10" s="73" t="str">
        <f>IF($B10="","",
IF(AD$5="","",
IF('Final Term'!AD10="",0,
IF(NOT(ISNUMBER('Final Term'!AD10)),"NAN",
IF('Final Term'!AD10&lt;0,"NEG",
IF('Final Term'!AD10&gt;AD$5,"OVER",
IF(AND(AD$5&lt;=100,'Final Term'!AD10&gt;100),"ERR",
IF(Info!$B$4="Non-board program",
IF(OR(AND(AD$5&gt;0,AD$5&gt;100),AND(AD$5&gt;0,AD$5&lt;100)),
VLOOKUP(FLOOR(('Final Term'!AD10/AD$5)*100,1),new_transmute,2,FALSE),
VLOOKUP('Final Term'!AD10,new_transmute,2,FALSE)
),
IF(Info!$B$4="Board program",
IF(OR(AND(AD$5&gt;0,AD$5&gt;100),AND(AD$5&gt;0,AD$5&lt;100)),
VLOOKUP(FLOOR(('Final Term'!AD10/AD$5)*100,1),new_transmute,3,FALSE),
VLOOKUP('Final Term'!AD10,new_transmute,3,FALSE)
),
IF(Info!$B$4="Board program (Medicine)",
IF(OR(AND(AD$5&gt;0,AD$5&gt;100),AND(AD$5&gt;0,AD$5&lt;100)),
VLOOKUP(FLOOR(('Final Term'!AD10/AD$5)*100,1),new_transmute,4,FALSE),
VLOOKUP('Final Term'!AD10,new_transmute,4,FALSE)
),
""
)
)
)
)
)
)
)
)
))</f>
        <v/>
      </c>
      <c r="AE10" s="58" t="str">
        <f t="shared" si="5"/>
        <v/>
      </c>
      <c r="AF10" s="73" t="str">
        <f>IF($B10="","",
IF(AF$5="","",
IF('Final Term'!AF10="",0,
IF(NOT(ISNUMBER('Final Term'!AF10)),"NAN",
IF('Final Term'!AF10&lt;0,"NEG",
IF('Final Term'!AF10&gt;AF$5,"OVER",
IF(AND(AF$5&lt;=100,'Final Term'!AF10&gt;100),"ERR",
IF(Info!$B$4="Non-board program",
IF(OR(AND(AF$5&gt;0,AF$5&gt;100),AND(AF$5&gt;0,AF$5&lt;100)),
VLOOKUP(FLOOR(('Final Term'!AF10/AF$5)*100,1),new_transmute,2,FALSE),
VLOOKUP('Final Term'!AF10,new_transmute,2,FALSE)
),
IF(Info!$B$4="Board program",
IF(OR(AND(AF$5&gt;0,AF$5&gt;100),AND(AF$5&gt;0,AF$5&lt;100)),
VLOOKUP(FLOOR(('Final Term'!AF10/AF$5)*100,1),new_transmute,3,FALSE),
VLOOKUP('Final Term'!AF10,new_transmute,3,FALSE)
),
IF(Info!$B$4="Board program (Medicine)",
IF(OR(AND(AF$5&gt;0,AF$5&gt;100),AND(AF$5&gt;0,AF$5&lt;100)),
VLOOKUP(FLOOR(('Final Term'!AF10/AF$5)*100,1),new_transmute,4,FALSE),
VLOOKUP('Final Term'!AF10,new_transmute,4,FALSE)
),
""
)
)
)
)
)
)
)
)
))</f>
        <v/>
      </c>
      <c r="AG10" s="73" t="str">
        <f>IF($B10="","",
IF(AG$5="","",
IF('Final Term'!AG10="",0,
IF(NOT(ISNUMBER('Final Term'!AG10)),"NAN",
IF('Final Term'!AG10&lt;0,"NEG",
IF('Final Term'!AG10&gt;AG$5,"OVER",
IF(AND(AG$5&lt;=100,'Final Term'!AG10&gt;100),"ERR",
IF(Info!$B$4="Non-board program",
IF(OR(AND(AG$5&gt;0,AG$5&gt;100),AND(AG$5&gt;0,AG$5&lt;100)),
VLOOKUP(FLOOR(('Final Term'!AG10/AG$5)*100,1),new_transmute,2,FALSE),
VLOOKUP('Final Term'!AG10,new_transmute,2,FALSE)
),
IF(Info!$B$4="Board program",
IF(OR(AND(AG$5&gt;0,AG$5&gt;100),AND(AG$5&gt;0,AG$5&lt;100)),
VLOOKUP(FLOOR(('Final Term'!AG10/AG$5)*100,1),new_transmute,3,FALSE),
VLOOKUP('Final Term'!AG10,new_transmute,3,FALSE)
),
IF(Info!$B$4="Board program (Medicine)",
IF(OR(AND(AG$5&gt;0,AG$5&gt;100),AND(AG$5&gt;0,AG$5&lt;100)),
VLOOKUP(FLOOR(('Final Term'!AG10/AG$5)*100,1),new_transmute,4,FALSE),
VLOOKUP('Final Term'!AG10,new_transmute,4,FALSE)
),
""
)
)
)
)
)
)
)
)
))</f>
        <v/>
      </c>
      <c r="AH10" s="73" t="str">
        <f>IF($B10="","",
IF(AH$5="","",
IF('Final Term'!AH10="",0,
IF(NOT(ISNUMBER('Final Term'!AH10)),"NAN",
IF('Final Term'!AH10&lt;0,"NEG",
IF('Final Term'!AH10&gt;AH$5,"OVER",
IF(AND(AH$5&lt;=100,'Final Term'!AH10&gt;100),"ERR",
IF(Info!$B$4="Non-board program",
IF(OR(AND(AH$5&gt;0,AH$5&gt;100),AND(AH$5&gt;0,AH$5&lt;100)),
VLOOKUP(FLOOR(('Final Term'!AH10/AH$5)*100,1),new_transmute,2,FALSE),
VLOOKUP('Final Term'!AH10,new_transmute,2,FALSE)
),
IF(Info!$B$4="Board program",
IF(OR(AND(AH$5&gt;0,AH$5&gt;100),AND(AH$5&gt;0,AH$5&lt;100)),
VLOOKUP(FLOOR(('Final Term'!AH10/AH$5)*100,1),new_transmute,3,FALSE),
VLOOKUP('Final Term'!AH10,new_transmute,3,FALSE)
),
IF(Info!$B$4="Board program (Medicine)",
IF(OR(AND(AH$5&gt;0,AH$5&gt;100),AND(AH$5&gt;0,AH$5&lt;100)),
VLOOKUP(FLOOR(('Final Term'!AH10/AH$5)*100,1),new_transmute,4,FALSE),
VLOOKUP('Final Term'!AH10,new_transmute,4,FALSE)
),
""
)
)
)
)
)
)
)
)
))</f>
        <v/>
      </c>
      <c r="AI10" s="73" t="str">
        <f>IF($B10="","",
IF(AI$5="","",
IF('Final Term'!AI10="",0,
IF(NOT(ISNUMBER('Final Term'!AI10)),"NAN",
IF('Final Term'!AI10&lt;0,"NEG",
IF('Final Term'!AI10&gt;AI$5,"OVER",
IF(AND(AI$5&lt;=100,'Final Term'!AI10&gt;100),"ERR",
IF(Info!$B$4="Non-board program",
IF(OR(AND(AI$5&gt;0,AI$5&gt;100),AND(AI$5&gt;0,AI$5&lt;100)),
VLOOKUP(FLOOR(('Final Term'!AI10/AI$5)*100,1),new_transmute,2,FALSE),
VLOOKUP('Final Term'!AI10,new_transmute,2,FALSE)
),
IF(Info!$B$4="Board program",
IF(OR(AND(AI$5&gt;0,AI$5&gt;100),AND(AI$5&gt;0,AI$5&lt;100)),
VLOOKUP(FLOOR(('Final Term'!AI10/AI$5)*100,1),new_transmute,3,FALSE),
VLOOKUP('Final Term'!AI10,new_transmute,3,FALSE)
),
IF(Info!$B$4="Board program (Medicine)",
IF(OR(AND(AI$5&gt;0,AI$5&gt;100),AND(AI$5&gt;0,AI$5&lt;100)),
VLOOKUP(FLOOR(('Final Term'!AI10/AI$5)*100,1),new_transmute,4,FALSE),
VLOOKUP('Final Term'!AI10,new_transmute,4,FALSE)
),
""
)
)
)
)
)
)
)
)
))</f>
        <v/>
      </c>
      <c r="AJ10" s="73" t="str">
        <f>IF($B10="","",
IF(AJ$5="","",
IF('Final Term'!AJ10="",0,
IF(NOT(ISNUMBER('Final Term'!AJ10)),"NAN",
IF('Final Term'!AJ10&lt;0,"NEG",
IF('Final Term'!AJ10&gt;AJ$5,"OVER",
IF(AND(AJ$5&lt;=100,'Final Term'!AJ10&gt;100),"ERR",
IF(Info!$B$4="Non-board program",
IF(OR(AND(AJ$5&gt;0,AJ$5&gt;100),AND(AJ$5&gt;0,AJ$5&lt;100)),
VLOOKUP(FLOOR(('Final Term'!AJ10/AJ$5)*100,1),new_transmute,2,FALSE),
VLOOKUP('Final Term'!AJ10,new_transmute,2,FALSE)
),
IF(Info!$B$4="Board program",
IF(OR(AND(AJ$5&gt;0,AJ$5&gt;100),AND(AJ$5&gt;0,AJ$5&lt;100)),
VLOOKUP(FLOOR(('Final Term'!AJ10/AJ$5)*100,1),new_transmute,3,FALSE),
VLOOKUP('Final Term'!AJ10,new_transmute,3,FALSE)
),
IF(Info!$B$4="Board program (Medicine)",
IF(OR(AND(AJ$5&gt;0,AJ$5&gt;100),AND(AJ$5&gt;0,AJ$5&lt;100)),
VLOOKUP(FLOOR(('Final Term'!AJ10/AJ$5)*100,1),new_transmute,4,FALSE),
VLOOKUP('Final Term'!AJ10,new_transmute,4,FALSE)
),
""
)
)
)
)
)
)
)
)
))</f>
        <v/>
      </c>
      <c r="AK10" s="59" t="str">
        <f t="shared" si="6"/>
        <v/>
      </c>
      <c r="AL10" s="60" t="str">
        <f>IF(B10="", "",
    IF(OR(M10="OVER", S10="OVER", Y10="OVER", AE10="OVER", AK10="OVER"),
        "OVER",
        IF(Info!$B$4="Non-board program",
            VLOOKUP(IFERROR(FLOOR(SUM((M10*$M$4), (S10*$S$4), (Y10*$Y$4), (AE10*$AE$4), (AK10*$AK$4)) * (100 / 60), 1), 0), new_transmute, 2, FALSE),
            IF(Info!$B$4="Board program",
                VLOOKUP(IFERROR(FLOOR(SUM((M10*$M$4), (S10*$S$4), (Y10*$Y$4), (AE10*$AE$4), (AK10*$AK$4)) * (100 / 60), 1), 0), new_transmute, 3, FALSE),
                IF(Info!$B$4="Board program (Medicine)",
                    VLOOKUP(IFERROR(FLOOR(SUM((M10*$M$4), (S10*$S$4), (Y10*$Y$4), (AE10*$AE$4), (AK10*$AK$4)) * (100 / 60), 1), 0), new_transmute, 4, FALSE),
                    ""
                )
            )
        )
    )
)</f>
        <v/>
      </c>
      <c r="AM10" s="73" t="str">
        <f>IF($B10="","",
IF(AM$5="","",
IF('Final Term'!AM10="",0,
IF(NOT(ISNUMBER('Final Term'!AM10)),"NAN",
IF('Final Term'!AM10&lt;0,"NEG",
IF('Final Term'!AM10&gt;AM$5,"OVER",
IF(AND(AM$5&lt;=100,'Final Term'!AM10&gt;100),"ERR",
IF(Info!$B$4="Non-board program",
IF(OR(AND(AM$5&gt;0,AM$5&gt;100),AND(AM$5&gt;0,AM$5&lt;100)),
VLOOKUP(FLOOR(('Final Term'!AM10/AM$5)*100,1),new_transmute,2,FALSE),
VLOOKUP('Final Term'!AM10,new_transmute,2,FALSE)
),
IF(Info!$B$4="Board program",
IF(OR(AND(AM$5&gt;0,AM$5&gt;100),AND(AM$5&gt;0,AM$5&lt;100)),
VLOOKUP(FLOOR(('Final Term'!AM10/AM$5)*100,1),new_transmute,3,FALSE),
VLOOKUP('Final Term'!AM10,new_transmute,3,FALSE)
),
IF(Info!$B$4="Board program (Medicine)",
IF(OR(AND(AM$5&gt;0,AM$5&gt;100),AND(AM$5&gt;0,AM$5&lt;100)),
VLOOKUP(FLOOR(('Final Term'!AM10/AM$5)*100,1),new_transmute,4,FALSE),
VLOOKUP('Final Term'!AM10,new_transmute,4,FALSE)
),
""
)
)
)
)
)
)
)
)
))</f>
        <v/>
      </c>
      <c r="AN10" s="73" t="str">
        <f>IF($B10="","",
IF(AN$5="","",
IF('Final Term'!AN10="",0,
IF(NOT(ISNUMBER('Final Term'!AN10)),"NAN",
IF('Final Term'!AN10&lt;0,"NEG",
IF('Final Term'!AN10&gt;AN$5,"OVER",
IF(AND(AN$5&lt;=100,'Final Term'!AN10&gt;100),"ERR",
IF(Info!$B$4="Non-board program",
IF(OR(AND(AN$5&gt;0,AN$5&gt;100),AND(AN$5&gt;0,AN$5&lt;100)),
VLOOKUP(FLOOR(('Final Term'!AN10/AN$5)*100,1),new_transmute,2,FALSE),
VLOOKUP('Final Term'!AN10,new_transmute,2,FALSE)
),
IF(Info!$B$4="Board program",
IF(OR(AND(AN$5&gt;0,AN$5&gt;100),AND(AN$5&gt;0,AN$5&lt;100)),
VLOOKUP(FLOOR(('Final Term'!AN10/AN$5)*100,1),new_transmute,3,FALSE),
VLOOKUP('Final Term'!AN10,new_transmute,3,FALSE)
),
IF(Info!$B$4="Board program (Medicine)",
IF(OR(AND(AN$5&gt;0,AN$5&gt;100),AND(AN$5&gt;0,AN$5&lt;100)),
VLOOKUP(FLOOR(('Final Term'!AN10/AN$5)*100,1),new_transmute,4,FALSE),
VLOOKUP('Final Term'!AN10,new_transmute,4,FALSE)
),
""
)
)
)
)
)
)
)
)
))</f>
        <v/>
      </c>
      <c r="AO10" s="73" t="str">
        <f>IF($B10="","",
IF(AO$5="","",
IF('Final Term'!AO10="",0,
IF(NOT(ISNUMBER('Final Term'!AO10)),"NAN",
IF('Final Term'!AO10&lt;0,"NEG",
IF('Final Term'!AO10&gt;AO$5,"OVER",
IF(AND(AO$5&lt;=100,'Final Term'!AO10&gt;100),"ERR",
IF(Info!$B$4="Non-board program",
IF(OR(AND(AO$5&gt;0,AO$5&gt;100),AND(AO$5&gt;0,AO$5&lt;100)),
VLOOKUP(FLOOR(('Final Term'!AO10/AO$5)*100,1),new_transmute,2,FALSE),
VLOOKUP('Final Term'!AO10,new_transmute,2,FALSE)
),
IF(Info!$B$4="Board program",
IF(OR(AND(AO$5&gt;0,AO$5&gt;100),AND(AO$5&gt;0,AO$5&lt;100)),
VLOOKUP(FLOOR(('Final Term'!AO10/AO$5)*100,1),new_transmute,3,FALSE),
VLOOKUP('Final Term'!AO10,new_transmute,3,FALSE)
),
IF(Info!$B$4="Board program (Medicine)",
IF(OR(AND(AO$5&gt;0,AO$5&gt;100),AND(AO$5&gt;0,AO$5&lt;100)),
VLOOKUP(FLOOR(('Final Term'!AO10/AO$5)*100,1),new_transmute,4,FALSE),
VLOOKUP('Final Term'!AO10,new_transmute,4,FALSE)
),
""
)
)
)
)
)
)
)
)
))</f>
        <v/>
      </c>
      <c r="AP10" s="73" t="str">
        <f>IF($B10="","",
IF(AP$5="","",
IF('Final Term'!AP10="",0,
IF(NOT(ISNUMBER('Final Term'!AP10)),"NAN",
IF('Final Term'!AP10&lt;0,"NEG",
IF('Final Term'!AP10&gt;AP$5,"OVER",
IF(AND(AP$5&lt;=100,'Final Term'!AP10&gt;100),"ERR",
IF(Info!$B$4="Non-board program",
IF(OR(AND(AP$5&gt;0,AP$5&gt;100),AND(AP$5&gt;0,AP$5&lt;100)),
VLOOKUP(FLOOR(('Final Term'!AP10/AP$5)*100,1),new_transmute,2,FALSE),
VLOOKUP('Final Term'!AP10,new_transmute,2,FALSE)
),
IF(Info!$B$4="Board program",
IF(OR(AND(AP$5&gt;0,AP$5&gt;100),AND(AP$5&gt;0,AP$5&lt;100)),
VLOOKUP(FLOOR(('Final Term'!AP10/AP$5)*100,1),new_transmute,3,FALSE),
VLOOKUP('Final Term'!AP10,new_transmute,3,FALSE)
),
IF(Info!$B$4="Board program (Medicine)",
IF(OR(AND(AP$5&gt;0,AP$5&gt;100),AND(AP$5&gt;0,AP$5&lt;100)),
VLOOKUP(FLOOR(('Final Term'!AP10/AP$5)*100,1),new_transmute,4,FALSE),
VLOOKUP('Final Term'!AP10,new_transmute,4,FALSE)
),
""
)
)
)
)
)
)
)
)
))</f>
        <v/>
      </c>
      <c r="AQ10" s="61" t="str">
        <f t="shared" si="7"/>
        <v/>
      </c>
      <c r="AR10" s="48" t="str">
        <f>IF('Final Term'!AR10="","",'Final Term'!AR10)</f>
        <v/>
      </c>
      <c r="AS10" s="165" t="str">
        <f t="shared" si="8"/>
        <v/>
      </c>
      <c r="AT10" s="14" t="str">
        <f t="shared" si="0"/>
        <v/>
      </c>
      <c r="AU10" s="13" t="str">
        <f>IF(B10="","",VLOOKUP(AT10,'New Grade Equivalent'!$B$3:$C$47,2,FALSE))</f>
        <v/>
      </c>
    </row>
    <row r="11" spans="1:47" x14ac:dyDescent="0.25">
      <c r="A11" s="8">
        <v>6</v>
      </c>
      <c r="B11" s="2" t="str">
        <f>IF('Student List'!C15="","",UPPER(LEFT('Student List'!C15,FIND(",",'Student List'!C15)-1)))</f>
        <v/>
      </c>
      <c r="C11" s="12" t="str">
        <f>IF('Student List'!C15="","",PROPER(MID('Student List'!C15, FIND(",", 'Student List'!C15) + 2, LEN('Student List'!C15) - FIND(",", 'Student List'!C15) - 1)))</f>
        <v/>
      </c>
      <c r="D11" s="127" t="str">
        <f>IF('Final Term'!D11="","",'Final Term'!D11)</f>
        <v/>
      </c>
      <c r="E11" s="8" t="str">
        <f>IF(MidCom!E11="FA", "FA",
    IF(MidCom!E11="DRP", "DRP",
        IF(MidCom!E11="WF", "WF",
            IF(D11="Yes", "INC",
               IF((SUM('MT Attendance'!AW9) / 3 + SUM('MT Attendance'!AY9) + SUM('FT Attendance'!AW9) / 3 + SUM('FT Attendance'!AY9)) &gt;= 0.2 * (SUMPRODUCT(--(ISTEXT('MT Attendance'!$C$2:$AU$2))) + SUMPRODUCT(--(ISTEXT('FT Attendance'!$C$2:$AU$2)))), "FA",
                   MidCom!E11
                )
            )
        )
    )
)</f>
        <v/>
      </c>
      <c r="F11" s="73" t="str">
        <f>IF($B11="","",
IF(F$5="","",
IF('Final Term'!F11="",0,
IF(NOT(ISNUMBER('Final Term'!F11)),"NAN",
IF('Final Term'!F11&lt;0,"NEG",
IF('Final Term'!F11&gt;F$5,"OVER",
IF(AND(F$5&lt;=100,'Final Term'!F11&gt;100),"ERR",
IF(Info!$B$4="Non-board program",
IF(OR(AND(F$5&gt;0,F$5&gt;100),AND(F$5&gt;0,F$5&lt;100)),
VLOOKUP(FLOOR(('Final Term'!F11/F$5)*100,1),new_transmute,2,FALSE),
VLOOKUP('Final Term'!F11,new_transmute,2,FALSE)
),
IF(Info!$B$4="Board program",
IF(OR(AND(F$5&gt;0,F$5&gt;100),AND(F$5&gt;0,F$5&lt;100)),
VLOOKUP(FLOOR(('Final Term'!F11/F$5)*100,1),new_transmute,3,FALSE),
VLOOKUP('Final Term'!F11,new_transmute,3,FALSE)
),
IF(Info!$B$4="Board program (Medicine)",
IF(OR(AND(F$5&gt;0,F$5&gt;100),AND(F$5&gt;0,F$5&lt;100)),
VLOOKUP(FLOOR(('Final Term'!F11/F$5)*100,1),new_transmute,4,FALSE),
VLOOKUP('Final Term'!F11,new_transmute,4,FALSE)
),
""
)
)
)
)
)
)
)
)
))</f>
        <v/>
      </c>
      <c r="G11" s="57" t="str">
        <f t="shared" si="1"/>
        <v/>
      </c>
      <c r="H11" s="73" t="str">
        <f>IF($B11="","",
IF(H$5="","",
IF('Final Term'!H11="",0,
IF(NOT(ISNUMBER('Final Term'!H11)),"NAN",
IF('Final Term'!H11&lt;0,"NEG",
IF('Final Term'!H11&gt;H$5,"OVER",
IF(AND(H$5&lt;=100,'Final Term'!H11&gt;100),"ERR",
IF(Info!$B$4="Non-board program",
IF(OR(AND(H$5&gt;0,H$5&gt;100),AND(H$5&gt;0,H$5&lt;100)),
VLOOKUP(FLOOR(('Final Term'!H11/H$5)*100,1),new_transmute,2,FALSE),
VLOOKUP('Final Term'!H11,new_transmute,2,FALSE)
),
IF(Info!$B$4="Board program",
IF(OR(AND(H$5&gt;0,H$5&gt;100),AND(H$5&gt;0,H$5&lt;100)),
VLOOKUP(FLOOR(('Final Term'!H11/H$5)*100,1),new_transmute,3,FALSE),
VLOOKUP('Final Term'!H11,new_transmute,3,FALSE)
),
IF(Info!$B$4="Board program (Medicine)",
IF(OR(AND(H$5&gt;0,H$5&gt;100),AND(H$5&gt;0,H$5&lt;100)),
VLOOKUP(FLOOR(('Final Term'!H11/H$5)*100,1),new_transmute,4,FALSE),
VLOOKUP('Final Term'!H11,new_transmute,4,FALSE)
),
""
)
)
)
)
)
)
)
)
))</f>
        <v/>
      </c>
      <c r="I11" s="73" t="str">
        <f>IF($B11="","",
IF(I$5="","",
IF('Final Term'!I11="",0,
IF(NOT(ISNUMBER('Final Term'!I11)),"NAN",
IF('Final Term'!I11&lt;0,"NEG",
IF('Final Term'!I11&gt;I$5,"OVER",
IF(AND(I$5&lt;=100,'Final Term'!I11&gt;100),"ERR",
IF(Info!$B$4="Non-board program",
IF(OR(AND(I$5&gt;0,I$5&gt;100),AND(I$5&gt;0,I$5&lt;100)),
VLOOKUP(FLOOR(('Final Term'!I11/I$5)*100,1),new_transmute,2,FALSE),
VLOOKUP('Final Term'!I11,new_transmute,2,FALSE)
),
IF(Info!$B$4="Board program",
IF(OR(AND(I$5&gt;0,I$5&gt;100),AND(I$5&gt;0,I$5&lt;100)),
VLOOKUP(FLOOR(('Final Term'!I11/I$5)*100,1),new_transmute,3,FALSE),
VLOOKUP('Final Term'!I11,new_transmute,3,FALSE)
),
IF(Info!$B$4="Board program (Medicine)",
IF(OR(AND(I$5&gt;0,I$5&gt;100),AND(I$5&gt;0,I$5&lt;100)),
VLOOKUP(FLOOR(('Final Term'!I11/I$5)*100,1),new_transmute,4,FALSE),
VLOOKUP('Final Term'!I11,new_transmute,4,FALSE)
),
""
)
)
)
)
)
)
)
)
))</f>
        <v/>
      </c>
      <c r="J11" s="73" t="str">
        <f>IF($B11="","",
IF(J$5="","",
IF('Final Term'!J11="",0,
IF(NOT(ISNUMBER('Final Term'!J11)),"NAN",
IF('Final Term'!J11&lt;0,"NEG",
IF('Final Term'!J11&gt;J$5,"OVER",
IF(AND(J$5&lt;=100,'Final Term'!J11&gt;100),"ERR",
IF(Info!$B$4="Non-board program",
IF(OR(AND(J$5&gt;0,J$5&gt;100),AND(J$5&gt;0,J$5&lt;100)),
VLOOKUP(FLOOR(('Final Term'!J11/J$5)*100,1),new_transmute,2,FALSE),
VLOOKUP('Final Term'!J11,new_transmute,2,FALSE)
),
IF(Info!$B$4="Board program",
IF(OR(AND(J$5&gt;0,J$5&gt;100),AND(J$5&gt;0,J$5&lt;100)),
VLOOKUP(FLOOR(('Final Term'!J11/J$5)*100,1),new_transmute,3,FALSE),
VLOOKUP('Final Term'!J11,new_transmute,3,FALSE)
),
IF(Info!$B$4="Board program (Medicine)",
IF(OR(AND(J$5&gt;0,J$5&gt;100),AND(J$5&gt;0,J$5&lt;100)),
VLOOKUP(FLOOR(('Final Term'!J11/J$5)*100,1),new_transmute,4,FALSE),
VLOOKUP('Final Term'!J11,new_transmute,4,FALSE)
),
""
)
)
)
)
)
)
)
)
))</f>
        <v/>
      </c>
      <c r="K11" s="73" t="str">
        <f>IF($B11="","",
IF(K$5="","",
IF('Final Term'!K11="",0,
IF(NOT(ISNUMBER('Final Term'!K11)),"NAN",
IF('Final Term'!K11&lt;0,"NEG",
IF('Final Term'!K11&gt;K$5,"OVER",
IF(AND(K$5&lt;=100,'Final Term'!K11&gt;100),"ERR",
IF(Info!$B$4="Non-board program",
IF(OR(AND(K$5&gt;0,K$5&gt;100),AND(K$5&gt;0,K$5&lt;100)),
VLOOKUP(FLOOR(('Final Term'!K11/K$5)*100,1),new_transmute,2,FALSE),
VLOOKUP('Final Term'!K11,new_transmute,2,FALSE)
),
IF(Info!$B$4="Board program",
IF(OR(AND(K$5&gt;0,K$5&gt;100),AND(K$5&gt;0,K$5&lt;100)),
VLOOKUP(FLOOR(('Final Term'!K11/K$5)*100,1),new_transmute,3,FALSE),
VLOOKUP('Final Term'!K11,new_transmute,3,FALSE)
),
IF(Info!$B$4="Board program (Medicine)",
IF(OR(AND(K$5&gt;0,K$5&gt;100),AND(K$5&gt;0,K$5&lt;100)),
VLOOKUP(FLOOR(('Final Term'!K11/K$5)*100,1),new_transmute,4,FALSE),
VLOOKUP('Final Term'!K11,new_transmute,4,FALSE)
),
""
)
)
)
)
)
)
)
)
))</f>
        <v/>
      </c>
      <c r="L11" s="73" t="str">
        <f>IF($B11="","",
IF(L$5="","",
IF('Final Term'!L11="",0,
IF(NOT(ISNUMBER('Final Term'!L11)),"NAN",
IF('Final Term'!L11&lt;0,"NEG",
IF('Final Term'!L11&gt;L$5,"OVER",
IF(AND(L$5&lt;=100,'Final Term'!L11&gt;100),"ERR",
IF(Info!$B$4="Non-board program",
IF(OR(AND(L$5&gt;0,L$5&gt;100),AND(L$5&gt;0,L$5&lt;100)),
VLOOKUP(FLOOR(('Final Term'!L11/L$5)*100,1),new_transmute,2,FALSE),
VLOOKUP('Final Term'!L11,new_transmute,2,FALSE)
),
IF(Info!$B$4="Board program",
IF(OR(AND(L$5&gt;0,L$5&gt;100),AND(L$5&gt;0,L$5&lt;100)),
VLOOKUP(FLOOR(('Final Term'!L11/L$5)*100,1),new_transmute,3,FALSE),
VLOOKUP('Final Term'!L11,new_transmute,3,FALSE)
),
IF(Info!$B$4="Board program (Medicine)",
IF(OR(AND(L$5&gt;0,L$5&gt;100),AND(L$5&gt;0,L$5&lt;100)),
VLOOKUP(FLOOR(('Final Term'!L11/L$5)*100,1),new_transmute,4,FALSE),
VLOOKUP('Final Term'!L11,new_transmute,4,FALSE)
),
""
)
)
)
)
)
)
)
)
))</f>
        <v/>
      </c>
      <c r="M11" s="111" t="str">
        <f t="shared" si="2"/>
        <v/>
      </c>
      <c r="N11" s="73" t="str">
        <f>IF($B11="","",
IF(N$5="","",
IF('Final Term'!N11="",0,
IF(NOT(ISNUMBER('Final Term'!N11)),"NAN",
IF('Final Term'!N11&lt;0,"NEG",
IF('Final Term'!N11&gt;N$5,"OVER",
IF(AND(N$5&lt;=100,'Final Term'!N11&gt;100),"ERR",
IF(Info!$B$4="Non-board program",
IF(OR(AND(N$5&gt;0,N$5&gt;100),AND(N$5&gt;0,N$5&lt;100)),
VLOOKUP(FLOOR(('Final Term'!N11/N$5)*100,1),new_transmute,2,FALSE),
VLOOKUP('Final Term'!N11,new_transmute,2,FALSE)
),
IF(Info!$B$4="Board program",
IF(OR(AND(N$5&gt;0,N$5&gt;100),AND(N$5&gt;0,N$5&lt;100)),
VLOOKUP(FLOOR(('Final Term'!N11/N$5)*100,1),new_transmute,3,FALSE),
VLOOKUP('Final Term'!N11,new_transmute,3,FALSE)
),
IF(Info!$B$4="Board program (Medicine)",
IF(OR(AND(N$5&gt;0,N$5&gt;100),AND(N$5&gt;0,N$5&lt;100)),
VLOOKUP(FLOOR(('Final Term'!N11/N$5)*100,1),new_transmute,4,FALSE),
VLOOKUP('Final Term'!N11,new_transmute,4,FALSE)
),
""
)
)
)
)
)
)
)
)
))</f>
        <v/>
      </c>
      <c r="O11" s="73" t="str">
        <f>IF($B11="","",
IF(O$5="","",
IF('Final Term'!O11="",0,
IF(NOT(ISNUMBER('Final Term'!O11)),"NAN",
IF('Final Term'!O11&lt;0,"NEG",
IF('Final Term'!O11&gt;O$5,"OVER",
IF(AND(O$5&lt;=100,'Final Term'!O11&gt;100),"ERR",
IF(Info!$B$4="Non-board program",
IF(OR(AND(O$5&gt;0,O$5&gt;100),AND(O$5&gt;0,O$5&lt;100)),
VLOOKUP(FLOOR(('Final Term'!O11/O$5)*100,1),new_transmute,2,FALSE),
VLOOKUP('Final Term'!O11,new_transmute,2,FALSE)
),
IF(Info!$B$4="Board program",
IF(OR(AND(O$5&gt;0,O$5&gt;100),AND(O$5&gt;0,O$5&lt;100)),
VLOOKUP(FLOOR(('Final Term'!O11/O$5)*100,1),new_transmute,3,FALSE),
VLOOKUP('Final Term'!O11,new_transmute,3,FALSE)
),
IF(Info!$B$4="Board program (Medicine)",
IF(OR(AND(O$5&gt;0,O$5&gt;100),AND(O$5&gt;0,O$5&lt;100)),
VLOOKUP(FLOOR(('Final Term'!O11/O$5)*100,1),new_transmute,4,FALSE),
VLOOKUP('Final Term'!O11,new_transmute,4,FALSE)
),
""
)
)
)
)
)
)
)
)
))</f>
        <v/>
      </c>
      <c r="P11" s="73" t="str">
        <f>IF($B11="","",
IF(P$5="","",
IF('Final Term'!P11="",0,
IF(NOT(ISNUMBER('Final Term'!P11)),"NAN",
IF('Final Term'!P11&lt;0,"NEG",
IF('Final Term'!P11&gt;P$5,"OVER",
IF(AND(P$5&lt;=100,'Final Term'!P11&gt;100),"ERR",
IF(Info!$B$4="Non-board program",
IF(OR(AND(P$5&gt;0,P$5&gt;100),AND(P$5&gt;0,P$5&lt;100)),
VLOOKUP(FLOOR(('Final Term'!P11/P$5)*100,1),new_transmute,2,FALSE),
VLOOKUP('Final Term'!P11,new_transmute,2,FALSE)
),
IF(Info!$B$4="Board program",
IF(OR(AND(P$5&gt;0,P$5&gt;100),AND(P$5&gt;0,P$5&lt;100)),
VLOOKUP(FLOOR(('Final Term'!P11/P$5)*100,1),new_transmute,3,FALSE),
VLOOKUP('Final Term'!P11,new_transmute,3,FALSE)
),
IF(Info!$B$4="Board program (Medicine)",
IF(OR(AND(P$5&gt;0,P$5&gt;100),AND(P$5&gt;0,P$5&lt;100)),
VLOOKUP(FLOOR(('Final Term'!P11/P$5)*100,1),new_transmute,4,FALSE),
VLOOKUP('Final Term'!P11,new_transmute,4,FALSE)
),
""
)
)
)
)
)
)
)
)
))</f>
        <v/>
      </c>
      <c r="Q11" s="73" t="str">
        <f>IF($B11="","",
IF(Q$5="","",
IF('Final Term'!Q11="",0,
IF(NOT(ISNUMBER('Final Term'!Q11)),"NAN",
IF('Final Term'!Q11&lt;0,"NEG",
IF('Final Term'!Q11&gt;Q$5,"OVER",
IF(AND(Q$5&lt;=100,'Final Term'!Q11&gt;100),"ERR",
IF(Info!$B$4="Non-board program",
IF(OR(AND(Q$5&gt;0,Q$5&gt;100),AND(Q$5&gt;0,Q$5&lt;100)),
VLOOKUP(FLOOR(('Final Term'!Q11/Q$5)*100,1),new_transmute,2,FALSE),
VLOOKUP('Final Term'!Q11,new_transmute,2,FALSE)
),
IF(Info!$B$4="Board program",
IF(OR(AND(Q$5&gt;0,Q$5&gt;100),AND(Q$5&gt;0,Q$5&lt;100)),
VLOOKUP(FLOOR(('Final Term'!Q11/Q$5)*100,1),new_transmute,3,FALSE),
VLOOKUP('Final Term'!Q11,new_transmute,3,FALSE)
),
IF(Info!$B$4="Board program (Medicine)",
IF(OR(AND(Q$5&gt;0,Q$5&gt;100),AND(Q$5&gt;0,Q$5&lt;100)),
VLOOKUP(FLOOR(('Final Term'!Q11/Q$5)*100,1),new_transmute,4,FALSE),
VLOOKUP('Final Term'!Q11,new_transmute,4,FALSE)
),
""
)
)
)
)
)
)
)
)
))</f>
        <v/>
      </c>
      <c r="R11" s="73" t="str">
        <f>IF($B11="","",
IF(R$5="","",
IF('Final Term'!R11="",0,
IF(NOT(ISNUMBER('Final Term'!R11)),"NAN",
IF('Final Term'!R11&lt;0,"NEG",
IF('Final Term'!R11&gt;R$5,"OVER",
IF(AND(R$5&lt;=100,'Final Term'!R11&gt;100),"ERR",
IF(Info!$B$4="Non-board program",
IF(OR(AND(R$5&gt;0,R$5&gt;100),AND(R$5&gt;0,R$5&lt;100)),
VLOOKUP(FLOOR(('Final Term'!R11/R$5)*100,1),new_transmute,2,FALSE),
VLOOKUP('Final Term'!R11,new_transmute,2,FALSE)
),
IF(Info!$B$4="Board program",
IF(OR(AND(R$5&gt;0,R$5&gt;100),AND(R$5&gt;0,R$5&lt;100)),
VLOOKUP(FLOOR(('Final Term'!R11/R$5)*100,1),new_transmute,3,FALSE),
VLOOKUP('Final Term'!R11,new_transmute,3,FALSE)
),
IF(Info!$B$4="Board program (Medicine)",
IF(OR(AND(R$5&gt;0,R$5&gt;100),AND(R$5&gt;0,R$5&lt;100)),
VLOOKUP(FLOOR(('Final Term'!R11/R$5)*100,1),new_transmute,4,FALSE),
VLOOKUP('Final Term'!R11,new_transmute,4,FALSE)
),
""
)
)
)
)
)
)
)
)
))</f>
        <v/>
      </c>
      <c r="S11" s="115" t="str">
        <f t="shared" si="3"/>
        <v/>
      </c>
      <c r="T11" s="73" t="str">
        <f>IF($B11="","",
IF(T$5="","",
IF('Final Term'!T11="",0,
IF(NOT(ISNUMBER('Final Term'!T11)),"NAN",
IF('Final Term'!T11&lt;0,"NEG",
IF('Final Term'!T11&gt;T$5,"OVER",
IF(AND(T$5&lt;=100,'Final Term'!T11&gt;100),"ERR",
IF(Info!$B$4="Non-board program",
IF(OR(AND(T$5&gt;0,T$5&gt;100),AND(T$5&gt;0,T$5&lt;100)),
VLOOKUP(FLOOR(('Final Term'!T11/T$5)*100,1),new_transmute,2,FALSE),
VLOOKUP('Final Term'!T11,new_transmute,2,FALSE)
),
IF(Info!$B$4="Board program",
IF(OR(AND(T$5&gt;0,T$5&gt;100),AND(T$5&gt;0,T$5&lt;100)),
VLOOKUP(FLOOR(('Final Term'!T11/T$5)*100,1),new_transmute,3,FALSE),
VLOOKUP('Final Term'!T11,new_transmute,3,FALSE)
),
IF(Info!$B$4="Board program (Medicine)",
IF(OR(AND(T$5&gt;0,T$5&gt;100),AND(T$5&gt;0,T$5&lt;100)),
VLOOKUP(FLOOR(('Final Term'!T11/T$5)*100,1),new_transmute,4,FALSE),
VLOOKUP('Final Term'!T11,new_transmute,4,FALSE)
),
""
)
)
)
)
)
)
)
)
))</f>
        <v/>
      </c>
      <c r="U11" s="73" t="str">
        <f>IF($B11="","",
IF(U$5="","",
IF('Final Term'!U11="",0,
IF(NOT(ISNUMBER('Final Term'!U11)),"NAN",
IF('Final Term'!U11&lt;0,"NEG",
IF('Final Term'!U11&gt;U$5,"OVER",
IF(AND(U$5&lt;=100,'Final Term'!U11&gt;100),"ERR",
IF(Info!$B$4="Non-board program",
IF(OR(AND(U$5&gt;0,U$5&gt;100),AND(U$5&gt;0,U$5&lt;100)),
VLOOKUP(FLOOR(('Final Term'!U11/U$5)*100,1),new_transmute,2,FALSE),
VLOOKUP('Final Term'!U11,new_transmute,2,FALSE)
),
IF(Info!$B$4="Board program",
IF(OR(AND(U$5&gt;0,U$5&gt;100),AND(U$5&gt;0,U$5&lt;100)),
VLOOKUP(FLOOR(('Final Term'!U11/U$5)*100,1),new_transmute,3,FALSE),
VLOOKUP('Final Term'!U11,new_transmute,3,FALSE)
),
IF(Info!$B$4="Board program (Medicine)",
IF(OR(AND(U$5&gt;0,U$5&gt;100),AND(U$5&gt;0,U$5&lt;100)),
VLOOKUP(FLOOR(('Final Term'!U11/U$5)*100,1),new_transmute,4,FALSE),
VLOOKUP('Final Term'!U11,new_transmute,4,FALSE)
),
""
)
)
)
)
)
)
)
)
))</f>
        <v/>
      </c>
      <c r="V11" s="73" t="str">
        <f>IF($B11="","",
IF(V$5="","",
IF('Final Term'!V11="",0,
IF(NOT(ISNUMBER('Final Term'!V11)),"NAN",
IF('Final Term'!V11&lt;0,"NEG",
IF('Final Term'!V11&gt;V$5,"OVER",
IF(AND(V$5&lt;=100,'Final Term'!V11&gt;100),"ERR",
IF(Info!$B$4="Non-board program",
IF(OR(AND(V$5&gt;0,V$5&gt;100),AND(V$5&gt;0,V$5&lt;100)),
VLOOKUP(FLOOR(('Final Term'!V11/V$5)*100,1),new_transmute,2,FALSE),
VLOOKUP('Final Term'!V11,new_transmute,2,FALSE)
),
IF(Info!$B$4="Board program",
IF(OR(AND(V$5&gt;0,V$5&gt;100),AND(V$5&gt;0,V$5&lt;100)),
VLOOKUP(FLOOR(('Final Term'!V11/V$5)*100,1),new_transmute,3,FALSE),
VLOOKUP('Final Term'!V11,new_transmute,3,FALSE)
),
IF(Info!$B$4="Board program (Medicine)",
IF(OR(AND(V$5&gt;0,V$5&gt;100),AND(V$5&gt;0,V$5&lt;100)),
VLOOKUP(FLOOR(('Final Term'!V11/V$5)*100,1),new_transmute,4,FALSE),
VLOOKUP('Final Term'!V11,new_transmute,4,FALSE)
),
""
)
)
)
)
)
)
)
)
))</f>
        <v/>
      </c>
      <c r="W11" s="73" t="str">
        <f>IF($B11="","",
IF(W$5="","",
IF('Final Term'!W11="",0,
IF(NOT(ISNUMBER('Final Term'!W11)),"NAN",
IF('Final Term'!W11&lt;0,"NEG",
IF('Final Term'!W11&gt;W$5,"OVER",
IF(AND(W$5&lt;=100,'Final Term'!W11&gt;100),"ERR",
IF(Info!$B$4="Non-board program",
IF(OR(AND(W$5&gt;0,W$5&gt;100),AND(W$5&gt;0,W$5&lt;100)),
VLOOKUP(FLOOR(('Final Term'!W11/W$5)*100,1),new_transmute,2,FALSE),
VLOOKUP('Final Term'!W11,new_transmute,2,FALSE)
),
IF(Info!$B$4="Board program",
IF(OR(AND(W$5&gt;0,W$5&gt;100),AND(W$5&gt;0,W$5&lt;100)),
VLOOKUP(FLOOR(('Final Term'!W11/W$5)*100,1),new_transmute,3,FALSE),
VLOOKUP('Final Term'!W11,new_transmute,3,FALSE)
),
IF(Info!$B$4="Board program (Medicine)",
IF(OR(AND(W$5&gt;0,W$5&gt;100),AND(W$5&gt;0,W$5&lt;100)),
VLOOKUP(FLOOR(('Final Term'!W11/W$5)*100,1),new_transmute,4,FALSE),
VLOOKUP('Final Term'!W11,new_transmute,4,FALSE)
),
""
)
)
)
)
)
)
)
)
))</f>
        <v/>
      </c>
      <c r="X11" s="73" t="str">
        <f>IF($B11="","",
IF(X$5="","",
IF('Final Term'!X11="",0,
IF(NOT(ISNUMBER('Final Term'!X11)),"NAN",
IF('Final Term'!X11&lt;0,"NEG",
IF('Final Term'!X11&gt;X$5,"OVER",
IF(AND(X$5&lt;=100,'Final Term'!X11&gt;100),"ERR",
IF(Info!$B$4="Non-board program",
IF(OR(AND(X$5&gt;0,X$5&gt;100),AND(X$5&gt;0,X$5&lt;100)),
VLOOKUP(FLOOR(('Final Term'!X11/X$5)*100,1),new_transmute,2,FALSE),
VLOOKUP('Final Term'!X11,new_transmute,2,FALSE)
),
IF(Info!$B$4="Board program",
IF(OR(AND(X$5&gt;0,X$5&gt;100),AND(X$5&gt;0,X$5&lt;100)),
VLOOKUP(FLOOR(('Final Term'!X11/X$5)*100,1),new_transmute,3,FALSE),
VLOOKUP('Final Term'!X11,new_transmute,3,FALSE)
),
IF(Info!$B$4="Board program (Medicine)",
IF(OR(AND(X$5&gt;0,X$5&gt;100),AND(X$5&gt;0,X$5&lt;100)),
VLOOKUP(FLOOR(('Final Term'!X11/X$5)*100,1),new_transmute,4,FALSE),
VLOOKUP('Final Term'!X11,new_transmute,4,FALSE)
),
""
)
)
)
)
)
)
)
)
))</f>
        <v/>
      </c>
      <c r="Y11" s="112" t="str">
        <f t="shared" si="4"/>
        <v/>
      </c>
      <c r="Z11" s="73" t="str">
        <f>IF($B11="","",
IF(Z$5="","",
IF('Final Term'!Z11="",0,
IF(NOT(ISNUMBER('Final Term'!Z11)),"NAN",
IF('Final Term'!Z11&lt;0,"NEG",
IF('Final Term'!Z11&gt;Z$5,"OVER",
IF(AND(Z$5&lt;=100,'Final Term'!Z11&gt;100),"ERR",
IF(Info!$B$4="Non-board program",
IF(OR(AND(Z$5&gt;0,Z$5&gt;100),AND(Z$5&gt;0,Z$5&lt;100)),
VLOOKUP(FLOOR(('Final Term'!Z11/Z$5)*100,1),new_transmute,2,FALSE),
VLOOKUP('Final Term'!Z11,new_transmute,2,FALSE)
),
IF(Info!$B$4="Board program",
IF(OR(AND(Z$5&gt;0,Z$5&gt;100),AND(Z$5&gt;0,Z$5&lt;100)),
VLOOKUP(FLOOR(('Final Term'!Z11/Z$5)*100,1),new_transmute,3,FALSE),
VLOOKUP('Final Term'!Z11,new_transmute,3,FALSE)
),
IF(Info!$B$4="Board program (Medicine)",
IF(OR(AND(Z$5&gt;0,Z$5&gt;100),AND(Z$5&gt;0,Z$5&lt;100)),
VLOOKUP(FLOOR(('Final Term'!Z11/Z$5)*100,1),new_transmute,4,FALSE),
VLOOKUP('Final Term'!Z11,new_transmute,4,FALSE)
),
""
)
)
)
)
)
)
)
)
))</f>
        <v/>
      </c>
      <c r="AA11" s="73" t="str">
        <f>IF($B11="","",
IF(AA$5="","",
IF('Final Term'!AA11="",0,
IF(NOT(ISNUMBER('Final Term'!AA11)),"NAN",
IF('Final Term'!AA11&lt;0,"NEG",
IF('Final Term'!AA11&gt;AA$5,"OVER",
IF(AND(AA$5&lt;=100,'Final Term'!AA11&gt;100),"ERR",
IF(Info!$B$4="Non-board program",
IF(OR(AND(AA$5&gt;0,AA$5&gt;100),AND(AA$5&gt;0,AA$5&lt;100)),
VLOOKUP(FLOOR(('Final Term'!AA11/AA$5)*100,1),new_transmute,2,FALSE),
VLOOKUP('Final Term'!AA11,new_transmute,2,FALSE)
),
IF(Info!$B$4="Board program",
IF(OR(AND(AA$5&gt;0,AA$5&gt;100),AND(AA$5&gt;0,AA$5&lt;100)),
VLOOKUP(FLOOR(('Final Term'!AA11/AA$5)*100,1),new_transmute,3,FALSE),
VLOOKUP('Final Term'!AA11,new_transmute,3,FALSE)
),
IF(Info!$B$4="Board program (Medicine)",
IF(OR(AND(AA$5&gt;0,AA$5&gt;100),AND(AA$5&gt;0,AA$5&lt;100)),
VLOOKUP(FLOOR(('Final Term'!AA11/AA$5)*100,1),new_transmute,4,FALSE),
VLOOKUP('Final Term'!AA11,new_transmute,4,FALSE)
),
""
)
)
)
)
)
)
)
)
))</f>
        <v/>
      </c>
      <c r="AB11" s="73" t="str">
        <f>IF($B11="","",
IF(AB$5="","",
IF('Final Term'!AB11="",0,
IF(NOT(ISNUMBER('Final Term'!AB11)),"NAN",
IF('Final Term'!AB11&lt;0,"NEG",
IF('Final Term'!AB11&gt;AB$5,"OVER",
IF(AND(AB$5&lt;=100,'Final Term'!AB11&gt;100),"ERR",
IF(Info!$B$4="Non-board program",
IF(OR(AND(AB$5&gt;0,AB$5&gt;100),AND(AB$5&gt;0,AB$5&lt;100)),
VLOOKUP(FLOOR(('Final Term'!AB11/AB$5)*100,1),new_transmute,2,FALSE),
VLOOKUP('Final Term'!AB11,new_transmute,2,FALSE)
),
IF(Info!$B$4="Board program",
IF(OR(AND(AB$5&gt;0,AB$5&gt;100),AND(AB$5&gt;0,AB$5&lt;100)),
VLOOKUP(FLOOR(('Final Term'!AB11/AB$5)*100,1),new_transmute,3,FALSE),
VLOOKUP('Final Term'!AB11,new_transmute,3,FALSE)
),
IF(Info!$B$4="Board program (Medicine)",
IF(OR(AND(AB$5&gt;0,AB$5&gt;100),AND(AB$5&gt;0,AB$5&lt;100)),
VLOOKUP(FLOOR(('Final Term'!AB11/AB$5)*100,1),new_transmute,4,FALSE),
VLOOKUP('Final Term'!AB11,new_transmute,4,FALSE)
),
""
)
)
)
)
)
)
)
)
))</f>
        <v/>
      </c>
      <c r="AC11" s="73" t="str">
        <f>IF($B11="","",
IF(AC$5="","",
IF('Final Term'!AC11="",0,
IF(NOT(ISNUMBER('Final Term'!AC11)),"NAN",
IF('Final Term'!AC11&lt;0,"NEG",
IF('Final Term'!AC11&gt;AC$5,"OVER",
IF(AND(AC$5&lt;=100,'Final Term'!AC11&gt;100),"ERR",
IF(Info!$B$4="Non-board program",
IF(OR(AND(AC$5&gt;0,AC$5&gt;100),AND(AC$5&gt;0,AC$5&lt;100)),
VLOOKUP(FLOOR(('Final Term'!AC11/AC$5)*100,1),new_transmute,2,FALSE),
VLOOKUP('Final Term'!AC11,new_transmute,2,FALSE)
),
IF(Info!$B$4="Board program",
IF(OR(AND(AC$5&gt;0,AC$5&gt;100),AND(AC$5&gt;0,AC$5&lt;100)),
VLOOKUP(FLOOR(('Final Term'!AC11/AC$5)*100,1),new_transmute,3,FALSE),
VLOOKUP('Final Term'!AC11,new_transmute,3,FALSE)
),
IF(Info!$B$4="Board program (Medicine)",
IF(OR(AND(AC$5&gt;0,AC$5&gt;100),AND(AC$5&gt;0,AC$5&lt;100)),
VLOOKUP(FLOOR(('Final Term'!AC11/AC$5)*100,1),new_transmute,4,FALSE),
VLOOKUP('Final Term'!AC11,new_transmute,4,FALSE)
),
""
)
)
)
)
)
)
)
)
))</f>
        <v/>
      </c>
      <c r="AD11" s="73" t="str">
        <f>IF($B11="","",
IF(AD$5="","",
IF('Final Term'!AD11="",0,
IF(NOT(ISNUMBER('Final Term'!AD11)),"NAN",
IF('Final Term'!AD11&lt;0,"NEG",
IF('Final Term'!AD11&gt;AD$5,"OVER",
IF(AND(AD$5&lt;=100,'Final Term'!AD11&gt;100),"ERR",
IF(Info!$B$4="Non-board program",
IF(OR(AND(AD$5&gt;0,AD$5&gt;100),AND(AD$5&gt;0,AD$5&lt;100)),
VLOOKUP(FLOOR(('Final Term'!AD11/AD$5)*100,1),new_transmute,2,FALSE),
VLOOKUP('Final Term'!AD11,new_transmute,2,FALSE)
),
IF(Info!$B$4="Board program",
IF(OR(AND(AD$5&gt;0,AD$5&gt;100),AND(AD$5&gt;0,AD$5&lt;100)),
VLOOKUP(FLOOR(('Final Term'!AD11/AD$5)*100,1),new_transmute,3,FALSE),
VLOOKUP('Final Term'!AD11,new_transmute,3,FALSE)
),
IF(Info!$B$4="Board program (Medicine)",
IF(OR(AND(AD$5&gt;0,AD$5&gt;100),AND(AD$5&gt;0,AD$5&lt;100)),
VLOOKUP(FLOOR(('Final Term'!AD11/AD$5)*100,1),new_transmute,4,FALSE),
VLOOKUP('Final Term'!AD11,new_transmute,4,FALSE)
),
""
)
)
)
)
)
)
)
)
))</f>
        <v/>
      </c>
      <c r="AE11" s="58" t="str">
        <f t="shared" si="5"/>
        <v/>
      </c>
      <c r="AF11" s="73" t="str">
        <f>IF($B11="","",
IF(AF$5="","",
IF('Final Term'!AF11="",0,
IF(NOT(ISNUMBER('Final Term'!AF11)),"NAN",
IF('Final Term'!AF11&lt;0,"NEG",
IF('Final Term'!AF11&gt;AF$5,"OVER",
IF(AND(AF$5&lt;=100,'Final Term'!AF11&gt;100),"ERR",
IF(Info!$B$4="Non-board program",
IF(OR(AND(AF$5&gt;0,AF$5&gt;100),AND(AF$5&gt;0,AF$5&lt;100)),
VLOOKUP(FLOOR(('Final Term'!AF11/AF$5)*100,1),new_transmute,2,FALSE),
VLOOKUP('Final Term'!AF11,new_transmute,2,FALSE)
),
IF(Info!$B$4="Board program",
IF(OR(AND(AF$5&gt;0,AF$5&gt;100),AND(AF$5&gt;0,AF$5&lt;100)),
VLOOKUP(FLOOR(('Final Term'!AF11/AF$5)*100,1),new_transmute,3,FALSE),
VLOOKUP('Final Term'!AF11,new_transmute,3,FALSE)
),
IF(Info!$B$4="Board program (Medicine)",
IF(OR(AND(AF$5&gt;0,AF$5&gt;100),AND(AF$5&gt;0,AF$5&lt;100)),
VLOOKUP(FLOOR(('Final Term'!AF11/AF$5)*100,1),new_transmute,4,FALSE),
VLOOKUP('Final Term'!AF11,new_transmute,4,FALSE)
),
""
)
)
)
)
)
)
)
)
))</f>
        <v/>
      </c>
      <c r="AG11" s="73" t="str">
        <f>IF($B11="","",
IF(AG$5="","",
IF('Final Term'!AG11="",0,
IF(NOT(ISNUMBER('Final Term'!AG11)),"NAN",
IF('Final Term'!AG11&lt;0,"NEG",
IF('Final Term'!AG11&gt;AG$5,"OVER",
IF(AND(AG$5&lt;=100,'Final Term'!AG11&gt;100),"ERR",
IF(Info!$B$4="Non-board program",
IF(OR(AND(AG$5&gt;0,AG$5&gt;100),AND(AG$5&gt;0,AG$5&lt;100)),
VLOOKUP(FLOOR(('Final Term'!AG11/AG$5)*100,1),new_transmute,2,FALSE),
VLOOKUP('Final Term'!AG11,new_transmute,2,FALSE)
),
IF(Info!$B$4="Board program",
IF(OR(AND(AG$5&gt;0,AG$5&gt;100),AND(AG$5&gt;0,AG$5&lt;100)),
VLOOKUP(FLOOR(('Final Term'!AG11/AG$5)*100,1),new_transmute,3,FALSE),
VLOOKUP('Final Term'!AG11,new_transmute,3,FALSE)
),
IF(Info!$B$4="Board program (Medicine)",
IF(OR(AND(AG$5&gt;0,AG$5&gt;100),AND(AG$5&gt;0,AG$5&lt;100)),
VLOOKUP(FLOOR(('Final Term'!AG11/AG$5)*100,1),new_transmute,4,FALSE),
VLOOKUP('Final Term'!AG11,new_transmute,4,FALSE)
),
""
)
)
)
)
)
)
)
)
))</f>
        <v/>
      </c>
      <c r="AH11" s="73" t="str">
        <f>IF($B11="","",
IF(AH$5="","",
IF('Final Term'!AH11="",0,
IF(NOT(ISNUMBER('Final Term'!AH11)),"NAN",
IF('Final Term'!AH11&lt;0,"NEG",
IF('Final Term'!AH11&gt;AH$5,"OVER",
IF(AND(AH$5&lt;=100,'Final Term'!AH11&gt;100),"ERR",
IF(Info!$B$4="Non-board program",
IF(OR(AND(AH$5&gt;0,AH$5&gt;100),AND(AH$5&gt;0,AH$5&lt;100)),
VLOOKUP(FLOOR(('Final Term'!AH11/AH$5)*100,1),new_transmute,2,FALSE),
VLOOKUP('Final Term'!AH11,new_transmute,2,FALSE)
),
IF(Info!$B$4="Board program",
IF(OR(AND(AH$5&gt;0,AH$5&gt;100),AND(AH$5&gt;0,AH$5&lt;100)),
VLOOKUP(FLOOR(('Final Term'!AH11/AH$5)*100,1),new_transmute,3,FALSE),
VLOOKUP('Final Term'!AH11,new_transmute,3,FALSE)
),
IF(Info!$B$4="Board program (Medicine)",
IF(OR(AND(AH$5&gt;0,AH$5&gt;100),AND(AH$5&gt;0,AH$5&lt;100)),
VLOOKUP(FLOOR(('Final Term'!AH11/AH$5)*100,1),new_transmute,4,FALSE),
VLOOKUP('Final Term'!AH11,new_transmute,4,FALSE)
),
""
)
)
)
)
)
)
)
)
))</f>
        <v/>
      </c>
      <c r="AI11" s="73" t="str">
        <f>IF($B11="","",
IF(AI$5="","",
IF('Final Term'!AI11="",0,
IF(NOT(ISNUMBER('Final Term'!AI11)),"NAN",
IF('Final Term'!AI11&lt;0,"NEG",
IF('Final Term'!AI11&gt;AI$5,"OVER",
IF(AND(AI$5&lt;=100,'Final Term'!AI11&gt;100),"ERR",
IF(Info!$B$4="Non-board program",
IF(OR(AND(AI$5&gt;0,AI$5&gt;100),AND(AI$5&gt;0,AI$5&lt;100)),
VLOOKUP(FLOOR(('Final Term'!AI11/AI$5)*100,1),new_transmute,2,FALSE),
VLOOKUP('Final Term'!AI11,new_transmute,2,FALSE)
),
IF(Info!$B$4="Board program",
IF(OR(AND(AI$5&gt;0,AI$5&gt;100),AND(AI$5&gt;0,AI$5&lt;100)),
VLOOKUP(FLOOR(('Final Term'!AI11/AI$5)*100,1),new_transmute,3,FALSE),
VLOOKUP('Final Term'!AI11,new_transmute,3,FALSE)
),
IF(Info!$B$4="Board program (Medicine)",
IF(OR(AND(AI$5&gt;0,AI$5&gt;100),AND(AI$5&gt;0,AI$5&lt;100)),
VLOOKUP(FLOOR(('Final Term'!AI11/AI$5)*100,1),new_transmute,4,FALSE),
VLOOKUP('Final Term'!AI11,new_transmute,4,FALSE)
),
""
)
)
)
)
)
)
)
)
))</f>
        <v/>
      </c>
      <c r="AJ11" s="73" t="str">
        <f>IF($B11="","",
IF(AJ$5="","",
IF('Final Term'!AJ11="",0,
IF(NOT(ISNUMBER('Final Term'!AJ11)),"NAN",
IF('Final Term'!AJ11&lt;0,"NEG",
IF('Final Term'!AJ11&gt;AJ$5,"OVER",
IF(AND(AJ$5&lt;=100,'Final Term'!AJ11&gt;100),"ERR",
IF(Info!$B$4="Non-board program",
IF(OR(AND(AJ$5&gt;0,AJ$5&gt;100),AND(AJ$5&gt;0,AJ$5&lt;100)),
VLOOKUP(FLOOR(('Final Term'!AJ11/AJ$5)*100,1),new_transmute,2,FALSE),
VLOOKUP('Final Term'!AJ11,new_transmute,2,FALSE)
),
IF(Info!$B$4="Board program",
IF(OR(AND(AJ$5&gt;0,AJ$5&gt;100),AND(AJ$5&gt;0,AJ$5&lt;100)),
VLOOKUP(FLOOR(('Final Term'!AJ11/AJ$5)*100,1),new_transmute,3,FALSE),
VLOOKUP('Final Term'!AJ11,new_transmute,3,FALSE)
),
IF(Info!$B$4="Board program (Medicine)",
IF(OR(AND(AJ$5&gt;0,AJ$5&gt;100),AND(AJ$5&gt;0,AJ$5&lt;100)),
VLOOKUP(FLOOR(('Final Term'!AJ11/AJ$5)*100,1),new_transmute,4,FALSE),
VLOOKUP('Final Term'!AJ11,new_transmute,4,FALSE)
),
""
)
)
)
)
)
)
)
)
))</f>
        <v/>
      </c>
      <c r="AK11" s="59" t="str">
        <f t="shared" si="6"/>
        <v/>
      </c>
      <c r="AL11" s="60" t="str">
        <f>IF(B11="", "",
    IF(OR(M11="OVER", S11="OVER", Y11="OVER", AE11="OVER", AK11="OVER"),
        "OVER",
        IF(Info!$B$4="Non-board program",
            VLOOKUP(IFERROR(FLOOR(SUM((M11*$M$4), (S11*$S$4), (Y11*$Y$4), (AE11*$AE$4), (AK11*$AK$4)) * (100 / 60), 1), 0), new_transmute, 2, FALSE),
            IF(Info!$B$4="Board program",
                VLOOKUP(IFERROR(FLOOR(SUM((M11*$M$4), (S11*$S$4), (Y11*$Y$4), (AE11*$AE$4), (AK11*$AK$4)) * (100 / 60), 1), 0), new_transmute, 3, FALSE),
                IF(Info!$B$4="Board program (Medicine)",
                    VLOOKUP(IFERROR(FLOOR(SUM((M11*$M$4), (S11*$S$4), (Y11*$Y$4), (AE11*$AE$4), (AK11*$AK$4)) * (100 / 60), 1), 0), new_transmute, 4, FALSE),
                    ""
                )
            )
        )
    )
)</f>
        <v/>
      </c>
      <c r="AM11" s="73" t="str">
        <f>IF($B11="","",
IF(AM$5="","",
IF('Final Term'!AM11="",0,
IF(NOT(ISNUMBER('Final Term'!AM11)),"NAN",
IF('Final Term'!AM11&lt;0,"NEG",
IF('Final Term'!AM11&gt;AM$5,"OVER",
IF(AND(AM$5&lt;=100,'Final Term'!AM11&gt;100),"ERR",
IF(Info!$B$4="Non-board program",
IF(OR(AND(AM$5&gt;0,AM$5&gt;100),AND(AM$5&gt;0,AM$5&lt;100)),
VLOOKUP(FLOOR(('Final Term'!AM11/AM$5)*100,1),new_transmute,2,FALSE),
VLOOKUP('Final Term'!AM11,new_transmute,2,FALSE)
),
IF(Info!$B$4="Board program",
IF(OR(AND(AM$5&gt;0,AM$5&gt;100),AND(AM$5&gt;0,AM$5&lt;100)),
VLOOKUP(FLOOR(('Final Term'!AM11/AM$5)*100,1),new_transmute,3,FALSE),
VLOOKUP('Final Term'!AM11,new_transmute,3,FALSE)
),
IF(Info!$B$4="Board program (Medicine)",
IF(OR(AND(AM$5&gt;0,AM$5&gt;100),AND(AM$5&gt;0,AM$5&lt;100)),
VLOOKUP(FLOOR(('Final Term'!AM11/AM$5)*100,1),new_transmute,4,FALSE),
VLOOKUP('Final Term'!AM11,new_transmute,4,FALSE)
),
""
)
)
)
)
)
)
)
)
))</f>
        <v/>
      </c>
      <c r="AN11" s="73" t="str">
        <f>IF($B11="","",
IF(AN$5="","",
IF('Final Term'!AN11="",0,
IF(NOT(ISNUMBER('Final Term'!AN11)),"NAN",
IF('Final Term'!AN11&lt;0,"NEG",
IF('Final Term'!AN11&gt;AN$5,"OVER",
IF(AND(AN$5&lt;=100,'Final Term'!AN11&gt;100),"ERR",
IF(Info!$B$4="Non-board program",
IF(OR(AND(AN$5&gt;0,AN$5&gt;100),AND(AN$5&gt;0,AN$5&lt;100)),
VLOOKUP(FLOOR(('Final Term'!AN11/AN$5)*100,1),new_transmute,2,FALSE),
VLOOKUP('Final Term'!AN11,new_transmute,2,FALSE)
),
IF(Info!$B$4="Board program",
IF(OR(AND(AN$5&gt;0,AN$5&gt;100),AND(AN$5&gt;0,AN$5&lt;100)),
VLOOKUP(FLOOR(('Final Term'!AN11/AN$5)*100,1),new_transmute,3,FALSE),
VLOOKUP('Final Term'!AN11,new_transmute,3,FALSE)
),
IF(Info!$B$4="Board program (Medicine)",
IF(OR(AND(AN$5&gt;0,AN$5&gt;100),AND(AN$5&gt;0,AN$5&lt;100)),
VLOOKUP(FLOOR(('Final Term'!AN11/AN$5)*100,1),new_transmute,4,FALSE),
VLOOKUP('Final Term'!AN11,new_transmute,4,FALSE)
),
""
)
)
)
)
)
)
)
)
))</f>
        <v/>
      </c>
      <c r="AO11" s="73" t="str">
        <f>IF($B11="","",
IF(AO$5="","",
IF('Final Term'!AO11="",0,
IF(NOT(ISNUMBER('Final Term'!AO11)),"NAN",
IF('Final Term'!AO11&lt;0,"NEG",
IF('Final Term'!AO11&gt;AO$5,"OVER",
IF(AND(AO$5&lt;=100,'Final Term'!AO11&gt;100),"ERR",
IF(Info!$B$4="Non-board program",
IF(OR(AND(AO$5&gt;0,AO$5&gt;100),AND(AO$5&gt;0,AO$5&lt;100)),
VLOOKUP(FLOOR(('Final Term'!AO11/AO$5)*100,1),new_transmute,2,FALSE),
VLOOKUP('Final Term'!AO11,new_transmute,2,FALSE)
),
IF(Info!$B$4="Board program",
IF(OR(AND(AO$5&gt;0,AO$5&gt;100),AND(AO$5&gt;0,AO$5&lt;100)),
VLOOKUP(FLOOR(('Final Term'!AO11/AO$5)*100,1),new_transmute,3,FALSE),
VLOOKUP('Final Term'!AO11,new_transmute,3,FALSE)
),
IF(Info!$B$4="Board program (Medicine)",
IF(OR(AND(AO$5&gt;0,AO$5&gt;100),AND(AO$5&gt;0,AO$5&lt;100)),
VLOOKUP(FLOOR(('Final Term'!AO11/AO$5)*100,1),new_transmute,4,FALSE),
VLOOKUP('Final Term'!AO11,new_transmute,4,FALSE)
),
""
)
)
)
)
)
)
)
)
))</f>
        <v/>
      </c>
      <c r="AP11" s="73" t="str">
        <f>IF($B11="","",
IF(AP$5="","",
IF('Final Term'!AP11="",0,
IF(NOT(ISNUMBER('Final Term'!AP11)),"NAN",
IF('Final Term'!AP11&lt;0,"NEG",
IF('Final Term'!AP11&gt;AP$5,"OVER",
IF(AND(AP$5&lt;=100,'Final Term'!AP11&gt;100),"ERR",
IF(Info!$B$4="Non-board program",
IF(OR(AND(AP$5&gt;0,AP$5&gt;100),AND(AP$5&gt;0,AP$5&lt;100)),
VLOOKUP(FLOOR(('Final Term'!AP11/AP$5)*100,1),new_transmute,2,FALSE),
VLOOKUP('Final Term'!AP11,new_transmute,2,FALSE)
),
IF(Info!$B$4="Board program",
IF(OR(AND(AP$5&gt;0,AP$5&gt;100),AND(AP$5&gt;0,AP$5&lt;100)),
VLOOKUP(FLOOR(('Final Term'!AP11/AP$5)*100,1),new_transmute,3,FALSE),
VLOOKUP('Final Term'!AP11,new_transmute,3,FALSE)
),
IF(Info!$B$4="Board program (Medicine)",
IF(OR(AND(AP$5&gt;0,AP$5&gt;100),AND(AP$5&gt;0,AP$5&lt;100)),
VLOOKUP(FLOOR(('Final Term'!AP11/AP$5)*100,1),new_transmute,4,FALSE),
VLOOKUP('Final Term'!AP11,new_transmute,4,FALSE)
),
""
)
)
)
)
)
)
)
)
))</f>
        <v/>
      </c>
      <c r="AQ11" s="61" t="str">
        <f t="shared" si="7"/>
        <v/>
      </c>
      <c r="AR11" s="48" t="str">
        <f>IF('Final Term'!AR11="","",'Final Term'!AR11)</f>
        <v/>
      </c>
      <c r="AS11" s="165" t="str">
        <f t="shared" si="8"/>
        <v/>
      </c>
      <c r="AT11" s="14" t="str">
        <f t="shared" si="0"/>
        <v/>
      </c>
      <c r="AU11" s="13" t="str">
        <f>IF(B11="","",VLOOKUP(AT11,'New Grade Equivalent'!$B$3:$C$47,2,FALSE))</f>
        <v/>
      </c>
    </row>
    <row r="12" spans="1:47" x14ac:dyDescent="0.25">
      <c r="A12" s="8">
        <v>7</v>
      </c>
      <c r="B12" s="2" t="str">
        <f>IF('Student List'!C16="","",UPPER(LEFT('Student List'!C16,FIND(",",'Student List'!C16)-1)))</f>
        <v/>
      </c>
      <c r="C12" s="12" t="str">
        <f>IF('Student List'!C16="","",PROPER(MID('Student List'!C16, FIND(",", 'Student List'!C16) + 2, LEN('Student List'!C16) - FIND(",", 'Student List'!C16) - 1)))</f>
        <v/>
      </c>
      <c r="D12" s="127" t="str">
        <f>IF('Final Term'!D12="","",'Final Term'!D12)</f>
        <v/>
      </c>
      <c r="E12" s="8" t="str">
        <f>IF(MidCom!E12="FA", "FA",
    IF(MidCom!E12="DRP", "DRP",
        IF(MidCom!E12="WF", "WF",
            IF(D12="Yes", "INC",
               IF((SUM('MT Attendance'!AW10) / 3 + SUM('MT Attendance'!AY10) + SUM('FT Attendance'!AW10) / 3 + SUM('FT Attendance'!AY10)) &gt;= 0.2 * (SUMPRODUCT(--(ISTEXT('MT Attendance'!$C$2:$AU$2))) + SUMPRODUCT(--(ISTEXT('FT Attendance'!$C$2:$AU$2)))), "FA",
                   MidCom!E12
                )
            )
        )
    )
)</f>
        <v/>
      </c>
      <c r="F12" s="73" t="str">
        <f>IF($B12="","",
IF(F$5="","",
IF('Final Term'!F12="",0,
IF(NOT(ISNUMBER('Final Term'!F12)),"NAN",
IF('Final Term'!F12&lt;0,"NEG",
IF('Final Term'!F12&gt;F$5,"OVER",
IF(AND(F$5&lt;=100,'Final Term'!F12&gt;100),"ERR",
IF(Info!$B$4="Non-board program",
IF(OR(AND(F$5&gt;0,F$5&gt;100),AND(F$5&gt;0,F$5&lt;100)),
VLOOKUP(FLOOR(('Final Term'!F12/F$5)*100,1),new_transmute,2,FALSE),
VLOOKUP('Final Term'!F12,new_transmute,2,FALSE)
),
IF(Info!$B$4="Board program",
IF(OR(AND(F$5&gt;0,F$5&gt;100),AND(F$5&gt;0,F$5&lt;100)),
VLOOKUP(FLOOR(('Final Term'!F12/F$5)*100,1),new_transmute,3,FALSE),
VLOOKUP('Final Term'!F12,new_transmute,3,FALSE)
),
IF(Info!$B$4="Board program (Medicine)",
IF(OR(AND(F$5&gt;0,F$5&gt;100),AND(F$5&gt;0,F$5&lt;100)),
VLOOKUP(FLOOR(('Final Term'!F12/F$5)*100,1),new_transmute,4,FALSE),
VLOOKUP('Final Term'!F12,new_transmute,4,FALSE)
),
""
)
)
)
)
)
)
)
)
))</f>
        <v/>
      </c>
      <c r="G12" s="57" t="str">
        <f t="shared" si="1"/>
        <v/>
      </c>
      <c r="H12" s="73" t="str">
        <f>IF($B12="","",
IF(H$5="","",
IF('Final Term'!H12="",0,
IF(NOT(ISNUMBER('Final Term'!H12)),"NAN",
IF('Final Term'!H12&lt;0,"NEG",
IF('Final Term'!H12&gt;H$5,"OVER",
IF(AND(H$5&lt;=100,'Final Term'!H12&gt;100),"ERR",
IF(Info!$B$4="Non-board program",
IF(OR(AND(H$5&gt;0,H$5&gt;100),AND(H$5&gt;0,H$5&lt;100)),
VLOOKUP(FLOOR(('Final Term'!H12/H$5)*100,1),new_transmute,2,FALSE),
VLOOKUP('Final Term'!H12,new_transmute,2,FALSE)
),
IF(Info!$B$4="Board program",
IF(OR(AND(H$5&gt;0,H$5&gt;100),AND(H$5&gt;0,H$5&lt;100)),
VLOOKUP(FLOOR(('Final Term'!H12/H$5)*100,1),new_transmute,3,FALSE),
VLOOKUP('Final Term'!H12,new_transmute,3,FALSE)
),
IF(Info!$B$4="Board program (Medicine)",
IF(OR(AND(H$5&gt;0,H$5&gt;100),AND(H$5&gt;0,H$5&lt;100)),
VLOOKUP(FLOOR(('Final Term'!H12/H$5)*100,1),new_transmute,4,FALSE),
VLOOKUP('Final Term'!H12,new_transmute,4,FALSE)
),
""
)
)
)
)
)
)
)
)
))</f>
        <v/>
      </c>
      <c r="I12" s="73" t="str">
        <f>IF($B12="","",
IF(I$5="","",
IF('Final Term'!I12="",0,
IF(NOT(ISNUMBER('Final Term'!I12)),"NAN",
IF('Final Term'!I12&lt;0,"NEG",
IF('Final Term'!I12&gt;I$5,"OVER",
IF(AND(I$5&lt;=100,'Final Term'!I12&gt;100),"ERR",
IF(Info!$B$4="Non-board program",
IF(OR(AND(I$5&gt;0,I$5&gt;100),AND(I$5&gt;0,I$5&lt;100)),
VLOOKUP(FLOOR(('Final Term'!I12/I$5)*100,1),new_transmute,2,FALSE),
VLOOKUP('Final Term'!I12,new_transmute,2,FALSE)
),
IF(Info!$B$4="Board program",
IF(OR(AND(I$5&gt;0,I$5&gt;100),AND(I$5&gt;0,I$5&lt;100)),
VLOOKUP(FLOOR(('Final Term'!I12/I$5)*100,1),new_transmute,3,FALSE),
VLOOKUP('Final Term'!I12,new_transmute,3,FALSE)
),
IF(Info!$B$4="Board program (Medicine)",
IF(OR(AND(I$5&gt;0,I$5&gt;100),AND(I$5&gt;0,I$5&lt;100)),
VLOOKUP(FLOOR(('Final Term'!I12/I$5)*100,1),new_transmute,4,FALSE),
VLOOKUP('Final Term'!I12,new_transmute,4,FALSE)
),
""
)
)
)
)
)
)
)
)
))</f>
        <v/>
      </c>
      <c r="J12" s="73" t="str">
        <f>IF($B12="","",
IF(J$5="","",
IF('Final Term'!J12="",0,
IF(NOT(ISNUMBER('Final Term'!J12)),"NAN",
IF('Final Term'!J12&lt;0,"NEG",
IF('Final Term'!J12&gt;J$5,"OVER",
IF(AND(J$5&lt;=100,'Final Term'!J12&gt;100),"ERR",
IF(Info!$B$4="Non-board program",
IF(OR(AND(J$5&gt;0,J$5&gt;100),AND(J$5&gt;0,J$5&lt;100)),
VLOOKUP(FLOOR(('Final Term'!J12/J$5)*100,1),new_transmute,2,FALSE),
VLOOKUP('Final Term'!J12,new_transmute,2,FALSE)
),
IF(Info!$B$4="Board program",
IF(OR(AND(J$5&gt;0,J$5&gt;100),AND(J$5&gt;0,J$5&lt;100)),
VLOOKUP(FLOOR(('Final Term'!J12/J$5)*100,1),new_transmute,3,FALSE),
VLOOKUP('Final Term'!J12,new_transmute,3,FALSE)
),
IF(Info!$B$4="Board program (Medicine)",
IF(OR(AND(J$5&gt;0,J$5&gt;100),AND(J$5&gt;0,J$5&lt;100)),
VLOOKUP(FLOOR(('Final Term'!J12/J$5)*100,1),new_transmute,4,FALSE),
VLOOKUP('Final Term'!J12,new_transmute,4,FALSE)
),
""
)
)
)
)
)
)
)
)
))</f>
        <v/>
      </c>
      <c r="K12" s="73" t="str">
        <f>IF($B12="","",
IF(K$5="","",
IF('Final Term'!K12="",0,
IF(NOT(ISNUMBER('Final Term'!K12)),"NAN",
IF('Final Term'!K12&lt;0,"NEG",
IF('Final Term'!K12&gt;K$5,"OVER",
IF(AND(K$5&lt;=100,'Final Term'!K12&gt;100),"ERR",
IF(Info!$B$4="Non-board program",
IF(OR(AND(K$5&gt;0,K$5&gt;100),AND(K$5&gt;0,K$5&lt;100)),
VLOOKUP(FLOOR(('Final Term'!K12/K$5)*100,1),new_transmute,2,FALSE),
VLOOKUP('Final Term'!K12,new_transmute,2,FALSE)
),
IF(Info!$B$4="Board program",
IF(OR(AND(K$5&gt;0,K$5&gt;100),AND(K$5&gt;0,K$5&lt;100)),
VLOOKUP(FLOOR(('Final Term'!K12/K$5)*100,1),new_transmute,3,FALSE),
VLOOKUP('Final Term'!K12,new_transmute,3,FALSE)
),
IF(Info!$B$4="Board program (Medicine)",
IF(OR(AND(K$5&gt;0,K$5&gt;100),AND(K$5&gt;0,K$5&lt;100)),
VLOOKUP(FLOOR(('Final Term'!K12/K$5)*100,1),new_transmute,4,FALSE),
VLOOKUP('Final Term'!K12,new_transmute,4,FALSE)
),
""
)
)
)
)
)
)
)
)
))</f>
        <v/>
      </c>
      <c r="L12" s="73" t="str">
        <f>IF($B12="","",
IF(L$5="","",
IF('Final Term'!L12="",0,
IF(NOT(ISNUMBER('Final Term'!L12)),"NAN",
IF('Final Term'!L12&lt;0,"NEG",
IF('Final Term'!L12&gt;L$5,"OVER",
IF(AND(L$5&lt;=100,'Final Term'!L12&gt;100),"ERR",
IF(Info!$B$4="Non-board program",
IF(OR(AND(L$5&gt;0,L$5&gt;100),AND(L$5&gt;0,L$5&lt;100)),
VLOOKUP(FLOOR(('Final Term'!L12/L$5)*100,1),new_transmute,2,FALSE),
VLOOKUP('Final Term'!L12,new_transmute,2,FALSE)
),
IF(Info!$B$4="Board program",
IF(OR(AND(L$5&gt;0,L$5&gt;100),AND(L$5&gt;0,L$5&lt;100)),
VLOOKUP(FLOOR(('Final Term'!L12/L$5)*100,1),new_transmute,3,FALSE),
VLOOKUP('Final Term'!L12,new_transmute,3,FALSE)
),
IF(Info!$B$4="Board program (Medicine)",
IF(OR(AND(L$5&gt;0,L$5&gt;100),AND(L$5&gt;0,L$5&lt;100)),
VLOOKUP(FLOOR(('Final Term'!L12/L$5)*100,1),new_transmute,4,FALSE),
VLOOKUP('Final Term'!L12,new_transmute,4,FALSE)
),
""
)
)
)
)
)
)
)
)
))</f>
        <v/>
      </c>
      <c r="M12" s="111" t="str">
        <f t="shared" si="2"/>
        <v/>
      </c>
      <c r="N12" s="73" t="str">
        <f>IF($B12="","",
IF(N$5="","",
IF('Final Term'!N12="",0,
IF(NOT(ISNUMBER('Final Term'!N12)),"NAN",
IF('Final Term'!N12&lt;0,"NEG",
IF('Final Term'!N12&gt;N$5,"OVER",
IF(AND(N$5&lt;=100,'Final Term'!N12&gt;100),"ERR",
IF(Info!$B$4="Non-board program",
IF(OR(AND(N$5&gt;0,N$5&gt;100),AND(N$5&gt;0,N$5&lt;100)),
VLOOKUP(FLOOR(('Final Term'!N12/N$5)*100,1),new_transmute,2,FALSE),
VLOOKUP('Final Term'!N12,new_transmute,2,FALSE)
),
IF(Info!$B$4="Board program",
IF(OR(AND(N$5&gt;0,N$5&gt;100),AND(N$5&gt;0,N$5&lt;100)),
VLOOKUP(FLOOR(('Final Term'!N12/N$5)*100,1),new_transmute,3,FALSE),
VLOOKUP('Final Term'!N12,new_transmute,3,FALSE)
),
IF(Info!$B$4="Board program (Medicine)",
IF(OR(AND(N$5&gt;0,N$5&gt;100),AND(N$5&gt;0,N$5&lt;100)),
VLOOKUP(FLOOR(('Final Term'!N12/N$5)*100,1),new_transmute,4,FALSE),
VLOOKUP('Final Term'!N12,new_transmute,4,FALSE)
),
""
)
)
)
)
)
)
)
)
))</f>
        <v/>
      </c>
      <c r="O12" s="73" t="str">
        <f>IF($B12="","",
IF(O$5="","",
IF('Final Term'!O12="",0,
IF(NOT(ISNUMBER('Final Term'!O12)),"NAN",
IF('Final Term'!O12&lt;0,"NEG",
IF('Final Term'!O12&gt;O$5,"OVER",
IF(AND(O$5&lt;=100,'Final Term'!O12&gt;100),"ERR",
IF(Info!$B$4="Non-board program",
IF(OR(AND(O$5&gt;0,O$5&gt;100),AND(O$5&gt;0,O$5&lt;100)),
VLOOKUP(FLOOR(('Final Term'!O12/O$5)*100,1),new_transmute,2,FALSE),
VLOOKUP('Final Term'!O12,new_transmute,2,FALSE)
),
IF(Info!$B$4="Board program",
IF(OR(AND(O$5&gt;0,O$5&gt;100),AND(O$5&gt;0,O$5&lt;100)),
VLOOKUP(FLOOR(('Final Term'!O12/O$5)*100,1),new_transmute,3,FALSE),
VLOOKUP('Final Term'!O12,new_transmute,3,FALSE)
),
IF(Info!$B$4="Board program (Medicine)",
IF(OR(AND(O$5&gt;0,O$5&gt;100),AND(O$5&gt;0,O$5&lt;100)),
VLOOKUP(FLOOR(('Final Term'!O12/O$5)*100,1),new_transmute,4,FALSE),
VLOOKUP('Final Term'!O12,new_transmute,4,FALSE)
),
""
)
)
)
)
)
)
)
)
))</f>
        <v/>
      </c>
      <c r="P12" s="73" t="str">
        <f>IF($B12="","",
IF(P$5="","",
IF('Final Term'!P12="",0,
IF(NOT(ISNUMBER('Final Term'!P12)),"NAN",
IF('Final Term'!P12&lt;0,"NEG",
IF('Final Term'!P12&gt;P$5,"OVER",
IF(AND(P$5&lt;=100,'Final Term'!P12&gt;100),"ERR",
IF(Info!$B$4="Non-board program",
IF(OR(AND(P$5&gt;0,P$5&gt;100),AND(P$5&gt;0,P$5&lt;100)),
VLOOKUP(FLOOR(('Final Term'!P12/P$5)*100,1),new_transmute,2,FALSE),
VLOOKUP('Final Term'!P12,new_transmute,2,FALSE)
),
IF(Info!$B$4="Board program",
IF(OR(AND(P$5&gt;0,P$5&gt;100),AND(P$5&gt;0,P$5&lt;100)),
VLOOKUP(FLOOR(('Final Term'!P12/P$5)*100,1),new_transmute,3,FALSE),
VLOOKUP('Final Term'!P12,new_transmute,3,FALSE)
),
IF(Info!$B$4="Board program (Medicine)",
IF(OR(AND(P$5&gt;0,P$5&gt;100),AND(P$5&gt;0,P$5&lt;100)),
VLOOKUP(FLOOR(('Final Term'!P12/P$5)*100,1),new_transmute,4,FALSE),
VLOOKUP('Final Term'!P12,new_transmute,4,FALSE)
),
""
)
)
)
)
)
)
)
)
))</f>
        <v/>
      </c>
      <c r="Q12" s="73" t="str">
        <f>IF($B12="","",
IF(Q$5="","",
IF('Final Term'!Q12="",0,
IF(NOT(ISNUMBER('Final Term'!Q12)),"NAN",
IF('Final Term'!Q12&lt;0,"NEG",
IF('Final Term'!Q12&gt;Q$5,"OVER",
IF(AND(Q$5&lt;=100,'Final Term'!Q12&gt;100),"ERR",
IF(Info!$B$4="Non-board program",
IF(OR(AND(Q$5&gt;0,Q$5&gt;100),AND(Q$5&gt;0,Q$5&lt;100)),
VLOOKUP(FLOOR(('Final Term'!Q12/Q$5)*100,1),new_transmute,2,FALSE),
VLOOKUP('Final Term'!Q12,new_transmute,2,FALSE)
),
IF(Info!$B$4="Board program",
IF(OR(AND(Q$5&gt;0,Q$5&gt;100),AND(Q$5&gt;0,Q$5&lt;100)),
VLOOKUP(FLOOR(('Final Term'!Q12/Q$5)*100,1),new_transmute,3,FALSE),
VLOOKUP('Final Term'!Q12,new_transmute,3,FALSE)
),
IF(Info!$B$4="Board program (Medicine)",
IF(OR(AND(Q$5&gt;0,Q$5&gt;100),AND(Q$5&gt;0,Q$5&lt;100)),
VLOOKUP(FLOOR(('Final Term'!Q12/Q$5)*100,1),new_transmute,4,FALSE),
VLOOKUP('Final Term'!Q12,new_transmute,4,FALSE)
),
""
)
)
)
)
)
)
)
)
))</f>
        <v/>
      </c>
      <c r="R12" s="73" t="str">
        <f>IF($B12="","",
IF(R$5="","",
IF('Final Term'!R12="",0,
IF(NOT(ISNUMBER('Final Term'!R12)),"NAN",
IF('Final Term'!R12&lt;0,"NEG",
IF('Final Term'!R12&gt;R$5,"OVER",
IF(AND(R$5&lt;=100,'Final Term'!R12&gt;100),"ERR",
IF(Info!$B$4="Non-board program",
IF(OR(AND(R$5&gt;0,R$5&gt;100),AND(R$5&gt;0,R$5&lt;100)),
VLOOKUP(FLOOR(('Final Term'!R12/R$5)*100,1),new_transmute,2,FALSE),
VLOOKUP('Final Term'!R12,new_transmute,2,FALSE)
),
IF(Info!$B$4="Board program",
IF(OR(AND(R$5&gt;0,R$5&gt;100),AND(R$5&gt;0,R$5&lt;100)),
VLOOKUP(FLOOR(('Final Term'!R12/R$5)*100,1),new_transmute,3,FALSE),
VLOOKUP('Final Term'!R12,new_transmute,3,FALSE)
),
IF(Info!$B$4="Board program (Medicine)",
IF(OR(AND(R$5&gt;0,R$5&gt;100),AND(R$5&gt;0,R$5&lt;100)),
VLOOKUP(FLOOR(('Final Term'!R12/R$5)*100,1),new_transmute,4,FALSE),
VLOOKUP('Final Term'!R12,new_transmute,4,FALSE)
),
""
)
)
)
)
)
)
)
)
))</f>
        <v/>
      </c>
      <c r="S12" s="115" t="str">
        <f t="shared" si="3"/>
        <v/>
      </c>
      <c r="T12" s="73" t="str">
        <f>IF($B12="","",
IF(T$5="","",
IF('Final Term'!T12="",0,
IF(NOT(ISNUMBER('Final Term'!T12)),"NAN",
IF('Final Term'!T12&lt;0,"NEG",
IF('Final Term'!T12&gt;T$5,"OVER",
IF(AND(T$5&lt;=100,'Final Term'!T12&gt;100),"ERR",
IF(Info!$B$4="Non-board program",
IF(OR(AND(T$5&gt;0,T$5&gt;100),AND(T$5&gt;0,T$5&lt;100)),
VLOOKUP(FLOOR(('Final Term'!T12/T$5)*100,1),new_transmute,2,FALSE),
VLOOKUP('Final Term'!T12,new_transmute,2,FALSE)
),
IF(Info!$B$4="Board program",
IF(OR(AND(T$5&gt;0,T$5&gt;100),AND(T$5&gt;0,T$5&lt;100)),
VLOOKUP(FLOOR(('Final Term'!T12/T$5)*100,1),new_transmute,3,FALSE),
VLOOKUP('Final Term'!T12,new_transmute,3,FALSE)
),
IF(Info!$B$4="Board program (Medicine)",
IF(OR(AND(T$5&gt;0,T$5&gt;100),AND(T$5&gt;0,T$5&lt;100)),
VLOOKUP(FLOOR(('Final Term'!T12/T$5)*100,1),new_transmute,4,FALSE),
VLOOKUP('Final Term'!T12,new_transmute,4,FALSE)
),
""
)
)
)
)
)
)
)
)
))</f>
        <v/>
      </c>
      <c r="U12" s="73" t="str">
        <f>IF($B12="","",
IF(U$5="","",
IF('Final Term'!U12="",0,
IF(NOT(ISNUMBER('Final Term'!U12)),"NAN",
IF('Final Term'!U12&lt;0,"NEG",
IF('Final Term'!U12&gt;U$5,"OVER",
IF(AND(U$5&lt;=100,'Final Term'!U12&gt;100),"ERR",
IF(Info!$B$4="Non-board program",
IF(OR(AND(U$5&gt;0,U$5&gt;100),AND(U$5&gt;0,U$5&lt;100)),
VLOOKUP(FLOOR(('Final Term'!U12/U$5)*100,1),new_transmute,2,FALSE),
VLOOKUP('Final Term'!U12,new_transmute,2,FALSE)
),
IF(Info!$B$4="Board program",
IF(OR(AND(U$5&gt;0,U$5&gt;100),AND(U$5&gt;0,U$5&lt;100)),
VLOOKUP(FLOOR(('Final Term'!U12/U$5)*100,1),new_transmute,3,FALSE),
VLOOKUP('Final Term'!U12,new_transmute,3,FALSE)
),
IF(Info!$B$4="Board program (Medicine)",
IF(OR(AND(U$5&gt;0,U$5&gt;100),AND(U$5&gt;0,U$5&lt;100)),
VLOOKUP(FLOOR(('Final Term'!U12/U$5)*100,1),new_transmute,4,FALSE),
VLOOKUP('Final Term'!U12,new_transmute,4,FALSE)
),
""
)
)
)
)
)
)
)
)
))</f>
        <v/>
      </c>
      <c r="V12" s="73" t="str">
        <f>IF($B12="","",
IF(V$5="","",
IF('Final Term'!V12="",0,
IF(NOT(ISNUMBER('Final Term'!V12)),"NAN",
IF('Final Term'!V12&lt;0,"NEG",
IF('Final Term'!V12&gt;V$5,"OVER",
IF(AND(V$5&lt;=100,'Final Term'!V12&gt;100),"ERR",
IF(Info!$B$4="Non-board program",
IF(OR(AND(V$5&gt;0,V$5&gt;100),AND(V$5&gt;0,V$5&lt;100)),
VLOOKUP(FLOOR(('Final Term'!V12/V$5)*100,1),new_transmute,2,FALSE),
VLOOKUP('Final Term'!V12,new_transmute,2,FALSE)
),
IF(Info!$B$4="Board program",
IF(OR(AND(V$5&gt;0,V$5&gt;100),AND(V$5&gt;0,V$5&lt;100)),
VLOOKUP(FLOOR(('Final Term'!V12/V$5)*100,1),new_transmute,3,FALSE),
VLOOKUP('Final Term'!V12,new_transmute,3,FALSE)
),
IF(Info!$B$4="Board program (Medicine)",
IF(OR(AND(V$5&gt;0,V$5&gt;100),AND(V$5&gt;0,V$5&lt;100)),
VLOOKUP(FLOOR(('Final Term'!V12/V$5)*100,1),new_transmute,4,FALSE),
VLOOKUP('Final Term'!V12,new_transmute,4,FALSE)
),
""
)
)
)
)
)
)
)
)
))</f>
        <v/>
      </c>
      <c r="W12" s="73" t="str">
        <f>IF($B12="","",
IF(W$5="","",
IF('Final Term'!W12="",0,
IF(NOT(ISNUMBER('Final Term'!W12)),"NAN",
IF('Final Term'!W12&lt;0,"NEG",
IF('Final Term'!W12&gt;W$5,"OVER",
IF(AND(W$5&lt;=100,'Final Term'!W12&gt;100),"ERR",
IF(Info!$B$4="Non-board program",
IF(OR(AND(W$5&gt;0,W$5&gt;100),AND(W$5&gt;0,W$5&lt;100)),
VLOOKUP(FLOOR(('Final Term'!W12/W$5)*100,1),new_transmute,2,FALSE),
VLOOKUP('Final Term'!W12,new_transmute,2,FALSE)
),
IF(Info!$B$4="Board program",
IF(OR(AND(W$5&gt;0,W$5&gt;100),AND(W$5&gt;0,W$5&lt;100)),
VLOOKUP(FLOOR(('Final Term'!W12/W$5)*100,1),new_transmute,3,FALSE),
VLOOKUP('Final Term'!W12,new_transmute,3,FALSE)
),
IF(Info!$B$4="Board program (Medicine)",
IF(OR(AND(W$5&gt;0,W$5&gt;100),AND(W$5&gt;0,W$5&lt;100)),
VLOOKUP(FLOOR(('Final Term'!W12/W$5)*100,1),new_transmute,4,FALSE),
VLOOKUP('Final Term'!W12,new_transmute,4,FALSE)
),
""
)
)
)
)
)
)
)
)
))</f>
        <v/>
      </c>
      <c r="X12" s="73" t="str">
        <f>IF($B12="","",
IF(X$5="","",
IF('Final Term'!X12="",0,
IF(NOT(ISNUMBER('Final Term'!X12)),"NAN",
IF('Final Term'!X12&lt;0,"NEG",
IF('Final Term'!X12&gt;X$5,"OVER",
IF(AND(X$5&lt;=100,'Final Term'!X12&gt;100),"ERR",
IF(Info!$B$4="Non-board program",
IF(OR(AND(X$5&gt;0,X$5&gt;100),AND(X$5&gt;0,X$5&lt;100)),
VLOOKUP(FLOOR(('Final Term'!X12/X$5)*100,1),new_transmute,2,FALSE),
VLOOKUP('Final Term'!X12,new_transmute,2,FALSE)
),
IF(Info!$B$4="Board program",
IF(OR(AND(X$5&gt;0,X$5&gt;100),AND(X$5&gt;0,X$5&lt;100)),
VLOOKUP(FLOOR(('Final Term'!X12/X$5)*100,1),new_transmute,3,FALSE),
VLOOKUP('Final Term'!X12,new_transmute,3,FALSE)
),
IF(Info!$B$4="Board program (Medicine)",
IF(OR(AND(X$5&gt;0,X$5&gt;100),AND(X$5&gt;0,X$5&lt;100)),
VLOOKUP(FLOOR(('Final Term'!X12/X$5)*100,1),new_transmute,4,FALSE),
VLOOKUP('Final Term'!X12,new_transmute,4,FALSE)
),
""
)
)
)
)
)
)
)
)
))</f>
        <v/>
      </c>
      <c r="Y12" s="112" t="str">
        <f t="shared" si="4"/>
        <v/>
      </c>
      <c r="Z12" s="73" t="str">
        <f>IF($B12="","",
IF(Z$5="","",
IF('Final Term'!Z12="",0,
IF(NOT(ISNUMBER('Final Term'!Z12)),"NAN",
IF('Final Term'!Z12&lt;0,"NEG",
IF('Final Term'!Z12&gt;Z$5,"OVER",
IF(AND(Z$5&lt;=100,'Final Term'!Z12&gt;100),"ERR",
IF(Info!$B$4="Non-board program",
IF(OR(AND(Z$5&gt;0,Z$5&gt;100),AND(Z$5&gt;0,Z$5&lt;100)),
VLOOKUP(FLOOR(('Final Term'!Z12/Z$5)*100,1),new_transmute,2,FALSE),
VLOOKUP('Final Term'!Z12,new_transmute,2,FALSE)
),
IF(Info!$B$4="Board program",
IF(OR(AND(Z$5&gt;0,Z$5&gt;100),AND(Z$5&gt;0,Z$5&lt;100)),
VLOOKUP(FLOOR(('Final Term'!Z12/Z$5)*100,1),new_transmute,3,FALSE),
VLOOKUP('Final Term'!Z12,new_transmute,3,FALSE)
),
IF(Info!$B$4="Board program (Medicine)",
IF(OR(AND(Z$5&gt;0,Z$5&gt;100),AND(Z$5&gt;0,Z$5&lt;100)),
VLOOKUP(FLOOR(('Final Term'!Z12/Z$5)*100,1),new_transmute,4,FALSE),
VLOOKUP('Final Term'!Z12,new_transmute,4,FALSE)
),
""
)
)
)
)
)
)
)
)
))</f>
        <v/>
      </c>
      <c r="AA12" s="73" t="str">
        <f>IF($B12="","",
IF(AA$5="","",
IF('Final Term'!AA12="",0,
IF(NOT(ISNUMBER('Final Term'!AA12)),"NAN",
IF('Final Term'!AA12&lt;0,"NEG",
IF('Final Term'!AA12&gt;AA$5,"OVER",
IF(AND(AA$5&lt;=100,'Final Term'!AA12&gt;100),"ERR",
IF(Info!$B$4="Non-board program",
IF(OR(AND(AA$5&gt;0,AA$5&gt;100),AND(AA$5&gt;0,AA$5&lt;100)),
VLOOKUP(FLOOR(('Final Term'!AA12/AA$5)*100,1),new_transmute,2,FALSE),
VLOOKUP('Final Term'!AA12,new_transmute,2,FALSE)
),
IF(Info!$B$4="Board program",
IF(OR(AND(AA$5&gt;0,AA$5&gt;100),AND(AA$5&gt;0,AA$5&lt;100)),
VLOOKUP(FLOOR(('Final Term'!AA12/AA$5)*100,1),new_transmute,3,FALSE),
VLOOKUP('Final Term'!AA12,new_transmute,3,FALSE)
),
IF(Info!$B$4="Board program (Medicine)",
IF(OR(AND(AA$5&gt;0,AA$5&gt;100),AND(AA$5&gt;0,AA$5&lt;100)),
VLOOKUP(FLOOR(('Final Term'!AA12/AA$5)*100,1),new_transmute,4,FALSE),
VLOOKUP('Final Term'!AA12,new_transmute,4,FALSE)
),
""
)
)
)
)
)
)
)
)
))</f>
        <v/>
      </c>
      <c r="AB12" s="73" t="str">
        <f>IF($B12="","",
IF(AB$5="","",
IF('Final Term'!AB12="",0,
IF(NOT(ISNUMBER('Final Term'!AB12)),"NAN",
IF('Final Term'!AB12&lt;0,"NEG",
IF('Final Term'!AB12&gt;AB$5,"OVER",
IF(AND(AB$5&lt;=100,'Final Term'!AB12&gt;100),"ERR",
IF(Info!$B$4="Non-board program",
IF(OR(AND(AB$5&gt;0,AB$5&gt;100),AND(AB$5&gt;0,AB$5&lt;100)),
VLOOKUP(FLOOR(('Final Term'!AB12/AB$5)*100,1),new_transmute,2,FALSE),
VLOOKUP('Final Term'!AB12,new_transmute,2,FALSE)
),
IF(Info!$B$4="Board program",
IF(OR(AND(AB$5&gt;0,AB$5&gt;100),AND(AB$5&gt;0,AB$5&lt;100)),
VLOOKUP(FLOOR(('Final Term'!AB12/AB$5)*100,1),new_transmute,3,FALSE),
VLOOKUP('Final Term'!AB12,new_transmute,3,FALSE)
),
IF(Info!$B$4="Board program (Medicine)",
IF(OR(AND(AB$5&gt;0,AB$5&gt;100),AND(AB$5&gt;0,AB$5&lt;100)),
VLOOKUP(FLOOR(('Final Term'!AB12/AB$5)*100,1),new_transmute,4,FALSE),
VLOOKUP('Final Term'!AB12,new_transmute,4,FALSE)
),
""
)
)
)
)
)
)
)
)
))</f>
        <v/>
      </c>
      <c r="AC12" s="73" t="str">
        <f>IF($B12="","",
IF(AC$5="","",
IF('Final Term'!AC12="",0,
IF(NOT(ISNUMBER('Final Term'!AC12)),"NAN",
IF('Final Term'!AC12&lt;0,"NEG",
IF('Final Term'!AC12&gt;AC$5,"OVER",
IF(AND(AC$5&lt;=100,'Final Term'!AC12&gt;100),"ERR",
IF(Info!$B$4="Non-board program",
IF(OR(AND(AC$5&gt;0,AC$5&gt;100),AND(AC$5&gt;0,AC$5&lt;100)),
VLOOKUP(FLOOR(('Final Term'!AC12/AC$5)*100,1),new_transmute,2,FALSE),
VLOOKUP('Final Term'!AC12,new_transmute,2,FALSE)
),
IF(Info!$B$4="Board program",
IF(OR(AND(AC$5&gt;0,AC$5&gt;100),AND(AC$5&gt;0,AC$5&lt;100)),
VLOOKUP(FLOOR(('Final Term'!AC12/AC$5)*100,1),new_transmute,3,FALSE),
VLOOKUP('Final Term'!AC12,new_transmute,3,FALSE)
),
IF(Info!$B$4="Board program (Medicine)",
IF(OR(AND(AC$5&gt;0,AC$5&gt;100),AND(AC$5&gt;0,AC$5&lt;100)),
VLOOKUP(FLOOR(('Final Term'!AC12/AC$5)*100,1),new_transmute,4,FALSE),
VLOOKUP('Final Term'!AC12,new_transmute,4,FALSE)
),
""
)
)
)
)
)
)
)
)
))</f>
        <v/>
      </c>
      <c r="AD12" s="73" t="str">
        <f>IF($B12="","",
IF(AD$5="","",
IF('Final Term'!AD12="",0,
IF(NOT(ISNUMBER('Final Term'!AD12)),"NAN",
IF('Final Term'!AD12&lt;0,"NEG",
IF('Final Term'!AD12&gt;AD$5,"OVER",
IF(AND(AD$5&lt;=100,'Final Term'!AD12&gt;100),"ERR",
IF(Info!$B$4="Non-board program",
IF(OR(AND(AD$5&gt;0,AD$5&gt;100),AND(AD$5&gt;0,AD$5&lt;100)),
VLOOKUP(FLOOR(('Final Term'!AD12/AD$5)*100,1),new_transmute,2,FALSE),
VLOOKUP('Final Term'!AD12,new_transmute,2,FALSE)
),
IF(Info!$B$4="Board program",
IF(OR(AND(AD$5&gt;0,AD$5&gt;100),AND(AD$5&gt;0,AD$5&lt;100)),
VLOOKUP(FLOOR(('Final Term'!AD12/AD$5)*100,1),new_transmute,3,FALSE),
VLOOKUP('Final Term'!AD12,new_transmute,3,FALSE)
),
IF(Info!$B$4="Board program (Medicine)",
IF(OR(AND(AD$5&gt;0,AD$5&gt;100),AND(AD$5&gt;0,AD$5&lt;100)),
VLOOKUP(FLOOR(('Final Term'!AD12/AD$5)*100,1),new_transmute,4,FALSE),
VLOOKUP('Final Term'!AD12,new_transmute,4,FALSE)
),
""
)
)
)
)
)
)
)
)
))</f>
        <v/>
      </c>
      <c r="AE12" s="58" t="str">
        <f t="shared" si="5"/>
        <v/>
      </c>
      <c r="AF12" s="73" t="str">
        <f>IF($B12="","",
IF(AF$5="","",
IF('Final Term'!AF12="",0,
IF(NOT(ISNUMBER('Final Term'!AF12)),"NAN",
IF('Final Term'!AF12&lt;0,"NEG",
IF('Final Term'!AF12&gt;AF$5,"OVER",
IF(AND(AF$5&lt;=100,'Final Term'!AF12&gt;100),"ERR",
IF(Info!$B$4="Non-board program",
IF(OR(AND(AF$5&gt;0,AF$5&gt;100),AND(AF$5&gt;0,AF$5&lt;100)),
VLOOKUP(FLOOR(('Final Term'!AF12/AF$5)*100,1),new_transmute,2,FALSE),
VLOOKUP('Final Term'!AF12,new_transmute,2,FALSE)
),
IF(Info!$B$4="Board program",
IF(OR(AND(AF$5&gt;0,AF$5&gt;100),AND(AF$5&gt;0,AF$5&lt;100)),
VLOOKUP(FLOOR(('Final Term'!AF12/AF$5)*100,1),new_transmute,3,FALSE),
VLOOKUP('Final Term'!AF12,new_transmute,3,FALSE)
),
IF(Info!$B$4="Board program (Medicine)",
IF(OR(AND(AF$5&gt;0,AF$5&gt;100),AND(AF$5&gt;0,AF$5&lt;100)),
VLOOKUP(FLOOR(('Final Term'!AF12/AF$5)*100,1),new_transmute,4,FALSE),
VLOOKUP('Final Term'!AF12,new_transmute,4,FALSE)
),
""
)
)
)
)
)
)
)
)
))</f>
        <v/>
      </c>
      <c r="AG12" s="73" t="str">
        <f>IF($B12="","",
IF(AG$5="","",
IF('Final Term'!AG12="",0,
IF(NOT(ISNUMBER('Final Term'!AG12)),"NAN",
IF('Final Term'!AG12&lt;0,"NEG",
IF('Final Term'!AG12&gt;AG$5,"OVER",
IF(AND(AG$5&lt;=100,'Final Term'!AG12&gt;100),"ERR",
IF(Info!$B$4="Non-board program",
IF(OR(AND(AG$5&gt;0,AG$5&gt;100),AND(AG$5&gt;0,AG$5&lt;100)),
VLOOKUP(FLOOR(('Final Term'!AG12/AG$5)*100,1),new_transmute,2,FALSE),
VLOOKUP('Final Term'!AG12,new_transmute,2,FALSE)
),
IF(Info!$B$4="Board program",
IF(OR(AND(AG$5&gt;0,AG$5&gt;100),AND(AG$5&gt;0,AG$5&lt;100)),
VLOOKUP(FLOOR(('Final Term'!AG12/AG$5)*100,1),new_transmute,3,FALSE),
VLOOKUP('Final Term'!AG12,new_transmute,3,FALSE)
),
IF(Info!$B$4="Board program (Medicine)",
IF(OR(AND(AG$5&gt;0,AG$5&gt;100),AND(AG$5&gt;0,AG$5&lt;100)),
VLOOKUP(FLOOR(('Final Term'!AG12/AG$5)*100,1),new_transmute,4,FALSE),
VLOOKUP('Final Term'!AG12,new_transmute,4,FALSE)
),
""
)
)
)
)
)
)
)
)
))</f>
        <v/>
      </c>
      <c r="AH12" s="73" t="str">
        <f>IF($B12="","",
IF(AH$5="","",
IF('Final Term'!AH12="",0,
IF(NOT(ISNUMBER('Final Term'!AH12)),"NAN",
IF('Final Term'!AH12&lt;0,"NEG",
IF('Final Term'!AH12&gt;AH$5,"OVER",
IF(AND(AH$5&lt;=100,'Final Term'!AH12&gt;100),"ERR",
IF(Info!$B$4="Non-board program",
IF(OR(AND(AH$5&gt;0,AH$5&gt;100),AND(AH$5&gt;0,AH$5&lt;100)),
VLOOKUP(FLOOR(('Final Term'!AH12/AH$5)*100,1),new_transmute,2,FALSE),
VLOOKUP('Final Term'!AH12,new_transmute,2,FALSE)
),
IF(Info!$B$4="Board program",
IF(OR(AND(AH$5&gt;0,AH$5&gt;100),AND(AH$5&gt;0,AH$5&lt;100)),
VLOOKUP(FLOOR(('Final Term'!AH12/AH$5)*100,1),new_transmute,3,FALSE),
VLOOKUP('Final Term'!AH12,new_transmute,3,FALSE)
),
IF(Info!$B$4="Board program (Medicine)",
IF(OR(AND(AH$5&gt;0,AH$5&gt;100),AND(AH$5&gt;0,AH$5&lt;100)),
VLOOKUP(FLOOR(('Final Term'!AH12/AH$5)*100,1),new_transmute,4,FALSE),
VLOOKUP('Final Term'!AH12,new_transmute,4,FALSE)
),
""
)
)
)
)
)
)
)
)
))</f>
        <v/>
      </c>
      <c r="AI12" s="73" t="str">
        <f>IF($B12="","",
IF(AI$5="","",
IF('Final Term'!AI12="",0,
IF(NOT(ISNUMBER('Final Term'!AI12)),"NAN",
IF('Final Term'!AI12&lt;0,"NEG",
IF('Final Term'!AI12&gt;AI$5,"OVER",
IF(AND(AI$5&lt;=100,'Final Term'!AI12&gt;100),"ERR",
IF(Info!$B$4="Non-board program",
IF(OR(AND(AI$5&gt;0,AI$5&gt;100),AND(AI$5&gt;0,AI$5&lt;100)),
VLOOKUP(FLOOR(('Final Term'!AI12/AI$5)*100,1),new_transmute,2,FALSE),
VLOOKUP('Final Term'!AI12,new_transmute,2,FALSE)
),
IF(Info!$B$4="Board program",
IF(OR(AND(AI$5&gt;0,AI$5&gt;100),AND(AI$5&gt;0,AI$5&lt;100)),
VLOOKUP(FLOOR(('Final Term'!AI12/AI$5)*100,1),new_transmute,3,FALSE),
VLOOKUP('Final Term'!AI12,new_transmute,3,FALSE)
),
IF(Info!$B$4="Board program (Medicine)",
IF(OR(AND(AI$5&gt;0,AI$5&gt;100),AND(AI$5&gt;0,AI$5&lt;100)),
VLOOKUP(FLOOR(('Final Term'!AI12/AI$5)*100,1),new_transmute,4,FALSE),
VLOOKUP('Final Term'!AI12,new_transmute,4,FALSE)
),
""
)
)
)
)
)
)
)
)
))</f>
        <v/>
      </c>
      <c r="AJ12" s="73" t="str">
        <f>IF($B12="","",
IF(AJ$5="","",
IF('Final Term'!AJ12="",0,
IF(NOT(ISNUMBER('Final Term'!AJ12)),"NAN",
IF('Final Term'!AJ12&lt;0,"NEG",
IF('Final Term'!AJ12&gt;AJ$5,"OVER",
IF(AND(AJ$5&lt;=100,'Final Term'!AJ12&gt;100),"ERR",
IF(Info!$B$4="Non-board program",
IF(OR(AND(AJ$5&gt;0,AJ$5&gt;100),AND(AJ$5&gt;0,AJ$5&lt;100)),
VLOOKUP(FLOOR(('Final Term'!AJ12/AJ$5)*100,1),new_transmute,2,FALSE),
VLOOKUP('Final Term'!AJ12,new_transmute,2,FALSE)
),
IF(Info!$B$4="Board program",
IF(OR(AND(AJ$5&gt;0,AJ$5&gt;100),AND(AJ$5&gt;0,AJ$5&lt;100)),
VLOOKUP(FLOOR(('Final Term'!AJ12/AJ$5)*100,1),new_transmute,3,FALSE),
VLOOKUP('Final Term'!AJ12,new_transmute,3,FALSE)
),
IF(Info!$B$4="Board program (Medicine)",
IF(OR(AND(AJ$5&gt;0,AJ$5&gt;100),AND(AJ$5&gt;0,AJ$5&lt;100)),
VLOOKUP(FLOOR(('Final Term'!AJ12/AJ$5)*100,1),new_transmute,4,FALSE),
VLOOKUP('Final Term'!AJ12,new_transmute,4,FALSE)
),
""
)
)
)
)
)
)
)
)
))</f>
        <v/>
      </c>
      <c r="AK12" s="59" t="str">
        <f t="shared" si="6"/>
        <v/>
      </c>
      <c r="AL12" s="60" t="str">
        <f>IF(B12="", "",
    IF(OR(M12="OVER", S12="OVER", Y12="OVER", AE12="OVER", AK12="OVER"),
        "OVER",
        IF(Info!$B$4="Non-board program",
            VLOOKUP(IFERROR(FLOOR(SUM((M12*$M$4), (S12*$S$4), (Y12*$Y$4), (AE12*$AE$4), (AK12*$AK$4)) * (100 / 60), 1), 0), new_transmute, 2, FALSE),
            IF(Info!$B$4="Board program",
                VLOOKUP(IFERROR(FLOOR(SUM((M12*$M$4), (S12*$S$4), (Y12*$Y$4), (AE12*$AE$4), (AK12*$AK$4)) * (100 / 60), 1), 0), new_transmute, 3, FALSE),
                IF(Info!$B$4="Board program (Medicine)",
                    VLOOKUP(IFERROR(FLOOR(SUM((M12*$M$4), (S12*$S$4), (Y12*$Y$4), (AE12*$AE$4), (AK12*$AK$4)) * (100 / 60), 1), 0), new_transmute, 4, FALSE),
                    ""
                )
            )
        )
    )
)</f>
        <v/>
      </c>
      <c r="AM12" s="73" t="str">
        <f>IF($B12="","",
IF(AM$5="","",
IF('Final Term'!AM12="",0,
IF(NOT(ISNUMBER('Final Term'!AM12)),"NAN",
IF('Final Term'!AM12&lt;0,"NEG",
IF('Final Term'!AM12&gt;AM$5,"OVER",
IF(AND(AM$5&lt;=100,'Final Term'!AM12&gt;100),"ERR",
IF(Info!$B$4="Non-board program",
IF(OR(AND(AM$5&gt;0,AM$5&gt;100),AND(AM$5&gt;0,AM$5&lt;100)),
VLOOKUP(FLOOR(('Final Term'!AM12/AM$5)*100,1),new_transmute,2,FALSE),
VLOOKUP('Final Term'!AM12,new_transmute,2,FALSE)
),
IF(Info!$B$4="Board program",
IF(OR(AND(AM$5&gt;0,AM$5&gt;100),AND(AM$5&gt;0,AM$5&lt;100)),
VLOOKUP(FLOOR(('Final Term'!AM12/AM$5)*100,1),new_transmute,3,FALSE),
VLOOKUP('Final Term'!AM12,new_transmute,3,FALSE)
),
IF(Info!$B$4="Board program (Medicine)",
IF(OR(AND(AM$5&gt;0,AM$5&gt;100),AND(AM$5&gt;0,AM$5&lt;100)),
VLOOKUP(FLOOR(('Final Term'!AM12/AM$5)*100,1),new_transmute,4,FALSE),
VLOOKUP('Final Term'!AM12,new_transmute,4,FALSE)
),
""
)
)
)
)
)
)
)
)
))</f>
        <v/>
      </c>
      <c r="AN12" s="73" t="str">
        <f>IF($B12="","",
IF(AN$5="","",
IF('Final Term'!AN12="",0,
IF(NOT(ISNUMBER('Final Term'!AN12)),"NAN",
IF('Final Term'!AN12&lt;0,"NEG",
IF('Final Term'!AN12&gt;AN$5,"OVER",
IF(AND(AN$5&lt;=100,'Final Term'!AN12&gt;100),"ERR",
IF(Info!$B$4="Non-board program",
IF(OR(AND(AN$5&gt;0,AN$5&gt;100),AND(AN$5&gt;0,AN$5&lt;100)),
VLOOKUP(FLOOR(('Final Term'!AN12/AN$5)*100,1),new_transmute,2,FALSE),
VLOOKUP('Final Term'!AN12,new_transmute,2,FALSE)
),
IF(Info!$B$4="Board program",
IF(OR(AND(AN$5&gt;0,AN$5&gt;100),AND(AN$5&gt;0,AN$5&lt;100)),
VLOOKUP(FLOOR(('Final Term'!AN12/AN$5)*100,1),new_transmute,3,FALSE),
VLOOKUP('Final Term'!AN12,new_transmute,3,FALSE)
),
IF(Info!$B$4="Board program (Medicine)",
IF(OR(AND(AN$5&gt;0,AN$5&gt;100),AND(AN$5&gt;0,AN$5&lt;100)),
VLOOKUP(FLOOR(('Final Term'!AN12/AN$5)*100,1),new_transmute,4,FALSE),
VLOOKUP('Final Term'!AN12,new_transmute,4,FALSE)
),
""
)
)
)
)
)
)
)
)
))</f>
        <v/>
      </c>
      <c r="AO12" s="73" t="str">
        <f>IF($B12="","",
IF(AO$5="","",
IF('Final Term'!AO12="",0,
IF(NOT(ISNUMBER('Final Term'!AO12)),"NAN",
IF('Final Term'!AO12&lt;0,"NEG",
IF('Final Term'!AO12&gt;AO$5,"OVER",
IF(AND(AO$5&lt;=100,'Final Term'!AO12&gt;100),"ERR",
IF(Info!$B$4="Non-board program",
IF(OR(AND(AO$5&gt;0,AO$5&gt;100),AND(AO$5&gt;0,AO$5&lt;100)),
VLOOKUP(FLOOR(('Final Term'!AO12/AO$5)*100,1),new_transmute,2,FALSE),
VLOOKUP('Final Term'!AO12,new_transmute,2,FALSE)
),
IF(Info!$B$4="Board program",
IF(OR(AND(AO$5&gt;0,AO$5&gt;100),AND(AO$5&gt;0,AO$5&lt;100)),
VLOOKUP(FLOOR(('Final Term'!AO12/AO$5)*100,1),new_transmute,3,FALSE),
VLOOKUP('Final Term'!AO12,new_transmute,3,FALSE)
),
IF(Info!$B$4="Board program (Medicine)",
IF(OR(AND(AO$5&gt;0,AO$5&gt;100),AND(AO$5&gt;0,AO$5&lt;100)),
VLOOKUP(FLOOR(('Final Term'!AO12/AO$5)*100,1),new_transmute,4,FALSE),
VLOOKUP('Final Term'!AO12,new_transmute,4,FALSE)
),
""
)
)
)
)
)
)
)
)
))</f>
        <v/>
      </c>
      <c r="AP12" s="73" t="str">
        <f>IF($B12="","",
IF(AP$5="","",
IF('Final Term'!AP12="",0,
IF(NOT(ISNUMBER('Final Term'!AP12)),"NAN",
IF('Final Term'!AP12&lt;0,"NEG",
IF('Final Term'!AP12&gt;AP$5,"OVER",
IF(AND(AP$5&lt;=100,'Final Term'!AP12&gt;100),"ERR",
IF(Info!$B$4="Non-board program",
IF(OR(AND(AP$5&gt;0,AP$5&gt;100),AND(AP$5&gt;0,AP$5&lt;100)),
VLOOKUP(FLOOR(('Final Term'!AP12/AP$5)*100,1),new_transmute,2,FALSE),
VLOOKUP('Final Term'!AP12,new_transmute,2,FALSE)
),
IF(Info!$B$4="Board program",
IF(OR(AND(AP$5&gt;0,AP$5&gt;100),AND(AP$5&gt;0,AP$5&lt;100)),
VLOOKUP(FLOOR(('Final Term'!AP12/AP$5)*100,1),new_transmute,3,FALSE),
VLOOKUP('Final Term'!AP12,new_transmute,3,FALSE)
),
IF(Info!$B$4="Board program (Medicine)",
IF(OR(AND(AP$5&gt;0,AP$5&gt;100),AND(AP$5&gt;0,AP$5&lt;100)),
VLOOKUP(FLOOR(('Final Term'!AP12/AP$5)*100,1),new_transmute,4,FALSE),
VLOOKUP('Final Term'!AP12,new_transmute,4,FALSE)
),
""
)
)
)
)
)
)
)
)
))</f>
        <v/>
      </c>
      <c r="AQ12" s="61" t="str">
        <f t="shared" si="7"/>
        <v/>
      </c>
      <c r="AR12" s="48" t="str">
        <f>IF('Final Term'!AR12="","",'Final Term'!AR12)</f>
        <v/>
      </c>
      <c r="AS12" s="165" t="str">
        <f t="shared" si="8"/>
        <v/>
      </c>
      <c r="AT12" s="14" t="str">
        <f t="shared" si="0"/>
        <v/>
      </c>
      <c r="AU12" s="13" t="str">
        <f>IF(B12="","",VLOOKUP(AT12,'New Grade Equivalent'!$B$3:$C$47,2,FALSE))</f>
        <v/>
      </c>
    </row>
    <row r="13" spans="1:47" x14ac:dyDescent="0.25">
      <c r="A13" s="8">
        <v>8</v>
      </c>
      <c r="B13" s="2" t="str">
        <f>IF('Student List'!C17="","",UPPER(LEFT('Student List'!C17,FIND(",",'Student List'!C17)-1)))</f>
        <v/>
      </c>
      <c r="C13" s="12" t="str">
        <f>IF('Student List'!C17="","",PROPER(MID('Student List'!C17, FIND(",", 'Student List'!C17) + 2, LEN('Student List'!C17) - FIND(",", 'Student List'!C17) - 1)))</f>
        <v/>
      </c>
      <c r="D13" s="127" t="str">
        <f>IF('Final Term'!D13="","",'Final Term'!D13)</f>
        <v/>
      </c>
      <c r="E13" s="8" t="str">
        <f>IF(MidCom!E13="FA", "FA",
    IF(MidCom!E13="DRP", "DRP",
        IF(MidCom!E13="WF", "WF",
            IF(D13="Yes", "INC",
               IF((SUM('MT Attendance'!AW11) / 3 + SUM('MT Attendance'!AY11) + SUM('FT Attendance'!AW11) / 3 + SUM('FT Attendance'!AY11)) &gt;= 0.2 * (SUMPRODUCT(--(ISTEXT('MT Attendance'!$C$2:$AU$2))) + SUMPRODUCT(--(ISTEXT('FT Attendance'!$C$2:$AU$2)))), "FA",
                   MidCom!E13
                )
            )
        )
    )
)</f>
        <v/>
      </c>
      <c r="F13" s="73" t="str">
        <f>IF($B13="","",
IF(F$5="","",
IF('Final Term'!F13="",0,
IF(NOT(ISNUMBER('Final Term'!F13)),"NAN",
IF('Final Term'!F13&lt;0,"NEG",
IF('Final Term'!F13&gt;F$5,"OVER",
IF(AND(F$5&lt;=100,'Final Term'!F13&gt;100),"ERR",
IF(Info!$B$4="Non-board program",
IF(OR(AND(F$5&gt;0,F$5&gt;100),AND(F$5&gt;0,F$5&lt;100)),
VLOOKUP(FLOOR(('Final Term'!F13/F$5)*100,1),new_transmute,2,FALSE),
VLOOKUP('Final Term'!F13,new_transmute,2,FALSE)
),
IF(Info!$B$4="Board program",
IF(OR(AND(F$5&gt;0,F$5&gt;100),AND(F$5&gt;0,F$5&lt;100)),
VLOOKUP(FLOOR(('Final Term'!F13/F$5)*100,1),new_transmute,3,FALSE),
VLOOKUP('Final Term'!F13,new_transmute,3,FALSE)
),
IF(Info!$B$4="Board program (Medicine)",
IF(OR(AND(F$5&gt;0,F$5&gt;100),AND(F$5&gt;0,F$5&lt;100)),
VLOOKUP(FLOOR(('Final Term'!F13/F$5)*100,1),new_transmute,4,FALSE),
VLOOKUP('Final Term'!F13,new_transmute,4,FALSE)
),
""
)
)
)
)
)
)
)
)
))</f>
        <v/>
      </c>
      <c r="G13" s="57" t="str">
        <f t="shared" si="1"/>
        <v/>
      </c>
      <c r="H13" s="73" t="str">
        <f>IF($B13="","",
IF(H$5="","",
IF('Final Term'!H13="",0,
IF(NOT(ISNUMBER('Final Term'!H13)),"NAN",
IF('Final Term'!H13&lt;0,"NEG",
IF('Final Term'!H13&gt;H$5,"OVER",
IF(AND(H$5&lt;=100,'Final Term'!H13&gt;100),"ERR",
IF(Info!$B$4="Non-board program",
IF(OR(AND(H$5&gt;0,H$5&gt;100),AND(H$5&gt;0,H$5&lt;100)),
VLOOKUP(FLOOR(('Final Term'!H13/H$5)*100,1),new_transmute,2,FALSE),
VLOOKUP('Final Term'!H13,new_transmute,2,FALSE)
),
IF(Info!$B$4="Board program",
IF(OR(AND(H$5&gt;0,H$5&gt;100),AND(H$5&gt;0,H$5&lt;100)),
VLOOKUP(FLOOR(('Final Term'!H13/H$5)*100,1),new_transmute,3,FALSE),
VLOOKUP('Final Term'!H13,new_transmute,3,FALSE)
),
IF(Info!$B$4="Board program (Medicine)",
IF(OR(AND(H$5&gt;0,H$5&gt;100),AND(H$5&gt;0,H$5&lt;100)),
VLOOKUP(FLOOR(('Final Term'!H13/H$5)*100,1),new_transmute,4,FALSE),
VLOOKUP('Final Term'!H13,new_transmute,4,FALSE)
),
""
)
)
)
)
)
)
)
)
))</f>
        <v/>
      </c>
      <c r="I13" s="73" t="str">
        <f>IF($B13="","",
IF(I$5="","",
IF('Final Term'!I13="",0,
IF(NOT(ISNUMBER('Final Term'!I13)),"NAN",
IF('Final Term'!I13&lt;0,"NEG",
IF('Final Term'!I13&gt;I$5,"OVER",
IF(AND(I$5&lt;=100,'Final Term'!I13&gt;100),"ERR",
IF(Info!$B$4="Non-board program",
IF(OR(AND(I$5&gt;0,I$5&gt;100),AND(I$5&gt;0,I$5&lt;100)),
VLOOKUP(FLOOR(('Final Term'!I13/I$5)*100,1),new_transmute,2,FALSE),
VLOOKUP('Final Term'!I13,new_transmute,2,FALSE)
),
IF(Info!$B$4="Board program",
IF(OR(AND(I$5&gt;0,I$5&gt;100),AND(I$5&gt;0,I$5&lt;100)),
VLOOKUP(FLOOR(('Final Term'!I13/I$5)*100,1),new_transmute,3,FALSE),
VLOOKUP('Final Term'!I13,new_transmute,3,FALSE)
),
IF(Info!$B$4="Board program (Medicine)",
IF(OR(AND(I$5&gt;0,I$5&gt;100),AND(I$5&gt;0,I$5&lt;100)),
VLOOKUP(FLOOR(('Final Term'!I13/I$5)*100,1),new_transmute,4,FALSE),
VLOOKUP('Final Term'!I13,new_transmute,4,FALSE)
),
""
)
)
)
)
)
)
)
)
))</f>
        <v/>
      </c>
      <c r="J13" s="73" t="str">
        <f>IF($B13="","",
IF(J$5="","",
IF('Final Term'!J13="",0,
IF(NOT(ISNUMBER('Final Term'!J13)),"NAN",
IF('Final Term'!J13&lt;0,"NEG",
IF('Final Term'!J13&gt;J$5,"OVER",
IF(AND(J$5&lt;=100,'Final Term'!J13&gt;100),"ERR",
IF(Info!$B$4="Non-board program",
IF(OR(AND(J$5&gt;0,J$5&gt;100),AND(J$5&gt;0,J$5&lt;100)),
VLOOKUP(FLOOR(('Final Term'!J13/J$5)*100,1),new_transmute,2,FALSE),
VLOOKUP('Final Term'!J13,new_transmute,2,FALSE)
),
IF(Info!$B$4="Board program",
IF(OR(AND(J$5&gt;0,J$5&gt;100),AND(J$5&gt;0,J$5&lt;100)),
VLOOKUP(FLOOR(('Final Term'!J13/J$5)*100,1),new_transmute,3,FALSE),
VLOOKUP('Final Term'!J13,new_transmute,3,FALSE)
),
IF(Info!$B$4="Board program (Medicine)",
IF(OR(AND(J$5&gt;0,J$5&gt;100),AND(J$5&gt;0,J$5&lt;100)),
VLOOKUP(FLOOR(('Final Term'!J13/J$5)*100,1),new_transmute,4,FALSE),
VLOOKUP('Final Term'!J13,new_transmute,4,FALSE)
),
""
)
)
)
)
)
)
)
)
))</f>
        <v/>
      </c>
      <c r="K13" s="73" t="str">
        <f>IF($B13="","",
IF(K$5="","",
IF('Final Term'!K13="",0,
IF(NOT(ISNUMBER('Final Term'!K13)),"NAN",
IF('Final Term'!K13&lt;0,"NEG",
IF('Final Term'!K13&gt;K$5,"OVER",
IF(AND(K$5&lt;=100,'Final Term'!K13&gt;100),"ERR",
IF(Info!$B$4="Non-board program",
IF(OR(AND(K$5&gt;0,K$5&gt;100),AND(K$5&gt;0,K$5&lt;100)),
VLOOKUP(FLOOR(('Final Term'!K13/K$5)*100,1),new_transmute,2,FALSE),
VLOOKUP('Final Term'!K13,new_transmute,2,FALSE)
),
IF(Info!$B$4="Board program",
IF(OR(AND(K$5&gt;0,K$5&gt;100),AND(K$5&gt;0,K$5&lt;100)),
VLOOKUP(FLOOR(('Final Term'!K13/K$5)*100,1),new_transmute,3,FALSE),
VLOOKUP('Final Term'!K13,new_transmute,3,FALSE)
),
IF(Info!$B$4="Board program (Medicine)",
IF(OR(AND(K$5&gt;0,K$5&gt;100),AND(K$5&gt;0,K$5&lt;100)),
VLOOKUP(FLOOR(('Final Term'!K13/K$5)*100,1),new_transmute,4,FALSE),
VLOOKUP('Final Term'!K13,new_transmute,4,FALSE)
),
""
)
)
)
)
)
)
)
)
))</f>
        <v/>
      </c>
      <c r="L13" s="73" t="str">
        <f>IF($B13="","",
IF(L$5="","",
IF('Final Term'!L13="",0,
IF(NOT(ISNUMBER('Final Term'!L13)),"NAN",
IF('Final Term'!L13&lt;0,"NEG",
IF('Final Term'!L13&gt;L$5,"OVER",
IF(AND(L$5&lt;=100,'Final Term'!L13&gt;100),"ERR",
IF(Info!$B$4="Non-board program",
IF(OR(AND(L$5&gt;0,L$5&gt;100),AND(L$5&gt;0,L$5&lt;100)),
VLOOKUP(FLOOR(('Final Term'!L13/L$5)*100,1),new_transmute,2,FALSE),
VLOOKUP('Final Term'!L13,new_transmute,2,FALSE)
),
IF(Info!$B$4="Board program",
IF(OR(AND(L$5&gt;0,L$5&gt;100),AND(L$5&gt;0,L$5&lt;100)),
VLOOKUP(FLOOR(('Final Term'!L13/L$5)*100,1),new_transmute,3,FALSE),
VLOOKUP('Final Term'!L13,new_transmute,3,FALSE)
),
IF(Info!$B$4="Board program (Medicine)",
IF(OR(AND(L$5&gt;0,L$5&gt;100),AND(L$5&gt;0,L$5&lt;100)),
VLOOKUP(FLOOR(('Final Term'!L13/L$5)*100,1),new_transmute,4,FALSE),
VLOOKUP('Final Term'!L13,new_transmute,4,FALSE)
),
""
)
)
)
)
)
)
)
)
))</f>
        <v/>
      </c>
      <c r="M13" s="111" t="str">
        <f t="shared" si="2"/>
        <v/>
      </c>
      <c r="N13" s="73" t="str">
        <f>IF($B13="","",
IF(N$5="","",
IF('Final Term'!N13="",0,
IF(NOT(ISNUMBER('Final Term'!N13)),"NAN",
IF('Final Term'!N13&lt;0,"NEG",
IF('Final Term'!N13&gt;N$5,"OVER",
IF(AND(N$5&lt;=100,'Final Term'!N13&gt;100),"ERR",
IF(Info!$B$4="Non-board program",
IF(OR(AND(N$5&gt;0,N$5&gt;100),AND(N$5&gt;0,N$5&lt;100)),
VLOOKUP(FLOOR(('Final Term'!N13/N$5)*100,1),new_transmute,2,FALSE),
VLOOKUP('Final Term'!N13,new_transmute,2,FALSE)
),
IF(Info!$B$4="Board program",
IF(OR(AND(N$5&gt;0,N$5&gt;100),AND(N$5&gt;0,N$5&lt;100)),
VLOOKUP(FLOOR(('Final Term'!N13/N$5)*100,1),new_transmute,3,FALSE),
VLOOKUP('Final Term'!N13,new_transmute,3,FALSE)
),
IF(Info!$B$4="Board program (Medicine)",
IF(OR(AND(N$5&gt;0,N$5&gt;100),AND(N$5&gt;0,N$5&lt;100)),
VLOOKUP(FLOOR(('Final Term'!N13/N$5)*100,1),new_transmute,4,FALSE),
VLOOKUP('Final Term'!N13,new_transmute,4,FALSE)
),
""
)
)
)
)
)
)
)
)
))</f>
        <v/>
      </c>
      <c r="O13" s="73" t="str">
        <f>IF($B13="","",
IF(O$5="","",
IF('Final Term'!O13="",0,
IF(NOT(ISNUMBER('Final Term'!O13)),"NAN",
IF('Final Term'!O13&lt;0,"NEG",
IF('Final Term'!O13&gt;O$5,"OVER",
IF(AND(O$5&lt;=100,'Final Term'!O13&gt;100),"ERR",
IF(Info!$B$4="Non-board program",
IF(OR(AND(O$5&gt;0,O$5&gt;100),AND(O$5&gt;0,O$5&lt;100)),
VLOOKUP(FLOOR(('Final Term'!O13/O$5)*100,1),new_transmute,2,FALSE),
VLOOKUP('Final Term'!O13,new_transmute,2,FALSE)
),
IF(Info!$B$4="Board program",
IF(OR(AND(O$5&gt;0,O$5&gt;100),AND(O$5&gt;0,O$5&lt;100)),
VLOOKUP(FLOOR(('Final Term'!O13/O$5)*100,1),new_transmute,3,FALSE),
VLOOKUP('Final Term'!O13,new_transmute,3,FALSE)
),
IF(Info!$B$4="Board program (Medicine)",
IF(OR(AND(O$5&gt;0,O$5&gt;100),AND(O$5&gt;0,O$5&lt;100)),
VLOOKUP(FLOOR(('Final Term'!O13/O$5)*100,1),new_transmute,4,FALSE),
VLOOKUP('Final Term'!O13,new_transmute,4,FALSE)
),
""
)
)
)
)
)
)
)
)
))</f>
        <v/>
      </c>
      <c r="P13" s="73" t="str">
        <f>IF($B13="","",
IF(P$5="","",
IF('Final Term'!P13="",0,
IF(NOT(ISNUMBER('Final Term'!P13)),"NAN",
IF('Final Term'!P13&lt;0,"NEG",
IF('Final Term'!P13&gt;P$5,"OVER",
IF(AND(P$5&lt;=100,'Final Term'!P13&gt;100),"ERR",
IF(Info!$B$4="Non-board program",
IF(OR(AND(P$5&gt;0,P$5&gt;100),AND(P$5&gt;0,P$5&lt;100)),
VLOOKUP(FLOOR(('Final Term'!P13/P$5)*100,1),new_transmute,2,FALSE),
VLOOKUP('Final Term'!P13,new_transmute,2,FALSE)
),
IF(Info!$B$4="Board program",
IF(OR(AND(P$5&gt;0,P$5&gt;100),AND(P$5&gt;0,P$5&lt;100)),
VLOOKUP(FLOOR(('Final Term'!P13/P$5)*100,1),new_transmute,3,FALSE),
VLOOKUP('Final Term'!P13,new_transmute,3,FALSE)
),
IF(Info!$B$4="Board program (Medicine)",
IF(OR(AND(P$5&gt;0,P$5&gt;100),AND(P$5&gt;0,P$5&lt;100)),
VLOOKUP(FLOOR(('Final Term'!P13/P$5)*100,1),new_transmute,4,FALSE),
VLOOKUP('Final Term'!P13,new_transmute,4,FALSE)
),
""
)
)
)
)
)
)
)
)
))</f>
        <v/>
      </c>
      <c r="Q13" s="73" t="str">
        <f>IF($B13="","",
IF(Q$5="","",
IF('Final Term'!Q13="",0,
IF(NOT(ISNUMBER('Final Term'!Q13)),"NAN",
IF('Final Term'!Q13&lt;0,"NEG",
IF('Final Term'!Q13&gt;Q$5,"OVER",
IF(AND(Q$5&lt;=100,'Final Term'!Q13&gt;100),"ERR",
IF(Info!$B$4="Non-board program",
IF(OR(AND(Q$5&gt;0,Q$5&gt;100),AND(Q$5&gt;0,Q$5&lt;100)),
VLOOKUP(FLOOR(('Final Term'!Q13/Q$5)*100,1),new_transmute,2,FALSE),
VLOOKUP('Final Term'!Q13,new_transmute,2,FALSE)
),
IF(Info!$B$4="Board program",
IF(OR(AND(Q$5&gt;0,Q$5&gt;100),AND(Q$5&gt;0,Q$5&lt;100)),
VLOOKUP(FLOOR(('Final Term'!Q13/Q$5)*100,1),new_transmute,3,FALSE),
VLOOKUP('Final Term'!Q13,new_transmute,3,FALSE)
),
IF(Info!$B$4="Board program (Medicine)",
IF(OR(AND(Q$5&gt;0,Q$5&gt;100),AND(Q$5&gt;0,Q$5&lt;100)),
VLOOKUP(FLOOR(('Final Term'!Q13/Q$5)*100,1),new_transmute,4,FALSE),
VLOOKUP('Final Term'!Q13,new_transmute,4,FALSE)
),
""
)
)
)
)
)
)
)
)
))</f>
        <v/>
      </c>
      <c r="R13" s="73" t="str">
        <f>IF($B13="","",
IF(R$5="","",
IF('Final Term'!R13="",0,
IF(NOT(ISNUMBER('Final Term'!R13)),"NAN",
IF('Final Term'!R13&lt;0,"NEG",
IF('Final Term'!R13&gt;R$5,"OVER",
IF(AND(R$5&lt;=100,'Final Term'!R13&gt;100),"ERR",
IF(Info!$B$4="Non-board program",
IF(OR(AND(R$5&gt;0,R$5&gt;100),AND(R$5&gt;0,R$5&lt;100)),
VLOOKUP(FLOOR(('Final Term'!R13/R$5)*100,1),new_transmute,2,FALSE),
VLOOKUP('Final Term'!R13,new_transmute,2,FALSE)
),
IF(Info!$B$4="Board program",
IF(OR(AND(R$5&gt;0,R$5&gt;100),AND(R$5&gt;0,R$5&lt;100)),
VLOOKUP(FLOOR(('Final Term'!R13/R$5)*100,1),new_transmute,3,FALSE),
VLOOKUP('Final Term'!R13,new_transmute,3,FALSE)
),
IF(Info!$B$4="Board program (Medicine)",
IF(OR(AND(R$5&gt;0,R$5&gt;100),AND(R$5&gt;0,R$5&lt;100)),
VLOOKUP(FLOOR(('Final Term'!R13/R$5)*100,1),new_transmute,4,FALSE),
VLOOKUP('Final Term'!R13,new_transmute,4,FALSE)
),
""
)
)
)
)
)
)
)
)
))</f>
        <v/>
      </c>
      <c r="S13" s="115" t="str">
        <f t="shared" si="3"/>
        <v/>
      </c>
      <c r="T13" s="73" t="str">
        <f>IF($B13="","",
IF(T$5="","",
IF('Final Term'!T13="",0,
IF(NOT(ISNUMBER('Final Term'!T13)),"NAN",
IF('Final Term'!T13&lt;0,"NEG",
IF('Final Term'!T13&gt;T$5,"OVER",
IF(AND(T$5&lt;=100,'Final Term'!T13&gt;100),"ERR",
IF(Info!$B$4="Non-board program",
IF(OR(AND(T$5&gt;0,T$5&gt;100),AND(T$5&gt;0,T$5&lt;100)),
VLOOKUP(FLOOR(('Final Term'!T13/T$5)*100,1),new_transmute,2,FALSE),
VLOOKUP('Final Term'!T13,new_transmute,2,FALSE)
),
IF(Info!$B$4="Board program",
IF(OR(AND(T$5&gt;0,T$5&gt;100),AND(T$5&gt;0,T$5&lt;100)),
VLOOKUP(FLOOR(('Final Term'!T13/T$5)*100,1),new_transmute,3,FALSE),
VLOOKUP('Final Term'!T13,new_transmute,3,FALSE)
),
IF(Info!$B$4="Board program (Medicine)",
IF(OR(AND(T$5&gt;0,T$5&gt;100),AND(T$5&gt;0,T$5&lt;100)),
VLOOKUP(FLOOR(('Final Term'!T13/T$5)*100,1),new_transmute,4,FALSE),
VLOOKUP('Final Term'!T13,new_transmute,4,FALSE)
),
""
)
)
)
)
)
)
)
)
))</f>
        <v/>
      </c>
      <c r="U13" s="73" t="str">
        <f>IF($B13="","",
IF(U$5="","",
IF('Final Term'!U13="",0,
IF(NOT(ISNUMBER('Final Term'!U13)),"NAN",
IF('Final Term'!U13&lt;0,"NEG",
IF('Final Term'!U13&gt;U$5,"OVER",
IF(AND(U$5&lt;=100,'Final Term'!U13&gt;100),"ERR",
IF(Info!$B$4="Non-board program",
IF(OR(AND(U$5&gt;0,U$5&gt;100),AND(U$5&gt;0,U$5&lt;100)),
VLOOKUP(FLOOR(('Final Term'!U13/U$5)*100,1),new_transmute,2,FALSE),
VLOOKUP('Final Term'!U13,new_transmute,2,FALSE)
),
IF(Info!$B$4="Board program",
IF(OR(AND(U$5&gt;0,U$5&gt;100),AND(U$5&gt;0,U$5&lt;100)),
VLOOKUP(FLOOR(('Final Term'!U13/U$5)*100,1),new_transmute,3,FALSE),
VLOOKUP('Final Term'!U13,new_transmute,3,FALSE)
),
IF(Info!$B$4="Board program (Medicine)",
IF(OR(AND(U$5&gt;0,U$5&gt;100),AND(U$5&gt;0,U$5&lt;100)),
VLOOKUP(FLOOR(('Final Term'!U13/U$5)*100,1),new_transmute,4,FALSE),
VLOOKUP('Final Term'!U13,new_transmute,4,FALSE)
),
""
)
)
)
)
)
)
)
)
))</f>
        <v/>
      </c>
      <c r="V13" s="73" t="str">
        <f>IF($B13="","",
IF(V$5="","",
IF('Final Term'!V13="",0,
IF(NOT(ISNUMBER('Final Term'!V13)),"NAN",
IF('Final Term'!V13&lt;0,"NEG",
IF('Final Term'!V13&gt;V$5,"OVER",
IF(AND(V$5&lt;=100,'Final Term'!V13&gt;100),"ERR",
IF(Info!$B$4="Non-board program",
IF(OR(AND(V$5&gt;0,V$5&gt;100),AND(V$5&gt;0,V$5&lt;100)),
VLOOKUP(FLOOR(('Final Term'!V13/V$5)*100,1),new_transmute,2,FALSE),
VLOOKUP('Final Term'!V13,new_transmute,2,FALSE)
),
IF(Info!$B$4="Board program",
IF(OR(AND(V$5&gt;0,V$5&gt;100),AND(V$5&gt;0,V$5&lt;100)),
VLOOKUP(FLOOR(('Final Term'!V13/V$5)*100,1),new_transmute,3,FALSE),
VLOOKUP('Final Term'!V13,new_transmute,3,FALSE)
),
IF(Info!$B$4="Board program (Medicine)",
IF(OR(AND(V$5&gt;0,V$5&gt;100),AND(V$5&gt;0,V$5&lt;100)),
VLOOKUP(FLOOR(('Final Term'!V13/V$5)*100,1),new_transmute,4,FALSE),
VLOOKUP('Final Term'!V13,new_transmute,4,FALSE)
),
""
)
)
)
)
)
)
)
)
))</f>
        <v/>
      </c>
      <c r="W13" s="73" t="str">
        <f>IF($B13="","",
IF(W$5="","",
IF('Final Term'!W13="",0,
IF(NOT(ISNUMBER('Final Term'!W13)),"NAN",
IF('Final Term'!W13&lt;0,"NEG",
IF('Final Term'!W13&gt;W$5,"OVER",
IF(AND(W$5&lt;=100,'Final Term'!W13&gt;100),"ERR",
IF(Info!$B$4="Non-board program",
IF(OR(AND(W$5&gt;0,W$5&gt;100),AND(W$5&gt;0,W$5&lt;100)),
VLOOKUP(FLOOR(('Final Term'!W13/W$5)*100,1),new_transmute,2,FALSE),
VLOOKUP('Final Term'!W13,new_transmute,2,FALSE)
),
IF(Info!$B$4="Board program",
IF(OR(AND(W$5&gt;0,W$5&gt;100),AND(W$5&gt;0,W$5&lt;100)),
VLOOKUP(FLOOR(('Final Term'!W13/W$5)*100,1),new_transmute,3,FALSE),
VLOOKUP('Final Term'!W13,new_transmute,3,FALSE)
),
IF(Info!$B$4="Board program (Medicine)",
IF(OR(AND(W$5&gt;0,W$5&gt;100),AND(W$5&gt;0,W$5&lt;100)),
VLOOKUP(FLOOR(('Final Term'!W13/W$5)*100,1),new_transmute,4,FALSE),
VLOOKUP('Final Term'!W13,new_transmute,4,FALSE)
),
""
)
)
)
)
)
)
)
)
))</f>
        <v/>
      </c>
      <c r="X13" s="73" t="str">
        <f>IF($B13="","",
IF(X$5="","",
IF('Final Term'!X13="",0,
IF(NOT(ISNUMBER('Final Term'!X13)),"NAN",
IF('Final Term'!X13&lt;0,"NEG",
IF('Final Term'!X13&gt;X$5,"OVER",
IF(AND(X$5&lt;=100,'Final Term'!X13&gt;100),"ERR",
IF(Info!$B$4="Non-board program",
IF(OR(AND(X$5&gt;0,X$5&gt;100),AND(X$5&gt;0,X$5&lt;100)),
VLOOKUP(FLOOR(('Final Term'!X13/X$5)*100,1),new_transmute,2,FALSE),
VLOOKUP('Final Term'!X13,new_transmute,2,FALSE)
),
IF(Info!$B$4="Board program",
IF(OR(AND(X$5&gt;0,X$5&gt;100),AND(X$5&gt;0,X$5&lt;100)),
VLOOKUP(FLOOR(('Final Term'!X13/X$5)*100,1),new_transmute,3,FALSE),
VLOOKUP('Final Term'!X13,new_transmute,3,FALSE)
),
IF(Info!$B$4="Board program (Medicine)",
IF(OR(AND(X$5&gt;0,X$5&gt;100),AND(X$5&gt;0,X$5&lt;100)),
VLOOKUP(FLOOR(('Final Term'!X13/X$5)*100,1),new_transmute,4,FALSE),
VLOOKUP('Final Term'!X13,new_transmute,4,FALSE)
),
""
)
)
)
)
)
)
)
)
))</f>
        <v/>
      </c>
      <c r="Y13" s="112" t="str">
        <f t="shared" si="4"/>
        <v/>
      </c>
      <c r="Z13" s="73" t="str">
        <f>IF($B13="","",
IF(Z$5="","",
IF('Final Term'!Z13="",0,
IF(NOT(ISNUMBER('Final Term'!Z13)),"NAN",
IF('Final Term'!Z13&lt;0,"NEG",
IF('Final Term'!Z13&gt;Z$5,"OVER",
IF(AND(Z$5&lt;=100,'Final Term'!Z13&gt;100),"ERR",
IF(Info!$B$4="Non-board program",
IF(OR(AND(Z$5&gt;0,Z$5&gt;100),AND(Z$5&gt;0,Z$5&lt;100)),
VLOOKUP(FLOOR(('Final Term'!Z13/Z$5)*100,1),new_transmute,2,FALSE),
VLOOKUP('Final Term'!Z13,new_transmute,2,FALSE)
),
IF(Info!$B$4="Board program",
IF(OR(AND(Z$5&gt;0,Z$5&gt;100),AND(Z$5&gt;0,Z$5&lt;100)),
VLOOKUP(FLOOR(('Final Term'!Z13/Z$5)*100,1),new_transmute,3,FALSE),
VLOOKUP('Final Term'!Z13,new_transmute,3,FALSE)
),
IF(Info!$B$4="Board program (Medicine)",
IF(OR(AND(Z$5&gt;0,Z$5&gt;100),AND(Z$5&gt;0,Z$5&lt;100)),
VLOOKUP(FLOOR(('Final Term'!Z13/Z$5)*100,1),new_transmute,4,FALSE),
VLOOKUP('Final Term'!Z13,new_transmute,4,FALSE)
),
""
)
)
)
)
)
)
)
)
))</f>
        <v/>
      </c>
      <c r="AA13" s="73" t="str">
        <f>IF($B13="","",
IF(AA$5="","",
IF('Final Term'!AA13="",0,
IF(NOT(ISNUMBER('Final Term'!AA13)),"NAN",
IF('Final Term'!AA13&lt;0,"NEG",
IF('Final Term'!AA13&gt;AA$5,"OVER",
IF(AND(AA$5&lt;=100,'Final Term'!AA13&gt;100),"ERR",
IF(Info!$B$4="Non-board program",
IF(OR(AND(AA$5&gt;0,AA$5&gt;100),AND(AA$5&gt;0,AA$5&lt;100)),
VLOOKUP(FLOOR(('Final Term'!AA13/AA$5)*100,1),new_transmute,2,FALSE),
VLOOKUP('Final Term'!AA13,new_transmute,2,FALSE)
),
IF(Info!$B$4="Board program",
IF(OR(AND(AA$5&gt;0,AA$5&gt;100),AND(AA$5&gt;0,AA$5&lt;100)),
VLOOKUP(FLOOR(('Final Term'!AA13/AA$5)*100,1),new_transmute,3,FALSE),
VLOOKUP('Final Term'!AA13,new_transmute,3,FALSE)
),
IF(Info!$B$4="Board program (Medicine)",
IF(OR(AND(AA$5&gt;0,AA$5&gt;100),AND(AA$5&gt;0,AA$5&lt;100)),
VLOOKUP(FLOOR(('Final Term'!AA13/AA$5)*100,1),new_transmute,4,FALSE),
VLOOKUP('Final Term'!AA13,new_transmute,4,FALSE)
),
""
)
)
)
)
)
)
)
)
))</f>
        <v/>
      </c>
      <c r="AB13" s="73" t="str">
        <f>IF($B13="","",
IF(AB$5="","",
IF('Final Term'!AB13="",0,
IF(NOT(ISNUMBER('Final Term'!AB13)),"NAN",
IF('Final Term'!AB13&lt;0,"NEG",
IF('Final Term'!AB13&gt;AB$5,"OVER",
IF(AND(AB$5&lt;=100,'Final Term'!AB13&gt;100),"ERR",
IF(Info!$B$4="Non-board program",
IF(OR(AND(AB$5&gt;0,AB$5&gt;100),AND(AB$5&gt;0,AB$5&lt;100)),
VLOOKUP(FLOOR(('Final Term'!AB13/AB$5)*100,1),new_transmute,2,FALSE),
VLOOKUP('Final Term'!AB13,new_transmute,2,FALSE)
),
IF(Info!$B$4="Board program",
IF(OR(AND(AB$5&gt;0,AB$5&gt;100),AND(AB$5&gt;0,AB$5&lt;100)),
VLOOKUP(FLOOR(('Final Term'!AB13/AB$5)*100,1),new_transmute,3,FALSE),
VLOOKUP('Final Term'!AB13,new_transmute,3,FALSE)
),
IF(Info!$B$4="Board program (Medicine)",
IF(OR(AND(AB$5&gt;0,AB$5&gt;100),AND(AB$5&gt;0,AB$5&lt;100)),
VLOOKUP(FLOOR(('Final Term'!AB13/AB$5)*100,1),new_transmute,4,FALSE),
VLOOKUP('Final Term'!AB13,new_transmute,4,FALSE)
),
""
)
)
)
)
)
)
)
)
))</f>
        <v/>
      </c>
      <c r="AC13" s="73" t="str">
        <f>IF($B13="","",
IF(AC$5="","",
IF('Final Term'!AC13="",0,
IF(NOT(ISNUMBER('Final Term'!AC13)),"NAN",
IF('Final Term'!AC13&lt;0,"NEG",
IF('Final Term'!AC13&gt;AC$5,"OVER",
IF(AND(AC$5&lt;=100,'Final Term'!AC13&gt;100),"ERR",
IF(Info!$B$4="Non-board program",
IF(OR(AND(AC$5&gt;0,AC$5&gt;100),AND(AC$5&gt;0,AC$5&lt;100)),
VLOOKUP(FLOOR(('Final Term'!AC13/AC$5)*100,1),new_transmute,2,FALSE),
VLOOKUP('Final Term'!AC13,new_transmute,2,FALSE)
),
IF(Info!$B$4="Board program",
IF(OR(AND(AC$5&gt;0,AC$5&gt;100),AND(AC$5&gt;0,AC$5&lt;100)),
VLOOKUP(FLOOR(('Final Term'!AC13/AC$5)*100,1),new_transmute,3,FALSE),
VLOOKUP('Final Term'!AC13,new_transmute,3,FALSE)
),
IF(Info!$B$4="Board program (Medicine)",
IF(OR(AND(AC$5&gt;0,AC$5&gt;100),AND(AC$5&gt;0,AC$5&lt;100)),
VLOOKUP(FLOOR(('Final Term'!AC13/AC$5)*100,1),new_transmute,4,FALSE),
VLOOKUP('Final Term'!AC13,new_transmute,4,FALSE)
),
""
)
)
)
)
)
)
)
)
))</f>
        <v/>
      </c>
      <c r="AD13" s="73" t="str">
        <f>IF($B13="","",
IF(AD$5="","",
IF('Final Term'!AD13="",0,
IF(NOT(ISNUMBER('Final Term'!AD13)),"NAN",
IF('Final Term'!AD13&lt;0,"NEG",
IF('Final Term'!AD13&gt;AD$5,"OVER",
IF(AND(AD$5&lt;=100,'Final Term'!AD13&gt;100),"ERR",
IF(Info!$B$4="Non-board program",
IF(OR(AND(AD$5&gt;0,AD$5&gt;100),AND(AD$5&gt;0,AD$5&lt;100)),
VLOOKUP(FLOOR(('Final Term'!AD13/AD$5)*100,1),new_transmute,2,FALSE),
VLOOKUP('Final Term'!AD13,new_transmute,2,FALSE)
),
IF(Info!$B$4="Board program",
IF(OR(AND(AD$5&gt;0,AD$5&gt;100),AND(AD$5&gt;0,AD$5&lt;100)),
VLOOKUP(FLOOR(('Final Term'!AD13/AD$5)*100,1),new_transmute,3,FALSE),
VLOOKUP('Final Term'!AD13,new_transmute,3,FALSE)
),
IF(Info!$B$4="Board program (Medicine)",
IF(OR(AND(AD$5&gt;0,AD$5&gt;100),AND(AD$5&gt;0,AD$5&lt;100)),
VLOOKUP(FLOOR(('Final Term'!AD13/AD$5)*100,1),new_transmute,4,FALSE),
VLOOKUP('Final Term'!AD13,new_transmute,4,FALSE)
),
""
)
)
)
)
)
)
)
)
))</f>
        <v/>
      </c>
      <c r="AE13" s="58" t="str">
        <f t="shared" si="5"/>
        <v/>
      </c>
      <c r="AF13" s="73" t="str">
        <f>IF($B13="","",
IF(AF$5="","",
IF('Final Term'!AF13="",0,
IF(NOT(ISNUMBER('Final Term'!AF13)),"NAN",
IF('Final Term'!AF13&lt;0,"NEG",
IF('Final Term'!AF13&gt;AF$5,"OVER",
IF(AND(AF$5&lt;=100,'Final Term'!AF13&gt;100),"ERR",
IF(Info!$B$4="Non-board program",
IF(OR(AND(AF$5&gt;0,AF$5&gt;100),AND(AF$5&gt;0,AF$5&lt;100)),
VLOOKUP(FLOOR(('Final Term'!AF13/AF$5)*100,1),new_transmute,2,FALSE),
VLOOKUP('Final Term'!AF13,new_transmute,2,FALSE)
),
IF(Info!$B$4="Board program",
IF(OR(AND(AF$5&gt;0,AF$5&gt;100),AND(AF$5&gt;0,AF$5&lt;100)),
VLOOKUP(FLOOR(('Final Term'!AF13/AF$5)*100,1),new_transmute,3,FALSE),
VLOOKUP('Final Term'!AF13,new_transmute,3,FALSE)
),
IF(Info!$B$4="Board program (Medicine)",
IF(OR(AND(AF$5&gt;0,AF$5&gt;100),AND(AF$5&gt;0,AF$5&lt;100)),
VLOOKUP(FLOOR(('Final Term'!AF13/AF$5)*100,1),new_transmute,4,FALSE),
VLOOKUP('Final Term'!AF13,new_transmute,4,FALSE)
),
""
)
)
)
)
)
)
)
)
))</f>
        <v/>
      </c>
      <c r="AG13" s="73" t="str">
        <f>IF($B13="","",
IF(AG$5="","",
IF('Final Term'!AG13="",0,
IF(NOT(ISNUMBER('Final Term'!AG13)),"NAN",
IF('Final Term'!AG13&lt;0,"NEG",
IF('Final Term'!AG13&gt;AG$5,"OVER",
IF(AND(AG$5&lt;=100,'Final Term'!AG13&gt;100),"ERR",
IF(Info!$B$4="Non-board program",
IF(OR(AND(AG$5&gt;0,AG$5&gt;100),AND(AG$5&gt;0,AG$5&lt;100)),
VLOOKUP(FLOOR(('Final Term'!AG13/AG$5)*100,1),new_transmute,2,FALSE),
VLOOKUP('Final Term'!AG13,new_transmute,2,FALSE)
),
IF(Info!$B$4="Board program",
IF(OR(AND(AG$5&gt;0,AG$5&gt;100),AND(AG$5&gt;0,AG$5&lt;100)),
VLOOKUP(FLOOR(('Final Term'!AG13/AG$5)*100,1),new_transmute,3,FALSE),
VLOOKUP('Final Term'!AG13,new_transmute,3,FALSE)
),
IF(Info!$B$4="Board program (Medicine)",
IF(OR(AND(AG$5&gt;0,AG$5&gt;100),AND(AG$5&gt;0,AG$5&lt;100)),
VLOOKUP(FLOOR(('Final Term'!AG13/AG$5)*100,1),new_transmute,4,FALSE),
VLOOKUP('Final Term'!AG13,new_transmute,4,FALSE)
),
""
)
)
)
)
)
)
)
)
))</f>
        <v/>
      </c>
      <c r="AH13" s="73" t="str">
        <f>IF($B13="","",
IF(AH$5="","",
IF('Final Term'!AH13="",0,
IF(NOT(ISNUMBER('Final Term'!AH13)),"NAN",
IF('Final Term'!AH13&lt;0,"NEG",
IF('Final Term'!AH13&gt;AH$5,"OVER",
IF(AND(AH$5&lt;=100,'Final Term'!AH13&gt;100),"ERR",
IF(Info!$B$4="Non-board program",
IF(OR(AND(AH$5&gt;0,AH$5&gt;100),AND(AH$5&gt;0,AH$5&lt;100)),
VLOOKUP(FLOOR(('Final Term'!AH13/AH$5)*100,1),new_transmute,2,FALSE),
VLOOKUP('Final Term'!AH13,new_transmute,2,FALSE)
),
IF(Info!$B$4="Board program",
IF(OR(AND(AH$5&gt;0,AH$5&gt;100),AND(AH$5&gt;0,AH$5&lt;100)),
VLOOKUP(FLOOR(('Final Term'!AH13/AH$5)*100,1),new_transmute,3,FALSE),
VLOOKUP('Final Term'!AH13,new_transmute,3,FALSE)
),
IF(Info!$B$4="Board program (Medicine)",
IF(OR(AND(AH$5&gt;0,AH$5&gt;100),AND(AH$5&gt;0,AH$5&lt;100)),
VLOOKUP(FLOOR(('Final Term'!AH13/AH$5)*100,1),new_transmute,4,FALSE),
VLOOKUP('Final Term'!AH13,new_transmute,4,FALSE)
),
""
)
)
)
)
)
)
)
)
))</f>
        <v/>
      </c>
      <c r="AI13" s="73" t="str">
        <f>IF($B13="","",
IF(AI$5="","",
IF('Final Term'!AI13="",0,
IF(NOT(ISNUMBER('Final Term'!AI13)),"NAN",
IF('Final Term'!AI13&lt;0,"NEG",
IF('Final Term'!AI13&gt;AI$5,"OVER",
IF(AND(AI$5&lt;=100,'Final Term'!AI13&gt;100),"ERR",
IF(Info!$B$4="Non-board program",
IF(OR(AND(AI$5&gt;0,AI$5&gt;100),AND(AI$5&gt;0,AI$5&lt;100)),
VLOOKUP(FLOOR(('Final Term'!AI13/AI$5)*100,1),new_transmute,2,FALSE),
VLOOKUP('Final Term'!AI13,new_transmute,2,FALSE)
),
IF(Info!$B$4="Board program",
IF(OR(AND(AI$5&gt;0,AI$5&gt;100),AND(AI$5&gt;0,AI$5&lt;100)),
VLOOKUP(FLOOR(('Final Term'!AI13/AI$5)*100,1),new_transmute,3,FALSE),
VLOOKUP('Final Term'!AI13,new_transmute,3,FALSE)
),
IF(Info!$B$4="Board program (Medicine)",
IF(OR(AND(AI$5&gt;0,AI$5&gt;100),AND(AI$5&gt;0,AI$5&lt;100)),
VLOOKUP(FLOOR(('Final Term'!AI13/AI$5)*100,1),new_transmute,4,FALSE),
VLOOKUP('Final Term'!AI13,new_transmute,4,FALSE)
),
""
)
)
)
)
)
)
)
)
))</f>
        <v/>
      </c>
      <c r="AJ13" s="73" t="str">
        <f>IF($B13="","",
IF(AJ$5="","",
IF('Final Term'!AJ13="",0,
IF(NOT(ISNUMBER('Final Term'!AJ13)),"NAN",
IF('Final Term'!AJ13&lt;0,"NEG",
IF('Final Term'!AJ13&gt;AJ$5,"OVER",
IF(AND(AJ$5&lt;=100,'Final Term'!AJ13&gt;100),"ERR",
IF(Info!$B$4="Non-board program",
IF(OR(AND(AJ$5&gt;0,AJ$5&gt;100),AND(AJ$5&gt;0,AJ$5&lt;100)),
VLOOKUP(FLOOR(('Final Term'!AJ13/AJ$5)*100,1),new_transmute,2,FALSE),
VLOOKUP('Final Term'!AJ13,new_transmute,2,FALSE)
),
IF(Info!$B$4="Board program",
IF(OR(AND(AJ$5&gt;0,AJ$5&gt;100),AND(AJ$5&gt;0,AJ$5&lt;100)),
VLOOKUP(FLOOR(('Final Term'!AJ13/AJ$5)*100,1),new_transmute,3,FALSE),
VLOOKUP('Final Term'!AJ13,new_transmute,3,FALSE)
),
IF(Info!$B$4="Board program (Medicine)",
IF(OR(AND(AJ$5&gt;0,AJ$5&gt;100),AND(AJ$5&gt;0,AJ$5&lt;100)),
VLOOKUP(FLOOR(('Final Term'!AJ13/AJ$5)*100,1),new_transmute,4,FALSE),
VLOOKUP('Final Term'!AJ13,new_transmute,4,FALSE)
),
""
)
)
)
)
)
)
)
)
))</f>
        <v/>
      </c>
      <c r="AK13" s="59" t="str">
        <f t="shared" si="6"/>
        <v/>
      </c>
      <c r="AL13" s="60" t="str">
        <f>IF(B13="", "",
    IF(OR(M13="OVER", S13="OVER", Y13="OVER", AE13="OVER", AK13="OVER"),
        "OVER",
        IF(Info!$B$4="Non-board program",
            VLOOKUP(IFERROR(FLOOR(SUM((M13*$M$4), (S13*$S$4), (Y13*$Y$4), (AE13*$AE$4), (AK13*$AK$4)) * (100 / 60), 1), 0), new_transmute, 2, FALSE),
            IF(Info!$B$4="Board program",
                VLOOKUP(IFERROR(FLOOR(SUM((M13*$M$4), (S13*$S$4), (Y13*$Y$4), (AE13*$AE$4), (AK13*$AK$4)) * (100 / 60), 1), 0), new_transmute, 3, FALSE),
                IF(Info!$B$4="Board program (Medicine)",
                    VLOOKUP(IFERROR(FLOOR(SUM((M13*$M$4), (S13*$S$4), (Y13*$Y$4), (AE13*$AE$4), (AK13*$AK$4)) * (100 / 60), 1), 0), new_transmute, 4, FALSE),
                    ""
                )
            )
        )
    )
)</f>
        <v/>
      </c>
      <c r="AM13" s="73" t="str">
        <f>IF($B13="","",
IF(AM$5="","",
IF('Final Term'!AM13="",0,
IF(NOT(ISNUMBER('Final Term'!AM13)),"NAN",
IF('Final Term'!AM13&lt;0,"NEG",
IF('Final Term'!AM13&gt;AM$5,"OVER",
IF(AND(AM$5&lt;=100,'Final Term'!AM13&gt;100),"ERR",
IF(Info!$B$4="Non-board program",
IF(OR(AND(AM$5&gt;0,AM$5&gt;100),AND(AM$5&gt;0,AM$5&lt;100)),
VLOOKUP(FLOOR(('Final Term'!AM13/AM$5)*100,1),new_transmute,2,FALSE),
VLOOKUP('Final Term'!AM13,new_transmute,2,FALSE)
),
IF(Info!$B$4="Board program",
IF(OR(AND(AM$5&gt;0,AM$5&gt;100),AND(AM$5&gt;0,AM$5&lt;100)),
VLOOKUP(FLOOR(('Final Term'!AM13/AM$5)*100,1),new_transmute,3,FALSE),
VLOOKUP('Final Term'!AM13,new_transmute,3,FALSE)
),
IF(Info!$B$4="Board program (Medicine)",
IF(OR(AND(AM$5&gt;0,AM$5&gt;100),AND(AM$5&gt;0,AM$5&lt;100)),
VLOOKUP(FLOOR(('Final Term'!AM13/AM$5)*100,1),new_transmute,4,FALSE),
VLOOKUP('Final Term'!AM13,new_transmute,4,FALSE)
),
""
)
)
)
)
)
)
)
)
))</f>
        <v/>
      </c>
      <c r="AN13" s="73" t="str">
        <f>IF($B13="","",
IF(AN$5="","",
IF('Final Term'!AN13="",0,
IF(NOT(ISNUMBER('Final Term'!AN13)),"NAN",
IF('Final Term'!AN13&lt;0,"NEG",
IF('Final Term'!AN13&gt;AN$5,"OVER",
IF(AND(AN$5&lt;=100,'Final Term'!AN13&gt;100),"ERR",
IF(Info!$B$4="Non-board program",
IF(OR(AND(AN$5&gt;0,AN$5&gt;100),AND(AN$5&gt;0,AN$5&lt;100)),
VLOOKUP(FLOOR(('Final Term'!AN13/AN$5)*100,1),new_transmute,2,FALSE),
VLOOKUP('Final Term'!AN13,new_transmute,2,FALSE)
),
IF(Info!$B$4="Board program",
IF(OR(AND(AN$5&gt;0,AN$5&gt;100),AND(AN$5&gt;0,AN$5&lt;100)),
VLOOKUP(FLOOR(('Final Term'!AN13/AN$5)*100,1),new_transmute,3,FALSE),
VLOOKUP('Final Term'!AN13,new_transmute,3,FALSE)
),
IF(Info!$B$4="Board program (Medicine)",
IF(OR(AND(AN$5&gt;0,AN$5&gt;100),AND(AN$5&gt;0,AN$5&lt;100)),
VLOOKUP(FLOOR(('Final Term'!AN13/AN$5)*100,1),new_transmute,4,FALSE),
VLOOKUP('Final Term'!AN13,new_transmute,4,FALSE)
),
""
)
)
)
)
)
)
)
)
))</f>
        <v/>
      </c>
      <c r="AO13" s="73" t="str">
        <f>IF($B13="","",
IF(AO$5="","",
IF('Final Term'!AO13="",0,
IF(NOT(ISNUMBER('Final Term'!AO13)),"NAN",
IF('Final Term'!AO13&lt;0,"NEG",
IF('Final Term'!AO13&gt;AO$5,"OVER",
IF(AND(AO$5&lt;=100,'Final Term'!AO13&gt;100),"ERR",
IF(Info!$B$4="Non-board program",
IF(OR(AND(AO$5&gt;0,AO$5&gt;100),AND(AO$5&gt;0,AO$5&lt;100)),
VLOOKUP(FLOOR(('Final Term'!AO13/AO$5)*100,1),new_transmute,2,FALSE),
VLOOKUP('Final Term'!AO13,new_transmute,2,FALSE)
),
IF(Info!$B$4="Board program",
IF(OR(AND(AO$5&gt;0,AO$5&gt;100),AND(AO$5&gt;0,AO$5&lt;100)),
VLOOKUP(FLOOR(('Final Term'!AO13/AO$5)*100,1),new_transmute,3,FALSE),
VLOOKUP('Final Term'!AO13,new_transmute,3,FALSE)
),
IF(Info!$B$4="Board program (Medicine)",
IF(OR(AND(AO$5&gt;0,AO$5&gt;100),AND(AO$5&gt;0,AO$5&lt;100)),
VLOOKUP(FLOOR(('Final Term'!AO13/AO$5)*100,1),new_transmute,4,FALSE),
VLOOKUP('Final Term'!AO13,new_transmute,4,FALSE)
),
""
)
)
)
)
)
)
)
)
))</f>
        <v/>
      </c>
      <c r="AP13" s="73" t="str">
        <f>IF($B13="","",
IF(AP$5="","",
IF('Final Term'!AP13="",0,
IF(NOT(ISNUMBER('Final Term'!AP13)),"NAN",
IF('Final Term'!AP13&lt;0,"NEG",
IF('Final Term'!AP13&gt;AP$5,"OVER",
IF(AND(AP$5&lt;=100,'Final Term'!AP13&gt;100),"ERR",
IF(Info!$B$4="Non-board program",
IF(OR(AND(AP$5&gt;0,AP$5&gt;100),AND(AP$5&gt;0,AP$5&lt;100)),
VLOOKUP(FLOOR(('Final Term'!AP13/AP$5)*100,1),new_transmute,2,FALSE),
VLOOKUP('Final Term'!AP13,new_transmute,2,FALSE)
),
IF(Info!$B$4="Board program",
IF(OR(AND(AP$5&gt;0,AP$5&gt;100),AND(AP$5&gt;0,AP$5&lt;100)),
VLOOKUP(FLOOR(('Final Term'!AP13/AP$5)*100,1),new_transmute,3,FALSE),
VLOOKUP('Final Term'!AP13,new_transmute,3,FALSE)
),
IF(Info!$B$4="Board program (Medicine)",
IF(OR(AND(AP$5&gt;0,AP$5&gt;100),AND(AP$5&gt;0,AP$5&lt;100)),
VLOOKUP(FLOOR(('Final Term'!AP13/AP$5)*100,1),new_transmute,4,FALSE),
VLOOKUP('Final Term'!AP13,new_transmute,4,FALSE)
),
""
)
)
)
)
)
)
)
)
))</f>
        <v/>
      </c>
      <c r="AQ13" s="61" t="str">
        <f t="shared" si="7"/>
        <v/>
      </c>
      <c r="AR13" s="48" t="str">
        <f>IF('Final Term'!AR13="","",'Final Term'!AR13)</f>
        <v/>
      </c>
      <c r="AS13" s="165" t="str">
        <f t="shared" si="8"/>
        <v/>
      </c>
      <c r="AT13" s="14" t="str">
        <f t="shared" si="0"/>
        <v/>
      </c>
      <c r="AU13" s="13" t="str">
        <f>IF(B13="","",VLOOKUP(AT13,'New Grade Equivalent'!$B$3:$C$47,2,FALSE))</f>
        <v/>
      </c>
    </row>
    <row r="14" spans="1:47" x14ac:dyDescent="0.25">
      <c r="A14" s="8">
        <v>9</v>
      </c>
      <c r="B14" s="2" t="str">
        <f>IF('Student List'!C18="","",UPPER(LEFT('Student List'!C18,FIND(",",'Student List'!C18)-1)))</f>
        <v/>
      </c>
      <c r="C14" s="12" t="str">
        <f>IF('Student List'!C18="","",PROPER(MID('Student List'!C18, FIND(",", 'Student List'!C18) + 2, LEN('Student List'!C18) - FIND(",", 'Student List'!C18) - 1)))</f>
        <v/>
      </c>
      <c r="D14" s="127" t="str">
        <f>IF('Final Term'!D14="","",'Final Term'!D14)</f>
        <v/>
      </c>
      <c r="E14" s="8" t="str">
        <f>IF(MidCom!E14="FA", "FA",
    IF(MidCom!E14="DRP", "DRP",
        IF(MidCom!E14="WF", "WF",
            IF(D14="Yes", "INC",
               IF((SUM('MT Attendance'!AW12) / 3 + SUM('MT Attendance'!AY12) + SUM('FT Attendance'!AW12) / 3 + SUM('FT Attendance'!AY12)) &gt;= 0.2 * (SUMPRODUCT(--(ISTEXT('MT Attendance'!$C$2:$AU$2))) + SUMPRODUCT(--(ISTEXT('FT Attendance'!$C$2:$AU$2)))), "FA",
                   MidCom!E14
                )
            )
        )
    )
)</f>
        <v/>
      </c>
      <c r="F14" s="73" t="str">
        <f>IF($B14="","",
IF(F$5="","",
IF('Final Term'!F14="",0,
IF(NOT(ISNUMBER('Final Term'!F14)),"NAN",
IF('Final Term'!F14&lt;0,"NEG",
IF('Final Term'!F14&gt;F$5,"OVER",
IF(AND(F$5&lt;=100,'Final Term'!F14&gt;100),"ERR",
IF(Info!$B$4="Non-board program",
IF(OR(AND(F$5&gt;0,F$5&gt;100),AND(F$5&gt;0,F$5&lt;100)),
VLOOKUP(FLOOR(('Final Term'!F14/F$5)*100,1),new_transmute,2,FALSE),
VLOOKUP('Final Term'!F14,new_transmute,2,FALSE)
),
IF(Info!$B$4="Board program",
IF(OR(AND(F$5&gt;0,F$5&gt;100),AND(F$5&gt;0,F$5&lt;100)),
VLOOKUP(FLOOR(('Final Term'!F14/F$5)*100,1),new_transmute,3,FALSE),
VLOOKUP('Final Term'!F14,new_transmute,3,FALSE)
),
IF(Info!$B$4="Board program (Medicine)",
IF(OR(AND(F$5&gt;0,F$5&gt;100),AND(F$5&gt;0,F$5&lt;100)),
VLOOKUP(FLOOR(('Final Term'!F14/F$5)*100,1),new_transmute,4,FALSE),
VLOOKUP('Final Term'!F14,new_transmute,4,FALSE)
),
""
)
)
)
)
)
)
)
)
))</f>
        <v/>
      </c>
      <c r="G14" s="57" t="str">
        <f t="shared" si="1"/>
        <v/>
      </c>
      <c r="H14" s="73" t="str">
        <f>IF($B14="","",
IF(H$5="","",
IF('Final Term'!H14="",0,
IF(NOT(ISNUMBER('Final Term'!H14)),"NAN",
IF('Final Term'!H14&lt;0,"NEG",
IF('Final Term'!H14&gt;H$5,"OVER",
IF(AND(H$5&lt;=100,'Final Term'!H14&gt;100),"ERR",
IF(Info!$B$4="Non-board program",
IF(OR(AND(H$5&gt;0,H$5&gt;100),AND(H$5&gt;0,H$5&lt;100)),
VLOOKUP(FLOOR(('Final Term'!H14/H$5)*100,1),new_transmute,2,FALSE),
VLOOKUP('Final Term'!H14,new_transmute,2,FALSE)
),
IF(Info!$B$4="Board program",
IF(OR(AND(H$5&gt;0,H$5&gt;100),AND(H$5&gt;0,H$5&lt;100)),
VLOOKUP(FLOOR(('Final Term'!H14/H$5)*100,1),new_transmute,3,FALSE),
VLOOKUP('Final Term'!H14,new_transmute,3,FALSE)
),
IF(Info!$B$4="Board program (Medicine)",
IF(OR(AND(H$5&gt;0,H$5&gt;100),AND(H$5&gt;0,H$5&lt;100)),
VLOOKUP(FLOOR(('Final Term'!H14/H$5)*100,1),new_transmute,4,FALSE),
VLOOKUP('Final Term'!H14,new_transmute,4,FALSE)
),
""
)
)
)
)
)
)
)
)
))</f>
        <v/>
      </c>
      <c r="I14" s="73" t="str">
        <f>IF($B14="","",
IF(I$5="","",
IF('Final Term'!I14="",0,
IF(NOT(ISNUMBER('Final Term'!I14)),"NAN",
IF('Final Term'!I14&lt;0,"NEG",
IF('Final Term'!I14&gt;I$5,"OVER",
IF(AND(I$5&lt;=100,'Final Term'!I14&gt;100),"ERR",
IF(Info!$B$4="Non-board program",
IF(OR(AND(I$5&gt;0,I$5&gt;100),AND(I$5&gt;0,I$5&lt;100)),
VLOOKUP(FLOOR(('Final Term'!I14/I$5)*100,1),new_transmute,2,FALSE),
VLOOKUP('Final Term'!I14,new_transmute,2,FALSE)
),
IF(Info!$B$4="Board program",
IF(OR(AND(I$5&gt;0,I$5&gt;100),AND(I$5&gt;0,I$5&lt;100)),
VLOOKUP(FLOOR(('Final Term'!I14/I$5)*100,1),new_transmute,3,FALSE),
VLOOKUP('Final Term'!I14,new_transmute,3,FALSE)
),
IF(Info!$B$4="Board program (Medicine)",
IF(OR(AND(I$5&gt;0,I$5&gt;100),AND(I$5&gt;0,I$5&lt;100)),
VLOOKUP(FLOOR(('Final Term'!I14/I$5)*100,1),new_transmute,4,FALSE),
VLOOKUP('Final Term'!I14,new_transmute,4,FALSE)
),
""
)
)
)
)
)
)
)
)
))</f>
        <v/>
      </c>
      <c r="J14" s="73" t="str">
        <f>IF($B14="","",
IF(J$5="","",
IF('Final Term'!J14="",0,
IF(NOT(ISNUMBER('Final Term'!J14)),"NAN",
IF('Final Term'!J14&lt;0,"NEG",
IF('Final Term'!J14&gt;J$5,"OVER",
IF(AND(J$5&lt;=100,'Final Term'!J14&gt;100),"ERR",
IF(Info!$B$4="Non-board program",
IF(OR(AND(J$5&gt;0,J$5&gt;100),AND(J$5&gt;0,J$5&lt;100)),
VLOOKUP(FLOOR(('Final Term'!J14/J$5)*100,1),new_transmute,2,FALSE),
VLOOKUP('Final Term'!J14,new_transmute,2,FALSE)
),
IF(Info!$B$4="Board program",
IF(OR(AND(J$5&gt;0,J$5&gt;100),AND(J$5&gt;0,J$5&lt;100)),
VLOOKUP(FLOOR(('Final Term'!J14/J$5)*100,1),new_transmute,3,FALSE),
VLOOKUP('Final Term'!J14,new_transmute,3,FALSE)
),
IF(Info!$B$4="Board program (Medicine)",
IF(OR(AND(J$5&gt;0,J$5&gt;100),AND(J$5&gt;0,J$5&lt;100)),
VLOOKUP(FLOOR(('Final Term'!J14/J$5)*100,1),new_transmute,4,FALSE),
VLOOKUP('Final Term'!J14,new_transmute,4,FALSE)
),
""
)
)
)
)
)
)
)
)
))</f>
        <v/>
      </c>
      <c r="K14" s="73" t="str">
        <f>IF($B14="","",
IF(K$5="","",
IF('Final Term'!K14="",0,
IF(NOT(ISNUMBER('Final Term'!K14)),"NAN",
IF('Final Term'!K14&lt;0,"NEG",
IF('Final Term'!K14&gt;K$5,"OVER",
IF(AND(K$5&lt;=100,'Final Term'!K14&gt;100),"ERR",
IF(Info!$B$4="Non-board program",
IF(OR(AND(K$5&gt;0,K$5&gt;100),AND(K$5&gt;0,K$5&lt;100)),
VLOOKUP(FLOOR(('Final Term'!K14/K$5)*100,1),new_transmute,2,FALSE),
VLOOKUP('Final Term'!K14,new_transmute,2,FALSE)
),
IF(Info!$B$4="Board program",
IF(OR(AND(K$5&gt;0,K$5&gt;100),AND(K$5&gt;0,K$5&lt;100)),
VLOOKUP(FLOOR(('Final Term'!K14/K$5)*100,1),new_transmute,3,FALSE),
VLOOKUP('Final Term'!K14,new_transmute,3,FALSE)
),
IF(Info!$B$4="Board program (Medicine)",
IF(OR(AND(K$5&gt;0,K$5&gt;100),AND(K$5&gt;0,K$5&lt;100)),
VLOOKUP(FLOOR(('Final Term'!K14/K$5)*100,1),new_transmute,4,FALSE),
VLOOKUP('Final Term'!K14,new_transmute,4,FALSE)
),
""
)
)
)
)
)
)
)
)
))</f>
        <v/>
      </c>
      <c r="L14" s="73" t="str">
        <f>IF($B14="","",
IF(L$5="","",
IF('Final Term'!L14="",0,
IF(NOT(ISNUMBER('Final Term'!L14)),"NAN",
IF('Final Term'!L14&lt;0,"NEG",
IF('Final Term'!L14&gt;L$5,"OVER",
IF(AND(L$5&lt;=100,'Final Term'!L14&gt;100),"ERR",
IF(Info!$B$4="Non-board program",
IF(OR(AND(L$5&gt;0,L$5&gt;100),AND(L$5&gt;0,L$5&lt;100)),
VLOOKUP(FLOOR(('Final Term'!L14/L$5)*100,1),new_transmute,2,FALSE),
VLOOKUP('Final Term'!L14,new_transmute,2,FALSE)
),
IF(Info!$B$4="Board program",
IF(OR(AND(L$5&gt;0,L$5&gt;100),AND(L$5&gt;0,L$5&lt;100)),
VLOOKUP(FLOOR(('Final Term'!L14/L$5)*100,1),new_transmute,3,FALSE),
VLOOKUP('Final Term'!L14,new_transmute,3,FALSE)
),
IF(Info!$B$4="Board program (Medicine)",
IF(OR(AND(L$5&gt;0,L$5&gt;100),AND(L$5&gt;0,L$5&lt;100)),
VLOOKUP(FLOOR(('Final Term'!L14/L$5)*100,1),new_transmute,4,FALSE),
VLOOKUP('Final Term'!L14,new_transmute,4,FALSE)
),
""
)
)
)
)
)
)
)
)
))</f>
        <v/>
      </c>
      <c r="M14" s="111" t="str">
        <f t="shared" si="2"/>
        <v/>
      </c>
      <c r="N14" s="73" t="str">
        <f>IF($B14="","",
IF(N$5="","",
IF('Final Term'!N14="",0,
IF(NOT(ISNUMBER('Final Term'!N14)),"NAN",
IF('Final Term'!N14&lt;0,"NEG",
IF('Final Term'!N14&gt;N$5,"OVER",
IF(AND(N$5&lt;=100,'Final Term'!N14&gt;100),"ERR",
IF(Info!$B$4="Non-board program",
IF(OR(AND(N$5&gt;0,N$5&gt;100),AND(N$5&gt;0,N$5&lt;100)),
VLOOKUP(FLOOR(('Final Term'!N14/N$5)*100,1),new_transmute,2,FALSE),
VLOOKUP('Final Term'!N14,new_transmute,2,FALSE)
),
IF(Info!$B$4="Board program",
IF(OR(AND(N$5&gt;0,N$5&gt;100),AND(N$5&gt;0,N$5&lt;100)),
VLOOKUP(FLOOR(('Final Term'!N14/N$5)*100,1),new_transmute,3,FALSE),
VLOOKUP('Final Term'!N14,new_transmute,3,FALSE)
),
IF(Info!$B$4="Board program (Medicine)",
IF(OR(AND(N$5&gt;0,N$5&gt;100),AND(N$5&gt;0,N$5&lt;100)),
VLOOKUP(FLOOR(('Final Term'!N14/N$5)*100,1),new_transmute,4,FALSE),
VLOOKUP('Final Term'!N14,new_transmute,4,FALSE)
),
""
)
)
)
)
)
)
)
)
))</f>
        <v/>
      </c>
      <c r="O14" s="73" t="str">
        <f>IF($B14="","",
IF(O$5="","",
IF('Final Term'!O14="",0,
IF(NOT(ISNUMBER('Final Term'!O14)),"NAN",
IF('Final Term'!O14&lt;0,"NEG",
IF('Final Term'!O14&gt;O$5,"OVER",
IF(AND(O$5&lt;=100,'Final Term'!O14&gt;100),"ERR",
IF(Info!$B$4="Non-board program",
IF(OR(AND(O$5&gt;0,O$5&gt;100),AND(O$5&gt;0,O$5&lt;100)),
VLOOKUP(FLOOR(('Final Term'!O14/O$5)*100,1),new_transmute,2,FALSE),
VLOOKUP('Final Term'!O14,new_transmute,2,FALSE)
),
IF(Info!$B$4="Board program",
IF(OR(AND(O$5&gt;0,O$5&gt;100),AND(O$5&gt;0,O$5&lt;100)),
VLOOKUP(FLOOR(('Final Term'!O14/O$5)*100,1),new_transmute,3,FALSE),
VLOOKUP('Final Term'!O14,new_transmute,3,FALSE)
),
IF(Info!$B$4="Board program (Medicine)",
IF(OR(AND(O$5&gt;0,O$5&gt;100),AND(O$5&gt;0,O$5&lt;100)),
VLOOKUP(FLOOR(('Final Term'!O14/O$5)*100,1),new_transmute,4,FALSE),
VLOOKUP('Final Term'!O14,new_transmute,4,FALSE)
),
""
)
)
)
)
)
)
)
)
))</f>
        <v/>
      </c>
      <c r="P14" s="73" t="str">
        <f>IF($B14="","",
IF(P$5="","",
IF('Final Term'!P14="",0,
IF(NOT(ISNUMBER('Final Term'!P14)),"NAN",
IF('Final Term'!P14&lt;0,"NEG",
IF('Final Term'!P14&gt;P$5,"OVER",
IF(AND(P$5&lt;=100,'Final Term'!P14&gt;100),"ERR",
IF(Info!$B$4="Non-board program",
IF(OR(AND(P$5&gt;0,P$5&gt;100),AND(P$5&gt;0,P$5&lt;100)),
VLOOKUP(FLOOR(('Final Term'!P14/P$5)*100,1),new_transmute,2,FALSE),
VLOOKUP('Final Term'!P14,new_transmute,2,FALSE)
),
IF(Info!$B$4="Board program",
IF(OR(AND(P$5&gt;0,P$5&gt;100),AND(P$5&gt;0,P$5&lt;100)),
VLOOKUP(FLOOR(('Final Term'!P14/P$5)*100,1),new_transmute,3,FALSE),
VLOOKUP('Final Term'!P14,new_transmute,3,FALSE)
),
IF(Info!$B$4="Board program (Medicine)",
IF(OR(AND(P$5&gt;0,P$5&gt;100),AND(P$5&gt;0,P$5&lt;100)),
VLOOKUP(FLOOR(('Final Term'!P14/P$5)*100,1),new_transmute,4,FALSE),
VLOOKUP('Final Term'!P14,new_transmute,4,FALSE)
),
""
)
)
)
)
)
)
)
)
))</f>
        <v/>
      </c>
      <c r="Q14" s="73" t="str">
        <f>IF($B14="","",
IF(Q$5="","",
IF('Final Term'!Q14="",0,
IF(NOT(ISNUMBER('Final Term'!Q14)),"NAN",
IF('Final Term'!Q14&lt;0,"NEG",
IF('Final Term'!Q14&gt;Q$5,"OVER",
IF(AND(Q$5&lt;=100,'Final Term'!Q14&gt;100),"ERR",
IF(Info!$B$4="Non-board program",
IF(OR(AND(Q$5&gt;0,Q$5&gt;100),AND(Q$5&gt;0,Q$5&lt;100)),
VLOOKUP(FLOOR(('Final Term'!Q14/Q$5)*100,1),new_transmute,2,FALSE),
VLOOKUP('Final Term'!Q14,new_transmute,2,FALSE)
),
IF(Info!$B$4="Board program",
IF(OR(AND(Q$5&gt;0,Q$5&gt;100),AND(Q$5&gt;0,Q$5&lt;100)),
VLOOKUP(FLOOR(('Final Term'!Q14/Q$5)*100,1),new_transmute,3,FALSE),
VLOOKUP('Final Term'!Q14,new_transmute,3,FALSE)
),
IF(Info!$B$4="Board program (Medicine)",
IF(OR(AND(Q$5&gt;0,Q$5&gt;100),AND(Q$5&gt;0,Q$5&lt;100)),
VLOOKUP(FLOOR(('Final Term'!Q14/Q$5)*100,1),new_transmute,4,FALSE),
VLOOKUP('Final Term'!Q14,new_transmute,4,FALSE)
),
""
)
)
)
)
)
)
)
)
))</f>
        <v/>
      </c>
      <c r="R14" s="73" t="str">
        <f>IF($B14="","",
IF(R$5="","",
IF('Final Term'!R14="",0,
IF(NOT(ISNUMBER('Final Term'!R14)),"NAN",
IF('Final Term'!R14&lt;0,"NEG",
IF('Final Term'!R14&gt;R$5,"OVER",
IF(AND(R$5&lt;=100,'Final Term'!R14&gt;100),"ERR",
IF(Info!$B$4="Non-board program",
IF(OR(AND(R$5&gt;0,R$5&gt;100),AND(R$5&gt;0,R$5&lt;100)),
VLOOKUP(FLOOR(('Final Term'!R14/R$5)*100,1),new_transmute,2,FALSE),
VLOOKUP('Final Term'!R14,new_transmute,2,FALSE)
),
IF(Info!$B$4="Board program",
IF(OR(AND(R$5&gt;0,R$5&gt;100),AND(R$5&gt;0,R$5&lt;100)),
VLOOKUP(FLOOR(('Final Term'!R14/R$5)*100,1),new_transmute,3,FALSE),
VLOOKUP('Final Term'!R14,new_transmute,3,FALSE)
),
IF(Info!$B$4="Board program (Medicine)",
IF(OR(AND(R$5&gt;0,R$5&gt;100),AND(R$5&gt;0,R$5&lt;100)),
VLOOKUP(FLOOR(('Final Term'!R14/R$5)*100,1),new_transmute,4,FALSE),
VLOOKUP('Final Term'!R14,new_transmute,4,FALSE)
),
""
)
)
)
)
)
)
)
)
))</f>
        <v/>
      </c>
      <c r="S14" s="115" t="str">
        <f t="shared" si="3"/>
        <v/>
      </c>
      <c r="T14" s="73" t="str">
        <f>IF($B14="","",
IF(T$5="","",
IF('Final Term'!T14="",0,
IF(NOT(ISNUMBER('Final Term'!T14)),"NAN",
IF('Final Term'!T14&lt;0,"NEG",
IF('Final Term'!T14&gt;T$5,"OVER",
IF(AND(T$5&lt;=100,'Final Term'!T14&gt;100),"ERR",
IF(Info!$B$4="Non-board program",
IF(OR(AND(T$5&gt;0,T$5&gt;100),AND(T$5&gt;0,T$5&lt;100)),
VLOOKUP(FLOOR(('Final Term'!T14/T$5)*100,1),new_transmute,2,FALSE),
VLOOKUP('Final Term'!T14,new_transmute,2,FALSE)
),
IF(Info!$B$4="Board program",
IF(OR(AND(T$5&gt;0,T$5&gt;100),AND(T$5&gt;0,T$5&lt;100)),
VLOOKUP(FLOOR(('Final Term'!T14/T$5)*100,1),new_transmute,3,FALSE),
VLOOKUP('Final Term'!T14,new_transmute,3,FALSE)
),
IF(Info!$B$4="Board program (Medicine)",
IF(OR(AND(T$5&gt;0,T$5&gt;100),AND(T$5&gt;0,T$5&lt;100)),
VLOOKUP(FLOOR(('Final Term'!T14/T$5)*100,1),new_transmute,4,FALSE),
VLOOKUP('Final Term'!T14,new_transmute,4,FALSE)
),
""
)
)
)
)
)
)
)
)
))</f>
        <v/>
      </c>
      <c r="U14" s="73" t="str">
        <f>IF($B14="","",
IF(U$5="","",
IF('Final Term'!U14="",0,
IF(NOT(ISNUMBER('Final Term'!U14)),"NAN",
IF('Final Term'!U14&lt;0,"NEG",
IF('Final Term'!U14&gt;U$5,"OVER",
IF(AND(U$5&lt;=100,'Final Term'!U14&gt;100),"ERR",
IF(Info!$B$4="Non-board program",
IF(OR(AND(U$5&gt;0,U$5&gt;100),AND(U$5&gt;0,U$5&lt;100)),
VLOOKUP(FLOOR(('Final Term'!U14/U$5)*100,1),new_transmute,2,FALSE),
VLOOKUP('Final Term'!U14,new_transmute,2,FALSE)
),
IF(Info!$B$4="Board program",
IF(OR(AND(U$5&gt;0,U$5&gt;100),AND(U$5&gt;0,U$5&lt;100)),
VLOOKUP(FLOOR(('Final Term'!U14/U$5)*100,1),new_transmute,3,FALSE),
VLOOKUP('Final Term'!U14,new_transmute,3,FALSE)
),
IF(Info!$B$4="Board program (Medicine)",
IF(OR(AND(U$5&gt;0,U$5&gt;100),AND(U$5&gt;0,U$5&lt;100)),
VLOOKUP(FLOOR(('Final Term'!U14/U$5)*100,1),new_transmute,4,FALSE),
VLOOKUP('Final Term'!U14,new_transmute,4,FALSE)
),
""
)
)
)
)
)
)
)
)
))</f>
        <v/>
      </c>
      <c r="V14" s="73" t="str">
        <f>IF($B14="","",
IF(V$5="","",
IF('Final Term'!V14="",0,
IF(NOT(ISNUMBER('Final Term'!V14)),"NAN",
IF('Final Term'!V14&lt;0,"NEG",
IF('Final Term'!V14&gt;V$5,"OVER",
IF(AND(V$5&lt;=100,'Final Term'!V14&gt;100),"ERR",
IF(Info!$B$4="Non-board program",
IF(OR(AND(V$5&gt;0,V$5&gt;100),AND(V$5&gt;0,V$5&lt;100)),
VLOOKUP(FLOOR(('Final Term'!V14/V$5)*100,1),new_transmute,2,FALSE),
VLOOKUP('Final Term'!V14,new_transmute,2,FALSE)
),
IF(Info!$B$4="Board program",
IF(OR(AND(V$5&gt;0,V$5&gt;100),AND(V$5&gt;0,V$5&lt;100)),
VLOOKUP(FLOOR(('Final Term'!V14/V$5)*100,1),new_transmute,3,FALSE),
VLOOKUP('Final Term'!V14,new_transmute,3,FALSE)
),
IF(Info!$B$4="Board program (Medicine)",
IF(OR(AND(V$5&gt;0,V$5&gt;100),AND(V$5&gt;0,V$5&lt;100)),
VLOOKUP(FLOOR(('Final Term'!V14/V$5)*100,1),new_transmute,4,FALSE),
VLOOKUP('Final Term'!V14,new_transmute,4,FALSE)
),
""
)
)
)
)
)
)
)
)
))</f>
        <v/>
      </c>
      <c r="W14" s="73" t="str">
        <f>IF($B14="","",
IF(W$5="","",
IF('Final Term'!W14="",0,
IF(NOT(ISNUMBER('Final Term'!W14)),"NAN",
IF('Final Term'!W14&lt;0,"NEG",
IF('Final Term'!W14&gt;W$5,"OVER",
IF(AND(W$5&lt;=100,'Final Term'!W14&gt;100),"ERR",
IF(Info!$B$4="Non-board program",
IF(OR(AND(W$5&gt;0,W$5&gt;100),AND(W$5&gt;0,W$5&lt;100)),
VLOOKUP(FLOOR(('Final Term'!W14/W$5)*100,1),new_transmute,2,FALSE),
VLOOKUP('Final Term'!W14,new_transmute,2,FALSE)
),
IF(Info!$B$4="Board program",
IF(OR(AND(W$5&gt;0,W$5&gt;100),AND(W$5&gt;0,W$5&lt;100)),
VLOOKUP(FLOOR(('Final Term'!W14/W$5)*100,1),new_transmute,3,FALSE),
VLOOKUP('Final Term'!W14,new_transmute,3,FALSE)
),
IF(Info!$B$4="Board program (Medicine)",
IF(OR(AND(W$5&gt;0,W$5&gt;100),AND(W$5&gt;0,W$5&lt;100)),
VLOOKUP(FLOOR(('Final Term'!W14/W$5)*100,1),new_transmute,4,FALSE),
VLOOKUP('Final Term'!W14,new_transmute,4,FALSE)
),
""
)
)
)
)
)
)
)
)
))</f>
        <v/>
      </c>
      <c r="X14" s="73" t="str">
        <f>IF($B14="","",
IF(X$5="","",
IF('Final Term'!X14="",0,
IF(NOT(ISNUMBER('Final Term'!X14)),"NAN",
IF('Final Term'!X14&lt;0,"NEG",
IF('Final Term'!X14&gt;X$5,"OVER",
IF(AND(X$5&lt;=100,'Final Term'!X14&gt;100),"ERR",
IF(Info!$B$4="Non-board program",
IF(OR(AND(X$5&gt;0,X$5&gt;100),AND(X$5&gt;0,X$5&lt;100)),
VLOOKUP(FLOOR(('Final Term'!X14/X$5)*100,1),new_transmute,2,FALSE),
VLOOKUP('Final Term'!X14,new_transmute,2,FALSE)
),
IF(Info!$B$4="Board program",
IF(OR(AND(X$5&gt;0,X$5&gt;100),AND(X$5&gt;0,X$5&lt;100)),
VLOOKUP(FLOOR(('Final Term'!X14/X$5)*100,1),new_transmute,3,FALSE),
VLOOKUP('Final Term'!X14,new_transmute,3,FALSE)
),
IF(Info!$B$4="Board program (Medicine)",
IF(OR(AND(X$5&gt;0,X$5&gt;100),AND(X$5&gt;0,X$5&lt;100)),
VLOOKUP(FLOOR(('Final Term'!X14/X$5)*100,1),new_transmute,4,FALSE),
VLOOKUP('Final Term'!X14,new_transmute,4,FALSE)
),
""
)
)
)
)
)
)
)
)
))</f>
        <v/>
      </c>
      <c r="Y14" s="112" t="str">
        <f t="shared" si="4"/>
        <v/>
      </c>
      <c r="Z14" s="73" t="str">
        <f>IF($B14="","",
IF(Z$5="","",
IF('Final Term'!Z14="",0,
IF(NOT(ISNUMBER('Final Term'!Z14)),"NAN",
IF('Final Term'!Z14&lt;0,"NEG",
IF('Final Term'!Z14&gt;Z$5,"OVER",
IF(AND(Z$5&lt;=100,'Final Term'!Z14&gt;100),"ERR",
IF(Info!$B$4="Non-board program",
IF(OR(AND(Z$5&gt;0,Z$5&gt;100),AND(Z$5&gt;0,Z$5&lt;100)),
VLOOKUP(FLOOR(('Final Term'!Z14/Z$5)*100,1),new_transmute,2,FALSE),
VLOOKUP('Final Term'!Z14,new_transmute,2,FALSE)
),
IF(Info!$B$4="Board program",
IF(OR(AND(Z$5&gt;0,Z$5&gt;100),AND(Z$5&gt;0,Z$5&lt;100)),
VLOOKUP(FLOOR(('Final Term'!Z14/Z$5)*100,1),new_transmute,3,FALSE),
VLOOKUP('Final Term'!Z14,new_transmute,3,FALSE)
),
IF(Info!$B$4="Board program (Medicine)",
IF(OR(AND(Z$5&gt;0,Z$5&gt;100),AND(Z$5&gt;0,Z$5&lt;100)),
VLOOKUP(FLOOR(('Final Term'!Z14/Z$5)*100,1),new_transmute,4,FALSE),
VLOOKUP('Final Term'!Z14,new_transmute,4,FALSE)
),
""
)
)
)
)
)
)
)
)
))</f>
        <v/>
      </c>
      <c r="AA14" s="73" t="str">
        <f>IF($B14="","",
IF(AA$5="","",
IF('Final Term'!AA14="",0,
IF(NOT(ISNUMBER('Final Term'!AA14)),"NAN",
IF('Final Term'!AA14&lt;0,"NEG",
IF('Final Term'!AA14&gt;AA$5,"OVER",
IF(AND(AA$5&lt;=100,'Final Term'!AA14&gt;100),"ERR",
IF(Info!$B$4="Non-board program",
IF(OR(AND(AA$5&gt;0,AA$5&gt;100),AND(AA$5&gt;0,AA$5&lt;100)),
VLOOKUP(FLOOR(('Final Term'!AA14/AA$5)*100,1),new_transmute,2,FALSE),
VLOOKUP('Final Term'!AA14,new_transmute,2,FALSE)
),
IF(Info!$B$4="Board program",
IF(OR(AND(AA$5&gt;0,AA$5&gt;100),AND(AA$5&gt;0,AA$5&lt;100)),
VLOOKUP(FLOOR(('Final Term'!AA14/AA$5)*100,1),new_transmute,3,FALSE),
VLOOKUP('Final Term'!AA14,new_transmute,3,FALSE)
),
IF(Info!$B$4="Board program (Medicine)",
IF(OR(AND(AA$5&gt;0,AA$5&gt;100),AND(AA$5&gt;0,AA$5&lt;100)),
VLOOKUP(FLOOR(('Final Term'!AA14/AA$5)*100,1),new_transmute,4,FALSE),
VLOOKUP('Final Term'!AA14,new_transmute,4,FALSE)
),
""
)
)
)
)
)
)
)
)
))</f>
        <v/>
      </c>
      <c r="AB14" s="73" t="str">
        <f>IF($B14="","",
IF(AB$5="","",
IF('Final Term'!AB14="",0,
IF(NOT(ISNUMBER('Final Term'!AB14)),"NAN",
IF('Final Term'!AB14&lt;0,"NEG",
IF('Final Term'!AB14&gt;AB$5,"OVER",
IF(AND(AB$5&lt;=100,'Final Term'!AB14&gt;100),"ERR",
IF(Info!$B$4="Non-board program",
IF(OR(AND(AB$5&gt;0,AB$5&gt;100),AND(AB$5&gt;0,AB$5&lt;100)),
VLOOKUP(FLOOR(('Final Term'!AB14/AB$5)*100,1),new_transmute,2,FALSE),
VLOOKUP('Final Term'!AB14,new_transmute,2,FALSE)
),
IF(Info!$B$4="Board program",
IF(OR(AND(AB$5&gt;0,AB$5&gt;100),AND(AB$5&gt;0,AB$5&lt;100)),
VLOOKUP(FLOOR(('Final Term'!AB14/AB$5)*100,1),new_transmute,3,FALSE),
VLOOKUP('Final Term'!AB14,new_transmute,3,FALSE)
),
IF(Info!$B$4="Board program (Medicine)",
IF(OR(AND(AB$5&gt;0,AB$5&gt;100),AND(AB$5&gt;0,AB$5&lt;100)),
VLOOKUP(FLOOR(('Final Term'!AB14/AB$5)*100,1),new_transmute,4,FALSE),
VLOOKUP('Final Term'!AB14,new_transmute,4,FALSE)
),
""
)
)
)
)
)
)
)
)
))</f>
        <v/>
      </c>
      <c r="AC14" s="73" t="str">
        <f>IF($B14="","",
IF(AC$5="","",
IF('Final Term'!AC14="",0,
IF(NOT(ISNUMBER('Final Term'!AC14)),"NAN",
IF('Final Term'!AC14&lt;0,"NEG",
IF('Final Term'!AC14&gt;AC$5,"OVER",
IF(AND(AC$5&lt;=100,'Final Term'!AC14&gt;100),"ERR",
IF(Info!$B$4="Non-board program",
IF(OR(AND(AC$5&gt;0,AC$5&gt;100),AND(AC$5&gt;0,AC$5&lt;100)),
VLOOKUP(FLOOR(('Final Term'!AC14/AC$5)*100,1),new_transmute,2,FALSE),
VLOOKUP('Final Term'!AC14,new_transmute,2,FALSE)
),
IF(Info!$B$4="Board program",
IF(OR(AND(AC$5&gt;0,AC$5&gt;100),AND(AC$5&gt;0,AC$5&lt;100)),
VLOOKUP(FLOOR(('Final Term'!AC14/AC$5)*100,1),new_transmute,3,FALSE),
VLOOKUP('Final Term'!AC14,new_transmute,3,FALSE)
),
IF(Info!$B$4="Board program (Medicine)",
IF(OR(AND(AC$5&gt;0,AC$5&gt;100),AND(AC$5&gt;0,AC$5&lt;100)),
VLOOKUP(FLOOR(('Final Term'!AC14/AC$5)*100,1),new_transmute,4,FALSE),
VLOOKUP('Final Term'!AC14,new_transmute,4,FALSE)
),
""
)
)
)
)
)
)
)
)
))</f>
        <v/>
      </c>
      <c r="AD14" s="73" t="str">
        <f>IF($B14="","",
IF(AD$5="","",
IF('Final Term'!AD14="",0,
IF(NOT(ISNUMBER('Final Term'!AD14)),"NAN",
IF('Final Term'!AD14&lt;0,"NEG",
IF('Final Term'!AD14&gt;AD$5,"OVER",
IF(AND(AD$5&lt;=100,'Final Term'!AD14&gt;100),"ERR",
IF(Info!$B$4="Non-board program",
IF(OR(AND(AD$5&gt;0,AD$5&gt;100),AND(AD$5&gt;0,AD$5&lt;100)),
VLOOKUP(FLOOR(('Final Term'!AD14/AD$5)*100,1),new_transmute,2,FALSE),
VLOOKUP('Final Term'!AD14,new_transmute,2,FALSE)
),
IF(Info!$B$4="Board program",
IF(OR(AND(AD$5&gt;0,AD$5&gt;100),AND(AD$5&gt;0,AD$5&lt;100)),
VLOOKUP(FLOOR(('Final Term'!AD14/AD$5)*100,1),new_transmute,3,FALSE),
VLOOKUP('Final Term'!AD14,new_transmute,3,FALSE)
),
IF(Info!$B$4="Board program (Medicine)",
IF(OR(AND(AD$5&gt;0,AD$5&gt;100),AND(AD$5&gt;0,AD$5&lt;100)),
VLOOKUP(FLOOR(('Final Term'!AD14/AD$5)*100,1),new_transmute,4,FALSE),
VLOOKUP('Final Term'!AD14,new_transmute,4,FALSE)
),
""
)
)
)
)
)
)
)
)
))</f>
        <v/>
      </c>
      <c r="AE14" s="58" t="str">
        <f t="shared" si="5"/>
        <v/>
      </c>
      <c r="AF14" s="73" t="str">
        <f>IF($B14="","",
IF(AF$5="","",
IF('Final Term'!AF14="",0,
IF(NOT(ISNUMBER('Final Term'!AF14)),"NAN",
IF('Final Term'!AF14&lt;0,"NEG",
IF('Final Term'!AF14&gt;AF$5,"OVER",
IF(AND(AF$5&lt;=100,'Final Term'!AF14&gt;100),"ERR",
IF(Info!$B$4="Non-board program",
IF(OR(AND(AF$5&gt;0,AF$5&gt;100),AND(AF$5&gt;0,AF$5&lt;100)),
VLOOKUP(FLOOR(('Final Term'!AF14/AF$5)*100,1),new_transmute,2,FALSE),
VLOOKUP('Final Term'!AF14,new_transmute,2,FALSE)
),
IF(Info!$B$4="Board program",
IF(OR(AND(AF$5&gt;0,AF$5&gt;100),AND(AF$5&gt;0,AF$5&lt;100)),
VLOOKUP(FLOOR(('Final Term'!AF14/AF$5)*100,1),new_transmute,3,FALSE),
VLOOKUP('Final Term'!AF14,new_transmute,3,FALSE)
),
IF(Info!$B$4="Board program (Medicine)",
IF(OR(AND(AF$5&gt;0,AF$5&gt;100),AND(AF$5&gt;0,AF$5&lt;100)),
VLOOKUP(FLOOR(('Final Term'!AF14/AF$5)*100,1),new_transmute,4,FALSE),
VLOOKUP('Final Term'!AF14,new_transmute,4,FALSE)
),
""
)
)
)
)
)
)
)
)
))</f>
        <v/>
      </c>
      <c r="AG14" s="73" t="str">
        <f>IF($B14="","",
IF(AG$5="","",
IF('Final Term'!AG14="",0,
IF(NOT(ISNUMBER('Final Term'!AG14)),"NAN",
IF('Final Term'!AG14&lt;0,"NEG",
IF('Final Term'!AG14&gt;AG$5,"OVER",
IF(AND(AG$5&lt;=100,'Final Term'!AG14&gt;100),"ERR",
IF(Info!$B$4="Non-board program",
IF(OR(AND(AG$5&gt;0,AG$5&gt;100),AND(AG$5&gt;0,AG$5&lt;100)),
VLOOKUP(FLOOR(('Final Term'!AG14/AG$5)*100,1),new_transmute,2,FALSE),
VLOOKUP('Final Term'!AG14,new_transmute,2,FALSE)
),
IF(Info!$B$4="Board program",
IF(OR(AND(AG$5&gt;0,AG$5&gt;100),AND(AG$5&gt;0,AG$5&lt;100)),
VLOOKUP(FLOOR(('Final Term'!AG14/AG$5)*100,1),new_transmute,3,FALSE),
VLOOKUP('Final Term'!AG14,new_transmute,3,FALSE)
),
IF(Info!$B$4="Board program (Medicine)",
IF(OR(AND(AG$5&gt;0,AG$5&gt;100),AND(AG$5&gt;0,AG$5&lt;100)),
VLOOKUP(FLOOR(('Final Term'!AG14/AG$5)*100,1),new_transmute,4,FALSE),
VLOOKUP('Final Term'!AG14,new_transmute,4,FALSE)
),
""
)
)
)
)
)
)
)
)
))</f>
        <v/>
      </c>
      <c r="AH14" s="73" t="str">
        <f>IF($B14="","",
IF(AH$5="","",
IF('Final Term'!AH14="",0,
IF(NOT(ISNUMBER('Final Term'!AH14)),"NAN",
IF('Final Term'!AH14&lt;0,"NEG",
IF('Final Term'!AH14&gt;AH$5,"OVER",
IF(AND(AH$5&lt;=100,'Final Term'!AH14&gt;100),"ERR",
IF(Info!$B$4="Non-board program",
IF(OR(AND(AH$5&gt;0,AH$5&gt;100),AND(AH$5&gt;0,AH$5&lt;100)),
VLOOKUP(FLOOR(('Final Term'!AH14/AH$5)*100,1),new_transmute,2,FALSE),
VLOOKUP('Final Term'!AH14,new_transmute,2,FALSE)
),
IF(Info!$B$4="Board program",
IF(OR(AND(AH$5&gt;0,AH$5&gt;100),AND(AH$5&gt;0,AH$5&lt;100)),
VLOOKUP(FLOOR(('Final Term'!AH14/AH$5)*100,1),new_transmute,3,FALSE),
VLOOKUP('Final Term'!AH14,new_transmute,3,FALSE)
),
IF(Info!$B$4="Board program (Medicine)",
IF(OR(AND(AH$5&gt;0,AH$5&gt;100),AND(AH$5&gt;0,AH$5&lt;100)),
VLOOKUP(FLOOR(('Final Term'!AH14/AH$5)*100,1),new_transmute,4,FALSE),
VLOOKUP('Final Term'!AH14,new_transmute,4,FALSE)
),
""
)
)
)
)
)
)
)
)
))</f>
        <v/>
      </c>
      <c r="AI14" s="73" t="str">
        <f>IF($B14="","",
IF(AI$5="","",
IF('Final Term'!AI14="",0,
IF(NOT(ISNUMBER('Final Term'!AI14)),"NAN",
IF('Final Term'!AI14&lt;0,"NEG",
IF('Final Term'!AI14&gt;AI$5,"OVER",
IF(AND(AI$5&lt;=100,'Final Term'!AI14&gt;100),"ERR",
IF(Info!$B$4="Non-board program",
IF(OR(AND(AI$5&gt;0,AI$5&gt;100),AND(AI$5&gt;0,AI$5&lt;100)),
VLOOKUP(FLOOR(('Final Term'!AI14/AI$5)*100,1),new_transmute,2,FALSE),
VLOOKUP('Final Term'!AI14,new_transmute,2,FALSE)
),
IF(Info!$B$4="Board program",
IF(OR(AND(AI$5&gt;0,AI$5&gt;100),AND(AI$5&gt;0,AI$5&lt;100)),
VLOOKUP(FLOOR(('Final Term'!AI14/AI$5)*100,1),new_transmute,3,FALSE),
VLOOKUP('Final Term'!AI14,new_transmute,3,FALSE)
),
IF(Info!$B$4="Board program (Medicine)",
IF(OR(AND(AI$5&gt;0,AI$5&gt;100),AND(AI$5&gt;0,AI$5&lt;100)),
VLOOKUP(FLOOR(('Final Term'!AI14/AI$5)*100,1),new_transmute,4,FALSE),
VLOOKUP('Final Term'!AI14,new_transmute,4,FALSE)
),
""
)
)
)
)
)
)
)
)
))</f>
        <v/>
      </c>
      <c r="AJ14" s="73" t="str">
        <f>IF($B14="","",
IF(AJ$5="","",
IF('Final Term'!AJ14="",0,
IF(NOT(ISNUMBER('Final Term'!AJ14)),"NAN",
IF('Final Term'!AJ14&lt;0,"NEG",
IF('Final Term'!AJ14&gt;AJ$5,"OVER",
IF(AND(AJ$5&lt;=100,'Final Term'!AJ14&gt;100),"ERR",
IF(Info!$B$4="Non-board program",
IF(OR(AND(AJ$5&gt;0,AJ$5&gt;100),AND(AJ$5&gt;0,AJ$5&lt;100)),
VLOOKUP(FLOOR(('Final Term'!AJ14/AJ$5)*100,1),new_transmute,2,FALSE),
VLOOKUP('Final Term'!AJ14,new_transmute,2,FALSE)
),
IF(Info!$B$4="Board program",
IF(OR(AND(AJ$5&gt;0,AJ$5&gt;100),AND(AJ$5&gt;0,AJ$5&lt;100)),
VLOOKUP(FLOOR(('Final Term'!AJ14/AJ$5)*100,1),new_transmute,3,FALSE),
VLOOKUP('Final Term'!AJ14,new_transmute,3,FALSE)
),
IF(Info!$B$4="Board program (Medicine)",
IF(OR(AND(AJ$5&gt;0,AJ$5&gt;100),AND(AJ$5&gt;0,AJ$5&lt;100)),
VLOOKUP(FLOOR(('Final Term'!AJ14/AJ$5)*100,1),new_transmute,4,FALSE),
VLOOKUP('Final Term'!AJ14,new_transmute,4,FALSE)
),
""
)
)
)
)
)
)
)
)
))</f>
        <v/>
      </c>
      <c r="AK14" s="59" t="str">
        <f t="shared" si="6"/>
        <v/>
      </c>
      <c r="AL14" s="60" t="str">
        <f>IF(B14="", "",
    IF(OR(M14="OVER", S14="OVER", Y14="OVER", AE14="OVER", AK14="OVER"),
        "OVER",
        IF(Info!$B$4="Non-board program",
            VLOOKUP(IFERROR(FLOOR(SUM((M14*$M$4), (S14*$S$4), (Y14*$Y$4), (AE14*$AE$4), (AK14*$AK$4)) * (100 / 60), 1), 0), new_transmute, 2, FALSE),
            IF(Info!$B$4="Board program",
                VLOOKUP(IFERROR(FLOOR(SUM((M14*$M$4), (S14*$S$4), (Y14*$Y$4), (AE14*$AE$4), (AK14*$AK$4)) * (100 / 60), 1), 0), new_transmute, 3, FALSE),
                IF(Info!$B$4="Board program (Medicine)",
                    VLOOKUP(IFERROR(FLOOR(SUM((M14*$M$4), (S14*$S$4), (Y14*$Y$4), (AE14*$AE$4), (AK14*$AK$4)) * (100 / 60), 1), 0), new_transmute, 4, FALSE),
                    ""
                )
            )
        )
    )
)</f>
        <v/>
      </c>
      <c r="AM14" s="73" t="str">
        <f>IF($B14="","",
IF(AM$5="","",
IF('Final Term'!AM14="",0,
IF(NOT(ISNUMBER('Final Term'!AM14)),"NAN",
IF('Final Term'!AM14&lt;0,"NEG",
IF('Final Term'!AM14&gt;AM$5,"OVER",
IF(AND(AM$5&lt;=100,'Final Term'!AM14&gt;100),"ERR",
IF(Info!$B$4="Non-board program",
IF(OR(AND(AM$5&gt;0,AM$5&gt;100),AND(AM$5&gt;0,AM$5&lt;100)),
VLOOKUP(FLOOR(('Final Term'!AM14/AM$5)*100,1),new_transmute,2,FALSE),
VLOOKUP('Final Term'!AM14,new_transmute,2,FALSE)
),
IF(Info!$B$4="Board program",
IF(OR(AND(AM$5&gt;0,AM$5&gt;100),AND(AM$5&gt;0,AM$5&lt;100)),
VLOOKUP(FLOOR(('Final Term'!AM14/AM$5)*100,1),new_transmute,3,FALSE),
VLOOKUP('Final Term'!AM14,new_transmute,3,FALSE)
),
IF(Info!$B$4="Board program (Medicine)",
IF(OR(AND(AM$5&gt;0,AM$5&gt;100),AND(AM$5&gt;0,AM$5&lt;100)),
VLOOKUP(FLOOR(('Final Term'!AM14/AM$5)*100,1),new_transmute,4,FALSE),
VLOOKUP('Final Term'!AM14,new_transmute,4,FALSE)
),
""
)
)
)
)
)
)
)
)
))</f>
        <v/>
      </c>
      <c r="AN14" s="73" t="str">
        <f>IF($B14="","",
IF(AN$5="","",
IF('Final Term'!AN14="",0,
IF(NOT(ISNUMBER('Final Term'!AN14)),"NAN",
IF('Final Term'!AN14&lt;0,"NEG",
IF('Final Term'!AN14&gt;AN$5,"OVER",
IF(AND(AN$5&lt;=100,'Final Term'!AN14&gt;100),"ERR",
IF(Info!$B$4="Non-board program",
IF(OR(AND(AN$5&gt;0,AN$5&gt;100),AND(AN$5&gt;0,AN$5&lt;100)),
VLOOKUP(FLOOR(('Final Term'!AN14/AN$5)*100,1),new_transmute,2,FALSE),
VLOOKUP('Final Term'!AN14,new_transmute,2,FALSE)
),
IF(Info!$B$4="Board program",
IF(OR(AND(AN$5&gt;0,AN$5&gt;100),AND(AN$5&gt;0,AN$5&lt;100)),
VLOOKUP(FLOOR(('Final Term'!AN14/AN$5)*100,1),new_transmute,3,FALSE),
VLOOKUP('Final Term'!AN14,new_transmute,3,FALSE)
),
IF(Info!$B$4="Board program (Medicine)",
IF(OR(AND(AN$5&gt;0,AN$5&gt;100),AND(AN$5&gt;0,AN$5&lt;100)),
VLOOKUP(FLOOR(('Final Term'!AN14/AN$5)*100,1),new_transmute,4,FALSE),
VLOOKUP('Final Term'!AN14,new_transmute,4,FALSE)
),
""
)
)
)
)
)
)
)
)
))</f>
        <v/>
      </c>
      <c r="AO14" s="73" t="str">
        <f>IF($B14="","",
IF(AO$5="","",
IF('Final Term'!AO14="",0,
IF(NOT(ISNUMBER('Final Term'!AO14)),"NAN",
IF('Final Term'!AO14&lt;0,"NEG",
IF('Final Term'!AO14&gt;AO$5,"OVER",
IF(AND(AO$5&lt;=100,'Final Term'!AO14&gt;100),"ERR",
IF(Info!$B$4="Non-board program",
IF(OR(AND(AO$5&gt;0,AO$5&gt;100),AND(AO$5&gt;0,AO$5&lt;100)),
VLOOKUP(FLOOR(('Final Term'!AO14/AO$5)*100,1),new_transmute,2,FALSE),
VLOOKUP('Final Term'!AO14,new_transmute,2,FALSE)
),
IF(Info!$B$4="Board program",
IF(OR(AND(AO$5&gt;0,AO$5&gt;100),AND(AO$5&gt;0,AO$5&lt;100)),
VLOOKUP(FLOOR(('Final Term'!AO14/AO$5)*100,1),new_transmute,3,FALSE),
VLOOKUP('Final Term'!AO14,new_transmute,3,FALSE)
),
IF(Info!$B$4="Board program (Medicine)",
IF(OR(AND(AO$5&gt;0,AO$5&gt;100),AND(AO$5&gt;0,AO$5&lt;100)),
VLOOKUP(FLOOR(('Final Term'!AO14/AO$5)*100,1),new_transmute,4,FALSE),
VLOOKUP('Final Term'!AO14,new_transmute,4,FALSE)
),
""
)
)
)
)
)
)
)
)
))</f>
        <v/>
      </c>
      <c r="AP14" s="73" t="str">
        <f>IF($B14="","",
IF(AP$5="","",
IF('Final Term'!AP14="",0,
IF(NOT(ISNUMBER('Final Term'!AP14)),"NAN",
IF('Final Term'!AP14&lt;0,"NEG",
IF('Final Term'!AP14&gt;AP$5,"OVER",
IF(AND(AP$5&lt;=100,'Final Term'!AP14&gt;100),"ERR",
IF(Info!$B$4="Non-board program",
IF(OR(AND(AP$5&gt;0,AP$5&gt;100),AND(AP$5&gt;0,AP$5&lt;100)),
VLOOKUP(FLOOR(('Final Term'!AP14/AP$5)*100,1),new_transmute,2,FALSE),
VLOOKUP('Final Term'!AP14,new_transmute,2,FALSE)
),
IF(Info!$B$4="Board program",
IF(OR(AND(AP$5&gt;0,AP$5&gt;100),AND(AP$5&gt;0,AP$5&lt;100)),
VLOOKUP(FLOOR(('Final Term'!AP14/AP$5)*100,1),new_transmute,3,FALSE),
VLOOKUP('Final Term'!AP14,new_transmute,3,FALSE)
),
IF(Info!$B$4="Board program (Medicine)",
IF(OR(AND(AP$5&gt;0,AP$5&gt;100),AND(AP$5&gt;0,AP$5&lt;100)),
VLOOKUP(FLOOR(('Final Term'!AP14/AP$5)*100,1),new_transmute,4,FALSE),
VLOOKUP('Final Term'!AP14,new_transmute,4,FALSE)
),
""
)
)
)
)
)
)
)
)
))</f>
        <v/>
      </c>
      <c r="AQ14" s="61" t="str">
        <f t="shared" si="7"/>
        <v/>
      </c>
      <c r="AR14" s="48" t="str">
        <f>IF('Final Term'!AR14="","",'Final Term'!AR14)</f>
        <v/>
      </c>
      <c r="AS14" s="165" t="str">
        <f t="shared" si="8"/>
        <v/>
      </c>
      <c r="AT14" s="14" t="str">
        <f t="shared" si="0"/>
        <v/>
      </c>
      <c r="AU14" s="13" t="str">
        <f>IF(B14="","",VLOOKUP(AT14,'New Grade Equivalent'!$B$3:$C$47,2,FALSE))</f>
        <v/>
      </c>
    </row>
    <row r="15" spans="1:47" x14ac:dyDescent="0.25">
      <c r="A15" s="8">
        <v>10</v>
      </c>
      <c r="B15" s="2" t="str">
        <f>IF('Student List'!C19="","",UPPER(LEFT('Student List'!C19,FIND(",",'Student List'!C19)-1)))</f>
        <v/>
      </c>
      <c r="C15" s="12" t="str">
        <f>IF('Student List'!C19="","",PROPER(MID('Student List'!C19, FIND(",", 'Student List'!C19) + 2, LEN('Student List'!C19) - FIND(",", 'Student List'!C19) - 1)))</f>
        <v/>
      </c>
      <c r="D15" s="127" t="str">
        <f>IF('Final Term'!D15="","",'Final Term'!D15)</f>
        <v/>
      </c>
      <c r="E15" s="8" t="str">
        <f>IF(MidCom!E15="FA", "FA",
    IF(MidCom!E15="DRP", "DRP",
        IF(MidCom!E15="WF", "WF",
            IF(D15="Yes", "INC",
               IF((SUM('MT Attendance'!AW13) / 3 + SUM('MT Attendance'!AY13) + SUM('FT Attendance'!AW13) / 3 + SUM('FT Attendance'!AY13)) &gt;= 0.2 * (SUMPRODUCT(--(ISTEXT('MT Attendance'!$C$2:$AU$2))) + SUMPRODUCT(--(ISTEXT('FT Attendance'!$C$2:$AU$2)))), "FA",
                   MidCom!E15
                )
            )
        )
    )
)</f>
        <v/>
      </c>
      <c r="F15" s="73" t="str">
        <f>IF($B15="","",
IF(F$5="","",
IF('Final Term'!F15="",0,
IF(NOT(ISNUMBER('Final Term'!F15)),"NAN",
IF('Final Term'!F15&lt;0,"NEG",
IF('Final Term'!F15&gt;F$5,"OVER",
IF(AND(F$5&lt;=100,'Final Term'!F15&gt;100),"ERR",
IF(Info!$B$4="Non-board program",
IF(OR(AND(F$5&gt;0,F$5&gt;100),AND(F$5&gt;0,F$5&lt;100)),
VLOOKUP(FLOOR(('Final Term'!F15/F$5)*100,1),new_transmute,2,FALSE),
VLOOKUP('Final Term'!F15,new_transmute,2,FALSE)
),
IF(Info!$B$4="Board program",
IF(OR(AND(F$5&gt;0,F$5&gt;100),AND(F$5&gt;0,F$5&lt;100)),
VLOOKUP(FLOOR(('Final Term'!F15/F$5)*100,1),new_transmute,3,FALSE),
VLOOKUP('Final Term'!F15,new_transmute,3,FALSE)
),
IF(Info!$B$4="Board program (Medicine)",
IF(OR(AND(F$5&gt;0,F$5&gt;100),AND(F$5&gt;0,F$5&lt;100)),
VLOOKUP(FLOOR(('Final Term'!F15/F$5)*100,1),new_transmute,4,FALSE),
VLOOKUP('Final Term'!F15,new_transmute,4,FALSE)
),
""
)
)
)
)
)
)
)
)
))</f>
        <v/>
      </c>
      <c r="G15" s="57" t="str">
        <f t="shared" si="1"/>
        <v/>
      </c>
      <c r="H15" s="73" t="str">
        <f>IF($B15="","",
IF(H$5="","",
IF('Final Term'!H15="",0,
IF(NOT(ISNUMBER('Final Term'!H15)),"NAN",
IF('Final Term'!H15&lt;0,"NEG",
IF('Final Term'!H15&gt;H$5,"OVER",
IF(AND(H$5&lt;=100,'Final Term'!H15&gt;100),"ERR",
IF(Info!$B$4="Non-board program",
IF(OR(AND(H$5&gt;0,H$5&gt;100),AND(H$5&gt;0,H$5&lt;100)),
VLOOKUP(FLOOR(('Final Term'!H15/H$5)*100,1),new_transmute,2,FALSE),
VLOOKUP('Final Term'!H15,new_transmute,2,FALSE)
),
IF(Info!$B$4="Board program",
IF(OR(AND(H$5&gt;0,H$5&gt;100),AND(H$5&gt;0,H$5&lt;100)),
VLOOKUP(FLOOR(('Final Term'!H15/H$5)*100,1),new_transmute,3,FALSE),
VLOOKUP('Final Term'!H15,new_transmute,3,FALSE)
),
IF(Info!$B$4="Board program (Medicine)",
IF(OR(AND(H$5&gt;0,H$5&gt;100),AND(H$5&gt;0,H$5&lt;100)),
VLOOKUP(FLOOR(('Final Term'!H15/H$5)*100,1),new_transmute,4,FALSE),
VLOOKUP('Final Term'!H15,new_transmute,4,FALSE)
),
""
)
)
)
)
)
)
)
)
))</f>
        <v/>
      </c>
      <c r="I15" s="73" t="str">
        <f>IF($B15="","",
IF(I$5="","",
IF('Final Term'!I15="",0,
IF(NOT(ISNUMBER('Final Term'!I15)),"NAN",
IF('Final Term'!I15&lt;0,"NEG",
IF('Final Term'!I15&gt;I$5,"OVER",
IF(AND(I$5&lt;=100,'Final Term'!I15&gt;100),"ERR",
IF(Info!$B$4="Non-board program",
IF(OR(AND(I$5&gt;0,I$5&gt;100),AND(I$5&gt;0,I$5&lt;100)),
VLOOKUP(FLOOR(('Final Term'!I15/I$5)*100,1),new_transmute,2,FALSE),
VLOOKUP('Final Term'!I15,new_transmute,2,FALSE)
),
IF(Info!$B$4="Board program",
IF(OR(AND(I$5&gt;0,I$5&gt;100),AND(I$5&gt;0,I$5&lt;100)),
VLOOKUP(FLOOR(('Final Term'!I15/I$5)*100,1),new_transmute,3,FALSE),
VLOOKUP('Final Term'!I15,new_transmute,3,FALSE)
),
IF(Info!$B$4="Board program (Medicine)",
IF(OR(AND(I$5&gt;0,I$5&gt;100),AND(I$5&gt;0,I$5&lt;100)),
VLOOKUP(FLOOR(('Final Term'!I15/I$5)*100,1),new_transmute,4,FALSE),
VLOOKUP('Final Term'!I15,new_transmute,4,FALSE)
),
""
)
)
)
)
)
)
)
)
))</f>
        <v/>
      </c>
      <c r="J15" s="73" t="str">
        <f>IF($B15="","",
IF(J$5="","",
IF('Final Term'!J15="",0,
IF(NOT(ISNUMBER('Final Term'!J15)),"NAN",
IF('Final Term'!J15&lt;0,"NEG",
IF('Final Term'!J15&gt;J$5,"OVER",
IF(AND(J$5&lt;=100,'Final Term'!J15&gt;100),"ERR",
IF(Info!$B$4="Non-board program",
IF(OR(AND(J$5&gt;0,J$5&gt;100),AND(J$5&gt;0,J$5&lt;100)),
VLOOKUP(FLOOR(('Final Term'!J15/J$5)*100,1),new_transmute,2,FALSE),
VLOOKUP('Final Term'!J15,new_transmute,2,FALSE)
),
IF(Info!$B$4="Board program",
IF(OR(AND(J$5&gt;0,J$5&gt;100),AND(J$5&gt;0,J$5&lt;100)),
VLOOKUP(FLOOR(('Final Term'!J15/J$5)*100,1),new_transmute,3,FALSE),
VLOOKUP('Final Term'!J15,new_transmute,3,FALSE)
),
IF(Info!$B$4="Board program (Medicine)",
IF(OR(AND(J$5&gt;0,J$5&gt;100),AND(J$5&gt;0,J$5&lt;100)),
VLOOKUP(FLOOR(('Final Term'!J15/J$5)*100,1),new_transmute,4,FALSE),
VLOOKUP('Final Term'!J15,new_transmute,4,FALSE)
),
""
)
)
)
)
)
)
)
)
))</f>
        <v/>
      </c>
      <c r="K15" s="73" t="str">
        <f>IF($B15="","",
IF(K$5="","",
IF('Final Term'!K15="",0,
IF(NOT(ISNUMBER('Final Term'!K15)),"NAN",
IF('Final Term'!K15&lt;0,"NEG",
IF('Final Term'!K15&gt;K$5,"OVER",
IF(AND(K$5&lt;=100,'Final Term'!K15&gt;100),"ERR",
IF(Info!$B$4="Non-board program",
IF(OR(AND(K$5&gt;0,K$5&gt;100),AND(K$5&gt;0,K$5&lt;100)),
VLOOKUP(FLOOR(('Final Term'!K15/K$5)*100,1),new_transmute,2,FALSE),
VLOOKUP('Final Term'!K15,new_transmute,2,FALSE)
),
IF(Info!$B$4="Board program",
IF(OR(AND(K$5&gt;0,K$5&gt;100),AND(K$5&gt;0,K$5&lt;100)),
VLOOKUP(FLOOR(('Final Term'!K15/K$5)*100,1),new_transmute,3,FALSE),
VLOOKUP('Final Term'!K15,new_transmute,3,FALSE)
),
IF(Info!$B$4="Board program (Medicine)",
IF(OR(AND(K$5&gt;0,K$5&gt;100),AND(K$5&gt;0,K$5&lt;100)),
VLOOKUP(FLOOR(('Final Term'!K15/K$5)*100,1),new_transmute,4,FALSE),
VLOOKUP('Final Term'!K15,new_transmute,4,FALSE)
),
""
)
)
)
)
)
)
)
)
))</f>
        <v/>
      </c>
      <c r="L15" s="73" t="str">
        <f>IF($B15="","",
IF(L$5="","",
IF('Final Term'!L15="",0,
IF(NOT(ISNUMBER('Final Term'!L15)),"NAN",
IF('Final Term'!L15&lt;0,"NEG",
IF('Final Term'!L15&gt;L$5,"OVER",
IF(AND(L$5&lt;=100,'Final Term'!L15&gt;100),"ERR",
IF(Info!$B$4="Non-board program",
IF(OR(AND(L$5&gt;0,L$5&gt;100),AND(L$5&gt;0,L$5&lt;100)),
VLOOKUP(FLOOR(('Final Term'!L15/L$5)*100,1),new_transmute,2,FALSE),
VLOOKUP('Final Term'!L15,new_transmute,2,FALSE)
),
IF(Info!$B$4="Board program",
IF(OR(AND(L$5&gt;0,L$5&gt;100),AND(L$5&gt;0,L$5&lt;100)),
VLOOKUP(FLOOR(('Final Term'!L15/L$5)*100,1),new_transmute,3,FALSE),
VLOOKUP('Final Term'!L15,new_transmute,3,FALSE)
),
IF(Info!$B$4="Board program (Medicine)",
IF(OR(AND(L$5&gt;0,L$5&gt;100),AND(L$5&gt;0,L$5&lt;100)),
VLOOKUP(FLOOR(('Final Term'!L15/L$5)*100,1),new_transmute,4,FALSE),
VLOOKUP('Final Term'!L15,new_transmute,4,FALSE)
),
""
)
)
)
)
)
)
)
)
))</f>
        <v/>
      </c>
      <c r="M15" s="111" t="str">
        <f t="shared" si="2"/>
        <v/>
      </c>
      <c r="N15" s="73" t="str">
        <f>IF($B15="","",
IF(N$5="","",
IF('Final Term'!N15="",0,
IF(NOT(ISNUMBER('Final Term'!N15)),"NAN",
IF('Final Term'!N15&lt;0,"NEG",
IF('Final Term'!N15&gt;N$5,"OVER",
IF(AND(N$5&lt;=100,'Final Term'!N15&gt;100),"ERR",
IF(Info!$B$4="Non-board program",
IF(OR(AND(N$5&gt;0,N$5&gt;100),AND(N$5&gt;0,N$5&lt;100)),
VLOOKUP(FLOOR(('Final Term'!N15/N$5)*100,1),new_transmute,2,FALSE),
VLOOKUP('Final Term'!N15,new_transmute,2,FALSE)
),
IF(Info!$B$4="Board program",
IF(OR(AND(N$5&gt;0,N$5&gt;100),AND(N$5&gt;0,N$5&lt;100)),
VLOOKUP(FLOOR(('Final Term'!N15/N$5)*100,1),new_transmute,3,FALSE),
VLOOKUP('Final Term'!N15,new_transmute,3,FALSE)
),
IF(Info!$B$4="Board program (Medicine)",
IF(OR(AND(N$5&gt;0,N$5&gt;100),AND(N$5&gt;0,N$5&lt;100)),
VLOOKUP(FLOOR(('Final Term'!N15/N$5)*100,1),new_transmute,4,FALSE),
VLOOKUP('Final Term'!N15,new_transmute,4,FALSE)
),
""
)
)
)
)
)
)
)
)
))</f>
        <v/>
      </c>
      <c r="O15" s="73" t="str">
        <f>IF($B15="","",
IF(O$5="","",
IF('Final Term'!O15="",0,
IF(NOT(ISNUMBER('Final Term'!O15)),"NAN",
IF('Final Term'!O15&lt;0,"NEG",
IF('Final Term'!O15&gt;O$5,"OVER",
IF(AND(O$5&lt;=100,'Final Term'!O15&gt;100),"ERR",
IF(Info!$B$4="Non-board program",
IF(OR(AND(O$5&gt;0,O$5&gt;100),AND(O$5&gt;0,O$5&lt;100)),
VLOOKUP(FLOOR(('Final Term'!O15/O$5)*100,1),new_transmute,2,FALSE),
VLOOKUP('Final Term'!O15,new_transmute,2,FALSE)
),
IF(Info!$B$4="Board program",
IF(OR(AND(O$5&gt;0,O$5&gt;100),AND(O$5&gt;0,O$5&lt;100)),
VLOOKUP(FLOOR(('Final Term'!O15/O$5)*100,1),new_transmute,3,FALSE),
VLOOKUP('Final Term'!O15,new_transmute,3,FALSE)
),
IF(Info!$B$4="Board program (Medicine)",
IF(OR(AND(O$5&gt;0,O$5&gt;100),AND(O$5&gt;0,O$5&lt;100)),
VLOOKUP(FLOOR(('Final Term'!O15/O$5)*100,1),new_transmute,4,FALSE),
VLOOKUP('Final Term'!O15,new_transmute,4,FALSE)
),
""
)
)
)
)
)
)
)
)
))</f>
        <v/>
      </c>
      <c r="P15" s="73" t="str">
        <f>IF($B15="","",
IF(P$5="","",
IF('Final Term'!P15="",0,
IF(NOT(ISNUMBER('Final Term'!P15)),"NAN",
IF('Final Term'!P15&lt;0,"NEG",
IF('Final Term'!P15&gt;P$5,"OVER",
IF(AND(P$5&lt;=100,'Final Term'!P15&gt;100),"ERR",
IF(Info!$B$4="Non-board program",
IF(OR(AND(P$5&gt;0,P$5&gt;100),AND(P$5&gt;0,P$5&lt;100)),
VLOOKUP(FLOOR(('Final Term'!P15/P$5)*100,1),new_transmute,2,FALSE),
VLOOKUP('Final Term'!P15,new_transmute,2,FALSE)
),
IF(Info!$B$4="Board program",
IF(OR(AND(P$5&gt;0,P$5&gt;100),AND(P$5&gt;0,P$5&lt;100)),
VLOOKUP(FLOOR(('Final Term'!P15/P$5)*100,1),new_transmute,3,FALSE),
VLOOKUP('Final Term'!P15,new_transmute,3,FALSE)
),
IF(Info!$B$4="Board program (Medicine)",
IF(OR(AND(P$5&gt;0,P$5&gt;100),AND(P$5&gt;0,P$5&lt;100)),
VLOOKUP(FLOOR(('Final Term'!P15/P$5)*100,1),new_transmute,4,FALSE),
VLOOKUP('Final Term'!P15,new_transmute,4,FALSE)
),
""
)
)
)
)
)
)
)
)
))</f>
        <v/>
      </c>
      <c r="Q15" s="73" t="str">
        <f>IF($B15="","",
IF(Q$5="","",
IF('Final Term'!Q15="",0,
IF(NOT(ISNUMBER('Final Term'!Q15)),"NAN",
IF('Final Term'!Q15&lt;0,"NEG",
IF('Final Term'!Q15&gt;Q$5,"OVER",
IF(AND(Q$5&lt;=100,'Final Term'!Q15&gt;100),"ERR",
IF(Info!$B$4="Non-board program",
IF(OR(AND(Q$5&gt;0,Q$5&gt;100),AND(Q$5&gt;0,Q$5&lt;100)),
VLOOKUP(FLOOR(('Final Term'!Q15/Q$5)*100,1),new_transmute,2,FALSE),
VLOOKUP('Final Term'!Q15,new_transmute,2,FALSE)
),
IF(Info!$B$4="Board program",
IF(OR(AND(Q$5&gt;0,Q$5&gt;100),AND(Q$5&gt;0,Q$5&lt;100)),
VLOOKUP(FLOOR(('Final Term'!Q15/Q$5)*100,1),new_transmute,3,FALSE),
VLOOKUP('Final Term'!Q15,new_transmute,3,FALSE)
),
IF(Info!$B$4="Board program (Medicine)",
IF(OR(AND(Q$5&gt;0,Q$5&gt;100),AND(Q$5&gt;0,Q$5&lt;100)),
VLOOKUP(FLOOR(('Final Term'!Q15/Q$5)*100,1),new_transmute,4,FALSE),
VLOOKUP('Final Term'!Q15,new_transmute,4,FALSE)
),
""
)
)
)
)
)
)
)
)
))</f>
        <v/>
      </c>
      <c r="R15" s="73" t="str">
        <f>IF($B15="","",
IF(R$5="","",
IF('Final Term'!R15="",0,
IF(NOT(ISNUMBER('Final Term'!R15)),"NAN",
IF('Final Term'!R15&lt;0,"NEG",
IF('Final Term'!R15&gt;R$5,"OVER",
IF(AND(R$5&lt;=100,'Final Term'!R15&gt;100),"ERR",
IF(Info!$B$4="Non-board program",
IF(OR(AND(R$5&gt;0,R$5&gt;100),AND(R$5&gt;0,R$5&lt;100)),
VLOOKUP(FLOOR(('Final Term'!R15/R$5)*100,1),new_transmute,2,FALSE),
VLOOKUP('Final Term'!R15,new_transmute,2,FALSE)
),
IF(Info!$B$4="Board program",
IF(OR(AND(R$5&gt;0,R$5&gt;100),AND(R$5&gt;0,R$5&lt;100)),
VLOOKUP(FLOOR(('Final Term'!R15/R$5)*100,1),new_transmute,3,FALSE),
VLOOKUP('Final Term'!R15,new_transmute,3,FALSE)
),
IF(Info!$B$4="Board program (Medicine)",
IF(OR(AND(R$5&gt;0,R$5&gt;100),AND(R$5&gt;0,R$5&lt;100)),
VLOOKUP(FLOOR(('Final Term'!R15/R$5)*100,1),new_transmute,4,FALSE),
VLOOKUP('Final Term'!R15,new_transmute,4,FALSE)
),
""
)
)
)
)
)
)
)
)
))</f>
        <v/>
      </c>
      <c r="S15" s="115" t="str">
        <f t="shared" si="3"/>
        <v/>
      </c>
      <c r="T15" s="73" t="str">
        <f>IF($B15="","",
IF(T$5="","",
IF('Final Term'!T15="",0,
IF(NOT(ISNUMBER('Final Term'!T15)),"NAN",
IF('Final Term'!T15&lt;0,"NEG",
IF('Final Term'!T15&gt;T$5,"OVER",
IF(AND(T$5&lt;=100,'Final Term'!T15&gt;100),"ERR",
IF(Info!$B$4="Non-board program",
IF(OR(AND(T$5&gt;0,T$5&gt;100),AND(T$5&gt;0,T$5&lt;100)),
VLOOKUP(FLOOR(('Final Term'!T15/T$5)*100,1),new_transmute,2,FALSE),
VLOOKUP('Final Term'!T15,new_transmute,2,FALSE)
),
IF(Info!$B$4="Board program",
IF(OR(AND(T$5&gt;0,T$5&gt;100),AND(T$5&gt;0,T$5&lt;100)),
VLOOKUP(FLOOR(('Final Term'!T15/T$5)*100,1),new_transmute,3,FALSE),
VLOOKUP('Final Term'!T15,new_transmute,3,FALSE)
),
IF(Info!$B$4="Board program (Medicine)",
IF(OR(AND(T$5&gt;0,T$5&gt;100),AND(T$5&gt;0,T$5&lt;100)),
VLOOKUP(FLOOR(('Final Term'!T15/T$5)*100,1),new_transmute,4,FALSE),
VLOOKUP('Final Term'!T15,new_transmute,4,FALSE)
),
""
)
)
)
)
)
)
)
)
))</f>
        <v/>
      </c>
      <c r="U15" s="73" t="str">
        <f>IF($B15="","",
IF(U$5="","",
IF('Final Term'!U15="",0,
IF(NOT(ISNUMBER('Final Term'!U15)),"NAN",
IF('Final Term'!U15&lt;0,"NEG",
IF('Final Term'!U15&gt;U$5,"OVER",
IF(AND(U$5&lt;=100,'Final Term'!U15&gt;100),"ERR",
IF(Info!$B$4="Non-board program",
IF(OR(AND(U$5&gt;0,U$5&gt;100),AND(U$5&gt;0,U$5&lt;100)),
VLOOKUP(FLOOR(('Final Term'!U15/U$5)*100,1),new_transmute,2,FALSE),
VLOOKUP('Final Term'!U15,new_transmute,2,FALSE)
),
IF(Info!$B$4="Board program",
IF(OR(AND(U$5&gt;0,U$5&gt;100),AND(U$5&gt;0,U$5&lt;100)),
VLOOKUP(FLOOR(('Final Term'!U15/U$5)*100,1),new_transmute,3,FALSE),
VLOOKUP('Final Term'!U15,new_transmute,3,FALSE)
),
IF(Info!$B$4="Board program (Medicine)",
IF(OR(AND(U$5&gt;0,U$5&gt;100),AND(U$5&gt;0,U$5&lt;100)),
VLOOKUP(FLOOR(('Final Term'!U15/U$5)*100,1),new_transmute,4,FALSE),
VLOOKUP('Final Term'!U15,new_transmute,4,FALSE)
),
""
)
)
)
)
)
)
)
)
))</f>
        <v/>
      </c>
      <c r="V15" s="73" t="str">
        <f>IF($B15="","",
IF(V$5="","",
IF('Final Term'!V15="",0,
IF(NOT(ISNUMBER('Final Term'!V15)),"NAN",
IF('Final Term'!V15&lt;0,"NEG",
IF('Final Term'!V15&gt;V$5,"OVER",
IF(AND(V$5&lt;=100,'Final Term'!V15&gt;100),"ERR",
IF(Info!$B$4="Non-board program",
IF(OR(AND(V$5&gt;0,V$5&gt;100),AND(V$5&gt;0,V$5&lt;100)),
VLOOKUP(FLOOR(('Final Term'!V15/V$5)*100,1),new_transmute,2,FALSE),
VLOOKUP('Final Term'!V15,new_transmute,2,FALSE)
),
IF(Info!$B$4="Board program",
IF(OR(AND(V$5&gt;0,V$5&gt;100),AND(V$5&gt;0,V$5&lt;100)),
VLOOKUP(FLOOR(('Final Term'!V15/V$5)*100,1),new_transmute,3,FALSE),
VLOOKUP('Final Term'!V15,new_transmute,3,FALSE)
),
IF(Info!$B$4="Board program (Medicine)",
IF(OR(AND(V$5&gt;0,V$5&gt;100),AND(V$5&gt;0,V$5&lt;100)),
VLOOKUP(FLOOR(('Final Term'!V15/V$5)*100,1),new_transmute,4,FALSE),
VLOOKUP('Final Term'!V15,new_transmute,4,FALSE)
),
""
)
)
)
)
)
)
)
)
))</f>
        <v/>
      </c>
      <c r="W15" s="73" t="str">
        <f>IF($B15="","",
IF(W$5="","",
IF('Final Term'!W15="",0,
IF(NOT(ISNUMBER('Final Term'!W15)),"NAN",
IF('Final Term'!W15&lt;0,"NEG",
IF('Final Term'!W15&gt;W$5,"OVER",
IF(AND(W$5&lt;=100,'Final Term'!W15&gt;100),"ERR",
IF(Info!$B$4="Non-board program",
IF(OR(AND(W$5&gt;0,W$5&gt;100),AND(W$5&gt;0,W$5&lt;100)),
VLOOKUP(FLOOR(('Final Term'!W15/W$5)*100,1),new_transmute,2,FALSE),
VLOOKUP('Final Term'!W15,new_transmute,2,FALSE)
),
IF(Info!$B$4="Board program",
IF(OR(AND(W$5&gt;0,W$5&gt;100),AND(W$5&gt;0,W$5&lt;100)),
VLOOKUP(FLOOR(('Final Term'!W15/W$5)*100,1),new_transmute,3,FALSE),
VLOOKUP('Final Term'!W15,new_transmute,3,FALSE)
),
IF(Info!$B$4="Board program (Medicine)",
IF(OR(AND(W$5&gt;0,W$5&gt;100),AND(W$5&gt;0,W$5&lt;100)),
VLOOKUP(FLOOR(('Final Term'!W15/W$5)*100,1),new_transmute,4,FALSE),
VLOOKUP('Final Term'!W15,new_transmute,4,FALSE)
),
""
)
)
)
)
)
)
)
)
))</f>
        <v/>
      </c>
      <c r="X15" s="73" t="str">
        <f>IF($B15="","",
IF(X$5="","",
IF('Final Term'!X15="",0,
IF(NOT(ISNUMBER('Final Term'!X15)),"NAN",
IF('Final Term'!X15&lt;0,"NEG",
IF('Final Term'!X15&gt;X$5,"OVER",
IF(AND(X$5&lt;=100,'Final Term'!X15&gt;100),"ERR",
IF(Info!$B$4="Non-board program",
IF(OR(AND(X$5&gt;0,X$5&gt;100),AND(X$5&gt;0,X$5&lt;100)),
VLOOKUP(FLOOR(('Final Term'!X15/X$5)*100,1),new_transmute,2,FALSE),
VLOOKUP('Final Term'!X15,new_transmute,2,FALSE)
),
IF(Info!$B$4="Board program",
IF(OR(AND(X$5&gt;0,X$5&gt;100),AND(X$5&gt;0,X$5&lt;100)),
VLOOKUP(FLOOR(('Final Term'!X15/X$5)*100,1),new_transmute,3,FALSE),
VLOOKUP('Final Term'!X15,new_transmute,3,FALSE)
),
IF(Info!$B$4="Board program (Medicine)",
IF(OR(AND(X$5&gt;0,X$5&gt;100),AND(X$5&gt;0,X$5&lt;100)),
VLOOKUP(FLOOR(('Final Term'!X15/X$5)*100,1),new_transmute,4,FALSE),
VLOOKUP('Final Term'!X15,new_transmute,4,FALSE)
),
""
)
)
)
)
)
)
)
)
))</f>
        <v/>
      </c>
      <c r="Y15" s="112" t="str">
        <f t="shared" si="4"/>
        <v/>
      </c>
      <c r="Z15" s="73" t="str">
        <f>IF($B15="","",
IF(Z$5="","",
IF('Final Term'!Z15="",0,
IF(NOT(ISNUMBER('Final Term'!Z15)),"NAN",
IF('Final Term'!Z15&lt;0,"NEG",
IF('Final Term'!Z15&gt;Z$5,"OVER",
IF(AND(Z$5&lt;=100,'Final Term'!Z15&gt;100),"ERR",
IF(Info!$B$4="Non-board program",
IF(OR(AND(Z$5&gt;0,Z$5&gt;100),AND(Z$5&gt;0,Z$5&lt;100)),
VLOOKUP(FLOOR(('Final Term'!Z15/Z$5)*100,1),new_transmute,2,FALSE),
VLOOKUP('Final Term'!Z15,new_transmute,2,FALSE)
),
IF(Info!$B$4="Board program",
IF(OR(AND(Z$5&gt;0,Z$5&gt;100),AND(Z$5&gt;0,Z$5&lt;100)),
VLOOKUP(FLOOR(('Final Term'!Z15/Z$5)*100,1),new_transmute,3,FALSE),
VLOOKUP('Final Term'!Z15,new_transmute,3,FALSE)
),
IF(Info!$B$4="Board program (Medicine)",
IF(OR(AND(Z$5&gt;0,Z$5&gt;100),AND(Z$5&gt;0,Z$5&lt;100)),
VLOOKUP(FLOOR(('Final Term'!Z15/Z$5)*100,1),new_transmute,4,FALSE),
VLOOKUP('Final Term'!Z15,new_transmute,4,FALSE)
),
""
)
)
)
)
)
)
)
)
))</f>
        <v/>
      </c>
      <c r="AA15" s="73" t="str">
        <f>IF($B15="","",
IF(AA$5="","",
IF('Final Term'!AA15="",0,
IF(NOT(ISNUMBER('Final Term'!AA15)),"NAN",
IF('Final Term'!AA15&lt;0,"NEG",
IF('Final Term'!AA15&gt;AA$5,"OVER",
IF(AND(AA$5&lt;=100,'Final Term'!AA15&gt;100),"ERR",
IF(Info!$B$4="Non-board program",
IF(OR(AND(AA$5&gt;0,AA$5&gt;100),AND(AA$5&gt;0,AA$5&lt;100)),
VLOOKUP(FLOOR(('Final Term'!AA15/AA$5)*100,1),new_transmute,2,FALSE),
VLOOKUP('Final Term'!AA15,new_transmute,2,FALSE)
),
IF(Info!$B$4="Board program",
IF(OR(AND(AA$5&gt;0,AA$5&gt;100),AND(AA$5&gt;0,AA$5&lt;100)),
VLOOKUP(FLOOR(('Final Term'!AA15/AA$5)*100,1),new_transmute,3,FALSE),
VLOOKUP('Final Term'!AA15,new_transmute,3,FALSE)
),
IF(Info!$B$4="Board program (Medicine)",
IF(OR(AND(AA$5&gt;0,AA$5&gt;100),AND(AA$5&gt;0,AA$5&lt;100)),
VLOOKUP(FLOOR(('Final Term'!AA15/AA$5)*100,1),new_transmute,4,FALSE),
VLOOKUP('Final Term'!AA15,new_transmute,4,FALSE)
),
""
)
)
)
)
)
)
)
)
))</f>
        <v/>
      </c>
      <c r="AB15" s="73" t="str">
        <f>IF($B15="","",
IF(AB$5="","",
IF('Final Term'!AB15="",0,
IF(NOT(ISNUMBER('Final Term'!AB15)),"NAN",
IF('Final Term'!AB15&lt;0,"NEG",
IF('Final Term'!AB15&gt;AB$5,"OVER",
IF(AND(AB$5&lt;=100,'Final Term'!AB15&gt;100),"ERR",
IF(Info!$B$4="Non-board program",
IF(OR(AND(AB$5&gt;0,AB$5&gt;100),AND(AB$5&gt;0,AB$5&lt;100)),
VLOOKUP(FLOOR(('Final Term'!AB15/AB$5)*100,1),new_transmute,2,FALSE),
VLOOKUP('Final Term'!AB15,new_transmute,2,FALSE)
),
IF(Info!$B$4="Board program",
IF(OR(AND(AB$5&gt;0,AB$5&gt;100),AND(AB$5&gt;0,AB$5&lt;100)),
VLOOKUP(FLOOR(('Final Term'!AB15/AB$5)*100,1),new_transmute,3,FALSE),
VLOOKUP('Final Term'!AB15,new_transmute,3,FALSE)
),
IF(Info!$B$4="Board program (Medicine)",
IF(OR(AND(AB$5&gt;0,AB$5&gt;100),AND(AB$5&gt;0,AB$5&lt;100)),
VLOOKUP(FLOOR(('Final Term'!AB15/AB$5)*100,1),new_transmute,4,FALSE),
VLOOKUP('Final Term'!AB15,new_transmute,4,FALSE)
),
""
)
)
)
)
)
)
)
)
))</f>
        <v/>
      </c>
      <c r="AC15" s="73" t="str">
        <f>IF($B15="","",
IF(AC$5="","",
IF('Final Term'!AC15="",0,
IF(NOT(ISNUMBER('Final Term'!AC15)),"NAN",
IF('Final Term'!AC15&lt;0,"NEG",
IF('Final Term'!AC15&gt;AC$5,"OVER",
IF(AND(AC$5&lt;=100,'Final Term'!AC15&gt;100),"ERR",
IF(Info!$B$4="Non-board program",
IF(OR(AND(AC$5&gt;0,AC$5&gt;100),AND(AC$5&gt;0,AC$5&lt;100)),
VLOOKUP(FLOOR(('Final Term'!AC15/AC$5)*100,1),new_transmute,2,FALSE),
VLOOKUP('Final Term'!AC15,new_transmute,2,FALSE)
),
IF(Info!$B$4="Board program",
IF(OR(AND(AC$5&gt;0,AC$5&gt;100),AND(AC$5&gt;0,AC$5&lt;100)),
VLOOKUP(FLOOR(('Final Term'!AC15/AC$5)*100,1),new_transmute,3,FALSE),
VLOOKUP('Final Term'!AC15,new_transmute,3,FALSE)
),
IF(Info!$B$4="Board program (Medicine)",
IF(OR(AND(AC$5&gt;0,AC$5&gt;100),AND(AC$5&gt;0,AC$5&lt;100)),
VLOOKUP(FLOOR(('Final Term'!AC15/AC$5)*100,1),new_transmute,4,FALSE),
VLOOKUP('Final Term'!AC15,new_transmute,4,FALSE)
),
""
)
)
)
)
)
)
)
)
))</f>
        <v/>
      </c>
      <c r="AD15" s="73" t="str">
        <f>IF($B15="","",
IF(AD$5="","",
IF('Final Term'!AD15="",0,
IF(NOT(ISNUMBER('Final Term'!AD15)),"NAN",
IF('Final Term'!AD15&lt;0,"NEG",
IF('Final Term'!AD15&gt;AD$5,"OVER",
IF(AND(AD$5&lt;=100,'Final Term'!AD15&gt;100),"ERR",
IF(Info!$B$4="Non-board program",
IF(OR(AND(AD$5&gt;0,AD$5&gt;100),AND(AD$5&gt;0,AD$5&lt;100)),
VLOOKUP(FLOOR(('Final Term'!AD15/AD$5)*100,1),new_transmute,2,FALSE),
VLOOKUP('Final Term'!AD15,new_transmute,2,FALSE)
),
IF(Info!$B$4="Board program",
IF(OR(AND(AD$5&gt;0,AD$5&gt;100),AND(AD$5&gt;0,AD$5&lt;100)),
VLOOKUP(FLOOR(('Final Term'!AD15/AD$5)*100,1),new_transmute,3,FALSE),
VLOOKUP('Final Term'!AD15,new_transmute,3,FALSE)
),
IF(Info!$B$4="Board program (Medicine)",
IF(OR(AND(AD$5&gt;0,AD$5&gt;100),AND(AD$5&gt;0,AD$5&lt;100)),
VLOOKUP(FLOOR(('Final Term'!AD15/AD$5)*100,1),new_transmute,4,FALSE),
VLOOKUP('Final Term'!AD15,new_transmute,4,FALSE)
),
""
)
)
)
)
)
)
)
)
))</f>
        <v/>
      </c>
      <c r="AE15" s="58" t="str">
        <f t="shared" si="5"/>
        <v/>
      </c>
      <c r="AF15" s="73" t="str">
        <f>IF($B15="","",
IF(AF$5="","",
IF('Final Term'!AF15="",0,
IF(NOT(ISNUMBER('Final Term'!AF15)),"NAN",
IF('Final Term'!AF15&lt;0,"NEG",
IF('Final Term'!AF15&gt;AF$5,"OVER",
IF(AND(AF$5&lt;=100,'Final Term'!AF15&gt;100),"ERR",
IF(Info!$B$4="Non-board program",
IF(OR(AND(AF$5&gt;0,AF$5&gt;100),AND(AF$5&gt;0,AF$5&lt;100)),
VLOOKUP(FLOOR(('Final Term'!AF15/AF$5)*100,1),new_transmute,2,FALSE),
VLOOKUP('Final Term'!AF15,new_transmute,2,FALSE)
),
IF(Info!$B$4="Board program",
IF(OR(AND(AF$5&gt;0,AF$5&gt;100),AND(AF$5&gt;0,AF$5&lt;100)),
VLOOKUP(FLOOR(('Final Term'!AF15/AF$5)*100,1),new_transmute,3,FALSE),
VLOOKUP('Final Term'!AF15,new_transmute,3,FALSE)
),
IF(Info!$B$4="Board program (Medicine)",
IF(OR(AND(AF$5&gt;0,AF$5&gt;100),AND(AF$5&gt;0,AF$5&lt;100)),
VLOOKUP(FLOOR(('Final Term'!AF15/AF$5)*100,1),new_transmute,4,FALSE),
VLOOKUP('Final Term'!AF15,new_transmute,4,FALSE)
),
""
)
)
)
)
)
)
)
)
))</f>
        <v/>
      </c>
      <c r="AG15" s="73" t="str">
        <f>IF($B15="","",
IF(AG$5="","",
IF('Final Term'!AG15="",0,
IF(NOT(ISNUMBER('Final Term'!AG15)),"NAN",
IF('Final Term'!AG15&lt;0,"NEG",
IF('Final Term'!AG15&gt;AG$5,"OVER",
IF(AND(AG$5&lt;=100,'Final Term'!AG15&gt;100),"ERR",
IF(Info!$B$4="Non-board program",
IF(OR(AND(AG$5&gt;0,AG$5&gt;100),AND(AG$5&gt;0,AG$5&lt;100)),
VLOOKUP(FLOOR(('Final Term'!AG15/AG$5)*100,1),new_transmute,2,FALSE),
VLOOKUP('Final Term'!AG15,new_transmute,2,FALSE)
),
IF(Info!$B$4="Board program",
IF(OR(AND(AG$5&gt;0,AG$5&gt;100),AND(AG$5&gt;0,AG$5&lt;100)),
VLOOKUP(FLOOR(('Final Term'!AG15/AG$5)*100,1),new_transmute,3,FALSE),
VLOOKUP('Final Term'!AG15,new_transmute,3,FALSE)
),
IF(Info!$B$4="Board program (Medicine)",
IF(OR(AND(AG$5&gt;0,AG$5&gt;100),AND(AG$5&gt;0,AG$5&lt;100)),
VLOOKUP(FLOOR(('Final Term'!AG15/AG$5)*100,1),new_transmute,4,FALSE),
VLOOKUP('Final Term'!AG15,new_transmute,4,FALSE)
),
""
)
)
)
)
)
)
)
)
))</f>
        <v/>
      </c>
      <c r="AH15" s="73" t="str">
        <f>IF($B15="","",
IF(AH$5="","",
IF('Final Term'!AH15="",0,
IF(NOT(ISNUMBER('Final Term'!AH15)),"NAN",
IF('Final Term'!AH15&lt;0,"NEG",
IF('Final Term'!AH15&gt;AH$5,"OVER",
IF(AND(AH$5&lt;=100,'Final Term'!AH15&gt;100),"ERR",
IF(Info!$B$4="Non-board program",
IF(OR(AND(AH$5&gt;0,AH$5&gt;100),AND(AH$5&gt;0,AH$5&lt;100)),
VLOOKUP(FLOOR(('Final Term'!AH15/AH$5)*100,1),new_transmute,2,FALSE),
VLOOKUP('Final Term'!AH15,new_transmute,2,FALSE)
),
IF(Info!$B$4="Board program",
IF(OR(AND(AH$5&gt;0,AH$5&gt;100),AND(AH$5&gt;0,AH$5&lt;100)),
VLOOKUP(FLOOR(('Final Term'!AH15/AH$5)*100,1),new_transmute,3,FALSE),
VLOOKUP('Final Term'!AH15,new_transmute,3,FALSE)
),
IF(Info!$B$4="Board program (Medicine)",
IF(OR(AND(AH$5&gt;0,AH$5&gt;100),AND(AH$5&gt;0,AH$5&lt;100)),
VLOOKUP(FLOOR(('Final Term'!AH15/AH$5)*100,1),new_transmute,4,FALSE),
VLOOKUP('Final Term'!AH15,new_transmute,4,FALSE)
),
""
)
)
)
)
)
)
)
)
))</f>
        <v/>
      </c>
      <c r="AI15" s="73" t="str">
        <f>IF($B15="","",
IF(AI$5="","",
IF('Final Term'!AI15="",0,
IF(NOT(ISNUMBER('Final Term'!AI15)),"NAN",
IF('Final Term'!AI15&lt;0,"NEG",
IF('Final Term'!AI15&gt;AI$5,"OVER",
IF(AND(AI$5&lt;=100,'Final Term'!AI15&gt;100),"ERR",
IF(Info!$B$4="Non-board program",
IF(OR(AND(AI$5&gt;0,AI$5&gt;100),AND(AI$5&gt;0,AI$5&lt;100)),
VLOOKUP(FLOOR(('Final Term'!AI15/AI$5)*100,1),new_transmute,2,FALSE),
VLOOKUP('Final Term'!AI15,new_transmute,2,FALSE)
),
IF(Info!$B$4="Board program",
IF(OR(AND(AI$5&gt;0,AI$5&gt;100),AND(AI$5&gt;0,AI$5&lt;100)),
VLOOKUP(FLOOR(('Final Term'!AI15/AI$5)*100,1),new_transmute,3,FALSE),
VLOOKUP('Final Term'!AI15,new_transmute,3,FALSE)
),
IF(Info!$B$4="Board program (Medicine)",
IF(OR(AND(AI$5&gt;0,AI$5&gt;100),AND(AI$5&gt;0,AI$5&lt;100)),
VLOOKUP(FLOOR(('Final Term'!AI15/AI$5)*100,1),new_transmute,4,FALSE),
VLOOKUP('Final Term'!AI15,new_transmute,4,FALSE)
),
""
)
)
)
)
)
)
)
)
))</f>
        <v/>
      </c>
      <c r="AJ15" s="73" t="str">
        <f>IF($B15="","",
IF(AJ$5="","",
IF('Final Term'!AJ15="",0,
IF(NOT(ISNUMBER('Final Term'!AJ15)),"NAN",
IF('Final Term'!AJ15&lt;0,"NEG",
IF('Final Term'!AJ15&gt;AJ$5,"OVER",
IF(AND(AJ$5&lt;=100,'Final Term'!AJ15&gt;100),"ERR",
IF(Info!$B$4="Non-board program",
IF(OR(AND(AJ$5&gt;0,AJ$5&gt;100),AND(AJ$5&gt;0,AJ$5&lt;100)),
VLOOKUP(FLOOR(('Final Term'!AJ15/AJ$5)*100,1),new_transmute,2,FALSE),
VLOOKUP('Final Term'!AJ15,new_transmute,2,FALSE)
),
IF(Info!$B$4="Board program",
IF(OR(AND(AJ$5&gt;0,AJ$5&gt;100),AND(AJ$5&gt;0,AJ$5&lt;100)),
VLOOKUP(FLOOR(('Final Term'!AJ15/AJ$5)*100,1),new_transmute,3,FALSE),
VLOOKUP('Final Term'!AJ15,new_transmute,3,FALSE)
),
IF(Info!$B$4="Board program (Medicine)",
IF(OR(AND(AJ$5&gt;0,AJ$5&gt;100),AND(AJ$5&gt;0,AJ$5&lt;100)),
VLOOKUP(FLOOR(('Final Term'!AJ15/AJ$5)*100,1),new_transmute,4,FALSE),
VLOOKUP('Final Term'!AJ15,new_transmute,4,FALSE)
),
""
)
)
)
)
)
)
)
)
))</f>
        <v/>
      </c>
      <c r="AK15" s="59" t="str">
        <f t="shared" si="6"/>
        <v/>
      </c>
      <c r="AL15" s="60" t="str">
        <f>IF(B15="", "",
    IF(OR(M15="OVER", S15="OVER", Y15="OVER", AE15="OVER", AK15="OVER"),
        "OVER",
        IF(Info!$B$4="Non-board program",
            VLOOKUP(IFERROR(FLOOR(SUM((M15*$M$4), (S15*$S$4), (Y15*$Y$4), (AE15*$AE$4), (AK15*$AK$4)) * (100 / 60), 1), 0), new_transmute, 2, FALSE),
            IF(Info!$B$4="Board program",
                VLOOKUP(IFERROR(FLOOR(SUM((M15*$M$4), (S15*$S$4), (Y15*$Y$4), (AE15*$AE$4), (AK15*$AK$4)) * (100 / 60), 1), 0), new_transmute, 3, FALSE),
                IF(Info!$B$4="Board program (Medicine)",
                    VLOOKUP(IFERROR(FLOOR(SUM((M15*$M$4), (S15*$S$4), (Y15*$Y$4), (AE15*$AE$4), (AK15*$AK$4)) * (100 / 60), 1), 0), new_transmute, 4, FALSE),
                    ""
                )
            )
        )
    )
)</f>
        <v/>
      </c>
      <c r="AM15" s="73" t="str">
        <f>IF($B15="","",
IF(AM$5="","",
IF('Final Term'!AM15="",0,
IF(NOT(ISNUMBER('Final Term'!AM15)),"NAN",
IF('Final Term'!AM15&lt;0,"NEG",
IF('Final Term'!AM15&gt;AM$5,"OVER",
IF(AND(AM$5&lt;=100,'Final Term'!AM15&gt;100),"ERR",
IF(Info!$B$4="Non-board program",
IF(OR(AND(AM$5&gt;0,AM$5&gt;100),AND(AM$5&gt;0,AM$5&lt;100)),
VLOOKUP(FLOOR(('Final Term'!AM15/AM$5)*100,1),new_transmute,2,FALSE),
VLOOKUP('Final Term'!AM15,new_transmute,2,FALSE)
),
IF(Info!$B$4="Board program",
IF(OR(AND(AM$5&gt;0,AM$5&gt;100),AND(AM$5&gt;0,AM$5&lt;100)),
VLOOKUP(FLOOR(('Final Term'!AM15/AM$5)*100,1),new_transmute,3,FALSE),
VLOOKUP('Final Term'!AM15,new_transmute,3,FALSE)
),
IF(Info!$B$4="Board program (Medicine)",
IF(OR(AND(AM$5&gt;0,AM$5&gt;100),AND(AM$5&gt;0,AM$5&lt;100)),
VLOOKUP(FLOOR(('Final Term'!AM15/AM$5)*100,1),new_transmute,4,FALSE),
VLOOKUP('Final Term'!AM15,new_transmute,4,FALSE)
),
""
)
)
)
)
)
)
)
)
))</f>
        <v/>
      </c>
      <c r="AN15" s="73" t="str">
        <f>IF($B15="","",
IF(AN$5="","",
IF('Final Term'!AN15="",0,
IF(NOT(ISNUMBER('Final Term'!AN15)),"NAN",
IF('Final Term'!AN15&lt;0,"NEG",
IF('Final Term'!AN15&gt;AN$5,"OVER",
IF(AND(AN$5&lt;=100,'Final Term'!AN15&gt;100),"ERR",
IF(Info!$B$4="Non-board program",
IF(OR(AND(AN$5&gt;0,AN$5&gt;100),AND(AN$5&gt;0,AN$5&lt;100)),
VLOOKUP(FLOOR(('Final Term'!AN15/AN$5)*100,1),new_transmute,2,FALSE),
VLOOKUP('Final Term'!AN15,new_transmute,2,FALSE)
),
IF(Info!$B$4="Board program",
IF(OR(AND(AN$5&gt;0,AN$5&gt;100),AND(AN$5&gt;0,AN$5&lt;100)),
VLOOKUP(FLOOR(('Final Term'!AN15/AN$5)*100,1),new_transmute,3,FALSE),
VLOOKUP('Final Term'!AN15,new_transmute,3,FALSE)
),
IF(Info!$B$4="Board program (Medicine)",
IF(OR(AND(AN$5&gt;0,AN$5&gt;100),AND(AN$5&gt;0,AN$5&lt;100)),
VLOOKUP(FLOOR(('Final Term'!AN15/AN$5)*100,1),new_transmute,4,FALSE),
VLOOKUP('Final Term'!AN15,new_transmute,4,FALSE)
),
""
)
)
)
)
)
)
)
)
))</f>
        <v/>
      </c>
      <c r="AO15" s="73" t="str">
        <f>IF($B15="","",
IF(AO$5="","",
IF('Final Term'!AO15="",0,
IF(NOT(ISNUMBER('Final Term'!AO15)),"NAN",
IF('Final Term'!AO15&lt;0,"NEG",
IF('Final Term'!AO15&gt;AO$5,"OVER",
IF(AND(AO$5&lt;=100,'Final Term'!AO15&gt;100),"ERR",
IF(Info!$B$4="Non-board program",
IF(OR(AND(AO$5&gt;0,AO$5&gt;100),AND(AO$5&gt;0,AO$5&lt;100)),
VLOOKUP(FLOOR(('Final Term'!AO15/AO$5)*100,1),new_transmute,2,FALSE),
VLOOKUP('Final Term'!AO15,new_transmute,2,FALSE)
),
IF(Info!$B$4="Board program",
IF(OR(AND(AO$5&gt;0,AO$5&gt;100),AND(AO$5&gt;0,AO$5&lt;100)),
VLOOKUP(FLOOR(('Final Term'!AO15/AO$5)*100,1),new_transmute,3,FALSE),
VLOOKUP('Final Term'!AO15,new_transmute,3,FALSE)
),
IF(Info!$B$4="Board program (Medicine)",
IF(OR(AND(AO$5&gt;0,AO$5&gt;100),AND(AO$5&gt;0,AO$5&lt;100)),
VLOOKUP(FLOOR(('Final Term'!AO15/AO$5)*100,1),new_transmute,4,FALSE),
VLOOKUP('Final Term'!AO15,new_transmute,4,FALSE)
),
""
)
)
)
)
)
)
)
)
))</f>
        <v/>
      </c>
      <c r="AP15" s="73" t="str">
        <f>IF($B15="","",
IF(AP$5="","",
IF('Final Term'!AP15="",0,
IF(NOT(ISNUMBER('Final Term'!AP15)),"NAN",
IF('Final Term'!AP15&lt;0,"NEG",
IF('Final Term'!AP15&gt;AP$5,"OVER",
IF(AND(AP$5&lt;=100,'Final Term'!AP15&gt;100),"ERR",
IF(Info!$B$4="Non-board program",
IF(OR(AND(AP$5&gt;0,AP$5&gt;100),AND(AP$5&gt;0,AP$5&lt;100)),
VLOOKUP(FLOOR(('Final Term'!AP15/AP$5)*100,1),new_transmute,2,FALSE),
VLOOKUP('Final Term'!AP15,new_transmute,2,FALSE)
),
IF(Info!$B$4="Board program",
IF(OR(AND(AP$5&gt;0,AP$5&gt;100),AND(AP$5&gt;0,AP$5&lt;100)),
VLOOKUP(FLOOR(('Final Term'!AP15/AP$5)*100,1),new_transmute,3,FALSE),
VLOOKUP('Final Term'!AP15,new_transmute,3,FALSE)
),
IF(Info!$B$4="Board program (Medicine)",
IF(OR(AND(AP$5&gt;0,AP$5&gt;100),AND(AP$5&gt;0,AP$5&lt;100)),
VLOOKUP(FLOOR(('Final Term'!AP15/AP$5)*100,1),new_transmute,4,FALSE),
VLOOKUP('Final Term'!AP15,new_transmute,4,FALSE)
),
""
)
)
)
)
)
)
)
)
))</f>
        <v/>
      </c>
      <c r="AQ15" s="61" t="str">
        <f t="shared" si="7"/>
        <v/>
      </c>
      <c r="AR15" s="48" t="str">
        <f>IF('Final Term'!AR15="","",'Final Term'!AR15)</f>
        <v/>
      </c>
      <c r="AS15" s="165" t="str">
        <f t="shared" si="8"/>
        <v/>
      </c>
      <c r="AT15" s="14" t="str">
        <f t="shared" si="0"/>
        <v/>
      </c>
      <c r="AU15" s="13" t="str">
        <f>IF(B15="","",VLOOKUP(AT15,'New Grade Equivalent'!$B$3:$C$47,2,FALSE))</f>
        <v/>
      </c>
    </row>
    <row r="16" spans="1:47" x14ac:dyDescent="0.25">
      <c r="A16" s="8">
        <v>11</v>
      </c>
      <c r="B16" s="2" t="str">
        <f>IF('Student List'!C20="","",UPPER(LEFT('Student List'!C20,FIND(",",'Student List'!C20)-1)))</f>
        <v/>
      </c>
      <c r="C16" s="12" t="str">
        <f>IF('Student List'!C20="","",PROPER(MID('Student List'!C20, FIND(",", 'Student List'!C20) + 2, LEN('Student List'!C20) - FIND(",", 'Student List'!C20) - 1)))</f>
        <v/>
      </c>
      <c r="D16" s="127" t="str">
        <f>IF('Final Term'!D16="","",'Final Term'!D16)</f>
        <v/>
      </c>
      <c r="E16" s="8" t="str">
        <f>IF(MidCom!E16="FA", "FA",
    IF(MidCom!E16="DRP", "DRP",
        IF(MidCom!E16="WF", "WF",
            IF(D16="Yes", "INC",
               IF((SUM('MT Attendance'!AW14) / 3 + SUM('MT Attendance'!AY14) + SUM('FT Attendance'!AW14) / 3 + SUM('FT Attendance'!AY14)) &gt;= 0.2 * (SUMPRODUCT(--(ISTEXT('MT Attendance'!$C$2:$AU$2))) + SUMPRODUCT(--(ISTEXT('FT Attendance'!$C$2:$AU$2)))), "FA",
                   MidCom!E16
                )
            )
        )
    )
)</f>
        <v/>
      </c>
      <c r="F16" s="73" t="str">
        <f>IF($B16="","",
IF(F$5="","",
IF('Final Term'!F16="",0,
IF(NOT(ISNUMBER('Final Term'!F16)),"NAN",
IF('Final Term'!F16&lt;0,"NEG",
IF('Final Term'!F16&gt;F$5,"OVER",
IF(AND(F$5&lt;=100,'Final Term'!F16&gt;100),"ERR",
IF(Info!$B$4="Non-board program",
IF(OR(AND(F$5&gt;0,F$5&gt;100),AND(F$5&gt;0,F$5&lt;100)),
VLOOKUP(FLOOR(('Final Term'!F16/F$5)*100,1),new_transmute,2,FALSE),
VLOOKUP('Final Term'!F16,new_transmute,2,FALSE)
),
IF(Info!$B$4="Board program",
IF(OR(AND(F$5&gt;0,F$5&gt;100),AND(F$5&gt;0,F$5&lt;100)),
VLOOKUP(FLOOR(('Final Term'!F16/F$5)*100,1),new_transmute,3,FALSE),
VLOOKUP('Final Term'!F16,new_transmute,3,FALSE)
),
IF(Info!$B$4="Board program (Medicine)",
IF(OR(AND(F$5&gt;0,F$5&gt;100),AND(F$5&gt;0,F$5&lt;100)),
VLOOKUP(FLOOR(('Final Term'!F16/F$5)*100,1),new_transmute,4,FALSE),
VLOOKUP('Final Term'!F16,new_transmute,4,FALSE)
),
""
)
)
)
)
)
)
)
)
))</f>
        <v/>
      </c>
      <c r="G16" s="57" t="str">
        <f t="shared" si="1"/>
        <v/>
      </c>
      <c r="H16" s="73" t="str">
        <f>IF($B16="","",
IF(H$5="","",
IF('Final Term'!H16="",0,
IF(NOT(ISNUMBER('Final Term'!H16)),"NAN",
IF('Final Term'!H16&lt;0,"NEG",
IF('Final Term'!H16&gt;H$5,"OVER",
IF(AND(H$5&lt;=100,'Final Term'!H16&gt;100),"ERR",
IF(Info!$B$4="Non-board program",
IF(OR(AND(H$5&gt;0,H$5&gt;100),AND(H$5&gt;0,H$5&lt;100)),
VLOOKUP(FLOOR(('Final Term'!H16/H$5)*100,1),new_transmute,2,FALSE),
VLOOKUP('Final Term'!H16,new_transmute,2,FALSE)
),
IF(Info!$B$4="Board program",
IF(OR(AND(H$5&gt;0,H$5&gt;100),AND(H$5&gt;0,H$5&lt;100)),
VLOOKUP(FLOOR(('Final Term'!H16/H$5)*100,1),new_transmute,3,FALSE),
VLOOKUP('Final Term'!H16,new_transmute,3,FALSE)
),
IF(Info!$B$4="Board program (Medicine)",
IF(OR(AND(H$5&gt;0,H$5&gt;100),AND(H$5&gt;0,H$5&lt;100)),
VLOOKUP(FLOOR(('Final Term'!H16/H$5)*100,1),new_transmute,4,FALSE),
VLOOKUP('Final Term'!H16,new_transmute,4,FALSE)
),
""
)
)
)
)
)
)
)
)
))</f>
        <v/>
      </c>
      <c r="I16" s="73" t="str">
        <f>IF($B16="","",
IF(I$5="","",
IF('Final Term'!I16="",0,
IF(NOT(ISNUMBER('Final Term'!I16)),"NAN",
IF('Final Term'!I16&lt;0,"NEG",
IF('Final Term'!I16&gt;I$5,"OVER",
IF(AND(I$5&lt;=100,'Final Term'!I16&gt;100),"ERR",
IF(Info!$B$4="Non-board program",
IF(OR(AND(I$5&gt;0,I$5&gt;100),AND(I$5&gt;0,I$5&lt;100)),
VLOOKUP(FLOOR(('Final Term'!I16/I$5)*100,1),new_transmute,2,FALSE),
VLOOKUP('Final Term'!I16,new_transmute,2,FALSE)
),
IF(Info!$B$4="Board program",
IF(OR(AND(I$5&gt;0,I$5&gt;100),AND(I$5&gt;0,I$5&lt;100)),
VLOOKUP(FLOOR(('Final Term'!I16/I$5)*100,1),new_transmute,3,FALSE),
VLOOKUP('Final Term'!I16,new_transmute,3,FALSE)
),
IF(Info!$B$4="Board program (Medicine)",
IF(OR(AND(I$5&gt;0,I$5&gt;100),AND(I$5&gt;0,I$5&lt;100)),
VLOOKUP(FLOOR(('Final Term'!I16/I$5)*100,1),new_transmute,4,FALSE),
VLOOKUP('Final Term'!I16,new_transmute,4,FALSE)
),
""
)
)
)
)
)
)
)
)
))</f>
        <v/>
      </c>
      <c r="J16" s="73" t="str">
        <f>IF($B16="","",
IF(J$5="","",
IF('Final Term'!J16="",0,
IF(NOT(ISNUMBER('Final Term'!J16)),"NAN",
IF('Final Term'!J16&lt;0,"NEG",
IF('Final Term'!J16&gt;J$5,"OVER",
IF(AND(J$5&lt;=100,'Final Term'!J16&gt;100),"ERR",
IF(Info!$B$4="Non-board program",
IF(OR(AND(J$5&gt;0,J$5&gt;100),AND(J$5&gt;0,J$5&lt;100)),
VLOOKUP(FLOOR(('Final Term'!J16/J$5)*100,1),new_transmute,2,FALSE),
VLOOKUP('Final Term'!J16,new_transmute,2,FALSE)
),
IF(Info!$B$4="Board program",
IF(OR(AND(J$5&gt;0,J$5&gt;100),AND(J$5&gt;0,J$5&lt;100)),
VLOOKUP(FLOOR(('Final Term'!J16/J$5)*100,1),new_transmute,3,FALSE),
VLOOKUP('Final Term'!J16,new_transmute,3,FALSE)
),
IF(Info!$B$4="Board program (Medicine)",
IF(OR(AND(J$5&gt;0,J$5&gt;100),AND(J$5&gt;0,J$5&lt;100)),
VLOOKUP(FLOOR(('Final Term'!J16/J$5)*100,1),new_transmute,4,FALSE),
VLOOKUP('Final Term'!J16,new_transmute,4,FALSE)
),
""
)
)
)
)
)
)
)
)
))</f>
        <v/>
      </c>
      <c r="K16" s="73" t="str">
        <f>IF($B16="","",
IF(K$5="","",
IF('Final Term'!K16="",0,
IF(NOT(ISNUMBER('Final Term'!K16)),"NAN",
IF('Final Term'!K16&lt;0,"NEG",
IF('Final Term'!K16&gt;K$5,"OVER",
IF(AND(K$5&lt;=100,'Final Term'!K16&gt;100),"ERR",
IF(Info!$B$4="Non-board program",
IF(OR(AND(K$5&gt;0,K$5&gt;100),AND(K$5&gt;0,K$5&lt;100)),
VLOOKUP(FLOOR(('Final Term'!K16/K$5)*100,1),new_transmute,2,FALSE),
VLOOKUP('Final Term'!K16,new_transmute,2,FALSE)
),
IF(Info!$B$4="Board program",
IF(OR(AND(K$5&gt;0,K$5&gt;100),AND(K$5&gt;0,K$5&lt;100)),
VLOOKUP(FLOOR(('Final Term'!K16/K$5)*100,1),new_transmute,3,FALSE),
VLOOKUP('Final Term'!K16,new_transmute,3,FALSE)
),
IF(Info!$B$4="Board program (Medicine)",
IF(OR(AND(K$5&gt;0,K$5&gt;100),AND(K$5&gt;0,K$5&lt;100)),
VLOOKUP(FLOOR(('Final Term'!K16/K$5)*100,1),new_transmute,4,FALSE),
VLOOKUP('Final Term'!K16,new_transmute,4,FALSE)
),
""
)
)
)
)
)
)
)
)
))</f>
        <v/>
      </c>
      <c r="L16" s="73" t="str">
        <f>IF($B16="","",
IF(L$5="","",
IF('Final Term'!L16="",0,
IF(NOT(ISNUMBER('Final Term'!L16)),"NAN",
IF('Final Term'!L16&lt;0,"NEG",
IF('Final Term'!L16&gt;L$5,"OVER",
IF(AND(L$5&lt;=100,'Final Term'!L16&gt;100),"ERR",
IF(Info!$B$4="Non-board program",
IF(OR(AND(L$5&gt;0,L$5&gt;100),AND(L$5&gt;0,L$5&lt;100)),
VLOOKUP(FLOOR(('Final Term'!L16/L$5)*100,1),new_transmute,2,FALSE),
VLOOKUP('Final Term'!L16,new_transmute,2,FALSE)
),
IF(Info!$B$4="Board program",
IF(OR(AND(L$5&gt;0,L$5&gt;100),AND(L$5&gt;0,L$5&lt;100)),
VLOOKUP(FLOOR(('Final Term'!L16/L$5)*100,1),new_transmute,3,FALSE),
VLOOKUP('Final Term'!L16,new_transmute,3,FALSE)
),
IF(Info!$B$4="Board program (Medicine)",
IF(OR(AND(L$5&gt;0,L$5&gt;100),AND(L$5&gt;0,L$5&lt;100)),
VLOOKUP(FLOOR(('Final Term'!L16/L$5)*100,1),new_transmute,4,FALSE),
VLOOKUP('Final Term'!L16,new_transmute,4,FALSE)
),
""
)
)
)
)
)
)
)
)
))</f>
        <v/>
      </c>
      <c r="M16" s="111" t="str">
        <f t="shared" si="2"/>
        <v/>
      </c>
      <c r="N16" s="73" t="str">
        <f>IF($B16="","",
IF(N$5="","",
IF('Final Term'!N16="",0,
IF(NOT(ISNUMBER('Final Term'!N16)),"NAN",
IF('Final Term'!N16&lt;0,"NEG",
IF('Final Term'!N16&gt;N$5,"OVER",
IF(AND(N$5&lt;=100,'Final Term'!N16&gt;100),"ERR",
IF(Info!$B$4="Non-board program",
IF(OR(AND(N$5&gt;0,N$5&gt;100),AND(N$5&gt;0,N$5&lt;100)),
VLOOKUP(FLOOR(('Final Term'!N16/N$5)*100,1),new_transmute,2,FALSE),
VLOOKUP('Final Term'!N16,new_transmute,2,FALSE)
),
IF(Info!$B$4="Board program",
IF(OR(AND(N$5&gt;0,N$5&gt;100),AND(N$5&gt;0,N$5&lt;100)),
VLOOKUP(FLOOR(('Final Term'!N16/N$5)*100,1),new_transmute,3,FALSE),
VLOOKUP('Final Term'!N16,new_transmute,3,FALSE)
),
IF(Info!$B$4="Board program (Medicine)",
IF(OR(AND(N$5&gt;0,N$5&gt;100),AND(N$5&gt;0,N$5&lt;100)),
VLOOKUP(FLOOR(('Final Term'!N16/N$5)*100,1),new_transmute,4,FALSE),
VLOOKUP('Final Term'!N16,new_transmute,4,FALSE)
),
""
)
)
)
)
)
)
)
)
))</f>
        <v/>
      </c>
      <c r="O16" s="73" t="str">
        <f>IF($B16="","",
IF(O$5="","",
IF('Final Term'!O16="",0,
IF(NOT(ISNUMBER('Final Term'!O16)),"NAN",
IF('Final Term'!O16&lt;0,"NEG",
IF('Final Term'!O16&gt;O$5,"OVER",
IF(AND(O$5&lt;=100,'Final Term'!O16&gt;100),"ERR",
IF(Info!$B$4="Non-board program",
IF(OR(AND(O$5&gt;0,O$5&gt;100),AND(O$5&gt;0,O$5&lt;100)),
VLOOKUP(FLOOR(('Final Term'!O16/O$5)*100,1),new_transmute,2,FALSE),
VLOOKUP('Final Term'!O16,new_transmute,2,FALSE)
),
IF(Info!$B$4="Board program",
IF(OR(AND(O$5&gt;0,O$5&gt;100),AND(O$5&gt;0,O$5&lt;100)),
VLOOKUP(FLOOR(('Final Term'!O16/O$5)*100,1),new_transmute,3,FALSE),
VLOOKUP('Final Term'!O16,new_transmute,3,FALSE)
),
IF(Info!$B$4="Board program (Medicine)",
IF(OR(AND(O$5&gt;0,O$5&gt;100),AND(O$5&gt;0,O$5&lt;100)),
VLOOKUP(FLOOR(('Final Term'!O16/O$5)*100,1),new_transmute,4,FALSE),
VLOOKUP('Final Term'!O16,new_transmute,4,FALSE)
),
""
)
)
)
)
)
)
)
)
))</f>
        <v/>
      </c>
      <c r="P16" s="73" t="str">
        <f>IF($B16="","",
IF(P$5="","",
IF('Final Term'!P16="",0,
IF(NOT(ISNUMBER('Final Term'!P16)),"NAN",
IF('Final Term'!P16&lt;0,"NEG",
IF('Final Term'!P16&gt;P$5,"OVER",
IF(AND(P$5&lt;=100,'Final Term'!P16&gt;100),"ERR",
IF(Info!$B$4="Non-board program",
IF(OR(AND(P$5&gt;0,P$5&gt;100),AND(P$5&gt;0,P$5&lt;100)),
VLOOKUP(FLOOR(('Final Term'!P16/P$5)*100,1),new_transmute,2,FALSE),
VLOOKUP('Final Term'!P16,new_transmute,2,FALSE)
),
IF(Info!$B$4="Board program",
IF(OR(AND(P$5&gt;0,P$5&gt;100),AND(P$5&gt;0,P$5&lt;100)),
VLOOKUP(FLOOR(('Final Term'!P16/P$5)*100,1),new_transmute,3,FALSE),
VLOOKUP('Final Term'!P16,new_transmute,3,FALSE)
),
IF(Info!$B$4="Board program (Medicine)",
IF(OR(AND(P$5&gt;0,P$5&gt;100),AND(P$5&gt;0,P$5&lt;100)),
VLOOKUP(FLOOR(('Final Term'!P16/P$5)*100,1),new_transmute,4,FALSE),
VLOOKUP('Final Term'!P16,new_transmute,4,FALSE)
),
""
)
)
)
)
)
)
)
)
))</f>
        <v/>
      </c>
      <c r="Q16" s="73" t="str">
        <f>IF($B16="","",
IF(Q$5="","",
IF('Final Term'!Q16="",0,
IF(NOT(ISNUMBER('Final Term'!Q16)),"NAN",
IF('Final Term'!Q16&lt;0,"NEG",
IF('Final Term'!Q16&gt;Q$5,"OVER",
IF(AND(Q$5&lt;=100,'Final Term'!Q16&gt;100),"ERR",
IF(Info!$B$4="Non-board program",
IF(OR(AND(Q$5&gt;0,Q$5&gt;100),AND(Q$5&gt;0,Q$5&lt;100)),
VLOOKUP(FLOOR(('Final Term'!Q16/Q$5)*100,1),new_transmute,2,FALSE),
VLOOKUP('Final Term'!Q16,new_transmute,2,FALSE)
),
IF(Info!$B$4="Board program",
IF(OR(AND(Q$5&gt;0,Q$5&gt;100),AND(Q$5&gt;0,Q$5&lt;100)),
VLOOKUP(FLOOR(('Final Term'!Q16/Q$5)*100,1),new_transmute,3,FALSE),
VLOOKUP('Final Term'!Q16,new_transmute,3,FALSE)
),
IF(Info!$B$4="Board program (Medicine)",
IF(OR(AND(Q$5&gt;0,Q$5&gt;100),AND(Q$5&gt;0,Q$5&lt;100)),
VLOOKUP(FLOOR(('Final Term'!Q16/Q$5)*100,1),new_transmute,4,FALSE),
VLOOKUP('Final Term'!Q16,new_transmute,4,FALSE)
),
""
)
)
)
)
)
)
)
)
))</f>
        <v/>
      </c>
      <c r="R16" s="73" t="str">
        <f>IF($B16="","",
IF(R$5="","",
IF('Final Term'!R16="",0,
IF(NOT(ISNUMBER('Final Term'!R16)),"NAN",
IF('Final Term'!R16&lt;0,"NEG",
IF('Final Term'!R16&gt;R$5,"OVER",
IF(AND(R$5&lt;=100,'Final Term'!R16&gt;100),"ERR",
IF(Info!$B$4="Non-board program",
IF(OR(AND(R$5&gt;0,R$5&gt;100),AND(R$5&gt;0,R$5&lt;100)),
VLOOKUP(FLOOR(('Final Term'!R16/R$5)*100,1),new_transmute,2,FALSE),
VLOOKUP('Final Term'!R16,new_transmute,2,FALSE)
),
IF(Info!$B$4="Board program",
IF(OR(AND(R$5&gt;0,R$5&gt;100),AND(R$5&gt;0,R$5&lt;100)),
VLOOKUP(FLOOR(('Final Term'!R16/R$5)*100,1),new_transmute,3,FALSE),
VLOOKUP('Final Term'!R16,new_transmute,3,FALSE)
),
IF(Info!$B$4="Board program (Medicine)",
IF(OR(AND(R$5&gt;0,R$5&gt;100),AND(R$5&gt;0,R$5&lt;100)),
VLOOKUP(FLOOR(('Final Term'!R16/R$5)*100,1),new_transmute,4,FALSE),
VLOOKUP('Final Term'!R16,new_transmute,4,FALSE)
),
""
)
)
)
)
)
)
)
)
))</f>
        <v/>
      </c>
      <c r="S16" s="115" t="str">
        <f t="shared" si="3"/>
        <v/>
      </c>
      <c r="T16" s="73" t="str">
        <f>IF($B16="","",
IF(T$5="","",
IF('Final Term'!T16="",0,
IF(NOT(ISNUMBER('Final Term'!T16)),"NAN",
IF('Final Term'!T16&lt;0,"NEG",
IF('Final Term'!T16&gt;T$5,"OVER",
IF(AND(T$5&lt;=100,'Final Term'!T16&gt;100),"ERR",
IF(Info!$B$4="Non-board program",
IF(OR(AND(T$5&gt;0,T$5&gt;100),AND(T$5&gt;0,T$5&lt;100)),
VLOOKUP(FLOOR(('Final Term'!T16/T$5)*100,1),new_transmute,2,FALSE),
VLOOKUP('Final Term'!T16,new_transmute,2,FALSE)
),
IF(Info!$B$4="Board program",
IF(OR(AND(T$5&gt;0,T$5&gt;100),AND(T$5&gt;0,T$5&lt;100)),
VLOOKUP(FLOOR(('Final Term'!T16/T$5)*100,1),new_transmute,3,FALSE),
VLOOKUP('Final Term'!T16,new_transmute,3,FALSE)
),
IF(Info!$B$4="Board program (Medicine)",
IF(OR(AND(T$5&gt;0,T$5&gt;100),AND(T$5&gt;0,T$5&lt;100)),
VLOOKUP(FLOOR(('Final Term'!T16/T$5)*100,1),new_transmute,4,FALSE),
VLOOKUP('Final Term'!T16,new_transmute,4,FALSE)
),
""
)
)
)
)
)
)
)
)
))</f>
        <v/>
      </c>
      <c r="U16" s="73" t="str">
        <f>IF($B16="","",
IF(U$5="","",
IF('Final Term'!U16="",0,
IF(NOT(ISNUMBER('Final Term'!U16)),"NAN",
IF('Final Term'!U16&lt;0,"NEG",
IF('Final Term'!U16&gt;U$5,"OVER",
IF(AND(U$5&lt;=100,'Final Term'!U16&gt;100),"ERR",
IF(Info!$B$4="Non-board program",
IF(OR(AND(U$5&gt;0,U$5&gt;100),AND(U$5&gt;0,U$5&lt;100)),
VLOOKUP(FLOOR(('Final Term'!U16/U$5)*100,1),new_transmute,2,FALSE),
VLOOKUP('Final Term'!U16,new_transmute,2,FALSE)
),
IF(Info!$B$4="Board program",
IF(OR(AND(U$5&gt;0,U$5&gt;100),AND(U$5&gt;0,U$5&lt;100)),
VLOOKUP(FLOOR(('Final Term'!U16/U$5)*100,1),new_transmute,3,FALSE),
VLOOKUP('Final Term'!U16,new_transmute,3,FALSE)
),
IF(Info!$B$4="Board program (Medicine)",
IF(OR(AND(U$5&gt;0,U$5&gt;100),AND(U$5&gt;0,U$5&lt;100)),
VLOOKUP(FLOOR(('Final Term'!U16/U$5)*100,1),new_transmute,4,FALSE),
VLOOKUP('Final Term'!U16,new_transmute,4,FALSE)
),
""
)
)
)
)
)
)
)
)
))</f>
        <v/>
      </c>
      <c r="V16" s="73" t="str">
        <f>IF($B16="","",
IF(V$5="","",
IF('Final Term'!V16="",0,
IF(NOT(ISNUMBER('Final Term'!V16)),"NAN",
IF('Final Term'!V16&lt;0,"NEG",
IF('Final Term'!V16&gt;V$5,"OVER",
IF(AND(V$5&lt;=100,'Final Term'!V16&gt;100),"ERR",
IF(Info!$B$4="Non-board program",
IF(OR(AND(V$5&gt;0,V$5&gt;100),AND(V$5&gt;0,V$5&lt;100)),
VLOOKUP(FLOOR(('Final Term'!V16/V$5)*100,1),new_transmute,2,FALSE),
VLOOKUP('Final Term'!V16,new_transmute,2,FALSE)
),
IF(Info!$B$4="Board program",
IF(OR(AND(V$5&gt;0,V$5&gt;100),AND(V$5&gt;0,V$5&lt;100)),
VLOOKUP(FLOOR(('Final Term'!V16/V$5)*100,1),new_transmute,3,FALSE),
VLOOKUP('Final Term'!V16,new_transmute,3,FALSE)
),
IF(Info!$B$4="Board program (Medicine)",
IF(OR(AND(V$5&gt;0,V$5&gt;100),AND(V$5&gt;0,V$5&lt;100)),
VLOOKUP(FLOOR(('Final Term'!V16/V$5)*100,1),new_transmute,4,FALSE),
VLOOKUP('Final Term'!V16,new_transmute,4,FALSE)
),
""
)
)
)
)
)
)
)
)
))</f>
        <v/>
      </c>
      <c r="W16" s="73" t="str">
        <f>IF($B16="","",
IF(W$5="","",
IF('Final Term'!W16="",0,
IF(NOT(ISNUMBER('Final Term'!W16)),"NAN",
IF('Final Term'!W16&lt;0,"NEG",
IF('Final Term'!W16&gt;W$5,"OVER",
IF(AND(W$5&lt;=100,'Final Term'!W16&gt;100),"ERR",
IF(Info!$B$4="Non-board program",
IF(OR(AND(W$5&gt;0,W$5&gt;100),AND(W$5&gt;0,W$5&lt;100)),
VLOOKUP(FLOOR(('Final Term'!W16/W$5)*100,1),new_transmute,2,FALSE),
VLOOKUP('Final Term'!W16,new_transmute,2,FALSE)
),
IF(Info!$B$4="Board program",
IF(OR(AND(W$5&gt;0,W$5&gt;100),AND(W$5&gt;0,W$5&lt;100)),
VLOOKUP(FLOOR(('Final Term'!W16/W$5)*100,1),new_transmute,3,FALSE),
VLOOKUP('Final Term'!W16,new_transmute,3,FALSE)
),
IF(Info!$B$4="Board program (Medicine)",
IF(OR(AND(W$5&gt;0,W$5&gt;100),AND(W$5&gt;0,W$5&lt;100)),
VLOOKUP(FLOOR(('Final Term'!W16/W$5)*100,1),new_transmute,4,FALSE),
VLOOKUP('Final Term'!W16,new_transmute,4,FALSE)
),
""
)
)
)
)
)
)
)
)
))</f>
        <v/>
      </c>
      <c r="X16" s="73" t="str">
        <f>IF($B16="","",
IF(X$5="","",
IF('Final Term'!X16="",0,
IF(NOT(ISNUMBER('Final Term'!X16)),"NAN",
IF('Final Term'!X16&lt;0,"NEG",
IF('Final Term'!X16&gt;X$5,"OVER",
IF(AND(X$5&lt;=100,'Final Term'!X16&gt;100),"ERR",
IF(Info!$B$4="Non-board program",
IF(OR(AND(X$5&gt;0,X$5&gt;100),AND(X$5&gt;0,X$5&lt;100)),
VLOOKUP(FLOOR(('Final Term'!X16/X$5)*100,1),new_transmute,2,FALSE),
VLOOKUP('Final Term'!X16,new_transmute,2,FALSE)
),
IF(Info!$B$4="Board program",
IF(OR(AND(X$5&gt;0,X$5&gt;100),AND(X$5&gt;0,X$5&lt;100)),
VLOOKUP(FLOOR(('Final Term'!X16/X$5)*100,1),new_transmute,3,FALSE),
VLOOKUP('Final Term'!X16,new_transmute,3,FALSE)
),
IF(Info!$B$4="Board program (Medicine)",
IF(OR(AND(X$5&gt;0,X$5&gt;100),AND(X$5&gt;0,X$5&lt;100)),
VLOOKUP(FLOOR(('Final Term'!X16/X$5)*100,1),new_transmute,4,FALSE),
VLOOKUP('Final Term'!X16,new_transmute,4,FALSE)
),
""
)
)
)
)
)
)
)
)
))</f>
        <v/>
      </c>
      <c r="Y16" s="112" t="str">
        <f t="shared" si="4"/>
        <v/>
      </c>
      <c r="Z16" s="73" t="str">
        <f>IF($B16="","",
IF(Z$5="","",
IF('Final Term'!Z16="",0,
IF(NOT(ISNUMBER('Final Term'!Z16)),"NAN",
IF('Final Term'!Z16&lt;0,"NEG",
IF('Final Term'!Z16&gt;Z$5,"OVER",
IF(AND(Z$5&lt;=100,'Final Term'!Z16&gt;100),"ERR",
IF(Info!$B$4="Non-board program",
IF(OR(AND(Z$5&gt;0,Z$5&gt;100),AND(Z$5&gt;0,Z$5&lt;100)),
VLOOKUP(FLOOR(('Final Term'!Z16/Z$5)*100,1),new_transmute,2,FALSE),
VLOOKUP('Final Term'!Z16,new_transmute,2,FALSE)
),
IF(Info!$B$4="Board program",
IF(OR(AND(Z$5&gt;0,Z$5&gt;100),AND(Z$5&gt;0,Z$5&lt;100)),
VLOOKUP(FLOOR(('Final Term'!Z16/Z$5)*100,1),new_transmute,3,FALSE),
VLOOKUP('Final Term'!Z16,new_transmute,3,FALSE)
),
IF(Info!$B$4="Board program (Medicine)",
IF(OR(AND(Z$5&gt;0,Z$5&gt;100),AND(Z$5&gt;0,Z$5&lt;100)),
VLOOKUP(FLOOR(('Final Term'!Z16/Z$5)*100,1),new_transmute,4,FALSE),
VLOOKUP('Final Term'!Z16,new_transmute,4,FALSE)
),
""
)
)
)
)
)
)
)
)
))</f>
        <v/>
      </c>
      <c r="AA16" s="73" t="str">
        <f>IF($B16="","",
IF(AA$5="","",
IF('Final Term'!AA16="",0,
IF(NOT(ISNUMBER('Final Term'!AA16)),"NAN",
IF('Final Term'!AA16&lt;0,"NEG",
IF('Final Term'!AA16&gt;AA$5,"OVER",
IF(AND(AA$5&lt;=100,'Final Term'!AA16&gt;100),"ERR",
IF(Info!$B$4="Non-board program",
IF(OR(AND(AA$5&gt;0,AA$5&gt;100),AND(AA$5&gt;0,AA$5&lt;100)),
VLOOKUP(FLOOR(('Final Term'!AA16/AA$5)*100,1),new_transmute,2,FALSE),
VLOOKUP('Final Term'!AA16,new_transmute,2,FALSE)
),
IF(Info!$B$4="Board program",
IF(OR(AND(AA$5&gt;0,AA$5&gt;100),AND(AA$5&gt;0,AA$5&lt;100)),
VLOOKUP(FLOOR(('Final Term'!AA16/AA$5)*100,1),new_transmute,3,FALSE),
VLOOKUP('Final Term'!AA16,new_transmute,3,FALSE)
),
IF(Info!$B$4="Board program (Medicine)",
IF(OR(AND(AA$5&gt;0,AA$5&gt;100),AND(AA$5&gt;0,AA$5&lt;100)),
VLOOKUP(FLOOR(('Final Term'!AA16/AA$5)*100,1),new_transmute,4,FALSE),
VLOOKUP('Final Term'!AA16,new_transmute,4,FALSE)
),
""
)
)
)
)
)
)
)
)
))</f>
        <v/>
      </c>
      <c r="AB16" s="73" t="str">
        <f>IF($B16="","",
IF(AB$5="","",
IF('Final Term'!AB16="",0,
IF(NOT(ISNUMBER('Final Term'!AB16)),"NAN",
IF('Final Term'!AB16&lt;0,"NEG",
IF('Final Term'!AB16&gt;AB$5,"OVER",
IF(AND(AB$5&lt;=100,'Final Term'!AB16&gt;100),"ERR",
IF(Info!$B$4="Non-board program",
IF(OR(AND(AB$5&gt;0,AB$5&gt;100),AND(AB$5&gt;0,AB$5&lt;100)),
VLOOKUP(FLOOR(('Final Term'!AB16/AB$5)*100,1),new_transmute,2,FALSE),
VLOOKUP('Final Term'!AB16,new_transmute,2,FALSE)
),
IF(Info!$B$4="Board program",
IF(OR(AND(AB$5&gt;0,AB$5&gt;100),AND(AB$5&gt;0,AB$5&lt;100)),
VLOOKUP(FLOOR(('Final Term'!AB16/AB$5)*100,1),new_transmute,3,FALSE),
VLOOKUP('Final Term'!AB16,new_transmute,3,FALSE)
),
IF(Info!$B$4="Board program (Medicine)",
IF(OR(AND(AB$5&gt;0,AB$5&gt;100),AND(AB$5&gt;0,AB$5&lt;100)),
VLOOKUP(FLOOR(('Final Term'!AB16/AB$5)*100,1),new_transmute,4,FALSE),
VLOOKUP('Final Term'!AB16,new_transmute,4,FALSE)
),
""
)
)
)
)
)
)
)
)
))</f>
        <v/>
      </c>
      <c r="AC16" s="73" t="str">
        <f>IF($B16="","",
IF(AC$5="","",
IF('Final Term'!AC16="",0,
IF(NOT(ISNUMBER('Final Term'!AC16)),"NAN",
IF('Final Term'!AC16&lt;0,"NEG",
IF('Final Term'!AC16&gt;AC$5,"OVER",
IF(AND(AC$5&lt;=100,'Final Term'!AC16&gt;100),"ERR",
IF(Info!$B$4="Non-board program",
IF(OR(AND(AC$5&gt;0,AC$5&gt;100),AND(AC$5&gt;0,AC$5&lt;100)),
VLOOKUP(FLOOR(('Final Term'!AC16/AC$5)*100,1),new_transmute,2,FALSE),
VLOOKUP('Final Term'!AC16,new_transmute,2,FALSE)
),
IF(Info!$B$4="Board program",
IF(OR(AND(AC$5&gt;0,AC$5&gt;100),AND(AC$5&gt;0,AC$5&lt;100)),
VLOOKUP(FLOOR(('Final Term'!AC16/AC$5)*100,1),new_transmute,3,FALSE),
VLOOKUP('Final Term'!AC16,new_transmute,3,FALSE)
),
IF(Info!$B$4="Board program (Medicine)",
IF(OR(AND(AC$5&gt;0,AC$5&gt;100),AND(AC$5&gt;0,AC$5&lt;100)),
VLOOKUP(FLOOR(('Final Term'!AC16/AC$5)*100,1),new_transmute,4,FALSE),
VLOOKUP('Final Term'!AC16,new_transmute,4,FALSE)
),
""
)
)
)
)
)
)
)
)
))</f>
        <v/>
      </c>
      <c r="AD16" s="73" t="str">
        <f>IF($B16="","",
IF(AD$5="","",
IF('Final Term'!AD16="",0,
IF(NOT(ISNUMBER('Final Term'!AD16)),"NAN",
IF('Final Term'!AD16&lt;0,"NEG",
IF('Final Term'!AD16&gt;AD$5,"OVER",
IF(AND(AD$5&lt;=100,'Final Term'!AD16&gt;100),"ERR",
IF(Info!$B$4="Non-board program",
IF(OR(AND(AD$5&gt;0,AD$5&gt;100),AND(AD$5&gt;0,AD$5&lt;100)),
VLOOKUP(FLOOR(('Final Term'!AD16/AD$5)*100,1),new_transmute,2,FALSE),
VLOOKUP('Final Term'!AD16,new_transmute,2,FALSE)
),
IF(Info!$B$4="Board program",
IF(OR(AND(AD$5&gt;0,AD$5&gt;100),AND(AD$5&gt;0,AD$5&lt;100)),
VLOOKUP(FLOOR(('Final Term'!AD16/AD$5)*100,1),new_transmute,3,FALSE),
VLOOKUP('Final Term'!AD16,new_transmute,3,FALSE)
),
IF(Info!$B$4="Board program (Medicine)",
IF(OR(AND(AD$5&gt;0,AD$5&gt;100),AND(AD$5&gt;0,AD$5&lt;100)),
VLOOKUP(FLOOR(('Final Term'!AD16/AD$5)*100,1),new_transmute,4,FALSE),
VLOOKUP('Final Term'!AD16,new_transmute,4,FALSE)
),
""
)
)
)
)
)
)
)
)
))</f>
        <v/>
      </c>
      <c r="AE16" s="58" t="str">
        <f t="shared" si="5"/>
        <v/>
      </c>
      <c r="AF16" s="73" t="str">
        <f>IF($B16="","",
IF(AF$5="","",
IF('Final Term'!AF16="",0,
IF(NOT(ISNUMBER('Final Term'!AF16)),"NAN",
IF('Final Term'!AF16&lt;0,"NEG",
IF('Final Term'!AF16&gt;AF$5,"OVER",
IF(AND(AF$5&lt;=100,'Final Term'!AF16&gt;100),"ERR",
IF(Info!$B$4="Non-board program",
IF(OR(AND(AF$5&gt;0,AF$5&gt;100),AND(AF$5&gt;0,AF$5&lt;100)),
VLOOKUP(FLOOR(('Final Term'!AF16/AF$5)*100,1),new_transmute,2,FALSE),
VLOOKUP('Final Term'!AF16,new_transmute,2,FALSE)
),
IF(Info!$B$4="Board program",
IF(OR(AND(AF$5&gt;0,AF$5&gt;100),AND(AF$5&gt;0,AF$5&lt;100)),
VLOOKUP(FLOOR(('Final Term'!AF16/AF$5)*100,1),new_transmute,3,FALSE),
VLOOKUP('Final Term'!AF16,new_transmute,3,FALSE)
),
IF(Info!$B$4="Board program (Medicine)",
IF(OR(AND(AF$5&gt;0,AF$5&gt;100),AND(AF$5&gt;0,AF$5&lt;100)),
VLOOKUP(FLOOR(('Final Term'!AF16/AF$5)*100,1),new_transmute,4,FALSE),
VLOOKUP('Final Term'!AF16,new_transmute,4,FALSE)
),
""
)
)
)
)
)
)
)
)
))</f>
        <v/>
      </c>
      <c r="AG16" s="73" t="str">
        <f>IF($B16="","",
IF(AG$5="","",
IF('Final Term'!AG16="",0,
IF(NOT(ISNUMBER('Final Term'!AG16)),"NAN",
IF('Final Term'!AG16&lt;0,"NEG",
IF('Final Term'!AG16&gt;AG$5,"OVER",
IF(AND(AG$5&lt;=100,'Final Term'!AG16&gt;100),"ERR",
IF(Info!$B$4="Non-board program",
IF(OR(AND(AG$5&gt;0,AG$5&gt;100),AND(AG$5&gt;0,AG$5&lt;100)),
VLOOKUP(FLOOR(('Final Term'!AG16/AG$5)*100,1),new_transmute,2,FALSE),
VLOOKUP('Final Term'!AG16,new_transmute,2,FALSE)
),
IF(Info!$B$4="Board program",
IF(OR(AND(AG$5&gt;0,AG$5&gt;100),AND(AG$5&gt;0,AG$5&lt;100)),
VLOOKUP(FLOOR(('Final Term'!AG16/AG$5)*100,1),new_transmute,3,FALSE),
VLOOKUP('Final Term'!AG16,new_transmute,3,FALSE)
),
IF(Info!$B$4="Board program (Medicine)",
IF(OR(AND(AG$5&gt;0,AG$5&gt;100),AND(AG$5&gt;0,AG$5&lt;100)),
VLOOKUP(FLOOR(('Final Term'!AG16/AG$5)*100,1),new_transmute,4,FALSE),
VLOOKUP('Final Term'!AG16,new_transmute,4,FALSE)
),
""
)
)
)
)
)
)
)
)
))</f>
        <v/>
      </c>
      <c r="AH16" s="73" t="str">
        <f>IF($B16="","",
IF(AH$5="","",
IF('Final Term'!AH16="",0,
IF(NOT(ISNUMBER('Final Term'!AH16)),"NAN",
IF('Final Term'!AH16&lt;0,"NEG",
IF('Final Term'!AH16&gt;AH$5,"OVER",
IF(AND(AH$5&lt;=100,'Final Term'!AH16&gt;100),"ERR",
IF(Info!$B$4="Non-board program",
IF(OR(AND(AH$5&gt;0,AH$5&gt;100),AND(AH$5&gt;0,AH$5&lt;100)),
VLOOKUP(FLOOR(('Final Term'!AH16/AH$5)*100,1),new_transmute,2,FALSE),
VLOOKUP('Final Term'!AH16,new_transmute,2,FALSE)
),
IF(Info!$B$4="Board program",
IF(OR(AND(AH$5&gt;0,AH$5&gt;100),AND(AH$5&gt;0,AH$5&lt;100)),
VLOOKUP(FLOOR(('Final Term'!AH16/AH$5)*100,1),new_transmute,3,FALSE),
VLOOKUP('Final Term'!AH16,new_transmute,3,FALSE)
),
IF(Info!$B$4="Board program (Medicine)",
IF(OR(AND(AH$5&gt;0,AH$5&gt;100),AND(AH$5&gt;0,AH$5&lt;100)),
VLOOKUP(FLOOR(('Final Term'!AH16/AH$5)*100,1),new_transmute,4,FALSE),
VLOOKUP('Final Term'!AH16,new_transmute,4,FALSE)
),
""
)
)
)
)
)
)
)
)
))</f>
        <v/>
      </c>
      <c r="AI16" s="73" t="str">
        <f>IF($B16="","",
IF(AI$5="","",
IF('Final Term'!AI16="",0,
IF(NOT(ISNUMBER('Final Term'!AI16)),"NAN",
IF('Final Term'!AI16&lt;0,"NEG",
IF('Final Term'!AI16&gt;AI$5,"OVER",
IF(AND(AI$5&lt;=100,'Final Term'!AI16&gt;100),"ERR",
IF(Info!$B$4="Non-board program",
IF(OR(AND(AI$5&gt;0,AI$5&gt;100),AND(AI$5&gt;0,AI$5&lt;100)),
VLOOKUP(FLOOR(('Final Term'!AI16/AI$5)*100,1),new_transmute,2,FALSE),
VLOOKUP('Final Term'!AI16,new_transmute,2,FALSE)
),
IF(Info!$B$4="Board program",
IF(OR(AND(AI$5&gt;0,AI$5&gt;100),AND(AI$5&gt;0,AI$5&lt;100)),
VLOOKUP(FLOOR(('Final Term'!AI16/AI$5)*100,1),new_transmute,3,FALSE),
VLOOKUP('Final Term'!AI16,new_transmute,3,FALSE)
),
IF(Info!$B$4="Board program (Medicine)",
IF(OR(AND(AI$5&gt;0,AI$5&gt;100),AND(AI$5&gt;0,AI$5&lt;100)),
VLOOKUP(FLOOR(('Final Term'!AI16/AI$5)*100,1),new_transmute,4,FALSE),
VLOOKUP('Final Term'!AI16,new_transmute,4,FALSE)
),
""
)
)
)
)
)
)
)
)
))</f>
        <v/>
      </c>
      <c r="AJ16" s="73" t="str">
        <f>IF($B16="","",
IF(AJ$5="","",
IF('Final Term'!AJ16="",0,
IF(NOT(ISNUMBER('Final Term'!AJ16)),"NAN",
IF('Final Term'!AJ16&lt;0,"NEG",
IF('Final Term'!AJ16&gt;AJ$5,"OVER",
IF(AND(AJ$5&lt;=100,'Final Term'!AJ16&gt;100),"ERR",
IF(Info!$B$4="Non-board program",
IF(OR(AND(AJ$5&gt;0,AJ$5&gt;100),AND(AJ$5&gt;0,AJ$5&lt;100)),
VLOOKUP(FLOOR(('Final Term'!AJ16/AJ$5)*100,1),new_transmute,2,FALSE),
VLOOKUP('Final Term'!AJ16,new_transmute,2,FALSE)
),
IF(Info!$B$4="Board program",
IF(OR(AND(AJ$5&gt;0,AJ$5&gt;100),AND(AJ$5&gt;0,AJ$5&lt;100)),
VLOOKUP(FLOOR(('Final Term'!AJ16/AJ$5)*100,1),new_transmute,3,FALSE),
VLOOKUP('Final Term'!AJ16,new_transmute,3,FALSE)
),
IF(Info!$B$4="Board program (Medicine)",
IF(OR(AND(AJ$5&gt;0,AJ$5&gt;100),AND(AJ$5&gt;0,AJ$5&lt;100)),
VLOOKUP(FLOOR(('Final Term'!AJ16/AJ$5)*100,1),new_transmute,4,FALSE),
VLOOKUP('Final Term'!AJ16,new_transmute,4,FALSE)
),
""
)
)
)
)
)
)
)
)
))</f>
        <v/>
      </c>
      <c r="AK16" s="59" t="str">
        <f t="shared" si="6"/>
        <v/>
      </c>
      <c r="AL16" s="60" t="str">
        <f>IF(B16="", "",
    IF(OR(M16="OVER", S16="OVER", Y16="OVER", AE16="OVER", AK16="OVER"),
        "OVER",
        IF(Info!$B$4="Non-board program",
            VLOOKUP(IFERROR(FLOOR(SUM((M16*$M$4), (S16*$S$4), (Y16*$Y$4), (AE16*$AE$4), (AK16*$AK$4)) * (100 / 60), 1), 0), new_transmute, 2, FALSE),
            IF(Info!$B$4="Board program",
                VLOOKUP(IFERROR(FLOOR(SUM((M16*$M$4), (S16*$S$4), (Y16*$Y$4), (AE16*$AE$4), (AK16*$AK$4)) * (100 / 60), 1), 0), new_transmute, 3, FALSE),
                IF(Info!$B$4="Board program (Medicine)",
                    VLOOKUP(IFERROR(FLOOR(SUM((M16*$M$4), (S16*$S$4), (Y16*$Y$4), (AE16*$AE$4), (AK16*$AK$4)) * (100 / 60), 1), 0), new_transmute, 4, FALSE),
                    ""
                )
            )
        )
    )
)</f>
        <v/>
      </c>
      <c r="AM16" s="73" t="str">
        <f>IF($B16="","",
IF(AM$5="","",
IF('Final Term'!AM16="",0,
IF(NOT(ISNUMBER('Final Term'!AM16)),"NAN",
IF('Final Term'!AM16&lt;0,"NEG",
IF('Final Term'!AM16&gt;AM$5,"OVER",
IF(AND(AM$5&lt;=100,'Final Term'!AM16&gt;100),"ERR",
IF(Info!$B$4="Non-board program",
IF(OR(AND(AM$5&gt;0,AM$5&gt;100),AND(AM$5&gt;0,AM$5&lt;100)),
VLOOKUP(FLOOR(('Final Term'!AM16/AM$5)*100,1),new_transmute,2,FALSE),
VLOOKUP('Final Term'!AM16,new_transmute,2,FALSE)
),
IF(Info!$B$4="Board program",
IF(OR(AND(AM$5&gt;0,AM$5&gt;100),AND(AM$5&gt;0,AM$5&lt;100)),
VLOOKUP(FLOOR(('Final Term'!AM16/AM$5)*100,1),new_transmute,3,FALSE),
VLOOKUP('Final Term'!AM16,new_transmute,3,FALSE)
),
IF(Info!$B$4="Board program (Medicine)",
IF(OR(AND(AM$5&gt;0,AM$5&gt;100),AND(AM$5&gt;0,AM$5&lt;100)),
VLOOKUP(FLOOR(('Final Term'!AM16/AM$5)*100,1),new_transmute,4,FALSE),
VLOOKUP('Final Term'!AM16,new_transmute,4,FALSE)
),
""
)
)
)
)
)
)
)
)
))</f>
        <v/>
      </c>
      <c r="AN16" s="73" t="str">
        <f>IF($B16="","",
IF(AN$5="","",
IF('Final Term'!AN16="",0,
IF(NOT(ISNUMBER('Final Term'!AN16)),"NAN",
IF('Final Term'!AN16&lt;0,"NEG",
IF('Final Term'!AN16&gt;AN$5,"OVER",
IF(AND(AN$5&lt;=100,'Final Term'!AN16&gt;100),"ERR",
IF(Info!$B$4="Non-board program",
IF(OR(AND(AN$5&gt;0,AN$5&gt;100),AND(AN$5&gt;0,AN$5&lt;100)),
VLOOKUP(FLOOR(('Final Term'!AN16/AN$5)*100,1),new_transmute,2,FALSE),
VLOOKUP('Final Term'!AN16,new_transmute,2,FALSE)
),
IF(Info!$B$4="Board program",
IF(OR(AND(AN$5&gt;0,AN$5&gt;100),AND(AN$5&gt;0,AN$5&lt;100)),
VLOOKUP(FLOOR(('Final Term'!AN16/AN$5)*100,1),new_transmute,3,FALSE),
VLOOKUP('Final Term'!AN16,new_transmute,3,FALSE)
),
IF(Info!$B$4="Board program (Medicine)",
IF(OR(AND(AN$5&gt;0,AN$5&gt;100),AND(AN$5&gt;0,AN$5&lt;100)),
VLOOKUP(FLOOR(('Final Term'!AN16/AN$5)*100,1),new_transmute,4,FALSE),
VLOOKUP('Final Term'!AN16,new_transmute,4,FALSE)
),
""
)
)
)
)
)
)
)
)
))</f>
        <v/>
      </c>
      <c r="AO16" s="73" t="str">
        <f>IF($B16="","",
IF(AO$5="","",
IF('Final Term'!AO16="",0,
IF(NOT(ISNUMBER('Final Term'!AO16)),"NAN",
IF('Final Term'!AO16&lt;0,"NEG",
IF('Final Term'!AO16&gt;AO$5,"OVER",
IF(AND(AO$5&lt;=100,'Final Term'!AO16&gt;100),"ERR",
IF(Info!$B$4="Non-board program",
IF(OR(AND(AO$5&gt;0,AO$5&gt;100),AND(AO$5&gt;0,AO$5&lt;100)),
VLOOKUP(FLOOR(('Final Term'!AO16/AO$5)*100,1),new_transmute,2,FALSE),
VLOOKUP('Final Term'!AO16,new_transmute,2,FALSE)
),
IF(Info!$B$4="Board program",
IF(OR(AND(AO$5&gt;0,AO$5&gt;100),AND(AO$5&gt;0,AO$5&lt;100)),
VLOOKUP(FLOOR(('Final Term'!AO16/AO$5)*100,1),new_transmute,3,FALSE),
VLOOKUP('Final Term'!AO16,new_transmute,3,FALSE)
),
IF(Info!$B$4="Board program (Medicine)",
IF(OR(AND(AO$5&gt;0,AO$5&gt;100),AND(AO$5&gt;0,AO$5&lt;100)),
VLOOKUP(FLOOR(('Final Term'!AO16/AO$5)*100,1),new_transmute,4,FALSE),
VLOOKUP('Final Term'!AO16,new_transmute,4,FALSE)
),
""
)
)
)
)
)
)
)
)
))</f>
        <v/>
      </c>
      <c r="AP16" s="73" t="str">
        <f>IF($B16="","",
IF(AP$5="","",
IF('Final Term'!AP16="",0,
IF(NOT(ISNUMBER('Final Term'!AP16)),"NAN",
IF('Final Term'!AP16&lt;0,"NEG",
IF('Final Term'!AP16&gt;AP$5,"OVER",
IF(AND(AP$5&lt;=100,'Final Term'!AP16&gt;100),"ERR",
IF(Info!$B$4="Non-board program",
IF(OR(AND(AP$5&gt;0,AP$5&gt;100),AND(AP$5&gt;0,AP$5&lt;100)),
VLOOKUP(FLOOR(('Final Term'!AP16/AP$5)*100,1),new_transmute,2,FALSE),
VLOOKUP('Final Term'!AP16,new_transmute,2,FALSE)
),
IF(Info!$B$4="Board program",
IF(OR(AND(AP$5&gt;0,AP$5&gt;100),AND(AP$5&gt;0,AP$5&lt;100)),
VLOOKUP(FLOOR(('Final Term'!AP16/AP$5)*100,1),new_transmute,3,FALSE),
VLOOKUP('Final Term'!AP16,new_transmute,3,FALSE)
),
IF(Info!$B$4="Board program (Medicine)",
IF(OR(AND(AP$5&gt;0,AP$5&gt;100),AND(AP$5&gt;0,AP$5&lt;100)),
VLOOKUP(FLOOR(('Final Term'!AP16/AP$5)*100,1),new_transmute,4,FALSE),
VLOOKUP('Final Term'!AP16,new_transmute,4,FALSE)
),
""
)
)
)
)
)
)
)
)
))</f>
        <v/>
      </c>
      <c r="AQ16" s="61" t="str">
        <f t="shared" si="7"/>
        <v/>
      </c>
      <c r="AR16" s="48" t="str">
        <f>IF('Final Term'!AR16="","",'Final Term'!AR16)</f>
        <v/>
      </c>
      <c r="AS16" s="165" t="str">
        <f t="shared" si="8"/>
        <v/>
      </c>
      <c r="AT16" s="14" t="str">
        <f t="shared" si="0"/>
        <v/>
      </c>
      <c r="AU16" s="13" t="str">
        <f>IF(B16="","",VLOOKUP(AT16,'New Grade Equivalent'!$B$3:$C$47,2,FALSE))</f>
        <v/>
      </c>
    </row>
    <row r="17" spans="1:47" x14ac:dyDescent="0.25">
      <c r="A17" s="8">
        <v>12</v>
      </c>
      <c r="B17" s="2" t="str">
        <f>IF('Student List'!C21="","",UPPER(LEFT('Student List'!C21,FIND(",",'Student List'!C21)-1)))</f>
        <v/>
      </c>
      <c r="C17" s="12" t="str">
        <f>IF('Student List'!C21="","",PROPER(MID('Student List'!C21, FIND(",", 'Student List'!C21) + 2, LEN('Student List'!C21) - FIND(",", 'Student List'!C21) - 1)))</f>
        <v/>
      </c>
      <c r="D17" s="127" t="str">
        <f>IF('Final Term'!D17="","",'Final Term'!D17)</f>
        <v/>
      </c>
      <c r="E17" s="8" t="str">
        <f>IF(MidCom!E17="FA", "FA",
    IF(MidCom!E17="DRP", "DRP",
        IF(MidCom!E17="WF", "WF",
            IF(D17="Yes", "INC",
               IF((SUM('MT Attendance'!AW15) / 3 + SUM('MT Attendance'!AY15) + SUM('FT Attendance'!AW15) / 3 + SUM('FT Attendance'!AY15)) &gt;= 0.2 * (SUMPRODUCT(--(ISTEXT('MT Attendance'!$C$2:$AU$2))) + SUMPRODUCT(--(ISTEXT('FT Attendance'!$C$2:$AU$2)))), "FA",
                   MidCom!E17
                )
            )
        )
    )
)</f>
        <v/>
      </c>
      <c r="F17" s="73" t="str">
        <f>IF($B17="","",
IF(F$5="","",
IF('Final Term'!F17="",0,
IF(NOT(ISNUMBER('Final Term'!F17)),"NAN",
IF('Final Term'!F17&lt;0,"NEG",
IF('Final Term'!F17&gt;F$5,"OVER",
IF(AND(F$5&lt;=100,'Final Term'!F17&gt;100),"ERR",
IF(Info!$B$4="Non-board program",
IF(OR(AND(F$5&gt;0,F$5&gt;100),AND(F$5&gt;0,F$5&lt;100)),
VLOOKUP(FLOOR(('Final Term'!F17/F$5)*100,1),new_transmute,2,FALSE),
VLOOKUP('Final Term'!F17,new_transmute,2,FALSE)
),
IF(Info!$B$4="Board program",
IF(OR(AND(F$5&gt;0,F$5&gt;100),AND(F$5&gt;0,F$5&lt;100)),
VLOOKUP(FLOOR(('Final Term'!F17/F$5)*100,1),new_transmute,3,FALSE),
VLOOKUP('Final Term'!F17,new_transmute,3,FALSE)
),
IF(Info!$B$4="Board program (Medicine)",
IF(OR(AND(F$5&gt;0,F$5&gt;100),AND(F$5&gt;0,F$5&lt;100)),
VLOOKUP(FLOOR(('Final Term'!F17/F$5)*100,1),new_transmute,4,FALSE),
VLOOKUP('Final Term'!F17,new_transmute,4,FALSE)
),
""
)
)
)
)
)
)
)
)
))</f>
        <v/>
      </c>
      <c r="G17" s="57" t="str">
        <f t="shared" si="1"/>
        <v/>
      </c>
      <c r="H17" s="73" t="str">
        <f>IF($B17="","",
IF(H$5="","",
IF('Final Term'!H17="",0,
IF(NOT(ISNUMBER('Final Term'!H17)),"NAN",
IF('Final Term'!H17&lt;0,"NEG",
IF('Final Term'!H17&gt;H$5,"OVER",
IF(AND(H$5&lt;=100,'Final Term'!H17&gt;100),"ERR",
IF(Info!$B$4="Non-board program",
IF(OR(AND(H$5&gt;0,H$5&gt;100),AND(H$5&gt;0,H$5&lt;100)),
VLOOKUP(FLOOR(('Final Term'!H17/H$5)*100,1),new_transmute,2,FALSE),
VLOOKUP('Final Term'!H17,new_transmute,2,FALSE)
),
IF(Info!$B$4="Board program",
IF(OR(AND(H$5&gt;0,H$5&gt;100),AND(H$5&gt;0,H$5&lt;100)),
VLOOKUP(FLOOR(('Final Term'!H17/H$5)*100,1),new_transmute,3,FALSE),
VLOOKUP('Final Term'!H17,new_transmute,3,FALSE)
),
IF(Info!$B$4="Board program (Medicine)",
IF(OR(AND(H$5&gt;0,H$5&gt;100),AND(H$5&gt;0,H$5&lt;100)),
VLOOKUP(FLOOR(('Final Term'!H17/H$5)*100,1),new_transmute,4,FALSE),
VLOOKUP('Final Term'!H17,new_transmute,4,FALSE)
),
""
)
)
)
)
)
)
)
)
))</f>
        <v/>
      </c>
      <c r="I17" s="73" t="str">
        <f>IF($B17="","",
IF(I$5="","",
IF('Final Term'!I17="",0,
IF(NOT(ISNUMBER('Final Term'!I17)),"NAN",
IF('Final Term'!I17&lt;0,"NEG",
IF('Final Term'!I17&gt;I$5,"OVER",
IF(AND(I$5&lt;=100,'Final Term'!I17&gt;100),"ERR",
IF(Info!$B$4="Non-board program",
IF(OR(AND(I$5&gt;0,I$5&gt;100),AND(I$5&gt;0,I$5&lt;100)),
VLOOKUP(FLOOR(('Final Term'!I17/I$5)*100,1),new_transmute,2,FALSE),
VLOOKUP('Final Term'!I17,new_transmute,2,FALSE)
),
IF(Info!$B$4="Board program",
IF(OR(AND(I$5&gt;0,I$5&gt;100),AND(I$5&gt;0,I$5&lt;100)),
VLOOKUP(FLOOR(('Final Term'!I17/I$5)*100,1),new_transmute,3,FALSE),
VLOOKUP('Final Term'!I17,new_transmute,3,FALSE)
),
IF(Info!$B$4="Board program (Medicine)",
IF(OR(AND(I$5&gt;0,I$5&gt;100),AND(I$5&gt;0,I$5&lt;100)),
VLOOKUP(FLOOR(('Final Term'!I17/I$5)*100,1),new_transmute,4,FALSE),
VLOOKUP('Final Term'!I17,new_transmute,4,FALSE)
),
""
)
)
)
)
)
)
)
)
))</f>
        <v/>
      </c>
      <c r="J17" s="73" t="str">
        <f>IF($B17="","",
IF(J$5="","",
IF('Final Term'!J17="",0,
IF(NOT(ISNUMBER('Final Term'!J17)),"NAN",
IF('Final Term'!J17&lt;0,"NEG",
IF('Final Term'!J17&gt;J$5,"OVER",
IF(AND(J$5&lt;=100,'Final Term'!J17&gt;100),"ERR",
IF(Info!$B$4="Non-board program",
IF(OR(AND(J$5&gt;0,J$5&gt;100),AND(J$5&gt;0,J$5&lt;100)),
VLOOKUP(FLOOR(('Final Term'!J17/J$5)*100,1),new_transmute,2,FALSE),
VLOOKUP('Final Term'!J17,new_transmute,2,FALSE)
),
IF(Info!$B$4="Board program",
IF(OR(AND(J$5&gt;0,J$5&gt;100),AND(J$5&gt;0,J$5&lt;100)),
VLOOKUP(FLOOR(('Final Term'!J17/J$5)*100,1),new_transmute,3,FALSE),
VLOOKUP('Final Term'!J17,new_transmute,3,FALSE)
),
IF(Info!$B$4="Board program (Medicine)",
IF(OR(AND(J$5&gt;0,J$5&gt;100),AND(J$5&gt;0,J$5&lt;100)),
VLOOKUP(FLOOR(('Final Term'!J17/J$5)*100,1),new_transmute,4,FALSE),
VLOOKUP('Final Term'!J17,new_transmute,4,FALSE)
),
""
)
)
)
)
)
)
)
)
))</f>
        <v/>
      </c>
      <c r="K17" s="73" t="str">
        <f>IF($B17="","",
IF(K$5="","",
IF('Final Term'!K17="",0,
IF(NOT(ISNUMBER('Final Term'!K17)),"NAN",
IF('Final Term'!K17&lt;0,"NEG",
IF('Final Term'!K17&gt;K$5,"OVER",
IF(AND(K$5&lt;=100,'Final Term'!K17&gt;100),"ERR",
IF(Info!$B$4="Non-board program",
IF(OR(AND(K$5&gt;0,K$5&gt;100),AND(K$5&gt;0,K$5&lt;100)),
VLOOKUP(FLOOR(('Final Term'!K17/K$5)*100,1),new_transmute,2,FALSE),
VLOOKUP('Final Term'!K17,new_transmute,2,FALSE)
),
IF(Info!$B$4="Board program",
IF(OR(AND(K$5&gt;0,K$5&gt;100),AND(K$5&gt;0,K$5&lt;100)),
VLOOKUP(FLOOR(('Final Term'!K17/K$5)*100,1),new_transmute,3,FALSE),
VLOOKUP('Final Term'!K17,new_transmute,3,FALSE)
),
IF(Info!$B$4="Board program (Medicine)",
IF(OR(AND(K$5&gt;0,K$5&gt;100),AND(K$5&gt;0,K$5&lt;100)),
VLOOKUP(FLOOR(('Final Term'!K17/K$5)*100,1),new_transmute,4,FALSE),
VLOOKUP('Final Term'!K17,new_transmute,4,FALSE)
),
""
)
)
)
)
)
)
)
)
))</f>
        <v/>
      </c>
      <c r="L17" s="73" t="str">
        <f>IF($B17="","",
IF(L$5="","",
IF('Final Term'!L17="",0,
IF(NOT(ISNUMBER('Final Term'!L17)),"NAN",
IF('Final Term'!L17&lt;0,"NEG",
IF('Final Term'!L17&gt;L$5,"OVER",
IF(AND(L$5&lt;=100,'Final Term'!L17&gt;100),"ERR",
IF(Info!$B$4="Non-board program",
IF(OR(AND(L$5&gt;0,L$5&gt;100),AND(L$5&gt;0,L$5&lt;100)),
VLOOKUP(FLOOR(('Final Term'!L17/L$5)*100,1),new_transmute,2,FALSE),
VLOOKUP('Final Term'!L17,new_transmute,2,FALSE)
),
IF(Info!$B$4="Board program",
IF(OR(AND(L$5&gt;0,L$5&gt;100),AND(L$5&gt;0,L$5&lt;100)),
VLOOKUP(FLOOR(('Final Term'!L17/L$5)*100,1),new_transmute,3,FALSE),
VLOOKUP('Final Term'!L17,new_transmute,3,FALSE)
),
IF(Info!$B$4="Board program (Medicine)",
IF(OR(AND(L$5&gt;0,L$5&gt;100),AND(L$5&gt;0,L$5&lt;100)),
VLOOKUP(FLOOR(('Final Term'!L17/L$5)*100,1),new_transmute,4,FALSE),
VLOOKUP('Final Term'!L17,new_transmute,4,FALSE)
),
""
)
)
)
)
)
)
)
)
))</f>
        <v/>
      </c>
      <c r="M17" s="111" t="str">
        <f t="shared" si="2"/>
        <v/>
      </c>
      <c r="N17" s="73" t="str">
        <f>IF($B17="","",
IF(N$5="","",
IF('Final Term'!N17="",0,
IF(NOT(ISNUMBER('Final Term'!N17)),"NAN",
IF('Final Term'!N17&lt;0,"NEG",
IF('Final Term'!N17&gt;N$5,"OVER",
IF(AND(N$5&lt;=100,'Final Term'!N17&gt;100),"ERR",
IF(Info!$B$4="Non-board program",
IF(OR(AND(N$5&gt;0,N$5&gt;100),AND(N$5&gt;0,N$5&lt;100)),
VLOOKUP(FLOOR(('Final Term'!N17/N$5)*100,1),new_transmute,2,FALSE),
VLOOKUP('Final Term'!N17,new_transmute,2,FALSE)
),
IF(Info!$B$4="Board program",
IF(OR(AND(N$5&gt;0,N$5&gt;100),AND(N$5&gt;0,N$5&lt;100)),
VLOOKUP(FLOOR(('Final Term'!N17/N$5)*100,1),new_transmute,3,FALSE),
VLOOKUP('Final Term'!N17,new_transmute,3,FALSE)
),
IF(Info!$B$4="Board program (Medicine)",
IF(OR(AND(N$5&gt;0,N$5&gt;100),AND(N$5&gt;0,N$5&lt;100)),
VLOOKUP(FLOOR(('Final Term'!N17/N$5)*100,1),new_transmute,4,FALSE),
VLOOKUP('Final Term'!N17,new_transmute,4,FALSE)
),
""
)
)
)
)
)
)
)
)
))</f>
        <v/>
      </c>
      <c r="O17" s="73" t="str">
        <f>IF($B17="","",
IF(O$5="","",
IF('Final Term'!O17="",0,
IF(NOT(ISNUMBER('Final Term'!O17)),"NAN",
IF('Final Term'!O17&lt;0,"NEG",
IF('Final Term'!O17&gt;O$5,"OVER",
IF(AND(O$5&lt;=100,'Final Term'!O17&gt;100),"ERR",
IF(Info!$B$4="Non-board program",
IF(OR(AND(O$5&gt;0,O$5&gt;100),AND(O$5&gt;0,O$5&lt;100)),
VLOOKUP(FLOOR(('Final Term'!O17/O$5)*100,1),new_transmute,2,FALSE),
VLOOKUP('Final Term'!O17,new_transmute,2,FALSE)
),
IF(Info!$B$4="Board program",
IF(OR(AND(O$5&gt;0,O$5&gt;100),AND(O$5&gt;0,O$5&lt;100)),
VLOOKUP(FLOOR(('Final Term'!O17/O$5)*100,1),new_transmute,3,FALSE),
VLOOKUP('Final Term'!O17,new_transmute,3,FALSE)
),
IF(Info!$B$4="Board program (Medicine)",
IF(OR(AND(O$5&gt;0,O$5&gt;100),AND(O$5&gt;0,O$5&lt;100)),
VLOOKUP(FLOOR(('Final Term'!O17/O$5)*100,1),new_transmute,4,FALSE),
VLOOKUP('Final Term'!O17,new_transmute,4,FALSE)
),
""
)
)
)
)
)
)
)
)
))</f>
        <v/>
      </c>
      <c r="P17" s="73" t="str">
        <f>IF($B17="","",
IF(P$5="","",
IF('Final Term'!P17="",0,
IF(NOT(ISNUMBER('Final Term'!P17)),"NAN",
IF('Final Term'!P17&lt;0,"NEG",
IF('Final Term'!P17&gt;P$5,"OVER",
IF(AND(P$5&lt;=100,'Final Term'!P17&gt;100),"ERR",
IF(Info!$B$4="Non-board program",
IF(OR(AND(P$5&gt;0,P$5&gt;100),AND(P$5&gt;0,P$5&lt;100)),
VLOOKUP(FLOOR(('Final Term'!P17/P$5)*100,1),new_transmute,2,FALSE),
VLOOKUP('Final Term'!P17,new_transmute,2,FALSE)
),
IF(Info!$B$4="Board program",
IF(OR(AND(P$5&gt;0,P$5&gt;100),AND(P$5&gt;0,P$5&lt;100)),
VLOOKUP(FLOOR(('Final Term'!P17/P$5)*100,1),new_transmute,3,FALSE),
VLOOKUP('Final Term'!P17,new_transmute,3,FALSE)
),
IF(Info!$B$4="Board program (Medicine)",
IF(OR(AND(P$5&gt;0,P$5&gt;100),AND(P$5&gt;0,P$5&lt;100)),
VLOOKUP(FLOOR(('Final Term'!P17/P$5)*100,1),new_transmute,4,FALSE),
VLOOKUP('Final Term'!P17,new_transmute,4,FALSE)
),
""
)
)
)
)
)
)
)
)
))</f>
        <v/>
      </c>
      <c r="Q17" s="73" t="str">
        <f>IF($B17="","",
IF(Q$5="","",
IF('Final Term'!Q17="",0,
IF(NOT(ISNUMBER('Final Term'!Q17)),"NAN",
IF('Final Term'!Q17&lt;0,"NEG",
IF('Final Term'!Q17&gt;Q$5,"OVER",
IF(AND(Q$5&lt;=100,'Final Term'!Q17&gt;100),"ERR",
IF(Info!$B$4="Non-board program",
IF(OR(AND(Q$5&gt;0,Q$5&gt;100),AND(Q$5&gt;0,Q$5&lt;100)),
VLOOKUP(FLOOR(('Final Term'!Q17/Q$5)*100,1),new_transmute,2,FALSE),
VLOOKUP('Final Term'!Q17,new_transmute,2,FALSE)
),
IF(Info!$B$4="Board program",
IF(OR(AND(Q$5&gt;0,Q$5&gt;100),AND(Q$5&gt;0,Q$5&lt;100)),
VLOOKUP(FLOOR(('Final Term'!Q17/Q$5)*100,1),new_transmute,3,FALSE),
VLOOKUP('Final Term'!Q17,new_transmute,3,FALSE)
),
IF(Info!$B$4="Board program (Medicine)",
IF(OR(AND(Q$5&gt;0,Q$5&gt;100),AND(Q$5&gt;0,Q$5&lt;100)),
VLOOKUP(FLOOR(('Final Term'!Q17/Q$5)*100,1),new_transmute,4,FALSE),
VLOOKUP('Final Term'!Q17,new_transmute,4,FALSE)
),
""
)
)
)
)
)
)
)
)
))</f>
        <v/>
      </c>
      <c r="R17" s="73" t="str">
        <f>IF($B17="","",
IF(R$5="","",
IF('Final Term'!R17="",0,
IF(NOT(ISNUMBER('Final Term'!R17)),"NAN",
IF('Final Term'!R17&lt;0,"NEG",
IF('Final Term'!R17&gt;R$5,"OVER",
IF(AND(R$5&lt;=100,'Final Term'!R17&gt;100),"ERR",
IF(Info!$B$4="Non-board program",
IF(OR(AND(R$5&gt;0,R$5&gt;100),AND(R$5&gt;0,R$5&lt;100)),
VLOOKUP(FLOOR(('Final Term'!R17/R$5)*100,1),new_transmute,2,FALSE),
VLOOKUP('Final Term'!R17,new_transmute,2,FALSE)
),
IF(Info!$B$4="Board program",
IF(OR(AND(R$5&gt;0,R$5&gt;100),AND(R$5&gt;0,R$5&lt;100)),
VLOOKUP(FLOOR(('Final Term'!R17/R$5)*100,1),new_transmute,3,FALSE),
VLOOKUP('Final Term'!R17,new_transmute,3,FALSE)
),
IF(Info!$B$4="Board program (Medicine)",
IF(OR(AND(R$5&gt;0,R$5&gt;100),AND(R$5&gt;0,R$5&lt;100)),
VLOOKUP(FLOOR(('Final Term'!R17/R$5)*100,1),new_transmute,4,FALSE),
VLOOKUP('Final Term'!R17,new_transmute,4,FALSE)
),
""
)
)
)
)
)
)
)
)
))</f>
        <v/>
      </c>
      <c r="S17" s="115" t="str">
        <f t="shared" si="3"/>
        <v/>
      </c>
      <c r="T17" s="73" t="str">
        <f>IF($B17="","",
IF(T$5="","",
IF('Final Term'!T17="",0,
IF(NOT(ISNUMBER('Final Term'!T17)),"NAN",
IF('Final Term'!T17&lt;0,"NEG",
IF('Final Term'!T17&gt;T$5,"OVER",
IF(AND(T$5&lt;=100,'Final Term'!T17&gt;100),"ERR",
IF(Info!$B$4="Non-board program",
IF(OR(AND(T$5&gt;0,T$5&gt;100),AND(T$5&gt;0,T$5&lt;100)),
VLOOKUP(FLOOR(('Final Term'!T17/T$5)*100,1),new_transmute,2,FALSE),
VLOOKUP('Final Term'!T17,new_transmute,2,FALSE)
),
IF(Info!$B$4="Board program",
IF(OR(AND(T$5&gt;0,T$5&gt;100),AND(T$5&gt;0,T$5&lt;100)),
VLOOKUP(FLOOR(('Final Term'!T17/T$5)*100,1),new_transmute,3,FALSE),
VLOOKUP('Final Term'!T17,new_transmute,3,FALSE)
),
IF(Info!$B$4="Board program (Medicine)",
IF(OR(AND(T$5&gt;0,T$5&gt;100),AND(T$5&gt;0,T$5&lt;100)),
VLOOKUP(FLOOR(('Final Term'!T17/T$5)*100,1),new_transmute,4,FALSE),
VLOOKUP('Final Term'!T17,new_transmute,4,FALSE)
),
""
)
)
)
)
)
)
)
)
))</f>
        <v/>
      </c>
      <c r="U17" s="73" t="str">
        <f>IF($B17="","",
IF(U$5="","",
IF('Final Term'!U17="",0,
IF(NOT(ISNUMBER('Final Term'!U17)),"NAN",
IF('Final Term'!U17&lt;0,"NEG",
IF('Final Term'!U17&gt;U$5,"OVER",
IF(AND(U$5&lt;=100,'Final Term'!U17&gt;100),"ERR",
IF(Info!$B$4="Non-board program",
IF(OR(AND(U$5&gt;0,U$5&gt;100),AND(U$5&gt;0,U$5&lt;100)),
VLOOKUP(FLOOR(('Final Term'!U17/U$5)*100,1),new_transmute,2,FALSE),
VLOOKUP('Final Term'!U17,new_transmute,2,FALSE)
),
IF(Info!$B$4="Board program",
IF(OR(AND(U$5&gt;0,U$5&gt;100),AND(U$5&gt;0,U$5&lt;100)),
VLOOKUP(FLOOR(('Final Term'!U17/U$5)*100,1),new_transmute,3,FALSE),
VLOOKUP('Final Term'!U17,new_transmute,3,FALSE)
),
IF(Info!$B$4="Board program (Medicine)",
IF(OR(AND(U$5&gt;0,U$5&gt;100),AND(U$5&gt;0,U$5&lt;100)),
VLOOKUP(FLOOR(('Final Term'!U17/U$5)*100,1),new_transmute,4,FALSE),
VLOOKUP('Final Term'!U17,new_transmute,4,FALSE)
),
""
)
)
)
)
)
)
)
)
))</f>
        <v/>
      </c>
      <c r="V17" s="73" t="str">
        <f>IF($B17="","",
IF(V$5="","",
IF('Final Term'!V17="",0,
IF(NOT(ISNUMBER('Final Term'!V17)),"NAN",
IF('Final Term'!V17&lt;0,"NEG",
IF('Final Term'!V17&gt;V$5,"OVER",
IF(AND(V$5&lt;=100,'Final Term'!V17&gt;100),"ERR",
IF(Info!$B$4="Non-board program",
IF(OR(AND(V$5&gt;0,V$5&gt;100),AND(V$5&gt;0,V$5&lt;100)),
VLOOKUP(FLOOR(('Final Term'!V17/V$5)*100,1),new_transmute,2,FALSE),
VLOOKUP('Final Term'!V17,new_transmute,2,FALSE)
),
IF(Info!$B$4="Board program",
IF(OR(AND(V$5&gt;0,V$5&gt;100),AND(V$5&gt;0,V$5&lt;100)),
VLOOKUP(FLOOR(('Final Term'!V17/V$5)*100,1),new_transmute,3,FALSE),
VLOOKUP('Final Term'!V17,new_transmute,3,FALSE)
),
IF(Info!$B$4="Board program (Medicine)",
IF(OR(AND(V$5&gt;0,V$5&gt;100),AND(V$5&gt;0,V$5&lt;100)),
VLOOKUP(FLOOR(('Final Term'!V17/V$5)*100,1),new_transmute,4,FALSE),
VLOOKUP('Final Term'!V17,new_transmute,4,FALSE)
),
""
)
)
)
)
)
)
)
)
))</f>
        <v/>
      </c>
      <c r="W17" s="73" t="str">
        <f>IF($B17="","",
IF(W$5="","",
IF('Final Term'!W17="",0,
IF(NOT(ISNUMBER('Final Term'!W17)),"NAN",
IF('Final Term'!W17&lt;0,"NEG",
IF('Final Term'!W17&gt;W$5,"OVER",
IF(AND(W$5&lt;=100,'Final Term'!W17&gt;100),"ERR",
IF(Info!$B$4="Non-board program",
IF(OR(AND(W$5&gt;0,W$5&gt;100),AND(W$5&gt;0,W$5&lt;100)),
VLOOKUP(FLOOR(('Final Term'!W17/W$5)*100,1),new_transmute,2,FALSE),
VLOOKUP('Final Term'!W17,new_transmute,2,FALSE)
),
IF(Info!$B$4="Board program",
IF(OR(AND(W$5&gt;0,W$5&gt;100),AND(W$5&gt;0,W$5&lt;100)),
VLOOKUP(FLOOR(('Final Term'!W17/W$5)*100,1),new_transmute,3,FALSE),
VLOOKUP('Final Term'!W17,new_transmute,3,FALSE)
),
IF(Info!$B$4="Board program (Medicine)",
IF(OR(AND(W$5&gt;0,W$5&gt;100),AND(W$5&gt;0,W$5&lt;100)),
VLOOKUP(FLOOR(('Final Term'!W17/W$5)*100,1),new_transmute,4,FALSE),
VLOOKUP('Final Term'!W17,new_transmute,4,FALSE)
),
""
)
)
)
)
)
)
)
)
))</f>
        <v/>
      </c>
      <c r="X17" s="73" t="str">
        <f>IF($B17="","",
IF(X$5="","",
IF('Final Term'!X17="",0,
IF(NOT(ISNUMBER('Final Term'!X17)),"NAN",
IF('Final Term'!X17&lt;0,"NEG",
IF('Final Term'!X17&gt;X$5,"OVER",
IF(AND(X$5&lt;=100,'Final Term'!X17&gt;100),"ERR",
IF(Info!$B$4="Non-board program",
IF(OR(AND(X$5&gt;0,X$5&gt;100),AND(X$5&gt;0,X$5&lt;100)),
VLOOKUP(FLOOR(('Final Term'!X17/X$5)*100,1),new_transmute,2,FALSE),
VLOOKUP('Final Term'!X17,new_transmute,2,FALSE)
),
IF(Info!$B$4="Board program",
IF(OR(AND(X$5&gt;0,X$5&gt;100),AND(X$5&gt;0,X$5&lt;100)),
VLOOKUP(FLOOR(('Final Term'!X17/X$5)*100,1),new_transmute,3,FALSE),
VLOOKUP('Final Term'!X17,new_transmute,3,FALSE)
),
IF(Info!$B$4="Board program (Medicine)",
IF(OR(AND(X$5&gt;0,X$5&gt;100),AND(X$5&gt;0,X$5&lt;100)),
VLOOKUP(FLOOR(('Final Term'!X17/X$5)*100,1),new_transmute,4,FALSE),
VLOOKUP('Final Term'!X17,new_transmute,4,FALSE)
),
""
)
)
)
)
)
)
)
)
))</f>
        <v/>
      </c>
      <c r="Y17" s="112" t="str">
        <f t="shared" si="4"/>
        <v/>
      </c>
      <c r="Z17" s="73" t="str">
        <f>IF($B17="","",
IF(Z$5="","",
IF('Final Term'!Z17="",0,
IF(NOT(ISNUMBER('Final Term'!Z17)),"NAN",
IF('Final Term'!Z17&lt;0,"NEG",
IF('Final Term'!Z17&gt;Z$5,"OVER",
IF(AND(Z$5&lt;=100,'Final Term'!Z17&gt;100),"ERR",
IF(Info!$B$4="Non-board program",
IF(OR(AND(Z$5&gt;0,Z$5&gt;100),AND(Z$5&gt;0,Z$5&lt;100)),
VLOOKUP(FLOOR(('Final Term'!Z17/Z$5)*100,1),new_transmute,2,FALSE),
VLOOKUP('Final Term'!Z17,new_transmute,2,FALSE)
),
IF(Info!$B$4="Board program",
IF(OR(AND(Z$5&gt;0,Z$5&gt;100),AND(Z$5&gt;0,Z$5&lt;100)),
VLOOKUP(FLOOR(('Final Term'!Z17/Z$5)*100,1),new_transmute,3,FALSE),
VLOOKUP('Final Term'!Z17,new_transmute,3,FALSE)
),
IF(Info!$B$4="Board program (Medicine)",
IF(OR(AND(Z$5&gt;0,Z$5&gt;100),AND(Z$5&gt;0,Z$5&lt;100)),
VLOOKUP(FLOOR(('Final Term'!Z17/Z$5)*100,1),new_transmute,4,FALSE),
VLOOKUP('Final Term'!Z17,new_transmute,4,FALSE)
),
""
)
)
)
)
)
)
)
)
))</f>
        <v/>
      </c>
      <c r="AA17" s="73" t="str">
        <f>IF($B17="","",
IF(AA$5="","",
IF('Final Term'!AA17="",0,
IF(NOT(ISNUMBER('Final Term'!AA17)),"NAN",
IF('Final Term'!AA17&lt;0,"NEG",
IF('Final Term'!AA17&gt;AA$5,"OVER",
IF(AND(AA$5&lt;=100,'Final Term'!AA17&gt;100),"ERR",
IF(Info!$B$4="Non-board program",
IF(OR(AND(AA$5&gt;0,AA$5&gt;100),AND(AA$5&gt;0,AA$5&lt;100)),
VLOOKUP(FLOOR(('Final Term'!AA17/AA$5)*100,1),new_transmute,2,FALSE),
VLOOKUP('Final Term'!AA17,new_transmute,2,FALSE)
),
IF(Info!$B$4="Board program",
IF(OR(AND(AA$5&gt;0,AA$5&gt;100),AND(AA$5&gt;0,AA$5&lt;100)),
VLOOKUP(FLOOR(('Final Term'!AA17/AA$5)*100,1),new_transmute,3,FALSE),
VLOOKUP('Final Term'!AA17,new_transmute,3,FALSE)
),
IF(Info!$B$4="Board program (Medicine)",
IF(OR(AND(AA$5&gt;0,AA$5&gt;100),AND(AA$5&gt;0,AA$5&lt;100)),
VLOOKUP(FLOOR(('Final Term'!AA17/AA$5)*100,1),new_transmute,4,FALSE),
VLOOKUP('Final Term'!AA17,new_transmute,4,FALSE)
),
""
)
)
)
)
)
)
)
)
))</f>
        <v/>
      </c>
      <c r="AB17" s="73" t="str">
        <f>IF($B17="","",
IF(AB$5="","",
IF('Final Term'!AB17="",0,
IF(NOT(ISNUMBER('Final Term'!AB17)),"NAN",
IF('Final Term'!AB17&lt;0,"NEG",
IF('Final Term'!AB17&gt;AB$5,"OVER",
IF(AND(AB$5&lt;=100,'Final Term'!AB17&gt;100),"ERR",
IF(Info!$B$4="Non-board program",
IF(OR(AND(AB$5&gt;0,AB$5&gt;100),AND(AB$5&gt;0,AB$5&lt;100)),
VLOOKUP(FLOOR(('Final Term'!AB17/AB$5)*100,1),new_transmute,2,FALSE),
VLOOKUP('Final Term'!AB17,new_transmute,2,FALSE)
),
IF(Info!$B$4="Board program",
IF(OR(AND(AB$5&gt;0,AB$5&gt;100),AND(AB$5&gt;0,AB$5&lt;100)),
VLOOKUP(FLOOR(('Final Term'!AB17/AB$5)*100,1),new_transmute,3,FALSE),
VLOOKUP('Final Term'!AB17,new_transmute,3,FALSE)
),
IF(Info!$B$4="Board program (Medicine)",
IF(OR(AND(AB$5&gt;0,AB$5&gt;100),AND(AB$5&gt;0,AB$5&lt;100)),
VLOOKUP(FLOOR(('Final Term'!AB17/AB$5)*100,1),new_transmute,4,FALSE),
VLOOKUP('Final Term'!AB17,new_transmute,4,FALSE)
),
""
)
)
)
)
)
)
)
)
))</f>
        <v/>
      </c>
      <c r="AC17" s="73" t="str">
        <f>IF($B17="","",
IF(AC$5="","",
IF('Final Term'!AC17="",0,
IF(NOT(ISNUMBER('Final Term'!AC17)),"NAN",
IF('Final Term'!AC17&lt;0,"NEG",
IF('Final Term'!AC17&gt;AC$5,"OVER",
IF(AND(AC$5&lt;=100,'Final Term'!AC17&gt;100),"ERR",
IF(Info!$B$4="Non-board program",
IF(OR(AND(AC$5&gt;0,AC$5&gt;100),AND(AC$5&gt;0,AC$5&lt;100)),
VLOOKUP(FLOOR(('Final Term'!AC17/AC$5)*100,1),new_transmute,2,FALSE),
VLOOKUP('Final Term'!AC17,new_transmute,2,FALSE)
),
IF(Info!$B$4="Board program",
IF(OR(AND(AC$5&gt;0,AC$5&gt;100),AND(AC$5&gt;0,AC$5&lt;100)),
VLOOKUP(FLOOR(('Final Term'!AC17/AC$5)*100,1),new_transmute,3,FALSE),
VLOOKUP('Final Term'!AC17,new_transmute,3,FALSE)
),
IF(Info!$B$4="Board program (Medicine)",
IF(OR(AND(AC$5&gt;0,AC$5&gt;100),AND(AC$5&gt;0,AC$5&lt;100)),
VLOOKUP(FLOOR(('Final Term'!AC17/AC$5)*100,1),new_transmute,4,FALSE),
VLOOKUP('Final Term'!AC17,new_transmute,4,FALSE)
),
""
)
)
)
)
)
)
)
)
))</f>
        <v/>
      </c>
      <c r="AD17" s="73" t="str">
        <f>IF($B17="","",
IF(AD$5="","",
IF('Final Term'!AD17="",0,
IF(NOT(ISNUMBER('Final Term'!AD17)),"NAN",
IF('Final Term'!AD17&lt;0,"NEG",
IF('Final Term'!AD17&gt;AD$5,"OVER",
IF(AND(AD$5&lt;=100,'Final Term'!AD17&gt;100),"ERR",
IF(Info!$B$4="Non-board program",
IF(OR(AND(AD$5&gt;0,AD$5&gt;100),AND(AD$5&gt;0,AD$5&lt;100)),
VLOOKUP(FLOOR(('Final Term'!AD17/AD$5)*100,1),new_transmute,2,FALSE),
VLOOKUP('Final Term'!AD17,new_transmute,2,FALSE)
),
IF(Info!$B$4="Board program",
IF(OR(AND(AD$5&gt;0,AD$5&gt;100),AND(AD$5&gt;0,AD$5&lt;100)),
VLOOKUP(FLOOR(('Final Term'!AD17/AD$5)*100,1),new_transmute,3,FALSE),
VLOOKUP('Final Term'!AD17,new_transmute,3,FALSE)
),
IF(Info!$B$4="Board program (Medicine)",
IF(OR(AND(AD$5&gt;0,AD$5&gt;100),AND(AD$5&gt;0,AD$5&lt;100)),
VLOOKUP(FLOOR(('Final Term'!AD17/AD$5)*100,1),new_transmute,4,FALSE),
VLOOKUP('Final Term'!AD17,new_transmute,4,FALSE)
),
""
)
)
)
)
)
)
)
)
))</f>
        <v/>
      </c>
      <c r="AE17" s="58" t="str">
        <f t="shared" si="5"/>
        <v/>
      </c>
      <c r="AF17" s="73" t="str">
        <f>IF($B17="","",
IF(AF$5="","",
IF('Final Term'!AF17="",0,
IF(NOT(ISNUMBER('Final Term'!AF17)),"NAN",
IF('Final Term'!AF17&lt;0,"NEG",
IF('Final Term'!AF17&gt;AF$5,"OVER",
IF(AND(AF$5&lt;=100,'Final Term'!AF17&gt;100),"ERR",
IF(Info!$B$4="Non-board program",
IF(OR(AND(AF$5&gt;0,AF$5&gt;100),AND(AF$5&gt;0,AF$5&lt;100)),
VLOOKUP(FLOOR(('Final Term'!AF17/AF$5)*100,1),new_transmute,2,FALSE),
VLOOKUP('Final Term'!AF17,new_transmute,2,FALSE)
),
IF(Info!$B$4="Board program",
IF(OR(AND(AF$5&gt;0,AF$5&gt;100),AND(AF$5&gt;0,AF$5&lt;100)),
VLOOKUP(FLOOR(('Final Term'!AF17/AF$5)*100,1),new_transmute,3,FALSE),
VLOOKUP('Final Term'!AF17,new_transmute,3,FALSE)
),
IF(Info!$B$4="Board program (Medicine)",
IF(OR(AND(AF$5&gt;0,AF$5&gt;100),AND(AF$5&gt;0,AF$5&lt;100)),
VLOOKUP(FLOOR(('Final Term'!AF17/AF$5)*100,1),new_transmute,4,FALSE),
VLOOKUP('Final Term'!AF17,new_transmute,4,FALSE)
),
""
)
)
)
)
)
)
)
)
))</f>
        <v/>
      </c>
      <c r="AG17" s="73" t="str">
        <f>IF($B17="","",
IF(AG$5="","",
IF('Final Term'!AG17="",0,
IF(NOT(ISNUMBER('Final Term'!AG17)),"NAN",
IF('Final Term'!AG17&lt;0,"NEG",
IF('Final Term'!AG17&gt;AG$5,"OVER",
IF(AND(AG$5&lt;=100,'Final Term'!AG17&gt;100),"ERR",
IF(Info!$B$4="Non-board program",
IF(OR(AND(AG$5&gt;0,AG$5&gt;100),AND(AG$5&gt;0,AG$5&lt;100)),
VLOOKUP(FLOOR(('Final Term'!AG17/AG$5)*100,1),new_transmute,2,FALSE),
VLOOKUP('Final Term'!AG17,new_transmute,2,FALSE)
),
IF(Info!$B$4="Board program",
IF(OR(AND(AG$5&gt;0,AG$5&gt;100),AND(AG$5&gt;0,AG$5&lt;100)),
VLOOKUP(FLOOR(('Final Term'!AG17/AG$5)*100,1),new_transmute,3,FALSE),
VLOOKUP('Final Term'!AG17,new_transmute,3,FALSE)
),
IF(Info!$B$4="Board program (Medicine)",
IF(OR(AND(AG$5&gt;0,AG$5&gt;100),AND(AG$5&gt;0,AG$5&lt;100)),
VLOOKUP(FLOOR(('Final Term'!AG17/AG$5)*100,1),new_transmute,4,FALSE),
VLOOKUP('Final Term'!AG17,new_transmute,4,FALSE)
),
""
)
)
)
)
)
)
)
)
))</f>
        <v/>
      </c>
      <c r="AH17" s="73" t="str">
        <f>IF($B17="","",
IF(AH$5="","",
IF('Final Term'!AH17="",0,
IF(NOT(ISNUMBER('Final Term'!AH17)),"NAN",
IF('Final Term'!AH17&lt;0,"NEG",
IF('Final Term'!AH17&gt;AH$5,"OVER",
IF(AND(AH$5&lt;=100,'Final Term'!AH17&gt;100),"ERR",
IF(Info!$B$4="Non-board program",
IF(OR(AND(AH$5&gt;0,AH$5&gt;100),AND(AH$5&gt;0,AH$5&lt;100)),
VLOOKUP(FLOOR(('Final Term'!AH17/AH$5)*100,1),new_transmute,2,FALSE),
VLOOKUP('Final Term'!AH17,new_transmute,2,FALSE)
),
IF(Info!$B$4="Board program",
IF(OR(AND(AH$5&gt;0,AH$5&gt;100),AND(AH$5&gt;0,AH$5&lt;100)),
VLOOKUP(FLOOR(('Final Term'!AH17/AH$5)*100,1),new_transmute,3,FALSE),
VLOOKUP('Final Term'!AH17,new_transmute,3,FALSE)
),
IF(Info!$B$4="Board program (Medicine)",
IF(OR(AND(AH$5&gt;0,AH$5&gt;100),AND(AH$5&gt;0,AH$5&lt;100)),
VLOOKUP(FLOOR(('Final Term'!AH17/AH$5)*100,1),new_transmute,4,FALSE),
VLOOKUP('Final Term'!AH17,new_transmute,4,FALSE)
),
""
)
)
)
)
)
)
)
)
))</f>
        <v/>
      </c>
      <c r="AI17" s="73" t="str">
        <f>IF($B17="","",
IF(AI$5="","",
IF('Final Term'!AI17="",0,
IF(NOT(ISNUMBER('Final Term'!AI17)),"NAN",
IF('Final Term'!AI17&lt;0,"NEG",
IF('Final Term'!AI17&gt;AI$5,"OVER",
IF(AND(AI$5&lt;=100,'Final Term'!AI17&gt;100),"ERR",
IF(Info!$B$4="Non-board program",
IF(OR(AND(AI$5&gt;0,AI$5&gt;100),AND(AI$5&gt;0,AI$5&lt;100)),
VLOOKUP(FLOOR(('Final Term'!AI17/AI$5)*100,1),new_transmute,2,FALSE),
VLOOKUP('Final Term'!AI17,new_transmute,2,FALSE)
),
IF(Info!$B$4="Board program",
IF(OR(AND(AI$5&gt;0,AI$5&gt;100),AND(AI$5&gt;0,AI$5&lt;100)),
VLOOKUP(FLOOR(('Final Term'!AI17/AI$5)*100,1),new_transmute,3,FALSE),
VLOOKUP('Final Term'!AI17,new_transmute,3,FALSE)
),
IF(Info!$B$4="Board program (Medicine)",
IF(OR(AND(AI$5&gt;0,AI$5&gt;100),AND(AI$5&gt;0,AI$5&lt;100)),
VLOOKUP(FLOOR(('Final Term'!AI17/AI$5)*100,1),new_transmute,4,FALSE),
VLOOKUP('Final Term'!AI17,new_transmute,4,FALSE)
),
""
)
)
)
)
)
)
)
)
))</f>
        <v/>
      </c>
      <c r="AJ17" s="73" t="str">
        <f>IF($B17="","",
IF(AJ$5="","",
IF('Final Term'!AJ17="",0,
IF(NOT(ISNUMBER('Final Term'!AJ17)),"NAN",
IF('Final Term'!AJ17&lt;0,"NEG",
IF('Final Term'!AJ17&gt;AJ$5,"OVER",
IF(AND(AJ$5&lt;=100,'Final Term'!AJ17&gt;100),"ERR",
IF(Info!$B$4="Non-board program",
IF(OR(AND(AJ$5&gt;0,AJ$5&gt;100),AND(AJ$5&gt;0,AJ$5&lt;100)),
VLOOKUP(FLOOR(('Final Term'!AJ17/AJ$5)*100,1),new_transmute,2,FALSE),
VLOOKUP('Final Term'!AJ17,new_transmute,2,FALSE)
),
IF(Info!$B$4="Board program",
IF(OR(AND(AJ$5&gt;0,AJ$5&gt;100),AND(AJ$5&gt;0,AJ$5&lt;100)),
VLOOKUP(FLOOR(('Final Term'!AJ17/AJ$5)*100,1),new_transmute,3,FALSE),
VLOOKUP('Final Term'!AJ17,new_transmute,3,FALSE)
),
IF(Info!$B$4="Board program (Medicine)",
IF(OR(AND(AJ$5&gt;0,AJ$5&gt;100),AND(AJ$5&gt;0,AJ$5&lt;100)),
VLOOKUP(FLOOR(('Final Term'!AJ17/AJ$5)*100,1),new_transmute,4,FALSE),
VLOOKUP('Final Term'!AJ17,new_transmute,4,FALSE)
),
""
)
)
)
)
)
)
)
)
))</f>
        <v/>
      </c>
      <c r="AK17" s="59" t="str">
        <f t="shared" si="6"/>
        <v/>
      </c>
      <c r="AL17" s="60" t="str">
        <f>IF(B17="", "",
    IF(OR(M17="OVER", S17="OVER", Y17="OVER", AE17="OVER", AK17="OVER"),
        "OVER",
        IF(Info!$B$4="Non-board program",
            VLOOKUP(IFERROR(FLOOR(SUM((M17*$M$4), (S17*$S$4), (Y17*$Y$4), (AE17*$AE$4), (AK17*$AK$4)) * (100 / 60), 1), 0), new_transmute, 2, FALSE),
            IF(Info!$B$4="Board program",
                VLOOKUP(IFERROR(FLOOR(SUM((M17*$M$4), (S17*$S$4), (Y17*$Y$4), (AE17*$AE$4), (AK17*$AK$4)) * (100 / 60), 1), 0), new_transmute, 3, FALSE),
                IF(Info!$B$4="Board program (Medicine)",
                    VLOOKUP(IFERROR(FLOOR(SUM((M17*$M$4), (S17*$S$4), (Y17*$Y$4), (AE17*$AE$4), (AK17*$AK$4)) * (100 / 60), 1), 0), new_transmute, 4, FALSE),
                    ""
                )
            )
        )
    )
)</f>
        <v/>
      </c>
      <c r="AM17" s="73" t="str">
        <f>IF($B17="","",
IF(AM$5="","",
IF('Final Term'!AM17="",0,
IF(NOT(ISNUMBER('Final Term'!AM17)),"NAN",
IF('Final Term'!AM17&lt;0,"NEG",
IF('Final Term'!AM17&gt;AM$5,"OVER",
IF(AND(AM$5&lt;=100,'Final Term'!AM17&gt;100),"ERR",
IF(Info!$B$4="Non-board program",
IF(OR(AND(AM$5&gt;0,AM$5&gt;100),AND(AM$5&gt;0,AM$5&lt;100)),
VLOOKUP(FLOOR(('Final Term'!AM17/AM$5)*100,1),new_transmute,2,FALSE),
VLOOKUP('Final Term'!AM17,new_transmute,2,FALSE)
),
IF(Info!$B$4="Board program",
IF(OR(AND(AM$5&gt;0,AM$5&gt;100),AND(AM$5&gt;0,AM$5&lt;100)),
VLOOKUP(FLOOR(('Final Term'!AM17/AM$5)*100,1),new_transmute,3,FALSE),
VLOOKUP('Final Term'!AM17,new_transmute,3,FALSE)
),
IF(Info!$B$4="Board program (Medicine)",
IF(OR(AND(AM$5&gt;0,AM$5&gt;100),AND(AM$5&gt;0,AM$5&lt;100)),
VLOOKUP(FLOOR(('Final Term'!AM17/AM$5)*100,1),new_transmute,4,FALSE),
VLOOKUP('Final Term'!AM17,new_transmute,4,FALSE)
),
""
)
)
)
)
)
)
)
)
))</f>
        <v/>
      </c>
      <c r="AN17" s="73" t="str">
        <f>IF($B17="","",
IF(AN$5="","",
IF('Final Term'!AN17="",0,
IF(NOT(ISNUMBER('Final Term'!AN17)),"NAN",
IF('Final Term'!AN17&lt;0,"NEG",
IF('Final Term'!AN17&gt;AN$5,"OVER",
IF(AND(AN$5&lt;=100,'Final Term'!AN17&gt;100),"ERR",
IF(Info!$B$4="Non-board program",
IF(OR(AND(AN$5&gt;0,AN$5&gt;100),AND(AN$5&gt;0,AN$5&lt;100)),
VLOOKUP(FLOOR(('Final Term'!AN17/AN$5)*100,1),new_transmute,2,FALSE),
VLOOKUP('Final Term'!AN17,new_transmute,2,FALSE)
),
IF(Info!$B$4="Board program",
IF(OR(AND(AN$5&gt;0,AN$5&gt;100),AND(AN$5&gt;0,AN$5&lt;100)),
VLOOKUP(FLOOR(('Final Term'!AN17/AN$5)*100,1),new_transmute,3,FALSE),
VLOOKUP('Final Term'!AN17,new_transmute,3,FALSE)
),
IF(Info!$B$4="Board program (Medicine)",
IF(OR(AND(AN$5&gt;0,AN$5&gt;100),AND(AN$5&gt;0,AN$5&lt;100)),
VLOOKUP(FLOOR(('Final Term'!AN17/AN$5)*100,1),new_transmute,4,FALSE),
VLOOKUP('Final Term'!AN17,new_transmute,4,FALSE)
),
""
)
)
)
)
)
)
)
)
))</f>
        <v/>
      </c>
      <c r="AO17" s="73" t="str">
        <f>IF($B17="","",
IF(AO$5="","",
IF('Final Term'!AO17="",0,
IF(NOT(ISNUMBER('Final Term'!AO17)),"NAN",
IF('Final Term'!AO17&lt;0,"NEG",
IF('Final Term'!AO17&gt;AO$5,"OVER",
IF(AND(AO$5&lt;=100,'Final Term'!AO17&gt;100),"ERR",
IF(Info!$B$4="Non-board program",
IF(OR(AND(AO$5&gt;0,AO$5&gt;100),AND(AO$5&gt;0,AO$5&lt;100)),
VLOOKUP(FLOOR(('Final Term'!AO17/AO$5)*100,1),new_transmute,2,FALSE),
VLOOKUP('Final Term'!AO17,new_transmute,2,FALSE)
),
IF(Info!$B$4="Board program",
IF(OR(AND(AO$5&gt;0,AO$5&gt;100),AND(AO$5&gt;0,AO$5&lt;100)),
VLOOKUP(FLOOR(('Final Term'!AO17/AO$5)*100,1),new_transmute,3,FALSE),
VLOOKUP('Final Term'!AO17,new_transmute,3,FALSE)
),
IF(Info!$B$4="Board program (Medicine)",
IF(OR(AND(AO$5&gt;0,AO$5&gt;100),AND(AO$5&gt;0,AO$5&lt;100)),
VLOOKUP(FLOOR(('Final Term'!AO17/AO$5)*100,1),new_transmute,4,FALSE),
VLOOKUP('Final Term'!AO17,new_transmute,4,FALSE)
),
""
)
)
)
)
)
)
)
)
))</f>
        <v/>
      </c>
      <c r="AP17" s="73" t="str">
        <f>IF($B17="","",
IF(AP$5="","",
IF('Final Term'!AP17="",0,
IF(NOT(ISNUMBER('Final Term'!AP17)),"NAN",
IF('Final Term'!AP17&lt;0,"NEG",
IF('Final Term'!AP17&gt;AP$5,"OVER",
IF(AND(AP$5&lt;=100,'Final Term'!AP17&gt;100),"ERR",
IF(Info!$B$4="Non-board program",
IF(OR(AND(AP$5&gt;0,AP$5&gt;100),AND(AP$5&gt;0,AP$5&lt;100)),
VLOOKUP(FLOOR(('Final Term'!AP17/AP$5)*100,1),new_transmute,2,FALSE),
VLOOKUP('Final Term'!AP17,new_transmute,2,FALSE)
),
IF(Info!$B$4="Board program",
IF(OR(AND(AP$5&gt;0,AP$5&gt;100),AND(AP$5&gt;0,AP$5&lt;100)),
VLOOKUP(FLOOR(('Final Term'!AP17/AP$5)*100,1),new_transmute,3,FALSE),
VLOOKUP('Final Term'!AP17,new_transmute,3,FALSE)
),
IF(Info!$B$4="Board program (Medicine)",
IF(OR(AND(AP$5&gt;0,AP$5&gt;100),AND(AP$5&gt;0,AP$5&lt;100)),
VLOOKUP(FLOOR(('Final Term'!AP17/AP$5)*100,1),new_transmute,4,FALSE),
VLOOKUP('Final Term'!AP17,new_transmute,4,FALSE)
),
""
)
)
)
)
)
)
)
)
))</f>
        <v/>
      </c>
      <c r="AQ17" s="61" t="str">
        <f t="shared" si="7"/>
        <v/>
      </c>
      <c r="AR17" s="48" t="str">
        <f>IF('Final Term'!AR17="","",'Final Term'!AR17)</f>
        <v/>
      </c>
      <c r="AS17" s="165" t="str">
        <f t="shared" si="8"/>
        <v/>
      </c>
      <c r="AT17" s="14" t="str">
        <f t="shared" si="0"/>
        <v/>
      </c>
      <c r="AU17" s="13" t="str">
        <f>IF(B17="","",VLOOKUP(AT17,'New Grade Equivalent'!$B$3:$C$47,2,FALSE))</f>
        <v/>
      </c>
    </row>
    <row r="18" spans="1:47" x14ac:dyDescent="0.25">
      <c r="A18" s="8">
        <v>13</v>
      </c>
      <c r="B18" s="2" t="str">
        <f>IF('Student List'!C22="","",UPPER(LEFT('Student List'!C22,FIND(",",'Student List'!C22)-1)))</f>
        <v/>
      </c>
      <c r="C18" s="12" t="str">
        <f>IF('Student List'!C22="","",PROPER(MID('Student List'!C22, FIND(",", 'Student List'!C22) + 2, LEN('Student List'!C22) - FIND(",", 'Student List'!C22) - 1)))</f>
        <v/>
      </c>
      <c r="D18" s="127" t="str">
        <f>IF('Final Term'!D18="","",'Final Term'!D18)</f>
        <v/>
      </c>
      <c r="E18" s="8" t="str">
        <f>IF(MidCom!E18="FA", "FA",
    IF(MidCom!E18="DRP", "DRP",
        IF(MidCom!E18="WF", "WF",
            IF(D18="Yes", "INC",
               IF((SUM('MT Attendance'!AW16) / 3 + SUM('MT Attendance'!AY16) + SUM('FT Attendance'!AW16) / 3 + SUM('FT Attendance'!AY16)) &gt;= 0.2 * (SUMPRODUCT(--(ISTEXT('MT Attendance'!$C$2:$AU$2))) + SUMPRODUCT(--(ISTEXT('FT Attendance'!$C$2:$AU$2)))), "FA",
                   MidCom!E18
                )
            )
        )
    )
)</f>
        <v/>
      </c>
      <c r="F18" s="73" t="str">
        <f>IF($B18="","",
IF(F$5="","",
IF('Final Term'!F18="",0,
IF(NOT(ISNUMBER('Final Term'!F18)),"NAN",
IF('Final Term'!F18&lt;0,"NEG",
IF('Final Term'!F18&gt;F$5,"OVER",
IF(AND(F$5&lt;=100,'Final Term'!F18&gt;100),"ERR",
IF(Info!$B$4="Non-board program",
IF(OR(AND(F$5&gt;0,F$5&gt;100),AND(F$5&gt;0,F$5&lt;100)),
VLOOKUP(FLOOR(('Final Term'!F18/F$5)*100,1),new_transmute,2,FALSE),
VLOOKUP('Final Term'!F18,new_transmute,2,FALSE)
),
IF(Info!$B$4="Board program",
IF(OR(AND(F$5&gt;0,F$5&gt;100),AND(F$5&gt;0,F$5&lt;100)),
VLOOKUP(FLOOR(('Final Term'!F18/F$5)*100,1),new_transmute,3,FALSE),
VLOOKUP('Final Term'!F18,new_transmute,3,FALSE)
),
IF(Info!$B$4="Board program (Medicine)",
IF(OR(AND(F$5&gt;0,F$5&gt;100),AND(F$5&gt;0,F$5&lt;100)),
VLOOKUP(FLOOR(('Final Term'!F18/F$5)*100,1),new_transmute,4,FALSE),
VLOOKUP('Final Term'!F18,new_transmute,4,FALSE)
),
""
)
)
)
)
)
)
)
)
))</f>
        <v/>
      </c>
      <c r="G18" s="57" t="str">
        <f t="shared" si="1"/>
        <v/>
      </c>
      <c r="H18" s="73" t="str">
        <f>IF($B18="","",
IF(H$5="","",
IF('Final Term'!H18="",0,
IF(NOT(ISNUMBER('Final Term'!H18)),"NAN",
IF('Final Term'!H18&lt;0,"NEG",
IF('Final Term'!H18&gt;H$5,"OVER",
IF(AND(H$5&lt;=100,'Final Term'!H18&gt;100),"ERR",
IF(Info!$B$4="Non-board program",
IF(OR(AND(H$5&gt;0,H$5&gt;100),AND(H$5&gt;0,H$5&lt;100)),
VLOOKUP(FLOOR(('Final Term'!H18/H$5)*100,1),new_transmute,2,FALSE),
VLOOKUP('Final Term'!H18,new_transmute,2,FALSE)
),
IF(Info!$B$4="Board program",
IF(OR(AND(H$5&gt;0,H$5&gt;100),AND(H$5&gt;0,H$5&lt;100)),
VLOOKUP(FLOOR(('Final Term'!H18/H$5)*100,1),new_transmute,3,FALSE),
VLOOKUP('Final Term'!H18,new_transmute,3,FALSE)
),
IF(Info!$B$4="Board program (Medicine)",
IF(OR(AND(H$5&gt;0,H$5&gt;100),AND(H$5&gt;0,H$5&lt;100)),
VLOOKUP(FLOOR(('Final Term'!H18/H$5)*100,1),new_transmute,4,FALSE),
VLOOKUP('Final Term'!H18,new_transmute,4,FALSE)
),
""
)
)
)
)
)
)
)
)
))</f>
        <v/>
      </c>
      <c r="I18" s="73" t="str">
        <f>IF($B18="","",
IF(I$5="","",
IF('Final Term'!I18="",0,
IF(NOT(ISNUMBER('Final Term'!I18)),"NAN",
IF('Final Term'!I18&lt;0,"NEG",
IF('Final Term'!I18&gt;I$5,"OVER",
IF(AND(I$5&lt;=100,'Final Term'!I18&gt;100),"ERR",
IF(Info!$B$4="Non-board program",
IF(OR(AND(I$5&gt;0,I$5&gt;100),AND(I$5&gt;0,I$5&lt;100)),
VLOOKUP(FLOOR(('Final Term'!I18/I$5)*100,1),new_transmute,2,FALSE),
VLOOKUP('Final Term'!I18,new_transmute,2,FALSE)
),
IF(Info!$B$4="Board program",
IF(OR(AND(I$5&gt;0,I$5&gt;100),AND(I$5&gt;0,I$5&lt;100)),
VLOOKUP(FLOOR(('Final Term'!I18/I$5)*100,1),new_transmute,3,FALSE),
VLOOKUP('Final Term'!I18,new_transmute,3,FALSE)
),
IF(Info!$B$4="Board program (Medicine)",
IF(OR(AND(I$5&gt;0,I$5&gt;100),AND(I$5&gt;0,I$5&lt;100)),
VLOOKUP(FLOOR(('Final Term'!I18/I$5)*100,1),new_transmute,4,FALSE),
VLOOKUP('Final Term'!I18,new_transmute,4,FALSE)
),
""
)
)
)
)
)
)
)
)
))</f>
        <v/>
      </c>
      <c r="J18" s="73" t="str">
        <f>IF($B18="","",
IF(J$5="","",
IF('Final Term'!J18="",0,
IF(NOT(ISNUMBER('Final Term'!J18)),"NAN",
IF('Final Term'!J18&lt;0,"NEG",
IF('Final Term'!J18&gt;J$5,"OVER",
IF(AND(J$5&lt;=100,'Final Term'!J18&gt;100),"ERR",
IF(Info!$B$4="Non-board program",
IF(OR(AND(J$5&gt;0,J$5&gt;100),AND(J$5&gt;0,J$5&lt;100)),
VLOOKUP(FLOOR(('Final Term'!J18/J$5)*100,1),new_transmute,2,FALSE),
VLOOKUP('Final Term'!J18,new_transmute,2,FALSE)
),
IF(Info!$B$4="Board program",
IF(OR(AND(J$5&gt;0,J$5&gt;100),AND(J$5&gt;0,J$5&lt;100)),
VLOOKUP(FLOOR(('Final Term'!J18/J$5)*100,1),new_transmute,3,FALSE),
VLOOKUP('Final Term'!J18,new_transmute,3,FALSE)
),
IF(Info!$B$4="Board program (Medicine)",
IF(OR(AND(J$5&gt;0,J$5&gt;100),AND(J$5&gt;0,J$5&lt;100)),
VLOOKUP(FLOOR(('Final Term'!J18/J$5)*100,1),new_transmute,4,FALSE),
VLOOKUP('Final Term'!J18,new_transmute,4,FALSE)
),
""
)
)
)
)
)
)
)
)
))</f>
        <v/>
      </c>
      <c r="K18" s="73" t="str">
        <f>IF($B18="","",
IF(K$5="","",
IF('Final Term'!K18="",0,
IF(NOT(ISNUMBER('Final Term'!K18)),"NAN",
IF('Final Term'!K18&lt;0,"NEG",
IF('Final Term'!K18&gt;K$5,"OVER",
IF(AND(K$5&lt;=100,'Final Term'!K18&gt;100),"ERR",
IF(Info!$B$4="Non-board program",
IF(OR(AND(K$5&gt;0,K$5&gt;100),AND(K$5&gt;0,K$5&lt;100)),
VLOOKUP(FLOOR(('Final Term'!K18/K$5)*100,1),new_transmute,2,FALSE),
VLOOKUP('Final Term'!K18,new_transmute,2,FALSE)
),
IF(Info!$B$4="Board program",
IF(OR(AND(K$5&gt;0,K$5&gt;100),AND(K$5&gt;0,K$5&lt;100)),
VLOOKUP(FLOOR(('Final Term'!K18/K$5)*100,1),new_transmute,3,FALSE),
VLOOKUP('Final Term'!K18,new_transmute,3,FALSE)
),
IF(Info!$B$4="Board program (Medicine)",
IF(OR(AND(K$5&gt;0,K$5&gt;100),AND(K$5&gt;0,K$5&lt;100)),
VLOOKUP(FLOOR(('Final Term'!K18/K$5)*100,1),new_transmute,4,FALSE),
VLOOKUP('Final Term'!K18,new_transmute,4,FALSE)
),
""
)
)
)
)
)
)
)
)
))</f>
        <v/>
      </c>
      <c r="L18" s="73" t="str">
        <f>IF($B18="","",
IF(L$5="","",
IF('Final Term'!L18="",0,
IF(NOT(ISNUMBER('Final Term'!L18)),"NAN",
IF('Final Term'!L18&lt;0,"NEG",
IF('Final Term'!L18&gt;L$5,"OVER",
IF(AND(L$5&lt;=100,'Final Term'!L18&gt;100),"ERR",
IF(Info!$B$4="Non-board program",
IF(OR(AND(L$5&gt;0,L$5&gt;100),AND(L$5&gt;0,L$5&lt;100)),
VLOOKUP(FLOOR(('Final Term'!L18/L$5)*100,1),new_transmute,2,FALSE),
VLOOKUP('Final Term'!L18,new_transmute,2,FALSE)
),
IF(Info!$B$4="Board program",
IF(OR(AND(L$5&gt;0,L$5&gt;100),AND(L$5&gt;0,L$5&lt;100)),
VLOOKUP(FLOOR(('Final Term'!L18/L$5)*100,1),new_transmute,3,FALSE),
VLOOKUP('Final Term'!L18,new_transmute,3,FALSE)
),
IF(Info!$B$4="Board program (Medicine)",
IF(OR(AND(L$5&gt;0,L$5&gt;100),AND(L$5&gt;0,L$5&lt;100)),
VLOOKUP(FLOOR(('Final Term'!L18/L$5)*100,1),new_transmute,4,FALSE),
VLOOKUP('Final Term'!L18,new_transmute,4,FALSE)
),
""
)
)
)
)
)
)
)
)
))</f>
        <v/>
      </c>
      <c r="M18" s="111" t="str">
        <f t="shared" si="2"/>
        <v/>
      </c>
      <c r="N18" s="73" t="str">
        <f>IF($B18="","",
IF(N$5="","",
IF('Final Term'!N18="",0,
IF(NOT(ISNUMBER('Final Term'!N18)),"NAN",
IF('Final Term'!N18&lt;0,"NEG",
IF('Final Term'!N18&gt;N$5,"OVER",
IF(AND(N$5&lt;=100,'Final Term'!N18&gt;100),"ERR",
IF(Info!$B$4="Non-board program",
IF(OR(AND(N$5&gt;0,N$5&gt;100),AND(N$5&gt;0,N$5&lt;100)),
VLOOKUP(FLOOR(('Final Term'!N18/N$5)*100,1),new_transmute,2,FALSE),
VLOOKUP('Final Term'!N18,new_transmute,2,FALSE)
),
IF(Info!$B$4="Board program",
IF(OR(AND(N$5&gt;0,N$5&gt;100),AND(N$5&gt;0,N$5&lt;100)),
VLOOKUP(FLOOR(('Final Term'!N18/N$5)*100,1),new_transmute,3,FALSE),
VLOOKUP('Final Term'!N18,new_transmute,3,FALSE)
),
IF(Info!$B$4="Board program (Medicine)",
IF(OR(AND(N$5&gt;0,N$5&gt;100),AND(N$5&gt;0,N$5&lt;100)),
VLOOKUP(FLOOR(('Final Term'!N18/N$5)*100,1),new_transmute,4,FALSE),
VLOOKUP('Final Term'!N18,new_transmute,4,FALSE)
),
""
)
)
)
)
)
)
)
)
))</f>
        <v/>
      </c>
      <c r="O18" s="73" t="str">
        <f>IF($B18="","",
IF(O$5="","",
IF('Final Term'!O18="",0,
IF(NOT(ISNUMBER('Final Term'!O18)),"NAN",
IF('Final Term'!O18&lt;0,"NEG",
IF('Final Term'!O18&gt;O$5,"OVER",
IF(AND(O$5&lt;=100,'Final Term'!O18&gt;100),"ERR",
IF(Info!$B$4="Non-board program",
IF(OR(AND(O$5&gt;0,O$5&gt;100),AND(O$5&gt;0,O$5&lt;100)),
VLOOKUP(FLOOR(('Final Term'!O18/O$5)*100,1),new_transmute,2,FALSE),
VLOOKUP('Final Term'!O18,new_transmute,2,FALSE)
),
IF(Info!$B$4="Board program",
IF(OR(AND(O$5&gt;0,O$5&gt;100),AND(O$5&gt;0,O$5&lt;100)),
VLOOKUP(FLOOR(('Final Term'!O18/O$5)*100,1),new_transmute,3,FALSE),
VLOOKUP('Final Term'!O18,new_transmute,3,FALSE)
),
IF(Info!$B$4="Board program (Medicine)",
IF(OR(AND(O$5&gt;0,O$5&gt;100),AND(O$5&gt;0,O$5&lt;100)),
VLOOKUP(FLOOR(('Final Term'!O18/O$5)*100,1),new_transmute,4,FALSE),
VLOOKUP('Final Term'!O18,new_transmute,4,FALSE)
),
""
)
)
)
)
)
)
)
)
))</f>
        <v/>
      </c>
      <c r="P18" s="73" t="str">
        <f>IF($B18="","",
IF(P$5="","",
IF('Final Term'!P18="",0,
IF(NOT(ISNUMBER('Final Term'!P18)),"NAN",
IF('Final Term'!P18&lt;0,"NEG",
IF('Final Term'!P18&gt;P$5,"OVER",
IF(AND(P$5&lt;=100,'Final Term'!P18&gt;100),"ERR",
IF(Info!$B$4="Non-board program",
IF(OR(AND(P$5&gt;0,P$5&gt;100),AND(P$5&gt;0,P$5&lt;100)),
VLOOKUP(FLOOR(('Final Term'!P18/P$5)*100,1),new_transmute,2,FALSE),
VLOOKUP('Final Term'!P18,new_transmute,2,FALSE)
),
IF(Info!$B$4="Board program",
IF(OR(AND(P$5&gt;0,P$5&gt;100),AND(P$5&gt;0,P$5&lt;100)),
VLOOKUP(FLOOR(('Final Term'!P18/P$5)*100,1),new_transmute,3,FALSE),
VLOOKUP('Final Term'!P18,new_transmute,3,FALSE)
),
IF(Info!$B$4="Board program (Medicine)",
IF(OR(AND(P$5&gt;0,P$5&gt;100),AND(P$5&gt;0,P$5&lt;100)),
VLOOKUP(FLOOR(('Final Term'!P18/P$5)*100,1),new_transmute,4,FALSE),
VLOOKUP('Final Term'!P18,new_transmute,4,FALSE)
),
""
)
)
)
)
)
)
)
)
))</f>
        <v/>
      </c>
      <c r="Q18" s="73" t="str">
        <f>IF($B18="","",
IF(Q$5="","",
IF('Final Term'!Q18="",0,
IF(NOT(ISNUMBER('Final Term'!Q18)),"NAN",
IF('Final Term'!Q18&lt;0,"NEG",
IF('Final Term'!Q18&gt;Q$5,"OVER",
IF(AND(Q$5&lt;=100,'Final Term'!Q18&gt;100),"ERR",
IF(Info!$B$4="Non-board program",
IF(OR(AND(Q$5&gt;0,Q$5&gt;100),AND(Q$5&gt;0,Q$5&lt;100)),
VLOOKUP(FLOOR(('Final Term'!Q18/Q$5)*100,1),new_transmute,2,FALSE),
VLOOKUP('Final Term'!Q18,new_transmute,2,FALSE)
),
IF(Info!$B$4="Board program",
IF(OR(AND(Q$5&gt;0,Q$5&gt;100),AND(Q$5&gt;0,Q$5&lt;100)),
VLOOKUP(FLOOR(('Final Term'!Q18/Q$5)*100,1),new_transmute,3,FALSE),
VLOOKUP('Final Term'!Q18,new_transmute,3,FALSE)
),
IF(Info!$B$4="Board program (Medicine)",
IF(OR(AND(Q$5&gt;0,Q$5&gt;100),AND(Q$5&gt;0,Q$5&lt;100)),
VLOOKUP(FLOOR(('Final Term'!Q18/Q$5)*100,1),new_transmute,4,FALSE),
VLOOKUP('Final Term'!Q18,new_transmute,4,FALSE)
),
""
)
)
)
)
)
)
)
)
))</f>
        <v/>
      </c>
      <c r="R18" s="73" t="str">
        <f>IF($B18="","",
IF(R$5="","",
IF('Final Term'!R18="",0,
IF(NOT(ISNUMBER('Final Term'!R18)),"NAN",
IF('Final Term'!R18&lt;0,"NEG",
IF('Final Term'!R18&gt;R$5,"OVER",
IF(AND(R$5&lt;=100,'Final Term'!R18&gt;100),"ERR",
IF(Info!$B$4="Non-board program",
IF(OR(AND(R$5&gt;0,R$5&gt;100),AND(R$5&gt;0,R$5&lt;100)),
VLOOKUP(FLOOR(('Final Term'!R18/R$5)*100,1),new_transmute,2,FALSE),
VLOOKUP('Final Term'!R18,new_transmute,2,FALSE)
),
IF(Info!$B$4="Board program",
IF(OR(AND(R$5&gt;0,R$5&gt;100),AND(R$5&gt;0,R$5&lt;100)),
VLOOKUP(FLOOR(('Final Term'!R18/R$5)*100,1),new_transmute,3,FALSE),
VLOOKUP('Final Term'!R18,new_transmute,3,FALSE)
),
IF(Info!$B$4="Board program (Medicine)",
IF(OR(AND(R$5&gt;0,R$5&gt;100),AND(R$5&gt;0,R$5&lt;100)),
VLOOKUP(FLOOR(('Final Term'!R18/R$5)*100,1),new_transmute,4,FALSE),
VLOOKUP('Final Term'!R18,new_transmute,4,FALSE)
),
""
)
)
)
)
)
)
)
)
))</f>
        <v/>
      </c>
      <c r="S18" s="115" t="str">
        <f t="shared" si="3"/>
        <v/>
      </c>
      <c r="T18" s="73" t="str">
        <f>IF($B18="","",
IF(T$5="","",
IF('Final Term'!T18="",0,
IF(NOT(ISNUMBER('Final Term'!T18)),"NAN",
IF('Final Term'!T18&lt;0,"NEG",
IF('Final Term'!T18&gt;T$5,"OVER",
IF(AND(T$5&lt;=100,'Final Term'!T18&gt;100),"ERR",
IF(Info!$B$4="Non-board program",
IF(OR(AND(T$5&gt;0,T$5&gt;100),AND(T$5&gt;0,T$5&lt;100)),
VLOOKUP(FLOOR(('Final Term'!T18/T$5)*100,1),new_transmute,2,FALSE),
VLOOKUP('Final Term'!T18,new_transmute,2,FALSE)
),
IF(Info!$B$4="Board program",
IF(OR(AND(T$5&gt;0,T$5&gt;100),AND(T$5&gt;0,T$5&lt;100)),
VLOOKUP(FLOOR(('Final Term'!T18/T$5)*100,1),new_transmute,3,FALSE),
VLOOKUP('Final Term'!T18,new_transmute,3,FALSE)
),
IF(Info!$B$4="Board program (Medicine)",
IF(OR(AND(T$5&gt;0,T$5&gt;100),AND(T$5&gt;0,T$5&lt;100)),
VLOOKUP(FLOOR(('Final Term'!T18/T$5)*100,1),new_transmute,4,FALSE),
VLOOKUP('Final Term'!T18,new_transmute,4,FALSE)
),
""
)
)
)
)
)
)
)
)
))</f>
        <v/>
      </c>
      <c r="U18" s="73" t="str">
        <f>IF($B18="","",
IF(U$5="","",
IF('Final Term'!U18="",0,
IF(NOT(ISNUMBER('Final Term'!U18)),"NAN",
IF('Final Term'!U18&lt;0,"NEG",
IF('Final Term'!U18&gt;U$5,"OVER",
IF(AND(U$5&lt;=100,'Final Term'!U18&gt;100),"ERR",
IF(Info!$B$4="Non-board program",
IF(OR(AND(U$5&gt;0,U$5&gt;100),AND(U$5&gt;0,U$5&lt;100)),
VLOOKUP(FLOOR(('Final Term'!U18/U$5)*100,1),new_transmute,2,FALSE),
VLOOKUP('Final Term'!U18,new_transmute,2,FALSE)
),
IF(Info!$B$4="Board program",
IF(OR(AND(U$5&gt;0,U$5&gt;100),AND(U$5&gt;0,U$5&lt;100)),
VLOOKUP(FLOOR(('Final Term'!U18/U$5)*100,1),new_transmute,3,FALSE),
VLOOKUP('Final Term'!U18,new_transmute,3,FALSE)
),
IF(Info!$B$4="Board program (Medicine)",
IF(OR(AND(U$5&gt;0,U$5&gt;100),AND(U$5&gt;0,U$5&lt;100)),
VLOOKUP(FLOOR(('Final Term'!U18/U$5)*100,1),new_transmute,4,FALSE),
VLOOKUP('Final Term'!U18,new_transmute,4,FALSE)
),
""
)
)
)
)
)
)
)
)
))</f>
        <v/>
      </c>
      <c r="V18" s="73" t="str">
        <f>IF($B18="","",
IF(V$5="","",
IF('Final Term'!V18="",0,
IF(NOT(ISNUMBER('Final Term'!V18)),"NAN",
IF('Final Term'!V18&lt;0,"NEG",
IF('Final Term'!V18&gt;V$5,"OVER",
IF(AND(V$5&lt;=100,'Final Term'!V18&gt;100),"ERR",
IF(Info!$B$4="Non-board program",
IF(OR(AND(V$5&gt;0,V$5&gt;100),AND(V$5&gt;0,V$5&lt;100)),
VLOOKUP(FLOOR(('Final Term'!V18/V$5)*100,1),new_transmute,2,FALSE),
VLOOKUP('Final Term'!V18,new_transmute,2,FALSE)
),
IF(Info!$B$4="Board program",
IF(OR(AND(V$5&gt;0,V$5&gt;100),AND(V$5&gt;0,V$5&lt;100)),
VLOOKUP(FLOOR(('Final Term'!V18/V$5)*100,1),new_transmute,3,FALSE),
VLOOKUP('Final Term'!V18,new_transmute,3,FALSE)
),
IF(Info!$B$4="Board program (Medicine)",
IF(OR(AND(V$5&gt;0,V$5&gt;100),AND(V$5&gt;0,V$5&lt;100)),
VLOOKUP(FLOOR(('Final Term'!V18/V$5)*100,1),new_transmute,4,FALSE),
VLOOKUP('Final Term'!V18,new_transmute,4,FALSE)
),
""
)
)
)
)
)
)
)
)
))</f>
        <v/>
      </c>
      <c r="W18" s="73" t="str">
        <f>IF($B18="","",
IF(W$5="","",
IF('Final Term'!W18="",0,
IF(NOT(ISNUMBER('Final Term'!W18)),"NAN",
IF('Final Term'!W18&lt;0,"NEG",
IF('Final Term'!W18&gt;W$5,"OVER",
IF(AND(W$5&lt;=100,'Final Term'!W18&gt;100),"ERR",
IF(Info!$B$4="Non-board program",
IF(OR(AND(W$5&gt;0,W$5&gt;100),AND(W$5&gt;0,W$5&lt;100)),
VLOOKUP(FLOOR(('Final Term'!W18/W$5)*100,1),new_transmute,2,FALSE),
VLOOKUP('Final Term'!W18,new_transmute,2,FALSE)
),
IF(Info!$B$4="Board program",
IF(OR(AND(W$5&gt;0,W$5&gt;100),AND(W$5&gt;0,W$5&lt;100)),
VLOOKUP(FLOOR(('Final Term'!W18/W$5)*100,1),new_transmute,3,FALSE),
VLOOKUP('Final Term'!W18,new_transmute,3,FALSE)
),
IF(Info!$B$4="Board program (Medicine)",
IF(OR(AND(W$5&gt;0,W$5&gt;100),AND(W$5&gt;0,W$5&lt;100)),
VLOOKUP(FLOOR(('Final Term'!W18/W$5)*100,1),new_transmute,4,FALSE),
VLOOKUP('Final Term'!W18,new_transmute,4,FALSE)
),
""
)
)
)
)
)
)
)
)
))</f>
        <v/>
      </c>
      <c r="X18" s="73" t="str">
        <f>IF($B18="","",
IF(X$5="","",
IF('Final Term'!X18="",0,
IF(NOT(ISNUMBER('Final Term'!X18)),"NAN",
IF('Final Term'!X18&lt;0,"NEG",
IF('Final Term'!X18&gt;X$5,"OVER",
IF(AND(X$5&lt;=100,'Final Term'!X18&gt;100),"ERR",
IF(Info!$B$4="Non-board program",
IF(OR(AND(X$5&gt;0,X$5&gt;100),AND(X$5&gt;0,X$5&lt;100)),
VLOOKUP(FLOOR(('Final Term'!X18/X$5)*100,1),new_transmute,2,FALSE),
VLOOKUP('Final Term'!X18,new_transmute,2,FALSE)
),
IF(Info!$B$4="Board program",
IF(OR(AND(X$5&gt;0,X$5&gt;100),AND(X$5&gt;0,X$5&lt;100)),
VLOOKUP(FLOOR(('Final Term'!X18/X$5)*100,1),new_transmute,3,FALSE),
VLOOKUP('Final Term'!X18,new_transmute,3,FALSE)
),
IF(Info!$B$4="Board program (Medicine)",
IF(OR(AND(X$5&gt;0,X$5&gt;100),AND(X$5&gt;0,X$5&lt;100)),
VLOOKUP(FLOOR(('Final Term'!X18/X$5)*100,1),new_transmute,4,FALSE),
VLOOKUP('Final Term'!X18,new_transmute,4,FALSE)
),
""
)
)
)
)
)
)
)
)
))</f>
        <v/>
      </c>
      <c r="Y18" s="112" t="str">
        <f t="shared" si="4"/>
        <v/>
      </c>
      <c r="Z18" s="73" t="str">
        <f>IF($B18="","",
IF(Z$5="","",
IF('Final Term'!Z18="",0,
IF(NOT(ISNUMBER('Final Term'!Z18)),"NAN",
IF('Final Term'!Z18&lt;0,"NEG",
IF('Final Term'!Z18&gt;Z$5,"OVER",
IF(AND(Z$5&lt;=100,'Final Term'!Z18&gt;100),"ERR",
IF(Info!$B$4="Non-board program",
IF(OR(AND(Z$5&gt;0,Z$5&gt;100),AND(Z$5&gt;0,Z$5&lt;100)),
VLOOKUP(FLOOR(('Final Term'!Z18/Z$5)*100,1),new_transmute,2,FALSE),
VLOOKUP('Final Term'!Z18,new_transmute,2,FALSE)
),
IF(Info!$B$4="Board program",
IF(OR(AND(Z$5&gt;0,Z$5&gt;100),AND(Z$5&gt;0,Z$5&lt;100)),
VLOOKUP(FLOOR(('Final Term'!Z18/Z$5)*100,1),new_transmute,3,FALSE),
VLOOKUP('Final Term'!Z18,new_transmute,3,FALSE)
),
IF(Info!$B$4="Board program (Medicine)",
IF(OR(AND(Z$5&gt;0,Z$5&gt;100),AND(Z$5&gt;0,Z$5&lt;100)),
VLOOKUP(FLOOR(('Final Term'!Z18/Z$5)*100,1),new_transmute,4,FALSE),
VLOOKUP('Final Term'!Z18,new_transmute,4,FALSE)
),
""
)
)
)
)
)
)
)
)
))</f>
        <v/>
      </c>
      <c r="AA18" s="73" t="str">
        <f>IF($B18="","",
IF(AA$5="","",
IF('Final Term'!AA18="",0,
IF(NOT(ISNUMBER('Final Term'!AA18)),"NAN",
IF('Final Term'!AA18&lt;0,"NEG",
IF('Final Term'!AA18&gt;AA$5,"OVER",
IF(AND(AA$5&lt;=100,'Final Term'!AA18&gt;100),"ERR",
IF(Info!$B$4="Non-board program",
IF(OR(AND(AA$5&gt;0,AA$5&gt;100),AND(AA$5&gt;0,AA$5&lt;100)),
VLOOKUP(FLOOR(('Final Term'!AA18/AA$5)*100,1),new_transmute,2,FALSE),
VLOOKUP('Final Term'!AA18,new_transmute,2,FALSE)
),
IF(Info!$B$4="Board program",
IF(OR(AND(AA$5&gt;0,AA$5&gt;100),AND(AA$5&gt;0,AA$5&lt;100)),
VLOOKUP(FLOOR(('Final Term'!AA18/AA$5)*100,1),new_transmute,3,FALSE),
VLOOKUP('Final Term'!AA18,new_transmute,3,FALSE)
),
IF(Info!$B$4="Board program (Medicine)",
IF(OR(AND(AA$5&gt;0,AA$5&gt;100),AND(AA$5&gt;0,AA$5&lt;100)),
VLOOKUP(FLOOR(('Final Term'!AA18/AA$5)*100,1),new_transmute,4,FALSE),
VLOOKUP('Final Term'!AA18,new_transmute,4,FALSE)
),
""
)
)
)
)
)
)
)
)
))</f>
        <v/>
      </c>
      <c r="AB18" s="73" t="str">
        <f>IF($B18="","",
IF(AB$5="","",
IF('Final Term'!AB18="",0,
IF(NOT(ISNUMBER('Final Term'!AB18)),"NAN",
IF('Final Term'!AB18&lt;0,"NEG",
IF('Final Term'!AB18&gt;AB$5,"OVER",
IF(AND(AB$5&lt;=100,'Final Term'!AB18&gt;100),"ERR",
IF(Info!$B$4="Non-board program",
IF(OR(AND(AB$5&gt;0,AB$5&gt;100),AND(AB$5&gt;0,AB$5&lt;100)),
VLOOKUP(FLOOR(('Final Term'!AB18/AB$5)*100,1),new_transmute,2,FALSE),
VLOOKUP('Final Term'!AB18,new_transmute,2,FALSE)
),
IF(Info!$B$4="Board program",
IF(OR(AND(AB$5&gt;0,AB$5&gt;100),AND(AB$5&gt;0,AB$5&lt;100)),
VLOOKUP(FLOOR(('Final Term'!AB18/AB$5)*100,1),new_transmute,3,FALSE),
VLOOKUP('Final Term'!AB18,new_transmute,3,FALSE)
),
IF(Info!$B$4="Board program (Medicine)",
IF(OR(AND(AB$5&gt;0,AB$5&gt;100),AND(AB$5&gt;0,AB$5&lt;100)),
VLOOKUP(FLOOR(('Final Term'!AB18/AB$5)*100,1),new_transmute,4,FALSE),
VLOOKUP('Final Term'!AB18,new_transmute,4,FALSE)
),
""
)
)
)
)
)
)
)
)
))</f>
        <v/>
      </c>
      <c r="AC18" s="73" t="str">
        <f>IF($B18="","",
IF(AC$5="","",
IF('Final Term'!AC18="",0,
IF(NOT(ISNUMBER('Final Term'!AC18)),"NAN",
IF('Final Term'!AC18&lt;0,"NEG",
IF('Final Term'!AC18&gt;AC$5,"OVER",
IF(AND(AC$5&lt;=100,'Final Term'!AC18&gt;100),"ERR",
IF(Info!$B$4="Non-board program",
IF(OR(AND(AC$5&gt;0,AC$5&gt;100),AND(AC$5&gt;0,AC$5&lt;100)),
VLOOKUP(FLOOR(('Final Term'!AC18/AC$5)*100,1),new_transmute,2,FALSE),
VLOOKUP('Final Term'!AC18,new_transmute,2,FALSE)
),
IF(Info!$B$4="Board program",
IF(OR(AND(AC$5&gt;0,AC$5&gt;100),AND(AC$5&gt;0,AC$5&lt;100)),
VLOOKUP(FLOOR(('Final Term'!AC18/AC$5)*100,1),new_transmute,3,FALSE),
VLOOKUP('Final Term'!AC18,new_transmute,3,FALSE)
),
IF(Info!$B$4="Board program (Medicine)",
IF(OR(AND(AC$5&gt;0,AC$5&gt;100),AND(AC$5&gt;0,AC$5&lt;100)),
VLOOKUP(FLOOR(('Final Term'!AC18/AC$5)*100,1),new_transmute,4,FALSE),
VLOOKUP('Final Term'!AC18,new_transmute,4,FALSE)
),
""
)
)
)
)
)
)
)
)
))</f>
        <v/>
      </c>
      <c r="AD18" s="73" t="str">
        <f>IF($B18="","",
IF(AD$5="","",
IF('Final Term'!AD18="",0,
IF(NOT(ISNUMBER('Final Term'!AD18)),"NAN",
IF('Final Term'!AD18&lt;0,"NEG",
IF('Final Term'!AD18&gt;AD$5,"OVER",
IF(AND(AD$5&lt;=100,'Final Term'!AD18&gt;100),"ERR",
IF(Info!$B$4="Non-board program",
IF(OR(AND(AD$5&gt;0,AD$5&gt;100),AND(AD$5&gt;0,AD$5&lt;100)),
VLOOKUP(FLOOR(('Final Term'!AD18/AD$5)*100,1),new_transmute,2,FALSE),
VLOOKUP('Final Term'!AD18,new_transmute,2,FALSE)
),
IF(Info!$B$4="Board program",
IF(OR(AND(AD$5&gt;0,AD$5&gt;100),AND(AD$5&gt;0,AD$5&lt;100)),
VLOOKUP(FLOOR(('Final Term'!AD18/AD$5)*100,1),new_transmute,3,FALSE),
VLOOKUP('Final Term'!AD18,new_transmute,3,FALSE)
),
IF(Info!$B$4="Board program (Medicine)",
IF(OR(AND(AD$5&gt;0,AD$5&gt;100),AND(AD$5&gt;0,AD$5&lt;100)),
VLOOKUP(FLOOR(('Final Term'!AD18/AD$5)*100,1),new_transmute,4,FALSE),
VLOOKUP('Final Term'!AD18,new_transmute,4,FALSE)
),
""
)
)
)
)
)
)
)
)
))</f>
        <v/>
      </c>
      <c r="AE18" s="58" t="str">
        <f t="shared" si="5"/>
        <v/>
      </c>
      <c r="AF18" s="73" t="str">
        <f>IF($B18="","",
IF(AF$5="","",
IF('Final Term'!AF18="",0,
IF(NOT(ISNUMBER('Final Term'!AF18)),"NAN",
IF('Final Term'!AF18&lt;0,"NEG",
IF('Final Term'!AF18&gt;AF$5,"OVER",
IF(AND(AF$5&lt;=100,'Final Term'!AF18&gt;100),"ERR",
IF(Info!$B$4="Non-board program",
IF(OR(AND(AF$5&gt;0,AF$5&gt;100),AND(AF$5&gt;0,AF$5&lt;100)),
VLOOKUP(FLOOR(('Final Term'!AF18/AF$5)*100,1),new_transmute,2,FALSE),
VLOOKUP('Final Term'!AF18,new_transmute,2,FALSE)
),
IF(Info!$B$4="Board program",
IF(OR(AND(AF$5&gt;0,AF$5&gt;100),AND(AF$5&gt;0,AF$5&lt;100)),
VLOOKUP(FLOOR(('Final Term'!AF18/AF$5)*100,1),new_transmute,3,FALSE),
VLOOKUP('Final Term'!AF18,new_transmute,3,FALSE)
),
IF(Info!$B$4="Board program (Medicine)",
IF(OR(AND(AF$5&gt;0,AF$5&gt;100),AND(AF$5&gt;0,AF$5&lt;100)),
VLOOKUP(FLOOR(('Final Term'!AF18/AF$5)*100,1),new_transmute,4,FALSE),
VLOOKUP('Final Term'!AF18,new_transmute,4,FALSE)
),
""
)
)
)
)
)
)
)
)
))</f>
        <v/>
      </c>
      <c r="AG18" s="73" t="str">
        <f>IF($B18="","",
IF(AG$5="","",
IF('Final Term'!AG18="",0,
IF(NOT(ISNUMBER('Final Term'!AG18)),"NAN",
IF('Final Term'!AG18&lt;0,"NEG",
IF('Final Term'!AG18&gt;AG$5,"OVER",
IF(AND(AG$5&lt;=100,'Final Term'!AG18&gt;100),"ERR",
IF(Info!$B$4="Non-board program",
IF(OR(AND(AG$5&gt;0,AG$5&gt;100),AND(AG$5&gt;0,AG$5&lt;100)),
VLOOKUP(FLOOR(('Final Term'!AG18/AG$5)*100,1),new_transmute,2,FALSE),
VLOOKUP('Final Term'!AG18,new_transmute,2,FALSE)
),
IF(Info!$B$4="Board program",
IF(OR(AND(AG$5&gt;0,AG$5&gt;100),AND(AG$5&gt;0,AG$5&lt;100)),
VLOOKUP(FLOOR(('Final Term'!AG18/AG$5)*100,1),new_transmute,3,FALSE),
VLOOKUP('Final Term'!AG18,new_transmute,3,FALSE)
),
IF(Info!$B$4="Board program (Medicine)",
IF(OR(AND(AG$5&gt;0,AG$5&gt;100),AND(AG$5&gt;0,AG$5&lt;100)),
VLOOKUP(FLOOR(('Final Term'!AG18/AG$5)*100,1),new_transmute,4,FALSE),
VLOOKUP('Final Term'!AG18,new_transmute,4,FALSE)
),
""
)
)
)
)
)
)
)
)
))</f>
        <v/>
      </c>
      <c r="AH18" s="73" t="str">
        <f>IF($B18="","",
IF(AH$5="","",
IF('Final Term'!AH18="",0,
IF(NOT(ISNUMBER('Final Term'!AH18)),"NAN",
IF('Final Term'!AH18&lt;0,"NEG",
IF('Final Term'!AH18&gt;AH$5,"OVER",
IF(AND(AH$5&lt;=100,'Final Term'!AH18&gt;100),"ERR",
IF(Info!$B$4="Non-board program",
IF(OR(AND(AH$5&gt;0,AH$5&gt;100),AND(AH$5&gt;0,AH$5&lt;100)),
VLOOKUP(FLOOR(('Final Term'!AH18/AH$5)*100,1),new_transmute,2,FALSE),
VLOOKUP('Final Term'!AH18,new_transmute,2,FALSE)
),
IF(Info!$B$4="Board program",
IF(OR(AND(AH$5&gt;0,AH$5&gt;100),AND(AH$5&gt;0,AH$5&lt;100)),
VLOOKUP(FLOOR(('Final Term'!AH18/AH$5)*100,1),new_transmute,3,FALSE),
VLOOKUP('Final Term'!AH18,new_transmute,3,FALSE)
),
IF(Info!$B$4="Board program (Medicine)",
IF(OR(AND(AH$5&gt;0,AH$5&gt;100),AND(AH$5&gt;0,AH$5&lt;100)),
VLOOKUP(FLOOR(('Final Term'!AH18/AH$5)*100,1),new_transmute,4,FALSE),
VLOOKUP('Final Term'!AH18,new_transmute,4,FALSE)
),
""
)
)
)
)
)
)
)
)
))</f>
        <v/>
      </c>
      <c r="AI18" s="73" t="str">
        <f>IF($B18="","",
IF(AI$5="","",
IF('Final Term'!AI18="",0,
IF(NOT(ISNUMBER('Final Term'!AI18)),"NAN",
IF('Final Term'!AI18&lt;0,"NEG",
IF('Final Term'!AI18&gt;AI$5,"OVER",
IF(AND(AI$5&lt;=100,'Final Term'!AI18&gt;100),"ERR",
IF(Info!$B$4="Non-board program",
IF(OR(AND(AI$5&gt;0,AI$5&gt;100),AND(AI$5&gt;0,AI$5&lt;100)),
VLOOKUP(FLOOR(('Final Term'!AI18/AI$5)*100,1),new_transmute,2,FALSE),
VLOOKUP('Final Term'!AI18,new_transmute,2,FALSE)
),
IF(Info!$B$4="Board program",
IF(OR(AND(AI$5&gt;0,AI$5&gt;100),AND(AI$5&gt;0,AI$5&lt;100)),
VLOOKUP(FLOOR(('Final Term'!AI18/AI$5)*100,1),new_transmute,3,FALSE),
VLOOKUP('Final Term'!AI18,new_transmute,3,FALSE)
),
IF(Info!$B$4="Board program (Medicine)",
IF(OR(AND(AI$5&gt;0,AI$5&gt;100),AND(AI$5&gt;0,AI$5&lt;100)),
VLOOKUP(FLOOR(('Final Term'!AI18/AI$5)*100,1),new_transmute,4,FALSE),
VLOOKUP('Final Term'!AI18,new_transmute,4,FALSE)
),
""
)
)
)
)
)
)
)
)
))</f>
        <v/>
      </c>
      <c r="AJ18" s="73" t="str">
        <f>IF($B18="","",
IF(AJ$5="","",
IF('Final Term'!AJ18="",0,
IF(NOT(ISNUMBER('Final Term'!AJ18)),"NAN",
IF('Final Term'!AJ18&lt;0,"NEG",
IF('Final Term'!AJ18&gt;AJ$5,"OVER",
IF(AND(AJ$5&lt;=100,'Final Term'!AJ18&gt;100),"ERR",
IF(Info!$B$4="Non-board program",
IF(OR(AND(AJ$5&gt;0,AJ$5&gt;100),AND(AJ$5&gt;0,AJ$5&lt;100)),
VLOOKUP(FLOOR(('Final Term'!AJ18/AJ$5)*100,1),new_transmute,2,FALSE),
VLOOKUP('Final Term'!AJ18,new_transmute,2,FALSE)
),
IF(Info!$B$4="Board program",
IF(OR(AND(AJ$5&gt;0,AJ$5&gt;100),AND(AJ$5&gt;0,AJ$5&lt;100)),
VLOOKUP(FLOOR(('Final Term'!AJ18/AJ$5)*100,1),new_transmute,3,FALSE),
VLOOKUP('Final Term'!AJ18,new_transmute,3,FALSE)
),
IF(Info!$B$4="Board program (Medicine)",
IF(OR(AND(AJ$5&gt;0,AJ$5&gt;100),AND(AJ$5&gt;0,AJ$5&lt;100)),
VLOOKUP(FLOOR(('Final Term'!AJ18/AJ$5)*100,1),new_transmute,4,FALSE),
VLOOKUP('Final Term'!AJ18,new_transmute,4,FALSE)
),
""
)
)
)
)
)
)
)
)
))</f>
        <v/>
      </c>
      <c r="AK18" s="59" t="str">
        <f t="shared" si="6"/>
        <v/>
      </c>
      <c r="AL18" s="60" t="str">
        <f>IF(B18="", "",
    IF(OR(M18="OVER", S18="OVER", Y18="OVER", AE18="OVER", AK18="OVER"),
        "OVER",
        IF(Info!$B$4="Non-board program",
            VLOOKUP(IFERROR(FLOOR(SUM((M18*$M$4), (S18*$S$4), (Y18*$Y$4), (AE18*$AE$4), (AK18*$AK$4)) * (100 / 60), 1), 0), new_transmute, 2, FALSE),
            IF(Info!$B$4="Board program",
                VLOOKUP(IFERROR(FLOOR(SUM((M18*$M$4), (S18*$S$4), (Y18*$Y$4), (AE18*$AE$4), (AK18*$AK$4)) * (100 / 60), 1), 0), new_transmute, 3, FALSE),
                IF(Info!$B$4="Board program (Medicine)",
                    VLOOKUP(IFERROR(FLOOR(SUM((M18*$M$4), (S18*$S$4), (Y18*$Y$4), (AE18*$AE$4), (AK18*$AK$4)) * (100 / 60), 1), 0), new_transmute, 4, FALSE),
                    ""
                )
            )
        )
    )
)</f>
        <v/>
      </c>
      <c r="AM18" s="73" t="str">
        <f>IF($B18="","",
IF(AM$5="","",
IF('Final Term'!AM18="",0,
IF(NOT(ISNUMBER('Final Term'!AM18)),"NAN",
IF('Final Term'!AM18&lt;0,"NEG",
IF('Final Term'!AM18&gt;AM$5,"OVER",
IF(AND(AM$5&lt;=100,'Final Term'!AM18&gt;100),"ERR",
IF(Info!$B$4="Non-board program",
IF(OR(AND(AM$5&gt;0,AM$5&gt;100),AND(AM$5&gt;0,AM$5&lt;100)),
VLOOKUP(FLOOR(('Final Term'!AM18/AM$5)*100,1),new_transmute,2,FALSE),
VLOOKUP('Final Term'!AM18,new_transmute,2,FALSE)
),
IF(Info!$B$4="Board program",
IF(OR(AND(AM$5&gt;0,AM$5&gt;100),AND(AM$5&gt;0,AM$5&lt;100)),
VLOOKUP(FLOOR(('Final Term'!AM18/AM$5)*100,1),new_transmute,3,FALSE),
VLOOKUP('Final Term'!AM18,new_transmute,3,FALSE)
),
IF(Info!$B$4="Board program (Medicine)",
IF(OR(AND(AM$5&gt;0,AM$5&gt;100),AND(AM$5&gt;0,AM$5&lt;100)),
VLOOKUP(FLOOR(('Final Term'!AM18/AM$5)*100,1),new_transmute,4,FALSE),
VLOOKUP('Final Term'!AM18,new_transmute,4,FALSE)
),
""
)
)
)
)
)
)
)
)
))</f>
        <v/>
      </c>
      <c r="AN18" s="73" t="str">
        <f>IF($B18="","",
IF(AN$5="","",
IF('Final Term'!AN18="",0,
IF(NOT(ISNUMBER('Final Term'!AN18)),"NAN",
IF('Final Term'!AN18&lt;0,"NEG",
IF('Final Term'!AN18&gt;AN$5,"OVER",
IF(AND(AN$5&lt;=100,'Final Term'!AN18&gt;100),"ERR",
IF(Info!$B$4="Non-board program",
IF(OR(AND(AN$5&gt;0,AN$5&gt;100),AND(AN$5&gt;0,AN$5&lt;100)),
VLOOKUP(FLOOR(('Final Term'!AN18/AN$5)*100,1),new_transmute,2,FALSE),
VLOOKUP('Final Term'!AN18,new_transmute,2,FALSE)
),
IF(Info!$B$4="Board program",
IF(OR(AND(AN$5&gt;0,AN$5&gt;100),AND(AN$5&gt;0,AN$5&lt;100)),
VLOOKUP(FLOOR(('Final Term'!AN18/AN$5)*100,1),new_transmute,3,FALSE),
VLOOKUP('Final Term'!AN18,new_transmute,3,FALSE)
),
IF(Info!$B$4="Board program (Medicine)",
IF(OR(AND(AN$5&gt;0,AN$5&gt;100),AND(AN$5&gt;0,AN$5&lt;100)),
VLOOKUP(FLOOR(('Final Term'!AN18/AN$5)*100,1),new_transmute,4,FALSE),
VLOOKUP('Final Term'!AN18,new_transmute,4,FALSE)
),
""
)
)
)
)
)
)
)
)
))</f>
        <v/>
      </c>
      <c r="AO18" s="73" t="str">
        <f>IF($B18="","",
IF(AO$5="","",
IF('Final Term'!AO18="",0,
IF(NOT(ISNUMBER('Final Term'!AO18)),"NAN",
IF('Final Term'!AO18&lt;0,"NEG",
IF('Final Term'!AO18&gt;AO$5,"OVER",
IF(AND(AO$5&lt;=100,'Final Term'!AO18&gt;100),"ERR",
IF(Info!$B$4="Non-board program",
IF(OR(AND(AO$5&gt;0,AO$5&gt;100),AND(AO$5&gt;0,AO$5&lt;100)),
VLOOKUP(FLOOR(('Final Term'!AO18/AO$5)*100,1),new_transmute,2,FALSE),
VLOOKUP('Final Term'!AO18,new_transmute,2,FALSE)
),
IF(Info!$B$4="Board program",
IF(OR(AND(AO$5&gt;0,AO$5&gt;100),AND(AO$5&gt;0,AO$5&lt;100)),
VLOOKUP(FLOOR(('Final Term'!AO18/AO$5)*100,1),new_transmute,3,FALSE),
VLOOKUP('Final Term'!AO18,new_transmute,3,FALSE)
),
IF(Info!$B$4="Board program (Medicine)",
IF(OR(AND(AO$5&gt;0,AO$5&gt;100),AND(AO$5&gt;0,AO$5&lt;100)),
VLOOKUP(FLOOR(('Final Term'!AO18/AO$5)*100,1),new_transmute,4,FALSE),
VLOOKUP('Final Term'!AO18,new_transmute,4,FALSE)
),
""
)
)
)
)
)
)
)
)
))</f>
        <v/>
      </c>
      <c r="AP18" s="73" t="str">
        <f>IF($B18="","",
IF(AP$5="","",
IF('Final Term'!AP18="",0,
IF(NOT(ISNUMBER('Final Term'!AP18)),"NAN",
IF('Final Term'!AP18&lt;0,"NEG",
IF('Final Term'!AP18&gt;AP$5,"OVER",
IF(AND(AP$5&lt;=100,'Final Term'!AP18&gt;100),"ERR",
IF(Info!$B$4="Non-board program",
IF(OR(AND(AP$5&gt;0,AP$5&gt;100),AND(AP$5&gt;0,AP$5&lt;100)),
VLOOKUP(FLOOR(('Final Term'!AP18/AP$5)*100,1),new_transmute,2,FALSE),
VLOOKUP('Final Term'!AP18,new_transmute,2,FALSE)
),
IF(Info!$B$4="Board program",
IF(OR(AND(AP$5&gt;0,AP$5&gt;100),AND(AP$5&gt;0,AP$5&lt;100)),
VLOOKUP(FLOOR(('Final Term'!AP18/AP$5)*100,1),new_transmute,3,FALSE),
VLOOKUP('Final Term'!AP18,new_transmute,3,FALSE)
),
IF(Info!$B$4="Board program (Medicine)",
IF(OR(AND(AP$5&gt;0,AP$5&gt;100),AND(AP$5&gt;0,AP$5&lt;100)),
VLOOKUP(FLOOR(('Final Term'!AP18/AP$5)*100,1),new_transmute,4,FALSE),
VLOOKUP('Final Term'!AP18,new_transmute,4,FALSE)
),
""
)
)
)
)
)
)
)
)
))</f>
        <v/>
      </c>
      <c r="AQ18" s="61" t="str">
        <f t="shared" si="7"/>
        <v/>
      </c>
      <c r="AR18" s="48" t="str">
        <f>IF('Final Term'!AR18="","",'Final Term'!AR18)</f>
        <v/>
      </c>
      <c r="AS18" s="165" t="str">
        <f t="shared" si="8"/>
        <v/>
      </c>
      <c r="AT18" s="14" t="str">
        <f t="shared" si="0"/>
        <v/>
      </c>
      <c r="AU18" s="13" t="str">
        <f>IF(B18="","",VLOOKUP(AT18,'New Grade Equivalent'!$B$3:$C$47,2,FALSE))</f>
        <v/>
      </c>
    </row>
    <row r="19" spans="1:47" x14ac:dyDescent="0.25">
      <c r="A19" s="8">
        <v>14</v>
      </c>
      <c r="B19" s="2" t="str">
        <f>IF('Student List'!C23="","",UPPER(LEFT('Student List'!C23,FIND(",",'Student List'!C23)-1)))</f>
        <v/>
      </c>
      <c r="C19" s="12" t="str">
        <f>IF('Student List'!C23="","",PROPER(MID('Student List'!C23, FIND(",", 'Student List'!C23) + 2, LEN('Student List'!C23) - FIND(",", 'Student List'!C23) - 1)))</f>
        <v/>
      </c>
      <c r="D19" s="127" t="str">
        <f>IF('Final Term'!D19="","",'Final Term'!D19)</f>
        <v/>
      </c>
      <c r="E19" s="8" t="str">
        <f>IF(MidCom!E19="FA", "FA",
    IF(MidCom!E19="DRP", "DRP",
        IF(MidCom!E19="WF", "WF",
            IF(D19="Yes", "INC",
               IF((SUM('MT Attendance'!AW17) / 3 + SUM('MT Attendance'!AY17) + SUM('FT Attendance'!AW17) / 3 + SUM('FT Attendance'!AY17)) &gt;= 0.2 * (SUMPRODUCT(--(ISTEXT('MT Attendance'!$C$2:$AU$2))) + SUMPRODUCT(--(ISTEXT('FT Attendance'!$C$2:$AU$2)))), "FA",
                   MidCom!E19
                )
            )
        )
    )
)</f>
        <v/>
      </c>
      <c r="F19" s="73" t="str">
        <f>IF($B19="","",
IF(F$5="","",
IF('Final Term'!F19="",0,
IF(NOT(ISNUMBER('Final Term'!F19)),"NAN",
IF('Final Term'!F19&lt;0,"NEG",
IF('Final Term'!F19&gt;F$5,"OVER",
IF(AND(F$5&lt;=100,'Final Term'!F19&gt;100),"ERR",
IF(Info!$B$4="Non-board program",
IF(OR(AND(F$5&gt;0,F$5&gt;100),AND(F$5&gt;0,F$5&lt;100)),
VLOOKUP(FLOOR(('Final Term'!F19/F$5)*100,1),new_transmute,2,FALSE),
VLOOKUP('Final Term'!F19,new_transmute,2,FALSE)
),
IF(Info!$B$4="Board program",
IF(OR(AND(F$5&gt;0,F$5&gt;100),AND(F$5&gt;0,F$5&lt;100)),
VLOOKUP(FLOOR(('Final Term'!F19/F$5)*100,1),new_transmute,3,FALSE),
VLOOKUP('Final Term'!F19,new_transmute,3,FALSE)
),
IF(Info!$B$4="Board program (Medicine)",
IF(OR(AND(F$5&gt;0,F$5&gt;100),AND(F$5&gt;0,F$5&lt;100)),
VLOOKUP(FLOOR(('Final Term'!F19/F$5)*100,1),new_transmute,4,FALSE),
VLOOKUP('Final Term'!F19,new_transmute,4,FALSE)
),
""
)
)
)
)
)
)
)
)
))</f>
        <v/>
      </c>
      <c r="G19" s="57" t="str">
        <f t="shared" si="1"/>
        <v/>
      </c>
      <c r="H19" s="73" t="str">
        <f>IF($B19="","",
IF(H$5="","",
IF('Final Term'!H19="",0,
IF(NOT(ISNUMBER('Final Term'!H19)),"NAN",
IF('Final Term'!H19&lt;0,"NEG",
IF('Final Term'!H19&gt;H$5,"OVER",
IF(AND(H$5&lt;=100,'Final Term'!H19&gt;100),"ERR",
IF(Info!$B$4="Non-board program",
IF(OR(AND(H$5&gt;0,H$5&gt;100),AND(H$5&gt;0,H$5&lt;100)),
VLOOKUP(FLOOR(('Final Term'!H19/H$5)*100,1),new_transmute,2,FALSE),
VLOOKUP('Final Term'!H19,new_transmute,2,FALSE)
),
IF(Info!$B$4="Board program",
IF(OR(AND(H$5&gt;0,H$5&gt;100),AND(H$5&gt;0,H$5&lt;100)),
VLOOKUP(FLOOR(('Final Term'!H19/H$5)*100,1),new_transmute,3,FALSE),
VLOOKUP('Final Term'!H19,new_transmute,3,FALSE)
),
IF(Info!$B$4="Board program (Medicine)",
IF(OR(AND(H$5&gt;0,H$5&gt;100),AND(H$5&gt;0,H$5&lt;100)),
VLOOKUP(FLOOR(('Final Term'!H19/H$5)*100,1),new_transmute,4,FALSE),
VLOOKUP('Final Term'!H19,new_transmute,4,FALSE)
),
""
)
)
)
)
)
)
)
)
))</f>
        <v/>
      </c>
      <c r="I19" s="73" t="str">
        <f>IF($B19="","",
IF(I$5="","",
IF('Final Term'!I19="",0,
IF(NOT(ISNUMBER('Final Term'!I19)),"NAN",
IF('Final Term'!I19&lt;0,"NEG",
IF('Final Term'!I19&gt;I$5,"OVER",
IF(AND(I$5&lt;=100,'Final Term'!I19&gt;100),"ERR",
IF(Info!$B$4="Non-board program",
IF(OR(AND(I$5&gt;0,I$5&gt;100),AND(I$5&gt;0,I$5&lt;100)),
VLOOKUP(FLOOR(('Final Term'!I19/I$5)*100,1),new_transmute,2,FALSE),
VLOOKUP('Final Term'!I19,new_transmute,2,FALSE)
),
IF(Info!$B$4="Board program",
IF(OR(AND(I$5&gt;0,I$5&gt;100),AND(I$5&gt;0,I$5&lt;100)),
VLOOKUP(FLOOR(('Final Term'!I19/I$5)*100,1),new_transmute,3,FALSE),
VLOOKUP('Final Term'!I19,new_transmute,3,FALSE)
),
IF(Info!$B$4="Board program (Medicine)",
IF(OR(AND(I$5&gt;0,I$5&gt;100),AND(I$5&gt;0,I$5&lt;100)),
VLOOKUP(FLOOR(('Final Term'!I19/I$5)*100,1),new_transmute,4,FALSE),
VLOOKUP('Final Term'!I19,new_transmute,4,FALSE)
),
""
)
)
)
)
)
)
)
)
))</f>
        <v/>
      </c>
      <c r="J19" s="73" t="str">
        <f>IF($B19="","",
IF(J$5="","",
IF('Final Term'!J19="",0,
IF(NOT(ISNUMBER('Final Term'!J19)),"NAN",
IF('Final Term'!J19&lt;0,"NEG",
IF('Final Term'!J19&gt;J$5,"OVER",
IF(AND(J$5&lt;=100,'Final Term'!J19&gt;100),"ERR",
IF(Info!$B$4="Non-board program",
IF(OR(AND(J$5&gt;0,J$5&gt;100),AND(J$5&gt;0,J$5&lt;100)),
VLOOKUP(FLOOR(('Final Term'!J19/J$5)*100,1),new_transmute,2,FALSE),
VLOOKUP('Final Term'!J19,new_transmute,2,FALSE)
),
IF(Info!$B$4="Board program",
IF(OR(AND(J$5&gt;0,J$5&gt;100),AND(J$5&gt;0,J$5&lt;100)),
VLOOKUP(FLOOR(('Final Term'!J19/J$5)*100,1),new_transmute,3,FALSE),
VLOOKUP('Final Term'!J19,new_transmute,3,FALSE)
),
IF(Info!$B$4="Board program (Medicine)",
IF(OR(AND(J$5&gt;0,J$5&gt;100),AND(J$5&gt;0,J$5&lt;100)),
VLOOKUP(FLOOR(('Final Term'!J19/J$5)*100,1),new_transmute,4,FALSE),
VLOOKUP('Final Term'!J19,new_transmute,4,FALSE)
),
""
)
)
)
)
)
)
)
)
))</f>
        <v/>
      </c>
      <c r="K19" s="73" t="str">
        <f>IF($B19="","",
IF(K$5="","",
IF('Final Term'!K19="",0,
IF(NOT(ISNUMBER('Final Term'!K19)),"NAN",
IF('Final Term'!K19&lt;0,"NEG",
IF('Final Term'!K19&gt;K$5,"OVER",
IF(AND(K$5&lt;=100,'Final Term'!K19&gt;100),"ERR",
IF(Info!$B$4="Non-board program",
IF(OR(AND(K$5&gt;0,K$5&gt;100),AND(K$5&gt;0,K$5&lt;100)),
VLOOKUP(FLOOR(('Final Term'!K19/K$5)*100,1),new_transmute,2,FALSE),
VLOOKUP('Final Term'!K19,new_transmute,2,FALSE)
),
IF(Info!$B$4="Board program",
IF(OR(AND(K$5&gt;0,K$5&gt;100),AND(K$5&gt;0,K$5&lt;100)),
VLOOKUP(FLOOR(('Final Term'!K19/K$5)*100,1),new_transmute,3,FALSE),
VLOOKUP('Final Term'!K19,new_transmute,3,FALSE)
),
IF(Info!$B$4="Board program (Medicine)",
IF(OR(AND(K$5&gt;0,K$5&gt;100),AND(K$5&gt;0,K$5&lt;100)),
VLOOKUP(FLOOR(('Final Term'!K19/K$5)*100,1),new_transmute,4,FALSE),
VLOOKUP('Final Term'!K19,new_transmute,4,FALSE)
),
""
)
)
)
)
)
)
)
)
))</f>
        <v/>
      </c>
      <c r="L19" s="73" t="str">
        <f>IF($B19="","",
IF(L$5="","",
IF('Final Term'!L19="",0,
IF(NOT(ISNUMBER('Final Term'!L19)),"NAN",
IF('Final Term'!L19&lt;0,"NEG",
IF('Final Term'!L19&gt;L$5,"OVER",
IF(AND(L$5&lt;=100,'Final Term'!L19&gt;100),"ERR",
IF(Info!$B$4="Non-board program",
IF(OR(AND(L$5&gt;0,L$5&gt;100),AND(L$5&gt;0,L$5&lt;100)),
VLOOKUP(FLOOR(('Final Term'!L19/L$5)*100,1),new_transmute,2,FALSE),
VLOOKUP('Final Term'!L19,new_transmute,2,FALSE)
),
IF(Info!$B$4="Board program",
IF(OR(AND(L$5&gt;0,L$5&gt;100),AND(L$5&gt;0,L$5&lt;100)),
VLOOKUP(FLOOR(('Final Term'!L19/L$5)*100,1),new_transmute,3,FALSE),
VLOOKUP('Final Term'!L19,new_transmute,3,FALSE)
),
IF(Info!$B$4="Board program (Medicine)",
IF(OR(AND(L$5&gt;0,L$5&gt;100),AND(L$5&gt;0,L$5&lt;100)),
VLOOKUP(FLOOR(('Final Term'!L19/L$5)*100,1),new_transmute,4,FALSE),
VLOOKUP('Final Term'!L19,new_transmute,4,FALSE)
),
""
)
)
)
)
)
)
)
)
))</f>
        <v/>
      </c>
      <c r="M19" s="111" t="str">
        <f t="shared" si="2"/>
        <v/>
      </c>
      <c r="N19" s="73" t="str">
        <f>IF($B19="","",
IF(N$5="","",
IF('Final Term'!N19="",0,
IF(NOT(ISNUMBER('Final Term'!N19)),"NAN",
IF('Final Term'!N19&lt;0,"NEG",
IF('Final Term'!N19&gt;N$5,"OVER",
IF(AND(N$5&lt;=100,'Final Term'!N19&gt;100),"ERR",
IF(Info!$B$4="Non-board program",
IF(OR(AND(N$5&gt;0,N$5&gt;100),AND(N$5&gt;0,N$5&lt;100)),
VLOOKUP(FLOOR(('Final Term'!N19/N$5)*100,1),new_transmute,2,FALSE),
VLOOKUP('Final Term'!N19,new_transmute,2,FALSE)
),
IF(Info!$B$4="Board program",
IF(OR(AND(N$5&gt;0,N$5&gt;100),AND(N$5&gt;0,N$5&lt;100)),
VLOOKUP(FLOOR(('Final Term'!N19/N$5)*100,1),new_transmute,3,FALSE),
VLOOKUP('Final Term'!N19,new_transmute,3,FALSE)
),
IF(Info!$B$4="Board program (Medicine)",
IF(OR(AND(N$5&gt;0,N$5&gt;100),AND(N$5&gt;0,N$5&lt;100)),
VLOOKUP(FLOOR(('Final Term'!N19/N$5)*100,1),new_transmute,4,FALSE),
VLOOKUP('Final Term'!N19,new_transmute,4,FALSE)
),
""
)
)
)
)
)
)
)
)
))</f>
        <v/>
      </c>
      <c r="O19" s="73" t="str">
        <f>IF($B19="","",
IF(O$5="","",
IF('Final Term'!O19="",0,
IF(NOT(ISNUMBER('Final Term'!O19)),"NAN",
IF('Final Term'!O19&lt;0,"NEG",
IF('Final Term'!O19&gt;O$5,"OVER",
IF(AND(O$5&lt;=100,'Final Term'!O19&gt;100),"ERR",
IF(Info!$B$4="Non-board program",
IF(OR(AND(O$5&gt;0,O$5&gt;100),AND(O$5&gt;0,O$5&lt;100)),
VLOOKUP(FLOOR(('Final Term'!O19/O$5)*100,1),new_transmute,2,FALSE),
VLOOKUP('Final Term'!O19,new_transmute,2,FALSE)
),
IF(Info!$B$4="Board program",
IF(OR(AND(O$5&gt;0,O$5&gt;100),AND(O$5&gt;0,O$5&lt;100)),
VLOOKUP(FLOOR(('Final Term'!O19/O$5)*100,1),new_transmute,3,FALSE),
VLOOKUP('Final Term'!O19,new_transmute,3,FALSE)
),
IF(Info!$B$4="Board program (Medicine)",
IF(OR(AND(O$5&gt;0,O$5&gt;100),AND(O$5&gt;0,O$5&lt;100)),
VLOOKUP(FLOOR(('Final Term'!O19/O$5)*100,1),new_transmute,4,FALSE),
VLOOKUP('Final Term'!O19,new_transmute,4,FALSE)
),
""
)
)
)
)
)
)
)
)
))</f>
        <v/>
      </c>
      <c r="P19" s="73" t="str">
        <f>IF($B19="","",
IF(P$5="","",
IF('Final Term'!P19="",0,
IF(NOT(ISNUMBER('Final Term'!P19)),"NAN",
IF('Final Term'!P19&lt;0,"NEG",
IF('Final Term'!P19&gt;P$5,"OVER",
IF(AND(P$5&lt;=100,'Final Term'!P19&gt;100),"ERR",
IF(Info!$B$4="Non-board program",
IF(OR(AND(P$5&gt;0,P$5&gt;100),AND(P$5&gt;0,P$5&lt;100)),
VLOOKUP(FLOOR(('Final Term'!P19/P$5)*100,1),new_transmute,2,FALSE),
VLOOKUP('Final Term'!P19,new_transmute,2,FALSE)
),
IF(Info!$B$4="Board program",
IF(OR(AND(P$5&gt;0,P$5&gt;100),AND(P$5&gt;0,P$5&lt;100)),
VLOOKUP(FLOOR(('Final Term'!P19/P$5)*100,1),new_transmute,3,FALSE),
VLOOKUP('Final Term'!P19,new_transmute,3,FALSE)
),
IF(Info!$B$4="Board program (Medicine)",
IF(OR(AND(P$5&gt;0,P$5&gt;100),AND(P$5&gt;0,P$5&lt;100)),
VLOOKUP(FLOOR(('Final Term'!P19/P$5)*100,1),new_transmute,4,FALSE),
VLOOKUP('Final Term'!P19,new_transmute,4,FALSE)
),
""
)
)
)
)
)
)
)
)
))</f>
        <v/>
      </c>
      <c r="Q19" s="73" t="str">
        <f>IF($B19="","",
IF(Q$5="","",
IF('Final Term'!Q19="",0,
IF(NOT(ISNUMBER('Final Term'!Q19)),"NAN",
IF('Final Term'!Q19&lt;0,"NEG",
IF('Final Term'!Q19&gt;Q$5,"OVER",
IF(AND(Q$5&lt;=100,'Final Term'!Q19&gt;100),"ERR",
IF(Info!$B$4="Non-board program",
IF(OR(AND(Q$5&gt;0,Q$5&gt;100),AND(Q$5&gt;0,Q$5&lt;100)),
VLOOKUP(FLOOR(('Final Term'!Q19/Q$5)*100,1),new_transmute,2,FALSE),
VLOOKUP('Final Term'!Q19,new_transmute,2,FALSE)
),
IF(Info!$B$4="Board program",
IF(OR(AND(Q$5&gt;0,Q$5&gt;100),AND(Q$5&gt;0,Q$5&lt;100)),
VLOOKUP(FLOOR(('Final Term'!Q19/Q$5)*100,1),new_transmute,3,FALSE),
VLOOKUP('Final Term'!Q19,new_transmute,3,FALSE)
),
IF(Info!$B$4="Board program (Medicine)",
IF(OR(AND(Q$5&gt;0,Q$5&gt;100),AND(Q$5&gt;0,Q$5&lt;100)),
VLOOKUP(FLOOR(('Final Term'!Q19/Q$5)*100,1),new_transmute,4,FALSE),
VLOOKUP('Final Term'!Q19,new_transmute,4,FALSE)
),
""
)
)
)
)
)
)
)
)
))</f>
        <v/>
      </c>
      <c r="R19" s="73" t="str">
        <f>IF($B19="","",
IF(R$5="","",
IF('Final Term'!R19="",0,
IF(NOT(ISNUMBER('Final Term'!R19)),"NAN",
IF('Final Term'!R19&lt;0,"NEG",
IF('Final Term'!R19&gt;R$5,"OVER",
IF(AND(R$5&lt;=100,'Final Term'!R19&gt;100),"ERR",
IF(Info!$B$4="Non-board program",
IF(OR(AND(R$5&gt;0,R$5&gt;100),AND(R$5&gt;0,R$5&lt;100)),
VLOOKUP(FLOOR(('Final Term'!R19/R$5)*100,1),new_transmute,2,FALSE),
VLOOKUP('Final Term'!R19,new_transmute,2,FALSE)
),
IF(Info!$B$4="Board program",
IF(OR(AND(R$5&gt;0,R$5&gt;100),AND(R$5&gt;0,R$5&lt;100)),
VLOOKUP(FLOOR(('Final Term'!R19/R$5)*100,1),new_transmute,3,FALSE),
VLOOKUP('Final Term'!R19,new_transmute,3,FALSE)
),
IF(Info!$B$4="Board program (Medicine)",
IF(OR(AND(R$5&gt;0,R$5&gt;100),AND(R$5&gt;0,R$5&lt;100)),
VLOOKUP(FLOOR(('Final Term'!R19/R$5)*100,1),new_transmute,4,FALSE),
VLOOKUP('Final Term'!R19,new_transmute,4,FALSE)
),
""
)
)
)
)
)
)
)
)
))</f>
        <v/>
      </c>
      <c r="S19" s="115" t="str">
        <f t="shared" si="3"/>
        <v/>
      </c>
      <c r="T19" s="73" t="str">
        <f>IF($B19="","",
IF(T$5="","",
IF('Final Term'!T19="",0,
IF(NOT(ISNUMBER('Final Term'!T19)),"NAN",
IF('Final Term'!T19&lt;0,"NEG",
IF('Final Term'!T19&gt;T$5,"OVER",
IF(AND(T$5&lt;=100,'Final Term'!T19&gt;100),"ERR",
IF(Info!$B$4="Non-board program",
IF(OR(AND(T$5&gt;0,T$5&gt;100),AND(T$5&gt;0,T$5&lt;100)),
VLOOKUP(FLOOR(('Final Term'!T19/T$5)*100,1),new_transmute,2,FALSE),
VLOOKUP('Final Term'!T19,new_transmute,2,FALSE)
),
IF(Info!$B$4="Board program",
IF(OR(AND(T$5&gt;0,T$5&gt;100),AND(T$5&gt;0,T$5&lt;100)),
VLOOKUP(FLOOR(('Final Term'!T19/T$5)*100,1),new_transmute,3,FALSE),
VLOOKUP('Final Term'!T19,new_transmute,3,FALSE)
),
IF(Info!$B$4="Board program (Medicine)",
IF(OR(AND(T$5&gt;0,T$5&gt;100),AND(T$5&gt;0,T$5&lt;100)),
VLOOKUP(FLOOR(('Final Term'!T19/T$5)*100,1),new_transmute,4,FALSE),
VLOOKUP('Final Term'!T19,new_transmute,4,FALSE)
),
""
)
)
)
)
)
)
)
)
))</f>
        <v/>
      </c>
      <c r="U19" s="73" t="str">
        <f>IF($B19="","",
IF(U$5="","",
IF('Final Term'!U19="",0,
IF(NOT(ISNUMBER('Final Term'!U19)),"NAN",
IF('Final Term'!U19&lt;0,"NEG",
IF('Final Term'!U19&gt;U$5,"OVER",
IF(AND(U$5&lt;=100,'Final Term'!U19&gt;100),"ERR",
IF(Info!$B$4="Non-board program",
IF(OR(AND(U$5&gt;0,U$5&gt;100),AND(U$5&gt;0,U$5&lt;100)),
VLOOKUP(FLOOR(('Final Term'!U19/U$5)*100,1),new_transmute,2,FALSE),
VLOOKUP('Final Term'!U19,new_transmute,2,FALSE)
),
IF(Info!$B$4="Board program",
IF(OR(AND(U$5&gt;0,U$5&gt;100),AND(U$5&gt;0,U$5&lt;100)),
VLOOKUP(FLOOR(('Final Term'!U19/U$5)*100,1),new_transmute,3,FALSE),
VLOOKUP('Final Term'!U19,new_transmute,3,FALSE)
),
IF(Info!$B$4="Board program (Medicine)",
IF(OR(AND(U$5&gt;0,U$5&gt;100),AND(U$5&gt;0,U$5&lt;100)),
VLOOKUP(FLOOR(('Final Term'!U19/U$5)*100,1),new_transmute,4,FALSE),
VLOOKUP('Final Term'!U19,new_transmute,4,FALSE)
),
""
)
)
)
)
)
)
)
)
))</f>
        <v/>
      </c>
      <c r="V19" s="73" t="str">
        <f>IF($B19="","",
IF(V$5="","",
IF('Final Term'!V19="",0,
IF(NOT(ISNUMBER('Final Term'!V19)),"NAN",
IF('Final Term'!V19&lt;0,"NEG",
IF('Final Term'!V19&gt;V$5,"OVER",
IF(AND(V$5&lt;=100,'Final Term'!V19&gt;100),"ERR",
IF(Info!$B$4="Non-board program",
IF(OR(AND(V$5&gt;0,V$5&gt;100),AND(V$5&gt;0,V$5&lt;100)),
VLOOKUP(FLOOR(('Final Term'!V19/V$5)*100,1),new_transmute,2,FALSE),
VLOOKUP('Final Term'!V19,new_transmute,2,FALSE)
),
IF(Info!$B$4="Board program",
IF(OR(AND(V$5&gt;0,V$5&gt;100),AND(V$5&gt;0,V$5&lt;100)),
VLOOKUP(FLOOR(('Final Term'!V19/V$5)*100,1),new_transmute,3,FALSE),
VLOOKUP('Final Term'!V19,new_transmute,3,FALSE)
),
IF(Info!$B$4="Board program (Medicine)",
IF(OR(AND(V$5&gt;0,V$5&gt;100),AND(V$5&gt;0,V$5&lt;100)),
VLOOKUP(FLOOR(('Final Term'!V19/V$5)*100,1),new_transmute,4,FALSE),
VLOOKUP('Final Term'!V19,new_transmute,4,FALSE)
),
""
)
)
)
)
)
)
)
)
))</f>
        <v/>
      </c>
      <c r="W19" s="73" t="str">
        <f>IF($B19="","",
IF(W$5="","",
IF('Final Term'!W19="",0,
IF(NOT(ISNUMBER('Final Term'!W19)),"NAN",
IF('Final Term'!W19&lt;0,"NEG",
IF('Final Term'!W19&gt;W$5,"OVER",
IF(AND(W$5&lt;=100,'Final Term'!W19&gt;100),"ERR",
IF(Info!$B$4="Non-board program",
IF(OR(AND(W$5&gt;0,W$5&gt;100),AND(W$5&gt;0,W$5&lt;100)),
VLOOKUP(FLOOR(('Final Term'!W19/W$5)*100,1),new_transmute,2,FALSE),
VLOOKUP('Final Term'!W19,new_transmute,2,FALSE)
),
IF(Info!$B$4="Board program",
IF(OR(AND(W$5&gt;0,W$5&gt;100),AND(W$5&gt;0,W$5&lt;100)),
VLOOKUP(FLOOR(('Final Term'!W19/W$5)*100,1),new_transmute,3,FALSE),
VLOOKUP('Final Term'!W19,new_transmute,3,FALSE)
),
IF(Info!$B$4="Board program (Medicine)",
IF(OR(AND(W$5&gt;0,W$5&gt;100),AND(W$5&gt;0,W$5&lt;100)),
VLOOKUP(FLOOR(('Final Term'!W19/W$5)*100,1),new_transmute,4,FALSE),
VLOOKUP('Final Term'!W19,new_transmute,4,FALSE)
),
""
)
)
)
)
)
)
)
)
))</f>
        <v/>
      </c>
      <c r="X19" s="73" t="str">
        <f>IF($B19="","",
IF(X$5="","",
IF('Final Term'!X19="",0,
IF(NOT(ISNUMBER('Final Term'!X19)),"NAN",
IF('Final Term'!X19&lt;0,"NEG",
IF('Final Term'!X19&gt;X$5,"OVER",
IF(AND(X$5&lt;=100,'Final Term'!X19&gt;100),"ERR",
IF(Info!$B$4="Non-board program",
IF(OR(AND(X$5&gt;0,X$5&gt;100),AND(X$5&gt;0,X$5&lt;100)),
VLOOKUP(FLOOR(('Final Term'!X19/X$5)*100,1),new_transmute,2,FALSE),
VLOOKUP('Final Term'!X19,new_transmute,2,FALSE)
),
IF(Info!$B$4="Board program",
IF(OR(AND(X$5&gt;0,X$5&gt;100),AND(X$5&gt;0,X$5&lt;100)),
VLOOKUP(FLOOR(('Final Term'!X19/X$5)*100,1),new_transmute,3,FALSE),
VLOOKUP('Final Term'!X19,new_transmute,3,FALSE)
),
IF(Info!$B$4="Board program (Medicine)",
IF(OR(AND(X$5&gt;0,X$5&gt;100),AND(X$5&gt;0,X$5&lt;100)),
VLOOKUP(FLOOR(('Final Term'!X19/X$5)*100,1),new_transmute,4,FALSE),
VLOOKUP('Final Term'!X19,new_transmute,4,FALSE)
),
""
)
)
)
)
)
)
)
)
))</f>
        <v/>
      </c>
      <c r="Y19" s="112" t="str">
        <f t="shared" si="4"/>
        <v/>
      </c>
      <c r="Z19" s="73" t="str">
        <f>IF($B19="","",
IF(Z$5="","",
IF('Final Term'!Z19="",0,
IF(NOT(ISNUMBER('Final Term'!Z19)),"NAN",
IF('Final Term'!Z19&lt;0,"NEG",
IF('Final Term'!Z19&gt;Z$5,"OVER",
IF(AND(Z$5&lt;=100,'Final Term'!Z19&gt;100),"ERR",
IF(Info!$B$4="Non-board program",
IF(OR(AND(Z$5&gt;0,Z$5&gt;100),AND(Z$5&gt;0,Z$5&lt;100)),
VLOOKUP(FLOOR(('Final Term'!Z19/Z$5)*100,1),new_transmute,2,FALSE),
VLOOKUP('Final Term'!Z19,new_transmute,2,FALSE)
),
IF(Info!$B$4="Board program",
IF(OR(AND(Z$5&gt;0,Z$5&gt;100),AND(Z$5&gt;0,Z$5&lt;100)),
VLOOKUP(FLOOR(('Final Term'!Z19/Z$5)*100,1),new_transmute,3,FALSE),
VLOOKUP('Final Term'!Z19,new_transmute,3,FALSE)
),
IF(Info!$B$4="Board program (Medicine)",
IF(OR(AND(Z$5&gt;0,Z$5&gt;100),AND(Z$5&gt;0,Z$5&lt;100)),
VLOOKUP(FLOOR(('Final Term'!Z19/Z$5)*100,1),new_transmute,4,FALSE),
VLOOKUP('Final Term'!Z19,new_transmute,4,FALSE)
),
""
)
)
)
)
)
)
)
)
))</f>
        <v/>
      </c>
      <c r="AA19" s="73" t="str">
        <f>IF($B19="","",
IF(AA$5="","",
IF('Final Term'!AA19="",0,
IF(NOT(ISNUMBER('Final Term'!AA19)),"NAN",
IF('Final Term'!AA19&lt;0,"NEG",
IF('Final Term'!AA19&gt;AA$5,"OVER",
IF(AND(AA$5&lt;=100,'Final Term'!AA19&gt;100),"ERR",
IF(Info!$B$4="Non-board program",
IF(OR(AND(AA$5&gt;0,AA$5&gt;100),AND(AA$5&gt;0,AA$5&lt;100)),
VLOOKUP(FLOOR(('Final Term'!AA19/AA$5)*100,1),new_transmute,2,FALSE),
VLOOKUP('Final Term'!AA19,new_transmute,2,FALSE)
),
IF(Info!$B$4="Board program",
IF(OR(AND(AA$5&gt;0,AA$5&gt;100),AND(AA$5&gt;0,AA$5&lt;100)),
VLOOKUP(FLOOR(('Final Term'!AA19/AA$5)*100,1),new_transmute,3,FALSE),
VLOOKUP('Final Term'!AA19,new_transmute,3,FALSE)
),
IF(Info!$B$4="Board program (Medicine)",
IF(OR(AND(AA$5&gt;0,AA$5&gt;100),AND(AA$5&gt;0,AA$5&lt;100)),
VLOOKUP(FLOOR(('Final Term'!AA19/AA$5)*100,1),new_transmute,4,FALSE),
VLOOKUP('Final Term'!AA19,new_transmute,4,FALSE)
),
""
)
)
)
)
)
)
)
)
))</f>
        <v/>
      </c>
      <c r="AB19" s="73" t="str">
        <f>IF($B19="","",
IF(AB$5="","",
IF('Final Term'!AB19="",0,
IF(NOT(ISNUMBER('Final Term'!AB19)),"NAN",
IF('Final Term'!AB19&lt;0,"NEG",
IF('Final Term'!AB19&gt;AB$5,"OVER",
IF(AND(AB$5&lt;=100,'Final Term'!AB19&gt;100),"ERR",
IF(Info!$B$4="Non-board program",
IF(OR(AND(AB$5&gt;0,AB$5&gt;100),AND(AB$5&gt;0,AB$5&lt;100)),
VLOOKUP(FLOOR(('Final Term'!AB19/AB$5)*100,1),new_transmute,2,FALSE),
VLOOKUP('Final Term'!AB19,new_transmute,2,FALSE)
),
IF(Info!$B$4="Board program",
IF(OR(AND(AB$5&gt;0,AB$5&gt;100),AND(AB$5&gt;0,AB$5&lt;100)),
VLOOKUP(FLOOR(('Final Term'!AB19/AB$5)*100,1),new_transmute,3,FALSE),
VLOOKUP('Final Term'!AB19,new_transmute,3,FALSE)
),
IF(Info!$B$4="Board program (Medicine)",
IF(OR(AND(AB$5&gt;0,AB$5&gt;100),AND(AB$5&gt;0,AB$5&lt;100)),
VLOOKUP(FLOOR(('Final Term'!AB19/AB$5)*100,1),new_transmute,4,FALSE),
VLOOKUP('Final Term'!AB19,new_transmute,4,FALSE)
),
""
)
)
)
)
)
)
)
)
))</f>
        <v/>
      </c>
      <c r="AC19" s="73" t="str">
        <f>IF($B19="","",
IF(AC$5="","",
IF('Final Term'!AC19="",0,
IF(NOT(ISNUMBER('Final Term'!AC19)),"NAN",
IF('Final Term'!AC19&lt;0,"NEG",
IF('Final Term'!AC19&gt;AC$5,"OVER",
IF(AND(AC$5&lt;=100,'Final Term'!AC19&gt;100),"ERR",
IF(Info!$B$4="Non-board program",
IF(OR(AND(AC$5&gt;0,AC$5&gt;100),AND(AC$5&gt;0,AC$5&lt;100)),
VLOOKUP(FLOOR(('Final Term'!AC19/AC$5)*100,1),new_transmute,2,FALSE),
VLOOKUP('Final Term'!AC19,new_transmute,2,FALSE)
),
IF(Info!$B$4="Board program",
IF(OR(AND(AC$5&gt;0,AC$5&gt;100),AND(AC$5&gt;0,AC$5&lt;100)),
VLOOKUP(FLOOR(('Final Term'!AC19/AC$5)*100,1),new_transmute,3,FALSE),
VLOOKUP('Final Term'!AC19,new_transmute,3,FALSE)
),
IF(Info!$B$4="Board program (Medicine)",
IF(OR(AND(AC$5&gt;0,AC$5&gt;100),AND(AC$5&gt;0,AC$5&lt;100)),
VLOOKUP(FLOOR(('Final Term'!AC19/AC$5)*100,1),new_transmute,4,FALSE),
VLOOKUP('Final Term'!AC19,new_transmute,4,FALSE)
),
""
)
)
)
)
)
)
)
)
))</f>
        <v/>
      </c>
      <c r="AD19" s="73" t="str">
        <f>IF($B19="","",
IF(AD$5="","",
IF('Final Term'!AD19="",0,
IF(NOT(ISNUMBER('Final Term'!AD19)),"NAN",
IF('Final Term'!AD19&lt;0,"NEG",
IF('Final Term'!AD19&gt;AD$5,"OVER",
IF(AND(AD$5&lt;=100,'Final Term'!AD19&gt;100),"ERR",
IF(Info!$B$4="Non-board program",
IF(OR(AND(AD$5&gt;0,AD$5&gt;100),AND(AD$5&gt;0,AD$5&lt;100)),
VLOOKUP(FLOOR(('Final Term'!AD19/AD$5)*100,1),new_transmute,2,FALSE),
VLOOKUP('Final Term'!AD19,new_transmute,2,FALSE)
),
IF(Info!$B$4="Board program",
IF(OR(AND(AD$5&gt;0,AD$5&gt;100),AND(AD$5&gt;0,AD$5&lt;100)),
VLOOKUP(FLOOR(('Final Term'!AD19/AD$5)*100,1),new_transmute,3,FALSE),
VLOOKUP('Final Term'!AD19,new_transmute,3,FALSE)
),
IF(Info!$B$4="Board program (Medicine)",
IF(OR(AND(AD$5&gt;0,AD$5&gt;100),AND(AD$5&gt;0,AD$5&lt;100)),
VLOOKUP(FLOOR(('Final Term'!AD19/AD$5)*100,1),new_transmute,4,FALSE),
VLOOKUP('Final Term'!AD19,new_transmute,4,FALSE)
),
""
)
)
)
)
)
)
)
)
))</f>
        <v/>
      </c>
      <c r="AE19" s="58" t="str">
        <f t="shared" si="5"/>
        <v/>
      </c>
      <c r="AF19" s="73" t="str">
        <f>IF($B19="","",
IF(AF$5="","",
IF('Final Term'!AF19="",0,
IF(NOT(ISNUMBER('Final Term'!AF19)),"NAN",
IF('Final Term'!AF19&lt;0,"NEG",
IF('Final Term'!AF19&gt;AF$5,"OVER",
IF(AND(AF$5&lt;=100,'Final Term'!AF19&gt;100),"ERR",
IF(Info!$B$4="Non-board program",
IF(OR(AND(AF$5&gt;0,AF$5&gt;100),AND(AF$5&gt;0,AF$5&lt;100)),
VLOOKUP(FLOOR(('Final Term'!AF19/AF$5)*100,1),new_transmute,2,FALSE),
VLOOKUP('Final Term'!AF19,new_transmute,2,FALSE)
),
IF(Info!$B$4="Board program",
IF(OR(AND(AF$5&gt;0,AF$5&gt;100),AND(AF$5&gt;0,AF$5&lt;100)),
VLOOKUP(FLOOR(('Final Term'!AF19/AF$5)*100,1),new_transmute,3,FALSE),
VLOOKUP('Final Term'!AF19,new_transmute,3,FALSE)
),
IF(Info!$B$4="Board program (Medicine)",
IF(OR(AND(AF$5&gt;0,AF$5&gt;100),AND(AF$5&gt;0,AF$5&lt;100)),
VLOOKUP(FLOOR(('Final Term'!AF19/AF$5)*100,1),new_transmute,4,FALSE),
VLOOKUP('Final Term'!AF19,new_transmute,4,FALSE)
),
""
)
)
)
)
)
)
)
)
))</f>
        <v/>
      </c>
      <c r="AG19" s="73" t="str">
        <f>IF($B19="","",
IF(AG$5="","",
IF('Final Term'!AG19="",0,
IF(NOT(ISNUMBER('Final Term'!AG19)),"NAN",
IF('Final Term'!AG19&lt;0,"NEG",
IF('Final Term'!AG19&gt;AG$5,"OVER",
IF(AND(AG$5&lt;=100,'Final Term'!AG19&gt;100),"ERR",
IF(Info!$B$4="Non-board program",
IF(OR(AND(AG$5&gt;0,AG$5&gt;100),AND(AG$5&gt;0,AG$5&lt;100)),
VLOOKUP(FLOOR(('Final Term'!AG19/AG$5)*100,1),new_transmute,2,FALSE),
VLOOKUP('Final Term'!AG19,new_transmute,2,FALSE)
),
IF(Info!$B$4="Board program",
IF(OR(AND(AG$5&gt;0,AG$5&gt;100),AND(AG$5&gt;0,AG$5&lt;100)),
VLOOKUP(FLOOR(('Final Term'!AG19/AG$5)*100,1),new_transmute,3,FALSE),
VLOOKUP('Final Term'!AG19,new_transmute,3,FALSE)
),
IF(Info!$B$4="Board program (Medicine)",
IF(OR(AND(AG$5&gt;0,AG$5&gt;100),AND(AG$5&gt;0,AG$5&lt;100)),
VLOOKUP(FLOOR(('Final Term'!AG19/AG$5)*100,1),new_transmute,4,FALSE),
VLOOKUP('Final Term'!AG19,new_transmute,4,FALSE)
),
""
)
)
)
)
)
)
)
)
))</f>
        <v/>
      </c>
      <c r="AH19" s="73" t="str">
        <f>IF($B19="","",
IF(AH$5="","",
IF('Final Term'!AH19="",0,
IF(NOT(ISNUMBER('Final Term'!AH19)),"NAN",
IF('Final Term'!AH19&lt;0,"NEG",
IF('Final Term'!AH19&gt;AH$5,"OVER",
IF(AND(AH$5&lt;=100,'Final Term'!AH19&gt;100),"ERR",
IF(Info!$B$4="Non-board program",
IF(OR(AND(AH$5&gt;0,AH$5&gt;100),AND(AH$5&gt;0,AH$5&lt;100)),
VLOOKUP(FLOOR(('Final Term'!AH19/AH$5)*100,1),new_transmute,2,FALSE),
VLOOKUP('Final Term'!AH19,new_transmute,2,FALSE)
),
IF(Info!$B$4="Board program",
IF(OR(AND(AH$5&gt;0,AH$5&gt;100),AND(AH$5&gt;0,AH$5&lt;100)),
VLOOKUP(FLOOR(('Final Term'!AH19/AH$5)*100,1),new_transmute,3,FALSE),
VLOOKUP('Final Term'!AH19,new_transmute,3,FALSE)
),
IF(Info!$B$4="Board program (Medicine)",
IF(OR(AND(AH$5&gt;0,AH$5&gt;100),AND(AH$5&gt;0,AH$5&lt;100)),
VLOOKUP(FLOOR(('Final Term'!AH19/AH$5)*100,1),new_transmute,4,FALSE),
VLOOKUP('Final Term'!AH19,new_transmute,4,FALSE)
),
""
)
)
)
)
)
)
)
)
))</f>
        <v/>
      </c>
      <c r="AI19" s="73" t="str">
        <f>IF($B19="","",
IF(AI$5="","",
IF('Final Term'!AI19="",0,
IF(NOT(ISNUMBER('Final Term'!AI19)),"NAN",
IF('Final Term'!AI19&lt;0,"NEG",
IF('Final Term'!AI19&gt;AI$5,"OVER",
IF(AND(AI$5&lt;=100,'Final Term'!AI19&gt;100),"ERR",
IF(Info!$B$4="Non-board program",
IF(OR(AND(AI$5&gt;0,AI$5&gt;100),AND(AI$5&gt;0,AI$5&lt;100)),
VLOOKUP(FLOOR(('Final Term'!AI19/AI$5)*100,1),new_transmute,2,FALSE),
VLOOKUP('Final Term'!AI19,new_transmute,2,FALSE)
),
IF(Info!$B$4="Board program",
IF(OR(AND(AI$5&gt;0,AI$5&gt;100),AND(AI$5&gt;0,AI$5&lt;100)),
VLOOKUP(FLOOR(('Final Term'!AI19/AI$5)*100,1),new_transmute,3,FALSE),
VLOOKUP('Final Term'!AI19,new_transmute,3,FALSE)
),
IF(Info!$B$4="Board program (Medicine)",
IF(OR(AND(AI$5&gt;0,AI$5&gt;100),AND(AI$5&gt;0,AI$5&lt;100)),
VLOOKUP(FLOOR(('Final Term'!AI19/AI$5)*100,1),new_transmute,4,FALSE),
VLOOKUP('Final Term'!AI19,new_transmute,4,FALSE)
),
""
)
)
)
)
)
)
)
)
))</f>
        <v/>
      </c>
      <c r="AJ19" s="73" t="str">
        <f>IF($B19="","",
IF(AJ$5="","",
IF('Final Term'!AJ19="",0,
IF(NOT(ISNUMBER('Final Term'!AJ19)),"NAN",
IF('Final Term'!AJ19&lt;0,"NEG",
IF('Final Term'!AJ19&gt;AJ$5,"OVER",
IF(AND(AJ$5&lt;=100,'Final Term'!AJ19&gt;100),"ERR",
IF(Info!$B$4="Non-board program",
IF(OR(AND(AJ$5&gt;0,AJ$5&gt;100),AND(AJ$5&gt;0,AJ$5&lt;100)),
VLOOKUP(FLOOR(('Final Term'!AJ19/AJ$5)*100,1),new_transmute,2,FALSE),
VLOOKUP('Final Term'!AJ19,new_transmute,2,FALSE)
),
IF(Info!$B$4="Board program",
IF(OR(AND(AJ$5&gt;0,AJ$5&gt;100),AND(AJ$5&gt;0,AJ$5&lt;100)),
VLOOKUP(FLOOR(('Final Term'!AJ19/AJ$5)*100,1),new_transmute,3,FALSE),
VLOOKUP('Final Term'!AJ19,new_transmute,3,FALSE)
),
IF(Info!$B$4="Board program (Medicine)",
IF(OR(AND(AJ$5&gt;0,AJ$5&gt;100),AND(AJ$5&gt;0,AJ$5&lt;100)),
VLOOKUP(FLOOR(('Final Term'!AJ19/AJ$5)*100,1),new_transmute,4,FALSE),
VLOOKUP('Final Term'!AJ19,new_transmute,4,FALSE)
),
""
)
)
)
)
)
)
)
)
))</f>
        <v/>
      </c>
      <c r="AK19" s="59" t="str">
        <f t="shared" si="6"/>
        <v/>
      </c>
      <c r="AL19" s="60" t="str">
        <f>IF(B19="", "",
    IF(OR(M19="OVER", S19="OVER", Y19="OVER", AE19="OVER", AK19="OVER"),
        "OVER",
        IF(Info!$B$4="Non-board program",
            VLOOKUP(IFERROR(FLOOR(SUM((M19*$M$4), (S19*$S$4), (Y19*$Y$4), (AE19*$AE$4), (AK19*$AK$4)) * (100 / 60), 1), 0), new_transmute, 2, FALSE),
            IF(Info!$B$4="Board program",
                VLOOKUP(IFERROR(FLOOR(SUM((M19*$M$4), (S19*$S$4), (Y19*$Y$4), (AE19*$AE$4), (AK19*$AK$4)) * (100 / 60), 1), 0), new_transmute, 3, FALSE),
                IF(Info!$B$4="Board program (Medicine)",
                    VLOOKUP(IFERROR(FLOOR(SUM((M19*$M$4), (S19*$S$4), (Y19*$Y$4), (AE19*$AE$4), (AK19*$AK$4)) * (100 / 60), 1), 0), new_transmute, 4, FALSE),
                    ""
                )
            )
        )
    )
)</f>
        <v/>
      </c>
      <c r="AM19" s="73" t="str">
        <f>IF($B19="","",
IF(AM$5="","",
IF('Final Term'!AM19="",0,
IF(NOT(ISNUMBER('Final Term'!AM19)),"NAN",
IF('Final Term'!AM19&lt;0,"NEG",
IF('Final Term'!AM19&gt;AM$5,"OVER",
IF(AND(AM$5&lt;=100,'Final Term'!AM19&gt;100),"ERR",
IF(Info!$B$4="Non-board program",
IF(OR(AND(AM$5&gt;0,AM$5&gt;100),AND(AM$5&gt;0,AM$5&lt;100)),
VLOOKUP(FLOOR(('Final Term'!AM19/AM$5)*100,1),new_transmute,2,FALSE),
VLOOKUP('Final Term'!AM19,new_transmute,2,FALSE)
),
IF(Info!$B$4="Board program",
IF(OR(AND(AM$5&gt;0,AM$5&gt;100),AND(AM$5&gt;0,AM$5&lt;100)),
VLOOKUP(FLOOR(('Final Term'!AM19/AM$5)*100,1),new_transmute,3,FALSE),
VLOOKUP('Final Term'!AM19,new_transmute,3,FALSE)
),
IF(Info!$B$4="Board program (Medicine)",
IF(OR(AND(AM$5&gt;0,AM$5&gt;100),AND(AM$5&gt;0,AM$5&lt;100)),
VLOOKUP(FLOOR(('Final Term'!AM19/AM$5)*100,1),new_transmute,4,FALSE),
VLOOKUP('Final Term'!AM19,new_transmute,4,FALSE)
),
""
)
)
)
)
)
)
)
)
))</f>
        <v/>
      </c>
      <c r="AN19" s="73" t="str">
        <f>IF($B19="","",
IF(AN$5="","",
IF('Final Term'!AN19="",0,
IF(NOT(ISNUMBER('Final Term'!AN19)),"NAN",
IF('Final Term'!AN19&lt;0,"NEG",
IF('Final Term'!AN19&gt;AN$5,"OVER",
IF(AND(AN$5&lt;=100,'Final Term'!AN19&gt;100),"ERR",
IF(Info!$B$4="Non-board program",
IF(OR(AND(AN$5&gt;0,AN$5&gt;100),AND(AN$5&gt;0,AN$5&lt;100)),
VLOOKUP(FLOOR(('Final Term'!AN19/AN$5)*100,1),new_transmute,2,FALSE),
VLOOKUP('Final Term'!AN19,new_transmute,2,FALSE)
),
IF(Info!$B$4="Board program",
IF(OR(AND(AN$5&gt;0,AN$5&gt;100),AND(AN$5&gt;0,AN$5&lt;100)),
VLOOKUP(FLOOR(('Final Term'!AN19/AN$5)*100,1),new_transmute,3,FALSE),
VLOOKUP('Final Term'!AN19,new_transmute,3,FALSE)
),
IF(Info!$B$4="Board program (Medicine)",
IF(OR(AND(AN$5&gt;0,AN$5&gt;100),AND(AN$5&gt;0,AN$5&lt;100)),
VLOOKUP(FLOOR(('Final Term'!AN19/AN$5)*100,1),new_transmute,4,FALSE),
VLOOKUP('Final Term'!AN19,new_transmute,4,FALSE)
),
""
)
)
)
)
)
)
)
)
))</f>
        <v/>
      </c>
      <c r="AO19" s="73" t="str">
        <f>IF($B19="","",
IF(AO$5="","",
IF('Final Term'!AO19="",0,
IF(NOT(ISNUMBER('Final Term'!AO19)),"NAN",
IF('Final Term'!AO19&lt;0,"NEG",
IF('Final Term'!AO19&gt;AO$5,"OVER",
IF(AND(AO$5&lt;=100,'Final Term'!AO19&gt;100),"ERR",
IF(Info!$B$4="Non-board program",
IF(OR(AND(AO$5&gt;0,AO$5&gt;100),AND(AO$5&gt;0,AO$5&lt;100)),
VLOOKUP(FLOOR(('Final Term'!AO19/AO$5)*100,1),new_transmute,2,FALSE),
VLOOKUP('Final Term'!AO19,new_transmute,2,FALSE)
),
IF(Info!$B$4="Board program",
IF(OR(AND(AO$5&gt;0,AO$5&gt;100),AND(AO$5&gt;0,AO$5&lt;100)),
VLOOKUP(FLOOR(('Final Term'!AO19/AO$5)*100,1),new_transmute,3,FALSE),
VLOOKUP('Final Term'!AO19,new_transmute,3,FALSE)
),
IF(Info!$B$4="Board program (Medicine)",
IF(OR(AND(AO$5&gt;0,AO$5&gt;100),AND(AO$5&gt;0,AO$5&lt;100)),
VLOOKUP(FLOOR(('Final Term'!AO19/AO$5)*100,1),new_transmute,4,FALSE),
VLOOKUP('Final Term'!AO19,new_transmute,4,FALSE)
),
""
)
)
)
)
)
)
)
)
))</f>
        <v/>
      </c>
      <c r="AP19" s="73" t="str">
        <f>IF($B19="","",
IF(AP$5="","",
IF('Final Term'!AP19="",0,
IF(NOT(ISNUMBER('Final Term'!AP19)),"NAN",
IF('Final Term'!AP19&lt;0,"NEG",
IF('Final Term'!AP19&gt;AP$5,"OVER",
IF(AND(AP$5&lt;=100,'Final Term'!AP19&gt;100),"ERR",
IF(Info!$B$4="Non-board program",
IF(OR(AND(AP$5&gt;0,AP$5&gt;100),AND(AP$5&gt;0,AP$5&lt;100)),
VLOOKUP(FLOOR(('Final Term'!AP19/AP$5)*100,1),new_transmute,2,FALSE),
VLOOKUP('Final Term'!AP19,new_transmute,2,FALSE)
),
IF(Info!$B$4="Board program",
IF(OR(AND(AP$5&gt;0,AP$5&gt;100),AND(AP$5&gt;0,AP$5&lt;100)),
VLOOKUP(FLOOR(('Final Term'!AP19/AP$5)*100,1),new_transmute,3,FALSE),
VLOOKUP('Final Term'!AP19,new_transmute,3,FALSE)
),
IF(Info!$B$4="Board program (Medicine)",
IF(OR(AND(AP$5&gt;0,AP$5&gt;100),AND(AP$5&gt;0,AP$5&lt;100)),
VLOOKUP(FLOOR(('Final Term'!AP19/AP$5)*100,1),new_transmute,4,FALSE),
VLOOKUP('Final Term'!AP19,new_transmute,4,FALSE)
),
""
)
)
)
)
)
)
)
)
))</f>
        <v/>
      </c>
      <c r="AQ19" s="61" t="str">
        <f t="shared" si="7"/>
        <v/>
      </c>
      <c r="AR19" s="48" t="str">
        <f>IF('Final Term'!AR19="","",'Final Term'!AR19)</f>
        <v/>
      </c>
      <c r="AS19" s="165" t="str">
        <f t="shared" si="8"/>
        <v/>
      </c>
      <c r="AT19" s="14" t="str">
        <f t="shared" si="0"/>
        <v/>
      </c>
      <c r="AU19" s="13" t="str">
        <f>IF(B19="","",VLOOKUP(AT19,'New Grade Equivalent'!$B$3:$C$47,2,FALSE))</f>
        <v/>
      </c>
    </row>
    <row r="20" spans="1:47" x14ac:dyDescent="0.25">
      <c r="A20" s="8">
        <v>15</v>
      </c>
      <c r="B20" s="2" t="str">
        <f>IF('Student List'!C24="","",UPPER(LEFT('Student List'!C24,FIND(",",'Student List'!C24)-1)))</f>
        <v/>
      </c>
      <c r="C20" s="12" t="str">
        <f>IF('Student List'!C24="","",PROPER(MID('Student List'!C24, FIND(",", 'Student List'!C24) + 2, LEN('Student List'!C24) - FIND(",", 'Student List'!C24) - 1)))</f>
        <v/>
      </c>
      <c r="D20" s="127" t="str">
        <f>IF('Final Term'!D20="","",'Final Term'!D20)</f>
        <v/>
      </c>
      <c r="E20" s="8" t="str">
        <f>IF(MidCom!E20="FA", "FA",
    IF(MidCom!E20="DRP", "DRP",
        IF(MidCom!E20="WF", "WF",
            IF(D20="Yes", "INC",
               IF((SUM('MT Attendance'!AW18) / 3 + SUM('MT Attendance'!AY18) + SUM('FT Attendance'!AW18) / 3 + SUM('FT Attendance'!AY18)) &gt;= 0.2 * (SUMPRODUCT(--(ISTEXT('MT Attendance'!$C$2:$AU$2))) + SUMPRODUCT(--(ISTEXT('FT Attendance'!$C$2:$AU$2)))), "FA",
                   MidCom!E20
                )
            )
        )
    )
)</f>
        <v/>
      </c>
      <c r="F20" s="73" t="str">
        <f>IF($B20="","",
IF(F$5="","",
IF('Final Term'!F20="",0,
IF(NOT(ISNUMBER('Final Term'!F20)),"NAN",
IF('Final Term'!F20&lt;0,"NEG",
IF('Final Term'!F20&gt;F$5,"OVER",
IF(AND(F$5&lt;=100,'Final Term'!F20&gt;100),"ERR",
IF(Info!$B$4="Non-board program",
IF(OR(AND(F$5&gt;0,F$5&gt;100),AND(F$5&gt;0,F$5&lt;100)),
VLOOKUP(FLOOR(('Final Term'!F20/F$5)*100,1),new_transmute,2,FALSE),
VLOOKUP('Final Term'!F20,new_transmute,2,FALSE)
),
IF(Info!$B$4="Board program",
IF(OR(AND(F$5&gt;0,F$5&gt;100),AND(F$5&gt;0,F$5&lt;100)),
VLOOKUP(FLOOR(('Final Term'!F20/F$5)*100,1),new_transmute,3,FALSE),
VLOOKUP('Final Term'!F20,new_transmute,3,FALSE)
),
IF(Info!$B$4="Board program (Medicine)",
IF(OR(AND(F$5&gt;0,F$5&gt;100),AND(F$5&gt;0,F$5&lt;100)),
VLOOKUP(FLOOR(('Final Term'!F20/F$5)*100,1),new_transmute,4,FALSE),
VLOOKUP('Final Term'!F20,new_transmute,4,FALSE)
),
""
)
)
)
)
)
)
)
)
))</f>
        <v/>
      </c>
      <c r="G20" s="57" t="str">
        <f t="shared" si="1"/>
        <v/>
      </c>
      <c r="H20" s="73" t="str">
        <f>IF($B20="","",
IF(H$5="","",
IF('Final Term'!H20="",0,
IF(NOT(ISNUMBER('Final Term'!H20)),"NAN",
IF('Final Term'!H20&lt;0,"NEG",
IF('Final Term'!H20&gt;H$5,"OVER",
IF(AND(H$5&lt;=100,'Final Term'!H20&gt;100),"ERR",
IF(Info!$B$4="Non-board program",
IF(OR(AND(H$5&gt;0,H$5&gt;100),AND(H$5&gt;0,H$5&lt;100)),
VLOOKUP(FLOOR(('Final Term'!H20/H$5)*100,1),new_transmute,2,FALSE),
VLOOKUP('Final Term'!H20,new_transmute,2,FALSE)
),
IF(Info!$B$4="Board program",
IF(OR(AND(H$5&gt;0,H$5&gt;100),AND(H$5&gt;0,H$5&lt;100)),
VLOOKUP(FLOOR(('Final Term'!H20/H$5)*100,1),new_transmute,3,FALSE),
VLOOKUP('Final Term'!H20,new_transmute,3,FALSE)
),
IF(Info!$B$4="Board program (Medicine)",
IF(OR(AND(H$5&gt;0,H$5&gt;100),AND(H$5&gt;0,H$5&lt;100)),
VLOOKUP(FLOOR(('Final Term'!H20/H$5)*100,1),new_transmute,4,FALSE),
VLOOKUP('Final Term'!H20,new_transmute,4,FALSE)
),
""
)
)
)
)
)
)
)
)
))</f>
        <v/>
      </c>
      <c r="I20" s="73" t="str">
        <f>IF($B20="","",
IF(I$5="","",
IF('Final Term'!I20="",0,
IF(NOT(ISNUMBER('Final Term'!I20)),"NAN",
IF('Final Term'!I20&lt;0,"NEG",
IF('Final Term'!I20&gt;I$5,"OVER",
IF(AND(I$5&lt;=100,'Final Term'!I20&gt;100),"ERR",
IF(Info!$B$4="Non-board program",
IF(OR(AND(I$5&gt;0,I$5&gt;100),AND(I$5&gt;0,I$5&lt;100)),
VLOOKUP(FLOOR(('Final Term'!I20/I$5)*100,1),new_transmute,2,FALSE),
VLOOKUP('Final Term'!I20,new_transmute,2,FALSE)
),
IF(Info!$B$4="Board program",
IF(OR(AND(I$5&gt;0,I$5&gt;100),AND(I$5&gt;0,I$5&lt;100)),
VLOOKUP(FLOOR(('Final Term'!I20/I$5)*100,1),new_transmute,3,FALSE),
VLOOKUP('Final Term'!I20,new_transmute,3,FALSE)
),
IF(Info!$B$4="Board program (Medicine)",
IF(OR(AND(I$5&gt;0,I$5&gt;100),AND(I$5&gt;0,I$5&lt;100)),
VLOOKUP(FLOOR(('Final Term'!I20/I$5)*100,1),new_transmute,4,FALSE),
VLOOKUP('Final Term'!I20,new_transmute,4,FALSE)
),
""
)
)
)
)
)
)
)
)
))</f>
        <v/>
      </c>
      <c r="J20" s="73" t="str">
        <f>IF($B20="","",
IF(J$5="","",
IF('Final Term'!J20="",0,
IF(NOT(ISNUMBER('Final Term'!J20)),"NAN",
IF('Final Term'!J20&lt;0,"NEG",
IF('Final Term'!J20&gt;J$5,"OVER",
IF(AND(J$5&lt;=100,'Final Term'!J20&gt;100),"ERR",
IF(Info!$B$4="Non-board program",
IF(OR(AND(J$5&gt;0,J$5&gt;100),AND(J$5&gt;0,J$5&lt;100)),
VLOOKUP(FLOOR(('Final Term'!J20/J$5)*100,1),new_transmute,2,FALSE),
VLOOKUP('Final Term'!J20,new_transmute,2,FALSE)
),
IF(Info!$B$4="Board program",
IF(OR(AND(J$5&gt;0,J$5&gt;100),AND(J$5&gt;0,J$5&lt;100)),
VLOOKUP(FLOOR(('Final Term'!J20/J$5)*100,1),new_transmute,3,FALSE),
VLOOKUP('Final Term'!J20,new_transmute,3,FALSE)
),
IF(Info!$B$4="Board program (Medicine)",
IF(OR(AND(J$5&gt;0,J$5&gt;100),AND(J$5&gt;0,J$5&lt;100)),
VLOOKUP(FLOOR(('Final Term'!J20/J$5)*100,1),new_transmute,4,FALSE),
VLOOKUP('Final Term'!J20,new_transmute,4,FALSE)
),
""
)
)
)
)
)
)
)
)
))</f>
        <v/>
      </c>
      <c r="K20" s="73" t="str">
        <f>IF($B20="","",
IF(K$5="","",
IF('Final Term'!K20="",0,
IF(NOT(ISNUMBER('Final Term'!K20)),"NAN",
IF('Final Term'!K20&lt;0,"NEG",
IF('Final Term'!K20&gt;K$5,"OVER",
IF(AND(K$5&lt;=100,'Final Term'!K20&gt;100),"ERR",
IF(Info!$B$4="Non-board program",
IF(OR(AND(K$5&gt;0,K$5&gt;100),AND(K$5&gt;0,K$5&lt;100)),
VLOOKUP(FLOOR(('Final Term'!K20/K$5)*100,1),new_transmute,2,FALSE),
VLOOKUP('Final Term'!K20,new_transmute,2,FALSE)
),
IF(Info!$B$4="Board program",
IF(OR(AND(K$5&gt;0,K$5&gt;100),AND(K$5&gt;0,K$5&lt;100)),
VLOOKUP(FLOOR(('Final Term'!K20/K$5)*100,1),new_transmute,3,FALSE),
VLOOKUP('Final Term'!K20,new_transmute,3,FALSE)
),
IF(Info!$B$4="Board program (Medicine)",
IF(OR(AND(K$5&gt;0,K$5&gt;100),AND(K$5&gt;0,K$5&lt;100)),
VLOOKUP(FLOOR(('Final Term'!K20/K$5)*100,1),new_transmute,4,FALSE),
VLOOKUP('Final Term'!K20,new_transmute,4,FALSE)
),
""
)
)
)
)
)
)
)
)
))</f>
        <v/>
      </c>
      <c r="L20" s="73" t="str">
        <f>IF($B20="","",
IF(L$5="","",
IF('Final Term'!L20="",0,
IF(NOT(ISNUMBER('Final Term'!L20)),"NAN",
IF('Final Term'!L20&lt;0,"NEG",
IF('Final Term'!L20&gt;L$5,"OVER",
IF(AND(L$5&lt;=100,'Final Term'!L20&gt;100),"ERR",
IF(Info!$B$4="Non-board program",
IF(OR(AND(L$5&gt;0,L$5&gt;100),AND(L$5&gt;0,L$5&lt;100)),
VLOOKUP(FLOOR(('Final Term'!L20/L$5)*100,1),new_transmute,2,FALSE),
VLOOKUP('Final Term'!L20,new_transmute,2,FALSE)
),
IF(Info!$B$4="Board program",
IF(OR(AND(L$5&gt;0,L$5&gt;100),AND(L$5&gt;0,L$5&lt;100)),
VLOOKUP(FLOOR(('Final Term'!L20/L$5)*100,1),new_transmute,3,FALSE),
VLOOKUP('Final Term'!L20,new_transmute,3,FALSE)
),
IF(Info!$B$4="Board program (Medicine)",
IF(OR(AND(L$5&gt;0,L$5&gt;100),AND(L$5&gt;0,L$5&lt;100)),
VLOOKUP(FLOOR(('Final Term'!L20/L$5)*100,1),new_transmute,4,FALSE),
VLOOKUP('Final Term'!L20,new_transmute,4,FALSE)
),
""
)
)
)
)
)
)
)
)
))</f>
        <v/>
      </c>
      <c r="M20" s="111" t="str">
        <f t="shared" si="2"/>
        <v/>
      </c>
      <c r="N20" s="73" t="str">
        <f>IF($B20="","",
IF(N$5="","",
IF('Final Term'!N20="",0,
IF(NOT(ISNUMBER('Final Term'!N20)),"NAN",
IF('Final Term'!N20&lt;0,"NEG",
IF('Final Term'!N20&gt;N$5,"OVER",
IF(AND(N$5&lt;=100,'Final Term'!N20&gt;100),"ERR",
IF(Info!$B$4="Non-board program",
IF(OR(AND(N$5&gt;0,N$5&gt;100),AND(N$5&gt;0,N$5&lt;100)),
VLOOKUP(FLOOR(('Final Term'!N20/N$5)*100,1),new_transmute,2,FALSE),
VLOOKUP('Final Term'!N20,new_transmute,2,FALSE)
),
IF(Info!$B$4="Board program",
IF(OR(AND(N$5&gt;0,N$5&gt;100),AND(N$5&gt;0,N$5&lt;100)),
VLOOKUP(FLOOR(('Final Term'!N20/N$5)*100,1),new_transmute,3,FALSE),
VLOOKUP('Final Term'!N20,new_transmute,3,FALSE)
),
IF(Info!$B$4="Board program (Medicine)",
IF(OR(AND(N$5&gt;0,N$5&gt;100),AND(N$5&gt;0,N$5&lt;100)),
VLOOKUP(FLOOR(('Final Term'!N20/N$5)*100,1),new_transmute,4,FALSE),
VLOOKUP('Final Term'!N20,new_transmute,4,FALSE)
),
""
)
)
)
)
)
)
)
)
))</f>
        <v/>
      </c>
      <c r="O20" s="73" t="str">
        <f>IF($B20="","",
IF(O$5="","",
IF('Final Term'!O20="",0,
IF(NOT(ISNUMBER('Final Term'!O20)),"NAN",
IF('Final Term'!O20&lt;0,"NEG",
IF('Final Term'!O20&gt;O$5,"OVER",
IF(AND(O$5&lt;=100,'Final Term'!O20&gt;100),"ERR",
IF(Info!$B$4="Non-board program",
IF(OR(AND(O$5&gt;0,O$5&gt;100),AND(O$5&gt;0,O$5&lt;100)),
VLOOKUP(FLOOR(('Final Term'!O20/O$5)*100,1),new_transmute,2,FALSE),
VLOOKUP('Final Term'!O20,new_transmute,2,FALSE)
),
IF(Info!$B$4="Board program",
IF(OR(AND(O$5&gt;0,O$5&gt;100),AND(O$5&gt;0,O$5&lt;100)),
VLOOKUP(FLOOR(('Final Term'!O20/O$5)*100,1),new_transmute,3,FALSE),
VLOOKUP('Final Term'!O20,new_transmute,3,FALSE)
),
IF(Info!$B$4="Board program (Medicine)",
IF(OR(AND(O$5&gt;0,O$5&gt;100),AND(O$5&gt;0,O$5&lt;100)),
VLOOKUP(FLOOR(('Final Term'!O20/O$5)*100,1),new_transmute,4,FALSE),
VLOOKUP('Final Term'!O20,new_transmute,4,FALSE)
),
""
)
)
)
)
)
)
)
)
))</f>
        <v/>
      </c>
      <c r="P20" s="73" t="str">
        <f>IF($B20="","",
IF(P$5="","",
IF('Final Term'!P20="",0,
IF(NOT(ISNUMBER('Final Term'!P20)),"NAN",
IF('Final Term'!P20&lt;0,"NEG",
IF('Final Term'!P20&gt;P$5,"OVER",
IF(AND(P$5&lt;=100,'Final Term'!P20&gt;100),"ERR",
IF(Info!$B$4="Non-board program",
IF(OR(AND(P$5&gt;0,P$5&gt;100),AND(P$5&gt;0,P$5&lt;100)),
VLOOKUP(FLOOR(('Final Term'!P20/P$5)*100,1),new_transmute,2,FALSE),
VLOOKUP('Final Term'!P20,new_transmute,2,FALSE)
),
IF(Info!$B$4="Board program",
IF(OR(AND(P$5&gt;0,P$5&gt;100),AND(P$5&gt;0,P$5&lt;100)),
VLOOKUP(FLOOR(('Final Term'!P20/P$5)*100,1),new_transmute,3,FALSE),
VLOOKUP('Final Term'!P20,new_transmute,3,FALSE)
),
IF(Info!$B$4="Board program (Medicine)",
IF(OR(AND(P$5&gt;0,P$5&gt;100),AND(P$5&gt;0,P$5&lt;100)),
VLOOKUP(FLOOR(('Final Term'!P20/P$5)*100,1),new_transmute,4,FALSE),
VLOOKUP('Final Term'!P20,new_transmute,4,FALSE)
),
""
)
)
)
)
)
)
)
)
))</f>
        <v/>
      </c>
      <c r="Q20" s="73" t="str">
        <f>IF($B20="","",
IF(Q$5="","",
IF('Final Term'!Q20="",0,
IF(NOT(ISNUMBER('Final Term'!Q20)),"NAN",
IF('Final Term'!Q20&lt;0,"NEG",
IF('Final Term'!Q20&gt;Q$5,"OVER",
IF(AND(Q$5&lt;=100,'Final Term'!Q20&gt;100),"ERR",
IF(Info!$B$4="Non-board program",
IF(OR(AND(Q$5&gt;0,Q$5&gt;100),AND(Q$5&gt;0,Q$5&lt;100)),
VLOOKUP(FLOOR(('Final Term'!Q20/Q$5)*100,1),new_transmute,2,FALSE),
VLOOKUP('Final Term'!Q20,new_transmute,2,FALSE)
),
IF(Info!$B$4="Board program",
IF(OR(AND(Q$5&gt;0,Q$5&gt;100),AND(Q$5&gt;0,Q$5&lt;100)),
VLOOKUP(FLOOR(('Final Term'!Q20/Q$5)*100,1),new_transmute,3,FALSE),
VLOOKUP('Final Term'!Q20,new_transmute,3,FALSE)
),
IF(Info!$B$4="Board program (Medicine)",
IF(OR(AND(Q$5&gt;0,Q$5&gt;100),AND(Q$5&gt;0,Q$5&lt;100)),
VLOOKUP(FLOOR(('Final Term'!Q20/Q$5)*100,1),new_transmute,4,FALSE),
VLOOKUP('Final Term'!Q20,new_transmute,4,FALSE)
),
""
)
)
)
)
)
)
)
)
))</f>
        <v/>
      </c>
      <c r="R20" s="73" t="str">
        <f>IF($B20="","",
IF(R$5="","",
IF('Final Term'!R20="",0,
IF(NOT(ISNUMBER('Final Term'!R20)),"NAN",
IF('Final Term'!R20&lt;0,"NEG",
IF('Final Term'!R20&gt;R$5,"OVER",
IF(AND(R$5&lt;=100,'Final Term'!R20&gt;100),"ERR",
IF(Info!$B$4="Non-board program",
IF(OR(AND(R$5&gt;0,R$5&gt;100),AND(R$5&gt;0,R$5&lt;100)),
VLOOKUP(FLOOR(('Final Term'!R20/R$5)*100,1),new_transmute,2,FALSE),
VLOOKUP('Final Term'!R20,new_transmute,2,FALSE)
),
IF(Info!$B$4="Board program",
IF(OR(AND(R$5&gt;0,R$5&gt;100),AND(R$5&gt;0,R$5&lt;100)),
VLOOKUP(FLOOR(('Final Term'!R20/R$5)*100,1),new_transmute,3,FALSE),
VLOOKUP('Final Term'!R20,new_transmute,3,FALSE)
),
IF(Info!$B$4="Board program (Medicine)",
IF(OR(AND(R$5&gt;0,R$5&gt;100),AND(R$5&gt;0,R$5&lt;100)),
VLOOKUP(FLOOR(('Final Term'!R20/R$5)*100,1),new_transmute,4,FALSE),
VLOOKUP('Final Term'!R20,new_transmute,4,FALSE)
),
""
)
)
)
)
)
)
)
)
))</f>
        <v/>
      </c>
      <c r="S20" s="115" t="str">
        <f t="shared" si="3"/>
        <v/>
      </c>
      <c r="T20" s="73" t="str">
        <f>IF($B20="","",
IF(T$5="","",
IF('Final Term'!T20="",0,
IF(NOT(ISNUMBER('Final Term'!T20)),"NAN",
IF('Final Term'!T20&lt;0,"NEG",
IF('Final Term'!T20&gt;T$5,"OVER",
IF(AND(T$5&lt;=100,'Final Term'!T20&gt;100),"ERR",
IF(Info!$B$4="Non-board program",
IF(OR(AND(T$5&gt;0,T$5&gt;100),AND(T$5&gt;0,T$5&lt;100)),
VLOOKUP(FLOOR(('Final Term'!T20/T$5)*100,1),new_transmute,2,FALSE),
VLOOKUP('Final Term'!T20,new_transmute,2,FALSE)
),
IF(Info!$B$4="Board program",
IF(OR(AND(T$5&gt;0,T$5&gt;100),AND(T$5&gt;0,T$5&lt;100)),
VLOOKUP(FLOOR(('Final Term'!T20/T$5)*100,1),new_transmute,3,FALSE),
VLOOKUP('Final Term'!T20,new_transmute,3,FALSE)
),
IF(Info!$B$4="Board program (Medicine)",
IF(OR(AND(T$5&gt;0,T$5&gt;100),AND(T$5&gt;0,T$5&lt;100)),
VLOOKUP(FLOOR(('Final Term'!T20/T$5)*100,1),new_transmute,4,FALSE),
VLOOKUP('Final Term'!T20,new_transmute,4,FALSE)
),
""
)
)
)
)
)
)
)
)
))</f>
        <v/>
      </c>
      <c r="U20" s="73" t="str">
        <f>IF($B20="","",
IF(U$5="","",
IF('Final Term'!U20="",0,
IF(NOT(ISNUMBER('Final Term'!U20)),"NAN",
IF('Final Term'!U20&lt;0,"NEG",
IF('Final Term'!U20&gt;U$5,"OVER",
IF(AND(U$5&lt;=100,'Final Term'!U20&gt;100),"ERR",
IF(Info!$B$4="Non-board program",
IF(OR(AND(U$5&gt;0,U$5&gt;100),AND(U$5&gt;0,U$5&lt;100)),
VLOOKUP(FLOOR(('Final Term'!U20/U$5)*100,1),new_transmute,2,FALSE),
VLOOKUP('Final Term'!U20,new_transmute,2,FALSE)
),
IF(Info!$B$4="Board program",
IF(OR(AND(U$5&gt;0,U$5&gt;100),AND(U$5&gt;0,U$5&lt;100)),
VLOOKUP(FLOOR(('Final Term'!U20/U$5)*100,1),new_transmute,3,FALSE),
VLOOKUP('Final Term'!U20,new_transmute,3,FALSE)
),
IF(Info!$B$4="Board program (Medicine)",
IF(OR(AND(U$5&gt;0,U$5&gt;100),AND(U$5&gt;0,U$5&lt;100)),
VLOOKUP(FLOOR(('Final Term'!U20/U$5)*100,1),new_transmute,4,FALSE),
VLOOKUP('Final Term'!U20,new_transmute,4,FALSE)
),
""
)
)
)
)
)
)
)
)
))</f>
        <v/>
      </c>
      <c r="V20" s="73" t="str">
        <f>IF($B20="","",
IF(V$5="","",
IF('Final Term'!V20="",0,
IF(NOT(ISNUMBER('Final Term'!V20)),"NAN",
IF('Final Term'!V20&lt;0,"NEG",
IF('Final Term'!V20&gt;V$5,"OVER",
IF(AND(V$5&lt;=100,'Final Term'!V20&gt;100),"ERR",
IF(Info!$B$4="Non-board program",
IF(OR(AND(V$5&gt;0,V$5&gt;100),AND(V$5&gt;0,V$5&lt;100)),
VLOOKUP(FLOOR(('Final Term'!V20/V$5)*100,1),new_transmute,2,FALSE),
VLOOKUP('Final Term'!V20,new_transmute,2,FALSE)
),
IF(Info!$B$4="Board program",
IF(OR(AND(V$5&gt;0,V$5&gt;100),AND(V$5&gt;0,V$5&lt;100)),
VLOOKUP(FLOOR(('Final Term'!V20/V$5)*100,1),new_transmute,3,FALSE),
VLOOKUP('Final Term'!V20,new_transmute,3,FALSE)
),
IF(Info!$B$4="Board program (Medicine)",
IF(OR(AND(V$5&gt;0,V$5&gt;100),AND(V$5&gt;0,V$5&lt;100)),
VLOOKUP(FLOOR(('Final Term'!V20/V$5)*100,1),new_transmute,4,FALSE),
VLOOKUP('Final Term'!V20,new_transmute,4,FALSE)
),
""
)
)
)
)
)
)
)
)
))</f>
        <v/>
      </c>
      <c r="W20" s="73" t="str">
        <f>IF($B20="","",
IF(W$5="","",
IF('Final Term'!W20="",0,
IF(NOT(ISNUMBER('Final Term'!W20)),"NAN",
IF('Final Term'!W20&lt;0,"NEG",
IF('Final Term'!W20&gt;W$5,"OVER",
IF(AND(W$5&lt;=100,'Final Term'!W20&gt;100),"ERR",
IF(Info!$B$4="Non-board program",
IF(OR(AND(W$5&gt;0,W$5&gt;100),AND(W$5&gt;0,W$5&lt;100)),
VLOOKUP(FLOOR(('Final Term'!W20/W$5)*100,1),new_transmute,2,FALSE),
VLOOKUP('Final Term'!W20,new_transmute,2,FALSE)
),
IF(Info!$B$4="Board program",
IF(OR(AND(W$5&gt;0,W$5&gt;100),AND(W$5&gt;0,W$5&lt;100)),
VLOOKUP(FLOOR(('Final Term'!W20/W$5)*100,1),new_transmute,3,FALSE),
VLOOKUP('Final Term'!W20,new_transmute,3,FALSE)
),
IF(Info!$B$4="Board program (Medicine)",
IF(OR(AND(W$5&gt;0,W$5&gt;100),AND(W$5&gt;0,W$5&lt;100)),
VLOOKUP(FLOOR(('Final Term'!W20/W$5)*100,1),new_transmute,4,FALSE),
VLOOKUP('Final Term'!W20,new_transmute,4,FALSE)
),
""
)
)
)
)
)
)
)
)
))</f>
        <v/>
      </c>
      <c r="X20" s="73" t="str">
        <f>IF($B20="","",
IF(X$5="","",
IF('Final Term'!X20="",0,
IF(NOT(ISNUMBER('Final Term'!X20)),"NAN",
IF('Final Term'!X20&lt;0,"NEG",
IF('Final Term'!X20&gt;X$5,"OVER",
IF(AND(X$5&lt;=100,'Final Term'!X20&gt;100),"ERR",
IF(Info!$B$4="Non-board program",
IF(OR(AND(X$5&gt;0,X$5&gt;100),AND(X$5&gt;0,X$5&lt;100)),
VLOOKUP(FLOOR(('Final Term'!X20/X$5)*100,1),new_transmute,2,FALSE),
VLOOKUP('Final Term'!X20,new_transmute,2,FALSE)
),
IF(Info!$B$4="Board program",
IF(OR(AND(X$5&gt;0,X$5&gt;100),AND(X$5&gt;0,X$5&lt;100)),
VLOOKUP(FLOOR(('Final Term'!X20/X$5)*100,1),new_transmute,3,FALSE),
VLOOKUP('Final Term'!X20,new_transmute,3,FALSE)
),
IF(Info!$B$4="Board program (Medicine)",
IF(OR(AND(X$5&gt;0,X$5&gt;100),AND(X$5&gt;0,X$5&lt;100)),
VLOOKUP(FLOOR(('Final Term'!X20/X$5)*100,1),new_transmute,4,FALSE),
VLOOKUP('Final Term'!X20,new_transmute,4,FALSE)
),
""
)
)
)
)
)
)
)
)
))</f>
        <v/>
      </c>
      <c r="Y20" s="112" t="str">
        <f t="shared" si="4"/>
        <v/>
      </c>
      <c r="Z20" s="73" t="str">
        <f>IF($B20="","",
IF(Z$5="","",
IF('Final Term'!Z20="",0,
IF(NOT(ISNUMBER('Final Term'!Z20)),"NAN",
IF('Final Term'!Z20&lt;0,"NEG",
IF('Final Term'!Z20&gt;Z$5,"OVER",
IF(AND(Z$5&lt;=100,'Final Term'!Z20&gt;100),"ERR",
IF(Info!$B$4="Non-board program",
IF(OR(AND(Z$5&gt;0,Z$5&gt;100),AND(Z$5&gt;0,Z$5&lt;100)),
VLOOKUP(FLOOR(('Final Term'!Z20/Z$5)*100,1),new_transmute,2,FALSE),
VLOOKUP('Final Term'!Z20,new_transmute,2,FALSE)
),
IF(Info!$B$4="Board program",
IF(OR(AND(Z$5&gt;0,Z$5&gt;100),AND(Z$5&gt;0,Z$5&lt;100)),
VLOOKUP(FLOOR(('Final Term'!Z20/Z$5)*100,1),new_transmute,3,FALSE),
VLOOKUP('Final Term'!Z20,new_transmute,3,FALSE)
),
IF(Info!$B$4="Board program (Medicine)",
IF(OR(AND(Z$5&gt;0,Z$5&gt;100),AND(Z$5&gt;0,Z$5&lt;100)),
VLOOKUP(FLOOR(('Final Term'!Z20/Z$5)*100,1),new_transmute,4,FALSE),
VLOOKUP('Final Term'!Z20,new_transmute,4,FALSE)
),
""
)
)
)
)
)
)
)
)
))</f>
        <v/>
      </c>
      <c r="AA20" s="73" t="str">
        <f>IF($B20="","",
IF(AA$5="","",
IF('Final Term'!AA20="",0,
IF(NOT(ISNUMBER('Final Term'!AA20)),"NAN",
IF('Final Term'!AA20&lt;0,"NEG",
IF('Final Term'!AA20&gt;AA$5,"OVER",
IF(AND(AA$5&lt;=100,'Final Term'!AA20&gt;100),"ERR",
IF(Info!$B$4="Non-board program",
IF(OR(AND(AA$5&gt;0,AA$5&gt;100),AND(AA$5&gt;0,AA$5&lt;100)),
VLOOKUP(FLOOR(('Final Term'!AA20/AA$5)*100,1),new_transmute,2,FALSE),
VLOOKUP('Final Term'!AA20,new_transmute,2,FALSE)
),
IF(Info!$B$4="Board program",
IF(OR(AND(AA$5&gt;0,AA$5&gt;100),AND(AA$5&gt;0,AA$5&lt;100)),
VLOOKUP(FLOOR(('Final Term'!AA20/AA$5)*100,1),new_transmute,3,FALSE),
VLOOKUP('Final Term'!AA20,new_transmute,3,FALSE)
),
IF(Info!$B$4="Board program (Medicine)",
IF(OR(AND(AA$5&gt;0,AA$5&gt;100),AND(AA$5&gt;0,AA$5&lt;100)),
VLOOKUP(FLOOR(('Final Term'!AA20/AA$5)*100,1),new_transmute,4,FALSE),
VLOOKUP('Final Term'!AA20,new_transmute,4,FALSE)
),
""
)
)
)
)
)
)
)
)
))</f>
        <v/>
      </c>
      <c r="AB20" s="73" t="str">
        <f>IF($B20="","",
IF(AB$5="","",
IF('Final Term'!AB20="",0,
IF(NOT(ISNUMBER('Final Term'!AB20)),"NAN",
IF('Final Term'!AB20&lt;0,"NEG",
IF('Final Term'!AB20&gt;AB$5,"OVER",
IF(AND(AB$5&lt;=100,'Final Term'!AB20&gt;100),"ERR",
IF(Info!$B$4="Non-board program",
IF(OR(AND(AB$5&gt;0,AB$5&gt;100),AND(AB$5&gt;0,AB$5&lt;100)),
VLOOKUP(FLOOR(('Final Term'!AB20/AB$5)*100,1),new_transmute,2,FALSE),
VLOOKUP('Final Term'!AB20,new_transmute,2,FALSE)
),
IF(Info!$B$4="Board program",
IF(OR(AND(AB$5&gt;0,AB$5&gt;100),AND(AB$5&gt;0,AB$5&lt;100)),
VLOOKUP(FLOOR(('Final Term'!AB20/AB$5)*100,1),new_transmute,3,FALSE),
VLOOKUP('Final Term'!AB20,new_transmute,3,FALSE)
),
IF(Info!$B$4="Board program (Medicine)",
IF(OR(AND(AB$5&gt;0,AB$5&gt;100),AND(AB$5&gt;0,AB$5&lt;100)),
VLOOKUP(FLOOR(('Final Term'!AB20/AB$5)*100,1),new_transmute,4,FALSE),
VLOOKUP('Final Term'!AB20,new_transmute,4,FALSE)
),
""
)
)
)
)
)
)
)
)
))</f>
        <v/>
      </c>
      <c r="AC20" s="73" t="str">
        <f>IF($B20="","",
IF(AC$5="","",
IF('Final Term'!AC20="",0,
IF(NOT(ISNUMBER('Final Term'!AC20)),"NAN",
IF('Final Term'!AC20&lt;0,"NEG",
IF('Final Term'!AC20&gt;AC$5,"OVER",
IF(AND(AC$5&lt;=100,'Final Term'!AC20&gt;100),"ERR",
IF(Info!$B$4="Non-board program",
IF(OR(AND(AC$5&gt;0,AC$5&gt;100),AND(AC$5&gt;0,AC$5&lt;100)),
VLOOKUP(FLOOR(('Final Term'!AC20/AC$5)*100,1),new_transmute,2,FALSE),
VLOOKUP('Final Term'!AC20,new_transmute,2,FALSE)
),
IF(Info!$B$4="Board program",
IF(OR(AND(AC$5&gt;0,AC$5&gt;100),AND(AC$5&gt;0,AC$5&lt;100)),
VLOOKUP(FLOOR(('Final Term'!AC20/AC$5)*100,1),new_transmute,3,FALSE),
VLOOKUP('Final Term'!AC20,new_transmute,3,FALSE)
),
IF(Info!$B$4="Board program (Medicine)",
IF(OR(AND(AC$5&gt;0,AC$5&gt;100),AND(AC$5&gt;0,AC$5&lt;100)),
VLOOKUP(FLOOR(('Final Term'!AC20/AC$5)*100,1),new_transmute,4,FALSE),
VLOOKUP('Final Term'!AC20,new_transmute,4,FALSE)
),
""
)
)
)
)
)
)
)
)
))</f>
        <v/>
      </c>
      <c r="AD20" s="73" t="str">
        <f>IF($B20="","",
IF(AD$5="","",
IF('Final Term'!AD20="",0,
IF(NOT(ISNUMBER('Final Term'!AD20)),"NAN",
IF('Final Term'!AD20&lt;0,"NEG",
IF('Final Term'!AD20&gt;AD$5,"OVER",
IF(AND(AD$5&lt;=100,'Final Term'!AD20&gt;100),"ERR",
IF(Info!$B$4="Non-board program",
IF(OR(AND(AD$5&gt;0,AD$5&gt;100),AND(AD$5&gt;0,AD$5&lt;100)),
VLOOKUP(FLOOR(('Final Term'!AD20/AD$5)*100,1),new_transmute,2,FALSE),
VLOOKUP('Final Term'!AD20,new_transmute,2,FALSE)
),
IF(Info!$B$4="Board program",
IF(OR(AND(AD$5&gt;0,AD$5&gt;100),AND(AD$5&gt;0,AD$5&lt;100)),
VLOOKUP(FLOOR(('Final Term'!AD20/AD$5)*100,1),new_transmute,3,FALSE),
VLOOKUP('Final Term'!AD20,new_transmute,3,FALSE)
),
IF(Info!$B$4="Board program (Medicine)",
IF(OR(AND(AD$5&gt;0,AD$5&gt;100),AND(AD$5&gt;0,AD$5&lt;100)),
VLOOKUP(FLOOR(('Final Term'!AD20/AD$5)*100,1),new_transmute,4,FALSE),
VLOOKUP('Final Term'!AD20,new_transmute,4,FALSE)
),
""
)
)
)
)
)
)
)
)
))</f>
        <v/>
      </c>
      <c r="AE20" s="58" t="str">
        <f t="shared" si="5"/>
        <v/>
      </c>
      <c r="AF20" s="73" t="str">
        <f>IF($B20="","",
IF(AF$5="","",
IF('Final Term'!AF20="",0,
IF(NOT(ISNUMBER('Final Term'!AF20)),"NAN",
IF('Final Term'!AF20&lt;0,"NEG",
IF('Final Term'!AF20&gt;AF$5,"OVER",
IF(AND(AF$5&lt;=100,'Final Term'!AF20&gt;100),"ERR",
IF(Info!$B$4="Non-board program",
IF(OR(AND(AF$5&gt;0,AF$5&gt;100),AND(AF$5&gt;0,AF$5&lt;100)),
VLOOKUP(FLOOR(('Final Term'!AF20/AF$5)*100,1),new_transmute,2,FALSE),
VLOOKUP('Final Term'!AF20,new_transmute,2,FALSE)
),
IF(Info!$B$4="Board program",
IF(OR(AND(AF$5&gt;0,AF$5&gt;100),AND(AF$5&gt;0,AF$5&lt;100)),
VLOOKUP(FLOOR(('Final Term'!AF20/AF$5)*100,1),new_transmute,3,FALSE),
VLOOKUP('Final Term'!AF20,new_transmute,3,FALSE)
),
IF(Info!$B$4="Board program (Medicine)",
IF(OR(AND(AF$5&gt;0,AF$5&gt;100),AND(AF$5&gt;0,AF$5&lt;100)),
VLOOKUP(FLOOR(('Final Term'!AF20/AF$5)*100,1),new_transmute,4,FALSE),
VLOOKUP('Final Term'!AF20,new_transmute,4,FALSE)
),
""
)
)
)
)
)
)
)
)
))</f>
        <v/>
      </c>
      <c r="AG20" s="73" t="str">
        <f>IF($B20="","",
IF(AG$5="","",
IF('Final Term'!AG20="",0,
IF(NOT(ISNUMBER('Final Term'!AG20)),"NAN",
IF('Final Term'!AG20&lt;0,"NEG",
IF('Final Term'!AG20&gt;AG$5,"OVER",
IF(AND(AG$5&lt;=100,'Final Term'!AG20&gt;100),"ERR",
IF(Info!$B$4="Non-board program",
IF(OR(AND(AG$5&gt;0,AG$5&gt;100),AND(AG$5&gt;0,AG$5&lt;100)),
VLOOKUP(FLOOR(('Final Term'!AG20/AG$5)*100,1),new_transmute,2,FALSE),
VLOOKUP('Final Term'!AG20,new_transmute,2,FALSE)
),
IF(Info!$B$4="Board program",
IF(OR(AND(AG$5&gt;0,AG$5&gt;100),AND(AG$5&gt;0,AG$5&lt;100)),
VLOOKUP(FLOOR(('Final Term'!AG20/AG$5)*100,1),new_transmute,3,FALSE),
VLOOKUP('Final Term'!AG20,new_transmute,3,FALSE)
),
IF(Info!$B$4="Board program (Medicine)",
IF(OR(AND(AG$5&gt;0,AG$5&gt;100),AND(AG$5&gt;0,AG$5&lt;100)),
VLOOKUP(FLOOR(('Final Term'!AG20/AG$5)*100,1),new_transmute,4,FALSE),
VLOOKUP('Final Term'!AG20,new_transmute,4,FALSE)
),
""
)
)
)
)
)
)
)
)
))</f>
        <v/>
      </c>
      <c r="AH20" s="73" t="str">
        <f>IF($B20="","",
IF(AH$5="","",
IF('Final Term'!AH20="",0,
IF(NOT(ISNUMBER('Final Term'!AH20)),"NAN",
IF('Final Term'!AH20&lt;0,"NEG",
IF('Final Term'!AH20&gt;AH$5,"OVER",
IF(AND(AH$5&lt;=100,'Final Term'!AH20&gt;100),"ERR",
IF(Info!$B$4="Non-board program",
IF(OR(AND(AH$5&gt;0,AH$5&gt;100),AND(AH$5&gt;0,AH$5&lt;100)),
VLOOKUP(FLOOR(('Final Term'!AH20/AH$5)*100,1),new_transmute,2,FALSE),
VLOOKUP('Final Term'!AH20,new_transmute,2,FALSE)
),
IF(Info!$B$4="Board program",
IF(OR(AND(AH$5&gt;0,AH$5&gt;100),AND(AH$5&gt;0,AH$5&lt;100)),
VLOOKUP(FLOOR(('Final Term'!AH20/AH$5)*100,1),new_transmute,3,FALSE),
VLOOKUP('Final Term'!AH20,new_transmute,3,FALSE)
),
IF(Info!$B$4="Board program (Medicine)",
IF(OR(AND(AH$5&gt;0,AH$5&gt;100),AND(AH$5&gt;0,AH$5&lt;100)),
VLOOKUP(FLOOR(('Final Term'!AH20/AH$5)*100,1),new_transmute,4,FALSE),
VLOOKUP('Final Term'!AH20,new_transmute,4,FALSE)
),
""
)
)
)
)
)
)
)
)
))</f>
        <v/>
      </c>
      <c r="AI20" s="73" t="str">
        <f>IF($B20="","",
IF(AI$5="","",
IF('Final Term'!AI20="",0,
IF(NOT(ISNUMBER('Final Term'!AI20)),"NAN",
IF('Final Term'!AI20&lt;0,"NEG",
IF('Final Term'!AI20&gt;AI$5,"OVER",
IF(AND(AI$5&lt;=100,'Final Term'!AI20&gt;100),"ERR",
IF(Info!$B$4="Non-board program",
IF(OR(AND(AI$5&gt;0,AI$5&gt;100),AND(AI$5&gt;0,AI$5&lt;100)),
VLOOKUP(FLOOR(('Final Term'!AI20/AI$5)*100,1),new_transmute,2,FALSE),
VLOOKUP('Final Term'!AI20,new_transmute,2,FALSE)
),
IF(Info!$B$4="Board program",
IF(OR(AND(AI$5&gt;0,AI$5&gt;100),AND(AI$5&gt;0,AI$5&lt;100)),
VLOOKUP(FLOOR(('Final Term'!AI20/AI$5)*100,1),new_transmute,3,FALSE),
VLOOKUP('Final Term'!AI20,new_transmute,3,FALSE)
),
IF(Info!$B$4="Board program (Medicine)",
IF(OR(AND(AI$5&gt;0,AI$5&gt;100),AND(AI$5&gt;0,AI$5&lt;100)),
VLOOKUP(FLOOR(('Final Term'!AI20/AI$5)*100,1),new_transmute,4,FALSE),
VLOOKUP('Final Term'!AI20,new_transmute,4,FALSE)
),
""
)
)
)
)
)
)
)
)
))</f>
        <v/>
      </c>
      <c r="AJ20" s="73" t="str">
        <f>IF($B20="","",
IF(AJ$5="","",
IF('Final Term'!AJ20="",0,
IF(NOT(ISNUMBER('Final Term'!AJ20)),"NAN",
IF('Final Term'!AJ20&lt;0,"NEG",
IF('Final Term'!AJ20&gt;AJ$5,"OVER",
IF(AND(AJ$5&lt;=100,'Final Term'!AJ20&gt;100),"ERR",
IF(Info!$B$4="Non-board program",
IF(OR(AND(AJ$5&gt;0,AJ$5&gt;100),AND(AJ$5&gt;0,AJ$5&lt;100)),
VLOOKUP(FLOOR(('Final Term'!AJ20/AJ$5)*100,1),new_transmute,2,FALSE),
VLOOKUP('Final Term'!AJ20,new_transmute,2,FALSE)
),
IF(Info!$B$4="Board program",
IF(OR(AND(AJ$5&gt;0,AJ$5&gt;100),AND(AJ$5&gt;0,AJ$5&lt;100)),
VLOOKUP(FLOOR(('Final Term'!AJ20/AJ$5)*100,1),new_transmute,3,FALSE),
VLOOKUP('Final Term'!AJ20,new_transmute,3,FALSE)
),
IF(Info!$B$4="Board program (Medicine)",
IF(OR(AND(AJ$5&gt;0,AJ$5&gt;100),AND(AJ$5&gt;0,AJ$5&lt;100)),
VLOOKUP(FLOOR(('Final Term'!AJ20/AJ$5)*100,1),new_transmute,4,FALSE),
VLOOKUP('Final Term'!AJ20,new_transmute,4,FALSE)
),
""
)
)
)
)
)
)
)
)
))</f>
        <v/>
      </c>
      <c r="AK20" s="59" t="str">
        <f t="shared" si="6"/>
        <v/>
      </c>
      <c r="AL20" s="60" t="str">
        <f>IF(B20="", "",
    IF(OR(M20="OVER", S20="OVER", Y20="OVER", AE20="OVER", AK20="OVER"),
        "OVER",
        IF(Info!$B$4="Non-board program",
            VLOOKUP(IFERROR(FLOOR(SUM((M20*$M$4), (S20*$S$4), (Y20*$Y$4), (AE20*$AE$4), (AK20*$AK$4)) * (100 / 60), 1), 0), new_transmute, 2, FALSE),
            IF(Info!$B$4="Board program",
                VLOOKUP(IFERROR(FLOOR(SUM((M20*$M$4), (S20*$S$4), (Y20*$Y$4), (AE20*$AE$4), (AK20*$AK$4)) * (100 / 60), 1), 0), new_transmute, 3, FALSE),
                IF(Info!$B$4="Board program (Medicine)",
                    VLOOKUP(IFERROR(FLOOR(SUM((M20*$M$4), (S20*$S$4), (Y20*$Y$4), (AE20*$AE$4), (AK20*$AK$4)) * (100 / 60), 1), 0), new_transmute, 4, FALSE),
                    ""
                )
            )
        )
    )
)</f>
        <v/>
      </c>
      <c r="AM20" s="73" t="str">
        <f>IF($B20="","",
IF(AM$5="","",
IF('Final Term'!AM20="",0,
IF(NOT(ISNUMBER('Final Term'!AM20)),"NAN",
IF('Final Term'!AM20&lt;0,"NEG",
IF('Final Term'!AM20&gt;AM$5,"OVER",
IF(AND(AM$5&lt;=100,'Final Term'!AM20&gt;100),"ERR",
IF(Info!$B$4="Non-board program",
IF(OR(AND(AM$5&gt;0,AM$5&gt;100),AND(AM$5&gt;0,AM$5&lt;100)),
VLOOKUP(FLOOR(('Final Term'!AM20/AM$5)*100,1),new_transmute,2,FALSE),
VLOOKUP('Final Term'!AM20,new_transmute,2,FALSE)
),
IF(Info!$B$4="Board program",
IF(OR(AND(AM$5&gt;0,AM$5&gt;100),AND(AM$5&gt;0,AM$5&lt;100)),
VLOOKUP(FLOOR(('Final Term'!AM20/AM$5)*100,1),new_transmute,3,FALSE),
VLOOKUP('Final Term'!AM20,new_transmute,3,FALSE)
),
IF(Info!$B$4="Board program (Medicine)",
IF(OR(AND(AM$5&gt;0,AM$5&gt;100),AND(AM$5&gt;0,AM$5&lt;100)),
VLOOKUP(FLOOR(('Final Term'!AM20/AM$5)*100,1),new_transmute,4,FALSE),
VLOOKUP('Final Term'!AM20,new_transmute,4,FALSE)
),
""
)
)
)
)
)
)
)
)
))</f>
        <v/>
      </c>
      <c r="AN20" s="73" t="str">
        <f>IF($B20="","",
IF(AN$5="","",
IF('Final Term'!AN20="",0,
IF(NOT(ISNUMBER('Final Term'!AN20)),"NAN",
IF('Final Term'!AN20&lt;0,"NEG",
IF('Final Term'!AN20&gt;AN$5,"OVER",
IF(AND(AN$5&lt;=100,'Final Term'!AN20&gt;100),"ERR",
IF(Info!$B$4="Non-board program",
IF(OR(AND(AN$5&gt;0,AN$5&gt;100),AND(AN$5&gt;0,AN$5&lt;100)),
VLOOKUP(FLOOR(('Final Term'!AN20/AN$5)*100,1),new_transmute,2,FALSE),
VLOOKUP('Final Term'!AN20,new_transmute,2,FALSE)
),
IF(Info!$B$4="Board program",
IF(OR(AND(AN$5&gt;0,AN$5&gt;100),AND(AN$5&gt;0,AN$5&lt;100)),
VLOOKUP(FLOOR(('Final Term'!AN20/AN$5)*100,1),new_transmute,3,FALSE),
VLOOKUP('Final Term'!AN20,new_transmute,3,FALSE)
),
IF(Info!$B$4="Board program (Medicine)",
IF(OR(AND(AN$5&gt;0,AN$5&gt;100),AND(AN$5&gt;0,AN$5&lt;100)),
VLOOKUP(FLOOR(('Final Term'!AN20/AN$5)*100,1),new_transmute,4,FALSE),
VLOOKUP('Final Term'!AN20,new_transmute,4,FALSE)
),
""
)
)
)
)
)
)
)
)
))</f>
        <v/>
      </c>
      <c r="AO20" s="73" t="str">
        <f>IF($B20="","",
IF(AO$5="","",
IF('Final Term'!AO20="",0,
IF(NOT(ISNUMBER('Final Term'!AO20)),"NAN",
IF('Final Term'!AO20&lt;0,"NEG",
IF('Final Term'!AO20&gt;AO$5,"OVER",
IF(AND(AO$5&lt;=100,'Final Term'!AO20&gt;100),"ERR",
IF(Info!$B$4="Non-board program",
IF(OR(AND(AO$5&gt;0,AO$5&gt;100),AND(AO$5&gt;0,AO$5&lt;100)),
VLOOKUP(FLOOR(('Final Term'!AO20/AO$5)*100,1),new_transmute,2,FALSE),
VLOOKUP('Final Term'!AO20,new_transmute,2,FALSE)
),
IF(Info!$B$4="Board program",
IF(OR(AND(AO$5&gt;0,AO$5&gt;100),AND(AO$5&gt;0,AO$5&lt;100)),
VLOOKUP(FLOOR(('Final Term'!AO20/AO$5)*100,1),new_transmute,3,FALSE),
VLOOKUP('Final Term'!AO20,new_transmute,3,FALSE)
),
IF(Info!$B$4="Board program (Medicine)",
IF(OR(AND(AO$5&gt;0,AO$5&gt;100),AND(AO$5&gt;0,AO$5&lt;100)),
VLOOKUP(FLOOR(('Final Term'!AO20/AO$5)*100,1),new_transmute,4,FALSE),
VLOOKUP('Final Term'!AO20,new_transmute,4,FALSE)
),
""
)
)
)
)
)
)
)
)
))</f>
        <v/>
      </c>
      <c r="AP20" s="73" t="str">
        <f>IF($B20="","",
IF(AP$5="","",
IF('Final Term'!AP20="",0,
IF(NOT(ISNUMBER('Final Term'!AP20)),"NAN",
IF('Final Term'!AP20&lt;0,"NEG",
IF('Final Term'!AP20&gt;AP$5,"OVER",
IF(AND(AP$5&lt;=100,'Final Term'!AP20&gt;100),"ERR",
IF(Info!$B$4="Non-board program",
IF(OR(AND(AP$5&gt;0,AP$5&gt;100),AND(AP$5&gt;0,AP$5&lt;100)),
VLOOKUP(FLOOR(('Final Term'!AP20/AP$5)*100,1),new_transmute,2,FALSE),
VLOOKUP('Final Term'!AP20,new_transmute,2,FALSE)
),
IF(Info!$B$4="Board program",
IF(OR(AND(AP$5&gt;0,AP$5&gt;100),AND(AP$5&gt;0,AP$5&lt;100)),
VLOOKUP(FLOOR(('Final Term'!AP20/AP$5)*100,1),new_transmute,3,FALSE),
VLOOKUP('Final Term'!AP20,new_transmute,3,FALSE)
),
IF(Info!$B$4="Board program (Medicine)",
IF(OR(AND(AP$5&gt;0,AP$5&gt;100),AND(AP$5&gt;0,AP$5&lt;100)),
VLOOKUP(FLOOR(('Final Term'!AP20/AP$5)*100,1),new_transmute,4,FALSE),
VLOOKUP('Final Term'!AP20,new_transmute,4,FALSE)
),
""
)
)
)
)
)
)
)
)
))</f>
        <v/>
      </c>
      <c r="AQ20" s="61" t="str">
        <f t="shared" si="7"/>
        <v/>
      </c>
      <c r="AR20" s="48" t="str">
        <f>IF('Final Term'!AR20="","",'Final Term'!AR20)</f>
        <v/>
      </c>
      <c r="AS20" s="165" t="str">
        <f t="shared" si="8"/>
        <v/>
      </c>
      <c r="AT20" s="14" t="str">
        <f t="shared" si="0"/>
        <v/>
      </c>
      <c r="AU20" s="13" t="str">
        <f>IF(B20="","",VLOOKUP(AT20,'New Grade Equivalent'!$B$3:$C$47,2,FALSE))</f>
        <v/>
      </c>
    </row>
    <row r="21" spans="1:47" x14ac:dyDescent="0.25">
      <c r="A21" s="8">
        <v>16</v>
      </c>
      <c r="B21" s="2" t="str">
        <f>IF('Student List'!C25="","",UPPER(LEFT('Student List'!C25,FIND(",",'Student List'!C25)-1)))</f>
        <v/>
      </c>
      <c r="C21" s="12" t="str">
        <f>IF('Student List'!C25="","",PROPER(MID('Student List'!C25, FIND(",", 'Student List'!C25) + 2, LEN('Student List'!C25) - FIND(",", 'Student List'!C25) - 1)))</f>
        <v/>
      </c>
      <c r="D21" s="127" t="str">
        <f>IF('Final Term'!D21="","",'Final Term'!D21)</f>
        <v/>
      </c>
      <c r="E21" s="8" t="str">
        <f>IF(MidCom!E21="FA", "FA",
    IF(MidCom!E21="DRP", "DRP",
        IF(MidCom!E21="WF", "WF",
            IF(D21="Yes", "INC",
               IF((SUM('MT Attendance'!AW19) / 3 + SUM('MT Attendance'!AY19) + SUM('FT Attendance'!AW19) / 3 + SUM('FT Attendance'!AY19)) &gt;= 0.2 * (SUMPRODUCT(--(ISTEXT('MT Attendance'!$C$2:$AU$2))) + SUMPRODUCT(--(ISTEXT('FT Attendance'!$C$2:$AU$2)))), "FA",
                   MidCom!E21
                )
            )
        )
    )
)</f>
        <v/>
      </c>
      <c r="F21" s="73" t="str">
        <f>IF($B21="","",
IF(F$5="","",
IF('Final Term'!F21="",0,
IF(NOT(ISNUMBER('Final Term'!F21)),"NAN",
IF('Final Term'!F21&lt;0,"NEG",
IF('Final Term'!F21&gt;F$5,"OVER",
IF(AND(F$5&lt;=100,'Final Term'!F21&gt;100),"ERR",
IF(Info!$B$4="Non-board program",
IF(OR(AND(F$5&gt;0,F$5&gt;100),AND(F$5&gt;0,F$5&lt;100)),
VLOOKUP(FLOOR(('Final Term'!F21/F$5)*100,1),new_transmute,2,FALSE),
VLOOKUP('Final Term'!F21,new_transmute,2,FALSE)
),
IF(Info!$B$4="Board program",
IF(OR(AND(F$5&gt;0,F$5&gt;100),AND(F$5&gt;0,F$5&lt;100)),
VLOOKUP(FLOOR(('Final Term'!F21/F$5)*100,1),new_transmute,3,FALSE),
VLOOKUP('Final Term'!F21,new_transmute,3,FALSE)
),
IF(Info!$B$4="Board program (Medicine)",
IF(OR(AND(F$5&gt;0,F$5&gt;100),AND(F$5&gt;0,F$5&lt;100)),
VLOOKUP(FLOOR(('Final Term'!F21/F$5)*100,1),new_transmute,4,FALSE),
VLOOKUP('Final Term'!F21,new_transmute,4,FALSE)
),
""
)
)
)
)
)
)
)
)
))</f>
        <v/>
      </c>
      <c r="G21" s="57" t="str">
        <f t="shared" si="1"/>
        <v/>
      </c>
      <c r="H21" s="73" t="str">
        <f>IF($B21="","",
IF(H$5="","",
IF('Final Term'!H21="",0,
IF(NOT(ISNUMBER('Final Term'!H21)),"NAN",
IF('Final Term'!H21&lt;0,"NEG",
IF('Final Term'!H21&gt;H$5,"OVER",
IF(AND(H$5&lt;=100,'Final Term'!H21&gt;100),"ERR",
IF(Info!$B$4="Non-board program",
IF(OR(AND(H$5&gt;0,H$5&gt;100),AND(H$5&gt;0,H$5&lt;100)),
VLOOKUP(FLOOR(('Final Term'!H21/H$5)*100,1),new_transmute,2,FALSE),
VLOOKUP('Final Term'!H21,new_transmute,2,FALSE)
),
IF(Info!$B$4="Board program",
IF(OR(AND(H$5&gt;0,H$5&gt;100),AND(H$5&gt;0,H$5&lt;100)),
VLOOKUP(FLOOR(('Final Term'!H21/H$5)*100,1),new_transmute,3,FALSE),
VLOOKUP('Final Term'!H21,new_transmute,3,FALSE)
),
IF(Info!$B$4="Board program (Medicine)",
IF(OR(AND(H$5&gt;0,H$5&gt;100),AND(H$5&gt;0,H$5&lt;100)),
VLOOKUP(FLOOR(('Final Term'!H21/H$5)*100,1),new_transmute,4,FALSE),
VLOOKUP('Final Term'!H21,new_transmute,4,FALSE)
),
""
)
)
)
)
)
)
)
)
))</f>
        <v/>
      </c>
      <c r="I21" s="73" t="str">
        <f>IF($B21="","",
IF(I$5="","",
IF('Final Term'!I21="",0,
IF(NOT(ISNUMBER('Final Term'!I21)),"NAN",
IF('Final Term'!I21&lt;0,"NEG",
IF('Final Term'!I21&gt;I$5,"OVER",
IF(AND(I$5&lt;=100,'Final Term'!I21&gt;100),"ERR",
IF(Info!$B$4="Non-board program",
IF(OR(AND(I$5&gt;0,I$5&gt;100),AND(I$5&gt;0,I$5&lt;100)),
VLOOKUP(FLOOR(('Final Term'!I21/I$5)*100,1),new_transmute,2,FALSE),
VLOOKUP('Final Term'!I21,new_transmute,2,FALSE)
),
IF(Info!$B$4="Board program",
IF(OR(AND(I$5&gt;0,I$5&gt;100),AND(I$5&gt;0,I$5&lt;100)),
VLOOKUP(FLOOR(('Final Term'!I21/I$5)*100,1),new_transmute,3,FALSE),
VLOOKUP('Final Term'!I21,new_transmute,3,FALSE)
),
IF(Info!$B$4="Board program (Medicine)",
IF(OR(AND(I$5&gt;0,I$5&gt;100),AND(I$5&gt;0,I$5&lt;100)),
VLOOKUP(FLOOR(('Final Term'!I21/I$5)*100,1),new_transmute,4,FALSE),
VLOOKUP('Final Term'!I21,new_transmute,4,FALSE)
),
""
)
)
)
)
)
)
)
)
))</f>
        <v/>
      </c>
      <c r="J21" s="73" t="str">
        <f>IF($B21="","",
IF(J$5="","",
IF('Final Term'!J21="",0,
IF(NOT(ISNUMBER('Final Term'!J21)),"NAN",
IF('Final Term'!J21&lt;0,"NEG",
IF('Final Term'!J21&gt;J$5,"OVER",
IF(AND(J$5&lt;=100,'Final Term'!J21&gt;100),"ERR",
IF(Info!$B$4="Non-board program",
IF(OR(AND(J$5&gt;0,J$5&gt;100),AND(J$5&gt;0,J$5&lt;100)),
VLOOKUP(FLOOR(('Final Term'!J21/J$5)*100,1),new_transmute,2,FALSE),
VLOOKUP('Final Term'!J21,new_transmute,2,FALSE)
),
IF(Info!$B$4="Board program",
IF(OR(AND(J$5&gt;0,J$5&gt;100),AND(J$5&gt;0,J$5&lt;100)),
VLOOKUP(FLOOR(('Final Term'!J21/J$5)*100,1),new_transmute,3,FALSE),
VLOOKUP('Final Term'!J21,new_transmute,3,FALSE)
),
IF(Info!$B$4="Board program (Medicine)",
IF(OR(AND(J$5&gt;0,J$5&gt;100),AND(J$5&gt;0,J$5&lt;100)),
VLOOKUP(FLOOR(('Final Term'!J21/J$5)*100,1),new_transmute,4,FALSE),
VLOOKUP('Final Term'!J21,new_transmute,4,FALSE)
),
""
)
)
)
)
)
)
)
)
))</f>
        <v/>
      </c>
      <c r="K21" s="73" t="str">
        <f>IF($B21="","",
IF(K$5="","",
IF('Final Term'!K21="",0,
IF(NOT(ISNUMBER('Final Term'!K21)),"NAN",
IF('Final Term'!K21&lt;0,"NEG",
IF('Final Term'!K21&gt;K$5,"OVER",
IF(AND(K$5&lt;=100,'Final Term'!K21&gt;100),"ERR",
IF(Info!$B$4="Non-board program",
IF(OR(AND(K$5&gt;0,K$5&gt;100),AND(K$5&gt;0,K$5&lt;100)),
VLOOKUP(FLOOR(('Final Term'!K21/K$5)*100,1),new_transmute,2,FALSE),
VLOOKUP('Final Term'!K21,new_transmute,2,FALSE)
),
IF(Info!$B$4="Board program",
IF(OR(AND(K$5&gt;0,K$5&gt;100),AND(K$5&gt;0,K$5&lt;100)),
VLOOKUP(FLOOR(('Final Term'!K21/K$5)*100,1),new_transmute,3,FALSE),
VLOOKUP('Final Term'!K21,new_transmute,3,FALSE)
),
IF(Info!$B$4="Board program (Medicine)",
IF(OR(AND(K$5&gt;0,K$5&gt;100),AND(K$5&gt;0,K$5&lt;100)),
VLOOKUP(FLOOR(('Final Term'!K21/K$5)*100,1),new_transmute,4,FALSE),
VLOOKUP('Final Term'!K21,new_transmute,4,FALSE)
),
""
)
)
)
)
)
)
)
)
))</f>
        <v/>
      </c>
      <c r="L21" s="73" t="str">
        <f>IF($B21="","",
IF(L$5="","",
IF('Final Term'!L21="",0,
IF(NOT(ISNUMBER('Final Term'!L21)),"NAN",
IF('Final Term'!L21&lt;0,"NEG",
IF('Final Term'!L21&gt;L$5,"OVER",
IF(AND(L$5&lt;=100,'Final Term'!L21&gt;100),"ERR",
IF(Info!$B$4="Non-board program",
IF(OR(AND(L$5&gt;0,L$5&gt;100),AND(L$5&gt;0,L$5&lt;100)),
VLOOKUP(FLOOR(('Final Term'!L21/L$5)*100,1),new_transmute,2,FALSE),
VLOOKUP('Final Term'!L21,new_transmute,2,FALSE)
),
IF(Info!$B$4="Board program",
IF(OR(AND(L$5&gt;0,L$5&gt;100),AND(L$5&gt;0,L$5&lt;100)),
VLOOKUP(FLOOR(('Final Term'!L21/L$5)*100,1),new_transmute,3,FALSE),
VLOOKUP('Final Term'!L21,new_transmute,3,FALSE)
),
IF(Info!$B$4="Board program (Medicine)",
IF(OR(AND(L$5&gt;0,L$5&gt;100),AND(L$5&gt;0,L$5&lt;100)),
VLOOKUP(FLOOR(('Final Term'!L21/L$5)*100,1),new_transmute,4,FALSE),
VLOOKUP('Final Term'!L21,new_transmute,4,FALSE)
),
""
)
)
)
)
)
)
)
)
))</f>
        <v/>
      </c>
      <c r="M21" s="111" t="str">
        <f t="shared" si="2"/>
        <v/>
      </c>
      <c r="N21" s="73" t="str">
        <f>IF($B21="","",
IF(N$5="","",
IF('Final Term'!N21="",0,
IF(NOT(ISNUMBER('Final Term'!N21)),"NAN",
IF('Final Term'!N21&lt;0,"NEG",
IF('Final Term'!N21&gt;N$5,"OVER",
IF(AND(N$5&lt;=100,'Final Term'!N21&gt;100),"ERR",
IF(Info!$B$4="Non-board program",
IF(OR(AND(N$5&gt;0,N$5&gt;100),AND(N$5&gt;0,N$5&lt;100)),
VLOOKUP(FLOOR(('Final Term'!N21/N$5)*100,1),new_transmute,2,FALSE),
VLOOKUP('Final Term'!N21,new_transmute,2,FALSE)
),
IF(Info!$B$4="Board program",
IF(OR(AND(N$5&gt;0,N$5&gt;100),AND(N$5&gt;0,N$5&lt;100)),
VLOOKUP(FLOOR(('Final Term'!N21/N$5)*100,1),new_transmute,3,FALSE),
VLOOKUP('Final Term'!N21,new_transmute,3,FALSE)
),
IF(Info!$B$4="Board program (Medicine)",
IF(OR(AND(N$5&gt;0,N$5&gt;100),AND(N$5&gt;0,N$5&lt;100)),
VLOOKUP(FLOOR(('Final Term'!N21/N$5)*100,1),new_transmute,4,FALSE),
VLOOKUP('Final Term'!N21,new_transmute,4,FALSE)
),
""
)
)
)
)
)
)
)
)
))</f>
        <v/>
      </c>
      <c r="O21" s="73" t="str">
        <f>IF($B21="","",
IF(O$5="","",
IF('Final Term'!O21="",0,
IF(NOT(ISNUMBER('Final Term'!O21)),"NAN",
IF('Final Term'!O21&lt;0,"NEG",
IF('Final Term'!O21&gt;O$5,"OVER",
IF(AND(O$5&lt;=100,'Final Term'!O21&gt;100),"ERR",
IF(Info!$B$4="Non-board program",
IF(OR(AND(O$5&gt;0,O$5&gt;100),AND(O$5&gt;0,O$5&lt;100)),
VLOOKUP(FLOOR(('Final Term'!O21/O$5)*100,1),new_transmute,2,FALSE),
VLOOKUP('Final Term'!O21,new_transmute,2,FALSE)
),
IF(Info!$B$4="Board program",
IF(OR(AND(O$5&gt;0,O$5&gt;100),AND(O$5&gt;0,O$5&lt;100)),
VLOOKUP(FLOOR(('Final Term'!O21/O$5)*100,1),new_transmute,3,FALSE),
VLOOKUP('Final Term'!O21,new_transmute,3,FALSE)
),
IF(Info!$B$4="Board program (Medicine)",
IF(OR(AND(O$5&gt;0,O$5&gt;100),AND(O$5&gt;0,O$5&lt;100)),
VLOOKUP(FLOOR(('Final Term'!O21/O$5)*100,1),new_transmute,4,FALSE),
VLOOKUP('Final Term'!O21,new_transmute,4,FALSE)
),
""
)
)
)
)
)
)
)
)
))</f>
        <v/>
      </c>
      <c r="P21" s="73" t="str">
        <f>IF($B21="","",
IF(P$5="","",
IF('Final Term'!P21="",0,
IF(NOT(ISNUMBER('Final Term'!P21)),"NAN",
IF('Final Term'!P21&lt;0,"NEG",
IF('Final Term'!P21&gt;P$5,"OVER",
IF(AND(P$5&lt;=100,'Final Term'!P21&gt;100),"ERR",
IF(Info!$B$4="Non-board program",
IF(OR(AND(P$5&gt;0,P$5&gt;100),AND(P$5&gt;0,P$5&lt;100)),
VLOOKUP(FLOOR(('Final Term'!P21/P$5)*100,1),new_transmute,2,FALSE),
VLOOKUP('Final Term'!P21,new_transmute,2,FALSE)
),
IF(Info!$B$4="Board program",
IF(OR(AND(P$5&gt;0,P$5&gt;100),AND(P$5&gt;0,P$5&lt;100)),
VLOOKUP(FLOOR(('Final Term'!P21/P$5)*100,1),new_transmute,3,FALSE),
VLOOKUP('Final Term'!P21,new_transmute,3,FALSE)
),
IF(Info!$B$4="Board program (Medicine)",
IF(OR(AND(P$5&gt;0,P$5&gt;100),AND(P$5&gt;0,P$5&lt;100)),
VLOOKUP(FLOOR(('Final Term'!P21/P$5)*100,1),new_transmute,4,FALSE),
VLOOKUP('Final Term'!P21,new_transmute,4,FALSE)
),
""
)
)
)
)
)
)
)
)
))</f>
        <v/>
      </c>
      <c r="Q21" s="73" t="str">
        <f>IF($B21="","",
IF(Q$5="","",
IF('Final Term'!Q21="",0,
IF(NOT(ISNUMBER('Final Term'!Q21)),"NAN",
IF('Final Term'!Q21&lt;0,"NEG",
IF('Final Term'!Q21&gt;Q$5,"OVER",
IF(AND(Q$5&lt;=100,'Final Term'!Q21&gt;100),"ERR",
IF(Info!$B$4="Non-board program",
IF(OR(AND(Q$5&gt;0,Q$5&gt;100),AND(Q$5&gt;0,Q$5&lt;100)),
VLOOKUP(FLOOR(('Final Term'!Q21/Q$5)*100,1),new_transmute,2,FALSE),
VLOOKUP('Final Term'!Q21,new_transmute,2,FALSE)
),
IF(Info!$B$4="Board program",
IF(OR(AND(Q$5&gt;0,Q$5&gt;100),AND(Q$5&gt;0,Q$5&lt;100)),
VLOOKUP(FLOOR(('Final Term'!Q21/Q$5)*100,1),new_transmute,3,FALSE),
VLOOKUP('Final Term'!Q21,new_transmute,3,FALSE)
),
IF(Info!$B$4="Board program (Medicine)",
IF(OR(AND(Q$5&gt;0,Q$5&gt;100),AND(Q$5&gt;0,Q$5&lt;100)),
VLOOKUP(FLOOR(('Final Term'!Q21/Q$5)*100,1),new_transmute,4,FALSE),
VLOOKUP('Final Term'!Q21,new_transmute,4,FALSE)
),
""
)
)
)
)
)
)
)
)
))</f>
        <v/>
      </c>
      <c r="R21" s="73" t="str">
        <f>IF($B21="","",
IF(R$5="","",
IF('Final Term'!R21="",0,
IF(NOT(ISNUMBER('Final Term'!R21)),"NAN",
IF('Final Term'!R21&lt;0,"NEG",
IF('Final Term'!R21&gt;R$5,"OVER",
IF(AND(R$5&lt;=100,'Final Term'!R21&gt;100),"ERR",
IF(Info!$B$4="Non-board program",
IF(OR(AND(R$5&gt;0,R$5&gt;100),AND(R$5&gt;0,R$5&lt;100)),
VLOOKUP(FLOOR(('Final Term'!R21/R$5)*100,1),new_transmute,2,FALSE),
VLOOKUP('Final Term'!R21,new_transmute,2,FALSE)
),
IF(Info!$B$4="Board program",
IF(OR(AND(R$5&gt;0,R$5&gt;100),AND(R$5&gt;0,R$5&lt;100)),
VLOOKUP(FLOOR(('Final Term'!R21/R$5)*100,1),new_transmute,3,FALSE),
VLOOKUP('Final Term'!R21,new_transmute,3,FALSE)
),
IF(Info!$B$4="Board program (Medicine)",
IF(OR(AND(R$5&gt;0,R$5&gt;100),AND(R$5&gt;0,R$5&lt;100)),
VLOOKUP(FLOOR(('Final Term'!R21/R$5)*100,1),new_transmute,4,FALSE),
VLOOKUP('Final Term'!R21,new_transmute,4,FALSE)
),
""
)
)
)
)
)
)
)
)
))</f>
        <v/>
      </c>
      <c r="S21" s="115" t="str">
        <f t="shared" si="3"/>
        <v/>
      </c>
      <c r="T21" s="73" t="str">
        <f>IF($B21="","",
IF(T$5="","",
IF('Final Term'!T21="",0,
IF(NOT(ISNUMBER('Final Term'!T21)),"NAN",
IF('Final Term'!T21&lt;0,"NEG",
IF('Final Term'!T21&gt;T$5,"OVER",
IF(AND(T$5&lt;=100,'Final Term'!T21&gt;100),"ERR",
IF(Info!$B$4="Non-board program",
IF(OR(AND(T$5&gt;0,T$5&gt;100),AND(T$5&gt;0,T$5&lt;100)),
VLOOKUP(FLOOR(('Final Term'!T21/T$5)*100,1),new_transmute,2,FALSE),
VLOOKUP('Final Term'!T21,new_transmute,2,FALSE)
),
IF(Info!$B$4="Board program",
IF(OR(AND(T$5&gt;0,T$5&gt;100),AND(T$5&gt;0,T$5&lt;100)),
VLOOKUP(FLOOR(('Final Term'!T21/T$5)*100,1),new_transmute,3,FALSE),
VLOOKUP('Final Term'!T21,new_transmute,3,FALSE)
),
IF(Info!$B$4="Board program (Medicine)",
IF(OR(AND(T$5&gt;0,T$5&gt;100),AND(T$5&gt;0,T$5&lt;100)),
VLOOKUP(FLOOR(('Final Term'!T21/T$5)*100,1),new_transmute,4,FALSE),
VLOOKUP('Final Term'!T21,new_transmute,4,FALSE)
),
""
)
)
)
)
)
)
)
)
))</f>
        <v/>
      </c>
      <c r="U21" s="73" t="str">
        <f>IF($B21="","",
IF(U$5="","",
IF('Final Term'!U21="",0,
IF(NOT(ISNUMBER('Final Term'!U21)),"NAN",
IF('Final Term'!U21&lt;0,"NEG",
IF('Final Term'!U21&gt;U$5,"OVER",
IF(AND(U$5&lt;=100,'Final Term'!U21&gt;100),"ERR",
IF(Info!$B$4="Non-board program",
IF(OR(AND(U$5&gt;0,U$5&gt;100),AND(U$5&gt;0,U$5&lt;100)),
VLOOKUP(FLOOR(('Final Term'!U21/U$5)*100,1),new_transmute,2,FALSE),
VLOOKUP('Final Term'!U21,new_transmute,2,FALSE)
),
IF(Info!$B$4="Board program",
IF(OR(AND(U$5&gt;0,U$5&gt;100),AND(U$5&gt;0,U$5&lt;100)),
VLOOKUP(FLOOR(('Final Term'!U21/U$5)*100,1),new_transmute,3,FALSE),
VLOOKUP('Final Term'!U21,new_transmute,3,FALSE)
),
IF(Info!$B$4="Board program (Medicine)",
IF(OR(AND(U$5&gt;0,U$5&gt;100),AND(U$5&gt;0,U$5&lt;100)),
VLOOKUP(FLOOR(('Final Term'!U21/U$5)*100,1),new_transmute,4,FALSE),
VLOOKUP('Final Term'!U21,new_transmute,4,FALSE)
),
""
)
)
)
)
)
)
)
)
))</f>
        <v/>
      </c>
      <c r="V21" s="73" t="str">
        <f>IF($B21="","",
IF(V$5="","",
IF('Final Term'!V21="",0,
IF(NOT(ISNUMBER('Final Term'!V21)),"NAN",
IF('Final Term'!V21&lt;0,"NEG",
IF('Final Term'!V21&gt;V$5,"OVER",
IF(AND(V$5&lt;=100,'Final Term'!V21&gt;100),"ERR",
IF(Info!$B$4="Non-board program",
IF(OR(AND(V$5&gt;0,V$5&gt;100),AND(V$5&gt;0,V$5&lt;100)),
VLOOKUP(FLOOR(('Final Term'!V21/V$5)*100,1),new_transmute,2,FALSE),
VLOOKUP('Final Term'!V21,new_transmute,2,FALSE)
),
IF(Info!$B$4="Board program",
IF(OR(AND(V$5&gt;0,V$5&gt;100),AND(V$5&gt;0,V$5&lt;100)),
VLOOKUP(FLOOR(('Final Term'!V21/V$5)*100,1),new_transmute,3,FALSE),
VLOOKUP('Final Term'!V21,new_transmute,3,FALSE)
),
IF(Info!$B$4="Board program (Medicine)",
IF(OR(AND(V$5&gt;0,V$5&gt;100),AND(V$5&gt;0,V$5&lt;100)),
VLOOKUP(FLOOR(('Final Term'!V21/V$5)*100,1),new_transmute,4,FALSE),
VLOOKUP('Final Term'!V21,new_transmute,4,FALSE)
),
""
)
)
)
)
)
)
)
)
))</f>
        <v/>
      </c>
      <c r="W21" s="73" t="str">
        <f>IF($B21="","",
IF(W$5="","",
IF('Final Term'!W21="",0,
IF(NOT(ISNUMBER('Final Term'!W21)),"NAN",
IF('Final Term'!W21&lt;0,"NEG",
IF('Final Term'!W21&gt;W$5,"OVER",
IF(AND(W$5&lt;=100,'Final Term'!W21&gt;100),"ERR",
IF(Info!$B$4="Non-board program",
IF(OR(AND(W$5&gt;0,W$5&gt;100),AND(W$5&gt;0,W$5&lt;100)),
VLOOKUP(FLOOR(('Final Term'!W21/W$5)*100,1),new_transmute,2,FALSE),
VLOOKUP('Final Term'!W21,new_transmute,2,FALSE)
),
IF(Info!$B$4="Board program",
IF(OR(AND(W$5&gt;0,W$5&gt;100),AND(W$5&gt;0,W$5&lt;100)),
VLOOKUP(FLOOR(('Final Term'!W21/W$5)*100,1),new_transmute,3,FALSE),
VLOOKUP('Final Term'!W21,new_transmute,3,FALSE)
),
IF(Info!$B$4="Board program (Medicine)",
IF(OR(AND(W$5&gt;0,W$5&gt;100),AND(W$5&gt;0,W$5&lt;100)),
VLOOKUP(FLOOR(('Final Term'!W21/W$5)*100,1),new_transmute,4,FALSE),
VLOOKUP('Final Term'!W21,new_transmute,4,FALSE)
),
""
)
)
)
)
)
)
)
)
))</f>
        <v/>
      </c>
      <c r="X21" s="73" t="str">
        <f>IF($B21="","",
IF(X$5="","",
IF('Final Term'!X21="",0,
IF(NOT(ISNUMBER('Final Term'!X21)),"NAN",
IF('Final Term'!X21&lt;0,"NEG",
IF('Final Term'!X21&gt;X$5,"OVER",
IF(AND(X$5&lt;=100,'Final Term'!X21&gt;100),"ERR",
IF(Info!$B$4="Non-board program",
IF(OR(AND(X$5&gt;0,X$5&gt;100),AND(X$5&gt;0,X$5&lt;100)),
VLOOKUP(FLOOR(('Final Term'!X21/X$5)*100,1),new_transmute,2,FALSE),
VLOOKUP('Final Term'!X21,new_transmute,2,FALSE)
),
IF(Info!$B$4="Board program",
IF(OR(AND(X$5&gt;0,X$5&gt;100),AND(X$5&gt;0,X$5&lt;100)),
VLOOKUP(FLOOR(('Final Term'!X21/X$5)*100,1),new_transmute,3,FALSE),
VLOOKUP('Final Term'!X21,new_transmute,3,FALSE)
),
IF(Info!$B$4="Board program (Medicine)",
IF(OR(AND(X$5&gt;0,X$5&gt;100),AND(X$5&gt;0,X$5&lt;100)),
VLOOKUP(FLOOR(('Final Term'!X21/X$5)*100,1),new_transmute,4,FALSE),
VLOOKUP('Final Term'!X21,new_transmute,4,FALSE)
),
""
)
)
)
)
)
)
)
)
))</f>
        <v/>
      </c>
      <c r="Y21" s="112" t="str">
        <f t="shared" si="4"/>
        <v/>
      </c>
      <c r="Z21" s="73" t="str">
        <f>IF($B21="","",
IF(Z$5="","",
IF('Final Term'!Z21="",0,
IF(NOT(ISNUMBER('Final Term'!Z21)),"NAN",
IF('Final Term'!Z21&lt;0,"NEG",
IF('Final Term'!Z21&gt;Z$5,"OVER",
IF(AND(Z$5&lt;=100,'Final Term'!Z21&gt;100),"ERR",
IF(Info!$B$4="Non-board program",
IF(OR(AND(Z$5&gt;0,Z$5&gt;100),AND(Z$5&gt;0,Z$5&lt;100)),
VLOOKUP(FLOOR(('Final Term'!Z21/Z$5)*100,1),new_transmute,2,FALSE),
VLOOKUP('Final Term'!Z21,new_transmute,2,FALSE)
),
IF(Info!$B$4="Board program",
IF(OR(AND(Z$5&gt;0,Z$5&gt;100),AND(Z$5&gt;0,Z$5&lt;100)),
VLOOKUP(FLOOR(('Final Term'!Z21/Z$5)*100,1),new_transmute,3,FALSE),
VLOOKUP('Final Term'!Z21,new_transmute,3,FALSE)
),
IF(Info!$B$4="Board program (Medicine)",
IF(OR(AND(Z$5&gt;0,Z$5&gt;100),AND(Z$5&gt;0,Z$5&lt;100)),
VLOOKUP(FLOOR(('Final Term'!Z21/Z$5)*100,1),new_transmute,4,FALSE),
VLOOKUP('Final Term'!Z21,new_transmute,4,FALSE)
),
""
)
)
)
)
)
)
)
)
))</f>
        <v/>
      </c>
      <c r="AA21" s="73" t="str">
        <f>IF($B21="","",
IF(AA$5="","",
IF('Final Term'!AA21="",0,
IF(NOT(ISNUMBER('Final Term'!AA21)),"NAN",
IF('Final Term'!AA21&lt;0,"NEG",
IF('Final Term'!AA21&gt;AA$5,"OVER",
IF(AND(AA$5&lt;=100,'Final Term'!AA21&gt;100),"ERR",
IF(Info!$B$4="Non-board program",
IF(OR(AND(AA$5&gt;0,AA$5&gt;100),AND(AA$5&gt;0,AA$5&lt;100)),
VLOOKUP(FLOOR(('Final Term'!AA21/AA$5)*100,1),new_transmute,2,FALSE),
VLOOKUP('Final Term'!AA21,new_transmute,2,FALSE)
),
IF(Info!$B$4="Board program",
IF(OR(AND(AA$5&gt;0,AA$5&gt;100),AND(AA$5&gt;0,AA$5&lt;100)),
VLOOKUP(FLOOR(('Final Term'!AA21/AA$5)*100,1),new_transmute,3,FALSE),
VLOOKUP('Final Term'!AA21,new_transmute,3,FALSE)
),
IF(Info!$B$4="Board program (Medicine)",
IF(OR(AND(AA$5&gt;0,AA$5&gt;100),AND(AA$5&gt;0,AA$5&lt;100)),
VLOOKUP(FLOOR(('Final Term'!AA21/AA$5)*100,1),new_transmute,4,FALSE),
VLOOKUP('Final Term'!AA21,new_transmute,4,FALSE)
),
""
)
)
)
)
)
)
)
)
))</f>
        <v/>
      </c>
      <c r="AB21" s="73" t="str">
        <f>IF($B21="","",
IF(AB$5="","",
IF('Final Term'!AB21="",0,
IF(NOT(ISNUMBER('Final Term'!AB21)),"NAN",
IF('Final Term'!AB21&lt;0,"NEG",
IF('Final Term'!AB21&gt;AB$5,"OVER",
IF(AND(AB$5&lt;=100,'Final Term'!AB21&gt;100),"ERR",
IF(Info!$B$4="Non-board program",
IF(OR(AND(AB$5&gt;0,AB$5&gt;100),AND(AB$5&gt;0,AB$5&lt;100)),
VLOOKUP(FLOOR(('Final Term'!AB21/AB$5)*100,1),new_transmute,2,FALSE),
VLOOKUP('Final Term'!AB21,new_transmute,2,FALSE)
),
IF(Info!$B$4="Board program",
IF(OR(AND(AB$5&gt;0,AB$5&gt;100),AND(AB$5&gt;0,AB$5&lt;100)),
VLOOKUP(FLOOR(('Final Term'!AB21/AB$5)*100,1),new_transmute,3,FALSE),
VLOOKUP('Final Term'!AB21,new_transmute,3,FALSE)
),
IF(Info!$B$4="Board program (Medicine)",
IF(OR(AND(AB$5&gt;0,AB$5&gt;100),AND(AB$5&gt;0,AB$5&lt;100)),
VLOOKUP(FLOOR(('Final Term'!AB21/AB$5)*100,1),new_transmute,4,FALSE),
VLOOKUP('Final Term'!AB21,new_transmute,4,FALSE)
),
""
)
)
)
)
)
)
)
)
))</f>
        <v/>
      </c>
      <c r="AC21" s="73" t="str">
        <f>IF($B21="","",
IF(AC$5="","",
IF('Final Term'!AC21="",0,
IF(NOT(ISNUMBER('Final Term'!AC21)),"NAN",
IF('Final Term'!AC21&lt;0,"NEG",
IF('Final Term'!AC21&gt;AC$5,"OVER",
IF(AND(AC$5&lt;=100,'Final Term'!AC21&gt;100),"ERR",
IF(Info!$B$4="Non-board program",
IF(OR(AND(AC$5&gt;0,AC$5&gt;100),AND(AC$5&gt;0,AC$5&lt;100)),
VLOOKUP(FLOOR(('Final Term'!AC21/AC$5)*100,1),new_transmute,2,FALSE),
VLOOKUP('Final Term'!AC21,new_transmute,2,FALSE)
),
IF(Info!$B$4="Board program",
IF(OR(AND(AC$5&gt;0,AC$5&gt;100),AND(AC$5&gt;0,AC$5&lt;100)),
VLOOKUP(FLOOR(('Final Term'!AC21/AC$5)*100,1),new_transmute,3,FALSE),
VLOOKUP('Final Term'!AC21,new_transmute,3,FALSE)
),
IF(Info!$B$4="Board program (Medicine)",
IF(OR(AND(AC$5&gt;0,AC$5&gt;100),AND(AC$5&gt;0,AC$5&lt;100)),
VLOOKUP(FLOOR(('Final Term'!AC21/AC$5)*100,1),new_transmute,4,FALSE),
VLOOKUP('Final Term'!AC21,new_transmute,4,FALSE)
),
""
)
)
)
)
)
)
)
)
))</f>
        <v/>
      </c>
      <c r="AD21" s="73" t="str">
        <f>IF($B21="","",
IF(AD$5="","",
IF('Final Term'!AD21="",0,
IF(NOT(ISNUMBER('Final Term'!AD21)),"NAN",
IF('Final Term'!AD21&lt;0,"NEG",
IF('Final Term'!AD21&gt;AD$5,"OVER",
IF(AND(AD$5&lt;=100,'Final Term'!AD21&gt;100),"ERR",
IF(Info!$B$4="Non-board program",
IF(OR(AND(AD$5&gt;0,AD$5&gt;100),AND(AD$5&gt;0,AD$5&lt;100)),
VLOOKUP(FLOOR(('Final Term'!AD21/AD$5)*100,1),new_transmute,2,FALSE),
VLOOKUP('Final Term'!AD21,new_transmute,2,FALSE)
),
IF(Info!$B$4="Board program",
IF(OR(AND(AD$5&gt;0,AD$5&gt;100),AND(AD$5&gt;0,AD$5&lt;100)),
VLOOKUP(FLOOR(('Final Term'!AD21/AD$5)*100,1),new_transmute,3,FALSE),
VLOOKUP('Final Term'!AD21,new_transmute,3,FALSE)
),
IF(Info!$B$4="Board program (Medicine)",
IF(OR(AND(AD$5&gt;0,AD$5&gt;100),AND(AD$5&gt;0,AD$5&lt;100)),
VLOOKUP(FLOOR(('Final Term'!AD21/AD$5)*100,1),new_transmute,4,FALSE),
VLOOKUP('Final Term'!AD21,new_transmute,4,FALSE)
),
""
)
)
)
)
)
)
)
)
))</f>
        <v/>
      </c>
      <c r="AE21" s="58" t="str">
        <f t="shared" si="5"/>
        <v/>
      </c>
      <c r="AF21" s="73" t="str">
        <f>IF($B21="","",
IF(AF$5="","",
IF('Final Term'!AF21="",0,
IF(NOT(ISNUMBER('Final Term'!AF21)),"NAN",
IF('Final Term'!AF21&lt;0,"NEG",
IF('Final Term'!AF21&gt;AF$5,"OVER",
IF(AND(AF$5&lt;=100,'Final Term'!AF21&gt;100),"ERR",
IF(Info!$B$4="Non-board program",
IF(OR(AND(AF$5&gt;0,AF$5&gt;100),AND(AF$5&gt;0,AF$5&lt;100)),
VLOOKUP(FLOOR(('Final Term'!AF21/AF$5)*100,1),new_transmute,2,FALSE),
VLOOKUP('Final Term'!AF21,new_transmute,2,FALSE)
),
IF(Info!$B$4="Board program",
IF(OR(AND(AF$5&gt;0,AF$5&gt;100),AND(AF$5&gt;0,AF$5&lt;100)),
VLOOKUP(FLOOR(('Final Term'!AF21/AF$5)*100,1),new_transmute,3,FALSE),
VLOOKUP('Final Term'!AF21,new_transmute,3,FALSE)
),
IF(Info!$B$4="Board program (Medicine)",
IF(OR(AND(AF$5&gt;0,AF$5&gt;100),AND(AF$5&gt;0,AF$5&lt;100)),
VLOOKUP(FLOOR(('Final Term'!AF21/AF$5)*100,1),new_transmute,4,FALSE),
VLOOKUP('Final Term'!AF21,new_transmute,4,FALSE)
),
""
)
)
)
)
)
)
)
)
))</f>
        <v/>
      </c>
      <c r="AG21" s="73" t="str">
        <f>IF($B21="","",
IF(AG$5="","",
IF('Final Term'!AG21="",0,
IF(NOT(ISNUMBER('Final Term'!AG21)),"NAN",
IF('Final Term'!AG21&lt;0,"NEG",
IF('Final Term'!AG21&gt;AG$5,"OVER",
IF(AND(AG$5&lt;=100,'Final Term'!AG21&gt;100),"ERR",
IF(Info!$B$4="Non-board program",
IF(OR(AND(AG$5&gt;0,AG$5&gt;100),AND(AG$5&gt;0,AG$5&lt;100)),
VLOOKUP(FLOOR(('Final Term'!AG21/AG$5)*100,1),new_transmute,2,FALSE),
VLOOKUP('Final Term'!AG21,new_transmute,2,FALSE)
),
IF(Info!$B$4="Board program",
IF(OR(AND(AG$5&gt;0,AG$5&gt;100),AND(AG$5&gt;0,AG$5&lt;100)),
VLOOKUP(FLOOR(('Final Term'!AG21/AG$5)*100,1),new_transmute,3,FALSE),
VLOOKUP('Final Term'!AG21,new_transmute,3,FALSE)
),
IF(Info!$B$4="Board program (Medicine)",
IF(OR(AND(AG$5&gt;0,AG$5&gt;100),AND(AG$5&gt;0,AG$5&lt;100)),
VLOOKUP(FLOOR(('Final Term'!AG21/AG$5)*100,1),new_transmute,4,FALSE),
VLOOKUP('Final Term'!AG21,new_transmute,4,FALSE)
),
""
)
)
)
)
)
)
)
)
))</f>
        <v/>
      </c>
      <c r="AH21" s="73" t="str">
        <f>IF($B21="","",
IF(AH$5="","",
IF('Final Term'!AH21="",0,
IF(NOT(ISNUMBER('Final Term'!AH21)),"NAN",
IF('Final Term'!AH21&lt;0,"NEG",
IF('Final Term'!AH21&gt;AH$5,"OVER",
IF(AND(AH$5&lt;=100,'Final Term'!AH21&gt;100),"ERR",
IF(Info!$B$4="Non-board program",
IF(OR(AND(AH$5&gt;0,AH$5&gt;100),AND(AH$5&gt;0,AH$5&lt;100)),
VLOOKUP(FLOOR(('Final Term'!AH21/AH$5)*100,1),new_transmute,2,FALSE),
VLOOKUP('Final Term'!AH21,new_transmute,2,FALSE)
),
IF(Info!$B$4="Board program",
IF(OR(AND(AH$5&gt;0,AH$5&gt;100),AND(AH$5&gt;0,AH$5&lt;100)),
VLOOKUP(FLOOR(('Final Term'!AH21/AH$5)*100,1),new_transmute,3,FALSE),
VLOOKUP('Final Term'!AH21,new_transmute,3,FALSE)
),
IF(Info!$B$4="Board program (Medicine)",
IF(OR(AND(AH$5&gt;0,AH$5&gt;100),AND(AH$5&gt;0,AH$5&lt;100)),
VLOOKUP(FLOOR(('Final Term'!AH21/AH$5)*100,1),new_transmute,4,FALSE),
VLOOKUP('Final Term'!AH21,new_transmute,4,FALSE)
),
""
)
)
)
)
)
)
)
)
))</f>
        <v/>
      </c>
      <c r="AI21" s="73" t="str">
        <f>IF($B21="","",
IF(AI$5="","",
IF('Final Term'!AI21="",0,
IF(NOT(ISNUMBER('Final Term'!AI21)),"NAN",
IF('Final Term'!AI21&lt;0,"NEG",
IF('Final Term'!AI21&gt;AI$5,"OVER",
IF(AND(AI$5&lt;=100,'Final Term'!AI21&gt;100),"ERR",
IF(Info!$B$4="Non-board program",
IF(OR(AND(AI$5&gt;0,AI$5&gt;100),AND(AI$5&gt;0,AI$5&lt;100)),
VLOOKUP(FLOOR(('Final Term'!AI21/AI$5)*100,1),new_transmute,2,FALSE),
VLOOKUP('Final Term'!AI21,new_transmute,2,FALSE)
),
IF(Info!$B$4="Board program",
IF(OR(AND(AI$5&gt;0,AI$5&gt;100),AND(AI$5&gt;0,AI$5&lt;100)),
VLOOKUP(FLOOR(('Final Term'!AI21/AI$5)*100,1),new_transmute,3,FALSE),
VLOOKUP('Final Term'!AI21,new_transmute,3,FALSE)
),
IF(Info!$B$4="Board program (Medicine)",
IF(OR(AND(AI$5&gt;0,AI$5&gt;100),AND(AI$5&gt;0,AI$5&lt;100)),
VLOOKUP(FLOOR(('Final Term'!AI21/AI$5)*100,1),new_transmute,4,FALSE),
VLOOKUP('Final Term'!AI21,new_transmute,4,FALSE)
),
""
)
)
)
)
)
)
)
)
))</f>
        <v/>
      </c>
      <c r="AJ21" s="73" t="str">
        <f>IF($B21="","",
IF(AJ$5="","",
IF('Final Term'!AJ21="",0,
IF(NOT(ISNUMBER('Final Term'!AJ21)),"NAN",
IF('Final Term'!AJ21&lt;0,"NEG",
IF('Final Term'!AJ21&gt;AJ$5,"OVER",
IF(AND(AJ$5&lt;=100,'Final Term'!AJ21&gt;100),"ERR",
IF(Info!$B$4="Non-board program",
IF(OR(AND(AJ$5&gt;0,AJ$5&gt;100),AND(AJ$5&gt;0,AJ$5&lt;100)),
VLOOKUP(FLOOR(('Final Term'!AJ21/AJ$5)*100,1),new_transmute,2,FALSE),
VLOOKUP('Final Term'!AJ21,new_transmute,2,FALSE)
),
IF(Info!$B$4="Board program",
IF(OR(AND(AJ$5&gt;0,AJ$5&gt;100),AND(AJ$5&gt;0,AJ$5&lt;100)),
VLOOKUP(FLOOR(('Final Term'!AJ21/AJ$5)*100,1),new_transmute,3,FALSE),
VLOOKUP('Final Term'!AJ21,new_transmute,3,FALSE)
),
IF(Info!$B$4="Board program (Medicine)",
IF(OR(AND(AJ$5&gt;0,AJ$5&gt;100),AND(AJ$5&gt;0,AJ$5&lt;100)),
VLOOKUP(FLOOR(('Final Term'!AJ21/AJ$5)*100,1),new_transmute,4,FALSE),
VLOOKUP('Final Term'!AJ21,new_transmute,4,FALSE)
),
""
)
)
)
)
)
)
)
)
))</f>
        <v/>
      </c>
      <c r="AK21" s="59" t="str">
        <f t="shared" si="6"/>
        <v/>
      </c>
      <c r="AL21" s="60" t="str">
        <f>IF(B21="", "",
    IF(OR(M21="OVER", S21="OVER", Y21="OVER", AE21="OVER", AK21="OVER"),
        "OVER",
        IF(Info!$B$4="Non-board program",
            VLOOKUP(IFERROR(FLOOR(SUM((M21*$M$4), (S21*$S$4), (Y21*$Y$4), (AE21*$AE$4), (AK21*$AK$4)) * (100 / 60), 1), 0), new_transmute, 2, FALSE),
            IF(Info!$B$4="Board program",
                VLOOKUP(IFERROR(FLOOR(SUM((M21*$M$4), (S21*$S$4), (Y21*$Y$4), (AE21*$AE$4), (AK21*$AK$4)) * (100 / 60), 1), 0), new_transmute, 3, FALSE),
                IF(Info!$B$4="Board program (Medicine)",
                    VLOOKUP(IFERROR(FLOOR(SUM((M21*$M$4), (S21*$S$4), (Y21*$Y$4), (AE21*$AE$4), (AK21*$AK$4)) * (100 / 60), 1), 0), new_transmute, 4, FALSE),
                    ""
                )
            )
        )
    )
)</f>
        <v/>
      </c>
      <c r="AM21" s="73" t="str">
        <f>IF($B21="","",
IF(AM$5="","",
IF('Final Term'!AM21="",0,
IF(NOT(ISNUMBER('Final Term'!AM21)),"NAN",
IF('Final Term'!AM21&lt;0,"NEG",
IF('Final Term'!AM21&gt;AM$5,"OVER",
IF(AND(AM$5&lt;=100,'Final Term'!AM21&gt;100),"ERR",
IF(Info!$B$4="Non-board program",
IF(OR(AND(AM$5&gt;0,AM$5&gt;100),AND(AM$5&gt;0,AM$5&lt;100)),
VLOOKUP(FLOOR(('Final Term'!AM21/AM$5)*100,1),new_transmute,2,FALSE),
VLOOKUP('Final Term'!AM21,new_transmute,2,FALSE)
),
IF(Info!$B$4="Board program",
IF(OR(AND(AM$5&gt;0,AM$5&gt;100),AND(AM$5&gt;0,AM$5&lt;100)),
VLOOKUP(FLOOR(('Final Term'!AM21/AM$5)*100,1),new_transmute,3,FALSE),
VLOOKUP('Final Term'!AM21,new_transmute,3,FALSE)
),
IF(Info!$B$4="Board program (Medicine)",
IF(OR(AND(AM$5&gt;0,AM$5&gt;100),AND(AM$5&gt;0,AM$5&lt;100)),
VLOOKUP(FLOOR(('Final Term'!AM21/AM$5)*100,1),new_transmute,4,FALSE),
VLOOKUP('Final Term'!AM21,new_transmute,4,FALSE)
),
""
)
)
)
)
)
)
)
)
))</f>
        <v/>
      </c>
      <c r="AN21" s="73" t="str">
        <f>IF($B21="","",
IF(AN$5="","",
IF('Final Term'!AN21="",0,
IF(NOT(ISNUMBER('Final Term'!AN21)),"NAN",
IF('Final Term'!AN21&lt;0,"NEG",
IF('Final Term'!AN21&gt;AN$5,"OVER",
IF(AND(AN$5&lt;=100,'Final Term'!AN21&gt;100),"ERR",
IF(Info!$B$4="Non-board program",
IF(OR(AND(AN$5&gt;0,AN$5&gt;100),AND(AN$5&gt;0,AN$5&lt;100)),
VLOOKUP(FLOOR(('Final Term'!AN21/AN$5)*100,1),new_transmute,2,FALSE),
VLOOKUP('Final Term'!AN21,new_transmute,2,FALSE)
),
IF(Info!$B$4="Board program",
IF(OR(AND(AN$5&gt;0,AN$5&gt;100),AND(AN$5&gt;0,AN$5&lt;100)),
VLOOKUP(FLOOR(('Final Term'!AN21/AN$5)*100,1),new_transmute,3,FALSE),
VLOOKUP('Final Term'!AN21,new_transmute,3,FALSE)
),
IF(Info!$B$4="Board program (Medicine)",
IF(OR(AND(AN$5&gt;0,AN$5&gt;100),AND(AN$5&gt;0,AN$5&lt;100)),
VLOOKUP(FLOOR(('Final Term'!AN21/AN$5)*100,1),new_transmute,4,FALSE),
VLOOKUP('Final Term'!AN21,new_transmute,4,FALSE)
),
""
)
)
)
)
)
)
)
)
))</f>
        <v/>
      </c>
      <c r="AO21" s="73" t="str">
        <f>IF($B21="","",
IF(AO$5="","",
IF('Final Term'!AO21="",0,
IF(NOT(ISNUMBER('Final Term'!AO21)),"NAN",
IF('Final Term'!AO21&lt;0,"NEG",
IF('Final Term'!AO21&gt;AO$5,"OVER",
IF(AND(AO$5&lt;=100,'Final Term'!AO21&gt;100),"ERR",
IF(Info!$B$4="Non-board program",
IF(OR(AND(AO$5&gt;0,AO$5&gt;100),AND(AO$5&gt;0,AO$5&lt;100)),
VLOOKUP(FLOOR(('Final Term'!AO21/AO$5)*100,1),new_transmute,2,FALSE),
VLOOKUP('Final Term'!AO21,new_transmute,2,FALSE)
),
IF(Info!$B$4="Board program",
IF(OR(AND(AO$5&gt;0,AO$5&gt;100),AND(AO$5&gt;0,AO$5&lt;100)),
VLOOKUP(FLOOR(('Final Term'!AO21/AO$5)*100,1),new_transmute,3,FALSE),
VLOOKUP('Final Term'!AO21,new_transmute,3,FALSE)
),
IF(Info!$B$4="Board program (Medicine)",
IF(OR(AND(AO$5&gt;0,AO$5&gt;100),AND(AO$5&gt;0,AO$5&lt;100)),
VLOOKUP(FLOOR(('Final Term'!AO21/AO$5)*100,1),new_transmute,4,FALSE),
VLOOKUP('Final Term'!AO21,new_transmute,4,FALSE)
),
""
)
)
)
)
)
)
)
)
))</f>
        <v/>
      </c>
      <c r="AP21" s="73" t="str">
        <f>IF($B21="","",
IF(AP$5="","",
IF('Final Term'!AP21="",0,
IF(NOT(ISNUMBER('Final Term'!AP21)),"NAN",
IF('Final Term'!AP21&lt;0,"NEG",
IF('Final Term'!AP21&gt;AP$5,"OVER",
IF(AND(AP$5&lt;=100,'Final Term'!AP21&gt;100),"ERR",
IF(Info!$B$4="Non-board program",
IF(OR(AND(AP$5&gt;0,AP$5&gt;100),AND(AP$5&gt;0,AP$5&lt;100)),
VLOOKUP(FLOOR(('Final Term'!AP21/AP$5)*100,1),new_transmute,2,FALSE),
VLOOKUP('Final Term'!AP21,new_transmute,2,FALSE)
),
IF(Info!$B$4="Board program",
IF(OR(AND(AP$5&gt;0,AP$5&gt;100),AND(AP$5&gt;0,AP$5&lt;100)),
VLOOKUP(FLOOR(('Final Term'!AP21/AP$5)*100,1),new_transmute,3,FALSE),
VLOOKUP('Final Term'!AP21,new_transmute,3,FALSE)
),
IF(Info!$B$4="Board program (Medicine)",
IF(OR(AND(AP$5&gt;0,AP$5&gt;100),AND(AP$5&gt;0,AP$5&lt;100)),
VLOOKUP(FLOOR(('Final Term'!AP21/AP$5)*100,1),new_transmute,4,FALSE),
VLOOKUP('Final Term'!AP21,new_transmute,4,FALSE)
),
""
)
)
)
)
)
)
)
)
))</f>
        <v/>
      </c>
      <c r="AQ21" s="61" t="str">
        <f t="shared" si="7"/>
        <v/>
      </c>
      <c r="AR21" s="48" t="str">
        <f>IF('Final Term'!AR21="","",'Final Term'!AR21)</f>
        <v/>
      </c>
      <c r="AS21" s="165" t="str">
        <f t="shared" si="8"/>
        <v/>
      </c>
      <c r="AT21" s="14" t="str">
        <f t="shared" si="0"/>
        <v/>
      </c>
      <c r="AU21" s="13" t="str">
        <f>IF(B21="","",VLOOKUP(AT21,'New Grade Equivalent'!$B$3:$C$47,2,FALSE))</f>
        <v/>
      </c>
    </row>
    <row r="22" spans="1:47" x14ac:dyDescent="0.25">
      <c r="A22" s="8">
        <v>17</v>
      </c>
      <c r="B22" s="2" t="str">
        <f>IF('Student List'!C26="","",UPPER(LEFT('Student List'!C26,FIND(",",'Student List'!C26)-1)))</f>
        <v/>
      </c>
      <c r="C22" s="12" t="str">
        <f>IF('Student List'!C26="","",PROPER(MID('Student List'!C26, FIND(",", 'Student List'!C26) + 2, LEN('Student List'!C26) - FIND(",", 'Student List'!C26) - 1)))</f>
        <v/>
      </c>
      <c r="D22" s="127" t="str">
        <f>IF('Final Term'!D22="","",'Final Term'!D22)</f>
        <v/>
      </c>
      <c r="E22" s="8" t="str">
        <f>IF(MidCom!E22="FA", "FA",
    IF(MidCom!E22="DRP", "DRP",
        IF(MidCom!E22="WF", "WF",
            IF(D22="Yes", "INC",
               IF((SUM('MT Attendance'!AW20) / 3 + SUM('MT Attendance'!AY20) + SUM('FT Attendance'!AW20) / 3 + SUM('FT Attendance'!AY20)) &gt;= 0.2 * (SUMPRODUCT(--(ISTEXT('MT Attendance'!$C$2:$AU$2))) + SUMPRODUCT(--(ISTEXT('FT Attendance'!$C$2:$AU$2)))), "FA",
                   MidCom!E22
                )
            )
        )
    )
)</f>
        <v/>
      </c>
      <c r="F22" s="73" t="str">
        <f>IF($B22="","",
IF(F$5="","",
IF('Final Term'!F22="",0,
IF(NOT(ISNUMBER('Final Term'!F22)),"NAN",
IF('Final Term'!F22&lt;0,"NEG",
IF('Final Term'!F22&gt;F$5,"OVER",
IF(AND(F$5&lt;=100,'Final Term'!F22&gt;100),"ERR",
IF(Info!$B$4="Non-board program",
IF(OR(AND(F$5&gt;0,F$5&gt;100),AND(F$5&gt;0,F$5&lt;100)),
VLOOKUP(FLOOR(('Final Term'!F22/F$5)*100,1),new_transmute,2,FALSE),
VLOOKUP('Final Term'!F22,new_transmute,2,FALSE)
),
IF(Info!$B$4="Board program",
IF(OR(AND(F$5&gt;0,F$5&gt;100),AND(F$5&gt;0,F$5&lt;100)),
VLOOKUP(FLOOR(('Final Term'!F22/F$5)*100,1),new_transmute,3,FALSE),
VLOOKUP('Final Term'!F22,new_transmute,3,FALSE)
),
IF(Info!$B$4="Board program (Medicine)",
IF(OR(AND(F$5&gt;0,F$5&gt;100),AND(F$5&gt;0,F$5&lt;100)),
VLOOKUP(FLOOR(('Final Term'!F22/F$5)*100,1),new_transmute,4,FALSE),
VLOOKUP('Final Term'!F22,new_transmute,4,FALSE)
),
""
)
)
)
)
)
)
)
)
))</f>
        <v/>
      </c>
      <c r="G22" s="57" t="str">
        <f t="shared" si="1"/>
        <v/>
      </c>
      <c r="H22" s="73" t="str">
        <f>IF($B22="","",
IF(H$5="","",
IF('Final Term'!H22="",0,
IF(NOT(ISNUMBER('Final Term'!H22)),"NAN",
IF('Final Term'!H22&lt;0,"NEG",
IF('Final Term'!H22&gt;H$5,"OVER",
IF(AND(H$5&lt;=100,'Final Term'!H22&gt;100),"ERR",
IF(Info!$B$4="Non-board program",
IF(OR(AND(H$5&gt;0,H$5&gt;100),AND(H$5&gt;0,H$5&lt;100)),
VLOOKUP(FLOOR(('Final Term'!H22/H$5)*100,1),new_transmute,2,FALSE),
VLOOKUP('Final Term'!H22,new_transmute,2,FALSE)
),
IF(Info!$B$4="Board program",
IF(OR(AND(H$5&gt;0,H$5&gt;100),AND(H$5&gt;0,H$5&lt;100)),
VLOOKUP(FLOOR(('Final Term'!H22/H$5)*100,1),new_transmute,3,FALSE),
VLOOKUP('Final Term'!H22,new_transmute,3,FALSE)
),
IF(Info!$B$4="Board program (Medicine)",
IF(OR(AND(H$5&gt;0,H$5&gt;100),AND(H$5&gt;0,H$5&lt;100)),
VLOOKUP(FLOOR(('Final Term'!H22/H$5)*100,1),new_transmute,4,FALSE),
VLOOKUP('Final Term'!H22,new_transmute,4,FALSE)
),
""
)
)
)
)
)
)
)
)
))</f>
        <v/>
      </c>
      <c r="I22" s="73" t="str">
        <f>IF($B22="","",
IF(I$5="","",
IF('Final Term'!I22="",0,
IF(NOT(ISNUMBER('Final Term'!I22)),"NAN",
IF('Final Term'!I22&lt;0,"NEG",
IF('Final Term'!I22&gt;I$5,"OVER",
IF(AND(I$5&lt;=100,'Final Term'!I22&gt;100),"ERR",
IF(Info!$B$4="Non-board program",
IF(OR(AND(I$5&gt;0,I$5&gt;100),AND(I$5&gt;0,I$5&lt;100)),
VLOOKUP(FLOOR(('Final Term'!I22/I$5)*100,1),new_transmute,2,FALSE),
VLOOKUP('Final Term'!I22,new_transmute,2,FALSE)
),
IF(Info!$B$4="Board program",
IF(OR(AND(I$5&gt;0,I$5&gt;100),AND(I$5&gt;0,I$5&lt;100)),
VLOOKUP(FLOOR(('Final Term'!I22/I$5)*100,1),new_transmute,3,FALSE),
VLOOKUP('Final Term'!I22,new_transmute,3,FALSE)
),
IF(Info!$B$4="Board program (Medicine)",
IF(OR(AND(I$5&gt;0,I$5&gt;100),AND(I$5&gt;0,I$5&lt;100)),
VLOOKUP(FLOOR(('Final Term'!I22/I$5)*100,1),new_transmute,4,FALSE),
VLOOKUP('Final Term'!I22,new_transmute,4,FALSE)
),
""
)
)
)
)
)
)
)
)
))</f>
        <v/>
      </c>
      <c r="J22" s="73" t="str">
        <f>IF($B22="","",
IF(J$5="","",
IF('Final Term'!J22="",0,
IF(NOT(ISNUMBER('Final Term'!J22)),"NAN",
IF('Final Term'!J22&lt;0,"NEG",
IF('Final Term'!J22&gt;J$5,"OVER",
IF(AND(J$5&lt;=100,'Final Term'!J22&gt;100),"ERR",
IF(Info!$B$4="Non-board program",
IF(OR(AND(J$5&gt;0,J$5&gt;100),AND(J$5&gt;0,J$5&lt;100)),
VLOOKUP(FLOOR(('Final Term'!J22/J$5)*100,1),new_transmute,2,FALSE),
VLOOKUP('Final Term'!J22,new_transmute,2,FALSE)
),
IF(Info!$B$4="Board program",
IF(OR(AND(J$5&gt;0,J$5&gt;100),AND(J$5&gt;0,J$5&lt;100)),
VLOOKUP(FLOOR(('Final Term'!J22/J$5)*100,1),new_transmute,3,FALSE),
VLOOKUP('Final Term'!J22,new_transmute,3,FALSE)
),
IF(Info!$B$4="Board program (Medicine)",
IF(OR(AND(J$5&gt;0,J$5&gt;100),AND(J$5&gt;0,J$5&lt;100)),
VLOOKUP(FLOOR(('Final Term'!J22/J$5)*100,1),new_transmute,4,FALSE),
VLOOKUP('Final Term'!J22,new_transmute,4,FALSE)
),
""
)
)
)
)
)
)
)
)
))</f>
        <v/>
      </c>
      <c r="K22" s="73" t="str">
        <f>IF($B22="","",
IF(K$5="","",
IF('Final Term'!K22="",0,
IF(NOT(ISNUMBER('Final Term'!K22)),"NAN",
IF('Final Term'!K22&lt;0,"NEG",
IF('Final Term'!K22&gt;K$5,"OVER",
IF(AND(K$5&lt;=100,'Final Term'!K22&gt;100),"ERR",
IF(Info!$B$4="Non-board program",
IF(OR(AND(K$5&gt;0,K$5&gt;100),AND(K$5&gt;0,K$5&lt;100)),
VLOOKUP(FLOOR(('Final Term'!K22/K$5)*100,1),new_transmute,2,FALSE),
VLOOKUP('Final Term'!K22,new_transmute,2,FALSE)
),
IF(Info!$B$4="Board program",
IF(OR(AND(K$5&gt;0,K$5&gt;100),AND(K$5&gt;0,K$5&lt;100)),
VLOOKUP(FLOOR(('Final Term'!K22/K$5)*100,1),new_transmute,3,FALSE),
VLOOKUP('Final Term'!K22,new_transmute,3,FALSE)
),
IF(Info!$B$4="Board program (Medicine)",
IF(OR(AND(K$5&gt;0,K$5&gt;100),AND(K$5&gt;0,K$5&lt;100)),
VLOOKUP(FLOOR(('Final Term'!K22/K$5)*100,1),new_transmute,4,FALSE),
VLOOKUP('Final Term'!K22,new_transmute,4,FALSE)
),
""
)
)
)
)
)
)
)
)
))</f>
        <v/>
      </c>
      <c r="L22" s="73" t="str">
        <f>IF($B22="","",
IF(L$5="","",
IF('Final Term'!L22="",0,
IF(NOT(ISNUMBER('Final Term'!L22)),"NAN",
IF('Final Term'!L22&lt;0,"NEG",
IF('Final Term'!L22&gt;L$5,"OVER",
IF(AND(L$5&lt;=100,'Final Term'!L22&gt;100),"ERR",
IF(Info!$B$4="Non-board program",
IF(OR(AND(L$5&gt;0,L$5&gt;100),AND(L$5&gt;0,L$5&lt;100)),
VLOOKUP(FLOOR(('Final Term'!L22/L$5)*100,1),new_transmute,2,FALSE),
VLOOKUP('Final Term'!L22,new_transmute,2,FALSE)
),
IF(Info!$B$4="Board program",
IF(OR(AND(L$5&gt;0,L$5&gt;100),AND(L$5&gt;0,L$5&lt;100)),
VLOOKUP(FLOOR(('Final Term'!L22/L$5)*100,1),new_transmute,3,FALSE),
VLOOKUP('Final Term'!L22,new_transmute,3,FALSE)
),
IF(Info!$B$4="Board program (Medicine)",
IF(OR(AND(L$5&gt;0,L$5&gt;100),AND(L$5&gt;0,L$5&lt;100)),
VLOOKUP(FLOOR(('Final Term'!L22/L$5)*100,1),new_transmute,4,FALSE),
VLOOKUP('Final Term'!L22,new_transmute,4,FALSE)
),
""
)
)
)
)
)
)
)
)
))</f>
        <v/>
      </c>
      <c r="M22" s="111" t="str">
        <f t="shared" si="2"/>
        <v/>
      </c>
      <c r="N22" s="73" t="str">
        <f>IF($B22="","",
IF(N$5="","",
IF('Final Term'!N22="",0,
IF(NOT(ISNUMBER('Final Term'!N22)),"NAN",
IF('Final Term'!N22&lt;0,"NEG",
IF('Final Term'!N22&gt;N$5,"OVER",
IF(AND(N$5&lt;=100,'Final Term'!N22&gt;100),"ERR",
IF(Info!$B$4="Non-board program",
IF(OR(AND(N$5&gt;0,N$5&gt;100),AND(N$5&gt;0,N$5&lt;100)),
VLOOKUP(FLOOR(('Final Term'!N22/N$5)*100,1),new_transmute,2,FALSE),
VLOOKUP('Final Term'!N22,new_transmute,2,FALSE)
),
IF(Info!$B$4="Board program",
IF(OR(AND(N$5&gt;0,N$5&gt;100),AND(N$5&gt;0,N$5&lt;100)),
VLOOKUP(FLOOR(('Final Term'!N22/N$5)*100,1),new_transmute,3,FALSE),
VLOOKUP('Final Term'!N22,new_transmute,3,FALSE)
),
IF(Info!$B$4="Board program (Medicine)",
IF(OR(AND(N$5&gt;0,N$5&gt;100),AND(N$5&gt;0,N$5&lt;100)),
VLOOKUP(FLOOR(('Final Term'!N22/N$5)*100,1),new_transmute,4,FALSE),
VLOOKUP('Final Term'!N22,new_transmute,4,FALSE)
),
""
)
)
)
)
)
)
)
)
))</f>
        <v/>
      </c>
      <c r="O22" s="73" t="str">
        <f>IF($B22="","",
IF(O$5="","",
IF('Final Term'!O22="",0,
IF(NOT(ISNUMBER('Final Term'!O22)),"NAN",
IF('Final Term'!O22&lt;0,"NEG",
IF('Final Term'!O22&gt;O$5,"OVER",
IF(AND(O$5&lt;=100,'Final Term'!O22&gt;100),"ERR",
IF(Info!$B$4="Non-board program",
IF(OR(AND(O$5&gt;0,O$5&gt;100),AND(O$5&gt;0,O$5&lt;100)),
VLOOKUP(FLOOR(('Final Term'!O22/O$5)*100,1),new_transmute,2,FALSE),
VLOOKUP('Final Term'!O22,new_transmute,2,FALSE)
),
IF(Info!$B$4="Board program",
IF(OR(AND(O$5&gt;0,O$5&gt;100),AND(O$5&gt;0,O$5&lt;100)),
VLOOKUP(FLOOR(('Final Term'!O22/O$5)*100,1),new_transmute,3,FALSE),
VLOOKUP('Final Term'!O22,new_transmute,3,FALSE)
),
IF(Info!$B$4="Board program (Medicine)",
IF(OR(AND(O$5&gt;0,O$5&gt;100),AND(O$5&gt;0,O$5&lt;100)),
VLOOKUP(FLOOR(('Final Term'!O22/O$5)*100,1),new_transmute,4,FALSE),
VLOOKUP('Final Term'!O22,new_transmute,4,FALSE)
),
""
)
)
)
)
)
)
)
)
))</f>
        <v/>
      </c>
      <c r="P22" s="73" t="str">
        <f>IF($B22="","",
IF(P$5="","",
IF('Final Term'!P22="",0,
IF(NOT(ISNUMBER('Final Term'!P22)),"NAN",
IF('Final Term'!P22&lt;0,"NEG",
IF('Final Term'!P22&gt;P$5,"OVER",
IF(AND(P$5&lt;=100,'Final Term'!P22&gt;100),"ERR",
IF(Info!$B$4="Non-board program",
IF(OR(AND(P$5&gt;0,P$5&gt;100),AND(P$5&gt;0,P$5&lt;100)),
VLOOKUP(FLOOR(('Final Term'!P22/P$5)*100,1),new_transmute,2,FALSE),
VLOOKUP('Final Term'!P22,new_transmute,2,FALSE)
),
IF(Info!$B$4="Board program",
IF(OR(AND(P$5&gt;0,P$5&gt;100),AND(P$5&gt;0,P$5&lt;100)),
VLOOKUP(FLOOR(('Final Term'!P22/P$5)*100,1),new_transmute,3,FALSE),
VLOOKUP('Final Term'!P22,new_transmute,3,FALSE)
),
IF(Info!$B$4="Board program (Medicine)",
IF(OR(AND(P$5&gt;0,P$5&gt;100),AND(P$5&gt;0,P$5&lt;100)),
VLOOKUP(FLOOR(('Final Term'!P22/P$5)*100,1),new_transmute,4,FALSE),
VLOOKUP('Final Term'!P22,new_transmute,4,FALSE)
),
""
)
)
)
)
)
)
)
)
))</f>
        <v/>
      </c>
      <c r="Q22" s="73" t="str">
        <f>IF($B22="","",
IF(Q$5="","",
IF('Final Term'!Q22="",0,
IF(NOT(ISNUMBER('Final Term'!Q22)),"NAN",
IF('Final Term'!Q22&lt;0,"NEG",
IF('Final Term'!Q22&gt;Q$5,"OVER",
IF(AND(Q$5&lt;=100,'Final Term'!Q22&gt;100),"ERR",
IF(Info!$B$4="Non-board program",
IF(OR(AND(Q$5&gt;0,Q$5&gt;100),AND(Q$5&gt;0,Q$5&lt;100)),
VLOOKUP(FLOOR(('Final Term'!Q22/Q$5)*100,1),new_transmute,2,FALSE),
VLOOKUP('Final Term'!Q22,new_transmute,2,FALSE)
),
IF(Info!$B$4="Board program",
IF(OR(AND(Q$5&gt;0,Q$5&gt;100),AND(Q$5&gt;0,Q$5&lt;100)),
VLOOKUP(FLOOR(('Final Term'!Q22/Q$5)*100,1),new_transmute,3,FALSE),
VLOOKUP('Final Term'!Q22,new_transmute,3,FALSE)
),
IF(Info!$B$4="Board program (Medicine)",
IF(OR(AND(Q$5&gt;0,Q$5&gt;100),AND(Q$5&gt;0,Q$5&lt;100)),
VLOOKUP(FLOOR(('Final Term'!Q22/Q$5)*100,1),new_transmute,4,FALSE),
VLOOKUP('Final Term'!Q22,new_transmute,4,FALSE)
),
""
)
)
)
)
)
)
)
)
))</f>
        <v/>
      </c>
      <c r="R22" s="73" t="str">
        <f>IF($B22="","",
IF(R$5="","",
IF('Final Term'!R22="",0,
IF(NOT(ISNUMBER('Final Term'!R22)),"NAN",
IF('Final Term'!R22&lt;0,"NEG",
IF('Final Term'!R22&gt;R$5,"OVER",
IF(AND(R$5&lt;=100,'Final Term'!R22&gt;100),"ERR",
IF(Info!$B$4="Non-board program",
IF(OR(AND(R$5&gt;0,R$5&gt;100),AND(R$5&gt;0,R$5&lt;100)),
VLOOKUP(FLOOR(('Final Term'!R22/R$5)*100,1),new_transmute,2,FALSE),
VLOOKUP('Final Term'!R22,new_transmute,2,FALSE)
),
IF(Info!$B$4="Board program",
IF(OR(AND(R$5&gt;0,R$5&gt;100),AND(R$5&gt;0,R$5&lt;100)),
VLOOKUP(FLOOR(('Final Term'!R22/R$5)*100,1),new_transmute,3,FALSE),
VLOOKUP('Final Term'!R22,new_transmute,3,FALSE)
),
IF(Info!$B$4="Board program (Medicine)",
IF(OR(AND(R$5&gt;0,R$5&gt;100),AND(R$5&gt;0,R$5&lt;100)),
VLOOKUP(FLOOR(('Final Term'!R22/R$5)*100,1),new_transmute,4,FALSE),
VLOOKUP('Final Term'!R22,new_transmute,4,FALSE)
),
""
)
)
)
)
)
)
)
)
))</f>
        <v/>
      </c>
      <c r="S22" s="115" t="str">
        <f t="shared" si="3"/>
        <v/>
      </c>
      <c r="T22" s="73" t="str">
        <f>IF($B22="","",
IF(T$5="","",
IF('Final Term'!T22="",0,
IF(NOT(ISNUMBER('Final Term'!T22)),"NAN",
IF('Final Term'!T22&lt;0,"NEG",
IF('Final Term'!T22&gt;T$5,"OVER",
IF(AND(T$5&lt;=100,'Final Term'!T22&gt;100),"ERR",
IF(Info!$B$4="Non-board program",
IF(OR(AND(T$5&gt;0,T$5&gt;100),AND(T$5&gt;0,T$5&lt;100)),
VLOOKUP(FLOOR(('Final Term'!T22/T$5)*100,1),new_transmute,2,FALSE),
VLOOKUP('Final Term'!T22,new_transmute,2,FALSE)
),
IF(Info!$B$4="Board program",
IF(OR(AND(T$5&gt;0,T$5&gt;100),AND(T$5&gt;0,T$5&lt;100)),
VLOOKUP(FLOOR(('Final Term'!T22/T$5)*100,1),new_transmute,3,FALSE),
VLOOKUP('Final Term'!T22,new_transmute,3,FALSE)
),
IF(Info!$B$4="Board program (Medicine)",
IF(OR(AND(T$5&gt;0,T$5&gt;100),AND(T$5&gt;0,T$5&lt;100)),
VLOOKUP(FLOOR(('Final Term'!T22/T$5)*100,1),new_transmute,4,FALSE),
VLOOKUP('Final Term'!T22,new_transmute,4,FALSE)
),
""
)
)
)
)
)
)
)
)
))</f>
        <v/>
      </c>
      <c r="U22" s="73" t="str">
        <f>IF($B22="","",
IF(U$5="","",
IF('Final Term'!U22="",0,
IF(NOT(ISNUMBER('Final Term'!U22)),"NAN",
IF('Final Term'!U22&lt;0,"NEG",
IF('Final Term'!U22&gt;U$5,"OVER",
IF(AND(U$5&lt;=100,'Final Term'!U22&gt;100),"ERR",
IF(Info!$B$4="Non-board program",
IF(OR(AND(U$5&gt;0,U$5&gt;100),AND(U$5&gt;0,U$5&lt;100)),
VLOOKUP(FLOOR(('Final Term'!U22/U$5)*100,1),new_transmute,2,FALSE),
VLOOKUP('Final Term'!U22,new_transmute,2,FALSE)
),
IF(Info!$B$4="Board program",
IF(OR(AND(U$5&gt;0,U$5&gt;100),AND(U$5&gt;0,U$5&lt;100)),
VLOOKUP(FLOOR(('Final Term'!U22/U$5)*100,1),new_transmute,3,FALSE),
VLOOKUP('Final Term'!U22,new_transmute,3,FALSE)
),
IF(Info!$B$4="Board program (Medicine)",
IF(OR(AND(U$5&gt;0,U$5&gt;100),AND(U$5&gt;0,U$5&lt;100)),
VLOOKUP(FLOOR(('Final Term'!U22/U$5)*100,1),new_transmute,4,FALSE),
VLOOKUP('Final Term'!U22,new_transmute,4,FALSE)
),
""
)
)
)
)
)
)
)
)
))</f>
        <v/>
      </c>
      <c r="V22" s="73" t="str">
        <f>IF($B22="","",
IF(V$5="","",
IF('Final Term'!V22="",0,
IF(NOT(ISNUMBER('Final Term'!V22)),"NAN",
IF('Final Term'!V22&lt;0,"NEG",
IF('Final Term'!V22&gt;V$5,"OVER",
IF(AND(V$5&lt;=100,'Final Term'!V22&gt;100),"ERR",
IF(Info!$B$4="Non-board program",
IF(OR(AND(V$5&gt;0,V$5&gt;100),AND(V$5&gt;0,V$5&lt;100)),
VLOOKUP(FLOOR(('Final Term'!V22/V$5)*100,1),new_transmute,2,FALSE),
VLOOKUP('Final Term'!V22,new_transmute,2,FALSE)
),
IF(Info!$B$4="Board program",
IF(OR(AND(V$5&gt;0,V$5&gt;100),AND(V$5&gt;0,V$5&lt;100)),
VLOOKUP(FLOOR(('Final Term'!V22/V$5)*100,1),new_transmute,3,FALSE),
VLOOKUP('Final Term'!V22,new_transmute,3,FALSE)
),
IF(Info!$B$4="Board program (Medicine)",
IF(OR(AND(V$5&gt;0,V$5&gt;100),AND(V$5&gt;0,V$5&lt;100)),
VLOOKUP(FLOOR(('Final Term'!V22/V$5)*100,1),new_transmute,4,FALSE),
VLOOKUP('Final Term'!V22,new_transmute,4,FALSE)
),
""
)
)
)
)
)
)
)
)
))</f>
        <v/>
      </c>
      <c r="W22" s="73" t="str">
        <f>IF($B22="","",
IF(W$5="","",
IF('Final Term'!W22="",0,
IF(NOT(ISNUMBER('Final Term'!W22)),"NAN",
IF('Final Term'!W22&lt;0,"NEG",
IF('Final Term'!W22&gt;W$5,"OVER",
IF(AND(W$5&lt;=100,'Final Term'!W22&gt;100),"ERR",
IF(Info!$B$4="Non-board program",
IF(OR(AND(W$5&gt;0,W$5&gt;100),AND(W$5&gt;0,W$5&lt;100)),
VLOOKUP(FLOOR(('Final Term'!W22/W$5)*100,1),new_transmute,2,FALSE),
VLOOKUP('Final Term'!W22,new_transmute,2,FALSE)
),
IF(Info!$B$4="Board program",
IF(OR(AND(W$5&gt;0,W$5&gt;100),AND(W$5&gt;0,W$5&lt;100)),
VLOOKUP(FLOOR(('Final Term'!W22/W$5)*100,1),new_transmute,3,FALSE),
VLOOKUP('Final Term'!W22,new_transmute,3,FALSE)
),
IF(Info!$B$4="Board program (Medicine)",
IF(OR(AND(W$5&gt;0,W$5&gt;100),AND(W$5&gt;0,W$5&lt;100)),
VLOOKUP(FLOOR(('Final Term'!W22/W$5)*100,1),new_transmute,4,FALSE),
VLOOKUP('Final Term'!W22,new_transmute,4,FALSE)
),
""
)
)
)
)
)
)
)
)
))</f>
        <v/>
      </c>
      <c r="X22" s="73" t="str">
        <f>IF($B22="","",
IF(X$5="","",
IF('Final Term'!X22="",0,
IF(NOT(ISNUMBER('Final Term'!X22)),"NAN",
IF('Final Term'!X22&lt;0,"NEG",
IF('Final Term'!X22&gt;X$5,"OVER",
IF(AND(X$5&lt;=100,'Final Term'!X22&gt;100),"ERR",
IF(Info!$B$4="Non-board program",
IF(OR(AND(X$5&gt;0,X$5&gt;100),AND(X$5&gt;0,X$5&lt;100)),
VLOOKUP(FLOOR(('Final Term'!X22/X$5)*100,1),new_transmute,2,FALSE),
VLOOKUP('Final Term'!X22,new_transmute,2,FALSE)
),
IF(Info!$B$4="Board program",
IF(OR(AND(X$5&gt;0,X$5&gt;100),AND(X$5&gt;0,X$5&lt;100)),
VLOOKUP(FLOOR(('Final Term'!X22/X$5)*100,1),new_transmute,3,FALSE),
VLOOKUP('Final Term'!X22,new_transmute,3,FALSE)
),
IF(Info!$B$4="Board program (Medicine)",
IF(OR(AND(X$5&gt;0,X$5&gt;100),AND(X$5&gt;0,X$5&lt;100)),
VLOOKUP(FLOOR(('Final Term'!X22/X$5)*100,1),new_transmute,4,FALSE),
VLOOKUP('Final Term'!X22,new_transmute,4,FALSE)
),
""
)
)
)
)
)
)
)
)
))</f>
        <v/>
      </c>
      <c r="Y22" s="112" t="str">
        <f t="shared" si="4"/>
        <v/>
      </c>
      <c r="Z22" s="73" t="str">
        <f>IF($B22="","",
IF(Z$5="","",
IF('Final Term'!Z22="",0,
IF(NOT(ISNUMBER('Final Term'!Z22)),"NAN",
IF('Final Term'!Z22&lt;0,"NEG",
IF('Final Term'!Z22&gt;Z$5,"OVER",
IF(AND(Z$5&lt;=100,'Final Term'!Z22&gt;100),"ERR",
IF(Info!$B$4="Non-board program",
IF(OR(AND(Z$5&gt;0,Z$5&gt;100),AND(Z$5&gt;0,Z$5&lt;100)),
VLOOKUP(FLOOR(('Final Term'!Z22/Z$5)*100,1),new_transmute,2,FALSE),
VLOOKUP('Final Term'!Z22,new_transmute,2,FALSE)
),
IF(Info!$B$4="Board program",
IF(OR(AND(Z$5&gt;0,Z$5&gt;100),AND(Z$5&gt;0,Z$5&lt;100)),
VLOOKUP(FLOOR(('Final Term'!Z22/Z$5)*100,1),new_transmute,3,FALSE),
VLOOKUP('Final Term'!Z22,new_transmute,3,FALSE)
),
IF(Info!$B$4="Board program (Medicine)",
IF(OR(AND(Z$5&gt;0,Z$5&gt;100),AND(Z$5&gt;0,Z$5&lt;100)),
VLOOKUP(FLOOR(('Final Term'!Z22/Z$5)*100,1),new_transmute,4,FALSE),
VLOOKUP('Final Term'!Z22,new_transmute,4,FALSE)
),
""
)
)
)
)
)
)
)
)
))</f>
        <v/>
      </c>
      <c r="AA22" s="73" t="str">
        <f>IF($B22="","",
IF(AA$5="","",
IF('Final Term'!AA22="",0,
IF(NOT(ISNUMBER('Final Term'!AA22)),"NAN",
IF('Final Term'!AA22&lt;0,"NEG",
IF('Final Term'!AA22&gt;AA$5,"OVER",
IF(AND(AA$5&lt;=100,'Final Term'!AA22&gt;100),"ERR",
IF(Info!$B$4="Non-board program",
IF(OR(AND(AA$5&gt;0,AA$5&gt;100),AND(AA$5&gt;0,AA$5&lt;100)),
VLOOKUP(FLOOR(('Final Term'!AA22/AA$5)*100,1),new_transmute,2,FALSE),
VLOOKUP('Final Term'!AA22,new_transmute,2,FALSE)
),
IF(Info!$B$4="Board program",
IF(OR(AND(AA$5&gt;0,AA$5&gt;100),AND(AA$5&gt;0,AA$5&lt;100)),
VLOOKUP(FLOOR(('Final Term'!AA22/AA$5)*100,1),new_transmute,3,FALSE),
VLOOKUP('Final Term'!AA22,new_transmute,3,FALSE)
),
IF(Info!$B$4="Board program (Medicine)",
IF(OR(AND(AA$5&gt;0,AA$5&gt;100),AND(AA$5&gt;0,AA$5&lt;100)),
VLOOKUP(FLOOR(('Final Term'!AA22/AA$5)*100,1),new_transmute,4,FALSE),
VLOOKUP('Final Term'!AA22,new_transmute,4,FALSE)
),
""
)
)
)
)
)
)
)
)
))</f>
        <v/>
      </c>
      <c r="AB22" s="73" t="str">
        <f>IF($B22="","",
IF(AB$5="","",
IF('Final Term'!AB22="",0,
IF(NOT(ISNUMBER('Final Term'!AB22)),"NAN",
IF('Final Term'!AB22&lt;0,"NEG",
IF('Final Term'!AB22&gt;AB$5,"OVER",
IF(AND(AB$5&lt;=100,'Final Term'!AB22&gt;100),"ERR",
IF(Info!$B$4="Non-board program",
IF(OR(AND(AB$5&gt;0,AB$5&gt;100),AND(AB$5&gt;0,AB$5&lt;100)),
VLOOKUP(FLOOR(('Final Term'!AB22/AB$5)*100,1),new_transmute,2,FALSE),
VLOOKUP('Final Term'!AB22,new_transmute,2,FALSE)
),
IF(Info!$B$4="Board program",
IF(OR(AND(AB$5&gt;0,AB$5&gt;100),AND(AB$5&gt;0,AB$5&lt;100)),
VLOOKUP(FLOOR(('Final Term'!AB22/AB$5)*100,1),new_transmute,3,FALSE),
VLOOKUP('Final Term'!AB22,new_transmute,3,FALSE)
),
IF(Info!$B$4="Board program (Medicine)",
IF(OR(AND(AB$5&gt;0,AB$5&gt;100),AND(AB$5&gt;0,AB$5&lt;100)),
VLOOKUP(FLOOR(('Final Term'!AB22/AB$5)*100,1),new_transmute,4,FALSE),
VLOOKUP('Final Term'!AB22,new_transmute,4,FALSE)
),
""
)
)
)
)
)
)
)
)
))</f>
        <v/>
      </c>
      <c r="AC22" s="73" t="str">
        <f>IF($B22="","",
IF(AC$5="","",
IF('Final Term'!AC22="",0,
IF(NOT(ISNUMBER('Final Term'!AC22)),"NAN",
IF('Final Term'!AC22&lt;0,"NEG",
IF('Final Term'!AC22&gt;AC$5,"OVER",
IF(AND(AC$5&lt;=100,'Final Term'!AC22&gt;100),"ERR",
IF(Info!$B$4="Non-board program",
IF(OR(AND(AC$5&gt;0,AC$5&gt;100),AND(AC$5&gt;0,AC$5&lt;100)),
VLOOKUP(FLOOR(('Final Term'!AC22/AC$5)*100,1),new_transmute,2,FALSE),
VLOOKUP('Final Term'!AC22,new_transmute,2,FALSE)
),
IF(Info!$B$4="Board program",
IF(OR(AND(AC$5&gt;0,AC$5&gt;100),AND(AC$5&gt;0,AC$5&lt;100)),
VLOOKUP(FLOOR(('Final Term'!AC22/AC$5)*100,1),new_transmute,3,FALSE),
VLOOKUP('Final Term'!AC22,new_transmute,3,FALSE)
),
IF(Info!$B$4="Board program (Medicine)",
IF(OR(AND(AC$5&gt;0,AC$5&gt;100),AND(AC$5&gt;0,AC$5&lt;100)),
VLOOKUP(FLOOR(('Final Term'!AC22/AC$5)*100,1),new_transmute,4,FALSE),
VLOOKUP('Final Term'!AC22,new_transmute,4,FALSE)
),
""
)
)
)
)
)
)
)
)
))</f>
        <v/>
      </c>
      <c r="AD22" s="73" t="str">
        <f>IF($B22="","",
IF(AD$5="","",
IF('Final Term'!AD22="",0,
IF(NOT(ISNUMBER('Final Term'!AD22)),"NAN",
IF('Final Term'!AD22&lt;0,"NEG",
IF('Final Term'!AD22&gt;AD$5,"OVER",
IF(AND(AD$5&lt;=100,'Final Term'!AD22&gt;100),"ERR",
IF(Info!$B$4="Non-board program",
IF(OR(AND(AD$5&gt;0,AD$5&gt;100),AND(AD$5&gt;0,AD$5&lt;100)),
VLOOKUP(FLOOR(('Final Term'!AD22/AD$5)*100,1),new_transmute,2,FALSE),
VLOOKUP('Final Term'!AD22,new_transmute,2,FALSE)
),
IF(Info!$B$4="Board program",
IF(OR(AND(AD$5&gt;0,AD$5&gt;100),AND(AD$5&gt;0,AD$5&lt;100)),
VLOOKUP(FLOOR(('Final Term'!AD22/AD$5)*100,1),new_transmute,3,FALSE),
VLOOKUP('Final Term'!AD22,new_transmute,3,FALSE)
),
IF(Info!$B$4="Board program (Medicine)",
IF(OR(AND(AD$5&gt;0,AD$5&gt;100),AND(AD$5&gt;0,AD$5&lt;100)),
VLOOKUP(FLOOR(('Final Term'!AD22/AD$5)*100,1),new_transmute,4,FALSE),
VLOOKUP('Final Term'!AD22,new_transmute,4,FALSE)
),
""
)
)
)
)
)
)
)
)
))</f>
        <v/>
      </c>
      <c r="AE22" s="58" t="str">
        <f t="shared" si="5"/>
        <v/>
      </c>
      <c r="AF22" s="73" t="str">
        <f>IF($B22="","",
IF(AF$5="","",
IF('Final Term'!AF22="",0,
IF(NOT(ISNUMBER('Final Term'!AF22)),"NAN",
IF('Final Term'!AF22&lt;0,"NEG",
IF('Final Term'!AF22&gt;AF$5,"OVER",
IF(AND(AF$5&lt;=100,'Final Term'!AF22&gt;100),"ERR",
IF(Info!$B$4="Non-board program",
IF(OR(AND(AF$5&gt;0,AF$5&gt;100),AND(AF$5&gt;0,AF$5&lt;100)),
VLOOKUP(FLOOR(('Final Term'!AF22/AF$5)*100,1),new_transmute,2,FALSE),
VLOOKUP('Final Term'!AF22,new_transmute,2,FALSE)
),
IF(Info!$B$4="Board program",
IF(OR(AND(AF$5&gt;0,AF$5&gt;100),AND(AF$5&gt;0,AF$5&lt;100)),
VLOOKUP(FLOOR(('Final Term'!AF22/AF$5)*100,1),new_transmute,3,FALSE),
VLOOKUP('Final Term'!AF22,new_transmute,3,FALSE)
),
IF(Info!$B$4="Board program (Medicine)",
IF(OR(AND(AF$5&gt;0,AF$5&gt;100),AND(AF$5&gt;0,AF$5&lt;100)),
VLOOKUP(FLOOR(('Final Term'!AF22/AF$5)*100,1),new_transmute,4,FALSE),
VLOOKUP('Final Term'!AF22,new_transmute,4,FALSE)
),
""
)
)
)
)
)
)
)
)
))</f>
        <v/>
      </c>
      <c r="AG22" s="73" t="str">
        <f>IF($B22="","",
IF(AG$5="","",
IF('Final Term'!AG22="",0,
IF(NOT(ISNUMBER('Final Term'!AG22)),"NAN",
IF('Final Term'!AG22&lt;0,"NEG",
IF('Final Term'!AG22&gt;AG$5,"OVER",
IF(AND(AG$5&lt;=100,'Final Term'!AG22&gt;100),"ERR",
IF(Info!$B$4="Non-board program",
IF(OR(AND(AG$5&gt;0,AG$5&gt;100),AND(AG$5&gt;0,AG$5&lt;100)),
VLOOKUP(FLOOR(('Final Term'!AG22/AG$5)*100,1),new_transmute,2,FALSE),
VLOOKUP('Final Term'!AG22,new_transmute,2,FALSE)
),
IF(Info!$B$4="Board program",
IF(OR(AND(AG$5&gt;0,AG$5&gt;100),AND(AG$5&gt;0,AG$5&lt;100)),
VLOOKUP(FLOOR(('Final Term'!AG22/AG$5)*100,1),new_transmute,3,FALSE),
VLOOKUP('Final Term'!AG22,new_transmute,3,FALSE)
),
IF(Info!$B$4="Board program (Medicine)",
IF(OR(AND(AG$5&gt;0,AG$5&gt;100),AND(AG$5&gt;0,AG$5&lt;100)),
VLOOKUP(FLOOR(('Final Term'!AG22/AG$5)*100,1),new_transmute,4,FALSE),
VLOOKUP('Final Term'!AG22,new_transmute,4,FALSE)
),
""
)
)
)
)
)
)
)
)
))</f>
        <v/>
      </c>
      <c r="AH22" s="73" t="str">
        <f>IF($B22="","",
IF(AH$5="","",
IF('Final Term'!AH22="",0,
IF(NOT(ISNUMBER('Final Term'!AH22)),"NAN",
IF('Final Term'!AH22&lt;0,"NEG",
IF('Final Term'!AH22&gt;AH$5,"OVER",
IF(AND(AH$5&lt;=100,'Final Term'!AH22&gt;100),"ERR",
IF(Info!$B$4="Non-board program",
IF(OR(AND(AH$5&gt;0,AH$5&gt;100),AND(AH$5&gt;0,AH$5&lt;100)),
VLOOKUP(FLOOR(('Final Term'!AH22/AH$5)*100,1),new_transmute,2,FALSE),
VLOOKUP('Final Term'!AH22,new_transmute,2,FALSE)
),
IF(Info!$B$4="Board program",
IF(OR(AND(AH$5&gt;0,AH$5&gt;100),AND(AH$5&gt;0,AH$5&lt;100)),
VLOOKUP(FLOOR(('Final Term'!AH22/AH$5)*100,1),new_transmute,3,FALSE),
VLOOKUP('Final Term'!AH22,new_transmute,3,FALSE)
),
IF(Info!$B$4="Board program (Medicine)",
IF(OR(AND(AH$5&gt;0,AH$5&gt;100),AND(AH$5&gt;0,AH$5&lt;100)),
VLOOKUP(FLOOR(('Final Term'!AH22/AH$5)*100,1),new_transmute,4,FALSE),
VLOOKUP('Final Term'!AH22,new_transmute,4,FALSE)
),
""
)
)
)
)
)
)
)
)
))</f>
        <v/>
      </c>
      <c r="AI22" s="73" t="str">
        <f>IF($B22="","",
IF(AI$5="","",
IF('Final Term'!AI22="",0,
IF(NOT(ISNUMBER('Final Term'!AI22)),"NAN",
IF('Final Term'!AI22&lt;0,"NEG",
IF('Final Term'!AI22&gt;AI$5,"OVER",
IF(AND(AI$5&lt;=100,'Final Term'!AI22&gt;100),"ERR",
IF(Info!$B$4="Non-board program",
IF(OR(AND(AI$5&gt;0,AI$5&gt;100),AND(AI$5&gt;0,AI$5&lt;100)),
VLOOKUP(FLOOR(('Final Term'!AI22/AI$5)*100,1),new_transmute,2,FALSE),
VLOOKUP('Final Term'!AI22,new_transmute,2,FALSE)
),
IF(Info!$B$4="Board program",
IF(OR(AND(AI$5&gt;0,AI$5&gt;100),AND(AI$5&gt;0,AI$5&lt;100)),
VLOOKUP(FLOOR(('Final Term'!AI22/AI$5)*100,1),new_transmute,3,FALSE),
VLOOKUP('Final Term'!AI22,new_transmute,3,FALSE)
),
IF(Info!$B$4="Board program (Medicine)",
IF(OR(AND(AI$5&gt;0,AI$5&gt;100),AND(AI$5&gt;0,AI$5&lt;100)),
VLOOKUP(FLOOR(('Final Term'!AI22/AI$5)*100,1),new_transmute,4,FALSE),
VLOOKUP('Final Term'!AI22,new_transmute,4,FALSE)
),
""
)
)
)
)
)
)
)
)
))</f>
        <v/>
      </c>
      <c r="AJ22" s="73" t="str">
        <f>IF($B22="","",
IF(AJ$5="","",
IF('Final Term'!AJ22="",0,
IF(NOT(ISNUMBER('Final Term'!AJ22)),"NAN",
IF('Final Term'!AJ22&lt;0,"NEG",
IF('Final Term'!AJ22&gt;AJ$5,"OVER",
IF(AND(AJ$5&lt;=100,'Final Term'!AJ22&gt;100),"ERR",
IF(Info!$B$4="Non-board program",
IF(OR(AND(AJ$5&gt;0,AJ$5&gt;100),AND(AJ$5&gt;0,AJ$5&lt;100)),
VLOOKUP(FLOOR(('Final Term'!AJ22/AJ$5)*100,1),new_transmute,2,FALSE),
VLOOKUP('Final Term'!AJ22,new_transmute,2,FALSE)
),
IF(Info!$B$4="Board program",
IF(OR(AND(AJ$5&gt;0,AJ$5&gt;100),AND(AJ$5&gt;0,AJ$5&lt;100)),
VLOOKUP(FLOOR(('Final Term'!AJ22/AJ$5)*100,1),new_transmute,3,FALSE),
VLOOKUP('Final Term'!AJ22,new_transmute,3,FALSE)
),
IF(Info!$B$4="Board program (Medicine)",
IF(OR(AND(AJ$5&gt;0,AJ$5&gt;100),AND(AJ$5&gt;0,AJ$5&lt;100)),
VLOOKUP(FLOOR(('Final Term'!AJ22/AJ$5)*100,1),new_transmute,4,FALSE),
VLOOKUP('Final Term'!AJ22,new_transmute,4,FALSE)
),
""
)
)
)
)
)
)
)
)
))</f>
        <v/>
      </c>
      <c r="AK22" s="59" t="str">
        <f t="shared" si="6"/>
        <v/>
      </c>
      <c r="AL22" s="60" t="str">
        <f>IF(B22="", "",
    IF(OR(M22="OVER", S22="OVER", Y22="OVER", AE22="OVER", AK22="OVER"),
        "OVER",
        IF(Info!$B$4="Non-board program",
            VLOOKUP(IFERROR(FLOOR(SUM((M22*$M$4), (S22*$S$4), (Y22*$Y$4), (AE22*$AE$4), (AK22*$AK$4)) * (100 / 60), 1), 0), new_transmute, 2, FALSE),
            IF(Info!$B$4="Board program",
                VLOOKUP(IFERROR(FLOOR(SUM((M22*$M$4), (S22*$S$4), (Y22*$Y$4), (AE22*$AE$4), (AK22*$AK$4)) * (100 / 60), 1), 0), new_transmute, 3, FALSE),
                IF(Info!$B$4="Board program (Medicine)",
                    VLOOKUP(IFERROR(FLOOR(SUM((M22*$M$4), (S22*$S$4), (Y22*$Y$4), (AE22*$AE$4), (AK22*$AK$4)) * (100 / 60), 1), 0), new_transmute, 4, FALSE),
                    ""
                )
            )
        )
    )
)</f>
        <v/>
      </c>
      <c r="AM22" s="73" t="str">
        <f>IF($B22="","",
IF(AM$5="","",
IF('Final Term'!AM22="",0,
IF(NOT(ISNUMBER('Final Term'!AM22)),"NAN",
IF('Final Term'!AM22&lt;0,"NEG",
IF('Final Term'!AM22&gt;AM$5,"OVER",
IF(AND(AM$5&lt;=100,'Final Term'!AM22&gt;100),"ERR",
IF(Info!$B$4="Non-board program",
IF(OR(AND(AM$5&gt;0,AM$5&gt;100),AND(AM$5&gt;0,AM$5&lt;100)),
VLOOKUP(FLOOR(('Final Term'!AM22/AM$5)*100,1),new_transmute,2,FALSE),
VLOOKUP('Final Term'!AM22,new_transmute,2,FALSE)
),
IF(Info!$B$4="Board program",
IF(OR(AND(AM$5&gt;0,AM$5&gt;100),AND(AM$5&gt;0,AM$5&lt;100)),
VLOOKUP(FLOOR(('Final Term'!AM22/AM$5)*100,1),new_transmute,3,FALSE),
VLOOKUP('Final Term'!AM22,new_transmute,3,FALSE)
),
IF(Info!$B$4="Board program (Medicine)",
IF(OR(AND(AM$5&gt;0,AM$5&gt;100),AND(AM$5&gt;0,AM$5&lt;100)),
VLOOKUP(FLOOR(('Final Term'!AM22/AM$5)*100,1),new_transmute,4,FALSE),
VLOOKUP('Final Term'!AM22,new_transmute,4,FALSE)
),
""
)
)
)
)
)
)
)
)
))</f>
        <v/>
      </c>
      <c r="AN22" s="73" t="str">
        <f>IF($B22="","",
IF(AN$5="","",
IF('Final Term'!AN22="",0,
IF(NOT(ISNUMBER('Final Term'!AN22)),"NAN",
IF('Final Term'!AN22&lt;0,"NEG",
IF('Final Term'!AN22&gt;AN$5,"OVER",
IF(AND(AN$5&lt;=100,'Final Term'!AN22&gt;100),"ERR",
IF(Info!$B$4="Non-board program",
IF(OR(AND(AN$5&gt;0,AN$5&gt;100),AND(AN$5&gt;0,AN$5&lt;100)),
VLOOKUP(FLOOR(('Final Term'!AN22/AN$5)*100,1),new_transmute,2,FALSE),
VLOOKUP('Final Term'!AN22,new_transmute,2,FALSE)
),
IF(Info!$B$4="Board program",
IF(OR(AND(AN$5&gt;0,AN$5&gt;100),AND(AN$5&gt;0,AN$5&lt;100)),
VLOOKUP(FLOOR(('Final Term'!AN22/AN$5)*100,1),new_transmute,3,FALSE),
VLOOKUP('Final Term'!AN22,new_transmute,3,FALSE)
),
IF(Info!$B$4="Board program (Medicine)",
IF(OR(AND(AN$5&gt;0,AN$5&gt;100),AND(AN$5&gt;0,AN$5&lt;100)),
VLOOKUP(FLOOR(('Final Term'!AN22/AN$5)*100,1),new_transmute,4,FALSE),
VLOOKUP('Final Term'!AN22,new_transmute,4,FALSE)
),
""
)
)
)
)
)
)
)
)
))</f>
        <v/>
      </c>
      <c r="AO22" s="73" t="str">
        <f>IF($B22="","",
IF(AO$5="","",
IF('Final Term'!AO22="",0,
IF(NOT(ISNUMBER('Final Term'!AO22)),"NAN",
IF('Final Term'!AO22&lt;0,"NEG",
IF('Final Term'!AO22&gt;AO$5,"OVER",
IF(AND(AO$5&lt;=100,'Final Term'!AO22&gt;100),"ERR",
IF(Info!$B$4="Non-board program",
IF(OR(AND(AO$5&gt;0,AO$5&gt;100),AND(AO$5&gt;0,AO$5&lt;100)),
VLOOKUP(FLOOR(('Final Term'!AO22/AO$5)*100,1),new_transmute,2,FALSE),
VLOOKUP('Final Term'!AO22,new_transmute,2,FALSE)
),
IF(Info!$B$4="Board program",
IF(OR(AND(AO$5&gt;0,AO$5&gt;100),AND(AO$5&gt;0,AO$5&lt;100)),
VLOOKUP(FLOOR(('Final Term'!AO22/AO$5)*100,1),new_transmute,3,FALSE),
VLOOKUP('Final Term'!AO22,new_transmute,3,FALSE)
),
IF(Info!$B$4="Board program (Medicine)",
IF(OR(AND(AO$5&gt;0,AO$5&gt;100),AND(AO$5&gt;0,AO$5&lt;100)),
VLOOKUP(FLOOR(('Final Term'!AO22/AO$5)*100,1),new_transmute,4,FALSE),
VLOOKUP('Final Term'!AO22,new_transmute,4,FALSE)
),
""
)
)
)
)
)
)
)
)
))</f>
        <v/>
      </c>
      <c r="AP22" s="73" t="str">
        <f>IF($B22="","",
IF(AP$5="","",
IF('Final Term'!AP22="",0,
IF(NOT(ISNUMBER('Final Term'!AP22)),"NAN",
IF('Final Term'!AP22&lt;0,"NEG",
IF('Final Term'!AP22&gt;AP$5,"OVER",
IF(AND(AP$5&lt;=100,'Final Term'!AP22&gt;100),"ERR",
IF(Info!$B$4="Non-board program",
IF(OR(AND(AP$5&gt;0,AP$5&gt;100),AND(AP$5&gt;0,AP$5&lt;100)),
VLOOKUP(FLOOR(('Final Term'!AP22/AP$5)*100,1),new_transmute,2,FALSE),
VLOOKUP('Final Term'!AP22,new_transmute,2,FALSE)
),
IF(Info!$B$4="Board program",
IF(OR(AND(AP$5&gt;0,AP$5&gt;100),AND(AP$5&gt;0,AP$5&lt;100)),
VLOOKUP(FLOOR(('Final Term'!AP22/AP$5)*100,1),new_transmute,3,FALSE),
VLOOKUP('Final Term'!AP22,new_transmute,3,FALSE)
),
IF(Info!$B$4="Board program (Medicine)",
IF(OR(AND(AP$5&gt;0,AP$5&gt;100),AND(AP$5&gt;0,AP$5&lt;100)),
VLOOKUP(FLOOR(('Final Term'!AP22/AP$5)*100,1),new_transmute,4,FALSE),
VLOOKUP('Final Term'!AP22,new_transmute,4,FALSE)
),
""
)
)
)
)
)
)
)
)
))</f>
        <v/>
      </c>
      <c r="AQ22" s="61" t="str">
        <f t="shared" si="7"/>
        <v/>
      </c>
      <c r="AR22" s="48" t="str">
        <f>IF('Final Term'!AR22="","",'Final Term'!AR22)</f>
        <v/>
      </c>
      <c r="AS22" s="165" t="str">
        <f t="shared" si="8"/>
        <v/>
      </c>
      <c r="AT22" s="14" t="str">
        <f t="shared" si="0"/>
        <v/>
      </c>
      <c r="AU22" s="13" t="str">
        <f>IF(B22="","",VLOOKUP(AT22,'New Grade Equivalent'!$B$3:$C$47,2,FALSE))</f>
        <v/>
      </c>
    </row>
    <row r="23" spans="1:47" x14ac:dyDescent="0.25">
      <c r="A23" s="8">
        <v>18</v>
      </c>
      <c r="B23" s="2" t="str">
        <f>IF('Student List'!C27="","",UPPER(LEFT('Student List'!C27,FIND(",",'Student List'!C27)-1)))</f>
        <v/>
      </c>
      <c r="C23" s="12" t="str">
        <f>IF('Student List'!C27="","",PROPER(MID('Student List'!C27, FIND(",", 'Student List'!C27) + 2, LEN('Student List'!C27) - FIND(",", 'Student List'!C27) - 1)))</f>
        <v/>
      </c>
      <c r="D23" s="127" t="str">
        <f>IF('Final Term'!D23="","",'Final Term'!D23)</f>
        <v/>
      </c>
      <c r="E23" s="8" t="str">
        <f>IF(MidCom!E23="FA", "FA",
    IF(MidCom!E23="DRP", "DRP",
        IF(MidCom!E23="WF", "WF",
            IF(D23="Yes", "INC",
               IF((SUM('MT Attendance'!AW21) / 3 + SUM('MT Attendance'!AY21) + SUM('FT Attendance'!AW21) / 3 + SUM('FT Attendance'!AY21)) &gt;= 0.2 * (SUMPRODUCT(--(ISTEXT('MT Attendance'!$C$2:$AU$2))) + SUMPRODUCT(--(ISTEXT('FT Attendance'!$C$2:$AU$2)))), "FA",
                   MidCom!E23
                )
            )
        )
    )
)</f>
        <v/>
      </c>
      <c r="F23" s="73" t="str">
        <f>IF($B23="","",
IF(F$5="","",
IF('Final Term'!F23="",0,
IF(NOT(ISNUMBER('Final Term'!F23)),"NAN",
IF('Final Term'!F23&lt;0,"NEG",
IF('Final Term'!F23&gt;F$5,"OVER",
IF(AND(F$5&lt;=100,'Final Term'!F23&gt;100),"ERR",
IF(Info!$B$4="Non-board program",
IF(OR(AND(F$5&gt;0,F$5&gt;100),AND(F$5&gt;0,F$5&lt;100)),
VLOOKUP(FLOOR(('Final Term'!F23/F$5)*100,1),new_transmute,2,FALSE),
VLOOKUP('Final Term'!F23,new_transmute,2,FALSE)
),
IF(Info!$B$4="Board program",
IF(OR(AND(F$5&gt;0,F$5&gt;100),AND(F$5&gt;0,F$5&lt;100)),
VLOOKUP(FLOOR(('Final Term'!F23/F$5)*100,1),new_transmute,3,FALSE),
VLOOKUP('Final Term'!F23,new_transmute,3,FALSE)
),
IF(Info!$B$4="Board program (Medicine)",
IF(OR(AND(F$5&gt;0,F$5&gt;100),AND(F$5&gt;0,F$5&lt;100)),
VLOOKUP(FLOOR(('Final Term'!F23/F$5)*100,1),new_transmute,4,FALSE),
VLOOKUP('Final Term'!F23,new_transmute,4,FALSE)
),
""
)
)
)
)
)
)
)
)
))</f>
        <v/>
      </c>
      <c r="G23" s="57" t="str">
        <f t="shared" si="1"/>
        <v/>
      </c>
      <c r="H23" s="73" t="str">
        <f>IF($B23="","",
IF(H$5="","",
IF('Final Term'!H23="",0,
IF(NOT(ISNUMBER('Final Term'!H23)),"NAN",
IF('Final Term'!H23&lt;0,"NEG",
IF('Final Term'!H23&gt;H$5,"OVER",
IF(AND(H$5&lt;=100,'Final Term'!H23&gt;100),"ERR",
IF(Info!$B$4="Non-board program",
IF(OR(AND(H$5&gt;0,H$5&gt;100),AND(H$5&gt;0,H$5&lt;100)),
VLOOKUP(FLOOR(('Final Term'!H23/H$5)*100,1),new_transmute,2,FALSE),
VLOOKUP('Final Term'!H23,new_transmute,2,FALSE)
),
IF(Info!$B$4="Board program",
IF(OR(AND(H$5&gt;0,H$5&gt;100),AND(H$5&gt;0,H$5&lt;100)),
VLOOKUP(FLOOR(('Final Term'!H23/H$5)*100,1),new_transmute,3,FALSE),
VLOOKUP('Final Term'!H23,new_transmute,3,FALSE)
),
IF(Info!$B$4="Board program (Medicine)",
IF(OR(AND(H$5&gt;0,H$5&gt;100),AND(H$5&gt;0,H$5&lt;100)),
VLOOKUP(FLOOR(('Final Term'!H23/H$5)*100,1),new_transmute,4,FALSE),
VLOOKUP('Final Term'!H23,new_transmute,4,FALSE)
),
""
)
)
)
)
)
)
)
)
))</f>
        <v/>
      </c>
      <c r="I23" s="73" t="str">
        <f>IF($B23="","",
IF(I$5="","",
IF('Final Term'!I23="",0,
IF(NOT(ISNUMBER('Final Term'!I23)),"NAN",
IF('Final Term'!I23&lt;0,"NEG",
IF('Final Term'!I23&gt;I$5,"OVER",
IF(AND(I$5&lt;=100,'Final Term'!I23&gt;100),"ERR",
IF(Info!$B$4="Non-board program",
IF(OR(AND(I$5&gt;0,I$5&gt;100),AND(I$5&gt;0,I$5&lt;100)),
VLOOKUP(FLOOR(('Final Term'!I23/I$5)*100,1),new_transmute,2,FALSE),
VLOOKUP('Final Term'!I23,new_transmute,2,FALSE)
),
IF(Info!$B$4="Board program",
IF(OR(AND(I$5&gt;0,I$5&gt;100),AND(I$5&gt;0,I$5&lt;100)),
VLOOKUP(FLOOR(('Final Term'!I23/I$5)*100,1),new_transmute,3,FALSE),
VLOOKUP('Final Term'!I23,new_transmute,3,FALSE)
),
IF(Info!$B$4="Board program (Medicine)",
IF(OR(AND(I$5&gt;0,I$5&gt;100),AND(I$5&gt;0,I$5&lt;100)),
VLOOKUP(FLOOR(('Final Term'!I23/I$5)*100,1),new_transmute,4,FALSE),
VLOOKUP('Final Term'!I23,new_transmute,4,FALSE)
),
""
)
)
)
)
)
)
)
)
))</f>
        <v/>
      </c>
      <c r="J23" s="73" t="str">
        <f>IF($B23="","",
IF(J$5="","",
IF('Final Term'!J23="",0,
IF(NOT(ISNUMBER('Final Term'!J23)),"NAN",
IF('Final Term'!J23&lt;0,"NEG",
IF('Final Term'!J23&gt;J$5,"OVER",
IF(AND(J$5&lt;=100,'Final Term'!J23&gt;100),"ERR",
IF(Info!$B$4="Non-board program",
IF(OR(AND(J$5&gt;0,J$5&gt;100),AND(J$5&gt;0,J$5&lt;100)),
VLOOKUP(FLOOR(('Final Term'!J23/J$5)*100,1),new_transmute,2,FALSE),
VLOOKUP('Final Term'!J23,new_transmute,2,FALSE)
),
IF(Info!$B$4="Board program",
IF(OR(AND(J$5&gt;0,J$5&gt;100),AND(J$5&gt;0,J$5&lt;100)),
VLOOKUP(FLOOR(('Final Term'!J23/J$5)*100,1),new_transmute,3,FALSE),
VLOOKUP('Final Term'!J23,new_transmute,3,FALSE)
),
IF(Info!$B$4="Board program (Medicine)",
IF(OR(AND(J$5&gt;0,J$5&gt;100),AND(J$5&gt;0,J$5&lt;100)),
VLOOKUP(FLOOR(('Final Term'!J23/J$5)*100,1),new_transmute,4,FALSE),
VLOOKUP('Final Term'!J23,new_transmute,4,FALSE)
),
""
)
)
)
)
)
)
)
)
))</f>
        <v/>
      </c>
      <c r="K23" s="73" t="str">
        <f>IF($B23="","",
IF(K$5="","",
IF('Final Term'!K23="",0,
IF(NOT(ISNUMBER('Final Term'!K23)),"NAN",
IF('Final Term'!K23&lt;0,"NEG",
IF('Final Term'!K23&gt;K$5,"OVER",
IF(AND(K$5&lt;=100,'Final Term'!K23&gt;100),"ERR",
IF(Info!$B$4="Non-board program",
IF(OR(AND(K$5&gt;0,K$5&gt;100),AND(K$5&gt;0,K$5&lt;100)),
VLOOKUP(FLOOR(('Final Term'!K23/K$5)*100,1),new_transmute,2,FALSE),
VLOOKUP('Final Term'!K23,new_transmute,2,FALSE)
),
IF(Info!$B$4="Board program",
IF(OR(AND(K$5&gt;0,K$5&gt;100),AND(K$5&gt;0,K$5&lt;100)),
VLOOKUP(FLOOR(('Final Term'!K23/K$5)*100,1),new_transmute,3,FALSE),
VLOOKUP('Final Term'!K23,new_transmute,3,FALSE)
),
IF(Info!$B$4="Board program (Medicine)",
IF(OR(AND(K$5&gt;0,K$5&gt;100),AND(K$5&gt;0,K$5&lt;100)),
VLOOKUP(FLOOR(('Final Term'!K23/K$5)*100,1),new_transmute,4,FALSE),
VLOOKUP('Final Term'!K23,new_transmute,4,FALSE)
),
""
)
)
)
)
)
)
)
)
))</f>
        <v/>
      </c>
      <c r="L23" s="73" t="str">
        <f>IF($B23="","",
IF(L$5="","",
IF('Final Term'!L23="",0,
IF(NOT(ISNUMBER('Final Term'!L23)),"NAN",
IF('Final Term'!L23&lt;0,"NEG",
IF('Final Term'!L23&gt;L$5,"OVER",
IF(AND(L$5&lt;=100,'Final Term'!L23&gt;100),"ERR",
IF(Info!$B$4="Non-board program",
IF(OR(AND(L$5&gt;0,L$5&gt;100),AND(L$5&gt;0,L$5&lt;100)),
VLOOKUP(FLOOR(('Final Term'!L23/L$5)*100,1),new_transmute,2,FALSE),
VLOOKUP('Final Term'!L23,new_transmute,2,FALSE)
),
IF(Info!$B$4="Board program",
IF(OR(AND(L$5&gt;0,L$5&gt;100),AND(L$5&gt;0,L$5&lt;100)),
VLOOKUP(FLOOR(('Final Term'!L23/L$5)*100,1),new_transmute,3,FALSE),
VLOOKUP('Final Term'!L23,new_transmute,3,FALSE)
),
IF(Info!$B$4="Board program (Medicine)",
IF(OR(AND(L$5&gt;0,L$5&gt;100),AND(L$5&gt;0,L$5&lt;100)),
VLOOKUP(FLOOR(('Final Term'!L23/L$5)*100,1),new_transmute,4,FALSE),
VLOOKUP('Final Term'!L23,new_transmute,4,FALSE)
),
""
)
)
)
)
)
)
)
)
))</f>
        <v/>
      </c>
      <c r="M23" s="111" t="str">
        <f t="shared" si="2"/>
        <v/>
      </c>
      <c r="N23" s="73" t="str">
        <f>IF($B23="","",
IF(N$5="","",
IF('Final Term'!N23="",0,
IF(NOT(ISNUMBER('Final Term'!N23)),"NAN",
IF('Final Term'!N23&lt;0,"NEG",
IF('Final Term'!N23&gt;N$5,"OVER",
IF(AND(N$5&lt;=100,'Final Term'!N23&gt;100),"ERR",
IF(Info!$B$4="Non-board program",
IF(OR(AND(N$5&gt;0,N$5&gt;100),AND(N$5&gt;0,N$5&lt;100)),
VLOOKUP(FLOOR(('Final Term'!N23/N$5)*100,1),new_transmute,2,FALSE),
VLOOKUP('Final Term'!N23,new_transmute,2,FALSE)
),
IF(Info!$B$4="Board program",
IF(OR(AND(N$5&gt;0,N$5&gt;100),AND(N$5&gt;0,N$5&lt;100)),
VLOOKUP(FLOOR(('Final Term'!N23/N$5)*100,1),new_transmute,3,FALSE),
VLOOKUP('Final Term'!N23,new_transmute,3,FALSE)
),
IF(Info!$B$4="Board program (Medicine)",
IF(OR(AND(N$5&gt;0,N$5&gt;100),AND(N$5&gt;0,N$5&lt;100)),
VLOOKUP(FLOOR(('Final Term'!N23/N$5)*100,1),new_transmute,4,FALSE),
VLOOKUP('Final Term'!N23,new_transmute,4,FALSE)
),
""
)
)
)
)
)
)
)
)
))</f>
        <v/>
      </c>
      <c r="O23" s="73" t="str">
        <f>IF($B23="","",
IF(O$5="","",
IF('Final Term'!O23="",0,
IF(NOT(ISNUMBER('Final Term'!O23)),"NAN",
IF('Final Term'!O23&lt;0,"NEG",
IF('Final Term'!O23&gt;O$5,"OVER",
IF(AND(O$5&lt;=100,'Final Term'!O23&gt;100),"ERR",
IF(Info!$B$4="Non-board program",
IF(OR(AND(O$5&gt;0,O$5&gt;100),AND(O$5&gt;0,O$5&lt;100)),
VLOOKUP(FLOOR(('Final Term'!O23/O$5)*100,1),new_transmute,2,FALSE),
VLOOKUP('Final Term'!O23,new_transmute,2,FALSE)
),
IF(Info!$B$4="Board program",
IF(OR(AND(O$5&gt;0,O$5&gt;100),AND(O$5&gt;0,O$5&lt;100)),
VLOOKUP(FLOOR(('Final Term'!O23/O$5)*100,1),new_transmute,3,FALSE),
VLOOKUP('Final Term'!O23,new_transmute,3,FALSE)
),
IF(Info!$B$4="Board program (Medicine)",
IF(OR(AND(O$5&gt;0,O$5&gt;100),AND(O$5&gt;0,O$5&lt;100)),
VLOOKUP(FLOOR(('Final Term'!O23/O$5)*100,1),new_transmute,4,FALSE),
VLOOKUP('Final Term'!O23,new_transmute,4,FALSE)
),
""
)
)
)
)
)
)
)
)
))</f>
        <v/>
      </c>
      <c r="P23" s="73" t="str">
        <f>IF($B23="","",
IF(P$5="","",
IF('Final Term'!P23="",0,
IF(NOT(ISNUMBER('Final Term'!P23)),"NAN",
IF('Final Term'!P23&lt;0,"NEG",
IF('Final Term'!P23&gt;P$5,"OVER",
IF(AND(P$5&lt;=100,'Final Term'!P23&gt;100),"ERR",
IF(Info!$B$4="Non-board program",
IF(OR(AND(P$5&gt;0,P$5&gt;100),AND(P$5&gt;0,P$5&lt;100)),
VLOOKUP(FLOOR(('Final Term'!P23/P$5)*100,1),new_transmute,2,FALSE),
VLOOKUP('Final Term'!P23,new_transmute,2,FALSE)
),
IF(Info!$B$4="Board program",
IF(OR(AND(P$5&gt;0,P$5&gt;100),AND(P$5&gt;0,P$5&lt;100)),
VLOOKUP(FLOOR(('Final Term'!P23/P$5)*100,1),new_transmute,3,FALSE),
VLOOKUP('Final Term'!P23,new_transmute,3,FALSE)
),
IF(Info!$B$4="Board program (Medicine)",
IF(OR(AND(P$5&gt;0,P$5&gt;100),AND(P$5&gt;0,P$5&lt;100)),
VLOOKUP(FLOOR(('Final Term'!P23/P$5)*100,1),new_transmute,4,FALSE),
VLOOKUP('Final Term'!P23,new_transmute,4,FALSE)
),
""
)
)
)
)
)
)
)
)
))</f>
        <v/>
      </c>
      <c r="Q23" s="73" t="str">
        <f>IF($B23="","",
IF(Q$5="","",
IF('Final Term'!Q23="",0,
IF(NOT(ISNUMBER('Final Term'!Q23)),"NAN",
IF('Final Term'!Q23&lt;0,"NEG",
IF('Final Term'!Q23&gt;Q$5,"OVER",
IF(AND(Q$5&lt;=100,'Final Term'!Q23&gt;100),"ERR",
IF(Info!$B$4="Non-board program",
IF(OR(AND(Q$5&gt;0,Q$5&gt;100),AND(Q$5&gt;0,Q$5&lt;100)),
VLOOKUP(FLOOR(('Final Term'!Q23/Q$5)*100,1),new_transmute,2,FALSE),
VLOOKUP('Final Term'!Q23,new_transmute,2,FALSE)
),
IF(Info!$B$4="Board program",
IF(OR(AND(Q$5&gt;0,Q$5&gt;100),AND(Q$5&gt;0,Q$5&lt;100)),
VLOOKUP(FLOOR(('Final Term'!Q23/Q$5)*100,1),new_transmute,3,FALSE),
VLOOKUP('Final Term'!Q23,new_transmute,3,FALSE)
),
IF(Info!$B$4="Board program (Medicine)",
IF(OR(AND(Q$5&gt;0,Q$5&gt;100),AND(Q$5&gt;0,Q$5&lt;100)),
VLOOKUP(FLOOR(('Final Term'!Q23/Q$5)*100,1),new_transmute,4,FALSE),
VLOOKUP('Final Term'!Q23,new_transmute,4,FALSE)
),
""
)
)
)
)
)
)
)
)
))</f>
        <v/>
      </c>
      <c r="R23" s="73" t="str">
        <f>IF($B23="","",
IF(R$5="","",
IF('Final Term'!R23="",0,
IF(NOT(ISNUMBER('Final Term'!R23)),"NAN",
IF('Final Term'!R23&lt;0,"NEG",
IF('Final Term'!R23&gt;R$5,"OVER",
IF(AND(R$5&lt;=100,'Final Term'!R23&gt;100),"ERR",
IF(Info!$B$4="Non-board program",
IF(OR(AND(R$5&gt;0,R$5&gt;100),AND(R$5&gt;0,R$5&lt;100)),
VLOOKUP(FLOOR(('Final Term'!R23/R$5)*100,1),new_transmute,2,FALSE),
VLOOKUP('Final Term'!R23,new_transmute,2,FALSE)
),
IF(Info!$B$4="Board program",
IF(OR(AND(R$5&gt;0,R$5&gt;100),AND(R$5&gt;0,R$5&lt;100)),
VLOOKUP(FLOOR(('Final Term'!R23/R$5)*100,1),new_transmute,3,FALSE),
VLOOKUP('Final Term'!R23,new_transmute,3,FALSE)
),
IF(Info!$B$4="Board program (Medicine)",
IF(OR(AND(R$5&gt;0,R$5&gt;100),AND(R$5&gt;0,R$5&lt;100)),
VLOOKUP(FLOOR(('Final Term'!R23/R$5)*100,1),new_transmute,4,FALSE),
VLOOKUP('Final Term'!R23,new_transmute,4,FALSE)
),
""
)
)
)
)
)
)
)
)
))</f>
        <v/>
      </c>
      <c r="S23" s="115" t="str">
        <f t="shared" si="3"/>
        <v/>
      </c>
      <c r="T23" s="73" t="str">
        <f>IF($B23="","",
IF(T$5="","",
IF('Final Term'!T23="",0,
IF(NOT(ISNUMBER('Final Term'!T23)),"NAN",
IF('Final Term'!T23&lt;0,"NEG",
IF('Final Term'!T23&gt;T$5,"OVER",
IF(AND(T$5&lt;=100,'Final Term'!T23&gt;100),"ERR",
IF(Info!$B$4="Non-board program",
IF(OR(AND(T$5&gt;0,T$5&gt;100),AND(T$5&gt;0,T$5&lt;100)),
VLOOKUP(FLOOR(('Final Term'!T23/T$5)*100,1),new_transmute,2,FALSE),
VLOOKUP('Final Term'!T23,new_transmute,2,FALSE)
),
IF(Info!$B$4="Board program",
IF(OR(AND(T$5&gt;0,T$5&gt;100),AND(T$5&gt;0,T$5&lt;100)),
VLOOKUP(FLOOR(('Final Term'!T23/T$5)*100,1),new_transmute,3,FALSE),
VLOOKUP('Final Term'!T23,new_transmute,3,FALSE)
),
IF(Info!$B$4="Board program (Medicine)",
IF(OR(AND(T$5&gt;0,T$5&gt;100),AND(T$5&gt;0,T$5&lt;100)),
VLOOKUP(FLOOR(('Final Term'!T23/T$5)*100,1),new_transmute,4,FALSE),
VLOOKUP('Final Term'!T23,new_transmute,4,FALSE)
),
""
)
)
)
)
)
)
)
)
))</f>
        <v/>
      </c>
      <c r="U23" s="73" t="str">
        <f>IF($B23="","",
IF(U$5="","",
IF('Final Term'!U23="",0,
IF(NOT(ISNUMBER('Final Term'!U23)),"NAN",
IF('Final Term'!U23&lt;0,"NEG",
IF('Final Term'!U23&gt;U$5,"OVER",
IF(AND(U$5&lt;=100,'Final Term'!U23&gt;100),"ERR",
IF(Info!$B$4="Non-board program",
IF(OR(AND(U$5&gt;0,U$5&gt;100),AND(U$5&gt;0,U$5&lt;100)),
VLOOKUP(FLOOR(('Final Term'!U23/U$5)*100,1),new_transmute,2,FALSE),
VLOOKUP('Final Term'!U23,new_transmute,2,FALSE)
),
IF(Info!$B$4="Board program",
IF(OR(AND(U$5&gt;0,U$5&gt;100),AND(U$5&gt;0,U$5&lt;100)),
VLOOKUP(FLOOR(('Final Term'!U23/U$5)*100,1),new_transmute,3,FALSE),
VLOOKUP('Final Term'!U23,new_transmute,3,FALSE)
),
IF(Info!$B$4="Board program (Medicine)",
IF(OR(AND(U$5&gt;0,U$5&gt;100),AND(U$5&gt;0,U$5&lt;100)),
VLOOKUP(FLOOR(('Final Term'!U23/U$5)*100,1),new_transmute,4,FALSE),
VLOOKUP('Final Term'!U23,new_transmute,4,FALSE)
),
""
)
)
)
)
)
)
)
)
))</f>
        <v/>
      </c>
      <c r="V23" s="73" t="str">
        <f>IF($B23="","",
IF(V$5="","",
IF('Final Term'!V23="",0,
IF(NOT(ISNUMBER('Final Term'!V23)),"NAN",
IF('Final Term'!V23&lt;0,"NEG",
IF('Final Term'!V23&gt;V$5,"OVER",
IF(AND(V$5&lt;=100,'Final Term'!V23&gt;100),"ERR",
IF(Info!$B$4="Non-board program",
IF(OR(AND(V$5&gt;0,V$5&gt;100),AND(V$5&gt;0,V$5&lt;100)),
VLOOKUP(FLOOR(('Final Term'!V23/V$5)*100,1),new_transmute,2,FALSE),
VLOOKUP('Final Term'!V23,new_transmute,2,FALSE)
),
IF(Info!$B$4="Board program",
IF(OR(AND(V$5&gt;0,V$5&gt;100),AND(V$5&gt;0,V$5&lt;100)),
VLOOKUP(FLOOR(('Final Term'!V23/V$5)*100,1),new_transmute,3,FALSE),
VLOOKUP('Final Term'!V23,new_transmute,3,FALSE)
),
IF(Info!$B$4="Board program (Medicine)",
IF(OR(AND(V$5&gt;0,V$5&gt;100),AND(V$5&gt;0,V$5&lt;100)),
VLOOKUP(FLOOR(('Final Term'!V23/V$5)*100,1),new_transmute,4,FALSE),
VLOOKUP('Final Term'!V23,new_transmute,4,FALSE)
),
""
)
)
)
)
)
)
)
)
))</f>
        <v/>
      </c>
      <c r="W23" s="73" t="str">
        <f>IF($B23="","",
IF(W$5="","",
IF('Final Term'!W23="",0,
IF(NOT(ISNUMBER('Final Term'!W23)),"NAN",
IF('Final Term'!W23&lt;0,"NEG",
IF('Final Term'!W23&gt;W$5,"OVER",
IF(AND(W$5&lt;=100,'Final Term'!W23&gt;100),"ERR",
IF(Info!$B$4="Non-board program",
IF(OR(AND(W$5&gt;0,W$5&gt;100),AND(W$5&gt;0,W$5&lt;100)),
VLOOKUP(FLOOR(('Final Term'!W23/W$5)*100,1),new_transmute,2,FALSE),
VLOOKUP('Final Term'!W23,new_transmute,2,FALSE)
),
IF(Info!$B$4="Board program",
IF(OR(AND(W$5&gt;0,W$5&gt;100),AND(W$5&gt;0,W$5&lt;100)),
VLOOKUP(FLOOR(('Final Term'!W23/W$5)*100,1),new_transmute,3,FALSE),
VLOOKUP('Final Term'!W23,new_transmute,3,FALSE)
),
IF(Info!$B$4="Board program (Medicine)",
IF(OR(AND(W$5&gt;0,W$5&gt;100),AND(W$5&gt;0,W$5&lt;100)),
VLOOKUP(FLOOR(('Final Term'!W23/W$5)*100,1),new_transmute,4,FALSE),
VLOOKUP('Final Term'!W23,new_transmute,4,FALSE)
),
""
)
)
)
)
)
)
)
)
))</f>
        <v/>
      </c>
      <c r="X23" s="73" t="str">
        <f>IF($B23="","",
IF(X$5="","",
IF('Final Term'!X23="",0,
IF(NOT(ISNUMBER('Final Term'!X23)),"NAN",
IF('Final Term'!X23&lt;0,"NEG",
IF('Final Term'!X23&gt;X$5,"OVER",
IF(AND(X$5&lt;=100,'Final Term'!X23&gt;100),"ERR",
IF(Info!$B$4="Non-board program",
IF(OR(AND(X$5&gt;0,X$5&gt;100),AND(X$5&gt;0,X$5&lt;100)),
VLOOKUP(FLOOR(('Final Term'!X23/X$5)*100,1),new_transmute,2,FALSE),
VLOOKUP('Final Term'!X23,new_transmute,2,FALSE)
),
IF(Info!$B$4="Board program",
IF(OR(AND(X$5&gt;0,X$5&gt;100),AND(X$5&gt;0,X$5&lt;100)),
VLOOKUP(FLOOR(('Final Term'!X23/X$5)*100,1),new_transmute,3,FALSE),
VLOOKUP('Final Term'!X23,new_transmute,3,FALSE)
),
IF(Info!$B$4="Board program (Medicine)",
IF(OR(AND(X$5&gt;0,X$5&gt;100),AND(X$5&gt;0,X$5&lt;100)),
VLOOKUP(FLOOR(('Final Term'!X23/X$5)*100,1),new_transmute,4,FALSE),
VLOOKUP('Final Term'!X23,new_transmute,4,FALSE)
),
""
)
)
)
)
)
)
)
)
))</f>
        <v/>
      </c>
      <c r="Y23" s="112" t="str">
        <f t="shared" si="4"/>
        <v/>
      </c>
      <c r="Z23" s="73" t="str">
        <f>IF($B23="","",
IF(Z$5="","",
IF('Final Term'!Z23="",0,
IF(NOT(ISNUMBER('Final Term'!Z23)),"NAN",
IF('Final Term'!Z23&lt;0,"NEG",
IF('Final Term'!Z23&gt;Z$5,"OVER",
IF(AND(Z$5&lt;=100,'Final Term'!Z23&gt;100),"ERR",
IF(Info!$B$4="Non-board program",
IF(OR(AND(Z$5&gt;0,Z$5&gt;100),AND(Z$5&gt;0,Z$5&lt;100)),
VLOOKUP(FLOOR(('Final Term'!Z23/Z$5)*100,1),new_transmute,2,FALSE),
VLOOKUP('Final Term'!Z23,new_transmute,2,FALSE)
),
IF(Info!$B$4="Board program",
IF(OR(AND(Z$5&gt;0,Z$5&gt;100),AND(Z$5&gt;0,Z$5&lt;100)),
VLOOKUP(FLOOR(('Final Term'!Z23/Z$5)*100,1),new_transmute,3,FALSE),
VLOOKUP('Final Term'!Z23,new_transmute,3,FALSE)
),
IF(Info!$B$4="Board program (Medicine)",
IF(OR(AND(Z$5&gt;0,Z$5&gt;100),AND(Z$5&gt;0,Z$5&lt;100)),
VLOOKUP(FLOOR(('Final Term'!Z23/Z$5)*100,1),new_transmute,4,FALSE),
VLOOKUP('Final Term'!Z23,new_transmute,4,FALSE)
),
""
)
)
)
)
)
)
)
)
))</f>
        <v/>
      </c>
      <c r="AA23" s="73" t="str">
        <f>IF($B23="","",
IF(AA$5="","",
IF('Final Term'!AA23="",0,
IF(NOT(ISNUMBER('Final Term'!AA23)),"NAN",
IF('Final Term'!AA23&lt;0,"NEG",
IF('Final Term'!AA23&gt;AA$5,"OVER",
IF(AND(AA$5&lt;=100,'Final Term'!AA23&gt;100),"ERR",
IF(Info!$B$4="Non-board program",
IF(OR(AND(AA$5&gt;0,AA$5&gt;100),AND(AA$5&gt;0,AA$5&lt;100)),
VLOOKUP(FLOOR(('Final Term'!AA23/AA$5)*100,1),new_transmute,2,FALSE),
VLOOKUP('Final Term'!AA23,new_transmute,2,FALSE)
),
IF(Info!$B$4="Board program",
IF(OR(AND(AA$5&gt;0,AA$5&gt;100),AND(AA$5&gt;0,AA$5&lt;100)),
VLOOKUP(FLOOR(('Final Term'!AA23/AA$5)*100,1),new_transmute,3,FALSE),
VLOOKUP('Final Term'!AA23,new_transmute,3,FALSE)
),
IF(Info!$B$4="Board program (Medicine)",
IF(OR(AND(AA$5&gt;0,AA$5&gt;100),AND(AA$5&gt;0,AA$5&lt;100)),
VLOOKUP(FLOOR(('Final Term'!AA23/AA$5)*100,1),new_transmute,4,FALSE),
VLOOKUP('Final Term'!AA23,new_transmute,4,FALSE)
),
""
)
)
)
)
)
)
)
)
))</f>
        <v/>
      </c>
      <c r="AB23" s="73" t="str">
        <f>IF($B23="","",
IF(AB$5="","",
IF('Final Term'!AB23="",0,
IF(NOT(ISNUMBER('Final Term'!AB23)),"NAN",
IF('Final Term'!AB23&lt;0,"NEG",
IF('Final Term'!AB23&gt;AB$5,"OVER",
IF(AND(AB$5&lt;=100,'Final Term'!AB23&gt;100),"ERR",
IF(Info!$B$4="Non-board program",
IF(OR(AND(AB$5&gt;0,AB$5&gt;100),AND(AB$5&gt;0,AB$5&lt;100)),
VLOOKUP(FLOOR(('Final Term'!AB23/AB$5)*100,1),new_transmute,2,FALSE),
VLOOKUP('Final Term'!AB23,new_transmute,2,FALSE)
),
IF(Info!$B$4="Board program",
IF(OR(AND(AB$5&gt;0,AB$5&gt;100),AND(AB$5&gt;0,AB$5&lt;100)),
VLOOKUP(FLOOR(('Final Term'!AB23/AB$5)*100,1),new_transmute,3,FALSE),
VLOOKUP('Final Term'!AB23,new_transmute,3,FALSE)
),
IF(Info!$B$4="Board program (Medicine)",
IF(OR(AND(AB$5&gt;0,AB$5&gt;100),AND(AB$5&gt;0,AB$5&lt;100)),
VLOOKUP(FLOOR(('Final Term'!AB23/AB$5)*100,1),new_transmute,4,FALSE),
VLOOKUP('Final Term'!AB23,new_transmute,4,FALSE)
),
""
)
)
)
)
)
)
)
)
))</f>
        <v/>
      </c>
      <c r="AC23" s="73" t="str">
        <f>IF($B23="","",
IF(AC$5="","",
IF('Final Term'!AC23="",0,
IF(NOT(ISNUMBER('Final Term'!AC23)),"NAN",
IF('Final Term'!AC23&lt;0,"NEG",
IF('Final Term'!AC23&gt;AC$5,"OVER",
IF(AND(AC$5&lt;=100,'Final Term'!AC23&gt;100),"ERR",
IF(Info!$B$4="Non-board program",
IF(OR(AND(AC$5&gt;0,AC$5&gt;100),AND(AC$5&gt;0,AC$5&lt;100)),
VLOOKUP(FLOOR(('Final Term'!AC23/AC$5)*100,1),new_transmute,2,FALSE),
VLOOKUP('Final Term'!AC23,new_transmute,2,FALSE)
),
IF(Info!$B$4="Board program",
IF(OR(AND(AC$5&gt;0,AC$5&gt;100),AND(AC$5&gt;0,AC$5&lt;100)),
VLOOKUP(FLOOR(('Final Term'!AC23/AC$5)*100,1),new_transmute,3,FALSE),
VLOOKUP('Final Term'!AC23,new_transmute,3,FALSE)
),
IF(Info!$B$4="Board program (Medicine)",
IF(OR(AND(AC$5&gt;0,AC$5&gt;100),AND(AC$5&gt;0,AC$5&lt;100)),
VLOOKUP(FLOOR(('Final Term'!AC23/AC$5)*100,1),new_transmute,4,FALSE),
VLOOKUP('Final Term'!AC23,new_transmute,4,FALSE)
),
""
)
)
)
)
)
)
)
)
))</f>
        <v/>
      </c>
      <c r="AD23" s="73" t="str">
        <f>IF($B23="","",
IF(AD$5="","",
IF('Final Term'!AD23="",0,
IF(NOT(ISNUMBER('Final Term'!AD23)),"NAN",
IF('Final Term'!AD23&lt;0,"NEG",
IF('Final Term'!AD23&gt;AD$5,"OVER",
IF(AND(AD$5&lt;=100,'Final Term'!AD23&gt;100),"ERR",
IF(Info!$B$4="Non-board program",
IF(OR(AND(AD$5&gt;0,AD$5&gt;100),AND(AD$5&gt;0,AD$5&lt;100)),
VLOOKUP(FLOOR(('Final Term'!AD23/AD$5)*100,1),new_transmute,2,FALSE),
VLOOKUP('Final Term'!AD23,new_transmute,2,FALSE)
),
IF(Info!$B$4="Board program",
IF(OR(AND(AD$5&gt;0,AD$5&gt;100),AND(AD$5&gt;0,AD$5&lt;100)),
VLOOKUP(FLOOR(('Final Term'!AD23/AD$5)*100,1),new_transmute,3,FALSE),
VLOOKUP('Final Term'!AD23,new_transmute,3,FALSE)
),
IF(Info!$B$4="Board program (Medicine)",
IF(OR(AND(AD$5&gt;0,AD$5&gt;100),AND(AD$5&gt;0,AD$5&lt;100)),
VLOOKUP(FLOOR(('Final Term'!AD23/AD$5)*100,1),new_transmute,4,FALSE),
VLOOKUP('Final Term'!AD23,new_transmute,4,FALSE)
),
""
)
)
)
)
)
)
)
)
))</f>
        <v/>
      </c>
      <c r="AE23" s="58" t="str">
        <f t="shared" si="5"/>
        <v/>
      </c>
      <c r="AF23" s="73" t="str">
        <f>IF($B23="","",
IF(AF$5="","",
IF('Final Term'!AF23="",0,
IF(NOT(ISNUMBER('Final Term'!AF23)),"NAN",
IF('Final Term'!AF23&lt;0,"NEG",
IF('Final Term'!AF23&gt;AF$5,"OVER",
IF(AND(AF$5&lt;=100,'Final Term'!AF23&gt;100),"ERR",
IF(Info!$B$4="Non-board program",
IF(OR(AND(AF$5&gt;0,AF$5&gt;100),AND(AF$5&gt;0,AF$5&lt;100)),
VLOOKUP(FLOOR(('Final Term'!AF23/AF$5)*100,1),new_transmute,2,FALSE),
VLOOKUP('Final Term'!AF23,new_transmute,2,FALSE)
),
IF(Info!$B$4="Board program",
IF(OR(AND(AF$5&gt;0,AF$5&gt;100),AND(AF$5&gt;0,AF$5&lt;100)),
VLOOKUP(FLOOR(('Final Term'!AF23/AF$5)*100,1),new_transmute,3,FALSE),
VLOOKUP('Final Term'!AF23,new_transmute,3,FALSE)
),
IF(Info!$B$4="Board program (Medicine)",
IF(OR(AND(AF$5&gt;0,AF$5&gt;100),AND(AF$5&gt;0,AF$5&lt;100)),
VLOOKUP(FLOOR(('Final Term'!AF23/AF$5)*100,1),new_transmute,4,FALSE),
VLOOKUP('Final Term'!AF23,new_transmute,4,FALSE)
),
""
)
)
)
)
)
)
)
)
))</f>
        <v/>
      </c>
      <c r="AG23" s="73" t="str">
        <f>IF($B23="","",
IF(AG$5="","",
IF('Final Term'!AG23="",0,
IF(NOT(ISNUMBER('Final Term'!AG23)),"NAN",
IF('Final Term'!AG23&lt;0,"NEG",
IF('Final Term'!AG23&gt;AG$5,"OVER",
IF(AND(AG$5&lt;=100,'Final Term'!AG23&gt;100),"ERR",
IF(Info!$B$4="Non-board program",
IF(OR(AND(AG$5&gt;0,AG$5&gt;100),AND(AG$5&gt;0,AG$5&lt;100)),
VLOOKUP(FLOOR(('Final Term'!AG23/AG$5)*100,1),new_transmute,2,FALSE),
VLOOKUP('Final Term'!AG23,new_transmute,2,FALSE)
),
IF(Info!$B$4="Board program",
IF(OR(AND(AG$5&gt;0,AG$5&gt;100),AND(AG$5&gt;0,AG$5&lt;100)),
VLOOKUP(FLOOR(('Final Term'!AG23/AG$5)*100,1),new_transmute,3,FALSE),
VLOOKUP('Final Term'!AG23,new_transmute,3,FALSE)
),
IF(Info!$B$4="Board program (Medicine)",
IF(OR(AND(AG$5&gt;0,AG$5&gt;100),AND(AG$5&gt;0,AG$5&lt;100)),
VLOOKUP(FLOOR(('Final Term'!AG23/AG$5)*100,1),new_transmute,4,FALSE),
VLOOKUP('Final Term'!AG23,new_transmute,4,FALSE)
),
""
)
)
)
)
)
)
)
)
))</f>
        <v/>
      </c>
      <c r="AH23" s="73" t="str">
        <f>IF($B23="","",
IF(AH$5="","",
IF('Final Term'!AH23="",0,
IF(NOT(ISNUMBER('Final Term'!AH23)),"NAN",
IF('Final Term'!AH23&lt;0,"NEG",
IF('Final Term'!AH23&gt;AH$5,"OVER",
IF(AND(AH$5&lt;=100,'Final Term'!AH23&gt;100),"ERR",
IF(Info!$B$4="Non-board program",
IF(OR(AND(AH$5&gt;0,AH$5&gt;100),AND(AH$5&gt;0,AH$5&lt;100)),
VLOOKUP(FLOOR(('Final Term'!AH23/AH$5)*100,1),new_transmute,2,FALSE),
VLOOKUP('Final Term'!AH23,new_transmute,2,FALSE)
),
IF(Info!$B$4="Board program",
IF(OR(AND(AH$5&gt;0,AH$5&gt;100),AND(AH$5&gt;0,AH$5&lt;100)),
VLOOKUP(FLOOR(('Final Term'!AH23/AH$5)*100,1),new_transmute,3,FALSE),
VLOOKUP('Final Term'!AH23,new_transmute,3,FALSE)
),
IF(Info!$B$4="Board program (Medicine)",
IF(OR(AND(AH$5&gt;0,AH$5&gt;100),AND(AH$5&gt;0,AH$5&lt;100)),
VLOOKUP(FLOOR(('Final Term'!AH23/AH$5)*100,1),new_transmute,4,FALSE),
VLOOKUP('Final Term'!AH23,new_transmute,4,FALSE)
),
""
)
)
)
)
)
)
)
)
))</f>
        <v/>
      </c>
      <c r="AI23" s="73" t="str">
        <f>IF($B23="","",
IF(AI$5="","",
IF('Final Term'!AI23="",0,
IF(NOT(ISNUMBER('Final Term'!AI23)),"NAN",
IF('Final Term'!AI23&lt;0,"NEG",
IF('Final Term'!AI23&gt;AI$5,"OVER",
IF(AND(AI$5&lt;=100,'Final Term'!AI23&gt;100),"ERR",
IF(Info!$B$4="Non-board program",
IF(OR(AND(AI$5&gt;0,AI$5&gt;100),AND(AI$5&gt;0,AI$5&lt;100)),
VLOOKUP(FLOOR(('Final Term'!AI23/AI$5)*100,1),new_transmute,2,FALSE),
VLOOKUP('Final Term'!AI23,new_transmute,2,FALSE)
),
IF(Info!$B$4="Board program",
IF(OR(AND(AI$5&gt;0,AI$5&gt;100),AND(AI$5&gt;0,AI$5&lt;100)),
VLOOKUP(FLOOR(('Final Term'!AI23/AI$5)*100,1),new_transmute,3,FALSE),
VLOOKUP('Final Term'!AI23,new_transmute,3,FALSE)
),
IF(Info!$B$4="Board program (Medicine)",
IF(OR(AND(AI$5&gt;0,AI$5&gt;100),AND(AI$5&gt;0,AI$5&lt;100)),
VLOOKUP(FLOOR(('Final Term'!AI23/AI$5)*100,1),new_transmute,4,FALSE),
VLOOKUP('Final Term'!AI23,new_transmute,4,FALSE)
),
""
)
)
)
)
)
)
)
)
))</f>
        <v/>
      </c>
      <c r="AJ23" s="73" t="str">
        <f>IF($B23="","",
IF(AJ$5="","",
IF('Final Term'!AJ23="",0,
IF(NOT(ISNUMBER('Final Term'!AJ23)),"NAN",
IF('Final Term'!AJ23&lt;0,"NEG",
IF('Final Term'!AJ23&gt;AJ$5,"OVER",
IF(AND(AJ$5&lt;=100,'Final Term'!AJ23&gt;100),"ERR",
IF(Info!$B$4="Non-board program",
IF(OR(AND(AJ$5&gt;0,AJ$5&gt;100),AND(AJ$5&gt;0,AJ$5&lt;100)),
VLOOKUP(FLOOR(('Final Term'!AJ23/AJ$5)*100,1),new_transmute,2,FALSE),
VLOOKUP('Final Term'!AJ23,new_transmute,2,FALSE)
),
IF(Info!$B$4="Board program",
IF(OR(AND(AJ$5&gt;0,AJ$5&gt;100),AND(AJ$5&gt;0,AJ$5&lt;100)),
VLOOKUP(FLOOR(('Final Term'!AJ23/AJ$5)*100,1),new_transmute,3,FALSE),
VLOOKUP('Final Term'!AJ23,new_transmute,3,FALSE)
),
IF(Info!$B$4="Board program (Medicine)",
IF(OR(AND(AJ$5&gt;0,AJ$5&gt;100),AND(AJ$5&gt;0,AJ$5&lt;100)),
VLOOKUP(FLOOR(('Final Term'!AJ23/AJ$5)*100,1),new_transmute,4,FALSE),
VLOOKUP('Final Term'!AJ23,new_transmute,4,FALSE)
),
""
)
)
)
)
)
)
)
)
))</f>
        <v/>
      </c>
      <c r="AK23" s="59" t="str">
        <f t="shared" si="6"/>
        <v/>
      </c>
      <c r="AL23" s="60" t="str">
        <f>IF(B23="", "",
    IF(OR(M23="OVER", S23="OVER", Y23="OVER", AE23="OVER", AK23="OVER"),
        "OVER",
        IF(Info!$B$4="Non-board program",
            VLOOKUP(IFERROR(FLOOR(SUM((M23*$M$4), (S23*$S$4), (Y23*$Y$4), (AE23*$AE$4), (AK23*$AK$4)) * (100 / 60), 1), 0), new_transmute, 2, FALSE),
            IF(Info!$B$4="Board program",
                VLOOKUP(IFERROR(FLOOR(SUM((M23*$M$4), (S23*$S$4), (Y23*$Y$4), (AE23*$AE$4), (AK23*$AK$4)) * (100 / 60), 1), 0), new_transmute, 3, FALSE),
                IF(Info!$B$4="Board program (Medicine)",
                    VLOOKUP(IFERROR(FLOOR(SUM((M23*$M$4), (S23*$S$4), (Y23*$Y$4), (AE23*$AE$4), (AK23*$AK$4)) * (100 / 60), 1), 0), new_transmute, 4, FALSE),
                    ""
                )
            )
        )
    )
)</f>
        <v/>
      </c>
      <c r="AM23" s="73" t="str">
        <f>IF($B23="","",
IF(AM$5="","",
IF('Final Term'!AM23="",0,
IF(NOT(ISNUMBER('Final Term'!AM23)),"NAN",
IF('Final Term'!AM23&lt;0,"NEG",
IF('Final Term'!AM23&gt;AM$5,"OVER",
IF(AND(AM$5&lt;=100,'Final Term'!AM23&gt;100),"ERR",
IF(Info!$B$4="Non-board program",
IF(OR(AND(AM$5&gt;0,AM$5&gt;100),AND(AM$5&gt;0,AM$5&lt;100)),
VLOOKUP(FLOOR(('Final Term'!AM23/AM$5)*100,1),new_transmute,2,FALSE),
VLOOKUP('Final Term'!AM23,new_transmute,2,FALSE)
),
IF(Info!$B$4="Board program",
IF(OR(AND(AM$5&gt;0,AM$5&gt;100),AND(AM$5&gt;0,AM$5&lt;100)),
VLOOKUP(FLOOR(('Final Term'!AM23/AM$5)*100,1),new_transmute,3,FALSE),
VLOOKUP('Final Term'!AM23,new_transmute,3,FALSE)
),
IF(Info!$B$4="Board program (Medicine)",
IF(OR(AND(AM$5&gt;0,AM$5&gt;100),AND(AM$5&gt;0,AM$5&lt;100)),
VLOOKUP(FLOOR(('Final Term'!AM23/AM$5)*100,1),new_transmute,4,FALSE),
VLOOKUP('Final Term'!AM23,new_transmute,4,FALSE)
),
""
)
)
)
)
)
)
)
)
))</f>
        <v/>
      </c>
      <c r="AN23" s="73" t="str">
        <f>IF($B23="","",
IF(AN$5="","",
IF('Final Term'!AN23="",0,
IF(NOT(ISNUMBER('Final Term'!AN23)),"NAN",
IF('Final Term'!AN23&lt;0,"NEG",
IF('Final Term'!AN23&gt;AN$5,"OVER",
IF(AND(AN$5&lt;=100,'Final Term'!AN23&gt;100),"ERR",
IF(Info!$B$4="Non-board program",
IF(OR(AND(AN$5&gt;0,AN$5&gt;100),AND(AN$5&gt;0,AN$5&lt;100)),
VLOOKUP(FLOOR(('Final Term'!AN23/AN$5)*100,1),new_transmute,2,FALSE),
VLOOKUP('Final Term'!AN23,new_transmute,2,FALSE)
),
IF(Info!$B$4="Board program",
IF(OR(AND(AN$5&gt;0,AN$5&gt;100),AND(AN$5&gt;0,AN$5&lt;100)),
VLOOKUP(FLOOR(('Final Term'!AN23/AN$5)*100,1),new_transmute,3,FALSE),
VLOOKUP('Final Term'!AN23,new_transmute,3,FALSE)
),
IF(Info!$B$4="Board program (Medicine)",
IF(OR(AND(AN$5&gt;0,AN$5&gt;100),AND(AN$5&gt;0,AN$5&lt;100)),
VLOOKUP(FLOOR(('Final Term'!AN23/AN$5)*100,1),new_transmute,4,FALSE),
VLOOKUP('Final Term'!AN23,new_transmute,4,FALSE)
),
""
)
)
)
)
)
)
)
)
))</f>
        <v/>
      </c>
      <c r="AO23" s="73" t="str">
        <f>IF($B23="","",
IF(AO$5="","",
IF('Final Term'!AO23="",0,
IF(NOT(ISNUMBER('Final Term'!AO23)),"NAN",
IF('Final Term'!AO23&lt;0,"NEG",
IF('Final Term'!AO23&gt;AO$5,"OVER",
IF(AND(AO$5&lt;=100,'Final Term'!AO23&gt;100),"ERR",
IF(Info!$B$4="Non-board program",
IF(OR(AND(AO$5&gt;0,AO$5&gt;100),AND(AO$5&gt;0,AO$5&lt;100)),
VLOOKUP(FLOOR(('Final Term'!AO23/AO$5)*100,1),new_transmute,2,FALSE),
VLOOKUP('Final Term'!AO23,new_transmute,2,FALSE)
),
IF(Info!$B$4="Board program",
IF(OR(AND(AO$5&gt;0,AO$5&gt;100),AND(AO$5&gt;0,AO$5&lt;100)),
VLOOKUP(FLOOR(('Final Term'!AO23/AO$5)*100,1),new_transmute,3,FALSE),
VLOOKUP('Final Term'!AO23,new_transmute,3,FALSE)
),
IF(Info!$B$4="Board program (Medicine)",
IF(OR(AND(AO$5&gt;0,AO$5&gt;100),AND(AO$5&gt;0,AO$5&lt;100)),
VLOOKUP(FLOOR(('Final Term'!AO23/AO$5)*100,1),new_transmute,4,FALSE),
VLOOKUP('Final Term'!AO23,new_transmute,4,FALSE)
),
""
)
)
)
)
)
)
)
)
))</f>
        <v/>
      </c>
      <c r="AP23" s="73" t="str">
        <f>IF($B23="","",
IF(AP$5="","",
IF('Final Term'!AP23="",0,
IF(NOT(ISNUMBER('Final Term'!AP23)),"NAN",
IF('Final Term'!AP23&lt;0,"NEG",
IF('Final Term'!AP23&gt;AP$5,"OVER",
IF(AND(AP$5&lt;=100,'Final Term'!AP23&gt;100),"ERR",
IF(Info!$B$4="Non-board program",
IF(OR(AND(AP$5&gt;0,AP$5&gt;100),AND(AP$5&gt;0,AP$5&lt;100)),
VLOOKUP(FLOOR(('Final Term'!AP23/AP$5)*100,1),new_transmute,2,FALSE),
VLOOKUP('Final Term'!AP23,new_transmute,2,FALSE)
),
IF(Info!$B$4="Board program",
IF(OR(AND(AP$5&gt;0,AP$5&gt;100),AND(AP$5&gt;0,AP$5&lt;100)),
VLOOKUP(FLOOR(('Final Term'!AP23/AP$5)*100,1),new_transmute,3,FALSE),
VLOOKUP('Final Term'!AP23,new_transmute,3,FALSE)
),
IF(Info!$B$4="Board program (Medicine)",
IF(OR(AND(AP$5&gt;0,AP$5&gt;100),AND(AP$5&gt;0,AP$5&lt;100)),
VLOOKUP(FLOOR(('Final Term'!AP23/AP$5)*100,1),new_transmute,4,FALSE),
VLOOKUP('Final Term'!AP23,new_transmute,4,FALSE)
),
""
)
)
)
)
)
)
)
)
))</f>
        <v/>
      </c>
      <c r="AQ23" s="61" t="str">
        <f t="shared" si="7"/>
        <v/>
      </c>
      <c r="AR23" s="48" t="str">
        <f>IF('Final Term'!AR23="","",'Final Term'!AR23)</f>
        <v/>
      </c>
      <c r="AS23" s="165" t="str">
        <f t="shared" si="8"/>
        <v/>
      </c>
      <c r="AT23" s="14" t="str">
        <f t="shared" si="0"/>
        <v/>
      </c>
      <c r="AU23" s="13" t="str">
        <f>IF(B23="","",VLOOKUP(AT23,'New Grade Equivalent'!$B$3:$C$47,2,FALSE))</f>
        <v/>
      </c>
    </row>
    <row r="24" spans="1:47" x14ac:dyDescent="0.25">
      <c r="A24" s="8">
        <v>19</v>
      </c>
      <c r="B24" s="2" t="str">
        <f>IF('Student List'!C28="","",UPPER(LEFT('Student List'!C28,FIND(",",'Student List'!C28)-1)))</f>
        <v/>
      </c>
      <c r="C24" s="12" t="str">
        <f>IF('Student List'!C28="","",PROPER(MID('Student List'!C28, FIND(",", 'Student List'!C28) + 2, LEN('Student List'!C28) - FIND(",", 'Student List'!C28) - 1)))</f>
        <v/>
      </c>
      <c r="D24" s="127" t="str">
        <f>IF('Final Term'!D24="","",'Final Term'!D24)</f>
        <v/>
      </c>
      <c r="E24" s="8" t="str">
        <f>IF(MidCom!E24="FA", "FA",
    IF(MidCom!E24="DRP", "DRP",
        IF(MidCom!E24="WF", "WF",
            IF(D24="Yes", "INC",
               IF((SUM('MT Attendance'!AW22) / 3 + SUM('MT Attendance'!AY22) + SUM('FT Attendance'!AW22) / 3 + SUM('FT Attendance'!AY22)) &gt;= 0.2 * (SUMPRODUCT(--(ISTEXT('MT Attendance'!$C$2:$AU$2))) + SUMPRODUCT(--(ISTEXT('FT Attendance'!$C$2:$AU$2)))), "FA",
                   MidCom!E24
                )
            )
        )
    )
)</f>
        <v/>
      </c>
      <c r="F24" s="73" t="str">
        <f>IF($B24="","",
IF(F$5="","",
IF('Final Term'!F24="",0,
IF(NOT(ISNUMBER('Final Term'!F24)),"NAN",
IF('Final Term'!F24&lt;0,"NEG",
IF('Final Term'!F24&gt;F$5,"OVER",
IF(AND(F$5&lt;=100,'Final Term'!F24&gt;100),"ERR",
IF(Info!$B$4="Non-board program",
IF(OR(AND(F$5&gt;0,F$5&gt;100),AND(F$5&gt;0,F$5&lt;100)),
VLOOKUP(FLOOR(('Final Term'!F24/F$5)*100,1),new_transmute,2,FALSE),
VLOOKUP('Final Term'!F24,new_transmute,2,FALSE)
),
IF(Info!$B$4="Board program",
IF(OR(AND(F$5&gt;0,F$5&gt;100),AND(F$5&gt;0,F$5&lt;100)),
VLOOKUP(FLOOR(('Final Term'!F24/F$5)*100,1),new_transmute,3,FALSE),
VLOOKUP('Final Term'!F24,new_transmute,3,FALSE)
),
IF(Info!$B$4="Board program (Medicine)",
IF(OR(AND(F$5&gt;0,F$5&gt;100),AND(F$5&gt;0,F$5&lt;100)),
VLOOKUP(FLOOR(('Final Term'!F24/F$5)*100,1),new_transmute,4,FALSE),
VLOOKUP('Final Term'!F24,new_transmute,4,FALSE)
),
""
)
)
)
)
)
)
)
)
))</f>
        <v/>
      </c>
      <c r="G24" s="57" t="str">
        <f t="shared" si="1"/>
        <v/>
      </c>
      <c r="H24" s="73" t="str">
        <f>IF($B24="","",
IF(H$5="","",
IF('Final Term'!H24="",0,
IF(NOT(ISNUMBER('Final Term'!H24)),"NAN",
IF('Final Term'!H24&lt;0,"NEG",
IF('Final Term'!H24&gt;H$5,"OVER",
IF(AND(H$5&lt;=100,'Final Term'!H24&gt;100),"ERR",
IF(Info!$B$4="Non-board program",
IF(OR(AND(H$5&gt;0,H$5&gt;100),AND(H$5&gt;0,H$5&lt;100)),
VLOOKUP(FLOOR(('Final Term'!H24/H$5)*100,1),new_transmute,2,FALSE),
VLOOKUP('Final Term'!H24,new_transmute,2,FALSE)
),
IF(Info!$B$4="Board program",
IF(OR(AND(H$5&gt;0,H$5&gt;100),AND(H$5&gt;0,H$5&lt;100)),
VLOOKUP(FLOOR(('Final Term'!H24/H$5)*100,1),new_transmute,3,FALSE),
VLOOKUP('Final Term'!H24,new_transmute,3,FALSE)
),
IF(Info!$B$4="Board program (Medicine)",
IF(OR(AND(H$5&gt;0,H$5&gt;100),AND(H$5&gt;0,H$5&lt;100)),
VLOOKUP(FLOOR(('Final Term'!H24/H$5)*100,1),new_transmute,4,FALSE),
VLOOKUP('Final Term'!H24,new_transmute,4,FALSE)
),
""
)
)
)
)
)
)
)
)
))</f>
        <v/>
      </c>
      <c r="I24" s="73" t="str">
        <f>IF($B24="","",
IF(I$5="","",
IF('Final Term'!I24="",0,
IF(NOT(ISNUMBER('Final Term'!I24)),"NAN",
IF('Final Term'!I24&lt;0,"NEG",
IF('Final Term'!I24&gt;I$5,"OVER",
IF(AND(I$5&lt;=100,'Final Term'!I24&gt;100),"ERR",
IF(Info!$B$4="Non-board program",
IF(OR(AND(I$5&gt;0,I$5&gt;100),AND(I$5&gt;0,I$5&lt;100)),
VLOOKUP(FLOOR(('Final Term'!I24/I$5)*100,1),new_transmute,2,FALSE),
VLOOKUP('Final Term'!I24,new_transmute,2,FALSE)
),
IF(Info!$B$4="Board program",
IF(OR(AND(I$5&gt;0,I$5&gt;100),AND(I$5&gt;0,I$5&lt;100)),
VLOOKUP(FLOOR(('Final Term'!I24/I$5)*100,1),new_transmute,3,FALSE),
VLOOKUP('Final Term'!I24,new_transmute,3,FALSE)
),
IF(Info!$B$4="Board program (Medicine)",
IF(OR(AND(I$5&gt;0,I$5&gt;100),AND(I$5&gt;0,I$5&lt;100)),
VLOOKUP(FLOOR(('Final Term'!I24/I$5)*100,1),new_transmute,4,FALSE),
VLOOKUP('Final Term'!I24,new_transmute,4,FALSE)
),
""
)
)
)
)
)
)
)
)
))</f>
        <v/>
      </c>
      <c r="J24" s="73" t="str">
        <f>IF($B24="","",
IF(J$5="","",
IF('Final Term'!J24="",0,
IF(NOT(ISNUMBER('Final Term'!J24)),"NAN",
IF('Final Term'!J24&lt;0,"NEG",
IF('Final Term'!J24&gt;J$5,"OVER",
IF(AND(J$5&lt;=100,'Final Term'!J24&gt;100),"ERR",
IF(Info!$B$4="Non-board program",
IF(OR(AND(J$5&gt;0,J$5&gt;100),AND(J$5&gt;0,J$5&lt;100)),
VLOOKUP(FLOOR(('Final Term'!J24/J$5)*100,1),new_transmute,2,FALSE),
VLOOKUP('Final Term'!J24,new_transmute,2,FALSE)
),
IF(Info!$B$4="Board program",
IF(OR(AND(J$5&gt;0,J$5&gt;100),AND(J$5&gt;0,J$5&lt;100)),
VLOOKUP(FLOOR(('Final Term'!J24/J$5)*100,1),new_transmute,3,FALSE),
VLOOKUP('Final Term'!J24,new_transmute,3,FALSE)
),
IF(Info!$B$4="Board program (Medicine)",
IF(OR(AND(J$5&gt;0,J$5&gt;100),AND(J$5&gt;0,J$5&lt;100)),
VLOOKUP(FLOOR(('Final Term'!J24/J$5)*100,1),new_transmute,4,FALSE),
VLOOKUP('Final Term'!J24,new_transmute,4,FALSE)
),
""
)
)
)
)
)
)
)
)
))</f>
        <v/>
      </c>
      <c r="K24" s="73" t="str">
        <f>IF($B24="","",
IF(K$5="","",
IF('Final Term'!K24="",0,
IF(NOT(ISNUMBER('Final Term'!K24)),"NAN",
IF('Final Term'!K24&lt;0,"NEG",
IF('Final Term'!K24&gt;K$5,"OVER",
IF(AND(K$5&lt;=100,'Final Term'!K24&gt;100),"ERR",
IF(Info!$B$4="Non-board program",
IF(OR(AND(K$5&gt;0,K$5&gt;100),AND(K$5&gt;0,K$5&lt;100)),
VLOOKUP(FLOOR(('Final Term'!K24/K$5)*100,1),new_transmute,2,FALSE),
VLOOKUP('Final Term'!K24,new_transmute,2,FALSE)
),
IF(Info!$B$4="Board program",
IF(OR(AND(K$5&gt;0,K$5&gt;100),AND(K$5&gt;0,K$5&lt;100)),
VLOOKUP(FLOOR(('Final Term'!K24/K$5)*100,1),new_transmute,3,FALSE),
VLOOKUP('Final Term'!K24,new_transmute,3,FALSE)
),
IF(Info!$B$4="Board program (Medicine)",
IF(OR(AND(K$5&gt;0,K$5&gt;100),AND(K$5&gt;0,K$5&lt;100)),
VLOOKUP(FLOOR(('Final Term'!K24/K$5)*100,1),new_transmute,4,FALSE),
VLOOKUP('Final Term'!K24,new_transmute,4,FALSE)
),
""
)
)
)
)
)
)
)
)
))</f>
        <v/>
      </c>
      <c r="L24" s="73" t="str">
        <f>IF($B24="","",
IF(L$5="","",
IF('Final Term'!L24="",0,
IF(NOT(ISNUMBER('Final Term'!L24)),"NAN",
IF('Final Term'!L24&lt;0,"NEG",
IF('Final Term'!L24&gt;L$5,"OVER",
IF(AND(L$5&lt;=100,'Final Term'!L24&gt;100),"ERR",
IF(Info!$B$4="Non-board program",
IF(OR(AND(L$5&gt;0,L$5&gt;100),AND(L$5&gt;0,L$5&lt;100)),
VLOOKUP(FLOOR(('Final Term'!L24/L$5)*100,1),new_transmute,2,FALSE),
VLOOKUP('Final Term'!L24,new_transmute,2,FALSE)
),
IF(Info!$B$4="Board program",
IF(OR(AND(L$5&gt;0,L$5&gt;100),AND(L$5&gt;0,L$5&lt;100)),
VLOOKUP(FLOOR(('Final Term'!L24/L$5)*100,1),new_transmute,3,FALSE),
VLOOKUP('Final Term'!L24,new_transmute,3,FALSE)
),
IF(Info!$B$4="Board program (Medicine)",
IF(OR(AND(L$5&gt;0,L$5&gt;100),AND(L$5&gt;0,L$5&lt;100)),
VLOOKUP(FLOOR(('Final Term'!L24/L$5)*100,1),new_transmute,4,FALSE),
VLOOKUP('Final Term'!L24,new_transmute,4,FALSE)
),
""
)
)
)
)
)
)
)
)
))</f>
        <v/>
      </c>
      <c r="M24" s="111" t="str">
        <f t="shared" si="2"/>
        <v/>
      </c>
      <c r="N24" s="73" t="str">
        <f>IF($B24="","",
IF(N$5="","",
IF('Final Term'!N24="",0,
IF(NOT(ISNUMBER('Final Term'!N24)),"NAN",
IF('Final Term'!N24&lt;0,"NEG",
IF('Final Term'!N24&gt;N$5,"OVER",
IF(AND(N$5&lt;=100,'Final Term'!N24&gt;100),"ERR",
IF(Info!$B$4="Non-board program",
IF(OR(AND(N$5&gt;0,N$5&gt;100),AND(N$5&gt;0,N$5&lt;100)),
VLOOKUP(FLOOR(('Final Term'!N24/N$5)*100,1),new_transmute,2,FALSE),
VLOOKUP('Final Term'!N24,new_transmute,2,FALSE)
),
IF(Info!$B$4="Board program",
IF(OR(AND(N$5&gt;0,N$5&gt;100),AND(N$5&gt;0,N$5&lt;100)),
VLOOKUP(FLOOR(('Final Term'!N24/N$5)*100,1),new_transmute,3,FALSE),
VLOOKUP('Final Term'!N24,new_transmute,3,FALSE)
),
IF(Info!$B$4="Board program (Medicine)",
IF(OR(AND(N$5&gt;0,N$5&gt;100),AND(N$5&gt;0,N$5&lt;100)),
VLOOKUP(FLOOR(('Final Term'!N24/N$5)*100,1),new_transmute,4,FALSE),
VLOOKUP('Final Term'!N24,new_transmute,4,FALSE)
),
""
)
)
)
)
)
)
)
)
))</f>
        <v/>
      </c>
      <c r="O24" s="73" t="str">
        <f>IF($B24="","",
IF(O$5="","",
IF('Final Term'!O24="",0,
IF(NOT(ISNUMBER('Final Term'!O24)),"NAN",
IF('Final Term'!O24&lt;0,"NEG",
IF('Final Term'!O24&gt;O$5,"OVER",
IF(AND(O$5&lt;=100,'Final Term'!O24&gt;100),"ERR",
IF(Info!$B$4="Non-board program",
IF(OR(AND(O$5&gt;0,O$5&gt;100),AND(O$5&gt;0,O$5&lt;100)),
VLOOKUP(FLOOR(('Final Term'!O24/O$5)*100,1),new_transmute,2,FALSE),
VLOOKUP('Final Term'!O24,new_transmute,2,FALSE)
),
IF(Info!$B$4="Board program",
IF(OR(AND(O$5&gt;0,O$5&gt;100),AND(O$5&gt;0,O$5&lt;100)),
VLOOKUP(FLOOR(('Final Term'!O24/O$5)*100,1),new_transmute,3,FALSE),
VLOOKUP('Final Term'!O24,new_transmute,3,FALSE)
),
IF(Info!$B$4="Board program (Medicine)",
IF(OR(AND(O$5&gt;0,O$5&gt;100),AND(O$5&gt;0,O$5&lt;100)),
VLOOKUP(FLOOR(('Final Term'!O24/O$5)*100,1),new_transmute,4,FALSE),
VLOOKUP('Final Term'!O24,new_transmute,4,FALSE)
),
""
)
)
)
)
)
)
)
)
))</f>
        <v/>
      </c>
      <c r="P24" s="73" t="str">
        <f>IF($B24="","",
IF(P$5="","",
IF('Final Term'!P24="",0,
IF(NOT(ISNUMBER('Final Term'!P24)),"NAN",
IF('Final Term'!P24&lt;0,"NEG",
IF('Final Term'!P24&gt;P$5,"OVER",
IF(AND(P$5&lt;=100,'Final Term'!P24&gt;100),"ERR",
IF(Info!$B$4="Non-board program",
IF(OR(AND(P$5&gt;0,P$5&gt;100),AND(P$5&gt;0,P$5&lt;100)),
VLOOKUP(FLOOR(('Final Term'!P24/P$5)*100,1),new_transmute,2,FALSE),
VLOOKUP('Final Term'!P24,new_transmute,2,FALSE)
),
IF(Info!$B$4="Board program",
IF(OR(AND(P$5&gt;0,P$5&gt;100),AND(P$5&gt;0,P$5&lt;100)),
VLOOKUP(FLOOR(('Final Term'!P24/P$5)*100,1),new_transmute,3,FALSE),
VLOOKUP('Final Term'!P24,new_transmute,3,FALSE)
),
IF(Info!$B$4="Board program (Medicine)",
IF(OR(AND(P$5&gt;0,P$5&gt;100),AND(P$5&gt;0,P$5&lt;100)),
VLOOKUP(FLOOR(('Final Term'!P24/P$5)*100,1),new_transmute,4,FALSE),
VLOOKUP('Final Term'!P24,new_transmute,4,FALSE)
),
""
)
)
)
)
)
)
)
)
))</f>
        <v/>
      </c>
      <c r="Q24" s="73" t="str">
        <f>IF($B24="","",
IF(Q$5="","",
IF('Final Term'!Q24="",0,
IF(NOT(ISNUMBER('Final Term'!Q24)),"NAN",
IF('Final Term'!Q24&lt;0,"NEG",
IF('Final Term'!Q24&gt;Q$5,"OVER",
IF(AND(Q$5&lt;=100,'Final Term'!Q24&gt;100),"ERR",
IF(Info!$B$4="Non-board program",
IF(OR(AND(Q$5&gt;0,Q$5&gt;100),AND(Q$5&gt;0,Q$5&lt;100)),
VLOOKUP(FLOOR(('Final Term'!Q24/Q$5)*100,1),new_transmute,2,FALSE),
VLOOKUP('Final Term'!Q24,new_transmute,2,FALSE)
),
IF(Info!$B$4="Board program",
IF(OR(AND(Q$5&gt;0,Q$5&gt;100),AND(Q$5&gt;0,Q$5&lt;100)),
VLOOKUP(FLOOR(('Final Term'!Q24/Q$5)*100,1),new_transmute,3,FALSE),
VLOOKUP('Final Term'!Q24,new_transmute,3,FALSE)
),
IF(Info!$B$4="Board program (Medicine)",
IF(OR(AND(Q$5&gt;0,Q$5&gt;100),AND(Q$5&gt;0,Q$5&lt;100)),
VLOOKUP(FLOOR(('Final Term'!Q24/Q$5)*100,1),new_transmute,4,FALSE),
VLOOKUP('Final Term'!Q24,new_transmute,4,FALSE)
),
""
)
)
)
)
)
)
)
)
))</f>
        <v/>
      </c>
      <c r="R24" s="73" t="str">
        <f>IF($B24="","",
IF(R$5="","",
IF('Final Term'!R24="",0,
IF(NOT(ISNUMBER('Final Term'!R24)),"NAN",
IF('Final Term'!R24&lt;0,"NEG",
IF('Final Term'!R24&gt;R$5,"OVER",
IF(AND(R$5&lt;=100,'Final Term'!R24&gt;100),"ERR",
IF(Info!$B$4="Non-board program",
IF(OR(AND(R$5&gt;0,R$5&gt;100),AND(R$5&gt;0,R$5&lt;100)),
VLOOKUP(FLOOR(('Final Term'!R24/R$5)*100,1),new_transmute,2,FALSE),
VLOOKUP('Final Term'!R24,new_transmute,2,FALSE)
),
IF(Info!$B$4="Board program",
IF(OR(AND(R$5&gt;0,R$5&gt;100),AND(R$5&gt;0,R$5&lt;100)),
VLOOKUP(FLOOR(('Final Term'!R24/R$5)*100,1),new_transmute,3,FALSE),
VLOOKUP('Final Term'!R24,new_transmute,3,FALSE)
),
IF(Info!$B$4="Board program (Medicine)",
IF(OR(AND(R$5&gt;0,R$5&gt;100),AND(R$5&gt;0,R$5&lt;100)),
VLOOKUP(FLOOR(('Final Term'!R24/R$5)*100,1),new_transmute,4,FALSE),
VLOOKUP('Final Term'!R24,new_transmute,4,FALSE)
),
""
)
)
)
)
)
)
)
)
))</f>
        <v/>
      </c>
      <c r="S24" s="115" t="str">
        <f t="shared" si="3"/>
        <v/>
      </c>
      <c r="T24" s="73" t="str">
        <f>IF($B24="","",
IF(T$5="","",
IF('Final Term'!T24="",0,
IF(NOT(ISNUMBER('Final Term'!T24)),"NAN",
IF('Final Term'!T24&lt;0,"NEG",
IF('Final Term'!T24&gt;T$5,"OVER",
IF(AND(T$5&lt;=100,'Final Term'!T24&gt;100),"ERR",
IF(Info!$B$4="Non-board program",
IF(OR(AND(T$5&gt;0,T$5&gt;100),AND(T$5&gt;0,T$5&lt;100)),
VLOOKUP(FLOOR(('Final Term'!T24/T$5)*100,1),new_transmute,2,FALSE),
VLOOKUP('Final Term'!T24,new_transmute,2,FALSE)
),
IF(Info!$B$4="Board program",
IF(OR(AND(T$5&gt;0,T$5&gt;100),AND(T$5&gt;0,T$5&lt;100)),
VLOOKUP(FLOOR(('Final Term'!T24/T$5)*100,1),new_transmute,3,FALSE),
VLOOKUP('Final Term'!T24,new_transmute,3,FALSE)
),
IF(Info!$B$4="Board program (Medicine)",
IF(OR(AND(T$5&gt;0,T$5&gt;100),AND(T$5&gt;0,T$5&lt;100)),
VLOOKUP(FLOOR(('Final Term'!T24/T$5)*100,1),new_transmute,4,FALSE),
VLOOKUP('Final Term'!T24,new_transmute,4,FALSE)
),
""
)
)
)
)
)
)
)
)
))</f>
        <v/>
      </c>
      <c r="U24" s="73" t="str">
        <f>IF($B24="","",
IF(U$5="","",
IF('Final Term'!U24="",0,
IF(NOT(ISNUMBER('Final Term'!U24)),"NAN",
IF('Final Term'!U24&lt;0,"NEG",
IF('Final Term'!U24&gt;U$5,"OVER",
IF(AND(U$5&lt;=100,'Final Term'!U24&gt;100),"ERR",
IF(Info!$B$4="Non-board program",
IF(OR(AND(U$5&gt;0,U$5&gt;100),AND(U$5&gt;0,U$5&lt;100)),
VLOOKUP(FLOOR(('Final Term'!U24/U$5)*100,1),new_transmute,2,FALSE),
VLOOKUP('Final Term'!U24,new_transmute,2,FALSE)
),
IF(Info!$B$4="Board program",
IF(OR(AND(U$5&gt;0,U$5&gt;100),AND(U$5&gt;0,U$5&lt;100)),
VLOOKUP(FLOOR(('Final Term'!U24/U$5)*100,1),new_transmute,3,FALSE),
VLOOKUP('Final Term'!U24,new_transmute,3,FALSE)
),
IF(Info!$B$4="Board program (Medicine)",
IF(OR(AND(U$5&gt;0,U$5&gt;100),AND(U$5&gt;0,U$5&lt;100)),
VLOOKUP(FLOOR(('Final Term'!U24/U$5)*100,1),new_transmute,4,FALSE),
VLOOKUP('Final Term'!U24,new_transmute,4,FALSE)
),
""
)
)
)
)
)
)
)
)
))</f>
        <v/>
      </c>
      <c r="V24" s="73" t="str">
        <f>IF($B24="","",
IF(V$5="","",
IF('Final Term'!V24="",0,
IF(NOT(ISNUMBER('Final Term'!V24)),"NAN",
IF('Final Term'!V24&lt;0,"NEG",
IF('Final Term'!V24&gt;V$5,"OVER",
IF(AND(V$5&lt;=100,'Final Term'!V24&gt;100),"ERR",
IF(Info!$B$4="Non-board program",
IF(OR(AND(V$5&gt;0,V$5&gt;100),AND(V$5&gt;0,V$5&lt;100)),
VLOOKUP(FLOOR(('Final Term'!V24/V$5)*100,1),new_transmute,2,FALSE),
VLOOKUP('Final Term'!V24,new_transmute,2,FALSE)
),
IF(Info!$B$4="Board program",
IF(OR(AND(V$5&gt;0,V$5&gt;100),AND(V$5&gt;0,V$5&lt;100)),
VLOOKUP(FLOOR(('Final Term'!V24/V$5)*100,1),new_transmute,3,FALSE),
VLOOKUP('Final Term'!V24,new_transmute,3,FALSE)
),
IF(Info!$B$4="Board program (Medicine)",
IF(OR(AND(V$5&gt;0,V$5&gt;100),AND(V$5&gt;0,V$5&lt;100)),
VLOOKUP(FLOOR(('Final Term'!V24/V$5)*100,1),new_transmute,4,FALSE),
VLOOKUP('Final Term'!V24,new_transmute,4,FALSE)
),
""
)
)
)
)
)
)
)
)
))</f>
        <v/>
      </c>
      <c r="W24" s="73" t="str">
        <f>IF($B24="","",
IF(W$5="","",
IF('Final Term'!W24="",0,
IF(NOT(ISNUMBER('Final Term'!W24)),"NAN",
IF('Final Term'!W24&lt;0,"NEG",
IF('Final Term'!W24&gt;W$5,"OVER",
IF(AND(W$5&lt;=100,'Final Term'!W24&gt;100),"ERR",
IF(Info!$B$4="Non-board program",
IF(OR(AND(W$5&gt;0,W$5&gt;100),AND(W$5&gt;0,W$5&lt;100)),
VLOOKUP(FLOOR(('Final Term'!W24/W$5)*100,1),new_transmute,2,FALSE),
VLOOKUP('Final Term'!W24,new_transmute,2,FALSE)
),
IF(Info!$B$4="Board program",
IF(OR(AND(W$5&gt;0,W$5&gt;100),AND(W$5&gt;0,W$5&lt;100)),
VLOOKUP(FLOOR(('Final Term'!W24/W$5)*100,1),new_transmute,3,FALSE),
VLOOKUP('Final Term'!W24,new_transmute,3,FALSE)
),
IF(Info!$B$4="Board program (Medicine)",
IF(OR(AND(W$5&gt;0,W$5&gt;100),AND(W$5&gt;0,W$5&lt;100)),
VLOOKUP(FLOOR(('Final Term'!W24/W$5)*100,1),new_transmute,4,FALSE),
VLOOKUP('Final Term'!W24,new_transmute,4,FALSE)
),
""
)
)
)
)
)
)
)
)
))</f>
        <v/>
      </c>
      <c r="X24" s="73" t="str">
        <f>IF($B24="","",
IF(X$5="","",
IF('Final Term'!X24="",0,
IF(NOT(ISNUMBER('Final Term'!X24)),"NAN",
IF('Final Term'!X24&lt;0,"NEG",
IF('Final Term'!X24&gt;X$5,"OVER",
IF(AND(X$5&lt;=100,'Final Term'!X24&gt;100),"ERR",
IF(Info!$B$4="Non-board program",
IF(OR(AND(X$5&gt;0,X$5&gt;100),AND(X$5&gt;0,X$5&lt;100)),
VLOOKUP(FLOOR(('Final Term'!X24/X$5)*100,1),new_transmute,2,FALSE),
VLOOKUP('Final Term'!X24,new_transmute,2,FALSE)
),
IF(Info!$B$4="Board program",
IF(OR(AND(X$5&gt;0,X$5&gt;100),AND(X$5&gt;0,X$5&lt;100)),
VLOOKUP(FLOOR(('Final Term'!X24/X$5)*100,1),new_transmute,3,FALSE),
VLOOKUP('Final Term'!X24,new_transmute,3,FALSE)
),
IF(Info!$B$4="Board program (Medicine)",
IF(OR(AND(X$5&gt;0,X$5&gt;100),AND(X$5&gt;0,X$5&lt;100)),
VLOOKUP(FLOOR(('Final Term'!X24/X$5)*100,1),new_transmute,4,FALSE),
VLOOKUP('Final Term'!X24,new_transmute,4,FALSE)
),
""
)
)
)
)
)
)
)
)
))</f>
        <v/>
      </c>
      <c r="Y24" s="112" t="str">
        <f t="shared" si="4"/>
        <v/>
      </c>
      <c r="Z24" s="73" t="str">
        <f>IF($B24="","",
IF(Z$5="","",
IF('Final Term'!Z24="",0,
IF(NOT(ISNUMBER('Final Term'!Z24)),"NAN",
IF('Final Term'!Z24&lt;0,"NEG",
IF('Final Term'!Z24&gt;Z$5,"OVER",
IF(AND(Z$5&lt;=100,'Final Term'!Z24&gt;100),"ERR",
IF(Info!$B$4="Non-board program",
IF(OR(AND(Z$5&gt;0,Z$5&gt;100),AND(Z$5&gt;0,Z$5&lt;100)),
VLOOKUP(FLOOR(('Final Term'!Z24/Z$5)*100,1),new_transmute,2,FALSE),
VLOOKUP('Final Term'!Z24,new_transmute,2,FALSE)
),
IF(Info!$B$4="Board program",
IF(OR(AND(Z$5&gt;0,Z$5&gt;100),AND(Z$5&gt;0,Z$5&lt;100)),
VLOOKUP(FLOOR(('Final Term'!Z24/Z$5)*100,1),new_transmute,3,FALSE),
VLOOKUP('Final Term'!Z24,new_transmute,3,FALSE)
),
IF(Info!$B$4="Board program (Medicine)",
IF(OR(AND(Z$5&gt;0,Z$5&gt;100),AND(Z$5&gt;0,Z$5&lt;100)),
VLOOKUP(FLOOR(('Final Term'!Z24/Z$5)*100,1),new_transmute,4,FALSE),
VLOOKUP('Final Term'!Z24,new_transmute,4,FALSE)
),
""
)
)
)
)
)
)
)
)
))</f>
        <v/>
      </c>
      <c r="AA24" s="73" t="str">
        <f>IF($B24="","",
IF(AA$5="","",
IF('Final Term'!AA24="",0,
IF(NOT(ISNUMBER('Final Term'!AA24)),"NAN",
IF('Final Term'!AA24&lt;0,"NEG",
IF('Final Term'!AA24&gt;AA$5,"OVER",
IF(AND(AA$5&lt;=100,'Final Term'!AA24&gt;100),"ERR",
IF(Info!$B$4="Non-board program",
IF(OR(AND(AA$5&gt;0,AA$5&gt;100),AND(AA$5&gt;0,AA$5&lt;100)),
VLOOKUP(FLOOR(('Final Term'!AA24/AA$5)*100,1),new_transmute,2,FALSE),
VLOOKUP('Final Term'!AA24,new_transmute,2,FALSE)
),
IF(Info!$B$4="Board program",
IF(OR(AND(AA$5&gt;0,AA$5&gt;100),AND(AA$5&gt;0,AA$5&lt;100)),
VLOOKUP(FLOOR(('Final Term'!AA24/AA$5)*100,1),new_transmute,3,FALSE),
VLOOKUP('Final Term'!AA24,new_transmute,3,FALSE)
),
IF(Info!$B$4="Board program (Medicine)",
IF(OR(AND(AA$5&gt;0,AA$5&gt;100),AND(AA$5&gt;0,AA$5&lt;100)),
VLOOKUP(FLOOR(('Final Term'!AA24/AA$5)*100,1),new_transmute,4,FALSE),
VLOOKUP('Final Term'!AA24,new_transmute,4,FALSE)
),
""
)
)
)
)
)
)
)
)
))</f>
        <v/>
      </c>
      <c r="AB24" s="73" t="str">
        <f>IF($B24="","",
IF(AB$5="","",
IF('Final Term'!AB24="",0,
IF(NOT(ISNUMBER('Final Term'!AB24)),"NAN",
IF('Final Term'!AB24&lt;0,"NEG",
IF('Final Term'!AB24&gt;AB$5,"OVER",
IF(AND(AB$5&lt;=100,'Final Term'!AB24&gt;100),"ERR",
IF(Info!$B$4="Non-board program",
IF(OR(AND(AB$5&gt;0,AB$5&gt;100),AND(AB$5&gt;0,AB$5&lt;100)),
VLOOKUP(FLOOR(('Final Term'!AB24/AB$5)*100,1),new_transmute,2,FALSE),
VLOOKUP('Final Term'!AB24,new_transmute,2,FALSE)
),
IF(Info!$B$4="Board program",
IF(OR(AND(AB$5&gt;0,AB$5&gt;100),AND(AB$5&gt;0,AB$5&lt;100)),
VLOOKUP(FLOOR(('Final Term'!AB24/AB$5)*100,1),new_transmute,3,FALSE),
VLOOKUP('Final Term'!AB24,new_transmute,3,FALSE)
),
IF(Info!$B$4="Board program (Medicine)",
IF(OR(AND(AB$5&gt;0,AB$5&gt;100),AND(AB$5&gt;0,AB$5&lt;100)),
VLOOKUP(FLOOR(('Final Term'!AB24/AB$5)*100,1),new_transmute,4,FALSE),
VLOOKUP('Final Term'!AB24,new_transmute,4,FALSE)
),
""
)
)
)
)
)
)
)
)
))</f>
        <v/>
      </c>
      <c r="AC24" s="73" t="str">
        <f>IF($B24="","",
IF(AC$5="","",
IF('Final Term'!AC24="",0,
IF(NOT(ISNUMBER('Final Term'!AC24)),"NAN",
IF('Final Term'!AC24&lt;0,"NEG",
IF('Final Term'!AC24&gt;AC$5,"OVER",
IF(AND(AC$5&lt;=100,'Final Term'!AC24&gt;100),"ERR",
IF(Info!$B$4="Non-board program",
IF(OR(AND(AC$5&gt;0,AC$5&gt;100),AND(AC$5&gt;0,AC$5&lt;100)),
VLOOKUP(FLOOR(('Final Term'!AC24/AC$5)*100,1),new_transmute,2,FALSE),
VLOOKUP('Final Term'!AC24,new_transmute,2,FALSE)
),
IF(Info!$B$4="Board program",
IF(OR(AND(AC$5&gt;0,AC$5&gt;100),AND(AC$5&gt;0,AC$5&lt;100)),
VLOOKUP(FLOOR(('Final Term'!AC24/AC$5)*100,1),new_transmute,3,FALSE),
VLOOKUP('Final Term'!AC24,new_transmute,3,FALSE)
),
IF(Info!$B$4="Board program (Medicine)",
IF(OR(AND(AC$5&gt;0,AC$5&gt;100),AND(AC$5&gt;0,AC$5&lt;100)),
VLOOKUP(FLOOR(('Final Term'!AC24/AC$5)*100,1),new_transmute,4,FALSE),
VLOOKUP('Final Term'!AC24,new_transmute,4,FALSE)
),
""
)
)
)
)
)
)
)
)
))</f>
        <v/>
      </c>
      <c r="AD24" s="73" t="str">
        <f>IF($B24="","",
IF(AD$5="","",
IF('Final Term'!AD24="",0,
IF(NOT(ISNUMBER('Final Term'!AD24)),"NAN",
IF('Final Term'!AD24&lt;0,"NEG",
IF('Final Term'!AD24&gt;AD$5,"OVER",
IF(AND(AD$5&lt;=100,'Final Term'!AD24&gt;100),"ERR",
IF(Info!$B$4="Non-board program",
IF(OR(AND(AD$5&gt;0,AD$5&gt;100),AND(AD$5&gt;0,AD$5&lt;100)),
VLOOKUP(FLOOR(('Final Term'!AD24/AD$5)*100,1),new_transmute,2,FALSE),
VLOOKUP('Final Term'!AD24,new_transmute,2,FALSE)
),
IF(Info!$B$4="Board program",
IF(OR(AND(AD$5&gt;0,AD$5&gt;100),AND(AD$5&gt;0,AD$5&lt;100)),
VLOOKUP(FLOOR(('Final Term'!AD24/AD$5)*100,1),new_transmute,3,FALSE),
VLOOKUP('Final Term'!AD24,new_transmute,3,FALSE)
),
IF(Info!$B$4="Board program (Medicine)",
IF(OR(AND(AD$5&gt;0,AD$5&gt;100),AND(AD$5&gt;0,AD$5&lt;100)),
VLOOKUP(FLOOR(('Final Term'!AD24/AD$5)*100,1),new_transmute,4,FALSE),
VLOOKUP('Final Term'!AD24,new_transmute,4,FALSE)
),
""
)
)
)
)
)
)
)
)
))</f>
        <v/>
      </c>
      <c r="AE24" s="58" t="str">
        <f t="shared" si="5"/>
        <v/>
      </c>
      <c r="AF24" s="73" t="str">
        <f>IF($B24="","",
IF(AF$5="","",
IF('Final Term'!AF24="",0,
IF(NOT(ISNUMBER('Final Term'!AF24)),"NAN",
IF('Final Term'!AF24&lt;0,"NEG",
IF('Final Term'!AF24&gt;AF$5,"OVER",
IF(AND(AF$5&lt;=100,'Final Term'!AF24&gt;100),"ERR",
IF(Info!$B$4="Non-board program",
IF(OR(AND(AF$5&gt;0,AF$5&gt;100),AND(AF$5&gt;0,AF$5&lt;100)),
VLOOKUP(FLOOR(('Final Term'!AF24/AF$5)*100,1),new_transmute,2,FALSE),
VLOOKUP('Final Term'!AF24,new_transmute,2,FALSE)
),
IF(Info!$B$4="Board program",
IF(OR(AND(AF$5&gt;0,AF$5&gt;100),AND(AF$5&gt;0,AF$5&lt;100)),
VLOOKUP(FLOOR(('Final Term'!AF24/AF$5)*100,1),new_transmute,3,FALSE),
VLOOKUP('Final Term'!AF24,new_transmute,3,FALSE)
),
IF(Info!$B$4="Board program (Medicine)",
IF(OR(AND(AF$5&gt;0,AF$5&gt;100),AND(AF$5&gt;0,AF$5&lt;100)),
VLOOKUP(FLOOR(('Final Term'!AF24/AF$5)*100,1),new_transmute,4,FALSE),
VLOOKUP('Final Term'!AF24,new_transmute,4,FALSE)
),
""
)
)
)
)
)
)
)
)
))</f>
        <v/>
      </c>
      <c r="AG24" s="73" t="str">
        <f>IF($B24="","",
IF(AG$5="","",
IF('Final Term'!AG24="",0,
IF(NOT(ISNUMBER('Final Term'!AG24)),"NAN",
IF('Final Term'!AG24&lt;0,"NEG",
IF('Final Term'!AG24&gt;AG$5,"OVER",
IF(AND(AG$5&lt;=100,'Final Term'!AG24&gt;100),"ERR",
IF(Info!$B$4="Non-board program",
IF(OR(AND(AG$5&gt;0,AG$5&gt;100),AND(AG$5&gt;0,AG$5&lt;100)),
VLOOKUP(FLOOR(('Final Term'!AG24/AG$5)*100,1),new_transmute,2,FALSE),
VLOOKUP('Final Term'!AG24,new_transmute,2,FALSE)
),
IF(Info!$B$4="Board program",
IF(OR(AND(AG$5&gt;0,AG$5&gt;100),AND(AG$5&gt;0,AG$5&lt;100)),
VLOOKUP(FLOOR(('Final Term'!AG24/AG$5)*100,1),new_transmute,3,FALSE),
VLOOKUP('Final Term'!AG24,new_transmute,3,FALSE)
),
IF(Info!$B$4="Board program (Medicine)",
IF(OR(AND(AG$5&gt;0,AG$5&gt;100),AND(AG$5&gt;0,AG$5&lt;100)),
VLOOKUP(FLOOR(('Final Term'!AG24/AG$5)*100,1),new_transmute,4,FALSE),
VLOOKUP('Final Term'!AG24,new_transmute,4,FALSE)
),
""
)
)
)
)
)
)
)
)
))</f>
        <v/>
      </c>
      <c r="AH24" s="73" t="str">
        <f>IF($B24="","",
IF(AH$5="","",
IF('Final Term'!AH24="",0,
IF(NOT(ISNUMBER('Final Term'!AH24)),"NAN",
IF('Final Term'!AH24&lt;0,"NEG",
IF('Final Term'!AH24&gt;AH$5,"OVER",
IF(AND(AH$5&lt;=100,'Final Term'!AH24&gt;100),"ERR",
IF(Info!$B$4="Non-board program",
IF(OR(AND(AH$5&gt;0,AH$5&gt;100),AND(AH$5&gt;0,AH$5&lt;100)),
VLOOKUP(FLOOR(('Final Term'!AH24/AH$5)*100,1),new_transmute,2,FALSE),
VLOOKUP('Final Term'!AH24,new_transmute,2,FALSE)
),
IF(Info!$B$4="Board program",
IF(OR(AND(AH$5&gt;0,AH$5&gt;100),AND(AH$5&gt;0,AH$5&lt;100)),
VLOOKUP(FLOOR(('Final Term'!AH24/AH$5)*100,1),new_transmute,3,FALSE),
VLOOKUP('Final Term'!AH24,new_transmute,3,FALSE)
),
IF(Info!$B$4="Board program (Medicine)",
IF(OR(AND(AH$5&gt;0,AH$5&gt;100),AND(AH$5&gt;0,AH$5&lt;100)),
VLOOKUP(FLOOR(('Final Term'!AH24/AH$5)*100,1),new_transmute,4,FALSE),
VLOOKUP('Final Term'!AH24,new_transmute,4,FALSE)
),
""
)
)
)
)
)
)
)
)
))</f>
        <v/>
      </c>
      <c r="AI24" s="73" t="str">
        <f>IF($B24="","",
IF(AI$5="","",
IF('Final Term'!AI24="",0,
IF(NOT(ISNUMBER('Final Term'!AI24)),"NAN",
IF('Final Term'!AI24&lt;0,"NEG",
IF('Final Term'!AI24&gt;AI$5,"OVER",
IF(AND(AI$5&lt;=100,'Final Term'!AI24&gt;100),"ERR",
IF(Info!$B$4="Non-board program",
IF(OR(AND(AI$5&gt;0,AI$5&gt;100),AND(AI$5&gt;0,AI$5&lt;100)),
VLOOKUP(FLOOR(('Final Term'!AI24/AI$5)*100,1),new_transmute,2,FALSE),
VLOOKUP('Final Term'!AI24,new_transmute,2,FALSE)
),
IF(Info!$B$4="Board program",
IF(OR(AND(AI$5&gt;0,AI$5&gt;100),AND(AI$5&gt;0,AI$5&lt;100)),
VLOOKUP(FLOOR(('Final Term'!AI24/AI$5)*100,1),new_transmute,3,FALSE),
VLOOKUP('Final Term'!AI24,new_transmute,3,FALSE)
),
IF(Info!$B$4="Board program (Medicine)",
IF(OR(AND(AI$5&gt;0,AI$5&gt;100),AND(AI$5&gt;0,AI$5&lt;100)),
VLOOKUP(FLOOR(('Final Term'!AI24/AI$5)*100,1),new_transmute,4,FALSE),
VLOOKUP('Final Term'!AI24,new_transmute,4,FALSE)
),
""
)
)
)
)
)
)
)
)
))</f>
        <v/>
      </c>
      <c r="AJ24" s="73" t="str">
        <f>IF($B24="","",
IF(AJ$5="","",
IF('Final Term'!AJ24="",0,
IF(NOT(ISNUMBER('Final Term'!AJ24)),"NAN",
IF('Final Term'!AJ24&lt;0,"NEG",
IF('Final Term'!AJ24&gt;AJ$5,"OVER",
IF(AND(AJ$5&lt;=100,'Final Term'!AJ24&gt;100),"ERR",
IF(Info!$B$4="Non-board program",
IF(OR(AND(AJ$5&gt;0,AJ$5&gt;100),AND(AJ$5&gt;0,AJ$5&lt;100)),
VLOOKUP(FLOOR(('Final Term'!AJ24/AJ$5)*100,1),new_transmute,2,FALSE),
VLOOKUP('Final Term'!AJ24,new_transmute,2,FALSE)
),
IF(Info!$B$4="Board program",
IF(OR(AND(AJ$5&gt;0,AJ$5&gt;100),AND(AJ$5&gt;0,AJ$5&lt;100)),
VLOOKUP(FLOOR(('Final Term'!AJ24/AJ$5)*100,1),new_transmute,3,FALSE),
VLOOKUP('Final Term'!AJ24,new_transmute,3,FALSE)
),
IF(Info!$B$4="Board program (Medicine)",
IF(OR(AND(AJ$5&gt;0,AJ$5&gt;100),AND(AJ$5&gt;0,AJ$5&lt;100)),
VLOOKUP(FLOOR(('Final Term'!AJ24/AJ$5)*100,1),new_transmute,4,FALSE),
VLOOKUP('Final Term'!AJ24,new_transmute,4,FALSE)
),
""
)
)
)
)
)
)
)
)
))</f>
        <v/>
      </c>
      <c r="AK24" s="59" t="str">
        <f t="shared" si="6"/>
        <v/>
      </c>
      <c r="AL24" s="60" t="str">
        <f>IF(B24="", "",
    IF(OR(M24="OVER", S24="OVER", Y24="OVER", AE24="OVER", AK24="OVER"),
        "OVER",
        IF(Info!$B$4="Non-board program",
            VLOOKUP(IFERROR(FLOOR(SUM((M24*$M$4), (S24*$S$4), (Y24*$Y$4), (AE24*$AE$4), (AK24*$AK$4)) * (100 / 60), 1), 0), new_transmute, 2, FALSE),
            IF(Info!$B$4="Board program",
                VLOOKUP(IFERROR(FLOOR(SUM((M24*$M$4), (S24*$S$4), (Y24*$Y$4), (AE24*$AE$4), (AK24*$AK$4)) * (100 / 60), 1), 0), new_transmute, 3, FALSE),
                IF(Info!$B$4="Board program (Medicine)",
                    VLOOKUP(IFERROR(FLOOR(SUM((M24*$M$4), (S24*$S$4), (Y24*$Y$4), (AE24*$AE$4), (AK24*$AK$4)) * (100 / 60), 1), 0), new_transmute, 4, FALSE),
                    ""
                )
            )
        )
    )
)</f>
        <v/>
      </c>
      <c r="AM24" s="73" t="str">
        <f>IF($B24="","",
IF(AM$5="","",
IF('Final Term'!AM24="",0,
IF(NOT(ISNUMBER('Final Term'!AM24)),"NAN",
IF('Final Term'!AM24&lt;0,"NEG",
IF('Final Term'!AM24&gt;AM$5,"OVER",
IF(AND(AM$5&lt;=100,'Final Term'!AM24&gt;100),"ERR",
IF(Info!$B$4="Non-board program",
IF(OR(AND(AM$5&gt;0,AM$5&gt;100),AND(AM$5&gt;0,AM$5&lt;100)),
VLOOKUP(FLOOR(('Final Term'!AM24/AM$5)*100,1),new_transmute,2,FALSE),
VLOOKUP('Final Term'!AM24,new_transmute,2,FALSE)
),
IF(Info!$B$4="Board program",
IF(OR(AND(AM$5&gt;0,AM$5&gt;100),AND(AM$5&gt;0,AM$5&lt;100)),
VLOOKUP(FLOOR(('Final Term'!AM24/AM$5)*100,1),new_transmute,3,FALSE),
VLOOKUP('Final Term'!AM24,new_transmute,3,FALSE)
),
IF(Info!$B$4="Board program (Medicine)",
IF(OR(AND(AM$5&gt;0,AM$5&gt;100),AND(AM$5&gt;0,AM$5&lt;100)),
VLOOKUP(FLOOR(('Final Term'!AM24/AM$5)*100,1),new_transmute,4,FALSE),
VLOOKUP('Final Term'!AM24,new_transmute,4,FALSE)
),
""
)
)
)
)
)
)
)
)
))</f>
        <v/>
      </c>
      <c r="AN24" s="73" t="str">
        <f>IF($B24="","",
IF(AN$5="","",
IF('Final Term'!AN24="",0,
IF(NOT(ISNUMBER('Final Term'!AN24)),"NAN",
IF('Final Term'!AN24&lt;0,"NEG",
IF('Final Term'!AN24&gt;AN$5,"OVER",
IF(AND(AN$5&lt;=100,'Final Term'!AN24&gt;100),"ERR",
IF(Info!$B$4="Non-board program",
IF(OR(AND(AN$5&gt;0,AN$5&gt;100),AND(AN$5&gt;0,AN$5&lt;100)),
VLOOKUP(FLOOR(('Final Term'!AN24/AN$5)*100,1),new_transmute,2,FALSE),
VLOOKUP('Final Term'!AN24,new_transmute,2,FALSE)
),
IF(Info!$B$4="Board program",
IF(OR(AND(AN$5&gt;0,AN$5&gt;100),AND(AN$5&gt;0,AN$5&lt;100)),
VLOOKUP(FLOOR(('Final Term'!AN24/AN$5)*100,1),new_transmute,3,FALSE),
VLOOKUP('Final Term'!AN24,new_transmute,3,FALSE)
),
IF(Info!$B$4="Board program (Medicine)",
IF(OR(AND(AN$5&gt;0,AN$5&gt;100),AND(AN$5&gt;0,AN$5&lt;100)),
VLOOKUP(FLOOR(('Final Term'!AN24/AN$5)*100,1),new_transmute,4,FALSE),
VLOOKUP('Final Term'!AN24,new_transmute,4,FALSE)
),
""
)
)
)
)
)
)
)
)
))</f>
        <v/>
      </c>
      <c r="AO24" s="73" t="str">
        <f>IF($B24="","",
IF(AO$5="","",
IF('Final Term'!AO24="",0,
IF(NOT(ISNUMBER('Final Term'!AO24)),"NAN",
IF('Final Term'!AO24&lt;0,"NEG",
IF('Final Term'!AO24&gt;AO$5,"OVER",
IF(AND(AO$5&lt;=100,'Final Term'!AO24&gt;100),"ERR",
IF(Info!$B$4="Non-board program",
IF(OR(AND(AO$5&gt;0,AO$5&gt;100),AND(AO$5&gt;0,AO$5&lt;100)),
VLOOKUP(FLOOR(('Final Term'!AO24/AO$5)*100,1),new_transmute,2,FALSE),
VLOOKUP('Final Term'!AO24,new_transmute,2,FALSE)
),
IF(Info!$B$4="Board program",
IF(OR(AND(AO$5&gt;0,AO$5&gt;100),AND(AO$5&gt;0,AO$5&lt;100)),
VLOOKUP(FLOOR(('Final Term'!AO24/AO$5)*100,1),new_transmute,3,FALSE),
VLOOKUP('Final Term'!AO24,new_transmute,3,FALSE)
),
IF(Info!$B$4="Board program (Medicine)",
IF(OR(AND(AO$5&gt;0,AO$5&gt;100),AND(AO$5&gt;0,AO$5&lt;100)),
VLOOKUP(FLOOR(('Final Term'!AO24/AO$5)*100,1),new_transmute,4,FALSE),
VLOOKUP('Final Term'!AO24,new_transmute,4,FALSE)
),
""
)
)
)
)
)
)
)
)
))</f>
        <v/>
      </c>
      <c r="AP24" s="73" t="str">
        <f>IF($B24="","",
IF(AP$5="","",
IF('Final Term'!AP24="",0,
IF(NOT(ISNUMBER('Final Term'!AP24)),"NAN",
IF('Final Term'!AP24&lt;0,"NEG",
IF('Final Term'!AP24&gt;AP$5,"OVER",
IF(AND(AP$5&lt;=100,'Final Term'!AP24&gt;100),"ERR",
IF(Info!$B$4="Non-board program",
IF(OR(AND(AP$5&gt;0,AP$5&gt;100),AND(AP$5&gt;0,AP$5&lt;100)),
VLOOKUP(FLOOR(('Final Term'!AP24/AP$5)*100,1),new_transmute,2,FALSE),
VLOOKUP('Final Term'!AP24,new_transmute,2,FALSE)
),
IF(Info!$B$4="Board program",
IF(OR(AND(AP$5&gt;0,AP$5&gt;100),AND(AP$5&gt;0,AP$5&lt;100)),
VLOOKUP(FLOOR(('Final Term'!AP24/AP$5)*100,1),new_transmute,3,FALSE),
VLOOKUP('Final Term'!AP24,new_transmute,3,FALSE)
),
IF(Info!$B$4="Board program (Medicine)",
IF(OR(AND(AP$5&gt;0,AP$5&gt;100),AND(AP$5&gt;0,AP$5&lt;100)),
VLOOKUP(FLOOR(('Final Term'!AP24/AP$5)*100,1),new_transmute,4,FALSE),
VLOOKUP('Final Term'!AP24,new_transmute,4,FALSE)
),
""
)
)
)
)
)
)
)
)
))</f>
        <v/>
      </c>
      <c r="AQ24" s="61" t="str">
        <f t="shared" si="7"/>
        <v/>
      </c>
      <c r="AR24" s="48" t="str">
        <f>IF('Final Term'!AR24="","",'Final Term'!AR24)</f>
        <v/>
      </c>
      <c r="AS24" s="165" t="str">
        <f t="shared" si="8"/>
        <v/>
      </c>
      <c r="AT24" s="14" t="str">
        <f t="shared" si="0"/>
        <v/>
      </c>
      <c r="AU24" s="13" t="str">
        <f>IF(B24="","",VLOOKUP(AT24,'New Grade Equivalent'!$B$3:$C$47,2,FALSE))</f>
        <v/>
      </c>
    </row>
    <row r="25" spans="1:47" x14ac:dyDescent="0.25">
      <c r="A25" s="8">
        <v>20</v>
      </c>
      <c r="B25" s="2" t="str">
        <f>IF('Student List'!C29="","",UPPER(LEFT('Student List'!C29,FIND(",",'Student List'!C29)-1)))</f>
        <v/>
      </c>
      <c r="C25" s="12" t="str">
        <f>IF('Student List'!C29="","",PROPER(MID('Student List'!C29, FIND(",", 'Student List'!C29) + 2, LEN('Student List'!C29) - FIND(",", 'Student List'!C29) - 1)))</f>
        <v/>
      </c>
      <c r="D25" s="127" t="str">
        <f>IF('Final Term'!D25="","",'Final Term'!D25)</f>
        <v/>
      </c>
      <c r="E25" s="8" t="str">
        <f>IF(MidCom!E25="FA", "FA",
    IF(MidCom!E25="DRP", "DRP",
        IF(MidCom!E25="WF", "WF",
            IF(D25="Yes", "INC",
               IF((SUM('MT Attendance'!AW23) / 3 + SUM('MT Attendance'!AY23) + SUM('FT Attendance'!AW23) / 3 + SUM('FT Attendance'!AY23)) &gt;= 0.2 * (SUMPRODUCT(--(ISTEXT('MT Attendance'!$C$2:$AU$2))) + SUMPRODUCT(--(ISTEXT('FT Attendance'!$C$2:$AU$2)))), "FA",
                   MidCom!E25
                )
            )
        )
    )
)</f>
        <v/>
      </c>
      <c r="F25" s="73" t="str">
        <f>IF($B25="","",
IF(F$5="","",
IF('Final Term'!F25="",0,
IF(NOT(ISNUMBER('Final Term'!F25)),"NAN",
IF('Final Term'!F25&lt;0,"NEG",
IF('Final Term'!F25&gt;F$5,"OVER",
IF(AND(F$5&lt;=100,'Final Term'!F25&gt;100),"ERR",
IF(Info!$B$4="Non-board program",
IF(OR(AND(F$5&gt;0,F$5&gt;100),AND(F$5&gt;0,F$5&lt;100)),
VLOOKUP(FLOOR(('Final Term'!F25/F$5)*100,1),new_transmute,2,FALSE),
VLOOKUP('Final Term'!F25,new_transmute,2,FALSE)
),
IF(Info!$B$4="Board program",
IF(OR(AND(F$5&gt;0,F$5&gt;100),AND(F$5&gt;0,F$5&lt;100)),
VLOOKUP(FLOOR(('Final Term'!F25/F$5)*100,1),new_transmute,3,FALSE),
VLOOKUP('Final Term'!F25,new_transmute,3,FALSE)
),
IF(Info!$B$4="Board program (Medicine)",
IF(OR(AND(F$5&gt;0,F$5&gt;100),AND(F$5&gt;0,F$5&lt;100)),
VLOOKUP(FLOOR(('Final Term'!F25/F$5)*100,1),new_transmute,4,FALSE),
VLOOKUP('Final Term'!F25,new_transmute,4,FALSE)
),
""
)
)
)
)
)
)
)
)
))</f>
        <v/>
      </c>
      <c r="G25" s="57" t="str">
        <f t="shared" si="1"/>
        <v/>
      </c>
      <c r="H25" s="73" t="str">
        <f>IF($B25="","",
IF(H$5="","",
IF('Final Term'!H25="",0,
IF(NOT(ISNUMBER('Final Term'!H25)),"NAN",
IF('Final Term'!H25&lt;0,"NEG",
IF('Final Term'!H25&gt;H$5,"OVER",
IF(AND(H$5&lt;=100,'Final Term'!H25&gt;100),"ERR",
IF(Info!$B$4="Non-board program",
IF(OR(AND(H$5&gt;0,H$5&gt;100),AND(H$5&gt;0,H$5&lt;100)),
VLOOKUP(FLOOR(('Final Term'!H25/H$5)*100,1),new_transmute,2,FALSE),
VLOOKUP('Final Term'!H25,new_transmute,2,FALSE)
),
IF(Info!$B$4="Board program",
IF(OR(AND(H$5&gt;0,H$5&gt;100),AND(H$5&gt;0,H$5&lt;100)),
VLOOKUP(FLOOR(('Final Term'!H25/H$5)*100,1),new_transmute,3,FALSE),
VLOOKUP('Final Term'!H25,new_transmute,3,FALSE)
),
IF(Info!$B$4="Board program (Medicine)",
IF(OR(AND(H$5&gt;0,H$5&gt;100),AND(H$5&gt;0,H$5&lt;100)),
VLOOKUP(FLOOR(('Final Term'!H25/H$5)*100,1),new_transmute,4,FALSE),
VLOOKUP('Final Term'!H25,new_transmute,4,FALSE)
),
""
)
)
)
)
)
)
)
)
))</f>
        <v/>
      </c>
      <c r="I25" s="73" t="str">
        <f>IF($B25="","",
IF(I$5="","",
IF('Final Term'!I25="",0,
IF(NOT(ISNUMBER('Final Term'!I25)),"NAN",
IF('Final Term'!I25&lt;0,"NEG",
IF('Final Term'!I25&gt;I$5,"OVER",
IF(AND(I$5&lt;=100,'Final Term'!I25&gt;100),"ERR",
IF(Info!$B$4="Non-board program",
IF(OR(AND(I$5&gt;0,I$5&gt;100),AND(I$5&gt;0,I$5&lt;100)),
VLOOKUP(FLOOR(('Final Term'!I25/I$5)*100,1),new_transmute,2,FALSE),
VLOOKUP('Final Term'!I25,new_transmute,2,FALSE)
),
IF(Info!$B$4="Board program",
IF(OR(AND(I$5&gt;0,I$5&gt;100),AND(I$5&gt;0,I$5&lt;100)),
VLOOKUP(FLOOR(('Final Term'!I25/I$5)*100,1),new_transmute,3,FALSE),
VLOOKUP('Final Term'!I25,new_transmute,3,FALSE)
),
IF(Info!$B$4="Board program (Medicine)",
IF(OR(AND(I$5&gt;0,I$5&gt;100),AND(I$5&gt;0,I$5&lt;100)),
VLOOKUP(FLOOR(('Final Term'!I25/I$5)*100,1),new_transmute,4,FALSE),
VLOOKUP('Final Term'!I25,new_transmute,4,FALSE)
),
""
)
)
)
)
)
)
)
)
))</f>
        <v/>
      </c>
      <c r="J25" s="73" t="str">
        <f>IF($B25="","",
IF(J$5="","",
IF('Final Term'!J25="",0,
IF(NOT(ISNUMBER('Final Term'!J25)),"NAN",
IF('Final Term'!J25&lt;0,"NEG",
IF('Final Term'!J25&gt;J$5,"OVER",
IF(AND(J$5&lt;=100,'Final Term'!J25&gt;100),"ERR",
IF(Info!$B$4="Non-board program",
IF(OR(AND(J$5&gt;0,J$5&gt;100),AND(J$5&gt;0,J$5&lt;100)),
VLOOKUP(FLOOR(('Final Term'!J25/J$5)*100,1),new_transmute,2,FALSE),
VLOOKUP('Final Term'!J25,new_transmute,2,FALSE)
),
IF(Info!$B$4="Board program",
IF(OR(AND(J$5&gt;0,J$5&gt;100),AND(J$5&gt;0,J$5&lt;100)),
VLOOKUP(FLOOR(('Final Term'!J25/J$5)*100,1),new_transmute,3,FALSE),
VLOOKUP('Final Term'!J25,new_transmute,3,FALSE)
),
IF(Info!$B$4="Board program (Medicine)",
IF(OR(AND(J$5&gt;0,J$5&gt;100),AND(J$5&gt;0,J$5&lt;100)),
VLOOKUP(FLOOR(('Final Term'!J25/J$5)*100,1),new_transmute,4,FALSE),
VLOOKUP('Final Term'!J25,new_transmute,4,FALSE)
),
""
)
)
)
)
)
)
)
)
))</f>
        <v/>
      </c>
      <c r="K25" s="73" t="str">
        <f>IF($B25="","",
IF(K$5="","",
IF('Final Term'!K25="",0,
IF(NOT(ISNUMBER('Final Term'!K25)),"NAN",
IF('Final Term'!K25&lt;0,"NEG",
IF('Final Term'!K25&gt;K$5,"OVER",
IF(AND(K$5&lt;=100,'Final Term'!K25&gt;100),"ERR",
IF(Info!$B$4="Non-board program",
IF(OR(AND(K$5&gt;0,K$5&gt;100),AND(K$5&gt;0,K$5&lt;100)),
VLOOKUP(FLOOR(('Final Term'!K25/K$5)*100,1),new_transmute,2,FALSE),
VLOOKUP('Final Term'!K25,new_transmute,2,FALSE)
),
IF(Info!$B$4="Board program",
IF(OR(AND(K$5&gt;0,K$5&gt;100),AND(K$5&gt;0,K$5&lt;100)),
VLOOKUP(FLOOR(('Final Term'!K25/K$5)*100,1),new_transmute,3,FALSE),
VLOOKUP('Final Term'!K25,new_transmute,3,FALSE)
),
IF(Info!$B$4="Board program (Medicine)",
IF(OR(AND(K$5&gt;0,K$5&gt;100),AND(K$5&gt;0,K$5&lt;100)),
VLOOKUP(FLOOR(('Final Term'!K25/K$5)*100,1),new_transmute,4,FALSE),
VLOOKUP('Final Term'!K25,new_transmute,4,FALSE)
),
""
)
)
)
)
)
)
)
)
))</f>
        <v/>
      </c>
      <c r="L25" s="73" t="str">
        <f>IF($B25="","",
IF(L$5="","",
IF('Final Term'!L25="",0,
IF(NOT(ISNUMBER('Final Term'!L25)),"NAN",
IF('Final Term'!L25&lt;0,"NEG",
IF('Final Term'!L25&gt;L$5,"OVER",
IF(AND(L$5&lt;=100,'Final Term'!L25&gt;100),"ERR",
IF(Info!$B$4="Non-board program",
IF(OR(AND(L$5&gt;0,L$5&gt;100),AND(L$5&gt;0,L$5&lt;100)),
VLOOKUP(FLOOR(('Final Term'!L25/L$5)*100,1),new_transmute,2,FALSE),
VLOOKUP('Final Term'!L25,new_transmute,2,FALSE)
),
IF(Info!$B$4="Board program",
IF(OR(AND(L$5&gt;0,L$5&gt;100),AND(L$5&gt;0,L$5&lt;100)),
VLOOKUP(FLOOR(('Final Term'!L25/L$5)*100,1),new_transmute,3,FALSE),
VLOOKUP('Final Term'!L25,new_transmute,3,FALSE)
),
IF(Info!$B$4="Board program (Medicine)",
IF(OR(AND(L$5&gt;0,L$5&gt;100),AND(L$5&gt;0,L$5&lt;100)),
VLOOKUP(FLOOR(('Final Term'!L25/L$5)*100,1),new_transmute,4,FALSE),
VLOOKUP('Final Term'!L25,new_transmute,4,FALSE)
),
""
)
)
)
)
)
)
)
)
))</f>
        <v/>
      </c>
      <c r="M25" s="111" t="str">
        <f t="shared" si="2"/>
        <v/>
      </c>
      <c r="N25" s="73" t="str">
        <f>IF($B25="","",
IF(N$5="","",
IF('Final Term'!N25="",0,
IF(NOT(ISNUMBER('Final Term'!N25)),"NAN",
IF('Final Term'!N25&lt;0,"NEG",
IF('Final Term'!N25&gt;N$5,"OVER",
IF(AND(N$5&lt;=100,'Final Term'!N25&gt;100),"ERR",
IF(Info!$B$4="Non-board program",
IF(OR(AND(N$5&gt;0,N$5&gt;100),AND(N$5&gt;0,N$5&lt;100)),
VLOOKUP(FLOOR(('Final Term'!N25/N$5)*100,1),new_transmute,2,FALSE),
VLOOKUP('Final Term'!N25,new_transmute,2,FALSE)
),
IF(Info!$B$4="Board program",
IF(OR(AND(N$5&gt;0,N$5&gt;100),AND(N$5&gt;0,N$5&lt;100)),
VLOOKUP(FLOOR(('Final Term'!N25/N$5)*100,1),new_transmute,3,FALSE),
VLOOKUP('Final Term'!N25,new_transmute,3,FALSE)
),
IF(Info!$B$4="Board program (Medicine)",
IF(OR(AND(N$5&gt;0,N$5&gt;100),AND(N$5&gt;0,N$5&lt;100)),
VLOOKUP(FLOOR(('Final Term'!N25/N$5)*100,1),new_transmute,4,FALSE),
VLOOKUP('Final Term'!N25,new_transmute,4,FALSE)
),
""
)
)
)
)
)
)
)
)
))</f>
        <v/>
      </c>
      <c r="O25" s="73" t="str">
        <f>IF($B25="","",
IF(O$5="","",
IF('Final Term'!O25="",0,
IF(NOT(ISNUMBER('Final Term'!O25)),"NAN",
IF('Final Term'!O25&lt;0,"NEG",
IF('Final Term'!O25&gt;O$5,"OVER",
IF(AND(O$5&lt;=100,'Final Term'!O25&gt;100),"ERR",
IF(Info!$B$4="Non-board program",
IF(OR(AND(O$5&gt;0,O$5&gt;100),AND(O$5&gt;0,O$5&lt;100)),
VLOOKUP(FLOOR(('Final Term'!O25/O$5)*100,1),new_transmute,2,FALSE),
VLOOKUP('Final Term'!O25,new_transmute,2,FALSE)
),
IF(Info!$B$4="Board program",
IF(OR(AND(O$5&gt;0,O$5&gt;100),AND(O$5&gt;0,O$5&lt;100)),
VLOOKUP(FLOOR(('Final Term'!O25/O$5)*100,1),new_transmute,3,FALSE),
VLOOKUP('Final Term'!O25,new_transmute,3,FALSE)
),
IF(Info!$B$4="Board program (Medicine)",
IF(OR(AND(O$5&gt;0,O$5&gt;100),AND(O$5&gt;0,O$5&lt;100)),
VLOOKUP(FLOOR(('Final Term'!O25/O$5)*100,1),new_transmute,4,FALSE),
VLOOKUP('Final Term'!O25,new_transmute,4,FALSE)
),
""
)
)
)
)
)
)
)
)
))</f>
        <v/>
      </c>
      <c r="P25" s="73" t="str">
        <f>IF($B25="","",
IF(P$5="","",
IF('Final Term'!P25="",0,
IF(NOT(ISNUMBER('Final Term'!P25)),"NAN",
IF('Final Term'!P25&lt;0,"NEG",
IF('Final Term'!P25&gt;P$5,"OVER",
IF(AND(P$5&lt;=100,'Final Term'!P25&gt;100),"ERR",
IF(Info!$B$4="Non-board program",
IF(OR(AND(P$5&gt;0,P$5&gt;100),AND(P$5&gt;0,P$5&lt;100)),
VLOOKUP(FLOOR(('Final Term'!P25/P$5)*100,1),new_transmute,2,FALSE),
VLOOKUP('Final Term'!P25,new_transmute,2,FALSE)
),
IF(Info!$B$4="Board program",
IF(OR(AND(P$5&gt;0,P$5&gt;100),AND(P$5&gt;0,P$5&lt;100)),
VLOOKUP(FLOOR(('Final Term'!P25/P$5)*100,1),new_transmute,3,FALSE),
VLOOKUP('Final Term'!P25,new_transmute,3,FALSE)
),
IF(Info!$B$4="Board program (Medicine)",
IF(OR(AND(P$5&gt;0,P$5&gt;100),AND(P$5&gt;0,P$5&lt;100)),
VLOOKUP(FLOOR(('Final Term'!P25/P$5)*100,1),new_transmute,4,FALSE),
VLOOKUP('Final Term'!P25,new_transmute,4,FALSE)
),
""
)
)
)
)
)
)
)
)
))</f>
        <v/>
      </c>
      <c r="Q25" s="73" t="str">
        <f>IF($B25="","",
IF(Q$5="","",
IF('Final Term'!Q25="",0,
IF(NOT(ISNUMBER('Final Term'!Q25)),"NAN",
IF('Final Term'!Q25&lt;0,"NEG",
IF('Final Term'!Q25&gt;Q$5,"OVER",
IF(AND(Q$5&lt;=100,'Final Term'!Q25&gt;100),"ERR",
IF(Info!$B$4="Non-board program",
IF(OR(AND(Q$5&gt;0,Q$5&gt;100),AND(Q$5&gt;0,Q$5&lt;100)),
VLOOKUP(FLOOR(('Final Term'!Q25/Q$5)*100,1),new_transmute,2,FALSE),
VLOOKUP('Final Term'!Q25,new_transmute,2,FALSE)
),
IF(Info!$B$4="Board program",
IF(OR(AND(Q$5&gt;0,Q$5&gt;100),AND(Q$5&gt;0,Q$5&lt;100)),
VLOOKUP(FLOOR(('Final Term'!Q25/Q$5)*100,1),new_transmute,3,FALSE),
VLOOKUP('Final Term'!Q25,new_transmute,3,FALSE)
),
IF(Info!$B$4="Board program (Medicine)",
IF(OR(AND(Q$5&gt;0,Q$5&gt;100),AND(Q$5&gt;0,Q$5&lt;100)),
VLOOKUP(FLOOR(('Final Term'!Q25/Q$5)*100,1),new_transmute,4,FALSE),
VLOOKUP('Final Term'!Q25,new_transmute,4,FALSE)
),
""
)
)
)
)
)
)
)
)
))</f>
        <v/>
      </c>
      <c r="R25" s="73" t="str">
        <f>IF($B25="","",
IF(R$5="","",
IF('Final Term'!R25="",0,
IF(NOT(ISNUMBER('Final Term'!R25)),"NAN",
IF('Final Term'!R25&lt;0,"NEG",
IF('Final Term'!R25&gt;R$5,"OVER",
IF(AND(R$5&lt;=100,'Final Term'!R25&gt;100),"ERR",
IF(Info!$B$4="Non-board program",
IF(OR(AND(R$5&gt;0,R$5&gt;100),AND(R$5&gt;0,R$5&lt;100)),
VLOOKUP(FLOOR(('Final Term'!R25/R$5)*100,1),new_transmute,2,FALSE),
VLOOKUP('Final Term'!R25,new_transmute,2,FALSE)
),
IF(Info!$B$4="Board program",
IF(OR(AND(R$5&gt;0,R$5&gt;100),AND(R$5&gt;0,R$5&lt;100)),
VLOOKUP(FLOOR(('Final Term'!R25/R$5)*100,1),new_transmute,3,FALSE),
VLOOKUP('Final Term'!R25,new_transmute,3,FALSE)
),
IF(Info!$B$4="Board program (Medicine)",
IF(OR(AND(R$5&gt;0,R$5&gt;100),AND(R$5&gt;0,R$5&lt;100)),
VLOOKUP(FLOOR(('Final Term'!R25/R$5)*100,1),new_transmute,4,FALSE),
VLOOKUP('Final Term'!R25,new_transmute,4,FALSE)
),
""
)
)
)
)
)
)
)
)
))</f>
        <v/>
      </c>
      <c r="S25" s="115" t="str">
        <f t="shared" si="3"/>
        <v/>
      </c>
      <c r="T25" s="73" t="str">
        <f>IF($B25="","",
IF(T$5="","",
IF('Final Term'!T25="",0,
IF(NOT(ISNUMBER('Final Term'!T25)),"NAN",
IF('Final Term'!T25&lt;0,"NEG",
IF('Final Term'!T25&gt;T$5,"OVER",
IF(AND(T$5&lt;=100,'Final Term'!T25&gt;100),"ERR",
IF(Info!$B$4="Non-board program",
IF(OR(AND(T$5&gt;0,T$5&gt;100),AND(T$5&gt;0,T$5&lt;100)),
VLOOKUP(FLOOR(('Final Term'!T25/T$5)*100,1),new_transmute,2,FALSE),
VLOOKUP('Final Term'!T25,new_transmute,2,FALSE)
),
IF(Info!$B$4="Board program",
IF(OR(AND(T$5&gt;0,T$5&gt;100),AND(T$5&gt;0,T$5&lt;100)),
VLOOKUP(FLOOR(('Final Term'!T25/T$5)*100,1),new_transmute,3,FALSE),
VLOOKUP('Final Term'!T25,new_transmute,3,FALSE)
),
IF(Info!$B$4="Board program (Medicine)",
IF(OR(AND(T$5&gt;0,T$5&gt;100),AND(T$5&gt;0,T$5&lt;100)),
VLOOKUP(FLOOR(('Final Term'!T25/T$5)*100,1),new_transmute,4,FALSE),
VLOOKUP('Final Term'!T25,new_transmute,4,FALSE)
),
""
)
)
)
)
)
)
)
)
))</f>
        <v/>
      </c>
      <c r="U25" s="73" t="str">
        <f>IF($B25="","",
IF(U$5="","",
IF('Final Term'!U25="",0,
IF(NOT(ISNUMBER('Final Term'!U25)),"NAN",
IF('Final Term'!U25&lt;0,"NEG",
IF('Final Term'!U25&gt;U$5,"OVER",
IF(AND(U$5&lt;=100,'Final Term'!U25&gt;100),"ERR",
IF(Info!$B$4="Non-board program",
IF(OR(AND(U$5&gt;0,U$5&gt;100),AND(U$5&gt;0,U$5&lt;100)),
VLOOKUP(FLOOR(('Final Term'!U25/U$5)*100,1),new_transmute,2,FALSE),
VLOOKUP('Final Term'!U25,new_transmute,2,FALSE)
),
IF(Info!$B$4="Board program",
IF(OR(AND(U$5&gt;0,U$5&gt;100),AND(U$5&gt;0,U$5&lt;100)),
VLOOKUP(FLOOR(('Final Term'!U25/U$5)*100,1),new_transmute,3,FALSE),
VLOOKUP('Final Term'!U25,new_transmute,3,FALSE)
),
IF(Info!$B$4="Board program (Medicine)",
IF(OR(AND(U$5&gt;0,U$5&gt;100),AND(U$5&gt;0,U$5&lt;100)),
VLOOKUP(FLOOR(('Final Term'!U25/U$5)*100,1),new_transmute,4,FALSE),
VLOOKUP('Final Term'!U25,new_transmute,4,FALSE)
),
""
)
)
)
)
)
)
)
)
))</f>
        <v/>
      </c>
      <c r="V25" s="73" t="str">
        <f>IF($B25="","",
IF(V$5="","",
IF('Final Term'!V25="",0,
IF(NOT(ISNUMBER('Final Term'!V25)),"NAN",
IF('Final Term'!V25&lt;0,"NEG",
IF('Final Term'!V25&gt;V$5,"OVER",
IF(AND(V$5&lt;=100,'Final Term'!V25&gt;100),"ERR",
IF(Info!$B$4="Non-board program",
IF(OR(AND(V$5&gt;0,V$5&gt;100),AND(V$5&gt;0,V$5&lt;100)),
VLOOKUP(FLOOR(('Final Term'!V25/V$5)*100,1),new_transmute,2,FALSE),
VLOOKUP('Final Term'!V25,new_transmute,2,FALSE)
),
IF(Info!$B$4="Board program",
IF(OR(AND(V$5&gt;0,V$5&gt;100),AND(V$5&gt;0,V$5&lt;100)),
VLOOKUP(FLOOR(('Final Term'!V25/V$5)*100,1),new_transmute,3,FALSE),
VLOOKUP('Final Term'!V25,new_transmute,3,FALSE)
),
IF(Info!$B$4="Board program (Medicine)",
IF(OR(AND(V$5&gt;0,V$5&gt;100),AND(V$5&gt;0,V$5&lt;100)),
VLOOKUP(FLOOR(('Final Term'!V25/V$5)*100,1),new_transmute,4,FALSE),
VLOOKUP('Final Term'!V25,new_transmute,4,FALSE)
),
""
)
)
)
)
)
)
)
)
))</f>
        <v/>
      </c>
      <c r="W25" s="73" t="str">
        <f>IF($B25="","",
IF(W$5="","",
IF('Final Term'!W25="",0,
IF(NOT(ISNUMBER('Final Term'!W25)),"NAN",
IF('Final Term'!W25&lt;0,"NEG",
IF('Final Term'!W25&gt;W$5,"OVER",
IF(AND(W$5&lt;=100,'Final Term'!W25&gt;100),"ERR",
IF(Info!$B$4="Non-board program",
IF(OR(AND(W$5&gt;0,W$5&gt;100),AND(W$5&gt;0,W$5&lt;100)),
VLOOKUP(FLOOR(('Final Term'!W25/W$5)*100,1),new_transmute,2,FALSE),
VLOOKUP('Final Term'!W25,new_transmute,2,FALSE)
),
IF(Info!$B$4="Board program",
IF(OR(AND(W$5&gt;0,W$5&gt;100),AND(W$5&gt;0,W$5&lt;100)),
VLOOKUP(FLOOR(('Final Term'!W25/W$5)*100,1),new_transmute,3,FALSE),
VLOOKUP('Final Term'!W25,new_transmute,3,FALSE)
),
IF(Info!$B$4="Board program (Medicine)",
IF(OR(AND(W$5&gt;0,W$5&gt;100),AND(W$5&gt;0,W$5&lt;100)),
VLOOKUP(FLOOR(('Final Term'!W25/W$5)*100,1),new_transmute,4,FALSE),
VLOOKUP('Final Term'!W25,new_transmute,4,FALSE)
),
""
)
)
)
)
)
)
)
)
))</f>
        <v/>
      </c>
      <c r="X25" s="73" t="str">
        <f>IF($B25="","",
IF(X$5="","",
IF('Final Term'!X25="",0,
IF(NOT(ISNUMBER('Final Term'!X25)),"NAN",
IF('Final Term'!X25&lt;0,"NEG",
IF('Final Term'!X25&gt;X$5,"OVER",
IF(AND(X$5&lt;=100,'Final Term'!X25&gt;100),"ERR",
IF(Info!$B$4="Non-board program",
IF(OR(AND(X$5&gt;0,X$5&gt;100),AND(X$5&gt;0,X$5&lt;100)),
VLOOKUP(FLOOR(('Final Term'!X25/X$5)*100,1),new_transmute,2,FALSE),
VLOOKUP('Final Term'!X25,new_transmute,2,FALSE)
),
IF(Info!$B$4="Board program",
IF(OR(AND(X$5&gt;0,X$5&gt;100),AND(X$5&gt;0,X$5&lt;100)),
VLOOKUP(FLOOR(('Final Term'!X25/X$5)*100,1),new_transmute,3,FALSE),
VLOOKUP('Final Term'!X25,new_transmute,3,FALSE)
),
IF(Info!$B$4="Board program (Medicine)",
IF(OR(AND(X$5&gt;0,X$5&gt;100),AND(X$5&gt;0,X$5&lt;100)),
VLOOKUP(FLOOR(('Final Term'!X25/X$5)*100,1),new_transmute,4,FALSE),
VLOOKUP('Final Term'!X25,new_transmute,4,FALSE)
),
""
)
)
)
)
)
)
)
)
))</f>
        <v/>
      </c>
      <c r="Y25" s="112" t="str">
        <f t="shared" si="4"/>
        <v/>
      </c>
      <c r="Z25" s="73" t="str">
        <f>IF($B25="","",
IF(Z$5="","",
IF('Final Term'!Z25="",0,
IF(NOT(ISNUMBER('Final Term'!Z25)),"NAN",
IF('Final Term'!Z25&lt;0,"NEG",
IF('Final Term'!Z25&gt;Z$5,"OVER",
IF(AND(Z$5&lt;=100,'Final Term'!Z25&gt;100),"ERR",
IF(Info!$B$4="Non-board program",
IF(OR(AND(Z$5&gt;0,Z$5&gt;100),AND(Z$5&gt;0,Z$5&lt;100)),
VLOOKUP(FLOOR(('Final Term'!Z25/Z$5)*100,1),new_transmute,2,FALSE),
VLOOKUP('Final Term'!Z25,new_transmute,2,FALSE)
),
IF(Info!$B$4="Board program",
IF(OR(AND(Z$5&gt;0,Z$5&gt;100),AND(Z$5&gt;0,Z$5&lt;100)),
VLOOKUP(FLOOR(('Final Term'!Z25/Z$5)*100,1),new_transmute,3,FALSE),
VLOOKUP('Final Term'!Z25,new_transmute,3,FALSE)
),
IF(Info!$B$4="Board program (Medicine)",
IF(OR(AND(Z$5&gt;0,Z$5&gt;100),AND(Z$5&gt;0,Z$5&lt;100)),
VLOOKUP(FLOOR(('Final Term'!Z25/Z$5)*100,1),new_transmute,4,FALSE),
VLOOKUP('Final Term'!Z25,new_transmute,4,FALSE)
),
""
)
)
)
)
)
)
)
)
))</f>
        <v/>
      </c>
      <c r="AA25" s="73" t="str">
        <f>IF($B25="","",
IF(AA$5="","",
IF('Final Term'!AA25="",0,
IF(NOT(ISNUMBER('Final Term'!AA25)),"NAN",
IF('Final Term'!AA25&lt;0,"NEG",
IF('Final Term'!AA25&gt;AA$5,"OVER",
IF(AND(AA$5&lt;=100,'Final Term'!AA25&gt;100),"ERR",
IF(Info!$B$4="Non-board program",
IF(OR(AND(AA$5&gt;0,AA$5&gt;100),AND(AA$5&gt;0,AA$5&lt;100)),
VLOOKUP(FLOOR(('Final Term'!AA25/AA$5)*100,1),new_transmute,2,FALSE),
VLOOKUP('Final Term'!AA25,new_transmute,2,FALSE)
),
IF(Info!$B$4="Board program",
IF(OR(AND(AA$5&gt;0,AA$5&gt;100),AND(AA$5&gt;0,AA$5&lt;100)),
VLOOKUP(FLOOR(('Final Term'!AA25/AA$5)*100,1),new_transmute,3,FALSE),
VLOOKUP('Final Term'!AA25,new_transmute,3,FALSE)
),
IF(Info!$B$4="Board program (Medicine)",
IF(OR(AND(AA$5&gt;0,AA$5&gt;100),AND(AA$5&gt;0,AA$5&lt;100)),
VLOOKUP(FLOOR(('Final Term'!AA25/AA$5)*100,1),new_transmute,4,FALSE),
VLOOKUP('Final Term'!AA25,new_transmute,4,FALSE)
),
""
)
)
)
)
)
)
)
)
))</f>
        <v/>
      </c>
      <c r="AB25" s="73" t="str">
        <f>IF($B25="","",
IF(AB$5="","",
IF('Final Term'!AB25="",0,
IF(NOT(ISNUMBER('Final Term'!AB25)),"NAN",
IF('Final Term'!AB25&lt;0,"NEG",
IF('Final Term'!AB25&gt;AB$5,"OVER",
IF(AND(AB$5&lt;=100,'Final Term'!AB25&gt;100),"ERR",
IF(Info!$B$4="Non-board program",
IF(OR(AND(AB$5&gt;0,AB$5&gt;100),AND(AB$5&gt;0,AB$5&lt;100)),
VLOOKUP(FLOOR(('Final Term'!AB25/AB$5)*100,1),new_transmute,2,FALSE),
VLOOKUP('Final Term'!AB25,new_transmute,2,FALSE)
),
IF(Info!$B$4="Board program",
IF(OR(AND(AB$5&gt;0,AB$5&gt;100),AND(AB$5&gt;0,AB$5&lt;100)),
VLOOKUP(FLOOR(('Final Term'!AB25/AB$5)*100,1),new_transmute,3,FALSE),
VLOOKUP('Final Term'!AB25,new_transmute,3,FALSE)
),
IF(Info!$B$4="Board program (Medicine)",
IF(OR(AND(AB$5&gt;0,AB$5&gt;100),AND(AB$5&gt;0,AB$5&lt;100)),
VLOOKUP(FLOOR(('Final Term'!AB25/AB$5)*100,1),new_transmute,4,FALSE),
VLOOKUP('Final Term'!AB25,new_transmute,4,FALSE)
),
""
)
)
)
)
)
)
)
)
))</f>
        <v/>
      </c>
      <c r="AC25" s="73" t="str">
        <f>IF($B25="","",
IF(AC$5="","",
IF('Final Term'!AC25="",0,
IF(NOT(ISNUMBER('Final Term'!AC25)),"NAN",
IF('Final Term'!AC25&lt;0,"NEG",
IF('Final Term'!AC25&gt;AC$5,"OVER",
IF(AND(AC$5&lt;=100,'Final Term'!AC25&gt;100),"ERR",
IF(Info!$B$4="Non-board program",
IF(OR(AND(AC$5&gt;0,AC$5&gt;100),AND(AC$5&gt;0,AC$5&lt;100)),
VLOOKUP(FLOOR(('Final Term'!AC25/AC$5)*100,1),new_transmute,2,FALSE),
VLOOKUP('Final Term'!AC25,new_transmute,2,FALSE)
),
IF(Info!$B$4="Board program",
IF(OR(AND(AC$5&gt;0,AC$5&gt;100),AND(AC$5&gt;0,AC$5&lt;100)),
VLOOKUP(FLOOR(('Final Term'!AC25/AC$5)*100,1),new_transmute,3,FALSE),
VLOOKUP('Final Term'!AC25,new_transmute,3,FALSE)
),
IF(Info!$B$4="Board program (Medicine)",
IF(OR(AND(AC$5&gt;0,AC$5&gt;100),AND(AC$5&gt;0,AC$5&lt;100)),
VLOOKUP(FLOOR(('Final Term'!AC25/AC$5)*100,1),new_transmute,4,FALSE),
VLOOKUP('Final Term'!AC25,new_transmute,4,FALSE)
),
""
)
)
)
)
)
)
)
)
))</f>
        <v/>
      </c>
      <c r="AD25" s="73" t="str">
        <f>IF($B25="","",
IF(AD$5="","",
IF('Final Term'!AD25="",0,
IF(NOT(ISNUMBER('Final Term'!AD25)),"NAN",
IF('Final Term'!AD25&lt;0,"NEG",
IF('Final Term'!AD25&gt;AD$5,"OVER",
IF(AND(AD$5&lt;=100,'Final Term'!AD25&gt;100),"ERR",
IF(Info!$B$4="Non-board program",
IF(OR(AND(AD$5&gt;0,AD$5&gt;100),AND(AD$5&gt;0,AD$5&lt;100)),
VLOOKUP(FLOOR(('Final Term'!AD25/AD$5)*100,1),new_transmute,2,FALSE),
VLOOKUP('Final Term'!AD25,new_transmute,2,FALSE)
),
IF(Info!$B$4="Board program",
IF(OR(AND(AD$5&gt;0,AD$5&gt;100),AND(AD$5&gt;0,AD$5&lt;100)),
VLOOKUP(FLOOR(('Final Term'!AD25/AD$5)*100,1),new_transmute,3,FALSE),
VLOOKUP('Final Term'!AD25,new_transmute,3,FALSE)
),
IF(Info!$B$4="Board program (Medicine)",
IF(OR(AND(AD$5&gt;0,AD$5&gt;100),AND(AD$5&gt;0,AD$5&lt;100)),
VLOOKUP(FLOOR(('Final Term'!AD25/AD$5)*100,1),new_transmute,4,FALSE),
VLOOKUP('Final Term'!AD25,new_transmute,4,FALSE)
),
""
)
)
)
)
)
)
)
)
))</f>
        <v/>
      </c>
      <c r="AE25" s="58" t="str">
        <f t="shared" si="5"/>
        <v/>
      </c>
      <c r="AF25" s="73" t="str">
        <f>IF($B25="","",
IF(AF$5="","",
IF('Final Term'!AF25="",0,
IF(NOT(ISNUMBER('Final Term'!AF25)),"NAN",
IF('Final Term'!AF25&lt;0,"NEG",
IF('Final Term'!AF25&gt;AF$5,"OVER",
IF(AND(AF$5&lt;=100,'Final Term'!AF25&gt;100),"ERR",
IF(Info!$B$4="Non-board program",
IF(OR(AND(AF$5&gt;0,AF$5&gt;100),AND(AF$5&gt;0,AF$5&lt;100)),
VLOOKUP(FLOOR(('Final Term'!AF25/AF$5)*100,1),new_transmute,2,FALSE),
VLOOKUP('Final Term'!AF25,new_transmute,2,FALSE)
),
IF(Info!$B$4="Board program",
IF(OR(AND(AF$5&gt;0,AF$5&gt;100),AND(AF$5&gt;0,AF$5&lt;100)),
VLOOKUP(FLOOR(('Final Term'!AF25/AF$5)*100,1),new_transmute,3,FALSE),
VLOOKUP('Final Term'!AF25,new_transmute,3,FALSE)
),
IF(Info!$B$4="Board program (Medicine)",
IF(OR(AND(AF$5&gt;0,AF$5&gt;100),AND(AF$5&gt;0,AF$5&lt;100)),
VLOOKUP(FLOOR(('Final Term'!AF25/AF$5)*100,1),new_transmute,4,FALSE),
VLOOKUP('Final Term'!AF25,new_transmute,4,FALSE)
),
""
)
)
)
)
)
)
)
)
))</f>
        <v/>
      </c>
      <c r="AG25" s="73" t="str">
        <f>IF($B25="","",
IF(AG$5="","",
IF('Final Term'!AG25="",0,
IF(NOT(ISNUMBER('Final Term'!AG25)),"NAN",
IF('Final Term'!AG25&lt;0,"NEG",
IF('Final Term'!AG25&gt;AG$5,"OVER",
IF(AND(AG$5&lt;=100,'Final Term'!AG25&gt;100),"ERR",
IF(Info!$B$4="Non-board program",
IF(OR(AND(AG$5&gt;0,AG$5&gt;100),AND(AG$5&gt;0,AG$5&lt;100)),
VLOOKUP(FLOOR(('Final Term'!AG25/AG$5)*100,1),new_transmute,2,FALSE),
VLOOKUP('Final Term'!AG25,new_transmute,2,FALSE)
),
IF(Info!$B$4="Board program",
IF(OR(AND(AG$5&gt;0,AG$5&gt;100),AND(AG$5&gt;0,AG$5&lt;100)),
VLOOKUP(FLOOR(('Final Term'!AG25/AG$5)*100,1),new_transmute,3,FALSE),
VLOOKUP('Final Term'!AG25,new_transmute,3,FALSE)
),
IF(Info!$B$4="Board program (Medicine)",
IF(OR(AND(AG$5&gt;0,AG$5&gt;100),AND(AG$5&gt;0,AG$5&lt;100)),
VLOOKUP(FLOOR(('Final Term'!AG25/AG$5)*100,1),new_transmute,4,FALSE),
VLOOKUP('Final Term'!AG25,new_transmute,4,FALSE)
),
""
)
)
)
)
)
)
)
)
))</f>
        <v/>
      </c>
      <c r="AH25" s="73" t="str">
        <f>IF($B25="","",
IF(AH$5="","",
IF('Final Term'!AH25="",0,
IF(NOT(ISNUMBER('Final Term'!AH25)),"NAN",
IF('Final Term'!AH25&lt;0,"NEG",
IF('Final Term'!AH25&gt;AH$5,"OVER",
IF(AND(AH$5&lt;=100,'Final Term'!AH25&gt;100),"ERR",
IF(Info!$B$4="Non-board program",
IF(OR(AND(AH$5&gt;0,AH$5&gt;100),AND(AH$5&gt;0,AH$5&lt;100)),
VLOOKUP(FLOOR(('Final Term'!AH25/AH$5)*100,1),new_transmute,2,FALSE),
VLOOKUP('Final Term'!AH25,new_transmute,2,FALSE)
),
IF(Info!$B$4="Board program",
IF(OR(AND(AH$5&gt;0,AH$5&gt;100),AND(AH$5&gt;0,AH$5&lt;100)),
VLOOKUP(FLOOR(('Final Term'!AH25/AH$5)*100,1),new_transmute,3,FALSE),
VLOOKUP('Final Term'!AH25,new_transmute,3,FALSE)
),
IF(Info!$B$4="Board program (Medicine)",
IF(OR(AND(AH$5&gt;0,AH$5&gt;100),AND(AH$5&gt;0,AH$5&lt;100)),
VLOOKUP(FLOOR(('Final Term'!AH25/AH$5)*100,1),new_transmute,4,FALSE),
VLOOKUP('Final Term'!AH25,new_transmute,4,FALSE)
),
""
)
)
)
)
)
)
)
)
))</f>
        <v/>
      </c>
      <c r="AI25" s="73" t="str">
        <f>IF($B25="","",
IF(AI$5="","",
IF('Final Term'!AI25="",0,
IF(NOT(ISNUMBER('Final Term'!AI25)),"NAN",
IF('Final Term'!AI25&lt;0,"NEG",
IF('Final Term'!AI25&gt;AI$5,"OVER",
IF(AND(AI$5&lt;=100,'Final Term'!AI25&gt;100),"ERR",
IF(Info!$B$4="Non-board program",
IF(OR(AND(AI$5&gt;0,AI$5&gt;100),AND(AI$5&gt;0,AI$5&lt;100)),
VLOOKUP(FLOOR(('Final Term'!AI25/AI$5)*100,1),new_transmute,2,FALSE),
VLOOKUP('Final Term'!AI25,new_transmute,2,FALSE)
),
IF(Info!$B$4="Board program",
IF(OR(AND(AI$5&gt;0,AI$5&gt;100),AND(AI$5&gt;0,AI$5&lt;100)),
VLOOKUP(FLOOR(('Final Term'!AI25/AI$5)*100,1),new_transmute,3,FALSE),
VLOOKUP('Final Term'!AI25,new_transmute,3,FALSE)
),
IF(Info!$B$4="Board program (Medicine)",
IF(OR(AND(AI$5&gt;0,AI$5&gt;100),AND(AI$5&gt;0,AI$5&lt;100)),
VLOOKUP(FLOOR(('Final Term'!AI25/AI$5)*100,1),new_transmute,4,FALSE),
VLOOKUP('Final Term'!AI25,new_transmute,4,FALSE)
),
""
)
)
)
)
)
)
)
)
))</f>
        <v/>
      </c>
      <c r="AJ25" s="73" t="str">
        <f>IF($B25="","",
IF(AJ$5="","",
IF('Final Term'!AJ25="",0,
IF(NOT(ISNUMBER('Final Term'!AJ25)),"NAN",
IF('Final Term'!AJ25&lt;0,"NEG",
IF('Final Term'!AJ25&gt;AJ$5,"OVER",
IF(AND(AJ$5&lt;=100,'Final Term'!AJ25&gt;100),"ERR",
IF(Info!$B$4="Non-board program",
IF(OR(AND(AJ$5&gt;0,AJ$5&gt;100),AND(AJ$5&gt;0,AJ$5&lt;100)),
VLOOKUP(FLOOR(('Final Term'!AJ25/AJ$5)*100,1),new_transmute,2,FALSE),
VLOOKUP('Final Term'!AJ25,new_transmute,2,FALSE)
),
IF(Info!$B$4="Board program",
IF(OR(AND(AJ$5&gt;0,AJ$5&gt;100),AND(AJ$5&gt;0,AJ$5&lt;100)),
VLOOKUP(FLOOR(('Final Term'!AJ25/AJ$5)*100,1),new_transmute,3,FALSE),
VLOOKUP('Final Term'!AJ25,new_transmute,3,FALSE)
),
IF(Info!$B$4="Board program (Medicine)",
IF(OR(AND(AJ$5&gt;0,AJ$5&gt;100),AND(AJ$5&gt;0,AJ$5&lt;100)),
VLOOKUP(FLOOR(('Final Term'!AJ25/AJ$5)*100,1),new_transmute,4,FALSE),
VLOOKUP('Final Term'!AJ25,new_transmute,4,FALSE)
),
""
)
)
)
)
)
)
)
)
))</f>
        <v/>
      </c>
      <c r="AK25" s="59" t="str">
        <f t="shared" si="6"/>
        <v/>
      </c>
      <c r="AL25" s="60" t="str">
        <f>IF(B25="", "",
    IF(OR(M25="OVER", S25="OVER", Y25="OVER", AE25="OVER", AK25="OVER"),
        "OVER",
        IF(Info!$B$4="Non-board program",
            VLOOKUP(IFERROR(FLOOR(SUM((M25*$M$4), (S25*$S$4), (Y25*$Y$4), (AE25*$AE$4), (AK25*$AK$4)) * (100 / 60), 1), 0), new_transmute, 2, FALSE),
            IF(Info!$B$4="Board program",
                VLOOKUP(IFERROR(FLOOR(SUM((M25*$M$4), (S25*$S$4), (Y25*$Y$4), (AE25*$AE$4), (AK25*$AK$4)) * (100 / 60), 1), 0), new_transmute, 3, FALSE),
                IF(Info!$B$4="Board program (Medicine)",
                    VLOOKUP(IFERROR(FLOOR(SUM((M25*$M$4), (S25*$S$4), (Y25*$Y$4), (AE25*$AE$4), (AK25*$AK$4)) * (100 / 60), 1), 0), new_transmute, 4, FALSE),
                    ""
                )
            )
        )
    )
)</f>
        <v/>
      </c>
      <c r="AM25" s="73" t="str">
        <f>IF($B25="","",
IF(AM$5="","",
IF('Final Term'!AM25="",0,
IF(NOT(ISNUMBER('Final Term'!AM25)),"NAN",
IF('Final Term'!AM25&lt;0,"NEG",
IF('Final Term'!AM25&gt;AM$5,"OVER",
IF(AND(AM$5&lt;=100,'Final Term'!AM25&gt;100),"ERR",
IF(Info!$B$4="Non-board program",
IF(OR(AND(AM$5&gt;0,AM$5&gt;100),AND(AM$5&gt;0,AM$5&lt;100)),
VLOOKUP(FLOOR(('Final Term'!AM25/AM$5)*100,1),new_transmute,2,FALSE),
VLOOKUP('Final Term'!AM25,new_transmute,2,FALSE)
),
IF(Info!$B$4="Board program",
IF(OR(AND(AM$5&gt;0,AM$5&gt;100),AND(AM$5&gt;0,AM$5&lt;100)),
VLOOKUP(FLOOR(('Final Term'!AM25/AM$5)*100,1),new_transmute,3,FALSE),
VLOOKUP('Final Term'!AM25,new_transmute,3,FALSE)
),
IF(Info!$B$4="Board program (Medicine)",
IF(OR(AND(AM$5&gt;0,AM$5&gt;100),AND(AM$5&gt;0,AM$5&lt;100)),
VLOOKUP(FLOOR(('Final Term'!AM25/AM$5)*100,1),new_transmute,4,FALSE),
VLOOKUP('Final Term'!AM25,new_transmute,4,FALSE)
),
""
)
)
)
)
)
)
)
)
))</f>
        <v/>
      </c>
      <c r="AN25" s="73" t="str">
        <f>IF($B25="","",
IF(AN$5="","",
IF('Final Term'!AN25="",0,
IF(NOT(ISNUMBER('Final Term'!AN25)),"NAN",
IF('Final Term'!AN25&lt;0,"NEG",
IF('Final Term'!AN25&gt;AN$5,"OVER",
IF(AND(AN$5&lt;=100,'Final Term'!AN25&gt;100),"ERR",
IF(Info!$B$4="Non-board program",
IF(OR(AND(AN$5&gt;0,AN$5&gt;100),AND(AN$5&gt;0,AN$5&lt;100)),
VLOOKUP(FLOOR(('Final Term'!AN25/AN$5)*100,1),new_transmute,2,FALSE),
VLOOKUP('Final Term'!AN25,new_transmute,2,FALSE)
),
IF(Info!$B$4="Board program",
IF(OR(AND(AN$5&gt;0,AN$5&gt;100),AND(AN$5&gt;0,AN$5&lt;100)),
VLOOKUP(FLOOR(('Final Term'!AN25/AN$5)*100,1),new_transmute,3,FALSE),
VLOOKUP('Final Term'!AN25,new_transmute,3,FALSE)
),
IF(Info!$B$4="Board program (Medicine)",
IF(OR(AND(AN$5&gt;0,AN$5&gt;100),AND(AN$5&gt;0,AN$5&lt;100)),
VLOOKUP(FLOOR(('Final Term'!AN25/AN$5)*100,1),new_transmute,4,FALSE),
VLOOKUP('Final Term'!AN25,new_transmute,4,FALSE)
),
""
)
)
)
)
)
)
)
)
))</f>
        <v/>
      </c>
      <c r="AO25" s="73" t="str">
        <f>IF($B25="","",
IF(AO$5="","",
IF('Final Term'!AO25="",0,
IF(NOT(ISNUMBER('Final Term'!AO25)),"NAN",
IF('Final Term'!AO25&lt;0,"NEG",
IF('Final Term'!AO25&gt;AO$5,"OVER",
IF(AND(AO$5&lt;=100,'Final Term'!AO25&gt;100),"ERR",
IF(Info!$B$4="Non-board program",
IF(OR(AND(AO$5&gt;0,AO$5&gt;100),AND(AO$5&gt;0,AO$5&lt;100)),
VLOOKUP(FLOOR(('Final Term'!AO25/AO$5)*100,1),new_transmute,2,FALSE),
VLOOKUP('Final Term'!AO25,new_transmute,2,FALSE)
),
IF(Info!$B$4="Board program",
IF(OR(AND(AO$5&gt;0,AO$5&gt;100),AND(AO$5&gt;0,AO$5&lt;100)),
VLOOKUP(FLOOR(('Final Term'!AO25/AO$5)*100,1),new_transmute,3,FALSE),
VLOOKUP('Final Term'!AO25,new_transmute,3,FALSE)
),
IF(Info!$B$4="Board program (Medicine)",
IF(OR(AND(AO$5&gt;0,AO$5&gt;100),AND(AO$5&gt;0,AO$5&lt;100)),
VLOOKUP(FLOOR(('Final Term'!AO25/AO$5)*100,1),new_transmute,4,FALSE),
VLOOKUP('Final Term'!AO25,new_transmute,4,FALSE)
),
""
)
)
)
)
)
)
)
)
))</f>
        <v/>
      </c>
      <c r="AP25" s="73" t="str">
        <f>IF($B25="","",
IF(AP$5="","",
IF('Final Term'!AP25="",0,
IF(NOT(ISNUMBER('Final Term'!AP25)),"NAN",
IF('Final Term'!AP25&lt;0,"NEG",
IF('Final Term'!AP25&gt;AP$5,"OVER",
IF(AND(AP$5&lt;=100,'Final Term'!AP25&gt;100),"ERR",
IF(Info!$B$4="Non-board program",
IF(OR(AND(AP$5&gt;0,AP$5&gt;100),AND(AP$5&gt;0,AP$5&lt;100)),
VLOOKUP(FLOOR(('Final Term'!AP25/AP$5)*100,1),new_transmute,2,FALSE),
VLOOKUP('Final Term'!AP25,new_transmute,2,FALSE)
),
IF(Info!$B$4="Board program",
IF(OR(AND(AP$5&gt;0,AP$5&gt;100),AND(AP$5&gt;0,AP$5&lt;100)),
VLOOKUP(FLOOR(('Final Term'!AP25/AP$5)*100,1),new_transmute,3,FALSE),
VLOOKUP('Final Term'!AP25,new_transmute,3,FALSE)
),
IF(Info!$B$4="Board program (Medicine)",
IF(OR(AND(AP$5&gt;0,AP$5&gt;100),AND(AP$5&gt;0,AP$5&lt;100)),
VLOOKUP(FLOOR(('Final Term'!AP25/AP$5)*100,1),new_transmute,4,FALSE),
VLOOKUP('Final Term'!AP25,new_transmute,4,FALSE)
),
""
)
)
)
)
)
)
)
)
))</f>
        <v/>
      </c>
      <c r="AQ25" s="61" t="str">
        <f t="shared" si="7"/>
        <v/>
      </c>
      <c r="AR25" s="48" t="str">
        <f>IF('Final Term'!AR25="","",'Final Term'!AR25)</f>
        <v/>
      </c>
      <c r="AS25" s="165" t="str">
        <f t="shared" si="8"/>
        <v/>
      </c>
      <c r="AT25" s="14" t="str">
        <f t="shared" si="0"/>
        <v/>
      </c>
      <c r="AU25" s="13" t="str">
        <f>IF(B25="","",VLOOKUP(AT25,'New Grade Equivalent'!$B$3:$C$47,2,FALSE))</f>
        <v/>
      </c>
    </row>
    <row r="26" spans="1:47" x14ac:dyDescent="0.25">
      <c r="A26" s="8">
        <v>21</v>
      </c>
      <c r="B26" s="2" t="str">
        <f>IF('Student List'!C30="","",UPPER(LEFT('Student List'!C30,FIND(",",'Student List'!C30)-1)))</f>
        <v/>
      </c>
      <c r="C26" s="12" t="str">
        <f>IF('Student List'!C30="","",PROPER(MID('Student List'!C30, FIND(",", 'Student List'!C30) + 2, LEN('Student List'!C30) - FIND(",", 'Student List'!C30) - 1)))</f>
        <v/>
      </c>
      <c r="D26" s="127" t="str">
        <f>IF('Final Term'!D26="","",'Final Term'!D26)</f>
        <v/>
      </c>
      <c r="E26" s="8" t="str">
        <f>IF(MidCom!E26="FA", "FA",
    IF(MidCom!E26="DRP", "DRP",
        IF(MidCom!E26="WF", "WF",
            IF(D26="Yes", "INC",
               IF((SUM('MT Attendance'!AW24) / 3 + SUM('MT Attendance'!AY24) + SUM('FT Attendance'!AW24) / 3 + SUM('FT Attendance'!AY24)) &gt;= 0.2 * (SUMPRODUCT(--(ISTEXT('MT Attendance'!$C$2:$AU$2))) + SUMPRODUCT(--(ISTEXT('FT Attendance'!$C$2:$AU$2)))), "FA",
                   MidCom!E26
                )
            )
        )
    )
)</f>
        <v/>
      </c>
      <c r="F26" s="73" t="str">
        <f>IF($B26="","",
IF(F$5="","",
IF('Final Term'!F26="",0,
IF(NOT(ISNUMBER('Final Term'!F26)),"NAN",
IF('Final Term'!F26&lt;0,"NEG",
IF('Final Term'!F26&gt;F$5,"OVER",
IF(AND(F$5&lt;=100,'Final Term'!F26&gt;100),"ERR",
IF(Info!$B$4="Non-board program",
IF(OR(AND(F$5&gt;0,F$5&gt;100),AND(F$5&gt;0,F$5&lt;100)),
VLOOKUP(FLOOR(('Final Term'!F26/F$5)*100,1),new_transmute,2,FALSE),
VLOOKUP('Final Term'!F26,new_transmute,2,FALSE)
),
IF(Info!$B$4="Board program",
IF(OR(AND(F$5&gt;0,F$5&gt;100),AND(F$5&gt;0,F$5&lt;100)),
VLOOKUP(FLOOR(('Final Term'!F26/F$5)*100,1),new_transmute,3,FALSE),
VLOOKUP('Final Term'!F26,new_transmute,3,FALSE)
),
IF(Info!$B$4="Board program (Medicine)",
IF(OR(AND(F$5&gt;0,F$5&gt;100),AND(F$5&gt;0,F$5&lt;100)),
VLOOKUP(FLOOR(('Final Term'!F26/F$5)*100,1),new_transmute,4,FALSE),
VLOOKUP('Final Term'!F26,new_transmute,4,FALSE)
),
""
)
)
)
)
)
)
)
)
))</f>
        <v/>
      </c>
      <c r="G26" s="57" t="str">
        <f t="shared" si="1"/>
        <v/>
      </c>
      <c r="H26" s="73" t="str">
        <f>IF($B26="","",
IF(H$5="","",
IF('Final Term'!H26="",0,
IF(NOT(ISNUMBER('Final Term'!H26)),"NAN",
IF('Final Term'!H26&lt;0,"NEG",
IF('Final Term'!H26&gt;H$5,"OVER",
IF(AND(H$5&lt;=100,'Final Term'!H26&gt;100),"ERR",
IF(Info!$B$4="Non-board program",
IF(OR(AND(H$5&gt;0,H$5&gt;100),AND(H$5&gt;0,H$5&lt;100)),
VLOOKUP(FLOOR(('Final Term'!H26/H$5)*100,1),new_transmute,2,FALSE),
VLOOKUP('Final Term'!H26,new_transmute,2,FALSE)
),
IF(Info!$B$4="Board program",
IF(OR(AND(H$5&gt;0,H$5&gt;100),AND(H$5&gt;0,H$5&lt;100)),
VLOOKUP(FLOOR(('Final Term'!H26/H$5)*100,1),new_transmute,3,FALSE),
VLOOKUP('Final Term'!H26,new_transmute,3,FALSE)
),
IF(Info!$B$4="Board program (Medicine)",
IF(OR(AND(H$5&gt;0,H$5&gt;100),AND(H$5&gt;0,H$5&lt;100)),
VLOOKUP(FLOOR(('Final Term'!H26/H$5)*100,1),new_transmute,4,FALSE),
VLOOKUP('Final Term'!H26,new_transmute,4,FALSE)
),
""
)
)
)
)
)
)
)
)
))</f>
        <v/>
      </c>
      <c r="I26" s="73" t="str">
        <f>IF($B26="","",
IF(I$5="","",
IF('Final Term'!I26="",0,
IF(NOT(ISNUMBER('Final Term'!I26)),"NAN",
IF('Final Term'!I26&lt;0,"NEG",
IF('Final Term'!I26&gt;I$5,"OVER",
IF(AND(I$5&lt;=100,'Final Term'!I26&gt;100),"ERR",
IF(Info!$B$4="Non-board program",
IF(OR(AND(I$5&gt;0,I$5&gt;100),AND(I$5&gt;0,I$5&lt;100)),
VLOOKUP(FLOOR(('Final Term'!I26/I$5)*100,1),new_transmute,2,FALSE),
VLOOKUP('Final Term'!I26,new_transmute,2,FALSE)
),
IF(Info!$B$4="Board program",
IF(OR(AND(I$5&gt;0,I$5&gt;100),AND(I$5&gt;0,I$5&lt;100)),
VLOOKUP(FLOOR(('Final Term'!I26/I$5)*100,1),new_transmute,3,FALSE),
VLOOKUP('Final Term'!I26,new_transmute,3,FALSE)
),
IF(Info!$B$4="Board program (Medicine)",
IF(OR(AND(I$5&gt;0,I$5&gt;100),AND(I$5&gt;0,I$5&lt;100)),
VLOOKUP(FLOOR(('Final Term'!I26/I$5)*100,1),new_transmute,4,FALSE),
VLOOKUP('Final Term'!I26,new_transmute,4,FALSE)
),
""
)
)
)
)
)
)
)
)
))</f>
        <v/>
      </c>
      <c r="J26" s="73" t="str">
        <f>IF($B26="","",
IF(J$5="","",
IF('Final Term'!J26="",0,
IF(NOT(ISNUMBER('Final Term'!J26)),"NAN",
IF('Final Term'!J26&lt;0,"NEG",
IF('Final Term'!J26&gt;J$5,"OVER",
IF(AND(J$5&lt;=100,'Final Term'!J26&gt;100),"ERR",
IF(Info!$B$4="Non-board program",
IF(OR(AND(J$5&gt;0,J$5&gt;100),AND(J$5&gt;0,J$5&lt;100)),
VLOOKUP(FLOOR(('Final Term'!J26/J$5)*100,1),new_transmute,2,FALSE),
VLOOKUP('Final Term'!J26,new_transmute,2,FALSE)
),
IF(Info!$B$4="Board program",
IF(OR(AND(J$5&gt;0,J$5&gt;100),AND(J$5&gt;0,J$5&lt;100)),
VLOOKUP(FLOOR(('Final Term'!J26/J$5)*100,1),new_transmute,3,FALSE),
VLOOKUP('Final Term'!J26,new_transmute,3,FALSE)
),
IF(Info!$B$4="Board program (Medicine)",
IF(OR(AND(J$5&gt;0,J$5&gt;100),AND(J$5&gt;0,J$5&lt;100)),
VLOOKUP(FLOOR(('Final Term'!J26/J$5)*100,1),new_transmute,4,FALSE),
VLOOKUP('Final Term'!J26,new_transmute,4,FALSE)
),
""
)
)
)
)
)
)
)
)
))</f>
        <v/>
      </c>
      <c r="K26" s="73" t="str">
        <f>IF($B26="","",
IF(K$5="","",
IF('Final Term'!K26="",0,
IF(NOT(ISNUMBER('Final Term'!K26)),"NAN",
IF('Final Term'!K26&lt;0,"NEG",
IF('Final Term'!K26&gt;K$5,"OVER",
IF(AND(K$5&lt;=100,'Final Term'!K26&gt;100),"ERR",
IF(Info!$B$4="Non-board program",
IF(OR(AND(K$5&gt;0,K$5&gt;100),AND(K$5&gt;0,K$5&lt;100)),
VLOOKUP(FLOOR(('Final Term'!K26/K$5)*100,1),new_transmute,2,FALSE),
VLOOKUP('Final Term'!K26,new_transmute,2,FALSE)
),
IF(Info!$B$4="Board program",
IF(OR(AND(K$5&gt;0,K$5&gt;100),AND(K$5&gt;0,K$5&lt;100)),
VLOOKUP(FLOOR(('Final Term'!K26/K$5)*100,1),new_transmute,3,FALSE),
VLOOKUP('Final Term'!K26,new_transmute,3,FALSE)
),
IF(Info!$B$4="Board program (Medicine)",
IF(OR(AND(K$5&gt;0,K$5&gt;100),AND(K$5&gt;0,K$5&lt;100)),
VLOOKUP(FLOOR(('Final Term'!K26/K$5)*100,1),new_transmute,4,FALSE),
VLOOKUP('Final Term'!K26,new_transmute,4,FALSE)
),
""
)
)
)
)
)
)
)
)
))</f>
        <v/>
      </c>
      <c r="L26" s="73" t="str">
        <f>IF($B26="","",
IF(L$5="","",
IF('Final Term'!L26="",0,
IF(NOT(ISNUMBER('Final Term'!L26)),"NAN",
IF('Final Term'!L26&lt;0,"NEG",
IF('Final Term'!L26&gt;L$5,"OVER",
IF(AND(L$5&lt;=100,'Final Term'!L26&gt;100),"ERR",
IF(Info!$B$4="Non-board program",
IF(OR(AND(L$5&gt;0,L$5&gt;100),AND(L$5&gt;0,L$5&lt;100)),
VLOOKUP(FLOOR(('Final Term'!L26/L$5)*100,1),new_transmute,2,FALSE),
VLOOKUP('Final Term'!L26,new_transmute,2,FALSE)
),
IF(Info!$B$4="Board program",
IF(OR(AND(L$5&gt;0,L$5&gt;100),AND(L$5&gt;0,L$5&lt;100)),
VLOOKUP(FLOOR(('Final Term'!L26/L$5)*100,1),new_transmute,3,FALSE),
VLOOKUP('Final Term'!L26,new_transmute,3,FALSE)
),
IF(Info!$B$4="Board program (Medicine)",
IF(OR(AND(L$5&gt;0,L$5&gt;100),AND(L$5&gt;0,L$5&lt;100)),
VLOOKUP(FLOOR(('Final Term'!L26/L$5)*100,1),new_transmute,4,FALSE),
VLOOKUP('Final Term'!L26,new_transmute,4,FALSE)
),
""
)
)
)
)
)
)
)
)
))</f>
        <v/>
      </c>
      <c r="M26" s="111" t="str">
        <f t="shared" si="2"/>
        <v/>
      </c>
      <c r="N26" s="73" t="str">
        <f>IF($B26="","",
IF(N$5="","",
IF('Final Term'!N26="",0,
IF(NOT(ISNUMBER('Final Term'!N26)),"NAN",
IF('Final Term'!N26&lt;0,"NEG",
IF('Final Term'!N26&gt;N$5,"OVER",
IF(AND(N$5&lt;=100,'Final Term'!N26&gt;100),"ERR",
IF(Info!$B$4="Non-board program",
IF(OR(AND(N$5&gt;0,N$5&gt;100),AND(N$5&gt;0,N$5&lt;100)),
VLOOKUP(FLOOR(('Final Term'!N26/N$5)*100,1),new_transmute,2,FALSE),
VLOOKUP('Final Term'!N26,new_transmute,2,FALSE)
),
IF(Info!$B$4="Board program",
IF(OR(AND(N$5&gt;0,N$5&gt;100),AND(N$5&gt;0,N$5&lt;100)),
VLOOKUP(FLOOR(('Final Term'!N26/N$5)*100,1),new_transmute,3,FALSE),
VLOOKUP('Final Term'!N26,new_transmute,3,FALSE)
),
IF(Info!$B$4="Board program (Medicine)",
IF(OR(AND(N$5&gt;0,N$5&gt;100),AND(N$5&gt;0,N$5&lt;100)),
VLOOKUP(FLOOR(('Final Term'!N26/N$5)*100,1),new_transmute,4,FALSE),
VLOOKUP('Final Term'!N26,new_transmute,4,FALSE)
),
""
)
)
)
)
)
)
)
)
))</f>
        <v/>
      </c>
      <c r="O26" s="73" t="str">
        <f>IF($B26="","",
IF(O$5="","",
IF('Final Term'!O26="",0,
IF(NOT(ISNUMBER('Final Term'!O26)),"NAN",
IF('Final Term'!O26&lt;0,"NEG",
IF('Final Term'!O26&gt;O$5,"OVER",
IF(AND(O$5&lt;=100,'Final Term'!O26&gt;100),"ERR",
IF(Info!$B$4="Non-board program",
IF(OR(AND(O$5&gt;0,O$5&gt;100),AND(O$5&gt;0,O$5&lt;100)),
VLOOKUP(FLOOR(('Final Term'!O26/O$5)*100,1),new_transmute,2,FALSE),
VLOOKUP('Final Term'!O26,new_transmute,2,FALSE)
),
IF(Info!$B$4="Board program",
IF(OR(AND(O$5&gt;0,O$5&gt;100),AND(O$5&gt;0,O$5&lt;100)),
VLOOKUP(FLOOR(('Final Term'!O26/O$5)*100,1),new_transmute,3,FALSE),
VLOOKUP('Final Term'!O26,new_transmute,3,FALSE)
),
IF(Info!$B$4="Board program (Medicine)",
IF(OR(AND(O$5&gt;0,O$5&gt;100),AND(O$5&gt;0,O$5&lt;100)),
VLOOKUP(FLOOR(('Final Term'!O26/O$5)*100,1),new_transmute,4,FALSE),
VLOOKUP('Final Term'!O26,new_transmute,4,FALSE)
),
""
)
)
)
)
)
)
)
)
))</f>
        <v/>
      </c>
      <c r="P26" s="73" t="str">
        <f>IF($B26="","",
IF(P$5="","",
IF('Final Term'!P26="",0,
IF(NOT(ISNUMBER('Final Term'!P26)),"NAN",
IF('Final Term'!P26&lt;0,"NEG",
IF('Final Term'!P26&gt;P$5,"OVER",
IF(AND(P$5&lt;=100,'Final Term'!P26&gt;100),"ERR",
IF(Info!$B$4="Non-board program",
IF(OR(AND(P$5&gt;0,P$5&gt;100),AND(P$5&gt;0,P$5&lt;100)),
VLOOKUP(FLOOR(('Final Term'!P26/P$5)*100,1),new_transmute,2,FALSE),
VLOOKUP('Final Term'!P26,new_transmute,2,FALSE)
),
IF(Info!$B$4="Board program",
IF(OR(AND(P$5&gt;0,P$5&gt;100),AND(P$5&gt;0,P$5&lt;100)),
VLOOKUP(FLOOR(('Final Term'!P26/P$5)*100,1),new_transmute,3,FALSE),
VLOOKUP('Final Term'!P26,new_transmute,3,FALSE)
),
IF(Info!$B$4="Board program (Medicine)",
IF(OR(AND(P$5&gt;0,P$5&gt;100),AND(P$5&gt;0,P$5&lt;100)),
VLOOKUP(FLOOR(('Final Term'!P26/P$5)*100,1),new_transmute,4,FALSE),
VLOOKUP('Final Term'!P26,new_transmute,4,FALSE)
),
""
)
)
)
)
)
)
)
)
))</f>
        <v/>
      </c>
      <c r="Q26" s="73" t="str">
        <f>IF($B26="","",
IF(Q$5="","",
IF('Final Term'!Q26="",0,
IF(NOT(ISNUMBER('Final Term'!Q26)),"NAN",
IF('Final Term'!Q26&lt;0,"NEG",
IF('Final Term'!Q26&gt;Q$5,"OVER",
IF(AND(Q$5&lt;=100,'Final Term'!Q26&gt;100),"ERR",
IF(Info!$B$4="Non-board program",
IF(OR(AND(Q$5&gt;0,Q$5&gt;100),AND(Q$5&gt;0,Q$5&lt;100)),
VLOOKUP(FLOOR(('Final Term'!Q26/Q$5)*100,1),new_transmute,2,FALSE),
VLOOKUP('Final Term'!Q26,new_transmute,2,FALSE)
),
IF(Info!$B$4="Board program",
IF(OR(AND(Q$5&gt;0,Q$5&gt;100),AND(Q$5&gt;0,Q$5&lt;100)),
VLOOKUP(FLOOR(('Final Term'!Q26/Q$5)*100,1),new_transmute,3,FALSE),
VLOOKUP('Final Term'!Q26,new_transmute,3,FALSE)
),
IF(Info!$B$4="Board program (Medicine)",
IF(OR(AND(Q$5&gt;0,Q$5&gt;100),AND(Q$5&gt;0,Q$5&lt;100)),
VLOOKUP(FLOOR(('Final Term'!Q26/Q$5)*100,1),new_transmute,4,FALSE),
VLOOKUP('Final Term'!Q26,new_transmute,4,FALSE)
),
""
)
)
)
)
)
)
)
)
))</f>
        <v/>
      </c>
      <c r="R26" s="73" t="str">
        <f>IF($B26="","",
IF(R$5="","",
IF('Final Term'!R26="",0,
IF(NOT(ISNUMBER('Final Term'!R26)),"NAN",
IF('Final Term'!R26&lt;0,"NEG",
IF('Final Term'!R26&gt;R$5,"OVER",
IF(AND(R$5&lt;=100,'Final Term'!R26&gt;100),"ERR",
IF(Info!$B$4="Non-board program",
IF(OR(AND(R$5&gt;0,R$5&gt;100),AND(R$5&gt;0,R$5&lt;100)),
VLOOKUP(FLOOR(('Final Term'!R26/R$5)*100,1),new_transmute,2,FALSE),
VLOOKUP('Final Term'!R26,new_transmute,2,FALSE)
),
IF(Info!$B$4="Board program",
IF(OR(AND(R$5&gt;0,R$5&gt;100),AND(R$5&gt;0,R$5&lt;100)),
VLOOKUP(FLOOR(('Final Term'!R26/R$5)*100,1),new_transmute,3,FALSE),
VLOOKUP('Final Term'!R26,new_transmute,3,FALSE)
),
IF(Info!$B$4="Board program (Medicine)",
IF(OR(AND(R$5&gt;0,R$5&gt;100),AND(R$5&gt;0,R$5&lt;100)),
VLOOKUP(FLOOR(('Final Term'!R26/R$5)*100,1),new_transmute,4,FALSE),
VLOOKUP('Final Term'!R26,new_transmute,4,FALSE)
),
""
)
)
)
)
)
)
)
)
))</f>
        <v/>
      </c>
      <c r="S26" s="115" t="str">
        <f t="shared" si="3"/>
        <v/>
      </c>
      <c r="T26" s="73" t="str">
        <f>IF($B26="","",
IF(T$5="","",
IF('Final Term'!T26="",0,
IF(NOT(ISNUMBER('Final Term'!T26)),"NAN",
IF('Final Term'!T26&lt;0,"NEG",
IF('Final Term'!T26&gt;T$5,"OVER",
IF(AND(T$5&lt;=100,'Final Term'!T26&gt;100),"ERR",
IF(Info!$B$4="Non-board program",
IF(OR(AND(T$5&gt;0,T$5&gt;100),AND(T$5&gt;0,T$5&lt;100)),
VLOOKUP(FLOOR(('Final Term'!T26/T$5)*100,1),new_transmute,2,FALSE),
VLOOKUP('Final Term'!T26,new_transmute,2,FALSE)
),
IF(Info!$B$4="Board program",
IF(OR(AND(T$5&gt;0,T$5&gt;100),AND(T$5&gt;0,T$5&lt;100)),
VLOOKUP(FLOOR(('Final Term'!T26/T$5)*100,1),new_transmute,3,FALSE),
VLOOKUP('Final Term'!T26,new_transmute,3,FALSE)
),
IF(Info!$B$4="Board program (Medicine)",
IF(OR(AND(T$5&gt;0,T$5&gt;100),AND(T$5&gt;0,T$5&lt;100)),
VLOOKUP(FLOOR(('Final Term'!T26/T$5)*100,1),new_transmute,4,FALSE),
VLOOKUP('Final Term'!T26,new_transmute,4,FALSE)
),
""
)
)
)
)
)
)
)
)
))</f>
        <v/>
      </c>
      <c r="U26" s="73" t="str">
        <f>IF($B26="","",
IF(U$5="","",
IF('Final Term'!U26="",0,
IF(NOT(ISNUMBER('Final Term'!U26)),"NAN",
IF('Final Term'!U26&lt;0,"NEG",
IF('Final Term'!U26&gt;U$5,"OVER",
IF(AND(U$5&lt;=100,'Final Term'!U26&gt;100),"ERR",
IF(Info!$B$4="Non-board program",
IF(OR(AND(U$5&gt;0,U$5&gt;100),AND(U$5&gt;0,U$5&lt;100)),
VLOOKUP(FLOOR(('Final Term'!U26/U$5)*100,1),new_transmute,2,FALSE),
VLOOKUP('Final Term'!U26,new_transmute,2,FALSE)
),
IF(Info!$B$4="Board program",
IF(OR(AND(U$5&gt;0,U$5&gt;100),AND(U$5&gt;0,U$5&lt;100)),
VLOOKUP(FLOOR(('Final Term'!U26/U$5)*100,1),new_transmute,3,FALSE),
VLOOKUP('Final Term'!U26,new_transmute,3,FALSE)
),
IF(Info!$B$4="Board program (Medicine)",
IF(OR(AND(U$5&gt;0,U$5&gt;100),AND(U$5&gt;0,U$5&lt;100)),
VLOOKUP(FLOOR(('Final Term'!U26/U$5)*100,1),new_transmute,4,FALSE),
VLOOKUP('Final Term'!U26,new_transmute,4,FALSE)
),
""
)
)
)
)
)
)
)
)
))</f>
        <v/>
      </c>
      <c r="V26" s="73" t="str">
        <f>IF($B26="","",
IF(V$5="","",
IF('Final Term'!V26="",0,
IF(NOT(ISNUMBER('Final Term'!V26)),"NAN",
IF('Final Term'!V26&lt;0,"NEG",
IF('Final Term'!V26&gt;V$5,"OVER",
IF(AND(V$5&lt;=100,'Final Term'!V26&gt;100),"ERR",
IF(Info!$B$4="Non-board program",
IF(OR(AND(V$5&gt;0,V$5&gt;100),AND(V$5&gt;0,V$5&lt;100)),
VLOOKUP(FLOOR(('Final Term'!V26/V$5)*100,1),new_transmute,2,FALSE),
VLOOKUP('Final Term'!V26,new_transmute,2,FALSE)
),
IF(Info!$B$4="Board program",
IF(OR(AND(V$5&gt;0,V$5&gt;100),AND(V$5&gt;0,V$5&lt;100)),
VLOOKUP(FLOOR(('Final Term'!V26/V$5)*100,1),new_transmute,3,FALSE),
VLOOKUP('Final Term'!V26,new_transmute,3,FALSE)
),
IF(Info!$B$4="Board program (Medicine)",
IF(OR(AND(V$5&gt;0,V$5&gt;100),AND(V$5&gt;0,V$5&lt;100)),
VLOOKUP(FLOOR(('Final Term'!V26/V$5)*100,1),new_transmute,4,FALSE),
VLOOKUP('Final Term'!V26,new_transmute,4,FALSE)
),
""
)
)
)
)
)
)
)
)
))</f>
        <v/>
      </c>
      <c r="W26" s="73" t="str">
        <f>IF($B26="","",
IF(W$5="","",
IF('Final Term'!W26="",0,
IF(NOT(ISNUMBER('Final Term'!W26)),"NAN",
IF('Final Term'!W26&lt;0,"NEG",
IF('Final Term'!W26&gt;W$5,"OVER",
IF(AND(W$5&lt;=100,'Final Term'!W26&gt;100),"ERR",
IF(Info!$B$4="Non-board program",
IF(OR(AND(W$5&gt;0,W$5&gt;100),AND(W$5&gt;0,W$5&lt;100)),
VLOOKUP(FLOOR(('Final Term'!W26/W$5)*100,1),new_transmute,2,FALSE),
VLOOKUP('Final Term'!W26,new_transmute,2,FALSE)
),
IF(Info!$B$4="Board program",
IF(OR(AND(W$5&gt;0,W$5&gt;100),AND(W$5&gt;0,W$5&lt;100)),
VLOOKUP(FLOOR(('Final Term'!W26/W$5)*100,1),new_transmute,3,FALSE),
VLOOKUP('Final Term'!W26,new_transmute,3,FALSE)
),
IF(Info!$B$4="Board program (Medicine)",
IF(OR(AND(W$5&gt;0,W$5&gt;100),AND(W$5&gt;0,W$5&lt;100)),
VLOOKUP(FLOOR(('Final Term'!W26/W$5)*100,1),new_transmute,4,FALSE),
VLOOKUP('Final Term'!W26,new_transmute,4,FALSE)
),
""
)
)
)
)
)
)
)
)
))</f>
        <v/>
      </c>
      <c r="X26" s="73" t="str">
        <f>IF($B26="","",
IF(X$5="","",
IF('Final Term'!X26="",0,
IF(NOT(ISNUMBER('Final Term'!X26)),"NAN",
IF('Final Term'!X26&lt;0,"NEG",
IF('Final Term'!X26&gt;X$5,"OVER",
IF(AND(X$5&lt;=100,'Final Term'!X26&gt;100),"ERR",
IF(Info!$B$4="Non-board program",
IF(OR(AND(X$5&gt;0,X$5&gt;100),AND(X$5&gt;0,X$5&lt;100)),
VLOOKUP(FLOOR(('Final Term'!X26/X$5)*100,1),new_transmute,2,FALSE),
VLOOKUP('Final Term'!X26,new_transmute,2,FALSE)
),
IF(Info!$B$4="Board program",
IF(OR(AND(X$5&gt;0,X$5&gt;100),AND(X$5&gt;0,X$5&lt;100)),
VLOOKUP(FLOOR(('Final Term'!X26/X$5)*100,1),new_transmute,3,FALSE),
VLOOKUP('Final Term'!X26,new_transmute,3,FALSE)
),
IF(Info!$B$4="Board program (Medicine)",
IF(OR(AND(X$5&gt;0,X$5&gt;100),AND(X$5&gt;0,X$5&lt;100)),
VLOOKUP(FLOOR(('Final Term'!X26/X$5)*100,1),new_transmute,4,FALSE),
VLOOKUP('Final Term'!X26,new_transmute,4,FALSE)
),
""
)
)
)
)
)
)
)
)
))</f>
        <v/>
      </c>
      <c r="Y26" s="112" t="str">
        <f t="shared" si="4"/>
        <v/>
      </c>
      <c r="Z26" s="73" t="str">
        <f>IF($B26="","",
IF(Z$5="","",
IF('Final Term'!Z26="",0,
IF(NOT(ISNUMBER('Final Term'!Z26)),"NAN",
IF('Final Term'!Z26&lt;0,"NEG",
IF('Final Term'!Z26&gt;Z$5,"OVER",
IF(AND(Z$5&lt;=100,'Final Term'!Z26&gt;100),"ERR",
IF(Info!$B$4="Non-board program",
IF(OR(AND(Z$5&gt;0,Z$5&gt;100),AND(Z$5&gt;0,Z$5&lt;100)),
VLOOKUP(FLOOR(('Final Term'!Z26/Z$5)*100,1),new_transmute,2,FALSE),
VLOOKUP('Final Term'!Z26,new_transmute,2,FALSE)
),
IF(Info!$B$4="Board program",
IF(OR(AND(Z$5&gt;0,Z$5&gt;100),AND(Z$5&gt;0,Z$5&lt;100)),
VLOOKUP(FLOOR(('Final Term'!Z26/Z$5)*100,1),new_transmute,3,FALSE),
VLOOKUP('Final Term'!Z26,new_transmute,3,FALSE)
),
IF(Info!$B$4="Board program (Medicine)",
IF(OR(AND(Z$5&gt;0,Z$5&gt;100),AND(Z$5&gt;0,Z$5&lt;100)),
VLOOKUP(FLOOR(('Final Term'!Z26/Z$5)*100,1),new_transmute,4,FALSE),
VLOOKUP('Final Term'!Z26,new_transmute,4,FALSE)
),
""
)
)
)
)
)
)
)
)
))</f>
        <v/>
      </c>
      <c r="AA26" s="73" t="str">
        <f>IF($B26="","",
IF(AA$5="","",
IF('Final Term'!AA26="",0,
IF(NOT(ISNUMBER('Final Term'!AA26)),"NAN",
IF('Final Term'!AA26&lt;0,"NEG",
IF('Final Term'!AA26&gt;AA$5,"OVER",
IF(AND(AA$5&lt;=100,'Final Term'!AA26&gt;100),"ERR",
IF(Info!$B$4="Non-board program",
IF(OR(AND(AA$5&gt;0,AA$5&gt;100),AND(AA$5&gt;0,AA$5&lt;100)),
VLOOKUP(FLOOR(('Final Term'!AA26/AA$5)*100,1),new_transmute,2,FALSE),
VLOOKUP('Final Term'!AA26,new_transmute,2,FALSE)
),
IF(Info!$B$4="Board program",
IF(OR(AND(AA$5&gt;0,AA$5&gt;100),AND(AA$5&gt;0,AA$5&lt;100)),
VLOOKUP(FLOOR(('Final Term'!AA26/AA$5)*100,1),new_transmute,3,FALSE),
VLOOKUP('Final Term'!AA26,new_transmute,3,FALSE)
),
IF(Info!$B$4="Board program (Medicine)",
IF(OR(AND(AA$5&gt;0,AA$5&gt;100),AND(AA$5&gt;0,AA$5&lt;100)),
VLOOKUP(FLOOR(('Final Term'!AA26/AA$5)*100,1),new_transmute,4,FALSE),
VLOOKUP('Final Term'!AA26,new_transmute,4,FALSE)
),
""
)
)
)
)
)
)
)
)
))</f>
        <v/>
      </c>
      <c r="AB26" s="73" t="str">
        <f>IF($B26="","",
IF(AB$5="","",
IF('Final Term'!AB26="",0,
IF(NOT(ISNUMBER('Final Term'!AB26)),"NAN",
IF('Final Term'!AB26&lt;0,"NEG",
IF('Final Term'!AB26&gt;AB$5,"OVER",
IF(AND(AB$5&lt;=100,'Final Term'!AB26&gt;100),"ERR",
IF(Info!$B$4="Non-board program",
IF(OR(AND(AB$5&gt;0,AB$5&gt;100),AND(AB$5&gt;0,AB$5&lt;100)),
VLOOKUP(FLOOR(('Final Term'!AB26/AB$5)*100,1),new_transmute,2,FALSE),
VLOOKUP('Final Term'!AB26,new_transmute,2,FALSE)
),
IF(Info!$B$4="Board program",
IF(OR(AND(AB$5&gt;0,AB$5&gt;100),AND(AB$5&gt;0,AB$5&lt;100)),
VLOOKUP(FLOOR(('Final Term'!AB26/AB$5)*100,1),new_transmute,3,FALSE),
VLOOKUP('Final Term'!AB26,new_transmute,3,FALSE)
),
IF(Info!$B$4="Board program (Medicine)",
IF(OR(AND(AB$5&gt;0,AB$5&gt;100),AND(AB$5&gt;0,AB$5&lt;100)),
VLOOKUP(FLOOR(('Final Term'!AB26/AB$5)*100,1),new_transmute,4,FALSE),
VLOOKUP('Final Term'!AB26,new_transmute,4,FALSE)
),
""
)
)
)
)
)
)
)
)
))</f>
        <v/>
      </c>
      <c r="AC26" s="73" t="str">
        <f>IF($B26="","",
IF(AC$5="","",
IF('Final Term'!AC26="",0,
IF(NOT(ISNUMBER('Final Term'!AC26)),"NAN",
IF('Final Term'!AC26&lt;0,"NEG",
IF('Final Term'!AC26&gt;AC$5,"OVER",
IF(AND(AC$5&lt;=100,'Final Term'!AC26&gt;100),"ERR",
IF(Info!$B$4="Non-board program",
IF(OR(AND(AC$5&gt;0,AC$5&gt;100),AND(AC$5&gt;0,AC$5&lt;100)),
VLOOKUP(FLOOR(('Final Term'!AC26/AC$5)*100,1),new_transmute,2,FALSE),
VLOOKUP('Final Term'!AC26,new_transmute,2,FALSE)
),
IF(Info!$B$4="Board program",
IF(OR(AND(AC$5&gt;0,AC$5&gt;100),AND(AC$5&gt;0,AC$5&lt;100)),
VLOOKUP(FLOOR(('Final Term'!AC26/AC$5)*100,1),new_transmute,3,FALSE),
VLOOKUP('Final Term'!AC26,new_transmute,3,FALSE)
),
IF(Info!$B$4="Board program (Medicine)",
IF(OR(AND(AC$5&gt;0,AC$5&gt;100),AND(AC$5&gt;0,AC$5&lt;100)),
VLOOKUP(FLOOR(('Final Term'!AC26/AC$5)*100,1),new_transmute,4,FALSE),
VLOOKUP('Final Term'!AC26,new_transmute,4,FALSE)
),
""
)
)
)
)
)
)
)
)
))</f>
        <v/>
      </c>
      <c r="AD26" s="73" t="str">
        <f>IF($B26="","",
IF(AD$5="","",
IF('Final Term'!AD26="",0,
IF(NOT(ISNUMBER('Final Term'!AD26)),"NAN",
IF('Final Term'!AD26&lt;0,"NEG",
IF('Final Term'!AD26&gt;AD$5,"OVER",
IF(AND(AD$5&lt;=100,'Final Term'!AD26&gt;100),"ERR",
IF(Info!$B$4="Non-board program",
IF(OR(AND(AD$5&gt;0,AD$5&gt;100),AND(AD$5&gt;0,AD$5&lt;100)),
VLOOKUP(FLOOR(('Final Term'!AD26/AD$5)*100,1),new_transmute,2,FALSE),
VLOOKUP('Final Term'!AD26,new_transmute,2,FALSE)
),
IF(Info!$B$4="Board program",
IF(OR(AND(AD$5&gt;0,AD$5&gt;100),AND(AD$5&gt;0,AD$5&lt;100)),
VLOOKUP(FLOOR(('Final Term'!AD26/AD$5)*100,1),new_transmute,3,FALSE),
VLOOKUP('Final Term'!AD26,new_transmute,3,FALSE)
),
IF(Info!$B$4="Board program (Medicine)",
IF(OR(AND(AD$5&gt;0,AD$5&gt;100),AND(AD$5&gt;0,AD$5&lt;100)),
VLOOKUP(FLOOR(('Final Term'!AD26/AD$5)*100,1),new_transmute,4,FALSE),
VLOOKUP('Final Term'!AD26,new_transmute,4,FALSE)
),
""
)
)
)
)
)
)
)
)
))</f>
        <v/>
      </c>
      <c r="AE26" s="58" t="str">
        <f t="shared" si="5"/>
        <v/>
      </c>
      <c r="AF26" s="73" t="str">
        <f>IF($B26="","",
IF(AF$5="","",
IF('Final Term'!AF26="",0,
IF(NOT(ISNUMBER('Final Term'!AF26)),"NAN",
IF('Final Term'!AF26&lt;0,"NEG",
IF('Final Term'!AF26&gt;AF$5,"OVER",
IF(AND(AF$5&lt;=100,'Final Term'!AF26&gt;100),"ERR",
IF(Info!$B$4="Non-board program",
IF(OR(AND(AF$5&gt;0,AF$5&gt;100),AND(AF$5&gt;0,AF$5&lt;100)),
VLOOKUP(FLOOR(('Final Term'!AF26/AF$5)*100,1),new_transmute,2,FALSE),
VLOOKUP('Final Term'!AF26,new_transmute,2,FALSE)
),
IF(Info!$B$4="Board program",
IF(OR(AND(AF$5&gt;0,AF$5&gt;100),AND(AF$5&gt;0,AF$5&lt;100)),
VLOOKUP(FLOOR(('Final Term'!AF26/AF$5)*100,1),new_transmute,3,FALSE),
VLOOKUP('Final Term'!AF26,new_transmute,3,FALSE)
),
IF(Info!$B$4="Board program (Medicine)",
IF(OR(AND(AF$5&gt;0,AF$5&gt;100),AND(AF$5&gt;0,AF$5&lt;100)),
VLOOKUP(FLOOR(('Final Term'!AF26/AF$5)*100,1),new_transmute,4,FALSE),
VLOOKUP('Final Term'!AF26,new_transmute,4,FALSE)
),
""
)
)
)
)
)
)
)
)
))</f>
        <v/>
      </c>
      <c r="AG26" s="73" t="str">
        <f>IF($B26="","",
IF(AG$5="","",
IF('Final Term'!AG26="",0,
IF(NOT(ISNUMBER('Final Term'!AG26)),"NAN",
IF('Final Term'!AG26&lt;0,"NEG",
IF('Final Term'!AG26&gt;AG$5,"OVER",
IF(AND(AG$5&lt;=100,'Final Term'!AG26&gt;100),"ERR",
IF(Info!$B$4="Non-board program",
IF(OR(AND(AG$5&gt;0,AG$5&gt;100),AND(AG$5&gt;0,AG$5&lt;100)),
VLOOKUP(FLOOR(('Final Term'!AG26/AG$5)*100,1),new_transmute,2,FALSE),
VLOOKUP('Final Term'!AG26,new_transmute,2,FALSE)
),
IF(Info!$B$4="Board program",
IF(OR(AND(AG$5&gt;0,AG$5&gt;100),AND(AG$5&gt;0,AG$5&lt;100)),
VLOOKUP(FLOOR(('Final Term'!AG26/AG$5)*100,1),new_transmute,3,FALSE),
VLOOKUP('Final Term'!AG26,new_transmute,3,FALSE)
),
IF(Info!$B$4="Board program (Medicine)",
IF(OR(AND(AG$5&gt;0,AG$5&gt;100),AND(AG$5&gt;0,AG$5&lt;100)),
VLOOKUP(FLOOR(('Final Term'!AG26/AG$5)*100,1),new_transmute,4,FALSE),
VLOOKUP('Final Term'!AG26,new_transmute,4,FALSE)
),
""
)
)
)
)
)
)
)
)
))</f>
        <v/>
      </c>
      <c r="AH26" s="73" t="str">
        <f>IF($B26="","",
IF(AH$5="","",
IF('Final Term'!AH26="",0,
IF(NOT(ISNUMBER('Final Term'!AH26)),"NAN",
IF('Final Term'!AH26&lt;0,"NEG",
IF('Final Term'!AH26&gt;AH$5,"OVER",
IF(AND(AH$5&lt;=100,'Final Term'!AH26&gt;100),"ERR",
IF(Info!$B$4="Non-board program",
IF(OR(AND(AH$5&gt;0,AH$5&gt;100),AND(AH$5&gt;0,AH$5&lt;100)),
VLOOKUP(FLOOR(('Final Term'!AH26/AH$5)*100,1),new_transmute,2,FALSE),
VLOOKUP('Final Term'!AH26,new_transmute,2,FALSE)
),
IF(Info!$B$4="Board program",
IF(OR(AND(AH$5&gt;0,AH$5&gt;100),AND(AH$5&gt;0,AH$5&lt;100)),
VLOOKUP(FLOOR(('Final Term'!AH26/AH$5)*100,1),new_transmute,3,FALSE),
VLOOKUP('Final Term'!AH26,new_transmute,3,FALSE)
),
IF(Info!$B$4="Board program (Medicine)",
IF(OR(AND(AH$5&gt;0,AH$5&gt;100),AND(AH$5&gt;0,AH$5&lt;100)),
VLOOKUP(FLOOR(('Final Term'!AH26/AH$5)*100,1),new_transmute,4,FALSE),
VLOOKUP('Final Term'!AH26,new_transmute,4,FALSE)
),
""
)
)
)
)
)
)
)
)
))</f>
        <v/>
      </c>
      <c r="AI26" s="73" t="str">
        <f>IF($B26="","",
IF(AI$5="","",
IF('Final Term'!AI26="",0,
IF(NOT(ISNUMBER('Final Term'!AI26)),"NAN",
IF('Final Term'!AI26&lt;0,"NEG",
IF('Final Term'!AI26&gt;AI$5,"OVER",
IF(AND(AI$5&lt;=100,'Final Term'!AI26&gt;100),"ERR",
IF(Info!$B$4="Non-board program",
IF(OR(AND(AI$5&gt;0,AI$5&gt;100),AND(AI$5&gt;0,AI$5&lt;100)),
VLOOKUP(FLOOR(('Final Term'!AI26/AI$5)*100,1),new_transmute,2,FALSE),
VLOOKUP('Final Term'!AI26,new_transmute,2,FALSE)
),
IF(Info!$B$4="Board program",
IF(OR(AND(AI$5&gt;0,AI$5&gt;100),AND(AI$5&gt;0,AI$5&lt;100)),
VLOOKUP(FLOOR(('Final Term'!AI26/AI$5)*100,1),new_transmute,3,FALSE),
VLOOKUP('Final Term'!AI26,new_transmute,3,FALSE)
),
IF(Info!$B$4="Board program (Medicine)",
IF(OR(AND(AI$5&gt;0,AI$5&gt;100),AND(AI$5&gt;0,AI$5&lt;100)),
VLOOKUP(FLOOR(('Final Term'!AI26/AI$5)*100,1),new_transmute,4,FALSE),
VLOOKUP('Final Term'!AI26,new_transmute,4,FALSE)
),
""
)
)
)
)
)
)
)
)
))</f>
        <v/>
      </c>
      <c r="AJ26" s="73" t="str">
        <f>IF($B26="","",
IF(AJ$5="","",
IF('Final Term'!AJ26="",0,
IF(NOT(ISNUMBER('Final Term'!AJ26)),"NAN",
IF('Final Term'!AJ26&lt;0,"NEG",
IF('Final Term'!AJ26&gt;AJ$5,"OVER",
IF(AND(AJ$5&lt;=100,'Final Term'!AJ26&gt;100),"ERR",
IF(Info!$B$4="Non-board program",
IF(OR(AND(AJ$5&gt;0,AJ$5&gt;100),AND(AJ$5&gt;0,AJ$5&lt;100)),
VLOOKUP(FLOOR(('Final Term'!AJ26/AJ$5)*100,1),new_transmute,2,FALSE),
VLOOKUP('Final Term'!AJ26,new_transmute,2,FALSE)
),
IF(Info!$B$4="Board program",
IF(OR(AND(AJ$5&gt;0,AJ$5&gt;100),AND(AJ$5&gt;0,AJ$5&lt;100)),
VLOOKUP(FLOOR(('Final Term'!AJ26/AJ$5)*100,1),new_transmute,3,FALSE),
VLOOKUP('Final Term'!AJ26,new_transmute,3,FALSE)
),
IF(Info!$B$4="Board program (Medicine)",
IF(OR(AND(AJ$5&gt;0,AJ$5&gt;100),AND(AJ$5&gt;0,AJ$5&lt;100)),
VLOOKUP(FLOOR(('Final Term'!AJ26/AJ$5)*100,1),new_transmute,4,FALSE),
VLOOKUP('Final Term'!AJ26,new_transmute,4,FALSE)
),
""
)
)
)
)
)
)
)
)
))</f>
        <v/>
      </c>
      <c r="AK26" s="59" t="str">
        <f t="shared" si="6"/>
        <v/>
      </c>
      <c r="AL26" s="60" t="str">
        <f>IF(B26="", "",
    IF(OR(M26="OVER", S26="OVER", Y26="OVER", AE26="OVER", AK26="OVER"),
        "OVER",
        IF(Info!$B$4="Non-board program",
            VLOOKUP(IFERROR(FLOOR(SUM((M26*$M$4), (S26*$S$4), (Y26*$Y$4), (AE26*$AE$4), (AK26*$AK$4)) * (100 / 60), 1), 0), new_transmute, 2, FALSE),
            IF(Info!$B$4="Board program",
                VLOOKUP(IFERROR(FLOOR(SUM((M26*$M$4), (S26*$S$4), (Y26*$Y$4), (AE26*$AE$4), (AK26*$AK$4)) * (100 / 60), 1), 0), new_transmute, 3, FALSE),
                IF(Info!$B$4="Board program (Medicine)",
                    VLOOKUP(IFERROR(FLOOR(SUM((M26*$M$4), (S26*$S$4), (Y26*$Y$4), (AE26*$AE$4), (AK26*$AK$4)) * (100 / 60), 1), 0), new_transmute, 4, FALSE),
                    ""
                )
            )
        )
    )
)</f>
        <v/>
      </c>
      <c r="AM26" s="73" t="str">
        <f>IF($B26="","",
IF(AM$5="","",
IF('Final Term'!AM26="",0,
IF(NOT(ISNUMBER('Final Term'!AM26)),"NAN",
IF('Final Term'!AM26&lt;0,"NEG",
IF('Final Term'!AM26&gt;AM$5,"OVER",
IF(AND(AM$5&lt;=100,'Final Term'!AM26&gt;100),"ERR",
IF(Info!$B$4="Non-board program",
IF(OR(AND(AM$5&gt;0,AM$5&gt;100),AND(AM$5&gt;0,AM$5&lt;100)),
VLOOKUP(FLOOR(('Final Term'!AM26/AM$5)*100,1),new_transmute,2,FALSE),
VLOOKUP('Final Term'!AM26,new_transmute,2,FALSE)
),
IF(Info!$B$4="Board program",
IF(OR(AND(AM$5&gt;0,AM$5&gt;100),AND(AM$5&gt;0,AM$5&lt;100)),
VLOOKUP(FLOOR(('Final Term'!AM26/AM$5)*100,1),new_transmute,3,FALSE),
VLOOKUP('Final Term'!AM26,new_transmute,3,FALSE)
),
IF(Info!$B$4="Board program (Medicine)",
IF(OR(AND(AM$5&gt;0,AM$5&gt;100),AND(AM$5&gt;0,AM$5&lt;100)),
VLOOKUP(FLOOR(('Final Term'!AM26/AM$5)*100,1),new_transmute,4,FALSE),
VLOOKUP('Final Term'!AM26,new_transmute,4,FALSE)
),
""
)
)
)
)
)
)
)
)
))</f>
        <v/>
      </c>
      <c r="AN26" s="73" t="str">
        <f>IF($B26="","",
IF(AN$5="","",
IF('Final Term'!AN26="",0,
IF(NOT(ISNUMBER('Final Term'!AN26)),"NAN",
IF('Final Term'!AN26&lt;0,"NEG",
IF('Final Term'!AN26&gt;AN$5,"OVER",
IF(AND(AN$5&lt;=100,'Final Term'!AN26&gt;100),"ERR",
IF(Info!$B$4="Non-board program",
IF(OR(AND(AN$5&gt;0,AN$5&gt;100),AND(AN$5&gt;0,AN$5&lt;100)),
VLOOKUP(FLOOR(('Final Term'!AN26/AN$5)*100,1),new_transmute,2,FALSE),
VLOOKUP('Final Term'!AN26,new_transmute,2,FALSE)
),
IF(Info!$B$4="Board program",
IF(OR(AND(AN$5&gt;0,AN$5&gt;100),AND(AN$5&gt;0,AN$5&lt;100)),
VLOOKUP(FLOOR(('Final Term'!AN26/AN$5)*100,1),new_transmute,3,FALSE),
VLOOKUP('Final Term'!AN26,new_transmute,3,FALSE)
),
IF(Info!$B$4="Board program (Medicine)",
IF(OR(AND(AN$5&gt;0,AN$5&gt;100),AND(AN$5&gt;0,AN$5&lt;100)),
VLOOKUP(FLOOR(('Final Term'!AN26/AN$5)*100,1),new_transmute,4,FALSE),
VLOOKUP('Final Term'!AN26,new_transmute,4,FALSE)
),
""
)
)
)
)
)
)
)
)
))</f>
        <v/>
      </c>
      <c r="AO26" s="73" t="str">
        <f>IF($B26="","",
IF(AO$5="","",
IF('Final Term'!AO26="",0,
IF(NOT(ISNUMBER('Final Term'!AO26)),"NAN",
IF('Final Term'!AO26&lt;0,"NEG",
IF('Final Term'!AO26&gt;AO$5,"OVER",
IF(AND(AO$5&lt;=100,'Final Term'!AO26&gt;100),"ERR",
IF(Info!$B$4="Non-board program",
IF(OR(AND(AO$5&gt;0,AO$5&gt;100),AND(AO$5&gt;0,AO$5&lt;100)),
VLOOKUP(FLOOR(('Final Term'!AO26/AO$5)*100,1),new_transmute,2,FALSE),
VLOOKUP('Final Term'!AO26,new_transmute,2,FALSE)
),
IF(Info!$B$4="Board program",
IF(OR(AND(AO$5&gt;0,AO$5&gt;100),AND(AO$5&gt;0,AO$5&lt;100)),
VLOOKUP(FLOOR(('Final Term'!AO26/AO$5)*100,1),new_transmute,3,FALSE),
VLOOKUP('Final Term'!AO26,new_transmute,3,FALSE)
),
IF(Info!$B$4="Board program (Medicine)",
IF(OR(AND(AO$5&gt;0,AO$5&gt;100),AND(AO$5&gt;0,AO$5&lt;100)),
VLOOKUP(FLOOR(('Final Term'!AO26/AO$5)*100,1),new_transmute,4,FALSE),
VLOOKUP('Final Term'!AO26,new_transmute,4,FALSE)
),
""
)
)
)
)
)
)
)
)
))</f>
        <v/>
      </c>
      <c r="AP26" s="73" t="str">
        <f>IF($B26="","",
IF(AP$5="","",
IF('Final Term'!AP26="",0,
IF(NOT(ISNUMBER('Final Term'!AP26)),"NAN",
IF('Final Term'!AP26&lt;0,"NEG",
IF('Final Term'!AP26&gt;AP$5,"OVER",
IF(AND(AP$5&lt;=100,'Final Term'!AP26&gt;100),"ERR",
IF(Info!$B$4="Non-board program",
IF(OR(AND(AP$5&gt;0,AP$5&gt;100),AND(AP$5&gt;0,AP$5&lt;100)),
VLOOKUP(FLOOR(('Final Term'!AP26/AP$5)*100,1),new_transmute,2,FALSE),
VLOOKUP('Final Term'!AP26,new_transmute,2,FALSE)
),
IF(Info!$B$4="Board program",
IF(OR(AND(AP$5&gt;0,AP$5&gt;100),AND(AP$5&gt;0,AP$5&lt;100)),
VLOOKUP(FLOOR(('Final Term'!AP26/AP$5)*100,1),new_transmute,3,FALSE),
VLOOKUP('Final Term'!AP26,new_transmute,3,FALSE)
),
IF(Info!$B$4="Board program (Medicine)",
IF(OR(AND(AP$5&gt;0,AP$5&gt;100),AND(AP$5&gt;0,AP$5&lt;100)),
VLOOKUP(FLOOR(('Final Term'!AP26/AP$5)*100,1),new_transmute,4,FALSE),
VLOOKUP('Final Term'!AP26,new_transmute,4,FALSE)
),
""
)
)
)
)
)
)
)
)
))</f>
        <v/>
      </c>
      <c r="AQ26" s="61" t="str">
        <f t="shared" si="7"/>
        <v/>
      </c>
      <c r="AR26" s="48" t="str">
        <f>IF('Final Term'!AR26="","",'Final Term'!AR26)</f>
        <v/>
      </c>
      <c r="AS26" s="165" t="str">
        <f t="shared" si="8"/>
        <v/>
      </c>
      <c r="AT26" s="14" t="str">
        <f t="shared" si="0"/>
        <v/>
      </c>
      <c r="AU26" s="13" t="str">
        <f>IF(B26="","",VLOOKUP(AT26,'New Grade Equivalent'!$B$3:$C$47,2,FALSE))</f>
        <v/>
      </c>
    </row>
    <row r="27" spans="1:47" x14ac:dyDescent="0.25">
      <c r="A27" s="8">
        <v>22</v>
      </c>
      <c r="B27" s="2" t="str">
        <f>IF('Student List'!C31="","",UPPER(LEFT('Student List'!C31,FIND(",",'Student List'!C31)-1)))</f>
        <v/>
      </c>
      <c r="C27" s="12" t="str">
        <f>IF('Student List'!C31="","",PROPER(MID('Student List'!C31, FIND(",", 'Student List'!C31) + 2, LEN('Student List'!C31) - FIND(",", 'Student List'!C31) - 1)))</f>
        <v/>
      </c>
      <c r="D27" s="127" t="str">
        <f>IF('Final Term'!D27="","",'Final Term'!D27)</f>
        <v/>
      </c>
      <c r="E27" s="8" t="str">
        <f>IF(MidCom!E27="FA", "FA",
    IF(MidCom!E27="DRP", "DRP",
        IF(MidCom!E27="WF", "WF",
            IF(D27="Yes", "INC",
               IF((SUM('MT Attendance'!AW25) / 3 + SUM('MT Attendance'!AY25) + SUM('FT Attendance'!AW25) / 3 + SUM('FT Attendance'!AY25)) &gt;= 0.2 * (SUMPRODUCT(--(ISTEXT('MT Attendance'!$C$2:$AU$2))) + SUMPRODUCT(--(ISTEXT('FT Attendance'!$C$2:$AU$2)))), "FA",
                   MidCom!E27
                )
            )
        )
    )
)</f>
        <v/>
      </c>
      <c r="F27" s="73" t="str">
        <f>IF($B27="","",
IF(F$5="","",
IF('Final Term'!F27="",0,
IF(NOT(ISNUMBER('Final Term'!F27)),"NAN",
IF('Final Term'!F27&lt;0,"NEG",
IF('Final Term'!F27&gt;F$5,"OVER",
IF(AND(F$5&lt;=100,'Final Term'!F27&gt;100),"ERR",
IF(Info!$B$4="Non-board program",
IF(OR(AND(F$5&gt;0,F$5&gt;100),AND(F$5&gt;0,F$5&lt;100)),
VLOOKUP(FLOOR(('Final Term'!F27/F$5)*100,1),new_transmute,2,FALSE),
VLOOKUP('Final Term'!F27,new_transmute,2,FALSE)
),
IF(Info!$B$4="Board program",
IF(OR(AND(F$5&gt;0,F$5&gt;100),AND(F$5&gt;0,F$5&lt;100)),
VLOOKUP(FLOOR(('Final Term'!F27/F$5)*100,1),new_transmute,3,FALSE),
VLOOKUP('Final Term'!F27,new_transmute,3,FALSE)
),
IF(Info!$B$4="Board program (Medicine)",
IF(OR(AND(F$5&gt;0,F$5&gt;100),AND(F$5&gt;0,F$5&lt;100)),
VLOOKUP(FLOOR(('Final Term'!F27/F$5)*100,1),new_transmute,4,FALSE),
VLOOKUP('Final Term'!F27,new_transmute,4,FALSE)
),
""
)
)
)
)
)
)
)
)
))</f>
        <v/>
      </c>
      <c r="G27" s="57" t="str">
        <f t="shared" si="1"/>
        <v/>
      </c>
      <c r="H27" s="73" t="str">
        <f>IF($B27="","",
IF(H$5="","",
IF('Final Term'!H27="",0,
IF(NOT(ISNUMBER('Final Term'!H27)),"NAN",
IF('Final Term'!H27&lt;0,"NEG",
IF('Final Term'!H27&gt;H$5,"OVER",
IF(AND(H$5&lt;=100,'Final Term'!H27&gt;100),"ERR",
IF(Info!$B$4="Non-board program",
IF(OR(AND(H$5&gt;0,H$5&gt;100),AND(H$5&gt;0,H$5&lt;100)),
VLOOKUP(FLOOR(('Final Term'!H27/H$5)*100,1),new_transmute,2,FALSE),
VLOOKUP('Final Term'!H27,new_transmute,2,FALSE)
),
IF(Info!$B$4="Board program",
IF(OR(AND(H$5&gt;0,H$5&gt;100),AND(H$5&gt;0,H$5&lt;100)),
VLOOKUP(FLOOR(('Final Term'!H27/H$5)*100,1),new_transmute,3,FALSE),
VLOOKUP('Final Term'!H27,new_transmute,3,FALSE)
),
IF(Info!$B$4="Board program (Medicine)",
IF(OR(AND(H$5&gt;0,H$5&gt;100),AND(H$5&gt;0,H$5&lt;100)),
VLOOKUP(FLOOR(('Final Term'!H27/H$5)*100,1),new_transmute,4,FALSE),
VLOOKUP('Final Term'!H27,new_transmute,4,FALSE)
),
""
)
)
)
)
)
)
)
)
))</f>
        <v/>
      </c>
      <c r="I27" s="73" t="str">
        <f>IF($B27="","",
IF(I$5="","",
IF('Final Term'!I27="",0,
IF(NOT(ISNUMBER('Final Term'!I27)),"NAN",
IF('Final Term'!I27&lt;0,"NEG",
IF('Final Term'!I27&gt;I$5,"OVER",
IF(AND(I$5&lt;=100,'Final Term'!I27&gt;100),"ERR",
IF(Info!$B$4="Non-board program",
IF(OR(AND(I$5&gt;0,I$5&gt;100),AND(I$5&gt;0,I$5&lt;100)),
VLOOKUP(FLOOR(('Final Term'!I27/I$5)*100,1),new_transmute,2,FALSE),
VLOOKUP('Final Term'!I27,new_transmute,2,FALSE)
),
IF(Info!$B$4="Board program",
IF(OR(AND(I$5&gt;0,I$5&gt;100),AND(I$5&gt;0,I$5&lt;100)),
VLOOKUP(FLOOR(('Final Term'!I27/I$5)*100,1),new_transmute,3,FALSE),
VLOOKUP('Final Term'!I27,new_transmute,3,FALSE)
),
IF(Info!$B$4="Board program (Medicine)",
IF(OR(AND(I$5&gt;0,I$5&gt;100),AND(I$5&gt;0,I$5&lt;100)),
VLOOKUP(FLOOR(('Final Term'!I27/I$5)*100,1),new_transmute,4,FALSE),
VLOOKUP('Final Term'!I27,new_transmute,4,FALSE)
),
""
)
)
)
)
)
)
)
)
))</f>
        <v/>
      </c>
      <c r="J27" s="73" t="str">
        <f>IF($B27="","",
IF(J$5="","",
IF('Final Term'!J27="",0,
IF(NOT(ISNUMBER('Final Term'!J27)),"NAN",
IF('Final Term'!J27&lt;0,"NEG",
IF('Final Term'!J27&gt;J$5,"OVER",
IF(AND(J$5&lt;=100,'Final Term'!J27&gt;100),"ERR",
IF(Info!$B$4="Non-board program",
IF(OR(AND(J$5&gt;0,J$5&gt;100),AND(J$5&gt;0,J$5&lt;100)),
VLOOKUP(FLOOR(('Final Term'!J27/J$5)*100,1),new_transmute,2,FALSE),
VLOOKUP('Final Term'!J27,new_transmute,2,FALSE)
),
IF(Info!$B$4="Board program",
IF(OR(AND(J$5&gt;0,J$5&gt;100),AND(J$5&gt;0,J$5&lt;100)),
VLOOKUP(FLOOR(('Final Term'!J27/J$5)*100,1),new_transmute,3,FALSE),
VLOOKUP('Final Term'!J27,new_transmute,3,FALSE)
),
IF(Info!$B$4="Board program (Medicine)",
IF(OR(AND(J$5&gt;0,J$5&gt;100),AND(J$5&gt;0,J$5&lt;100)),
VLOOKUP(FLOOR(('Final Term'!J27/J$5)*100,1),new_transmute,4,FALSE),
VLOOKUP('Final Term'!J27,new_transmute,4,FALSE)
),
""
)
)
)
)
)
)
)
)
))</f>
        <v/>
      </c>
      <c r="K27" s="73" t="str">
        <f>IF($B27="","",
IF(K$5="","",
IF('Final Term'!K27="",0,
IF(NOT(ISNUMBER('Final Term'!K27)),"NAN",
IF('Final Term'!K27&lt;0,"NEG",
IF('Final Term'!K27&gt;K$5,"OVER",
IF(AND(K$5&lt;=100,'Final Term'!K27&gt;100),"ERR",
IF(Info!$B$4="Non-board program",
IF(OR(AND(K$5&gt;0,K$5&gt;100),AND(K$5&gt;0,K$5&lt;100)),
VLOOKUP(FLOOR(('Final Term'!K27/K$5)*100,1),new_transmute,2,FALSE),
VLOOKUP('Final Term'!K27,new_transmute,2,FALSE)
),
IF(Info!$B$4="Board program",
IF(OR(AND(K$5&gt;0,K$5&gt;100),AND(K$5&gt;0,K$5&lt;100)),
VLOOKUP(FLOOR(('Final Term'!K27/K$5)*100,1),new_transmute,3,FALSE),
VLOOKUP('Final Term'!K27,new_transmute,3,FALSE)
),
IF(Info!$B$4="Board program (Medicine)",
IF(OR(AND(K$5&gt;0,K$5&gt;100),AND(K$5&gt;0,K$5&lt;100)),
VLOOKUP(FLOOR(('Final Term'!K27/K$5)*100,1),new_transmute,4,FALSE),
VLOOKUP('Final Term'!K27,new_transmute,4,FALSE)
),
""
)
)
)
)
)
)
)
)
))</f>
        <v/>
      </c>
      <c r="L27" s="73" t="str">
        <f>IF($B27="","",
IF(L$5="","",
IF('Final Term'!L27="",0,
IF(NOT(ISNUMBER('Final Term'!L27)),"NAN",
IF('Final Term'!L27&lt;0,"NEG",
IF('Final Term'!L27&gt;L$5,"OVER",
IF(AND(L$5&lt;=100,'Final Term'!L27&gt;100),"ERR",
IF(Info!$B$4="Non-board program",
IF(OR(AND(L$5&gt;0,L$5&gt;100),AND(L$5&gt;0,L$5&lt;100)),
VLOOKUP(FLOOR(('Final Term'!L27/L$5)*100,1),new_transmute,2,FALSE),
VLOOKUP('Final Term'!L27,new_transmute,2,FALSE)
),
IF(Info!$B$4="Board program",
IF(OR(AND(L$5&gt;0,L$5&gt;100),AND(L$5&gt;0,L$5&lt;100)),
VLOOKUP(FLOOR(('Final Term'!L27/L$5)*100,1),new_transmute,3,FALSE),
VLOOKUP('Final Term'!L27,new_transmute,3,FALSE)
),
IF(Info!$B$4="Board program (Medicine)",
IF(OR(AND(L$5&gt;0,L$5&gt;100),AND(L$5&gt;0,L$5&lt;100)),
VLOOKUP(FLOOR(('Final Term'!L27/L$5)*100,1),new_transmute,4,FALSE),
VLOOKUP('Final Term'!L27,new_transmute,4,FALSE)
),
""
)
)
)
)
)
)
)
)
))</f>
        <v/>
      </c>
      <c r="M27" s="111" t="str">
        <f t="shared" si="2"/>
        <v/>
      </c>
      <c r="N27" s="73" t="str">
        <f>IF($B27="","",
IF(N$5="","",
IF('Final Term'!N27="",0,
IF(NOT(ISNUMBER('Final Term'!N27)),"NAN",
IF('Final Term'!N27&lt;0,"NEG",
IF('Final Term'!N27&gt;N$5,"OVER",
IF(AND(N$5&lt;=100,'Final Term'!N27&gt;100),"ERR",
IF(Info!$B$4="Non-board program",
IF(OR(AND(N$5&gt;0,N$5&gt;100),AND(N$5&gt;0,N$5&lt;100)),
VLOOKUP(FLOOR(('Final Term'!N27/N$5)*100,1),new_transmute,2,FALSE),
VLOOKUP('Final Term'!N27,new_transmute,2,FALSE)
),
IF(Info!$B$4="Board program",
IF(OR(AND(N$5&gt;0,N$5&gt;100),AND(N$5&gt;0,N$5&lt;100)),
VLOOKUP(FLOOR(('Final Term'!N27/N$5)*100,1),new_transmute,3,FALSE),
VLOOKUP('Final Term'!N27,new_transmute,3,FALSE)
),
IF(Info!$B$4="Board program (Medicine)",
IF(OR(AND(N$5&gt;0,N$5&gt;100),AND(N$5&gt;0,N$5&lt;100)),
VLOOKUP(FLOOR(('Final Term'!N27/N$5)*100,1),new_transmute,4,FALSE),
VLOOKUP('Final Term'!N27,new_transmute,4,FALSE)
),
""
)
)
)
)
)
)
)
)
))</f>
        <v/>
      </c>
      <c r="O27" s="73" t="str">
        <f>IF($B27="","",
IF(O$5="","",
IF('Final Term'!O27="",0,
IF(NOT(ISNUMBER('Final Term'!O27)),"NAN",
IF('Final Term'!O27&lt;0,"NEG",
IF('Final Term'!O27&gt;O$5,"OVER",
IF(AND(O$5&lt;=100,'Final Term'!O27&gt;100),"ERR",
IF(Info!$B$4="Non-board program",
IF(OR(AND(O$5&gt;0,O$5&gt;100),AND(O$5&gt;0,O$5&lt;100)),
VLOOKUP(FLOOR(('Final Term'!O27/O$5)*100,1),new_transmute,2,FALSE),
VLOOKUP('Final Term'!O27,new_transmute,2,FALSE)
),
IF(Info!$B$4="Board program",
IF(OR(AND(O$5&gt;0,O$5&gt;100),AND(O$5&gt;0,O$5&lt;100)),
VLOOKUP(FLOOR(('Final Term'!O27/O$5)*100,1),new_transmute,3,FALSE),
VLOOKUP('Final Term'!O27,new_transmute,3,FALSE)
),
IF(Info!$B$4="Board program (Medicine)",
IF(OR(AND(O$5&gt;0,O$5&gt;100),AND(O$5&gt;0,O$5&lt;100)),
VLOOKUP(FLOOR(('Final Term'!O27/O$5)*100,1),new_transmute,4,FALSE),
VLOOKUP('Final Term'!O27,new_transmute,4,FALSE)
),
""
)
)
)
)
)
)
)
)
))</f>
        <v/>
      </c>
      <c r="P27" s="73" t="str">
        <f>IF($B27="","",
IF(P$5="","",
IF('Final Term'!P27="",0,
IF(NOT(ISNUMBER('Final Term'!P27)),"NAN",
IF('Final Term'!P27&lt;0,"NEG",
IF('Final Term'!P27&gt;P$5,"OVER",
IF(AND(P$5&lt;=100,'Final Term'!P27&gt;100),"ERR",
IF(Info!$B$4="Non-board program",
IF(OR(AND(P$5&gt;0,P$5&gt;100),AND(P$5&gt;0,P$5&lt;100)),
VLOOKUP(FLOOR(('Final Term'!P27/P$5)*100,1),new_transmute,2,FALSE),
VLOOKUP('Final Term'!P27,new_transmute,2,FALSE)
),
IF(Info!$B$4="Board program",
IF(OR(AND(P$5&gt;0,P$5&gt;100),AND(P$5&gt;0,P$5&lt;100)),
VLOOKUP(FLOOR(('Final Term'!P27/P$5)*100,1),new_transmute,3,FALSE),
VLOOKUP('Final Term'!P27,new_transmute,3,FALSE)
),
IF(Info!$B$4="Board program (Medicine)",
IF(OR(AND(P$5&gt;0,P$5&gt;100),AND(P$5&gt;0,P$5&lt;100)),
VLOOKUP(FLOOR(('Final Term'!P27/P$5)*100,1),new_transmute,4,FALSE),
VLOOKUP('Final Term'!P27,new_transmute,4,FALSE)
),
""
)
)
)
)
)
)
)
)
))</f>
        <v/>
      </c>
      <c r="Q27" s="73" t="str">
        <f>IF($B27="","",
IF(Q$5="","",
IF('Final Term'!Q27="",0,
IF(NOT(ISNUMBER('Final Term'!Q27)),"NAN",
IF('Final Term'!Q27&lt;0,"NEG",
IF('Final Term'!Q27&gt;Q$5,"OVER",
IF(AND(Q$5&lt;=100,'Final Term'!Q27&gt;100),"ERR",
IF(Info!$B$4="Non-board program",
IF(OR(AND(Q$5&gt;0,Q$5&gt;100),AND(Q$5&gt;0,Q$5&lt;100)),
VLOOKUP(FLOOR(('Final Term'!Q27/Q$5)*100,1),new_transmute,2,FALSE),
VLOOKUP('Final Term'!Q27,new_transmute,2,FALSE)
),
IF(Info!$B$4="Board program",
IF(OR(AND(Q$5&gt;0,Q$5&gt;100),AND(Q$5&gt;0,Q$5&lt;100)),
VLOOKUP(FLOOR(('Final Term'!Q27/Q$5)*100,1),new_transmute,3,FALSE),
VLOOKUP('Final Term'!Q27,new_transmute,3,FALSE)
),
IF(Info!$B$4="Board program (Medicine)",
IF(OR(AND(Q$5&gt;0,Q$5&gt;100),AND(Q$5&gt;0,Q$5&lt;100)),
VLOOKUP(FLOOR(('Final Term'!Q27/Q$5)*100,1),new_transmute,4,FALSE),
VLOOKUP('Final Term'!Q27,new_transmute,4,FALSE)
),
""
)
)
)
)
)
)
)
)
))</f>
        <v/>
      </c>
      <c r="R27" s="73" t="str">
        <f>IF($B27="","",
IF(R$5="","",
IF('Final Term'!R27="",0,
IF(NOT(ISNUMBER('Final Term'!R27)),"NAN",
IF('Final Term'!R27&lt;0,"NEG",
IF('Final Term'!R27&gt;R$5,"OVER",
IF(AND(R$5&lt;=100,'Final Term'!R27&gt;100),"ERR",
IF(Info!$B$4="Non-board program",
IF(OR(AND(R$5&gt;0,R$5&gt;100),AND(R$5&gt;0,R$5&lt;100)),
VLOOKUP(FLOOR(('Final Term'!R27/R$5)*100,1),new_transmute,2,FALSE),
VLOOKUP('Final Term'!R27,new_transmute,2,FALSE)
),
IF(Info!$B$4="Board program",
IF(OR(AND(R$5&gt;0,R$5&gt;100),AND(R$5&gt;0,R$5&lt;100)),
VLOOKUP(FLOOR(('Final Term'!R27/R$5)*100,1),new_transmute,3,FALSE),
VLOOKUP('Final Term'!R27,new_transmute,3,FALSE)
),
IF(Info!$B$4="Board program (Medicine)",
IF(OR(AND(R$5&gt;0,R$5&gt;100),AND(R$5&gt;0,R$5&lt;100)),
VLOOKUP(FLOOR(('Final Term'!R27/R$5)*100,1),new_transmute,4,FALSE),
VLOOKUP('Final Term'!R27,new_transmute,4,FALSE)
),
""
)
)
)
)
)
)
)
)
))</f>
        <v/>
      </c>
      <c r="S27" s="115" t="str">
        <f t="shared" si="3"/>
        <v/>
      </c>
      <c r="T27" s="73" t="str">
        <f>IF($B27="","",
IF(T$5="","",
IF('Final Term'!T27="",0,
IF(NOT(ISNUMBER('Final Term'!T27)),"NAN",
IF('Final Term'!T27&lt;0,"NEG",
IF('Final Term'!T27&gt;T$5,"OVER",
IF(AND(T$5&lt;=100,'Final Term'!T27&gt;100),"ERR",
IF(Info!$B$4="Non-board program",
IF(OR(AND(T$5&gt;0,T$5&gt;100),AND(T$5&gt;0,T$5&lt;100)),
VLOOKUP(FLOOR(('Final Term'!T27/T$5)*100,1),new_transmute,2,FALSE),
VLOOKUP('Final Term'!T27,new_transmute,2,FALSE)
),
IF(Info!$B$4="Board program",
IF(OR(AND(T$5&gt;0,T$5&gt;100),AND(T$5&gt;0,T$5&lt;100)),
VLOOKUP(FLOOR(('Final Term'!T27/T$5)*100,1),new_transmute,3,FALSE),
VLOOKUP('Final Term'!T27,new_transmute,3,FALSE)
),
IF(Info!$B$4="Board program (Medicine)",
IF(OR(AND(T$5&gt;0,T$5&gt;100),AND(T$5&gt;0,T$5&lt;100)),
VLOOKUP(FLOOR(('Final Term'!T27/T$5)*100,1),new_transmute,4,FALSE),
VLOOKUP('Final Term'!T27,new_transmute,4,FALSE)
),
""
)
)
)
)
)
)
)
)
))</f>
        <v/>
      </c>
      <c r="U27" s="73" t="str">
        <f>IF($B27="","",
IF(U$5="","",
IF('Final Term'!U27="",0,
IF(NOT(ISNUMBER('Final Term'!U27)),"NAN",
IF('Final Term'!U27&lt;0,"NEG",
IF('Final Term'!U27&gt;U$5,"OVER",
IF(AND(U$5&lt;=100,'Final Term'!U27&gt;100),"ERR",
IF(Info!$B$4="Non-board program",
IF(OR(AND(U$5&gt;0,U$5&gt;100),AND(U$5&gt;0,U$5&lt;100)),
VLOOKUP(FLOOR(('Final Term'!U27/U$5)*100,1),new_transmute,2,FALSE),
VLOOKUP('Final Term'!U27,new_transmute,2,FALSE)
),
IF(Info!$B$4="Board program",
IF(OR(AND(U$5&gt;0,U$5&gt;100),AND(U$5&gt;0,U$5&lt;100)),
VLOOKUP(FLOOR(('Final Term'!U27/U$5)*100,1),new_transmute,3,FALSE),
VLOOKUP('Final Term'!U27,new_transmute,3,FALSE)
),
IF(Info!$B$4="Board program (Medicine)",
IF(OR(AND(U$5&gt;0,U$5&gt;100),AND(U$5&gt;0,U$5&lt;100)),
VLOOKUP(FLOOR(('Final Term'!U27/U$5)*100,1),new_transmute,4,FALSE),
VLOOKUP('Final Term'!U27,new_transmute,4,FALSE)
),
""
)
)
)
)
)
)
)
)
))</f>
        <v/>
      </c>
      <c r="V27" s="73" t="str">
        <f>IF($B27="","",
IF(V$5="","",
IF('Final Term'!V27="",0,
IF(NOT(ISNUMBER('Final Term'!V27)),"NAN",
IF('Final Term'!V27&lt;0,"NEG",
IF('Final Term'!V27&gt;V$5,"OVER",
IF(AND(V$5&lt;=100,'Final Term'!V27&gt;100),"ERR",
IF(Info!$B$4="Non-board program",
IF(OR(AND(V$5&gt;0,V$5&gt;100),AND(V$5&gt;0,V$5&lt;100)),
VLOOKUP(FLOOR(('Final Term'!V27/V$5)*100,1),new_transmute,2,FALSE),
VLOOKUP('Final Term'!V27,new_transmute,2,FALSE)
),
IF(Info!$B$4="Board program",
IF(OR(AND(V$5&gt;0,V$5&gt;100),AND(V$5&gt;0,V$5&lt;100)),
VLOOKUP(FLOOR(('Final Term'!V27/V$5)*100,1),new_transmute,3,FALSE),
VLOOKUP('Final Term'!V27,new_transmute,3,FALSE)
),
IF(Info!$B$4="Board program (Medicine)",
IF(OR(AND(V$5&gt;0,V$5&gt;100),AND(V$5&gt;0,V$5&lt;100)),
VLOOKUP(FLOOR(('Final Term'!V27/V$5)*100,1),new_transmute,4,FALSE),
VLOOKUP('Final Term'!V27,new_transmute,4,FALSE)
),
""
)
)
)
)
)
)
)
)
))</f>
        <v/>
      </c>
      <c r="W27" s="73" t="str">
        <f>IF($B27="","",
IF(W$5="","",
IF('Final Term'!W27="",0,
IF(NOT(ISNUMBER('Final Term'!W27)),"NAN",
IF('Final Term'!W27&lt;0,"NEG",
IF('Final Term'!W27&gt;W$5,"OVER",
IF(AND(W$5&lt;=100,'Final Term'!W27&gt;100),"ERR",
IF(Info!$B$4="Non-board program",
IF(OR(AND(W$5&gt;0,W$5&gt;100),AND(W$5&gt;0,W$5&lt;100)),
VLOOKUP(FLOOR(('Final Term'!W27/W$5)*100,1),new_transmute,2,FALSE),
VLOOKUP('Final Term'!W27,new_transmute,2,FALSE)
),
IF(Info!$B$4="Board program",
IF(OR(AND(W$5&gt;0,W$5&gt;100),AND(W$5&gt;0,W$5&lt;100)),
VLOOKUP(FLOOR(('Final Term'!W27/W$5)*100,1),new_transmute,3,FALSE),
VLOOKUP('Final Term'!W27,new_transmute,3,FALSE)
),
IF(Info!$B$4="Board program (Medicine)",
IF(OR(AND(W$5&gt;0,W$5&gt;100),AND(W$5&gt;0,W$5&lt;100)),
VLOOKUP(FLOOR(('Final Term'!W27/W$5)*100,1),new_transmute,4,FALSE),
VLOOKUP('Final Term'!W27,new_transmute,4,FALSE)
),
""
)
)
)
)
)
)
)
)
))</f>
        <v/>
      </c>
      <c r="X27" s="73" t="str">
        <f>IF($B27="","",
IF(X$5="","",
IF('Final Term'!X27="",0,
IF(NOT(ISNUMBER('Final Term'!X27)),"NAN",
IF('Final Term'!X27&lt;0,"NEG",
IF('Final Term'!X27&gt;X$5,"OVER",
IF(AND(X$5&lt;=100,'Final Term'!X27&gt;100),"ERR",
IF(Info!$B$4="Non-board program",
IF(OR(AND(X$5&gt;0,X$5&gt;100),AND(X$5&gt;0,X$5&lt;100)),
VLOOKUP(FLOOR(('Final Term'!X27/X$5)*100,1),new_transmute,2,FALSE),
VLOOKUP('Final Term'!X27,new_transmute,2,FALSE)
),
IF(Info!$B$4="Board program",
IF(OR(AND(X$5&gt;0,X$5&gt;100),AND(X$5&gt;0,X$5&lt;100)),
VLOOKUP(FLOOR(('Final Term'!X27/X$5)*100,1),new_transmute,3,FALSE),
VLOOKUP('Final Term'!X27,new_transmute,3,FALSE)
),
IF(Info!$B$4="Board program (Medicine)",
IF(OR(AND(X$5&gt;0,X$5&gt;100),AND(X$5&gt;0,X$5&lt;100)),
VLOOKUP(FLOOR(('Final Term'!X27/X$5)*100,1),new_transmute,4,FALSE),
VLOOKUP('Final Term'!X27,new_transmute,4,FALSE)
),
""
)
)
)
)
)
)
)
)
))</f>
        <v/>
      </c>
      <c r="Y27" s="112" t="str">
        <f t="shared" si="4"/>
        <v/>
      </c>
      <c r="Z27" s="73" t="str">
        <f>IF($B27="","",
IF(Z$5="","",
IF('Final Term'!Z27="",0,
IF(NOT(ISNUMBER('Final Term'!Z27)),"NAN",
IF('Final Term'!Z27&lt;0,"NEG",
IF('Final Term'!Z27&gt;Z$5,"OVER",
IF(AND(Z$5&lt;=100,'Final Term'!Z27&gt;100),"ERR",
IF(Info!$B$4="Non-board program",
IF(OR(AND(Z$5&gt;0,Z$5&gt;100),AND(Z$5&gt;0,Z$5&lt;100)),
VLOOKUP(FLOOR(('Final Term'!Z27/Z$5)*100,1),new_transmute,2,FALSE),
VLOOKUP('Final Term'!Z27,new_transmute,2,FALSE)
),
IF(Info!$B$4="Board program",
IF(OR(AND(Z$5&gt;0,Z$5&gt;100),AND(Z$5&gt;0,Z$5&lt;100)),
VLOOKUP(FLOOR(('Final Term'!Z27/Z$5)*100,1),new_transmute,3,FALSE),
VLOOKUP('Final Term'!Z27,new_transmute,3,FALSE)
),
IF(Info!$B$4="Board program (Medicine)",
IF(OR(AND(Z$5&gt;0,Z$5&gt;100),AND(Z$5&gt;0,Z$5&lt;100)),
VLOOKUP(FLOOR(('Final Term'!Z27/Z$5)*100,1),new_transmute,4,FALSE),
VLOOKUP('Final Term'!Z27,new_transmute,4,FALSE)
),
""
)
)
)
)
)
)
)
)
))</f>
        <v/>
      </c>
      <c r="AA27" s="73" t="str">
        <f>IF($B27="","",
IF(AA$5="","",
IF('Final Term'!AA27="",0,
IF(NOT(ISNUMBER('Final Term'!AA27)),"NAN",
IF('Final Term'!AA27&lt;0,"NEG",
IF('Final Term'!AA27&gt;AA$5,"OVER",
IF(AND(AA$5&lt;=100,'Final Term'!AA27&gt;100),"ERR",
IF(Info!$B$4="Non-board program",
IF(OR(AND(AA$5&gt;0,AA$5&gt;100),AND(AA$5&gt;0,AA$5&lt;100)),
VLOOKUP(FLOOR(('Final Term'!AA27/AA$5)*100,1),new_transmute,2,FALSE),
VLOOKUP('Final Term'!AA27,new_transmute,2,FALSE)
),
IF(Info!$B$4="Board program",
IF(OR(AND(AA$5&gt;0,AA$5&gt;100),AND(AA$5&gt;0,AA$5&lt;100)),
VLOOKUP(FLOOR(('Final Term'!AA27/AA$5)*100,1),new_transmute,3,FALSE),
VLOOKUP('Final Term'!AA27,new_transmute,3,FALSE)
),
IF(Info!$B$4="Board program (Medicine)",
IF(OR(AND(AA$5&gt;0,AA$5&gt;100),AND(AA$5&gt;0,AA$5&lt;100)),
VLOOKUP(FLOOR(('Final Term'!AA27/AA$5)*100,1),new_transmute,4,FALSE),
VLOOKUP('Final Term'!AA27,new_transmute,4,FALSE)
),
""
)
)
)
)
)
)
)
)
))</f>
        <v/>
      </c>
      <c r="AB27" s="73" t="str">
        <f>IF($B27="","",
IF(AB$5="","",
IF('Final Term'!AB27="",0,
IF(NOT(ISNUMBER('Final Term'!AB27)),"NAN",
IF('Final Term'!AB27&lt;0,"NEG",
IF('Final Term'!AB27&gt;AB$5,"OVER",
IF(AND(AB$5&lt;=100,'Final Term'!AB27&gt;100),"ERR",
IF(Info!$B$4="Non-board program",
IF(OR(AND(AB$5&gt;0,AB$5&gt;100),AND(AB$5&gt;0,AB$5&lt;100)),
VLOOKUP(FLOOR(('Final Term'!AB27/AB$5)*100,1),new_transmute,2,FALSE),
VLOOKUP('Final Term'!AB27,new_transmute,2,FALSE)
),
IF(Info!$B$4="Board program",
IF(OR(AND(AB$5&gt;0,AB$5&gt;100),AND(AB$5&gt;0,AB$5&lt;100)),
VLOOKUP(FLOOR(('Final Term'!AB27/AB$5)*100,1),new_transmute,3,FALSE),
VLOOKUP('Final Term'!AB27,new_transmute,3,FALSE)
),
IF(Info!$B$4="Board program (Medicine)",
IF(OR(AND(AB$5&gt;0,AB$5&gt;100),AND(AB$5&gt;0,AB$5&lt;100)),
VLOOKUP(FLOOR(('Final Term'!AB27/AB$5)*100,1),new_transmute,4,FALSE),
VLOOKUP('Final Term'!AB27,new_transmute,4,FALSE)
),
""
)
)
)
)
)
)
)
)
))</f>
        <v/>
      </c>
      <c r="AC27" s="73" t="str">
        <f>IF($B27="","",
IF(AC$5="","",
IF('Final Term'!AC27="",0,
IF(NOT(ISNUMBER('Final Term'!AC27)),"NAN",
IF('Final Term'!AC27&lt;0,"NEG",
IF('Final Term'!AC27&gt;AC$5,"OVER",
IF(AND(AC$5&lt;=100,'Final Term'!AC27&gt;100),"ERR",
IF(Info!$B$4="Non-board program",
IF(OR(AND(AC$5&gt;0,AC$5&gt;100),AND(AC$5&gt;0,AC$5&lt;100)),
VLOOKUP(FLOOR(('Final Term'!AC27/AC$5)*100,1),new_transmute,2,FALSE),
VLOOKUP('Final Term'!AC27,new_transmute,2,FALSE)
),
IF(Info!$B$4="Board program",
IF(OR(AND(AC$5&gt;0,AC$5&gt;100),AND(AC$5&gt;0,AC$5&lt;100)),
VLOOKUP(FLOOR(('Final Term'!AC27/AC$5)*100,1),new_transmute,3,FALSE),
VLOOKUP('Final Term'!AC27,new_transmute,3,FALSE)
),
IF(Info!$B$4="Board program (Medicine)",
IF(OR(AND(AC$5&gt;0,AC$5&gt;100),AND(AC$5&gt;0,AC$5&lt;100)),
VLOOKUP(FLOOR(('Final Term'!AC27/AC$5)*100,1),new_transmute,4,FALSE),
VLOOKUP('Final Term'!AC27,new_transmute,4,FALSE)
),
""
)
)
)
)
)
)
)
)
))</f>
        <v/>
      </c>
      <c r="AD27" s="73" t="str">
        <f>IF($B27="","",
IF(AD$5="","",
IF('Final Term'!AD27="",0,
IF(NOT(ISNUMBER('Final Term'!AD27)),"NAN",
IF('Final Term'!AD27&lt;0,"NEG",
IF('Final Term'!AD27&gt;AD$5,"OVER",
IF(AND(AD$5&lt;=100,'Final Term'!AD27&gt;100),"ERR",
IF(Info!$B$4="Non-board program",
IF(OR(AND(AD$5&gt;0,AD$5&gt;100),AND(AD$5&gt;0,AD$5&lt;100)),
VLOOKUP(FLOOR(('Final Term'!AD27/AD$5)*100,1),new_transmute,2,FALSE),
VLOOKUP('Final Term'!AD27,new_transmute,2,FALSE)
),
IF(Info!$B$4="Board program",
IF(OR(AND(AD$5&gt;0,AD$5&gt;100),AND(AD$5&gt;0,AD$5&lt;100)),
VLOOKUP(FLOOR(('Final Term'!AD27/AD$5)*100,1),new_transmute,3,FALSE),
VLOOKUP('Final Term'!AD27,new_transmute,3,FALSE)
),
IF(Info!$B$4="Board program (Medicine)",
IF(OR(AND(AD$5&gt;0,AD$5&gt;100),AND(AD$5&gt;0,AD$5&lt;100)),
VLOOKUP(FLOOR(('Final Term'!AD27/AD$5)*100,1),new_transmute,4,FALSE),
VLOOKUP('Final Term'!AD27,new_transmute,4,FALSE)
),
""
)
)
)
)
)
)
)
)
))</f>
        <v/>
      </c>
      <c r="AE27" s="58" t="str">
        <f t="shared" si="5"/>
        <v/>
      </c>
      <c r="AF27" s="73" t="str">
        <f>IF($B27="","",
IF(AF$5="","",
IF('Final Term'!AF27="",0,
IF(NOT(ISNUMBER('Final Term'!AF27)),"NAN",
IF('Final Term'!AF27&lt;0,"NEG",
IF('Final Term'!AF27&gt;AF$5,"OVER",
IF(AND(AF$5&lt;=100,'Final Term'!AF27&gt;100),"ERR",
IF(Info!$B$4="Non-board program",
IF(OR(AND(AF$5&gt;0,AF$5&gt;100),AND(AF$5&gt;0,AF$5&lt;100)),
VLOOKUP(FLOOR(('Final Term'!AF27/AF$5)*100,1),new_transmute,2,FALSE),
VLOOKUP('Final Term'!AF27,new_transmute,2,FALSE)
),
IF(Info!$B$4="Board program",
IF(OR(AND(AF$5&gt;0,AF$5&gt;100),AND(AF$5&gt;0,AF$5&lt;100)),
VLOOKUP(FLOOR(('Final Term'!AF27/AF$5)*100,1),new_transmute,3,FALSE),
VLOOKUP('Final Term'!AF27,new_transmute,3,FALSE)
),
IF(Info!$B$4="Board program (Medicine)",
IF(OR(AND(AF$5&gt;0,AF$5&gt;100),AND(AF$5&gt;0,AF$5&lt;100)),
VLOOKUP(FLOOR(('Final Term'!AF27/AF$5)*100,1),new_transmute,4,FALSE),
VLOOKUP('Final Term'!AF27,new_transmute,4,FALSE)
),
""
)
)
)
)
)
)
)
)
))</f>
        <v/>
      </c>
      <c r="AG27" s="73" t="str">
        <f>IF($B27="","",
IF(AG$5="","",
IF('Final Term'!AG27="",0,
IF(NOT(ISNUMBER('Final Term'!AG27)),"NAN",
IF('Final Term'!AG27&lt;0,"NEG",
IF('Final Term'!AG27&gt;AG$5,"OVER",
IF(AND(AG$5&lt;=100,'Final Term'!AG27&gt;100),"ERR",
IF(Info!$B$4="Non-board program",
IF(OR(AND(AG$5&gt;0,AG$5&gt;100),AND(AG$5&gt;0,AG$5&lt;100)),
VLOOKUP(FLOOR(('Final Term'!AG27/AG$5)*100,1),new_transmute,2,FALSE),
VLOOKUP('Final Term'!AG27,new_transmute,2,FALSE)
),
IF(Info!$B$4="Board program",
IF(OR(AND(AG$5&gt;0,AG$5&gt;100),AND(AG$5&gt;0,AG$5&lt;100)),
VLOOKUP(FLOOR(('Final Term'!AG27/AG$5)*100,1),new_transmute,3,FALSE),
VLOOKUP('Final Term'!AG27,new_transmute,3,FALSE)
),
IF(Info!$B$4="Board program (Medicine)",
IF(OR(AND(AG$5&gt;0,AG$5&gt;100),AND(AG$5&gt;0,AG$5&lt;100)),
VLOOKUP(FLOOR(('Final Term'!AG27/AG$5)*100,1),new_transmute,4,FALSE),
VLOOKUP('Final Term'!AG27,new_transmute,4,FALSE)
),
""
)
)
)
)
)
)
)
)
))</f>
        <v/>
      </c>
      <c r="AH27" s="73" t="str">
        <f>IF($B27="","",
IF(AH$5="","",
IF('Final Term'!AH27="",0,
IF(NOT(ISNUMBER('Final Term'!AH27)),"NAN",
IF('Final Term'!AH27&lt;0,"NEG",
IF('Final Term'!AH27&gt;AH$5,"OVER",
IF(AND(AH$5&lt;=100,'Final Term'!AH27&gt;100),"ERR",
IF(Info!$B$4="Non-board program",
IF(OR(AND(AH$5&gt;0,AH$5&gt;100),AND(AH$5&gt;0,AH$5&lt;100)),
VLOOKUP(FLOOR(('Final Term'!AH27/AH$5)*100,1),new_transmute,2,FALSE),
VLOOKUP('Final Term'!AH27,new_transmute,2,FALSE)
),
IF(Info!$B$4="Board program",
IF(OR(AND(AH$5&gt;0,AH$5&gt;100),AND(AH$5&gt;0,AH$5&lt;100)),
VLOOKUP(FLOOR(('Final Term'!AH27/AH$5)*100,1),new_transmute,3,FALSE),
VLOOKUP('Final Term'!AH27,new_transmute,3,FALSE)
),
IF(Info!$B$4="Board program (Medicine)",
IF(OR(AND(AH$5&gt;0,AH$5&gt;100),AND(AH$5&gt;0,AH$5&lt;100)),
VLOOKUP(FLOOR(('Final Term'!AH27/AH$5)*100,1),new_transmute,4,FALSE),
VLOOKUP('Final Term'!AH27,new_transmute,4,FALSE)
),
""
)
)
)
)
)
)
)
)
))</f>
        <v/>
      </c>
      <c r="AI27" s="73" t="str">
        <f>IF($B27="","",
IF(AI$5="","",
IF('Final Term'!AI27="",0,
IF(NOT(ISNUMBER('Final Term'!AI27)),"NAN",
IF('Final Term'!AI27&lt;0,"NEG",
IF('Final Term'!AI27&gt;AI$5,"OVER",
IF(AND(AI$5&lt;=100,'Final Term'!AI27&gt;100),"ERR",
IF(Info!$B$4="Non-board program",
IF(OR(AND(AI$5&gt;0,AI$5&gt;100),AND(AI$5&gt;0,AI$5&lt;100)),
VLOOKUP(FLOOR(('Final Term'!AI27/AI$5)*100,1),new_transmute,2,FALSE),
VLOOKUP('Final Term'!AI27,new_transmute,2,FALSE)
),
IF(Info!$B$4="Board program",
IF(OR(AND(AI$5&gt;0,AI$5&gt;100),AND(AI$5&gt;0,AI$5&lt;100)),
VLOOKUP(FLOOR(('Final Term'!AI27/AI$5)*100,1),new_transmute,3,FALSE),
VLOOKUP('Final Term'!AI27,new_transmute,3,FALSE)
),
IF(Info!$B$4="Board program (Medicine)",
IF(OR(AND(AI$5&gt;0,AI$5&gt;100),AND(AI$5&gt;0,AI$5&lt;100)),
VLOOKUP(FLOOR(('Final Term'!AI27/AI$5)*100,1),new_transmute,4,FALSE),
VLOOKUP('Final Term'!AI27,new_transmute,4,FALSE)
),
""
)
)
)
)
)
)
)
)
))</f>
        <v/>
      </c>
      <c r="AJ27" s="73" t="str">
        <f>IF($B27="","",
IF(AJ$5="","",
IF('Final Term'!AJ27="",0,
IF(NOT(ISNUMBER('Final Term'!AJ27)),"NAN",
IF('Final Term'!AJ27&lt;0,"NEG",
IF('Final Term'!AJ27&gt;AJ$5,"OVER",
IF(AND(AJ$5&lt;=100,'Final Term'!AJ27&gt;100),"ERR",
IF(Info!$B$4="Non-board program",
IF(OR(AND(AJ$5&gt;0,AJ$5&gt;100),AND(AJ$5&gt;0,AJ$5&lt;100)),
VLOOKUP(FLOOR(('Final Term'!AJ27/AJ$5)*100,1),new_transmute,2,FALSE),
VLOOKUP('Final Term'!AJ27,new_transmute,2,FALSE)
),
IF(Info!$B$4="Board program",
IF(OR(AND(AJ$5&gt;0,AJ$5&gt;100),AND(AJ$5&gt;0,AJ$5&lt;100)),
VLOOKUP(FLOOR(('Final Term'!AJ27/AJ$5)*100,1),new_transmute,3,FALSE),
VLOOKUP('Final Term'!AJ27,new_transmute,3,FALSE)
),
IF(Info!$B$4="Board program (Medicine)",
IF(OR(AND(AJ$5&gt;0,AJ$5&gt;100),AND(AJ$5&gt;0,AJ$5&lt;100)),
VLOOKUP(FLOOR(('Final Term'!AJ27/AJ$5)*100,1),new_transmute,4,FALSE),
VLOOKUP('Final Term'!AJ27,new_transmute,4,FALSE)
),
""
)
)
)
)
)
)
)
)
))</f>
        <v/>
      </c>
      <c r="AK27" s="59" t="str">
        <f t="shared" si="6"/>
        <v/>
      </c>
      <c r="AL27" s="60" t="str">
        <f>IF(B27="", "",
    IF(OR(M27="OVER", S27="OVER", Y27="OVER", AE27="OVER", AK27="OVER"),
        "OVER",
        IF(Info!$B$4="Non-board program",
            VLOOKUP(IFERROR(FLOOR(SUM((M27*$M$4), (S27*$S$4), (Y27*$Y$4), (AE27*$AE$4), (AK27*$AK$4)) * (100 / 60), 1), 0), new_transmute, 2, FALSE),
            IF(Info!$B$4="Board program",
                VLOOKUP(IFERROR(FLOOR(SUM((M27*$M$4), (S27*$S$4), (Y27*$Y$4), (AE27*$AE$4), (AK27*$AK$4)) * (100 / 60), 1), 0), new_transmute, 3, FALSE),
                IF(Info!$B$4="Board program (Medicine)",
                    VLOOKUP(IFERROR(FLOOR(SUM((M27*$M$4), (S27*$S$4), (Y27*$Y$4), (AE27*$AE$4), (AK27*$AK$4)) * (100 / 60), 1), 0), new_transmute, 4, FALSE),
                    ""
                )
            )
        )
    )
)</f>
        <v/>
      </c>
      <c r="AM27" s="73" t="str">
        <f>IF($B27="","",
IF(AM$5="","",
IF('Final Term'!AM27="",0,
IF(NOT(ISNUMBER('Final Term'!AM27)),"NAN",
IF('Final Term'!AM27&lt;0,"NEG",
IF('Final Term'!AM27&gt;AM$5,"OVER",
IF(AND(AM$5&lt;=100,'Final Term'!AM27&gt;100),"ERR",
IF(Info!$B$4="Non-board program",
IF(OR(AND(AM$5&gt;0,AM$5&gt;100),AND(AM$5&gt;0,AM$5&lt;100)),
VLOOKUP(FLOOR(('Final Term'!AM27/AM$5)*100,1),new_transmute,2,FALSE),
VLOOKUP('Final Term'!AM27,new_transmute,2,FALSE)
),
IF(Info!$B$4="Board program",
IF(OR(AND(AM$5&gt;0,AM$5&gt;100),AND(AM$5&gt;0,AM$5&lt;100)),
VLOOKUP(FLOOR(('Final Term'!AM27/AM$5)*100,1),new_transmute,3,FALSE),
VLOOKUP('Final Term'!AM27,new_transmute,3,FALSE)
),
IF(Info!$B$4="Board program (Medicine)",
IF(OR(AND(AM$5&gt;0,AM$5&gt;100),AND(AM$5&gt;0,AM$5&lt;100)),
VLOOKUP(FLOOR(('Final Term'!AM27/AM$5)*100,1),new_transmute,4,FALSE),
VLOOKUP('Final Term'!AM27,new_transmute,4,FALSE)
),
""
)
)
)
)
)
)
)
)
))</f>
        <v/>
      </c>
      <c r="AN27" s="73" t="str">
        <f>IF($B27="","",
IF(AN$5="","",
IF('Final Term'!AN27="",0,
IF(NOT(ISNUMBER('Final Term'!AN27)),"NAN",
IF('Final Term'!AN27&lt;0,"NEG",
IF('Final Term'!AN27&gt;AN$5,"OVER",
IF(AND(AN$5&lt;=100,'Final Term'!AN27&gt;100),"ERR",
IF(Info!$B$4="Non-board program",
IF(OR(AND(AN$5&gt;0,AN$5&gt;100),AND(AN$5&gt;0,AN$5&lt;100)),
VLOOKUP(FLOOR(('Final Term'!AN27/AN$5)*100,1),new_transmute,2,FALSE),
VLOOKUP('Final Term'!AN27,new_transmute,2,FALSE)
),
IF(Info!$B$4="Board program",
IF(OR(AND(AN$5&gt;0,AN$5&gt;100),AND(AN$5&gt;0,AN$5&lt;100)),
VLOOKUP(FLOOR(('Final Term'!AN27/AN$5)*100,1),new_transmute,3,FALSE),
VLOOKUP('Final Term'!AN27,new_transmute,3,FALSE)
),
IF(Info!$B$4="Board program (Medicine)",
IF(OR(AND(AN$5&gt;0,AN$5&gt;100),AND(AN$5&gt;0,AN$5&lt;100)),
VLOOKUP(FLOOR(('Final Term'!AN27/AN$5)*100,1),new_transmute,4,FALSE),
VLOOKUP('Final Term'!AN27,new_transmute,4,FALSE)
),
""
)
)
)
)
)
)
)
)
))</f>
        <v/>
      </c>
      <c r="AO27" s="73" t="str">
        <f>IF($B27="","",
IF(AO$5="","",
IF('Final Term'!AO27="",0,
IF(NOT(ISNUMBER('Final Term'!AO27)),"NAN",
IF('Final Term'!AO27&lt;0,"NEG",
IF('Final Term'!AO27&gt;AO$5,"OVER",
IF(AND(AO$5&lt;=100,'Final Term'!AO27&gt;100),"ERR",
IF(Info!$B$4="Non-board program",
IF(OR(AND(AO$5&gt;0,AO$5&gt;100),AND(AO$5&gt;0,AO$5&lt;100)),
VLOOKUP(FLOOR(('Final Term'!AO27/AO$5)*100,1),new_transmute,2,FALSE),
VLOOKUP('Final Term'!AO27,new_transmute,2,FALSE)
),
IF(Info!$B$4="Board program",
IF(OR(AND(AO$5&gt;0,AO$5&gt;100),AND(AO$5&gt;0,AO$5&lt;100)),
VLOOKUP(FLOOR(('Final Term'!AO27/AO$5)*100,1),new_transmute,3,FALSE),
VLOOKUP('Final Term'!AO27,new_transmute,3,FALSE)
),
IF(Info!$B$4="Board program (Medicine)",
IF(OR(AND(AO$5&gt;0,AO$5&gt;100),AND(AO$5&gt;0,AO$5&lt;100)),
VLOOKUP(FLOOR(('Final Term'!AO27/AO$5)*100,1),new_transmute,4,FALSE),
VLOOKUP('Final Term'!AO27,new_transmute,4,FALSE)
),
""
)
)
)
)
)
)
)
)
))</f>
        <v/>
      </c>
      <c r="AP27" s="73" t="str">
        <f>IF($B27="","",
IF(AP$5="","",
IF('Final Term'!AP27="",0,
IF(NOT(ISNUMBER('Final Term'!AP27)),"NAN",
IF('Final Term'!AP27&lt;0,"NEG",
IF('Final Term'!AP27&gt;AP$5,"OVER",
IF(AND(AP$5&lt;=100,'Final Term'!AP27&gt;100),"ERR",
IF(Info!$B$4="Non-board program",
IF(OR(AND(AP$5&gt;0,AP$5&gt;100),AND(AP$5&gt;0,AP$5&lt;100)),
VLOOKUP(FLOOR(('Final Term'!AP27/AP$5)*100,1),new_transmute,2,FALSE),
VLOOKUP('Final Term'!AP27,new_transmute,2,FALSE)
),
IF(Info!$B$4="Board program",
IF(OR(AND(AP$5&gt;0,AP$5&gt;100),AND(AP$5&gt;0,AP$5&lt;100)),
VLOOKUP(FLOOR(('Final Term'!AP27/AP$5)*100,1),new_transmute,3,FALSE),
VLOOKUP('Final Term'!AP27,new_transmute,3,FALSE)
),
IF(Info!$B$4="Board program (Medicine)",
IF(OR(AND(AP$5&gt;0,AP$5&gt;100),AND(AP$5&gt;0,AP$5&lt;100)),
VLOOKUP(FLOOR(('Final Term'!AP27/AP$5)*100,1),new_transmute,4,FALSE),
VLOOKUP('Final Term'!AP27,new_transmute,4,FALSE)
),
""
)
)
)
)
)
)
)
)
))</f>
        <v/>
      </c>
      <c r="AQ27" s="61" t="str">
        <f t="shared" si="7"/>
        <v/>
      </c>
      <c r="AR27" s="48" t="str">
        <f>IF('Final Term'!AR27="","",'Final Term'!AR27)</f>
        <v/>
      </c>
      <c r="AS27" s="165" t="str">
        <f t="shared" si="8"/>
        <v/>
      </c>
      <c r="AT27" s="14" t="str">
        <f t="shared" si="0"/>
        <v/>
      </c>
      <c r="AU27" s="13" t="str">
        <f>IF(B27="","",VLOOKUP(AT27,'New Grade Equivalent'!$B$3:$C$47,2,FALSE))</f>
        <v/>
      </c>
    </row>
    <row r="28" spans="1:47" x14ac:dyDescent="0.25">
      <c r="A28" s="8">
        <v>23</v>
      </c>
      <c r="B28" s="2" t="str">
        <f>IF('Student List'!C32="","",UPPER(LEFT('Student List'!C32,FIND(",",'Student List'!C32)-1)))</f>
        <v/>
      </c>
      <c r="C28" s="12" t="str">
        <f>IF('Student List'!C32="","",PROPER(MID('Student List'!C32, FIND(",", 'Student List'!C32) + 2, LEN('Student List'!C32) - FIND(",", 'Student List'!C32) - 1)))</f>
        <v/>
      </c>
      <c r="D28" s="127" t="str">
        <f>IF('Final Term'!D28="","",'Final Term'!D28)</f>
        <v/>
      </c>
      <c r="E28" s="8" t="str">
        <f>IF(MidCom!E28="FA", "FA",
    IF(MidCom!E28="DRP", "DRP",
        IF(MidCom!E28="WF", "WF",
            IF(D28="Yes", "INC",
               IF((SUM('MT Attendance'!AW26) / 3 + SUM('MT Attendance'!AY26) + SUM('FT Attendance'!AW26) / 3 + SUM('FT Attendance'!AY26)) &gt;= 0.2 * (SUMPRODUCT(--(ISTEXT('MT Attendance'!$C$2:$AU$2))) + SUMPRODUCT(--(ISTEXT('FT Attendance'!$C$2:$AU$2)))), "FA",
                   MidCom!E28
                )
            )
        )
    )
)</f>
        <v/>
      </c>
      <c r="F28" s="73" t="str">
        <f>IF($B28="","",
IF(F$5="","",
IF('Final Term'!F28="",0,
IF(NOT(ISNUMBER('Final Term'!F28)),"NAN",
IF('Final Term'!F28&lt;0,"NEG",
IF('Final Term'!F28&gt;F$5,"OVER",
IF(AND(F$5&lt;=100,'Final Term'!F28&gt;100),"ERR",
IF(Info!$B$4="Non-board program",
IF(OR(AND(F$5&gt;0,F$5&gt;100),AND(F$5&gt;0,F$5&lt;100)),
VLOOKUP(FLOOR(('Final Term'!F28/F$5)*100,1),new_transmute,2,FALSE),
VLOOKUP('Final Term'!F28,new_transmute,2,FALSE)
),
IF(Info!$B$4="Board program",
IF(OR(AND(F$5&gt;0,F$5&gt;100),AND(F$5&gt;0,F$5&lt;100)),
VLOOKUP(FLOOR(('Final Term'!F28/F$5)*100,1),new_transmute,3,FALSE),
VLOOKUP('Final Term'!F28,new_transmute,3,FALSE)
),
IF(Info!$B$4="Board program (Medicine)",
IF(OR(AND(F$5&gt;0,F$5&gt;100),AND(F$5&gt;0,F$5&lt;100)),
VLOOKUP(FLOOR(('Final Term'!F28/F$5)*100,1),new_transmute,4,FALSE),
VLOOKUP('Final Term'!F28,new_transmute,4,FALSE)
),
""
)
)
)
)
)
)
)
)
))</f>
        <v/>
      </c>
      <c r="G28" s="57" t="str">
        <f t="shared" si="1"/>
        <v/>
      </c>
      <c r="H28" s="73" t="str">
        <f>IF($B28="","",
IF(H$5="","",
IF('Final Term'!H28="",0,
IF(NOT(ISNUMBER('Final Term'!H28)),"NAN",
IF('Final Term'!H28&lt;0,"NEG",
IF('Final Term'!H28&gt;H$5,"OVER",
IF(AND(H$5&lt;=100,'Final Term'!H28&gt;100),"ERR",
IF(Info!$B$4="Non-board program",
IF(OR(AND(H$5&gt;0,H$5&gt;100),AND(H$5&gt;0,H$5&lt;100)),
VLOOKUP(FLOOR(('Final Term'!H28/H$5)*100,1),new_transmute,2,FALSE),
VLOOKUP('Final Term'!H28,new_transmute,2,FALSE)
),
IF(Info!$B$4="Board program",
IF(OR(AND(H$5&gt;0,H$5&gt;100),AND(H$5&gt;0,H$5&lt;100)),
VLOOKUP(FLOOR(('Final Term'!H28/H$5)*100,1),new_transmute,3,FALSE),
VLOOKUP('Final Term'!H28,new_transmute,3,FALSE)
),
IF(Info!$B$4="Board program (Medicine)",
IF(OR(AND(H$5&gt;0,H$5&gt;100),AND(H$5&gt;0,H$5&lt;100)),
VLOOKUP(FLOOR(('Final Term'!H28/H$5)*100,1),new_transmute,4,FALSE),
VLOOKUP('Final Term'!H28,new_transmute,4,FALSE)
),
""
)
)
)
)
)
)
)
)
))</f>
        <v/>
      </c>
      <c r="I28" s="73" t="str">
        <f>IF($B28="","",
IF(I$5="","",
IF('Final Term'!I28="",0,
IF(NOT(ISNUMBER('Final Term'!I28)),"NAN",
IF('Final Term'!I28&lt;0,"NEG",
IF('Final Term'!I28&gt;I$5,"OVER",
IF(AND(I$5&lt;=100,'Final Term'!I28&gt;100),"ERR",
IF(Info!$B$4="Non-board program",
IF(OR(AND(I$5&gt;0,I$5&gt;100),AND(I$5&gt;0,I$5&lt;100)),
VLOOKUP(FLOOR(('Final Term'!I28/I$5)*100,1),new_transmute,2,FALSE),
VLOOKUP('Final Term'!I28,new_transmute,2,FALSE)
),
IF(Info!$B$4="Board program",
IF(OR(AND(I$5&gt;0,I$5&gt;100),AND(I$5&gt;0,I$5&lt;100)),
VLOOKUP(FLOOR(('Final Term'!I28/I$5)*100,1),new_transmute,3,FALSE),
VLOOKUP('Final Term'!I28,new_transmute,3,FALSE)
),
IF(Info!$B$4="Board program (Medicine)",
IF(OR(AND(I$5&gt;0,I$5&gt;100),AND(I$5&gt;0,I$5&lt;100)),
VLOOKUP(FLOOR(('Final Term'!I28/I$5)*100,1),new_transmute,4,FALSE),
VLOOKUP('Final Term'!I28,new_transmute,4,FALSE)
),
""
)
)
)
)
)
)
)
)
))</f>
        <v/>
      </c>
      <c r="J28" s="73" t="str">
        <f>IF($B28="","",
IF(J$5="","",
IF('Final Term'!J28="",0,
IF(NOT(ISNUMBER('Final Term'!J28)),"NAN",
IF('Final Term'!J28&lt;0,"NEG",
IF('Final Term'!J28&gt;J$5,"OVER",
IF(AND(J$5&lt;=100,'Final Term'!J28&gt;100),"ERR",
IF(Info!$B$4="Non-board program",
IF(OR(AND(J$5&gt;0,J$5&gt;100),AND(J$5&gt;0,J$5&lt;100)),
VLOOKUP(FLOOR(('Final Term'!J28/J$5)*100,1),new_transmute,2,FALSE),
VLOOKUP('Final Term'!J28,new_transmute,2,FALSE)
),
IF(Info!$B$4="Board program",
IF(OR(AND(J$5&gt;0,J$5&gt;100),AND(J$5&gt;0,J$5&lt;100)),
VLOOKUP(FLOOR(('Final Term'!J28/J$5)*100,1),new_transmute,3,FALSE),
VLOOKUP('Final Term'!J28,new_transmute,3,FALSE)
),
IF(Info!$B$4="Board program (Medicine)",
IF(OR(AND(J$5&gt;0,J$5&gt;100),AND(J$5&gt;0,J$5&lt;100)),
VLOOKUP(FLOOR(('Final Term'!J28/J$5)*100,1),new_transmute,4,FALSE),
VLOOKUP('Final Term'!J28,new_transmute,4,FALSE)
),
""
)
)
)
)
)
)
)
)
))</f>
        <v/>
      </c>
      <c r="K28" s="73" t="str">
        <f>IF($B28="","",
IF(K$5="","",
IF('Final Term'!K28="",0,
IF(NOT(ISNUMBER('Final Term'!K28)),"NAN",
IF('Final Term'!K28&lt;0,"NEG",
IF('Final Term'!K28&gt;K$5,"OVER",
IF(AND(K$5&lt;=100,'Final Term'!K28&gt;100),"ERR",
IF(Info!$B$4="Non-board program",
IF(OR(AND(K$5&gt;0,K$5&gt;100),AND(K$5&gt;0,K$5&lt;100)),
VLOOKUP(FLOOR(('Final Term'!K28/K$5)*100,1),new_transmute,2,FALSE),
VLOOKUP('Final Term'!K28,new_transmute,2,FALSE)
),
IF(Info!$B$4="Board program",
IF(OR(AND(K$5&gt;0,K$5&gt;100),AND(K$5&gt;0,K$5&lt;100)),
VLOOKUP(FLOOR(('Final Term'!K28/K$5)*100,1),new_transmute,3,FALSE),
VLOOKUP('Final Term'!K28,new_transmute,3,FALSE)
),
IF(Info!$B$4="Board program (Medicine)",
IF(OR(AND(K$5&gt;0,K$5&gt;100),AND(K$5&gt;0,K$5&lt;100)),
VLOOKUP(FLOOR(('Final Term'!K28/K$5)*100,1),new_transmute,4,FALSE),
VLOOKUP('Final Term'!K28,new_transmute,4,FALSE)
),
""
)
)
)
)
)
)
)
)
))</f>
        <v/>
      </c>
      <c r="L28" s="73" t="str">
        <f>IF($B28="","",
IF(L$5="","",
IF('Final Term'!L28="",0,
IF(NOT(ISNUMBER('Final Term'!L28)),"NAN",
IF('Final Term'!L28&lt;0,"NEG",
IF('Final Term'!L28&gt;L$5,"OVER",
IF(AND(L$5&lt;=100,'Final Term'!L28&gt;100),"ERR",
IF(Info!$B$4="Non-board program",
IF(OR(AND(L$5&gt;0,L$5&gt;100),AND(L$5&gt;0,L$5&lt;100)),
VLOOKUP(FLOOR(('Final Term'!L28/L$5)*100,1),new_transmute,2,FALSE),
VLOOKUP('Final Term'!L28,new_transmute,2,FALSE)
),
IF(Info!$B$4="Board program",
IF(OR(AND(L$5&gt;0,L$5&gt;100),AND(L$5&gt;0,L$5&lt;100)),
VLOOKUP(FLOOR(('Final Term'!L28/L$5)*100,1),new_transmute,3,FALSE),
VLOOKUP('Final Term'!L28,new_transmute,3,FALSE)
),
IF(Info!$B$4="Board program (Medicine)",
IF(OR(AND(L$5&gt;0,L$5&gt;100),AND(L$5&gt;0,L$5&lt;100)),
VLOOKUP(FLOOR(('Final Term'!L28/L$5)*100,1),new_transmute,4,FALSE),
VLOOKUP('Final Term'!L28,new_transmute,4,FALSE)
),
""
)
)
)
)
)
)
)
)
))</f>
        <v/>
      </c>
      <c r="M28" s="111" t="str">
        <f t="shared" si="2"/>
        <v/>
      </c>
      <c r="N28" s="73" t="str">
        <f>IF($B28="","",
IF(N$5="","",
IF('Final Term'!N28="",0,
IF(NOT(ISNUMBER('Final Term'!N28)),"NAN",
IF('Final Term'!N28&lt;0,"NEG",
IF('Final Term'!N28&gt;N$5,"OVER",
IF(AND(N$5&lt;=100,'Final Term'!N28&gt;100),"ERR",
IF(Info!$B$4="Non-board program",
IF(OR(AND(N$5&gt;0,N$5&gt;100),AND(N$5&gt;0,N$5&lt;100)),
VLOOKUP(FLOOR(('Final Term'!N28/N$5)*100,1),new_transmute,2,FALSE),
VLOOKUP('Final Term'!N28,new_transmute,2,FALSE)
),
IF(Info!$B$4="Board program",
IF(OR(AND(N$5&gt;0,N$5&gt;100),AND(N$5&gt;0,N$5&lt;100)),
VLOOKUP(FLOOR(('Final Term'!N28/N$5)*100,1),new_transmute,3,FALSE),
VLOOKUP('Final Term'!N28,new_transmute,3,FALSE)
),
IF(Info!$B$4="Board program (Medicine)",
IF(OR(AND(N$5&gt;0,N$5&gt;100),AND(N$5&gt;0,N$5&lt;100)),
VLOOKUP(FLOOR(('Final Term'!N28/N$5)*100,1),new_transmute,4,FALSE),
VLOOKUP('Final Term'!N28,new_transmute,4,FALSE)
),
""
)
)
)
)
)
)
)
)
))</f>
        <v/>
      </c>
      <c r="O28" s="73" t="str">
        <f>IF($B28="","",
IF(O$5="","",
IF('Final Term'!O28="",0,
IF(NOT(ISNUMBER('Final Term'!O28)),"NAN",
IF('Final Term'!O28&lt;0,"NEG",
IF('Final Term'!O28&gt;O$5,"OVER",
IF(AND(O$5&lt;=100,'Final Term'!O28&gt;100),"ERR",
IF(Info!$B$4="Non-board program",
IF(OR(AND(O$5&gt;0,O$5&gt;100),AND(O$5&gt;0,O$5&lt;100)),
VLOOKUP(FLOOR(('Final Term'!O28/O$5)*100,1),new_transmute,2,FALSE),
VLOOKUP('Final Term'!O28,new_transmute,2,FALSE)
),
IF(Info!$B$4="Board program",
IF(OR(AND(O$5&gt;0,O$5&gt;100),AND(O$5&gt;0,O$5&lt;100)),
VLOOKUP(FLOOR(('Final Term'!O28/O$5)*100,1),new_transmute,3,FALSE),
VLOOKUP('Final Term'!O28,new_transmute,3,FALSE)
),
IF(Info!$B$4="Board program (Medicine)",
IF(OR(AND(O$5&gt;0,O$5&gt;100),AND(O$5&gt;0,O$5&lt;100)),
VLOOKUP(FLOOR(('Final Term'!O28/O$5)*100,1),new_transmute,4,FALSE),
VLOOKUP('Final Term'!O28,new_transmute,4,FALSE)
),
""
)
)
)
)
)
)
)
)
))</f>
        <v/>
      </c>
      <c r="P28" s="73" t="str">
        <f>IF($B28="","",
IF(P$5="","",
IF('Final Term'!P28="",0,
IF(NOT(ISNUMBER('Final Term'!P28)),"NAN",
IF('Final Term'!P28&lt;0,"NEG",
IF('Final Term'!P28&gt;P$5,"OVER",
IF(AND(P$5&lt;=100,'Final Term'!P28&gt;100),"ERR",
IF(Info!$B$4="Non-board program",
IF(OR(AND(P$5&gt;0,P$5&gt;100),AND(P$5&gt;0,P$5&lt;100)),
VLOOKUP(FLOOR(('Final Term'!P28/P$5)*100,1),new_transmute,2,FALSE),
VLOOKUP('Final Term'!P28,new_transmute,2,FALSE)
),
IF(Info!$B$4="Board program",
IF(OR(AND(P$5&gt;0,P$5&gt;100),AND(P$5&gt;0,P$5&lt;100)),
VLOOKUP(FLOOR(('Final Term'!P28/P$5)*100,1),new_transmute,3,FALSE),
VLOOKUP('Final Term'!P28,new_transmute,3,FALSE)
),
IF(Info!$B$4="Board program (Medicine)",
IF(OR(AND(P$5&gt;0,P$5&gt;100),AND(P$5&gt;0,P$5&lt;100)),
VLOOKUP(FLOOR(('Final Term'!P28/P$5)*100,1),new_transmute,4,FALSE),
VLOOKUP('Final Term'!P28,new_transmute,4,FALSE)
),
""
)
)
)
)
)
)
)
)
))</f>
        <v/>
      </c>
      <c r="Q28" s="73" t="str">
        <f>IF($B28="","",
IF(Q$5="","",
IF('Final Term'!Q28="",0,
IF(NOT(ISNUMBER('Final Term'!Q28)),"NAN",
IF('Final Term'!Q28&lt;0,"NEG",
IF('Final Term'!Q28&gt;Q$5,"OVER",
IF(AND(Q$5&lt;=100,'Final Term'!Q28&gt;100),"ERR",
IF(Info!$B$4="Non-board program",
IF(OR(AND(Q$5&gt;0,Q$5&gt;100),AND(Q$5&gt;0,Q$5&lt;100)),
VLOOKUP(FLOOR(('Final Term'!Q28/Q$5)*100,1),new_transmute,2,FALSE),
VLOOKUP('Final Term'!Q28,new_transmute,2,FALSE)
),
IF(Info!$B$4="Board program",
IF(OR(AND(Q$5&gt;0,Q$5&gt;100),AND(Q$5&gt;0,Q$5&lt;100)),
VLOOKUP(FLOOR(('Final Term'!Q28/Q$5)*100,1),new_transmute,3,FALSE),
VLOOKUP('Final Term'!Q28,new_transmute,3,FALSE)
),
IF(Info!$B$4="Board program (Medicine)",
IF(OR(AND(Q$5&gt;0,Q$5&gt;100),AND(Q$5&gt;0,Q$5&lt;100)),
VLOOKUP(FLOOR(('Final Term'!Q28/Q$5)*100,1),new_transmute,4,FALSE),
VLOOKUP('Final Term'!Q28,new_transmute,4,FALSE)
),
""
)
)
)
)
)
)
)
)
))</f>
        <v/>
      </c>
      <c r="R28" s="73" t="str">
        <f>IF($B28="","",
IF(R$5="","",
IF('Final Term'!R28="",0,
IF(NOT(ISNUMBER('Final Term'!R28)),"NAN",
IF('Final Term'!R28&lt;0,"NEG",
IF('Final Term'!R28&gt;R$5,"OVER",
IF(AND(R$5&lt;=100,'Final Term'!R28&gt;100),"ERR",
IF(Info!$B$4="Non-board program",
IF(OR(AND(R$5&gt;0,R$5&gt;100),AND(R$5&gt;0,R$5&lt;100)),
VLOOKUP(FLOOR(('Final Term'!R28/R$5)*100,1),new_transmute,2,FALSE),
VLOOKUP('Final Term'!R28,new_transmute,2,FALSE)
),
IF(Info!$B$4="Board program",
IF(OR(AND(R$5&gt;0,R$5&gt;100),AND(R$5&gt;0,R$5&lt;100)),
VLOOKUP(FLOOR(('Final Term'!R28/R$5)*100,1),new_transmute,3,FALSE),
VLOOKUP('Final Term'!R28,new_transmute,3,FALSE)
),
IF(Info!$B$4="Board program (Medicine)",
IF(OR(AND(R$5&gt;0,R$5&gt;100),AND(R$5&gt;0,R$5&lt;100)),
VLOOKUP(FLOOR(('Final Term'!R28/R$5)*100,1),new_transmute,4,FALSE),
VLOOKUP('Final Term'!R28,new_transmute,4,FALSE)
),
""
)
)
)
)
)
)
)
)
))</f>
        <v/>
      </c>
      <c r="S28" s="115" t="str">
        <f t="shared" si="3"/>
        <v/>
      </c>
      <c r="T28" s="73" t="str">
        <f>IF($B28="","",
IF(T$5="","",
IF('Final Term'!T28="",0,
IF(NOT(ISNUMBER('Final Term'!T28)),"NAN",
IF('Final Term'!T28&lt;0,"NEG",
IF('Final Term'!T28&gt;T$5,"OVER",
IF(AND(T$5&lt;=100,'Final Term'!T28&gt;100),"ERR",
IF(Info!$B$4="Non-board program",
IF(OR(AND(T$5&gt;0,T$5&gt;100),AND(T$5&gt;0,T$5&lt;100)),
VLOOKUP(FLOOR(('Final Term'!T28/T$5)*100,1),new_transmute,2,FALSE),
VLOOKUP('Final Term'!T28,new_transmute,2,FALSE)
),
IF(Info!$B$4="Board program",
IF(OR(AND(T$5&gt;0,T$5&gt;100),AND(T$5&gt;0,T$5&lt;100)),
VLOOKUP(FLOOR(('Final Term'!T28/T$5)*100,1),new_transmute,3,FALSE),
VLOOKUP('Final Term'!T28,new_transmute,3,FALSE)
),
IF(Info!$B$4="Board program (Medicine)",
IF(OR(AND(T$5&gt;0,T$5&gt;100),AND(T$5&gt;0,T$5&lt;100)),
VLOOKUP(FLOOR(('Final Term'!T28/T$5)*100,1),new_transmute,4,FALSE),
VLOOKUP('Final Term'!T28,new_transmute,4,FALSE)
),
""
)
)
)
)
)
)
)
)
))</f>
        <v/>
      </c>
      <c r="U28" s="73" t="str">
        <f>IF($B28="","",
IF(U$5="","",
IF('Final Term'!U28="",0,
IF(NOT(ISNUMBER('Final Term'!U28)),"NAN",
IF('Final Term'!U28&lt;0,"NEG",
IF('Final Term'!U28&gt;U$5,"OVER",
IF(AND(U$5&lt;=100,'Final Term'!U28&gt;100),"ERR",
IF(Info!$B$4="Non-board program",
IF(OR(AND(U$5&gt;0,U$5&gt;100),AND(U$5&gt;0,U$5&lt;100)),
VLOOKUP(FLOOR(('Final Term'!U28/U$5)*100,1),new_transmute,2,FALSE),
VLOOKUP('Final Term'!U28,new_transmute,2,FALSE)
),
IF(Info!$B$4="Board program",
IF(OR(AND(U$5&gt;0,U$5&gt;100),AND(U$5&gt;0,U$5&lt;100)),
VLOOKUP(FLOOR(('Final Term'!U28/U$5)*100,1),new_transmute,3,FALSE),
VLOOKUP('Final Term'!U28,new_transmute,3,FALSE)
),
IF(Info!$B$4="Board program (Medicine)",
IF(OR(AND(U$5&gt;0,U$5&gt;100),AND(U$5&gt;0,U$5&lt;100)),
VLOOKUP(FLOOR(('Final Term'!U28/U$5)*100,1),new_transmute,4,FALSE),
VLOOKUP('Final Term'!U28,new_transmute,4,FALSE)
),
""
)
)
)
)
)
)
)
)
))</f>
        <v/>
      </c>
      <c r="V28" s="73" t="str">
        <f>IF($B28="","",
IF(V$5="","",
IF('Final Term'!V28="",0,
IF(NOT(ISNUMBER('Final Term'!V28)),"NAN",
IF('Final Term'!V28&lt;0,"NEG",
IF('Final Term'!V28&gt;V$5,"OVER",
IF(AND(V$5&lt;=100,'Final Term'!V28&gt;100),"ERR",
IF(Info!$B$4="Non-board program",
IF(OR(AND(V$5&gt;0,V$5&gt;100),AND(V$5&gt;0,V$5&lt;100)),
VLOOKUP(FLOOR(('Final Term'!V28/V$5)*100,1),new_transmute,2,FALSE),
VLOOKUP('Final Term'!V28,new_transmute,2,FALSE)
),
IF(Info!$B$4="Board program",
IF(OR(AND(V$5&gt;0,V$5&gt;100),AND(V$5&gt;0,V$5&lt;100)),
VLOOKUP(FLOOR(('Final Term'!V28/V$5)*100,1),new_transmute,3,FALSE),
VLOOKUP('Final Term'!V28,new_transmute,3,FALSE)
),
IF(Info!$B$4="Board program (Medicine)",
IF(OR(AND(V$5&gt;0,V$5&gt;100),AND(V$5&gt;0,V$5&lt;100)),
VLOOKUP(FLOOR(('Final Term'!V28/V$5)*100,1),new_transmute,4,FALSE),
VLOOKUP('Final Term'!V28,new_transmute,4,FALSE)
),
""
)
)
)
)
)
)
)
)
))</f>
        <v/>
      </c>
      <c r="W28" s="73" t="str">
        <f>IF($B28="","",
IF(W$5="","",
IF('Final Term'!W28="",0,
IF(NOT(ISNUMBER('Final Term'!W28)),"NAN",
IF('Final Term'!W28&lt;0,"NEG",
IF('Final Term'!W28&gt;W$5,"OVER",
IF(AND(W$5&lt;=100,'Final Term'!W28&gt;100),"ERR",
IF(Info!$B$4="Non-board program",
IF(OR(AND(W$5&gt;0,W$5&gt;100),AND(W$5&gt;0,W$5&lt;100)),
VLOOKUP(FLOOR(('Final Term'!W28/W$5)*100,1),new_transmute,2,FALSE),
VLOOKUP('Final Term'!W28,new_transmute,2,FALSE)
),
IF(Info!$B$4="Board program",
IF(OR(AND(W$5&gt;0,W$5&gt;100),AND(W$5&gt;0,W$5&lt;100)),
VLOOKUP(FLOOR(('Final Term'!W28/W$5)*100,1),new_transmute,3,FALSE),
VLOOKUP('Final Term'!W28,new_transmute,3,FALSE)
),
IF(Info!$B$4="Board program (Medicine)",
IF(OR(AND(W$5&gt;0,W$5&gt;100),AND(W$5&gt;0,W$5&lt;100)),
VLOOKUP(FLOOR(('Final Term'!W28/W$5)*100,1),new_transmute,4,FALSE),
VLOOKUP('Final Term'!W28,new_transmute,4,FALSE)
),
""
)
)
)
)
)
)
)
)
))</f>
        <v/>
      </c>
      <c r="X28" s="73" t="str">
        <f>IF($B28="","",
IF(X$5="","",
IF('Final Term'!X28="",0,
IF(NOT(ISNUMBER('Final Term'!X28)),"NAN",
IF('Final Term'!X28&lt;0,"NEG",
IF('Final Term'!X28&gt;X$5,"OVER",
IF(AND(X$5&lt;=100,'Final Term'!X28&gt;100),"ERR",
IF(Info!$B$4="Non-board program",
IF(OR(AND(X$5&gt;0,X$5&gt;100),AND(X$5&gt;0,X$5&lt;100)),
VLOOKUP(FLOOR(('Final Term'!X28/X$5)*100,1),new_transmute,2,FALSE),
VLOOKUP('Final Term'!X28,new_transmute,2,FALSE)
),
IF(Info!$B$4="Board program",
IF(OR(AND(X$5&gt;0,X$5&gt;100),AND(X$5&gt;0,X$5&lt;100)),
VLOOKUP(FLOOR(('Final Term'!X28/X$5)*100,1),new_transmute,3,FALSE),
VLOOKUP('Final Term'!X28,new_transmute,3,FALSE)
),
IF(Info!$B$4="Board program (Medicine)",
IF(OR(AND(X$5&gt;0,X$5&gt;100),AND(X$5&gt;0,X$5&lt;100)),
VLOOKUP(FLOOR(('Final Term'!X28/X$5)*100,1),new_transmute,4,FALSE),
VLOOKUP('Final Term'!X28,new_transmute,4,FALSE)
),
""
)
)
)
)
)
)
)
)
))</f>
        <v/>
      </c>
      <c r="Y28" s="112" t="str">
        <f t="shared" si="4"/>
        <v/>
      </c>
      <c r="Z28" s="73" t="str">
        <f>IF($B28="","",
IF(Z$5="","",
IF('Final Term'!Z28="",0,
IF(NOT(ISNUMBER('Final Term'!Z28)),"NAN",
IF('Final Term'!Z28&lt;0,"NEG",
IF('Final Term'!Z28&gt;Z$5,"OVER",
IF(AND(Z$5&lt;=100,'Final Term'!Z28&gt;100),"ERR",
IF(Info!$B$4="Non-board program",
IF(OR(AND(Z$5&gt;0,Z$5&gt;100),AND(Z$5&gt;0,Z$5&lt;100)),
VLOOKUP(FLOOR(('Final Term'!Z28/Z$5)*100,1),new_transmute,2,FALSE),
VLOOKUP('Final Term'!Z28,new_transmute,2,FALSE)
),
IF(Info!$B$4="Board program",
IF(OR(AND(Z$5&gt;0,Z$5&gt;100),AND(Z$5&gt;0,Z$5&lt;100)),
VLOOKUP(FLOOR(('Final Term'!Z28/Z$5)*100,1),new_transmute,3,FALSE),
VLOOKUP('Final Term'!Z28,new_transmute,3,FALSE)
),
IF(Info!$B$4="Board program (Medicine)",
IF(OR(AND(Z$5&gt;0,Z$5&gt;100),AND(Z$5&gt;0,Z$5&lt;100)),
VLOOKUP(FLOOR(('Final Term'!Z28/Z$5)*100,1),new_transmute,4,FALSE),
VLOOKUP('Final Term'!Z28,new_transmute,4,FALSE)
),
""
)
)
)
)
)
)
)
)
))</f>
        <v/>
      </c>
      <c r="AA28" s="73" t="str">
        <f>IF($B28="","",
IF(AA$5="","",
IF('Final Term'!AA28="",0,
IF(NOT(ISNUMBER('Final Term'!AA28)),"NAN",
IF('Final Term'!AA28&lt;0,"NEG",
IF('Final Term'!AA28&gt;AA$5,"OVER",
IF(AND(AA$5&lt;=100,'Final Term'!AA28&gt;100),"ERR",
IF(Info!$B$4="Non-board program",
IF(OR(AND(AA$5&gt;0,AA$5&gt;100),AND(AA$5&gt;0,AA$5&lt;100)),
VLOOKUP(FLOOR(('Final Term'!AA28/AA$5)*100,1),new_transmute,2,FALSE),
VLOOKUP('Final Term'!AA28,new_transmute,2,FALSE)
),
IF(Info!$B$4="Board program",
IF(OR(AND(AA$5&gt;0,AA$5&gt;100),AND(AA$5&gt;0,AA$5&lt;100)),
VLOOKUP(FLOOR(('Final Term'!AA28/AA$5)*100,1),new_transmute,3,FALSE),
VLOOKUP('Final Term'!AA28,new_transmute,3,FALSE)
),
IF(Info!$B$4="Board program (Medicine)",
IF(OR(AND(AA$5&gt;0,AA$5&gt;100),AND(AA$5&gt;0,AA$5&lt;100)),
VLOOKUP(FLOOR(('Final Term'!AA28/AA$5)*100,1),new_transmute,4,FALSE),
VLOOKUP('Final Term'!AA28,new_transmute,4,FALSE)
),
""
)
)
)
)
)
)
)
)
))</f>
        <v/>
      </c>
      <c r="AB28" s="73" t="str">
        <f>IF($B28="","",
IF(AB$5="","",
IF('Final Term'!AB28="",0,
IF(NOT(ISNUMBER('Final Term'!AB28)),"NAN",
IF('Final Term'!AB28&lt;0,"NEG",
IF('Final Term'!AB28&gt;AB$5,"OVER",
IF(AND(AB$5&lt;=100,'Final Term'!AB28&gt;100),"ERR",
IF(Info!$B$4="Non-board program",
IF(OR(AND(AB$5&gt;0,AB$5&gt;100),AND(AB$5&gt;0,AB$5&lt;100)),
VLOOKUP(FLOOR(('Final Term'!AB28/AB$5)*100,1),new_transmute,2,FALSE),
VLOOKUP('Final Term'!AB28,new_transmute,2,FALSE)
),
IF(Info!$B$4="Board program",
IF(OR(AND(AB$5&gt;0,AB$5&gt;100),AND(AB$5&gt;0,AB$5&lt;100)),
VLOOKUP(FLOOR(('Final Term'!AB28/AB$5)*100,1),new_transmute,3,FALSE),
VLOOKUP('Final Term'!AB28,new_transmute,3,FALSE)
),
IF(Info!$B$4="Board program (Medicine)",
IF(OR(AND(AB$5&gt;0,AB$5&gt;100),AND(AB$5&gt;0,AB$5&lt;100)),
VLOOKUP(FLOOR(('Final Term'!AB28/AB$5)*100,1),new_transmute,4,FALSE),
VLOOKUP('Final Term'!AB28,new_transmute,4,FALSE)
),
""
)
)
)
)
)
)
)
)
))</f>
        <v/>
      </c>
      <c r="AC28" s="73" t="str">
        <f>IF($B28="","",
IF(AC$5="","",
IF('Final Term'!AC28="",0,
IF(NOT(ISNUMBER('Final Term'!AC28)),"NAN",
IF('Final Term'!AC28&lt;0,"NEG",
IF('Final Term'!AC28&gt;AC$5,"OVER",
IF(AND(AC$5&lt;=100,'Final Term'!AC28&gt;100),"ERR",
IF(Info!$B$4="Non-board program",
IF(OR(AND(AC$5&gt;0,AC$5&gt;100),AND(AC$5&gt;0,AC$5&lt;100)),
VLOOKUP(FLOOR(('Final Term'!AC28/AC$5)*100,1),new_transmute,2,FALSE),
VLOOKUP('Final Term'!AC28,new_transmute,2,FALSE)
),
IF(Info!$B$4="Board program",
IF(OR(AND(AC$5&gt;0,AC$5&gt;100),AND(AC$5&gt;0,AC$5&lt;100)),
VLOOKUP(FLOOR(('Final Term'!AC28/AC$5)*100,1),new_transmute,3,FALSE),
VLOOKUP('Final Term'!AC28,new_transmute,3,FALSE)
),
IF(Info!$B$4="Board program (Medicine)",
IF(OR(AND(AC$5&gt;0,AC$5&gt;100),AND(AC$5&gt;0,AC$5&lt;100)),
VLOOKUP(FLOOR(('Final Term'!AC28/AC$5)*100,1),new_transmute,4,FALSE),
VLOOKUP('Final Term'!AC28,new_transmute,4,FALSE)
),
""
)
)
)
)
)
)
)
)
))</f>
        <v/>
      </c>
      <c r="AD28" s="73" t="str">
        <f>IF($B28="","",
IF(AD$5="","",
IF('Final Term'!AD28="",0,
IF(NOT(ISNUMBER('Final Term'!AD28)),"NAN",
IF('Final Term'!AD28&lt;0,"NEG",
IF('Final Term'!AD28&gt;AD$5,"OVER",
IF(AND(AD$5&lt;=100,'Final Term'!AD28&gt;100),"ERR",
IF(Info!$B$4="Non-board program",
IF(OR(AND(AD$5&gt;0,AD$5&gt;100),AND(AD$5&gt;0,AD$5&lt;100)),
VLOOKUP(FLOOR(('Final Term'!AD28/AD$5)*100,1),new_transmute,2,FALSE),
VLOOKUP('Final Term'!AD28,new_transmute,2,FALSE)
),
IF(Info!$B$4="Board program",
IF(OR(AND(AD$5&gt;0,AD$5&gt;100),AND(AD$5&gt;0,AD$5&lt;100)),
VLOOKUP(FLOOR(('Final Term'!AD28/AD$5)*100,1),new_transmute,3,FALSE),
VLOOKUP('Final Term'!AD28,new_transmute,3,FALSE)
),
IF(Info!$B$4="Board program (Medicine)",
IF(OR(AND(AD$5&gt;0,AD$5&gt;100),AND(AD$5&gt;0,AD$5&lt;100)),
VLOOKUP(FLOOR(('Final Term'!AD28/AD$5)*100,1),new_transmute,4,FALSE),
VLOOKUP('Final Term'!AD28,new_transmute,4,FALSE)
),
""
)
)
)
)
)
)
)
)
))</f>
        <v/>
      </c>
      <c r="AE28" s="58" t="str">
        <f t="shared" si="5"/>
        <v/>
      </c>
      <c r="AF28" s="73" t="str">
        <f>IF($B28="","",
IF(AF$5="","",
IF('Final Term'!AF28="",0,
IF(NOT(ISNUMBER('Final Term'!AF28)),"NAN",
IF('Final Term'!AF28&lt;0,"NEG",
IF('Final Term'!AF28&gt;AF$5,"OVER",
IF(AND(AF$5&lt;=100,'Final Term'!AF28&gt;100),"ERR",
IF(Info!$B$4="Non-board program",
IF(OR(AND(AF$5&gt;0,AF$5&gt;100),AND(AF$5&gt;0,AF$5&lt;100)),
VLOOKUP(FLOOR(('Final Term'!AF28/AF$5)*100,1),new_transmute,2,FALSE),
VLOOKUP('Final Term'!AF28,new_transmute,2,FALSE)
),
IF(Info!$B$4="Board program",
IF(OR(AND(AF$5&gt;0,AF$5&gt;100),AND(AF$5&gt;0,AF$5&lt;100)),
VLOOKUP(FLOOR(('Final Term'!AF28/AF$5)*100,1),new_transmute,3,FALSE),
VLOOKUP('Final Term'!AF28,new_transmute,3,FALSE)
),
IF(Info!$B$4="Board program (Medicine)",
IF(OR(AND(AF$5&gt;0,AF$5&gt;100),AND(AF$5&gt;0,AF$5&lt;100)),
VLOOKUP(FLOOR(('Final Term'!AF28/AF$5)*100,1),new_transmute,4,FALSE),
VLOOKUP('Final Term'!AF28,new_transmute,4,FALSE)
),
""
)
)
)
)
)
)
)
)
))</f>
        <v/>
      </c>
      <c r="AG28" s="73" t="str">
        <f>IF($B28="","",
IF(AG$5="","",
IF('Final Term'!AG28="",0,
IF(NOT(ISNUMBER('Final Term'!AG28)),"NAN",
IF('Final Term'!AG28&lt;0,"NEG",
IF('Final Term'!AG28&gt;AG$5,"OVER",
IF(AND(AG$5&lt;=100,'Final Term'!AG28&gt;100),"ERR",
IF(Info!$B$4="Non-board program",
IF(OR(AND(AG$5&gt;0,AG$5&gt;100),AND(AG$5&gt;0,AG$5&lt;100)),
VLOOKUP(FLOOR(('Final Term'!AG28/AG$5)*100,1),new_transmute,2,FALSE),
VLOOKUP('Final Term'!AG28,new_transmute,2,FALSE)
),
IF(Info!$B$4="Board program",
IF(OR(AND(AG$5&gt;0,AG$5&gt;100),AND(AG$5&gt;0,AG$5&lt;100)),
VLOOKUP(FLOOR(('Final Term'!AG28/AG$5)*100,1),new_transmute,3,FALSE),
VLOOKUP('Final Term'!AG28,new_transmute,3,FALSE)
),
IF(Info!$B$4="Board program (Medicine)",
IF(OR(AND(AG$5&gt;0,AG$5&gt;100),AND(AG$5&gt;0,AG$5&lt;100)),
VLOOKUP(FLOOR(('Final Term'!AG28/AG$5)*100,1),new_transmute,4,FALSE),
VLOOKUP('Final Term'!AG28,new_transmute,4,FALSE)
),
""
)
)
)
)
)
)
)
)
))</f>
        <v/>
      </c>
      <c r="AH28" s="73" t="str">
        <f>IF($B28="","",
IF(AH$5="","",
IF('Final Term'!AH28="",0,
IF(NOT(ISNUMBER('Final Term'!AH28)),"NAN",
IF('Final Term'!AH28&lt;0,"NEG",
IF('Final Term'!AH28&gt;AH$5,"OVER",
IF(AND(AH$5&lt;=100,'Final Term'!AH28&gt;100),"ERR",
IF(Info!$B$4="Non-board program",
IF(OR(AND(AH$5&gt;0,AH$5&gt;100),AND(AH$5&gt;0,AH$5&lt;100)),
VLOOKUP(FLOOR(('Final Term'!AH28/AH$5)*100,1),new_transmute,2,FALSE),
VLOOKUP('Final Term'!AH28,new_transmute,2,FALSE)
),
IF(Info!$B$4="Board program",
IF(OR(AND(AH$5&gt;0,AH$5&gt;100),AND(AH$5&gt;0,AH$5&lt;100)),
VLOOKUP(FLOOR(('Final Term'!AH28/AH$5)*100,1),new_transmute,3,FALSE),
VLOOKUP('Final Term'!AH28,new_transmute,3,FALSE)
),
IF(Info!$B$4="Board program (Medicine)",
IF(OR(AND(AH$5&gt;0,AH$5&gt;100),AND(AH$5&gt;0,AH$5&lt;100)),
VLOOKUP(FLOOR(('Final Term'!AH28/AH$5)*100,1),new_transmute,4,FALSE),
VLOOKUP('Final Term'!AH28,new_transmute,4,FALSE)
),
""
)
)
)
)
)
)
)
)
))</f>
        <v/>
      </c>
      <c r="AI28" s="73" t="str">
        <f>IF($B28="","",
IF(AI$5="","",
IF('Final Term'!AI28="",0,
IF(NOT(ISNUMBER('Final Term'!AI28)),"NAN",
IF('Final Term'!AI28&lt;0,"NEG",
IF('Final Term'!AI28&gt;AI$5,"OVER",
IF(AND(AI$5&lt;=100,'Final Term'!AI28&gt;100),"ERR",
IF(Info!$B$4="Non-board program",
IF(OR(AND(AI$5&gt;0,AI$5&gt;100),AND(AI$5&gt;0,AI$5&lt;100)),
VLOOKUP(FLOOR(('Final Term'!AI28/AI$5)*100,1),new_transmute,2,FALSE),
VLOOKUP('Final Term'!AI28,new_transmute,2,FALSE)
),
IF(Info!$B$4="Board program",
IF(OR(AND(AI$5&gt;0,AI$5&gt;100),AND(AI$5&gt;0,AI$5&lt;100)),
VLOOKUP(FLOOR(('Final Term'!AI28/AI$5)*100,1),new_transmute,3,FALSE),
VLOOKUP('Final Term'!AI28,new_transmute,3,FALSE)
),
IF(Info!$B$4="Board program (Medicine)",
IF(OR(AND(AI$5&gt;0,AI$5&gt;100),AND(AI$5&gt;0,AI$5&lt;100)),
VLOOKUP(FLOOR(('Final Term'!AI28/AI$5)*100,1),new_transmute,4,FALSE),
VLOOKUP('Final Term'!AI28,new_transmute,4,FALSE)
),
""
)
)
)
)
)
)
)
)
))</f>
        <v/>
      </c>
      <c r="AJ28" s="73" t="str">
        <f>IF($B28="","",
IF(AJ$5="","",
IF('Final Term'!AJ28="",0,
IF(NOT(ISNUMBER('Final Term'!AJ28)),"NAN",
IF('Final Term'!AJ28&lt;0,"NEG",
IF('Final Term'!AJ28&gt;AJ$5,"OVER",
IF(AND(AJ$5&lt;=100,'Final Term'!AJ28&gt;100),"ERR",
IF(Info!$B$4="Non-board program",
IF(OR(AND(AJ$5&gt;0,AJ$5&gt;100),AND(AJ$5&gt;0,AJ$5&lt;100)),
VLOOKUP(FLOOR(('Final Term'!AJ28/AJ$5)*100,1),new_transmute,2,FALSE),
VLOOKUP('Final Term'!AJ28,new_transmute,2,FALSE)
),
IF(Info!$B$4="Board program",
IF(OR(AND(AJ$5&gt;0,AJ$5&gt;100),AND(AJ$5&gt;0,AJ$5&lt;100)),
VLOOKUP(FLOOR(('Final Term'!AJ28/AJ$5)*100,1),new_transmute,3,FALSE),
VLOOKUP('Final Term'!AJ28,new_transmute,3,FALSE)
),
IF(Info!$B$4="Board program (Medicine)",
IF(OR(AND(AJ$5&gt;0,AJ$5&gt;100),AND(AJ$5&gt;0,AJ$5&lt;100)),
VLOOKUP(FLOOR(('Final Term'!AJ28/AJ$5)*100,1),new_transmute,4,FALSE),
VLOOKUP('Final Term'!AJ28,new_transmute,4,FALSE)
),
""
)
)
)
)
)
)
)
)
))</f>
        <v/>
      </c>
      <c r="AK28" s="59" t="str">
        <f t="shared" si="6"/>
        <v/>
      </c>
      <c r="AL28" s="60" t="str">
        <f>IF(B28="", "",
    IF(OR(M28="OVER", S28="OVER", Y28="OVER", AE28="OVER", AK28="OVER"),
        "OVER",
        IF(Info!$B$4="Non-board program",
            VLOOKUP(IFERROR(FLOOR(SUM((M28*$M$4), (S28*$S$4), (Y28*$Y$4), (AE28*$AE$4), (AK28*$AK$4)) * (100 / 60), 1), 0), new_transmute, 2, FALSE),
            IF(Info!$B$4="Board program",
                VLOOKUP(IFERROR(FLOOR(SUM((M28*$M$4), (S28*$S$4), (Y28*$Y$4), (AE28*$AE$4), (AK28*$AK$4)) * (100 / 60), 1), 0), new_transmute, 3, FALSE),
                IF(Info!$B$4="Board program (Medicine)",
                    VLOOKUP(IFERROR(FLOOR(SUM((M28*$M$4), (S28*$S$4), (Y28*$Y$4), (AE28*$AE$4), (AK28*$AK$4)) * (100 / 60), 1), 0), new_transmute, 4, FALSE),
                    ""
                )
            )
        )
    )
)</f>
        <v/>
      </c>
      <c r="AM28" s="73" t="str">
        <f>IF($B28="","",
IF(AM$5="","",
IF('Final Term'!AM28="",0,
IF(NOT(ISNUMBER('Final Term'!AM28)),"NAN",
IF('Final Term'!AM28&lt;0,"NEG",
IF('Final Term'!AM28&gt;AM$5,"OVER",
IF(AND(AM$5&lt;=100,'Final Term'!AM28&gt;100),"ERR",
IF(Info!$B$4="Non-board program",
IF(OR(AND(AM$5&gt;0,AM$5&gt;100),AND(AM$5&gt;0,AM$5&lt;100)),
VLOOKUP(FLOOR(('Final Term'!AM28/AM$5)*100,1),new_transmute,2,FALSE),
VLOOKUP('Final Term'!AM28,new_transmute,2,FALSE)
),
IF(Info!$B$4="Board program",
IF(OR(AND(AM$5&gt;0,AM$5&gt;100),AND(AM$5&gt;0,AM$5&lt;100)),
VLOOKUP(FLOOR(('Final Term'!AM28/AM$5)*100,1),new_transmute,3,FALSE),
VLOOKUP('Final Term'!AM28,new_transmute,3,FALSE)
),
IF(Info!$B$4="Board program (Medicine)",
IF(OR(AND(AM$5&gt;0,AM$5&gt;100),AND(AM$5&gt;0,AM$5&lt;100)),
VLOOKUP(FLOOR(('Final Term'!AM28/AM$5)*100,1),new_transmute,4,FALSE),
VLOOKUP('Final Term'!AM28,new_transmute,4,FALSE)
),
""
)
)
)
)
)
)
)
)
))</f>
        <v/>
      </c>
      <c r="AN28" s="73" t="str">
        <f>IF($B28="","",
IF(AN$5="","",
IF('Final Term'!AN28="",0,
IF(NOT(ISNUMBER('Final Term'!AN28)),"NAN",
IF('Final Term'!AN28&lt;0,"NEG",
IF('Final Term'!AN28&gt;AN$5,"OVER",
IF(AND(AN$5&lt;=100,'Final Term'!AN28&gt;100),"ERR",
IF(Info!$B$4="Non-board program",
IF(OR(AND(AN$5&gt;0,AN$5&gt;100),AND(AN$5&gt;0,AN$5&lt;100)),
VLOOKUP(FLOOR(('Final Term'!AN28/AN$5)*100,1),new_transmute,2,FALSE),
VLOOKUP('Final Term'!AN28,new_transmute,2,FALSE)
),
IF(Info!$B$4="Board program",
IF(OR(AND(AN$5&gt;0,AN$5&gt;100),AND(AN$5&gt;0,AN$5&lt;100)),
VLOOKUP(FLOOR(('Final Term'!AN28/AN$5)*100,1),new_transmute,3,FALSE),
VLOOKUP('Final Term'!AN28,new_transmute,3,FALSE)
),
IF(Info!$B$4="Board program (Medicine)",
IF(OR(AND(AN$5&gt;0,AN$5&gt;100),AND(AN$5&gt;0,AN$5&lt;100)),
VLOOKUP(FLOOR(('Final Term'!AN28/AN$5)*100,1),new_transmute,4,FALSE),
VLOOKUP('Final Term'!AN28,new_transmute,4,FALSE)
),
""
)
)
)
)
)
)
)
)
))</f>
        <v/>
      </c>
      <c r="AO28" s="73" t="str">
        <f>IF($B28="","",
IF(AO$5="","",
IF('Final Term'!AO28="",0,
IF(NOT(ISNUMBER('Final Term'!AO28)),"NAN",
IF('Final Term'!AO28&lt;0,"NEG",
IF('Final Term'!AO28&gt;AO$5,"OVER",
IF(AND(AO$5&lt;=100,'Final Term'!AO28&gt;100),"ERR",
IF(Info!$B$4="Non-board program",
IF(OR(AND(AO$5&gt;0,AO$5&gt;100),AND(AO$5&gt;0,AO$5&lt;100)),
VLOOKUP(FLOOR(('Final Term'!AO28/AO$5)*100,1),new_transmute,2,FALSE),
VLOOKUP('Final Term'!AO28,new_transmute,2,FALSE)
),
IF(Info!$B$4="Board program",
IF(OR(AND(AO$5&gt;0,AO$5&gt;100),AND(AO$5&gt;0,AO$5&lt;100)),
VLOOKUP(FLOOR(('Final Term'!AO28/AO$5)*100,1),new_transmute,3,FALSE),
VLOOKUP('Final Term'!AO28,new_transmute,3,FALSE)
),
IF(Info!$B$4="Board program (Medicine)",
IF(OR(AND(AO$5&gt;0,AO$5&gt;100),AND(AO$5&gt;0,AO$5&lt;100)),
VLOOKUP(FLOOR(('Final Term'!AO28/AO$5)*100,1),new_transmute,4,FALSE),
VLOOKUP('Final Term'!AO28,new_transmute,4,FALSE)
),
""
)
)
)
)
)
)
)
)
))</f>
        <v/>
      </c>
      <c r="AP28" s="73" t="str">
        <f>IF($B28="","",
IF(AP$5="","",
IF('Final Term'!AP28="",0,
IF(NOT(ISNUMBER('Final Term'!AP28)),"NAN",
IF('Final Term'!AP28&lt;0,"NEG",
IF('Final Term'!AP28&gt;AP$5,"OVER",
IF(AND(AP$5&lt;=100,'Final Term'!AP28&gt;100),"ERR",
IF(Info!$B$4="Non-board program",
IF(OR(AND(AP$5&gt;0,AP$5&gt;100),AND(AP$5&gt;0,AP$5&lt;100)),
VLOOKUP(FLOOR(('Final Term'!AP28/AP$5)*100,1),new_transmute,2,FALSE),
VLOOKUP('Final Term'!AP28,new_transmute,2,FALSE)
),
IF(Info!$B$4="Board program",
IF(OR(AND(AP$5&gt;0,AP$5&gt;100),AND(AP$5&gt;0,AP$5&lt;100)),
VLOOKUP(FLOOR(('Final Term'!AP28/AP$5)*100,1),new_transmute,3,FALSE),
VLOOKUP('Final Term'!AP28,new_transmute,3,FALSE)
),
IF(Info!$B$4="Board program (Medicine)",
IF(OR(AND(AP$5&gt;0,AP$5&gt;100),AND(AP$5&gt;0,AP$5&lt;100)),
VLOOKUP(FLOOR(('Final Term'!AP28/AP$5)*100,1),new_transmute,4,FALSE),
VLOOKUP('Final Term'!AP28,new_transmute,4,FALSE)
),
""
)
)
)
)
)
)
)
)
))</f>
        <v/>
      </c>
      <c r="AQ28" s="61" t="str">
        <f t="shared" si="7"/>
        <v/>
      </c>
      <c r="AR28" s="48" t="str">
        <f>IF('Final Term'!AR28="","",'Final Term'!AR28)</f>
        <v/>
      </c>
      <c r="AS28" s="165" t="str">
        <f t="shared" si="8"/>
        <v/>
      </c>
      <c r="AT28" s="14" t="str">
        <f t="shared" si="0"/>
        <v/>
      </c>
      <c r="AU28" s="13" t="str">
        <f>IF(B28="","",VLOOKUP(AT28,'New Grade Equivalent'!$B$3:$C$47,2,FALSE))</f>
        <v/>
      </c>
    </row>
    <row r="29" spans="1:47" x14ac:dyDescent="0.25">
      <c r="A29" s="8">
        <v>24</v>
      </c>
      <c r="B29" s="2" t="str">
        <f>IF('Student List'!C33="","",UPPER(LEFT('Student List'!C33,FIND(",",'Student List'!C33)-1)))</f>
        <v/>
      </c>
      <c r="C29" s="12" t="str">
        <f>IF('Student List'!C33="","",PROPER(MID('Student List'!C33, FIND(",", 'Student List'!C33) + 2, LEN('Student List'!C33) - FIND(",", 'Student List'!C33) - 1)))</f>
        <v/>
      </c>
      <c r="D29" s="127" t="str">
        <f>IF('Final Term'!D29="","",'Final Term'!D29)</f>
        <v/>
      </c>
      <c r="E29" s="8" t="str">
        <f>IF(MidCom!E29="FA", "FA",
    IF(MidCom!E29="DRP", "DRP",
        IF(MidCom!E29="WF", "WF",
            IF(D29="Yes", "INC",
               IF((SUM('MT Attendance'!AW27) / 3 + SUM('MT Attendance'!AY27) + SUM('FT Attendance'!AW27) / 3 + SUM('FT Attendance'!AY27)) &gt;= 0.2 * (SUMPRODUCT(--(ISTEXT('MT Attendance'!$C$2:$AU$2))) + SUMPRODUCT(--(ISTEXT('FT Attendance'!$C$2:$AU$2)))), "FA",
                   MidCom!E29
                )
            )
        )
    )
)</f>
        <v/>
      </c>
      <c r="F29" s="73" t="str">
        <f>IF($B29="","",
IF(F$5="","",
IF('Final Term'!F29="",0,
IF(NOT(ISNUMBER('Final Term'!F29)),"NAN",
IF('Final Term'!F29&lt;0,"NEG",
IF('Final Term'!F29&gt;F$5,"OVER",
IF(AND(F$5&lt;=100,'Final Term'!F29&gt;100),"ERR",
IF(Info!$B$4="Non-board program",
IF(OR(AND(F$5&gt;0,F$5&gt;100),AND(F$5&gt;0,F$5&lt;100)),
VLOOKUP(FLOOR(('Final Term'!F29/F$5)*100,1),new_transmute,2,FALSE),
VLOOKUP('Final Term'!F29,new_transmute,2,FALSE)
),
IF(Info!$B$4="Board program",
IF(OR(AND(F$5&gt;0,F$5&gt;100),AND(F$5&gt;0,F$5&lt;100)),
VLOOKUP(FLOOR(('Final Term'!F29/F$5)*100,1),new_transmute,3,FALSE),
VLOOKUP('Final Term'!F29,new_transmute,3,FALSE)
),
IF(Info!$B$4="Board program (Medicine)",
IF(OR(AND(F$5&gt;0,F$5&gt;100),AND(F$5&gt;0,F$5&lt;100)),
VLOOKUP(FLOOR(('Final Term'!F29/F$5)*100,1),new_transmute,4,FALSE),
VLOOKUP('Final Term'!F29,new_transmute,4,FALSE)
),
""
)
)
)
)
)
)
)
)
))</f>
        <v/>
      </c>
      <c r="G29" s="57" t="str">
        <f t="shared" si="1"/>
        <v/>
      </c>
      <c r="H29" s="73" t="str">
        <f>IF($B29="","",
IF(H$5="","",
IF('Final Term'!H29="",0,
IF(NOT(ISNUMBER('Final Term'!H29)),"NAN",
IF('Final Term'!H29&lt;0,"NEG",
IF('Final Term'!H29&gt;H$5,"OVER",
IF(AND(H$5&lt;=100,'Final Term'!H29&gt;100),"ERR",
IF(Info!$B$4="Non-board program",
IF(OR(AND(H$5&gt;0,H$5&gt;100),AND(H$5&gt;0,H$5&lt;100)),
VLOOKUP(FLOOR(('Final Term'!H29/H$5)*100,1),new_transmute,2,FALSE),
VLOOKUP('Final Term'!H29,new_transmute,2,FALSE)
),
IF(Info!$B$4="Board program",
IF(OR(AND(H$5&gt;0,H$5&gt;100),AND(H$5&gt;0,H$5&lt;100)),
VLOOKUP(FLOOR(('Final Term'!H29/H$5)*100,1),new_transmute,3,FALSE),
VLOOKUP('Final Term'!H29,new_transmute,3,FALSE)
),
IF(Info!$B$4="Board program (Medicine)",
IF(OR(AND(H$5&gt;0,H$5&gt;100),AND(H$5&gt;0,H$5&lt;100)),
VLOOKUP(FLOOR(('Final Term'!H29/H$5)*100,1),new_transmute,4,FALSE),
VLOOKUP('Final Term'!H29,new_transmute,4,FALSE)
),
""
)
)
)
)
)
)
)
)
))</f>
        <v/>
      </c>
      <c r="I29" s="73" t="str">
        <f>IF($B29="","",
IF(I$5="","",
IF('Final Term'!I29="",0,
IF(NOT(ISNUMBER('Final Term'!I29)),"NAN",
IF('Final Term'!I29&lt;0,"NEG",
IF('Final Term'!I29&gt;I$5,"OVER",
IF(AND(I$5&lt;=100,'Final Term'!I29&gt;100),"ERR",
IF(Info!$B$4="Non-board program",
IF(OR(AND(I$5&gt;0,I$5&gt;100),AND(I$5&gt;0,I$5&lt;100)),
VLOOKUP(FLOOR(('Final Term'!I29/I$5)*100,1),new_transmute,2,FALSE),
VLOOKUP('Final Term'!I29,new_transmute,2,FALSE)
),
IF(Info!$B$4="Board program",
IF(OR(AND(I$5&gt;0,I$5&gt;100),AND(I$5&gt;0,I$5&lt;100)),
VLOOKUP(FLOOR(('Final Term'!I29/I$5)*100,1),new_transmute,3,FALSE),
VLOOKUP('Final Term'!I29,new_transmute,3,FALSE)
),
IF(Info!$B$4="Board program (Medicine)",
IF(OR(AND(I$5&gt;0,I$5&gt;100),AND(I$5&gt;0,I$5&lt;100)),
VLOOKUP(FLOOR(('Final Term'!I29/I$5)*100,1),new_transmute,4,FALSE),
VLOOKUP('Final Term'!I29,new_transmute,4,FALSE)
),
""
)
)
)
)
)
)
)
)
))</f>
        <v/>
      </c>
      <c r="J29" s="73" t="str">
        <f>IF($B29="","",
IF(J$5="","",
IF('Final Term'!J29="",0,
IF(NOT(ISNUMBER('Final Term'!J29)),"NAN",
IF('Final Term'!J29&lt;0,"NEG",
IF('Final Term'!J29&gt;J$5,"OVER",
IF(AND(J$5&lt;=100,'Final Term'!J29&gt;100),"ERR",
IF(Info!$B$4="Non-board program",
IF(OR(AND(J$5&gt;0,J$5&gt;100),AND(J$5&gt;0,J$5&lt;100)),
VLOOKUP(FLOOR(('Final Term'!J29/J$5)*100,1),new_transmute,2,FALSE),
VLOOKUP('Final Term'!J29,new_transmute,2,FALSE)
),
IF(Info!$B$4="Board program",
IF(OR(AND(J$5&gt;0,J$5&gt;100),AND(J$5&gt;0,J$5&lt;100)),
VLOOKUP(FLOOR(('Final Term'!J29/J$5)*100,1),new_transmute,3,FALSE),
VLOOKUP('Final Term'!J29,new_transmute,3,FALSE)
),
IF(Info!$B$4="Board program (Medicine)",
IF(OR(AND(J$5&gt;0,J$5&gt;100),AND(J$5&gt;0,J$5&lt;100)),
VLOOKUP(FLOOR(('Final Term'!J29/J$5)*100,1),new_transmute,4,FALSE),
VLOOKUP('Final Term'!J29,new_transmute,4,FALSE)
),
""
)
)
)
)
)
)
)
)
))</f>
        <v/>
      </c>
      <c r="K29" s="73" t="str">
        <f>IF($B29="","",
IF(K$5="","",
IF('Final Term'!K29="",0,
IF(NOT(ISNUMBER('Final Term'!K29)),"NAN",
IF('Final Term'!K29&lt;0,"NEG",
IF('Final Term'!K29&gt;K$5,"OVER",
IF(AND(K$5&lt;=100,'Final Term'!K29&gt;100),"ERR",
IF(Info!$B$4="Non-board program",
IF(OR(AND(K$5&gt;0,K$5&gt;100),AND(K$5&gt;0,K$5&lt;100)),
VLOOKUP(FLOOR(('Final Term'!K29/K$5)*100,1),new_transmute,2,FALSE),
VLOOKUP('Final Term'!K29,new_transmute,2,FALSE)
),
IF(Info!$B$4="Board program",
IF(OR(AND(K$5&gt;0,K$5&gt;100),AND(K$5&gt;0,K$5&lt;100)),
VLOOKUP(FLOOR(('Final Term'!K29/K$5)*100,1),new_transmute,3,FALSE),
VLOOKUP('Final Term'!K29,new_transmute,3,FALSE)
),
IF(Info!$B$4="Board program (Medicine)",
IF(OR(AND(K$5&gt;0,K$5&gt;100),AND(K$5&gt;0,K$5&lt;100)),
VLOOKUP(FLOOR(('Final Term'!K29/K$5)*100,1),new_transmute,4,FALSE),
VLOOKUP('Final Term'!K29,new_transmute,4,FALSE)
),
""
)
)
)
)
)
)
)
)
))</f>
        <v/>
      </c>
      <c r="L29" s="73" t="str">
        <f>IF($B29="","",
IF(L$5="","",
IF('Final Term'!L29="",0,
IF(NOT(ISNUMBER('Final Term'!L29)),"NAN",
IF('Final Term'!L29&lt;0,"NEG",
IF('Final Term'!L29&gt;L$5,"OVER",
IF(AND(L$5&lt;=100,'Final Term'!L29&gt;100),"ERR",
IF(Info!$B$4="Non-board program",
IF(OR(AND(L$5&gt;0,L$5&gt;100),AND(L$5&gt;0,L$5&lt;100)),
VLOOKUP(FLOOR(('Final Term'!L29/L$5)*100,1),new_transmute,2,FALSE),
VLOOKUP('Final Term'!L29,new_transmute,2,FALSE)
),
IF(Info!$B$4="Board program",
IF(OR(AND(L$5&gt;0,L$5&gt;100),AND(L$5&gt;0,L$5&lt;100)),
VLOOKUP(FLOOR(('Final Term'!L29/L$5)*100,1),new_transmute,3,FALSE),
VLOOKUP('Final Term'!L29,new_transmute,3,FALSE)
),
IF(Info!$B$4="Board program (Medicine)",
IF(OR(AND(L$5&gt;0,L$5&gt;100),AND(L$5&gt;0,L$5&lt;100)),
VLOOKUP(FLOOR(('Final Term'!L29/L$5)*100,1),new_transmute,4,FALSE),
VLOOKUP('Final Term'!L29,new_transmute,4,FALSE)
),
""
)
)
)
)
)
)
)
)
))</f>
        <v/>
      </c>
      <c r="M29" s="111" t="str">
        <f t="shared" si="2"/>
        <v/>
      </c>
      <c r="N29" s="73" t="str">
        <f>IF($B29="","",
IF(N$5="","",
IF('Final Term'!N29="",0,
IF(NOT(ISNUMBER('Final Term'!N29)),"NAN",
IF('Final Term'!N29&lt;0,"NEG",
IF('Final Term'!N29&gt;N$5,"OVER",
IF(AND(N$5&lt;=100,'Final Term'!N29&gt;100),"ERR",
IF(Info!$B$4="Non-board program",
IF(OR(AND(N$5&gt;0,N$5&gt;100),AND(N$5&gt;0,N$5&lt;100)),
VLOOKUP(FLOOR(('Final Term'!N29/N$5)*100,1),new_transmute,2,FALSE),
VLOOKUP('Final Term'!N29,new_transmute,2,FALSE)
),
IF(Info!$B$4="Board program",
IF(OR(AND(N$5&gt;0,N$5&gt;100),AND(N$5&gt;0,N$5&lt;100)),
VLOOKUP(FLOOR(('Final Term'!N29/N$5)*100,1),new_transmute,3,FALSE),
VLOOKUP('Final Term'!N29,new_transmute,3,FALSE)
),
IF(Info!$B$4="Board program (Medicine)",
IF(OR(AND(N$5&gt;0,N$5&gt;100),AND(N$5&gt;0,N$5&lt;100)),
VLOOKUP(FLOOR(('Final Term'!N29/N$5)*100,1),new_transmute,4,FALSE),
VLOOKUP('Final Term'!N29,new_transmute,4,FALSE)
),
""
)
)
)
)
)
)
)
)
))</f>
        <v/>
      </c>
      <c r="O29" s="73" t="str">
        <f>IF($B29="","",
IF(O$5="","",
IF('Final Term'!O29="",0,
IF(NOT(ISNUMBER('Final Term'!O29)),"NAN",
IF('Final Term'!O29&lt;0,"NEG",
IF('Final Term'!O29&gt;O$5,"OVER",
IF(AND(O$5&lt;=100,'Final Term'!O29&gt;100),"ERR",
IF(Info!$B$4="Non-board program",
IF(OR(AND(O$5&gt;0,O$5&gt;100),AND(O$5&gt;0,O$5&lt;100)),
VLOOKUP(FLOOR(('Final Term'!O29/O$5)*100,1),new_transmute,2,FALSE),
VLOOKUP('Final Term'!O29,new_transmute,2,FALSE)
),
IF(Info!$B$4="Board program",
IF(OR(AND(O$5&gt;0,O$5&gt;100),AND(O$5&gt;0,O$5&lt;100)),
VLOOKUP(FLOOR(('Final Term'!O29/O$5)*100,1),new_transmute,3,FALSE),
VLOOKUP('Final Term'!O29,new_transmute,3,FALSE)
),
IF(Info!$B$4="Board program (Medicine)",
IF(OR(AND(O$5&gt;0,O$5&gt;100),AND(O$5&gt;0,O$5&lt;100)),
VLOOKUP(FLOOR(('Final Term'!O29/O$5)*100,1),new_transmute,4,FALSE),
VLOOKUP('Final Term'!O29,new_transmute,4,FALSE)
),
""
)
)
)
)
)
)
)
)
))</f>
        <v/>
      </c>
      <c r="P29" s="73" t="str">
        <f>IF($B29="","",
IF(P$5="","",
IF('Final Term'!P29="",0,
IF(NOT(ISNUMBER('Final Term'!P29)),"NAN",
IF('Final Term'!P29&lt;0,"NEG",
IF('Final Term'!P29&gt;P$5,"OVER",
IF(AND(P$5&lt;=100,'Final Term'!P29&gt;100),"ERR",
IF(Info!$B$4="Non-board program",
IF(OR(AND(P$5&gt;0,P$5&gt;100),AND(P$5&gt;0,P$5&lt;100)),
VLOOKUP(FLOOR(('Final Term'!P29/P$5)*100,1),new_transmute,2,FALSE),
VLOOKUP('Final Term'!P29,new_transmute,2,FALSE)
),
IF(Info!$B$4="Board program",
IF(OR(AND(P$5&gt;0,P$5&gt;100),AND(P$5&gt;0,P$5&lt;100)),
VLOOKUP(FLOOR(('Final Term'!P29/P$5)*100,1),new_transmute,3,FALSE),
VLOOKUP('Final Term'!P29,new_transmute,3,FALSE)
),
IF(Info!$B$4="Board program (Medicine)",
IF(OR(AND(P$5&gt;0,P$5&gt;100),AND(P$5&gt;0,P$5&lt;100)),
VLOOKUP(FLOOR(('Final Term'!P29/P$5)*100,1),new_transmute,4,FALSE),
VLOOKUP('Final Term'!P29,new_transmute,4,FALSE)
),
""
)
)
)
)
)
)
)
)
))</f>
        <v/>
      </c>
      <c r="Q29" s="73" t="str">
        <f>IF($B29="","",
IF(Q$5="","",
IF('Final Term'!Q29="",0,
IF(NOT(ISNUMBER('Final Term'!Q29)),"NAN",
IF('Final Term'!Q29&lt;0,"NEG",
IF('Final Term'!Q29&gt;Q$5,"OVER",
IF(AND(Q$5&lt;=100,'Final Term'!Q29&gt;100),"ERR",
IF(Info!$B$4="Non-board program",
IF(OR(AND(Q$5&gt;0,Q$5&gt;100),AND(Q$5&gt;0,Q$5&lt;100)),
VLOOKUP(FLOOR(('Final Term'!Q29/Q$5)*100,1),new_transmute,2,FALSE),
VLOOKUP('Final Term'!Q29,new_transmute,2,FALSE)
),
IF(Info!$B$4="Board program",
IF(OR(AND(Q$5&gt;0,Q$5&gt;100),AND(Q$5&gt;0,Q$5&lt;100)),
VLOOKUP(FLOOR(('Final Term'!Q29/Q$5)*100,1),new_transmute,3,FALSE),
VLOOKUP('Final Term'!Q29,new_transmute,3,FALSE)
),
IF(Info!$B$4="Board program (Medicine)",
IF(OR(AND(Q$5&gt;0,Q$5&gt;100),AND(Q$5&gt;0,Q$5&lt;100)),
VLOOKUP(FLOOR(('Final Term'!Q29/Q$5)*100,1),new_transmute,4,FALSE),
VLOOKUP('Final Term'!Q29,new_transmute,4,FALSE)
),
""
)
)
)
)
)
)
)
)
))</f>
        <v/>
      </c>
      <c r="R29" s="73" t="str">
        <f>IF($B29="","",
IF(R$5="","",
IF('Final Term'!R29="",0,
IF(NOT(ISNUMBER('Final Term'!R29)),"NAN",
IF('Final Term'!R29&lt;0,"NEG",
IF('Final Term'!R29&gt;R$5,"OVER",
IF(AND(R$5&lt;=100,'Final Term'!R29&gt;100),"ERR",
IF(Info!$B$4="Non-board program",
IF(OR(AND(R$5&gt;0,R$5&gt;100),AND(R$5&gt;0,R$5&lt;100)),
VLOOKUP(FLOOR(('Final Term'!R29/R$5)*100,1),new_transmute,2,FALSE),
VLOOKUP('Final Term'!R29,new_transmute,2,FALSE)
),
IF(Info!$B$4="Board program",
IF(OR(AND(R$5&gt;0,R$5&gt;100),AND(R$5&gt;0,R$5&lt;100)),
VLOOKUP(FLOOR(('Final Term'!R29/R$5)*100,1),new_transmute,3,FALSE),
VLOOKUP('Final Term'!R29,new_transmute,3,FALSE)
),
IF(Info!$B$4="Board program (Medicine)",
IF(OR(AND(R$5&gt;0,R$5&gt;100),AND(R$5&gt;0,R$5&lt;100)),
VLOOKUP(FLOOR(('Final Term'!R29/R$5)*100,1),new_transmute,4,FALSE),
VLOOKUP('Final Term'!R29,new_transmute,4,FALSE)
),
""
)
)
)
)
)
)
)
)
))</f>
        <v/>
      </c>
      <c r="S29" s="115" t="str">
        <f t="shared" si="3"/>
        <v/>
      </c>
      <c r="T29" s="73" t="str">
        <f>IF($B29="","",
IF(T$5="","",
IF('Final Term'!T29="",0,
IF(NOT(ISNUMBER('Final Term'!T29)),"NAN",
IF('Final Term'!T29&lt;0,"NEG",
IF('Final Term'!T29&gt;T$5,"OVER",
IF(AND(T$5&lt;=100,'Final Term'!T29&gt;100),"ERR",
IF(Info!$B$4="Non-board program",
IF(OR(AND(T$5&gt;0,T$5&gt;100),AND(T$5&gt;0,T$5&lt;100)),
VLOOKUP(FLOOR(('Final Term'!T29/T$5)*100,1),new_transmute,2,FALSE),
VLOOKUP('Final Term'!T29,new_transmute,2,FALSE)
),
IF(Info!$B$4="Board program",
IF(OR(AND(T$5&gt;0,T$5&gt;100),AND(T$5&gt;0,T$5&lt;100)),
VLOOKUP(FLOOR(('Final Term'!T29/T$5)*100,1),new_transmute,3,FALSE),
VLOOKUP('Final Term'!T29,new_transmute,3,FALSE)
),
IF(Info!$B$4="Board program (Medicine)",
IF(OR(AND(T$5&gt;0,T$5&gt;100),AND(T$5&gt;0,T$5&lt;100)),
VLOOKUP(FLOOR(('Final Term'!T29/T$5)*100,1),new_transmute,4,FALSE),
VLOOKUP('Final Term'!T29,new_transmute,4,FALSE)
),
""
)
)
)
)
)
)
)
)
))</f>
        <v/>
      </c>
      <c r="U29" s="73" t="str">
        <f>IF($B29="","",
IF(U$5="","",
IF('Final Term'!U29="",0,
IF(NOT(ISNUMBER('Final Term'!U29)),"NAN",
IF('Final Term'!U29&lt;0,"NEG",
IF('Final Term'!U29&gt;U$5,"OVER",
IF(AND(U$5&lt;=100,'Final Term'!U29&gt;100),"ERR",
IF(Info!$B$4="Non-board program",
IF(OR(AND(U$5&gt;0,U$5&gt;100),AND(U$5&gt;0,U$5&lt;100)),
VLOOKUP(FLOOR(('Final Term'!U29/U$5)*100,1),new_transmute,2,FALSE),
VLOOKUP('Final Term'!U29,new_transmute,2,FALSE)
),
IF(Info!$B$4="Board program",
IF(OR(AND(U$5&gt;0,U$5&gt;100),AND(U$5&gt;0,U$5&lt;100)),
VLOOKUP(FLOOR(('Final Term'!U29/U$5)*100,1),new_transmute,3,FALSE),
VLOOKUP('Final Term'!U29,new_transmute,3,FALSE)
),
IF(Info!$B$4="Board program (Medicine)",
IF(OR(AND(U$5&gt;0,U$5&gt;100),AND(U$5&gt;0,U$5&lt;100)),
VLOOKUP(FLOOR(('Final Term'!U29/U$5)*100,1),new_transmute,4,FALSE),
VLOOKUP('Final Term'!U29,new_transmute,4,FALSE)
),
""
)
)
)
)
)
)
)
)
))</f>
        <v/>
      </c>
      <c r="V29" s="73" t="str">
        <f>IF($B29="","",
IF(V$5="","",
IF('Final Term'!V29="",0,
IF(NOT(ISNUMBER('Final Term'!V29)),"NAN",
IF('Final Term'!V29&lt;0,"NEG",
IF('Final Term'!V29&gt;V$5,"OVER",
IF(AND(V$5&lt;=100,'Final Term'!V29&gt;100),"ERR",
IF(Info!$B$4="Non-board program",
IF(OR(AND(V$5&gt;0,V$5&gt;100),AND(V$5&gt;0,V$5&lt;100)),
VLOOKUP(FLOOR(('Final Term'!V29/V$5)*100,1),new_transmute,2,FALSE),
VLOOKUP('Final Term'!V29,new_transmute,2,FALSE)
),
IF(Info!$B$4="Board program",
IF(OR(AND(V$5&gt;0,V$5&gt;100),AND(V$5&gt;0,V$5&lt;100)),
VLOOKUP(FLOOR(('Final Term'!V29/V$5)*100,1),new_transmute,3,FALSE),
VLOOKUP('Final Term'!V29,new_transmute,3,FALSE)
),
IF(Info!$B$4="Board program (Medicine)",
IF(OR(AND(V$5&gt;0,V$5&gt;100),AND(V$5&gt;0,V$5&lt;100)),
VLOOKUP(FLOOR(('Final Term'!V29/V$5)*100,1),new_transmute,4,FALSE),
VLOOKUP('Final Term'!V29,new_transmute,4,FALSE)
),
""
)
)
)
)
)
)
)
)
))</f>
        <v/>
      </c>
      <c r="W29" s="73" t="str">
        <f>IF($B29="","",
IF(W$5="","",
IF('Final Term'!W29="",0,
IF(NOT(ISNUMBER('Final Term'!W29)),"NAN",
IF('Final Term'!W29&lt;0,"NEG",
IF('Final Term'!W29&gt;W$5,"OVER",
IF(AND(W$5&lt;=100,'Final Term'!W29&gt;100),"ERR",
IF(Info!$B$4="Non-board program",
IF(OR(AND(W$5&gt;0,W$5&gt;100),AND(W$5&gt;0,W$5&lt;100)),
VLOOKUP(FLOOR(('Final Term'!W29/W$5)*100,1),new_transmute,2,FALSE),
VLOOKUP('Final Term'!W29,new_transmute,2,FALSE)
),
IF(Info!$B$4="Board program",
IF(OR(AND(W$5&gt;0,W$5&gt;100),AND(W$5&gt;0,W$5&lt;100)),
VLOOKUP(FLOOR(('Final Term'!W29/W$5)*100,1),new_transmute,3,FALSE),
VLOOKUP('Final Term'!W29,new_transmute,3,FALSE)
),
IF(Info!$B$4="Board program (Medicine)",
IF(OR(AND(W$5&gt;0,W$5&gt;100),AND(W$5&gt;0,W$5&lt;100)),
VLOOKUP(FLOOR(('Final Term'!W29/W$5)*100,1),new_transmute,4,FALSE),
VLOOKUP('Final Term'!W29,new_transmute,4,FALSE)
),
""
)
)
)
)
)
)
)
)
))</f>
        <v/>
      </c>
      <c r="X29" s="73" t="str">
        <f>IF($B29="","",
IF(X$5="","",
IF('Final Term'!X29="",0,
IF(NOT(ISNUMBER('Final Term'!X29)),"NAN",
IF('Final Term'!X29&lt;0,"NEG",
IF('Final Term'!X29&gt;X$5,"OVER",
IF(AND(X$5&lt;=100,'Final Term'!X29&gt;100),"ERR",
IF(Info!$B$4="Non-board program",
IF(OR(AND(X$5&gt;0,X$5&gt;100),AND(X$5&gt;0,X$5&lt;100)),
VLOOKUP(FLOOR(('Final Term'!X29/X$5)*100,1),new_transmute,2,FALSE),
VLOOKUP('Final Term'!X29,new_transmute,2,FALSE)
),
IF(Info!$B$4="Board program",
IF(OR(AND(X$5&gt;0,X$5&gt;100),AND(X$5&gt;0,X$5&lt;100)),
VLOOKUP(FLOOR(('Final Term'!X29/X$5)*100,1),new_transmute,3,FALSE),
VLOOKUP('Final Term'!X29,new_transmute,3,FALSE)
),
IF(Info!$B$4="Board program (Medicine)",
IF(OR(AND(X$5&gt;0,X$5&gt;100),AND(X$5&gt;0,X$5&lt;100)),
VLOOKUP(FLOOR(('Final Term'!X29/X$5)*100,1),new_transmute,4,FALSE),
VLOOKUP('Final Term'!X29,new_transmute,4,FALSE)
),
""
)
)
)
)
)
)
)
)
))</f>
        <v/>
      </c>
      <c r="Y29" s="112" t="str">
        <f t="shared" si="4"/>
        <v/>
      </c>
      <c r="Z29" s="73" t="str">
        <f>IF($B29="","",
IF(Z$5="","",
IF('Final Term'!Z29="",0,
IF(NOT(ISNUMBER('Final Term'!Z29)),"NAN",
IF('Final Term'!Z29&lt;0,"NEG",
IF('Final Term'!Z29&gt;Z$5,"OVER",
IF(AND(Z$5&lt;=100,'Final Term'!Z29&gt;100),"ERR",
IF(Info!$B$4="Non-board program",
IF(OR(AND(Z$5&gt;0,Z$5&gt;100),AND(Z$5&gt;0,Z$5&lt;100)),
VLOOKUP(FLOOR(('Final Term'!Z29/Z$5)*100,1),new_transmute,2,FALSE),
VLOOKUP('Final Term'!Z29,new_transmute,2,FALSE)
),
IF(Info!$B$4="Board program",
IF(OR(AND(Z$5&gt;0,Z$5&gt;100),AND(Z$5&gt;0,Z$5&lt;100)),
VLOOKUP(FLOOR(('Final Term'!Z29/Z$5)*100,1),new_transmute,3,FALSE),
VLOOKUP('Final Term'!Z29,new_transmute,3,FALSE)
),
IF(Info!$B$4="Board program (Medicine)",
IF(OR(AND(Z$5&gt;0,Z$5&gt;100),AND(Z$5&gt;0,Z$5&lt;100)),
VLOOKUP(FLOOR(('Final Term'!Z29/Z$5)*100,1),new_transmute,4,FALSE),
VLOOKUP('Final Term'!Z29,new_transmute,4,FALSE)
),
""
)
)
)
)
)
)
)
)
))</f>
        <v/>
      </c>
      <c r="AA29" s="73" t="str">
        <f>IF($B29="","",
IF(AA$5="","",
IF('Final Term'!AA29="",0,
IF(NOT(ISNUMBER('Final Term'!AA29)),"NAN",
IF('Final Term'!AA29&lt;0,"NEG",
IF('Final Term'!AA29&gt;AA$5,"OVER",
IF(AND(AA$5&lt;=100,'Final Term'!AA29&gt;100),"ERR",
IF(Info!$B$4="Non-board program",
IF(OR(AND(AA$5&gt;0,AA$5&gt;100),AND(AA$5&gt;0,AA$5&lt;100)),
VLOOKUP(FLOOR(('Final Term'!AA29/AA$5)*100,1),new_transmute,2,FALSE),
VLOOKUP('Final Term'!AA29,new_transmute,2,FALSE)
),
IF(Info!$B$4="Board program",
IF(OR(AND(AA$5&gt;0,AA$5&gt;100),AND(AA$5&gt;0,AA$5&lt;100)),
VLOOKUP(FLOOR(('Final Term'!AA29/AA$5)*100,1),new_transmute,3,FALSE),
VLOOKUP('Final Term'!AA29,new_transmute,3,FALSE)
),
IF(Info!$B$4="Board program (Medicine)",
IF(OR(AND(AA$5&gt;0,AA$5&gt;100),AND(AA$5&gt;0,AA$5&lt;100)),
VLOOKUP(FLOOR(('Final Term'!AA29/AA$5)*100,1),new_transmute,4,FALSE),
VLOOKUP('Final Term'!AA29,new_transmute,4,FALSE)
),
""
)
)
)
)
)
)
)
)
))</f>
        <v/>
      </c>
      <c r="AB29" s="73" t="str">
        <f>IF($B29="","",
IF(AB$5="","",
IF('Final Term'!AB29="",0,
IF(NOT(ISNUMBER('Final Term'!AB29)),"NAN",
IF('Final Term'!AB29&lt;0,"NEG",
IF('Final Term'!AB29&gt;AB$5,"OVER",
IF(AND(AB$5&lt;=100,'Final Term'!AB29&gt;100),"ERR",
IF(Info!$B$4="Non-board program",
IF(OR(AND(AB$5&gt;0,AB$5&gt;100),AND(AB$5&gt;0,AB$5&lt;100)),
VLOOKUP(FLOOR(('Final Term'!AB29/AB$5)*100,1),new_transmute,2,FALSE),
VLOOKUP('Final Term'!AB29,new_transmute,2,FALSE)
),
IF(Info!$B$4="Board program",
IF(OR(AND(AB$5&gt;0,AB$5&gt;100),AND(AB$5&gt;0,AB$5&lt;100)),
VLOOKUP(FLOOR(('Final Term'!AB29/AB$5)*100,1),new_transmute,3,FALSE),
VLOOKUP('Final Term'!AB29,new_transmute,3,FALSE)
),
IF(Info!$B$4="Board program (Medicine)",
IF(OR(AND(AB$5&gt;0,AB$5&gt;100),AND(AB$5&gt;0,AB$5&lt;100)),
VLOOKUP(FLOOR(('Final Term'!AB29/AB$5)*100,1),new_transmute,4,FALSE),
VLOOKUP('Final Term'!AB29,new_transmute,4,FALSE)
),
""
)
)
)
)
)
)
)
)
))</f>
        <v/>
      </c>
      <c r="AC29" s="73" t="str">
        <f>IF($B29="","",
IF(AC$5="","",
IF('Final Term'!AC29="",0,
IF(NOT(ISNUMBER('Final Term'!AC29)),"NAN",
IF('Final Term'!AC29&lt;0,"NEG",
IF('Final Term'!AC29&gt;AC$5,"OVER",
IF(AND(AC$5&lt;=100,'Final Term'!AC29&gt;100),"ERR",
IF(Info!$B$4="Non-board program",
IF(OR(AND(AC$5&gt;0,AC$5&gt;100),AND(AC$5&gt;0,AC$5&lt;100)),
VLOOKUP(FLOOR(('Final Term'!AC29/AC$5)*100,1),new_transmute,2,FALSE),
VLOOKUP('Final Term'!AC29,new_transmute,2,FALSE)
),
IF(Info!$B$4="Board program",
IF(OR(AND(AC$5&gt;0,AC$5&gt;100),AND(AC$5&gt;0,AC$5&lt;100)),
VLOOKUP(FLOOR(('Final Term'!AC29/AC$5)*100,1),new_transmute,3,FALSE),
VLOOKUP('Final Term'!AC29,new_transmute,3,FALSE)
),
IF(Info!$B$4="Board program (Medicine)",
IF(OR(AND(AC$5&gt;0,AC$5&gt;100),AND(AC$5&gt;0,AC$5&lt;100)),
VLOOKUP(FLOOR(('Final Term'!AC29/AC$5)*100,1),new_transmute,4,FALSE),
VLOOKUP('Final Term'!AC29,new_transmute,4,FALSE)
),
""
)
)
)
)
)
)
)
)
))</f>
        <v/>
      </c>
      <c r="AD29" s="73" t="str">
        <f>IF($B29="","",
IF(AD$5="","",
IF('Final Term'!AD29="",0,
IF(NOT(ISNUMBER('Final Term'!AD29)),"NAN",
IF('Final Term'!AD29&lt;0,"NEG",
IF('Final Term'!AD29&gt;AD$5,"OVER",
IF(AND(AD$5&lt;=100,'Final Term'!AD29&gt;100),"ERR",
IF(Info!$B$4="Non-board program",
IF(OR(AND(AD$5&gt;0,AD$5&gt;100),AND(AD$5&gt;0,AD$5&lt;100)),
VLOOKUP(FLOOR(('Final Term'!AD29/AD$5)*100,1),new_transmute,2,FALSE),
VLOOKUP('Final Term'!AD29,new_transmute,2,FALSE)
),
IF(Info!$B$4="Board program",
IF(OR(AND(AD$5&gt;0,AD$5&gt;100),AND(AD$5&gt;0,AD$5&lt;100)),
VLOOKUP(FLOOR(('Final Term'!AD29/AD$5)*100,1),new_transmute,3,FALSE),
VLOOKUP('Final Term'!AD29,new_transmute,3,FALSE)
),
IF(Info!$B$4="Board program (Medicine)",
IF(OR(AND(AD$5&gt;0,AD$5&gt;100),AND(AD$5&gt;0,AD$5&lt;100)),
VLOOKUP(FLOOR(('Final Term'!AD29/AD$5)*100,1),new_transmute,4,FALSE),
VLOOKUP('Final Term'!AD29,new_transmute,4,FALSE)
),
""
)
)
)
)
)
)
)
)
))</f>
        <v/>
      </c>
      <c r="AE29" s="58" t="str">
        <f t="shared" si="5"/>
        <v/>
      </c>
      <c r="AF29" s="73" t="str">
        <f>IF($B29="","",
IF(AF$5="","",
IF('Final Term'!AF29="",0,
IF(NOT(ISNUMBER('Final Term'!AF29)),"NAN",
IF('Final Term'!AF29&lt;0,"NEG",
IF('Final Term'!AF29&gt;AF$5,"OVER",
IF(AND(AF$5&lt;=100,'Final Term'!AF29&gt;100),"ERR",
IF(Info!$B$4="Non-board program",
IF(OR(AND(AF$5&gt;0,AF$5&gt;100),AND(AF$5&gt;0,AF$5&lt;100)),
VLOOKUP(FLOOR(('Final Term'!AF29/AF$5)*100,1),new_transmute,2,FALSE),
VLOOKUP('Final Term'!AF29,new_transmute,2,FALSE)
),
IF(Info!$B$4="Board program",
IF(OR(AND(AF$5&gt;0,AF$5&gt;100),AND(AF$5&gt;0,AF$5&lt;100)),
VLOOKUP(FLOOR(('Final Term'!AF29/AF$5)*100,1),new_transmute,3,FALSE),
VLOOKUP('Final Term'!AF29,new_transmute,3,FALSE)
),
IF(Info!$B$4="Board program (Medicine)",
IF(OR(AND(AF$5&gt;0,AF$5&gt;100),AND(AF$5&gt;0,AF$5&lt;100)),
VLOOKUP(FLOOR(('Final Term'!AF29/AF$5)*100,1),new_transmute,4,FALSE),
VLOOKUP('Final Term'!AF29,new_transmute,4,FALSE)
),
""
)
)
)
)
)
)
)
)
))</f>
        <v/>
      </c>
      <c r="AG29" s="73" t="str">
        <f>IF($B29="","",
IF(AG$5="","",
IF('Final Term'!AG29="",0,
IF(NOT(ISNUMBER('Final Term'!AG29)),"NAN",
IF('Final Term'!AG29&lt;0,"NEG",
IF('Final Term'!AG29&gt;AG$5,"OVER",
IF(AND(AG$5&lt;=100,'Final Term'!AG29&gt;100),"ERR",
IF(Info!$B$4="Non-board program",
IF(OR(AND(AG$5&gt;0,AG$5&gt;100),AND(AG$5&gt;0,AG$5&lt;100)),
VLOOKUP(FLOOR(('Final Term'!AG29/AG$5)*100,1),new_transmute,2,FALSE),
VLOOKUP('Final Term'!AG29,new_transmute,2,FALSE)
),
IF(Info!$B$4="Board program",
IF(OR(AND(AG$5&gt;0,AG$5&gt;100),AND(AG$5&gt;0,AG$5&lt;100)),
VLOOKUP(FLOOR(('Final Term'!AG29/AG$5)*100,1),new_transmute,3,FALSE),
VLOOKUP('Final Term'!AG29,new_transmute,3,FALSE)
),
IF(Info!$B$4="Board program (Medicine)",
IF(OR(AND(AG$5&gt;0,AG$5&gt;100),AND(AG$5&gt;0,AG$5&lt;100)),
VLOOKUP(FLOOR(('Final Term'!AG29/AG$5)*100,1),new_transmute,4,FALSE),
VLOOKUP('Final Term'!AG29,new_transmute,4,FALSE)
),
""
)
)
)
)
)
)
)
)
))</f>
        <v/>
      </c>
      <c r="AH29" s="73" t="str">
        <f>IF($B29="","",
IF(AH$5="","",
IF('Final Term'!AH29="",0,
IF(NOT(ISNUMBER('Final Term'!AH29)),"NAN",
IF('Final Term'!AH29&lt;0,"NEG",
IF('Final Term'!AH29&gt;AH$5,"OVER",
IF(AND(AH$5&lt;=100,'Final Term'!AH29&gt;100),"ERR",
IF(Info!$B$4="Non-board program",
IF(OR(AND(AH$5&gt;0,AH$5&gt;100),AND(AH$5&gt;0,AH$5&lt;100)),
VLOOKUP(FLOOR(('Final Term'!AH29/AH$5)*100,1),new_transmute,2,FALSE),
VLOOKUP('Final Term'!AH29,new_transmute,2,FALSE)
),
IF(Info!$B$4="Board program",
IF(OR(AND(AH$5&gt;0,AH$5&gt;100),AND(AH$5&gt;0,AH$5&lt;100)),
VLOOKUP(FLOOR(('Final Term'!AH29/AH$5)*100,1),new_transmute,3,FALSE),
VLOOKUP('Final Term'!AH29,new_transmute,3,FALSE)
),
IF(Info!$B$4="Board program (Medicine)",
IF(OR(AND(AH$5&gt;0,AH$5&gt;100),AND(AH$5&gt;0,AH$5&lt;100)),
VLOOKUP(FLOOR(('Final Term'!AH29/AH$5)*100,1),new_transmute,4,FALSE),
VLOOKUP('Final Term'!AH29,new_transmute,4,FALSE)
),
""
)
)
)
)
)
)
)
)
))</f>
        <v/>
      </c>
      <c r="AI29" s="73" t="str">
        <f>IF($B29="","",
IF(AI$5="","",
IF('Final Term'!AI29="",0,
IF(NOT(ISNUMBER('Final Term'!AI29)),"NAN",
IF('Final Term'!AI29&lt;0,"NEG",
IF('Final Term'!AI29&gt;AI$5,"OVER",
IF(AND(AI$5&lt;=100,'Final Term'!AI29&gt;100),"ERR",
IF(Info!$B$4="Non-board program",
IF(OR(AND(AI$5&gt;0,AI$5&gt;100),AND(AI$5&gt;0,AI$5&lt;100)),
VLOOKUP(FLOOR(('Final Term'!AI29/AI$5)*100,1),new_transmute,2,FALSE),
VLOOKUP('Final Term'!AI29,new_transmute,2,FALSE)
),
IF(Info!$B$4="Board program",
IF(OR(AND(AI$5&gt;0,AI$5&gt;100),AND(AI$5&gt;0,AI$5&lt;100)),
VLOOKUP(FLOOR(('Final Term'!AI29/AI$5)*100,1),new_transmute,3,FALSE),
VLOOKUP('Final Term'!AI29,new_transmute,3,FALSE)
),
IF(Info!$B$4="Board program (Medicine)",
IF(OR(AND(AI$5&gt;0,AI$5&gt;100),AND(AI$5&gt;0,AI$5&lt;100)),
VLOOKUP(FLOOR(('Final Term'!AI29/AI$5)*100,1),new_transmute,4,FALSE),
VLOOKUP('Final Term'!AI29,new_transmute,4,FALSE)
),
""
)
)
)
)
)
)
)
)
))</f>
        <v/>
      </c>
      <c r="AJ29" s="73" t="str">
        <f>IF($B29="","",
IF(AJ$5="","",
IF('Final Term'!AJ29="",0,
IF(NOT(ISNUMBER('Final Term'!AJ29)),"NAN",
IF('Final Term'!AJ29&lt;0,"NEG",
IF('Final Term'!AJ29&gt;AJ$5,"OVER",
IF(AND(AJ$5&lt;=100,'Final Term'!AJ29&gt;100),"ERR",
IF(Info!$B$4="Non-board program",
IF(OR(AND(AJ$5&gt;0,AJ$5&gt;100),AND(AJ$5&gt;0,AJ$5&lt;100)),
VLOOKUP(FLOOR(('Final Term'!AJ29/AJ$5)*100,1),new_transmute,2,FALSE),
VLOOKUP('Final Term'!AJ29,new_transmute,2,FALSE)
),
IF(Info!$B$4="Board program",
IF(OR(AND(AJ$5&gt;0,AJ$5&gt;100),AND(AJ$5&gt;0,AJ$5&lt;100)),
VLOOKUP(FLOOR(('Final Term'!AJ29/AJ$5)*100,1),new_transmute,3,FALSE),
VLOOKUP('Final Term'!AJ29,new_transmute,3,FALSE)
),
IF(Info!$B$4="Board program (Medicine)",
IF(OR(AND(AJ$5&gt;0,AJ$5&gt;100),AND(AJ$5&gt;0,AJ$5&lt;100)),
VLOOKUP(FLOOR(('Final Term'!AJ29/AJ$5)*100,1),new_transmute,4,FALSE),
VLOOKUP('Final Term'!AJ29,new_transmute,4,FALSE)
),
""
)
)
)
)
)
)
)
)
))</f>
        <v/>
      </c>
      <c r="AK29" s="59" t="str">
        <f t="shared" si="6"/>
        <v/>
      </c>
      <c r="AL29" s="60" t="str">
        <f>IF(B29="", "",
    IF(OR(M29="OVER", S29="OVER", Y29="OVER", AE29="OVER", AK29="OVER"),
        "OVER",
        IF(Info!$B$4="Non-board program",
            VLOOKUP(IFERROR(FLOOR(SUM((M29*$M$4), (S29*$S$4), (Y29*$Y$4), (AE29*$AE$4), (AK29*$AK$4)) * (100 / 60), 1), 0), new_transmute, 2, FALSE),
            IF(Info!$B$4="Board program",
                VLOOKUP(IFERROR(FLOOR(SUM((M29*$M$4), (S29*$S$4), (Y29*$Y$4), (AE29*$AE$4), (AK29*$AK$4)) * (100 / 60), 1), 0), new_transmute, 3, FALSE),
                IF(Info!$B$4="Board program (Medicine)",
                    VLOOKUP(IFERROR(FLOOR(SUM((M29*$M$4), (S29*$S$4), (Y29*$Y$4), (AE29*$AE$4), (AK29*$AK$4)) * (100 / 60), 1), 0), new_transmute, 4, FALSE),
                    ""
                )
            )
        )
    )
)</f>
        <v/>
      </c>
      <c r="AM29" s="73" t="str">
        <f>IF($B29="","",
IF(AM$5="","",
IF('Final Term'!AM29="",0,
IF(NOT(ISNUMBER('Final Term'!AM29)),"NAN",
IF('Final Term'!AM29&lt;0,"NEG",
IF('Final Term'!AM29&gt;AM$5,"OVER",
IF(AND(AM$5&lt;=100,'Final Term'!AM29&gt;100),"ERR",
IF(Info!$B$4="Non-board program",
IF(OR(AND(AM$5&gt;0,AM$5&gt;100),AND(AM$5&gt;0,AM$5&lt;100)),
VLOOKUP(FLOOR(('Final Term'!AM29/AM$5)*100,1),new_transmute,2,FALSE),
VLOOKUP('Final Term'!AM29,new_transmute,2,FALSE)
),
IF(Info!$B$4="Board program",
IF(OR(AND(AM$5&gt;0,AM$5&gt;100),AND(AM$5&gt;0,AM$5&lt;100)),
VLOOKUP(FLOOR(('Final Term'!AM29/AM$5)*100,1),new_transmute,3,FALSE),
VLOOKUP('Final Term'!AM29,new_transmute,3,FALSE)
),
IF(Info!$B$4="Board program (Medicine)",
IF(OR(AND(AM$5&gt;0,AM$5&gt;100),AND(AM$5&gt;0,AM$5&lt;100)),
VLOOKUP(FLOOR(('Final Term'!AM29/AM$5)*100,1),new_transmute,4,FALSE),
VLOOKUP('Final Term'!AM29,new_transmute,4,FALSE)
),
""
)
)
)
)
)
)
)
)
))</f>
        <v/>
      </c>
      <c r="AN29" s="73" t="str">
        <f>IF($B29="","",
IF(AN$5="","",
IF('Final Term'!AN29="",0,
IF(NOT(ISNUMBER('Final Term'!AN29)),"NAN",
IF('Final Term'!AN29&lt;0,"NEG",
IF('Final Term'!AN29&gt;AN$5,"OVER",
IF(AND(AN$5&lt;=100,'Final Term'!AN29&gt;100),"ERR",
IF(Info!$B$4="Non-board program",
IF(OR(AND(AN$5&gt;0,AN$5&gt;100),AND(AN$5&gt;0,AN$5&lt;100)),
VLOOKUP(FLOOR(('Final Term'!AN29/AN$5)*100,1),new_transmute,2,FALSE),
VLOOKUP('Final Term'!AN29,new_transmute,2,FALSE)
),
IF(Info!$B$4="Board program",
IF(OR(AND(AN$5&gt;0,AN$5&gt;100),AND(AN$5&gt;0,AN$5&lt;100)),
VLOOKUP(FLOOR(('Final Term'!AN29/AN$5)*100,1),new_transmute,3,FALSE),
VLOOKUP('Final Term'!AN29,new_transmute,3,FALSE)
),
IF(Info!$B$4="Board program (Medicine)",
IF(OR(AND(AN$5&gt;0,AN$5&gt;100),AND(AN$5&gt;0,AN$5&lt;100)),
VLOOKUP(FLOOR(('Final Term'!AN29/AN$5)*100,1),new_transmute,4,FALSE),
VLOOKUP('Final Term'!AN29,new_transmute,4,FALSE)
),
""
)
)
)
)
)
)
)
)
))</f>
        <v/>
      </c>
      <c r="AO29" s="73" t="str">
        <f>IF($B29="","",
IF(AO$5="","",
IF('Final Term'!AO29="",0,
IF(NOT(ISNUMBER('Final Term'!AO29)),"NAN",
IF('Final Term'!AO29&lt;0,"NEG",
IF('Final Term'!AO29&gt;AO$5,"OVER",
IF(AND(AO$5&lt;=100,'Final Term'!AO29&gt;100),"ERR",
IF(Info!$B$4="Non-board program",
IF(OR(AND(AO$5&gt;0,AO$5&gt;100),AND(AO$5&gt;0,AO$5&lt;100)),
VLOOKUP(FLOOR(('Final Term'!AO29/AO$5)*100,1),new_transmute,2,FALSE),
VLOOKUP('Final Term'!AO29,new_transmute,2,FALSE)
),
IF(Info!$B$4="Board program",
IF(OR(AND(AO$5&gt;0,AO$5&gt;100),AND(AO$5&gt;0,AO$5&lt;100)),
VLOOKUP(FLOOR(('Final Term'!AO29/AO$5)*100,1),new_transmute,3,FALSE),
VLOOKUP('Final Term'!AO29,new_transmute,3,FALSE)
),
IF(Info!$B$4="Board program (Medicine)",
IF(OR(AND(AO$5&gt;0,AO$5&gt;100),AND(AO$5&gt;0,AO$5&lt;100)),
VLOOKUP(FLOOR(('Final Term'!AO29/AO$5)*100,1),new_transmute,4,FALSE),
VLOOKUP('Final Term'!AO29,new_transmute,4,FALSE)
),
""
)
)
)
)
)
)
)
)
))</f>
        <v/>
      </c>
      <c r="AP29" s="73" t="str">
        <f>IF($B29="","",
IF(AP$5="","",
IF('Final Term'!AP29="",0,
IF(NOT(ISNUMBER('Final Term'!AP29)),"NAN",
IF('Final Term'!AP29&lt;0,"NEG",
IF('Final Term'!AP29&gt;AP$5,"OVER",
IF(AND(AP$5&lt;=100,'Final Term'!AP29&gt;100),"ERR",
IF(Info!$B$4="Non-board program",
IF(OR(AND(AP$5&gt;0,AP$5&gt;100),AND(AP$5&gt;0,AP$5&lt;100)),
VLOOKUP(FLOOR(('Final Term'!AP29/AP$5)*100,1),new_transmute,2,FALSE),
VLOOKUP('Final Term'!AP29,new_transmute,2,FALSE)
),
IF(Info!$B$4="Board program",
IF(OR(AND(AP$5&gt;0,AP$5&gt;100),AND(AP$5&gt;0,AP$5&lt;100)),
VLOOKUP(FLOOR(('Final Term'!AP29/AP$5)*100,1),new_transmute,3,FALSE),
VLOOKUP('Final Term'!AP29,new_transmute,3,FALSE)
),
IF(Info!$B$4="Board program (Medicine)",
IF(OR(AND(AP$5&gt;0,AP$5&gt;100),AND(AP$5&gt;0,AP$5&lt;100)),
VLOOKUP(FLOOR(('Final Term'!AP29/AP$5)*100,1),new_transmute,4,FALSE),
VLOOKUP('Final Term'!AP29,new_transmute,4,FALSE)
),
""
)
)
)
)
)
)
)
)
))</f>
        <v/>
      </c>
      <c r="AQ29" s="61" t="str">
        <f t="shared" si="7"/>
        <v/>
      </c>
      <c r="AR29" s="48" t="str">
        <f>IF('Final Term'!AR29="","",'Final Term'!AR29)</f>
        <v/>
      </c>
      <c r="AS29" s="165" t="str">
        <f t="shared" si="8"/>
        <v/>
      </c>
      <c r="AT29" s="14" t="str">
        <f t="shared" si="0"/>
        <v/>
      </c>
      <c r="AU29" s="13" t="str">
        <f>IF(B29="","",VLOOKUP(AT29,'New Grade Equivalent'!$B$3:$C$47,2,FALSE))</f>
        <v/>
      </c>
    </row>
    <row r="30" spans="1:47" x14ac:dyDescent="0.25">
      <c r="A30" s="8">
        <v>25</v>
      </c>
      <c r="B30" s="2" t="str">
        <f>IF('Student List'!C34="","",UPPER(LEFT('Student List'!C34,FIND(",",'Student List'!C34)-1)))</f>
        <v/>
      </c>
      <c r="C30" s="12" t="str">
        <f>IF('Student List'!C34="","",PROPER(MID('Student List'!C34, FIND(",", 'Student List'!C34) + 2, LEN('Student List'!C34) - FIND(",", 'Student List'!C34) - 1)))</f>
        <v/>
      </c>
      <c r="D30" s="127" t="str">
        <f>IF('Final Term'!D30="","",'Final Term'!D30)</f>
        <v/>
      </c>
      <c r="E30" s="8" t="str">
        <f>IF(MidCom!E30="FA", "FA",
    IF(MidCom!E30="DRP", "DRP",
        IF(MidCom!E30="WF", "WF",
            IF(D30="Yes", "INC",
               IF((SUM('MT Attendance'!AW28) / 3 + SUM('MT Attendance'!AY28) + SUM('FT Attendance'!AW28) / 3 + SUM('FT Attendance'!AY28)) &gt;= 0.2 * (SUMPRODUCT(--(ISTEXT('MT Attendance'!$C$2:$AU$2))) + SUMPRODUCT(--(ISTEXT('FT Attendance'!$C$2:$AU$2)))), "FA",
                   MidCom!E30
                )
            )
        )
    )
)</f>
        <v/>
      </c>
      <c r="F30" s="73" t="str">
        <f>IF($B30="","",
IF(F$5="","",
IF('Final Term'!F30="",0,
IF(NOT(ISNUMBER('Final Term'!F30)),"NAN",
IF('Final Term'!F30&lt;0,"NEG",
IF('Final Term'!F30&gt;F$5,"OVER",
IF(AND(F$5&lt;=100,'Final Term'!F30&gt;100),"ERR",
IF(Info!$B$4="Non-board program",
IF(OR(AND(F$5&gt;0,F$5&gt;100),AND(F$5&gt;0,F$5&lt;100)),
VLOOKUP(FLOOR(('Final Term'!F30/F$5)*100,1),new_transmute,2,FALSE),
VLOOKUP('Final Term'!F30,new_transmute,2,FALSE)
),
IF(Info!$B$4="Board program",
IF(OR(AND(F$5&gt;0,F$5&gt;100),AND(F$5&gt;0,F$5&lt;100)),
VLOOKUP(FLOOR(('Final Term'!F30/F$5)*100,1),new_transmute,3,FALSE),
VLOOKUP('Final Term'!F30,new_transmute,3,FALSE)
),
IF(Info!$B$4="Board program (Medicine)",
IF(OR(AND(F$5&gt;0,F$5&gt;100),AND(F$5&gt;0,F$5&lt;100)),
VLOOKUP(FLOOR(('Final Term'!F30/F$5)*100,1),new_transmute,4,FALSE),
VLOOKUP('Final Term'!F30,new_transmute,4,FALSE)
),
""
)
)
)
)
)
)
)
)
))</f>
        <v/>
      </c>
      <c r="G30" s="57" t="str">
        <f t="shared" si="1"/>
        <v/>
      </c>
      <c r="H30" s="73" t="str">
        <f>IF($B30="","",
IF(H$5="","",
IF('Final Term'!H30="",0,
IF(NOT(ISNUMBER('Final Term'!H30)),"NAN",
IF('Final Term'!H30&lt;0,"NEG",
IF('Final Term'!H30&gt;H$5,"OVER",
IF(AND(H$5&lt;=100,'Final Term'!H30&gt;100),"ERR",
IF(Info!$B$4="Non-board program",
IF(OR(AND(H$5&gt;0,H$5&gt;100),AND(H$5&gt;0,H$5&lt;100)),
VLOOKUP(FLOOR(('Final Term'!H30/H$5)*100,1),new_transmute,2,FALSE),
VLOOKUP('Final Term'!H30,new_transmute,2,FALSE)
),
IF(Info!$B$4="Board program",
IF(OR(AND(H$5&gt;0,H$5&gt;100),AND(H$5&gt;0,H$5&lt;100)),
VLOOKUP(FLOOR(('Final Term'!H30/H$5)*100,1),new_transmute,3,FALSE),
VLOOKUP('Final Term'!H30,new_transmute,3,FALSE)
),
IF(Info!$B$4="Board program (Medicine)",
IF(OR(AND(H$5&gt;0,H$5&gt;100),AND(H$5&gt;0,H$5&lt;100)),
VLOOKUP(FLOOR(('Final Term'!H30/H$5)*100,1),new_transmute,4,FALSE),
VLOOKUP('Final Term'!H30,new_transmute,4,FALSE)
),
""
)
)
)
)
)
)
)
)
))</f>
        <v/>
      </c>
      <c r="I30" s="73" t="str">
        <f>IF($B30="","",
IF(I$5="","",
IF('Final Term'!I30="",0,
IF(NOT(ISNUMBER('Final Term'!I30)),"NAN",
IF('Final Term'!I30&lt;0,"NEG",
IF('Final Term'!I30&gt;I$5,"OVER",
IF(AND(I$5&lt;=100,'Final Term'!I30&gt;100),"ERR",
IF(Info!$B$4="Non-board program",
IF(OR(AND(I$5&gt;0,I$5&gt;100),AND(I$5&gt;0,I$5&lt;100)),
VLOOKUP(FLOOR(('Final Term'!I30/I$5)*100,1),new_transmute,2,FALSE),
VLOOKUP('Final Term'!I30,new_transmute,2,FALSE)
),
IF(Info!$B$4="Board program",
IF(OR(AND(I$5&gt;0,I$5&gt;100),AND(I$5&gt;0,I$5&lt;100)),
VLOOKUP(FLOOR(('Final Term'!I30/I$5)*100,1),new_transmute,3,FALSE),
VLOOKUP('Final Term'!I30,new_transmute,3,FALSE)
),
IF(Info!$B$4="Board program (Medicine)",
IF(OR(AND(I$5&gt;0,I$5&gt;100),AND(I$5&gt;0,I$5&lt;100)),
VLOOKUP(FLOOR(('Final Term'!I30/I$5)*100,1),new_transmute,4,FALSE),
VLOOKUP('Final Term'!I30,new_transmute,4,FALSE)
),
""
)
)
)
)
)
)
)
)
))</f>
        <v/>
      </c>
      <c r="J30" s="73" t="str">
        <f>IF($B30="","",
IF(J$5="","",
IF('Final Term'!J30="",0,
IF(NOT(ISNUMBER('Final Term'!J30)),"NAN",
IF('Final Term'!J30&lt;0,"NEG",
IF('Final Term'!J30&gt;J$5,"OVER",
IF(AND(J$5&lt;=100,'Final Term'!J30&gt;100),"ERR",
IF(Info!$B$4="Non-board program",
IF(OR(AND(J$5&gt;0,J$5&gt;100),AND(J$5&gt;0,J$5&lt;100)),
VLOOKUP(FLOOR(('Final Term'!J30/J$5)*100,1),new_transmute,2,FALSE),
VLOOKUP('Final Term'!J30,new_transmute,2,FALSE)
),
IF(Info!$B$4="Board program",
IF(OR(AND(J$5&gt;0,J$5&gt;100),AND(J$5&gt;0,J$5&lt;100)),
VLOOKUP(FLOOR(('Final Term'!J30/J$5)*100,1),new_transmute,3,FALSE),
VLOOKUP('Final Term'!J30,new_transmute,3,FALSE)
),
IF(Info!$B$4="Board program (Medicine)",
IF(OR(AND(J$5&gt;0,J$5&gt;100),AND(J$5&gt;0,J$5&lt;100)),
VLOOKUP(FLOOR(('Final Term'!J30/J$5)*100,1),new_transmute,4,FALSE),
VLOOKUP('Final Term'!J30,new_transmute,4,FALSE)
),
""
)
)
)
)
)
)
)
)
))</f>
        <v/>
      </c>
      <c r="K30" s="73" t="str">
        <f>IF($B30="","",
IF(K$5="","",
IF('Final Term'!K30="",0,
IF(NOT(ISNUMBER('Final Term'!K30)),"NAN",
IF('Final Term'!K30&lt;0,"NEG",
IF('Final Term'!K30&gt;K$5,"OVER",
IF(AND(K$5&lt;=100,'Final Term'!K30&gt;100),"ERR",
IF(Info!$B$4="Non-board program",
IF(OR(AND(K$5&gt;0,K$5&gt;100),AND(K$5&gt;0,K$5&lt;100)),
VLOOKUP(FLOOR(('Final Term'!K30/K$5)*100,1),new_transmute,2,FALSE),
VLOOKUP('Final Term'!K30,new_transmute,2,FALSE)
),
IF(Info!$B$4="Board program",
IF(OR(AND(K$5&gt;0,K$5&gt;100),AND(K$5&gt;0,K$5&lt;100)),
VLOOKUP(FLOOR(('Final Term'!K30/K$5)*100,1),new_transmute,3,FALSE),
VLOOKUP('Final Term'!K30,new_transmute,3,FALSE)
),
IF(Info!$B$4="Board program (Medicine)",
IF(OR(AND(K$5&gt;0,K$5&gt;100),AND(K$5&gt;0,K$5&lt;100)),
VLOOKUP(FLOOR(('Final Term'!K30/K$5)*100,1),new_transmute,4,FALSE),
VLOOKUP('Final Term'!K30,new_transmute,4,FALSE)
),
""
)
)
)
)
)
)
)
)
))</f>
        <v/>
      </c>
      <c r="L30" s="73" t="str">
        <f>IF($B30="","",
IF(L$5="","",
IF('Final Term'!L30="",0,
IF(NOT(ISNUMBER('Final Term'!L30)),"NAN",
IF('Final Term'!L30&lt;0,"NEG",
IF('Final Term'!L30&gt;L$5,"OVER",
IF(AND(L$5&lt;=100,'Final Term'!L30&gt;100),"ERR",
IF(Info!$B$4="Non-board program",
IF(OR(AND(L$5&gt;0,L$5&gt;100),AND(L$5&gt;0,L$5&lt;100)),
VLOOKUP(FLOOR(('Final Term'!L30/L$5)*100,1),new_transmute,2,FALSE),
VLOOKUP('Final Term'!L30,new_transmute,2,FALSE)
),
IF(Info!$B$4="Board program",
IF(OR(AND(L$5&gt;0,L$5&gt;100),AND(L$5&gt;0,L$5&lt;100)),
VLOOKUP(FLOOR(('Final Term'!L30/L$5)*100,1),new_transmute,3,FALSE),
VLOOKUP('Final Term'!L30,new_transmute,3,FALSE)
),
IF(Info!$B$4="Board program (Medicine)",
IF(OR(AND(L$5&gt;0,L$5&gt;100),AND(L$5&gt;0,L$5&lt;100)),
VLOOKUP(FLOOR(('Final Term'!L30/L$5)*100,1),new_transmute,4,FALSE),
VLOOKUP('Final Term'!L30,new_transmute,4,FALSE)
),
""
)
)
)
)
)
)
)
)
))</f>
        <v/>
      </c>
      <c r="M30" s="111" t="str">
        <f t="shared" si="2"/>
        <v/>
      </c>
      <c r="N30" s="73" t="str">
        <f>IF($B30="","",
IF(N$5="","",
IF('Final Term'!N30="",0,
IF(NOT(ISNUMBER('Final Term'!N30)),"NAN",
IF('Final Term'!N30&lt;0,"NEG",
IF('Final Term'!N30&gt;N$5,"OVER",
IF(AND(N$5&lt;=100,'Final Term'!N30&gt;100),"ERR",
IF(Info!$B$4="Non-board program",
IF(OR(AND(N$5&gt;0,N$5&gt;100),AND(N$5&gt;0,N$5&lt;100)),
VLOOKUP(FLOOR(('Final Term'!N30/N$5)*100,1),new_transmute,2,FALSE),
VLOOKUP('Final Term'!N30,new_transmute,2,FALSE)
),
IF(Info!$B$4="Board program",
IF(OR(AND(N$5&gt;0,N$5&gt;100),AND(N$5&gt;0,N$5&lt;100)),
VLOOKUP(FLOOR(('Final Term'!N30/N$5)*100,1),new_transmute,3,FALSE),
VLOOKUP('Final Term'!N30,new_transmute,3,FALSE)
),
IF(Info!$B$4="Board program (Medicine)",
IF(OR(AND(N$5&gt;0,N$5&gt;100),AND(N$5&gt;0,N$5&lt;100)),
VLOOKUP(FLOOR(('Final Term'!N30/N$5)*100,1),new_transmute,4,FALSE),
VLOOKUP('Final Term'!N30,new_transmute,4,FALSE)
),
""
)
)
)
)
)
)
)
)
))</f>
        <v/>
      </c>
      <c r="O30" s="73" t="str">
        <f>IF($B30="","",
IF(O$5="","",
IF('Final Term'!O30="",0,
IF(NOT(ISNUMBER('Final Term'!O30)),"NAN",
IF('Final Term'!O30&lt;0,"NEG",
IF('Final Term'!O30&gt;O$5,"OVER",
IF(AND(O$5&lt;=100,'Final Term'!O30&gt;100),"ERR",
IF(Info!$B$4="Non-board program",
IF(OR(AND(O$5&gt;0,O$5&gt;100),AND(O$5&gt;0,O$5&lt;100)),
VLOOKUP(FLOOR(('Final Term'!O30/O$5)*100,1),new_transmute,2,FALSE),
VLOOKUP('Final Term'!O30,new_transmute,2,FALSE)
),
IF(Info!$B$4="Board program",
IF(OR(AND(O$5&gt;0,O$5&gt;100),AND(O$5&gt;0,O$5&lt;100)),
VLOOKUP(FLOOR(('Final Term'!O30/O$5)*100,1),new_transmute,3,FALSE),
VLOOKUP('Final Term'!O30,new_transmute,3,FALSE)
),
IF(Info!$B$4="Board program (Medicine)",
IF(OR(AND(O$5&gt;0,O$5&gt;100),AND(O$5&gt;0,O$5&lt;100)),
VLOOKUP(FLOOR(('Final Term'!O30/O$5)*100,1),new_transmute,4,FALSE),
VLOOKUP('Final Term'!O30,new_transmute,4,FALSE)
),
""
)
)
)
)
)
)
)
)
))</f>
        <v/>
      </c>
      <c r="P30" s="73" t="str">
        <f>IF($B30="","",
IF(P$5="","",
IF('Final Term'!P30="",0,
IF(NOT(ISNUMBER('Final Term'!P30)),"NAN",
IF('Final Term'!P30&lt;0,"NEG",
IF('Final Term'!P30&gt;P$5,"OVER",
IF(AND(P$5&lt;=100,'Final Term'!P30&gt;100),"ERR",
IF(Info!$B$4="Non-board program",
IF(OR(AND(P$5&gt;0,P$5&gt;100),AND(P$5&gt;0,P$5&lt;100)),
VLOOKUP(FLOOR(('Final Term'!P30/P$5)*100,1),new_transmute,2,FALSE),
VLOOKUP('Final Term'!P30,new_transmute,2,FALSE)
),
IF(Info!$B$4="Board program",
IF(OR(AND(P$5&gt;0,P$5&gt;100),AND(P$5&gt;0,P$5&lt;100)),
VLOOKUP(FLOOR(('Final Term'!P30/P$5)*100,1),new_transmute,3,FALSE),
VLOOKUP('Final Term'!P30,new_transmute,3,FALSE)
),
IF(Info!$B$4="Board program (Medicine)",
IF(OR(AND(P$5&gt;0,P$5&gt;100),AND(P$5&gt;0,P$5&lt;100)),
VLOOKUP(FLOOR(('Final Term'!P30/P$5)*100,1),new_transmute,4,FALSE),
VLOOKUP('Final Term'!P30,new_transmute,4,FALSE)
),
""
)
)
)
)
)
)
)
)
))</f>
        <v/>
      </c>
      <c r="Q30" s="73" t="str">
        <f>IF($B30="","",
IF(Q$5="","",
IF('Final Term'!Q30="",0,
IF(NOT(ISNUMBER('Final Term'!Q30)),"NAN",
IF('Final Term'!Q30&lt;0,"NEG",
IF('Final Term'!Q30&gt;Q$5,"OVER",
IF(AND(Q$5&lt;=100,'Final Term'!Q30&gt;100),"ERR",
IF(Info!$B$4="Non-board program",
IF(OR(AND(Q$5&gt;0,Q$5&gt;100),AND(Q$5&gt;0,Q$5&lt;100)),
VLOOKUP(FLOOR(('Final Term'!Q30/Q$5)*100,1),new_transmute,2,FALSE),
VLOOKUP('Final Term'!Q30,new_transmute,2,FALSE)
),
IF(Info!$B$4="Board program",
IF(OR(AND(Q$5&gt;0,Q$5&gt;100),AND(Q$5&gt;0,Q$5&lt;100)),
VLOOKUP(FLOOR(('Final Term'!Q30/Q$5)*100,1),new_transmute,3,FALSE),
VLOOKUP('Final Term'!Q30,new_transmute,3,FALSE)
),
IF(Info!$B$4="Board program (Medicine)",
IF(OR(AND(Q$5&gt;0,Q$5&gt;100),AND(Q$5&gt;0,Q$5&lt;100)),
VLOOKUP(FLOOR(('Final Term'!Q30/Q$5)*100,1),new_transmute,4,FALSE),
VLOOKUP('Final Term'!Q30,new_transmute,4,FALSE)
),
""
)
)
)
)
)
)
)
)
))</f>
        <v/>
      </c>
      <c r="R30" s="73" t="str">
        <f>IF($B30="","",
IF(R$5="","",
IF('Final Term'!R30="",0,
IF(NOT(ISNUMBER('Final Term'!R30)),"NAN",
IF('Final Term'!R30&lt;0,"NEG",
IF('Final Term'!R30&gt;R$5,"OVER",
IF(AND(R$5&lt;=100,'Final Term'!R30&gt;100),"ERR",
IF(Info!$B$4="Non-board program",
IF(OR(AND(R$5&gt;0,R$5&gt;100),AND(R$5&gt;0,R$5&lt;100)),
VLOOKUP(FLOOR(('Final Term'!R30/R$5)*100,1),new_transmute,2,FALSE),
VLOOKUP('Final Term'!R30,new_transmute,2,FALSE)
),
IF(Info!$B$4="Board program",
IF(OR(AND(R$5&gt;0,R$5&gt;100),AND(R$5&gt;0,R$5&lt;100)),
VLOOKUP(FLOOR(('Final Term'!R30/R$5)*100,1),new_transmute,3,FALSE),
VLOOKUP('Final Term'!R30,new_transmute,3,FALSE)
),
IF(Info!$B$4="Board program (Medicine)",
IF(OR(AND(R$5&gt;0,R$5&gt;100),AND(R$5&gt;0,R$5&lt;100)),
VLOOKUP(FLOOR(('Final Term'!R30/R$5)*100,1),new_transmute,4,FALSE),
VLOOKUP('Final Term'!R30,new_transmute,4,FALSE)
),
""
)
)
)
)
)
)
)
)
))</f>
        <v/>
      </c>
      <c r="S30" s="115" t="str">
        <f t="shared" si="3"/>
        <v/>
      </c>
      <c r="T30" s="73" t="str">
        <f>IF($B30="","",
IF(T$5="","",
IF('Final Term'!T30="",0,
IF(NOT(ISNUMBER('Final Term'!T30)),"NAN",
IF('Final Term'!T30&lt;0,"NEG",
IF('Final Term'!T30&gt;T$5,"OVER",
IF(AND(T$5&lt;=100,'Final Term'!T30&gt;100),"ERR",
IF(Info!$B$4="Non-board program",
IF(OR(AND(T$5&gt;0,T$5&gt;100),AND(T$5&gt;0,T$5&lt;100)),
VLOOKUP(FLOOR(('Final Term'!T30/T$5)*100,1),new_transmute,2,FALSE),
VLOOKUP('Final Term'!T30,new_transmute,2,FALSE)
),
IF(Info!$B$4="Board program",
IF(OR(AND(T$5&gt;0,T$5&gt;100),AND(T$5&gt;0,T$5&lt;100)),
VLOOKUP(FLOOR(('Final Term'!T30/T$5)*100,1),new_transmute,3,FALSE),
VLOOKUP('Final Term'!T30,new_transmute,3,FALSE)
),
IF(Info!$B$4="Board program (Medicine)",
IF(OR(AND(T$5&gt;0,T$5&gt;100),AND(T$5&gt;0,T$5&lt;100)),
VLOOKUP(FLOOR(('Final Term'!T30/T$5)*100,1),new_transmute,4,FALSE),
VLOOKUP('Final Term'!T30,new_transmute,4,FALSE)
),
""
)
)
)
)
)
)
)
)
))</f>
        <v/>
      </c>
      <c r="U30" s="73" t="str">
        <f>IF($B30="","",
IF(U$5="","",
IF('Final Term'!U30="",0,
IF(NOT(ISNUMBER('Final Term'!U30)),"NAN",
IF('Final Term'!U30&lt;0,"NEG",
IF('Final Term'!U30&gt;U$5,"OVER",
IF(AND(U$5&lt;=100,'Final Term'!U30&gt;100),"ERR",
IF(Info!$B$4="Non-board program",
IF(OR(AND(U$5&gt;0,U$5&gt;100),AND(U$5&gt;0,U$5&lt;100)),
VLOOKUP(FLOOR(('Final Term'!U30/U$5)*100,1),new_transmute,2,FALSE),
VLOOKUP('Final Term'!U30,new_transmute,2,FALSE)
),
IF(Info!$B$4="Board program",
IF(OR(AND(U$5&gt;0,U$5&gt;100),AND(U$5&gt;0,U$5&lt;100)),
VLOOKUP(FLOOR(('Final Term'!U30/U$5)*100,1),new_transmute,3,FALSE),
VLOOKUP('Final Term'!U30,new_transmute,3,FALSE)
),
IF(Info!$B$4="Board program (Medicine)",
IF(OR(AND(U$5&gt;0,U$5&gt;100),AND(U$5&gt;0,U$5&lt;100)),
VLOOKUP(FLOOR(('Final Term'!U30/U$5)*100,1),new_transmute,4,FALSE),
VLOOKUP('Final Term'!U30,new_transmute,4,FALSE)
),
""
)
)
)
)
)
)
)
)
))</f>
        <v/>
      </c>
      <c r="V30" s="73" t="str">
        <f>IF($B30="","",
IF(V$5="","",
IF('Final Term'!V30="",0,
IF(NOT(ISNUMBER('Final Term'!V30)),"NAN",
IF('Final Term'!V30&lt;0,"NEG",
IF('Final Term'!V30&gt;V$5,"OVER",
IF(AND(V$5&lt;=100,'Final Term'!V30&gt;100),"ERR",
IF(Info!$B$4="Non-board program",
IF(OR(AND(V$5&gt;0,V$5&gt;100),AND(V$5&gt;0,V$5&lt;100)),
VLOOKUP(FLOOR(('Final Term'!V30/V$5)*100,1),new_transmute,2,FALSE),
VLOOKUP('Final Term'!V30,new_transmute,2,FALSE)
),
IF(Info!$B$4="Board program",
IF(OR(AND(V$5&gt;0,V$5&gt;100),AND(V$5&gt;0,V$5&lt;100)),
VLOOKUP(FLOOR(('Final Term'!V30/V$5)*100,1),new_transmute,3,FALSE),
VLOOKUP('Final Term'!V30,new_transmute,3,FALSE)
),
IF(Info!$B$4="Board program (Medicine)",
IF(OR(AND(V$5&gt;0,V$5&gt;100),AND(V$5&gt;0,V$5&lt;100)),
VLOOKUP(FLOOR(('Final Term'!V30/V$5)*100,1),new_transmute,4,FALSE),
VLOOKUP('Final Term'!V30,new_transmute,4,FALSE)
),
""
)
)
)
)
)
)
)
)
))</f>
        <v/>
      </c>
      <c r="W30" s="73" t="str">
        <f>IF($B30="","",
IF(W$5="","",
IF('Final Term'!W30="",0,
IF(NOT(ISNUMBER('Final Term'!W30)),"NAN",
IF('Final Term'!W30&lt;0,"NEG",
IF('Final Term'!W30&gt;W$5,"OVER",
IF(AND(W$5&lt;=100,'Final Term'!W30&gt;100),"ERR",
IF(Info!$B$4="Non-board program",
IF(OR(AND(W$5&gt;0,W$5&gt;100),AND(W$5&gt;0,W$5&lt;100)),
VLOOKUP(FLOOR(('Final Term'!W30/W$5)*100,1),new_transmute,2,FALSE),
VLOOKUP('Final Term'!W30,new_transmute,2,FALSE)
),
IF(Info!$B$4="Board program",
IF(OR(AND(W$5&gt;0,W$5&gt;100),AND(W$5&gt;0,W$5&lt;100)),
VLOOKUP(FLOOR(('Final Term'!W30/W$5)*100,1),new_transmute,3,FALSE),
VLOOKUP('Final Term'!W30,new_transmute,3,FALSE)
),
IF(Info!$B$4="Board program (Medicine)",
IF(OR(AND(W$5&gt;0,W$5&gt;100),AND(W$5&gt;0,W$5&lt;100)),
VLOOKUP(FLOOR(('Final Term'!W30/W$5)*100,1),new_transmute,4,FALSE),
VLOOKUP('Final Term'!W30,new_transmute,4,FALSE)
),
""
)
)
)
)
)
)
)
)
))</f>
        <v/>
      </c>
      <c r="X30" s="73" t="str">
        <f>IF($B30="","",
IF(X$5="","",
IF('Final Term'!X30="",0,
IF(NOT(ISNUMBER('Final Term'!X30)),"NAN",
IF('Final Term'!X30&lt;0,"NEG",
IF('Final Term'!X30&gt;X$5,"OVER",
IF(AND(X$5&lt;=100,'Final Term'!X30&gt;100),"ERR",
IF(Info!$B$4="Non-board program",
IF(OR(AND(X$5&gt;0,X$5&gt;100),AND(X$5&gt;0,X$5&lt;100)),
VLOOKUP(FLOOR(('Final Term'!X30/X$5)*100,1),new_transmute,2,FALSE),
VLOOKUP('Final Term'!X30,new_transmute,2,FALSE)
),
IF(Info!$B$4="Board program",
IF(OR(AND(X$5&gt;0,X$5&gt;100),AND(X$5&gt;0,X$5&lt;100)),
VLOOKUP(FLOOR(('Final Term'!X30/X$5)*100,1),new_transmute,3,FALSE),
VLOOKUP('Final Term'!X30,new_transmute,3,FALSE)
),
IF(Info!$B$4="Board program (Medicine)",
IF(OR(AND(X$5&gt;0,X$5&gt;100),AND(X$5&gt;0,X$5&lt;100)),
VLOOKUP(FLOOR(('Final Term'!X30/X$5)*100,1),new_transmute,4,FALSE),
VLOOKUP('Final Term'!X30,new_transmute,4,FALSE)
),
""
)
)
)
)
)
)
)
)
))</f>
        <v/>
      </c>
      <c r="Y30" s="112" t="str">
        <f t="shared" si="4"/>
        <v/>
      </c>
      <c r="Z30" s="73" t="str">
        <f>IF($B30="","",
IF(Z$5="","",
IF('Final Term'!Z30="",0,
IF(NOT(ISNUMBER('Final Term'!Z30)),"NAN",
IF('Final Term'!Z30&lt;0,"NEG",
IF('Final Term'!Z30&gt;Z$5,"OVER",
IF(AND(Z$5&lt;=100,'Final Term'!Z30&gt;100),"ERR",
IF(Info!$B$4="Non-board program",
IF(OR(AND(Z$5&gt;0,Z$5&gt;100),AND(Z$5&gt;0,Z$5&lt;100)),
VLOOKUP(FLOOR(('Final Term'!Z30/Z$5)*100,1),new_transmute,2,FALSE),
VLOOKUP('Final Term'!Z30,new_transmute,2,FALSE)
),
IF(Info!$B$4="Board program",
IF(OR(AND(Z$5&gt;0,Z$5&gt;100),AND(Z$5&gt;0,Z$5&lt;100)),
VLOOKUP(FLOOR(('Final Term'!Z30/Z$5)*100,1),new_transmute,3,FALSE),
VLOOKUP('Final Term'!Z30,new_transmute,3,FALSE)
),
IF(Info!$B$4="Board program (Medicine)",
IF(OR(AND(Z$5&gt;0,Z$5&gt;100),AND(Z$5&gt;0,Z$5&lt;100)),
VLOOKUP(FLOOR(('Final Term'!Z30/Z$5)*100,1),new_transmute,4,FALSE),
VLOOKUP('Final Term'!Z30,new_transmute,4,FALSE)
),
""
)
)
)
)
)
)
)
)
))</f>
        <v/>
      </c>
      <c r="AA30" s="73" t="str">
        <f>IF($B30="","",
IF(AA$5="","",
IF('Final Term'!AA30="",0,
IF(NOT(ISNUMBER('Final Term'!AA30)),"NAN",
IF('Final Term'!AA30&lt;0,"NEG",
IF('Final Term'!AA30&gt;AA$5,"OVER",
IF(AND(AA$5&lt;=100,'Final Term'!AA30&gt;100),"ERR",
IF(Info!$B$4="Non-board program",
IF(OR(AND(AA$5&gt;0,AA$5&gt;100),AND(AA$5&gt;0,AA$5&lt;100)),
VLOOKUP(FLOOR(('Final Term'!AA30/AA$5)*100,1),new_transmute,2,FALSE),
VLOOKUP('Final Term'!AA30,new_transmute,2,FALSE)
),
IF(Info!$B$4="Board program",
IF(OR(AND(AA$5&gt;0,AA$5&gt;100),AND(AA$5&gt;0,AA$5&lt;100)),
VLOOKUP(FLOOR(('Final Term'!AA30/AA$5)*100,1),new_transmute,3,FALSE),
VLOOKUP('Final Term'!AA30,new_transmute,3,FALSE)
),
IF(Info!$B$4="Board program (Medicine)",
IF(OR(AND(AA$5&gt;0,AA$5&gt;100),AND(AA$5&gt;0,AA$5&lt;100)),
VLOOKUP(FLOOR(('Final Term'!AA30/AA$5)*100,1),new_transmute,4,FALSE),
VLOOKUP('Final Term'!AA30,new_transmute,4,FALSE)
),
""
)
)
)
)
)
)
)
)
))</f>
        <v/>
      </c>
      <c r="AB30" s="73" t="str">
        <f>IF($B30="","",
IF(AB$5="","",
IF('Final Term'!AB30="",0,
IF(NOT(ISNUMBER('Final Term'!AB30)),"NAN",
IF('Final Term'!AB30&lt;0,"NEG",
IF('Final Term'!AB30&gt;AB$5,"OVER",
IF(AND(AB$5&lt;=100,'Final Term'!AB30&gt;100),"ERR",
IF(Info!$B$4="Non-board program",
IF(OR(AND(AB$5&gt;0,AB$5&gt;100),AND(AB$5&gt;0,AB$5&lt;100)),
VLOOKUP(FLOOR(('Final Term'!AB30/AB$5)*100,1),new_transmute,2,FALSE),
VLOOKUP('Final Term'!AB30,new_transmute,2,FALSE)
),
IF(Info!$B$4="Board program",
IF(OR(AND(AB$5&gt;0,AB$5&gt;100),AND(AB$5&gt;0,AB$5&lt;100)),
VLOOKUP(FLOOR(('Final Term'!AB30/AB$5)*100,1),new_transmute,3,FALSE),
VLOOKUP('Final Term'!AB30,new_transmute,3,FALSE)
),
IF(Info!$B$4="Board program (Medicine)",
IF(OR(AND(AB$5&gt;0,AB$5&gt;100),AND(AB$5&gt;0,AB$5&lt;100)),
VLOOKUP(FLOOR(('Final Term'!AB30/AB$5)*100,1),new_transmute,4,FALSE),
VLOOKUP('Final Term'!AB30,new_transmute,4,FALSE)
),
""
)
)
)
)
)
)
)
)
))</f>
        <v/>
      </c>
      <c r="AC30" s="73" t="str">
        <f>IF($B30="","",
IF(AC$5="","",
IF('Final Term'!AC30="",0,
IF(NOT(ISNUMBER('Final Term'!AC30)),"NAN",
IF('Final Term'!AC30&lt;0,"NEG",
IF('Final Term'!AC30&gt;AC$5,"OVER",
IF(AND(AC$5&lt;=100,'Final Term'!AC30&gt;100),"ERR",
IF(Info!$B$4="Non-board program",
IF(OR(AND(AC$5&gt;0,AC$5&gt;100),AND(AC$5&gt;0,AC$5&lt;100)),
VLOOKUP(FLOOR(('Final Term'!AC30/AC$5)*100,1),new_transmute,2,FALSE),
VLOOKUP('Final Term'!AC30,new_transmute,2,FALSE)
),
IF(Info!$B$4="Board program",
IF(OR(AND(AC$5&gt;0,AC$5&gt;100),AND(AC$5&gt;0,AC$5&lt;100)),
VLOOKUP(FLOOR(('Final Term'!AC30/AC$5)*100,1),new_transmute,3,FALSE),
VLOOKUP('Final Term'!AC30,new_transmute,3,FALSE)
),
IF(Info!$B$4="Board program (Medicine)",
IF(OR(AND(AC$5&gt;0,AC$5&gt;100),AND(AC$5&gt;0,AC$5&lt;100)),
VLOOKUP(FLOOR(('Final Term'!AC30/AC$5)*100,1),new_transmute,4,FALSE),
VLOOKUP('Final Term'!AC30,new_transmute,4,FALSE)
),
""
)
)
)
)
)
)
)
)
))</f>
        <v/>
      </c>
      <c r="AD30" s="73" t="str">
        <f>IF($B30="","",
IF(AD$5="","",
IF('Final Term'!AD30="",0,
IF(NOT(ISNUMBER('Final Term'!AD30)),"NAN",
IF('Final Term'!AD30&lt;0,"NEG",
IF('Final Term'!AD30&gt;AD$5,"OVER",
IF(AND(AD$5&lt;=100,'Final Term'!AD30&gt;100),"ERR",
IF(Info!$B$4="Non-board program",
IF(OR(AND(AD$5&gt;0,AD$5&gt;100),AND(AD$5&gt;0,AD$5&lt;100)),
VLOOKUP(FLOOR(('Final Term'!AD30/AD$5)*100,1),new_transmute,2,FALSE),
VLOOKUP('Final Term'!AD30,new_transmute,2,FALSE)
),
IF(Info!$B$4="Board program",
IF(OR(AND(AD$5&gt;0,AD$5&gt;100),AND(AD$5&gt;0,AD$5&lt;100)),
VLOOKUP(FLOOR(('Final Term'!AD30/AD$5)*100,1),new_transmute,3,FALSE),
VLOOKUP('Final Term'!AD30,new_transmute,3,FALSE)
),
IF(Info!$B$4="Board program (Medicine)",
IF(OR(AND(AD$5&gt;0,AD$5&gt;100),AND(AD$5&gt;0,AD$5&lt;100)),
VLOOKUP(FLOOR(('Final Term'!AD30/AD$5)*100,1),new_transmute,4,FALSE),
VLOOKUP('Final Term'!AD30,new_transmute,4,FALSE)
),
""
)
)
)
)
)
)
)
)
))</f>
        <v/>
      </c>
      <c r="AE30" s="58" t="str">
        <f t="shared" si="5"/>
        <v/>
      </c>
      <c r="AF30" s="73" t="str">
        <f>IF($B30="","",
IF(AF$5="","",
IF('Final Term'!AF30="",0,
IF(NOT(ISNUMBER('Final Term'!AF30)),"NAN",
IF('Final Term'!AF30&lt;0,"NEG",
IF('Final Term'!AF30&gt;AF$5,"OVER",
IF(AND(AF$5&lt;=100,'Final Term'!AF30&gt;100),"ERR",
IF(Info!$B$4="Non-board program",
IF(OR(AND(AF$5&gt;0,AF$5&gt;100),AND(AF$5&gt;0,AF$5&lt;100)),
VLOOKUP(FLOOR(('Final Term'!AF30/AF$5)*100,1),new_transmute,2,FALSE),
VLOOKUP('Final Term'!AF30,new_transmute,2,FALSE)
),
IF(Info!$B$4="Board program",
IF(OR(AND(AF$5&gt;0,AF$5&gt;100),AND(AF$5&gt;0,AF$5&lt;100)),
VLOOKUP(FLOOR(('Final Term'!AF30/AF$5)*100,1),new_transmute,3,FALSE),
VLOOKUP('Final Term'!AF30,new_transmute,3,FALSE)
),
IF(Info!$B$4="Board program (Medicine)",
IF(OR(AND(AF$5&gt;0,AF$5&gt;100),AND(AF$5&gt;0,AF$5&lt;100)),
VLOOKUP(FLOOR(('Final Term'!AF30/AF$5)*100,1),new_transmute,4,FALSE),
VLOOKUP('Final Term'!AF30,new_transmute,4,FALSE)
),
""
)
)
)
)
)
)
)
)
))</f>
        <v/>
      </c>
      <c r="AG30" s="73" t="str">
        <f>IF($B30="","",
IF(AG$5="","",
IF('Final Term'!AG30="",0,
IF(NOT(ISNUMBER('Final Term'!AG30)),"NAN",
IF('Final Term'!AG30&lt;0,"NEG",
IF('Final Term'!AG30&gt;AG$5,"OVER",
IF(AND(AG$5&lt;=100,'Final Term'!AG30&gt;100),"ERR",
IF(Info!$B$4="Non-board program",
IF(OR(AND(AG$5&gt;0,AG$5&gt;100),AND(AG$5&gt;0,AG$5&lt;100)),
VLOOKUP(FLOOR(('Final Term'!AG30/AG$5)*100,1),new_transmute,2,FALSE),
VLOOKUP('Final Term'!AG30,new_transmute,2,FALSE)
),
IF(Info!$B$4="Board program",
IF(OR(AND(AG$5&gt;0,AG$5&gt;100),AND(AG$5&gt;0,AG$5&lt;100)),
VLOOKUP(FLOOR(('Final Term'!AG30/AG$5)*100,1),new_transmute,3,FALSE),
VLOOKUP('Final Term'!AG30,new_transmute,3,FALSE)
),
IF(Info!$B$4="Board program (Medicine)",
IF(OR(AND(AG$5&gt;0,AG$5&gt;100),AND(AG$5&gt;0,AG$5&lt;100)),
VLOOKUP(FLOOR(('Final Term'!AG30/AG$5)*100,1),new_transmute,4,FALSE),
VLOOKUP('Final Term'!AG30,new_transmute,4,FALSE)
),
""
)
)
)
)
)
)
)
)
))</f>
        <v/>
      </c>
      <c r="AH30" s="73" t="str">
        <f>IF($B30="","",
IF(AH$5="","",
IF('Final Term'!AH30="",0,
IF(NOT(ISNUMBER('Final Term'!AH30)),"NAN",
IF('Final Term'!AH30&lt;0,"NEG",
IF('Final Term'!AH30&gt;AH$5,"OVER",
IF(AND(AH$5&lt;=100,'Final Term'!AH30&gt;100),"ERR",
IF(Info!$B$4="Non-board program",
IF(OR(AND(AH$5&gt;0,AH$5&gt;100),AND(AH$5&gt;0,AH$5&lt;100)),
VLOOKUP(FLOOR(('Final Term'!AH30/AH$5)*100,1),new_transmute,2,FALSE),
VLOOKUP('Final Term'!AH30,new_transmute,2,FALSE)
),
IF(Info!$B$4="Board program",
IF(OR(AND(AH$5&gt;0,AH$5&gt;100),AND(AH$5&gt;0,AH$5&lt;100)),
VLOOKUP(FLOOR(('Final Term'!AH30/AH$5)*100,1),new_transmute,3,FALSE),
VLOOKUP('Final Term'!AH30,new_transmute,3,FALSE)
),
IF(Info!$B$4="Board program (Medicine)",
IF(OR(AND(AH$5&gt;0,AH$5&gt;100),AND(AH$5&gt;0,AH$5&lt;100)),
VLOOKUP(FLOOR(('Final Term'!AH30/AH$5)*100,1),new_transmute,4,FALSE),
VLOOKUP('Final Term'!AH30,new_transmute,4,FALSE)
),
""
)
)
)
)
)
)
)
)
))</f>
        <v/>
      </c>
      <c r="AI30" s="73" t="str">
        <f>IF($B30="","",
IF(AI$5="","",
IF('Final Term'!AI30="",0,
IF(NOT(ISNUMBER('Final Term'!AI30)),"NAN",
IF('Final Term'!AI30&lt;0,"NEG",
IF('Final Term'!AI30&gt;AI$5,"OVER",
IF(AND(AI$5&lt;=100,'Final Term'!AI30&gt;100),"ERR",
IF(Info!$B$4="Non-board program",
IF(OR(AND(AI$5&gt;0,AI$5&gt;100),AND(AI$5&gt;0,AI$5&lt;100)),
VLOOKUP(FLOOR(('Final Term'!AI30/AI$5)*100,1),new_transmute,2,FALSE),
VLOOKUP('Final Term'!AI30,new_transmute,2,FALSE)
),
IF(Info!$B$4="Board program",
IF(OR(AND(AI$5&gt;0,AI$5&gt;100),AND(AI$5&gt;0,AI$5&lt;100)),
VLOOKUP(FLOOR(('Final Term'!AI30/AI$5)*100,1),new_transmute,3,FALSE),
VLOOKUP('Final Term'!AI30,new_transmute,3,FALSE)
),
IF(Info!$B$4="Board program (Medicine)",
IF(OR(AND(AI$5&gt;0,AI$5&gt;100),AND(AI$5&gt;0,AI$5&lt;100)),
VLOOKUP(FLOOR(('Final Term'!AI30/AI$5)*100,1),new_transmute,4,FALSE),
VLOOKUP('Final Term'!AI30,new_transmute,4,FALSE)
),
""
)
)
)
)
)
)
)
)
))</f>
        <v/>
      </c>
      <c r="AJ30" s="73" t="str">
        <f>IF($B30="","",
IF(AJ$5="","",
IF('Final Term'!AJ30="",0,
IF(NOT(ISNUMBER('Final Term'!AJ30)),"NAN",
IF('Final Term'!AJ30&lt;0,"NEG",
IF('Final Term'!AJ30&gt;AJ$5,"OVER",
IF(AND(AJ$5&lt;=100,'Final Term'!AJ30&gt;100),"ERR",
IF(Info!$B$4="Non-board program",
IF(OR(AND(AJ$5&gt;0,AJ$5&gt;100),AND(AJ$5&gt;0,AJ$5&lt;100)),
VLOOKUP(FLOOR(('Final Term'!AJ30/AJ$5)*100,1),new_transmute,2,FALSE),
VLOOKUP('Final Term'!AJ30,new_transmute,2,FALSE)
),
IF(Info!$B$4="Board program",
IF(OR(AND(AJ$5&gt;0,AJ$5&gt;100),AND(AJ$5&gt;0,AJ$5&lt;100)),
VLOOKUP(FLOOR(('Final Term'!AJ30/AJ$5)*100,1),new_transmute,3,FALSE),
VLOOKUP('Final Term'!AJ30,new_transmute,3,FALSE)
),
IF(Info!$B$4="Board program (Medicine)",
IF(OR(AND(AJ$5&gt;0,AJ$5&gt;100),AND(AJ$5&gt;0,AJ$5&lt;100)),
VLOOKUP(FLOOR(('Final Term'!AJ30/AJ$5)*100,1),new_transmute,4,FALSE),
VLOOKUP('Final Term'!AJ30,new_transmute,4,FALSE)
),
""
)
)
)
)
)
)
)
)
))</f>
        <v/>
      </c>
      <c r="AK30" s="59" t="str">
        <f t="shared" si="6"/>
        <v/>
      </c>
      <c r="AL30" s="60" t="str">
        <f>IF(B30="", "",
    IF(OR(M30="OVER", S30="OVER", Y30="OVER", AE30="OVER", AK30="OVER"),
        "OVER",
        IF(Info!$B$4="Non-board program",
            VLOOKUP(IFERROR(FLOOR(SUM((M30*$M$4), (S30*$S$4), (Y30*$Y$4), (AE30*$AE$4), (AK30*$AK$4)) * (100 / 60), 1), 0), new_transmute, 2, FALSE),
            IF(Info!$B$4="Board program",
                VLOOKUP(IFERROR(FLOOR(SUM((M30*$M$4), (S30*$S$4), (Y30*$Y$4), (AE30*$AE$4), (AK30*$AK$4)) * (100 / 60), 1), 0), new_transmute, 3, FALSE),
                IF(Info!$B$4="Board program (Medicine)",
                    VLOOKUP(IFERROR(FLOOR(SUM((M30*$M$4), (S30*$S$4), (Y30*$Y$4), (AE30*$AE$4), (AK30*$AK$4)) * (100 / 60), 1), 0), new_transmute, 4, FALSE),
                    ""
                )
            )
        )
    )
)</f>
        <v/>
      </c>
      <c r="AM30" s="73" t="str">
        <f>IF($B30="","",
IF(AM$5="","",
IF('Final Term'!AM30="",0,
IF(NOT(ISNUMBER('Final Term'!AM30)),"NAN",
IF('Final Term'!AM30&lt;0,"NEG",
IF('Final Term'!AM30&gt;AM$5,"OVER",
IF(AND(AM$5&lt;=100,'Final Term'!AM30&gt;100),"ERR",
IF(Info!$B$4="Non-board program",
IF(OR(AND(AM$5&gt;0,AM$5&gt;100),AND(AM$5&gt;0,AM$5&lt;100)),
VLOOKUP(FLOOR(('Final Term'!AM30/AM$5)*100,1),new_transmute,2,FALSE),
VLOOKUP('Final Term'!AM30,new_transmute,2,FALSE)
),
IF(Info!$B$4="Board program",
IF(OR(AND(AM$5&gt;0,AM$5&gt;100),AND(AM$5&gt;0,AM$5&lt;100)),
VLOOKUP(FLOOR(('Final Term'!AM30/AM$5)*100,1),new_transmute,3,FALSE),
VLOOKUP('Final Term'!AM30,new_transmute,3,FALSE)
),
IF(Info!$B$4="Board program (Medicine)",
IF(OR(AND(AM$5&gt;0,AM$5&gt;100),AND(AM$5&gt;0,AM$5&lt;100)),
VLOOKUP(FLOOR(('Final Term'!AM30/AM$5)*100,1),new_transmute,4,FALSE),
VLOOKUP('Final Term'!AM30,new_transmute,4,FALSE)
),
""
)
)
)
)
)
)
)
)
))</f>
        <v/>
      </c>
      <c r="AN30" s="73" t="str">
        <f>IF($B30="","",
IF(AN$5="","",
IF('Final Term'!AN30="",0,
IF(NOT(ISNUMBER('Final Term'!AN30)),"NAN",
IF('Final Term'!AN30&lt;0,"NEG",
IF('Final Term'!AN30&gt;AN$5,"OVER",
IF(AND(AN$5&lt;=100,'Final Term'!AN30&gt;100),"ERR",
IF(Info!$B$4="Non-board program",
IF(OR(AND(AN$5&gt;0,AN$5&gt;100),AND(AN$5&gt;0,AN$5&lt;100)),
VLOOKUP(FLOOR(('Final Term'!AN30/AN$5)*100,1),new_transmute,2,FALSE),
VLOOKUP('Final Term'!AN30,new_transmute,2,FALSE)
),
IF(Info!$B$4="Board program",
IF(OR(AND(AN$5&gt;0,AN$5&gt;100),AND(AN$5&gt;0,AN$5&lt;100)),
VLOOKUP(FLOOR(('Final Term'!AN30/AN$5)*100,1),new_transmute,3,FALSE),
VLOOKUP('Final Term'!AN30,new_transmute,3,FALSE)
),
IF(Info!$B$4="Board program (Medicine)",
IF(OR(AND(AN$5&gt;0,AN$5&gt;100),AND(AN$5&gt;0,AN$5&lt;100)),
VLOOKUP(FLOOR(('Final Term'!AN30/AN$5)*100,1),new_transmute,4,FALSE),
VLOOKUP('Final Term'!AN30,new_transmute,4,FALSE)
),
""
)
)
)
)
)
)
)
)
))</f>
        <v/>
      </c>
      <c r="AO30" s="73" t="str">
        <f>IF($B30="","",
IF(AO$5="","",
IF('Final Term'!AO30="",0,
IF(NOT(ISNUMBER('Final Term'!AO30)),"NAN",
IF('Final Term'!AO30&lt;0,"NEG",
IF('Final Term'!AO30&gt;AO$5,"OVER",
IF(AND(AO$5&lt;=100,'Final Term'!AO30&gt;100),"ERR",
IF(Info!$B$4="Non-board program",
IF(OR(AND(AO$5&gt;0,AO$5&gt;100),AND(AO$5&gt;0,AO$5&lt;100)),
VLOOKUP(FLOOR(('Final Term'!AO30/AO$5)*100,1),new_transmute,2,FALSE),
VLOOKUP('Final Term'!AO30,new_transmute,2,FALSE)
),
IF(Info!$B$4="Board program",
IF(OR(AND(AO$5&gt;0,AO$5&gt;100),AND(AO$5&gt;0,AO$5&lt;100)),
VLOOKUP(FLOOR(('Final Term'!AO30/AO$5)*100,1),new_transmute,3,FALSE),
VLOOKUP('Final Term'!AO30,new_transmute,3,FALSE)
),
IF(Info!$B$4="Board program (Medicine)",
IF(OR(AND(AO$5&gt;0,AO$5&gt;100),AND(AO$5&gt;0,AO$5&lt;100)),
VLOOKUP(FLOOR(('Final Term'!AO30/AO$5)*100,1),new_transmute,4,FALSE),
VLOOKUP('Final Term'!AO30,new_transmute,4,FALSE)
),
""
)
)
)
)
)
)
)
)
))</f>
        <v/>
      </c>
      <c r="AP30" s="73" t="str">
        <f>IF($B30="","",
IF(AP$5="","",
IF('Final Term'!AP30="",0,
IF(NOT(ISNUMBER('Final Term'!AP30)),"NAN",
IF('Final Term'!AP30&lt;0,"NEG",
IF('Final Term'!AP30&gt;AP$5,"OVER",
IF(AND(AP$5&lt;=100,'Final Term'!AP30&gt;100),"ERR",
IF(Info!$B$4="Non-board program",
IF(OR(AND(AP$5&gt;0,AP$5&gt;100),AND(AP$5&gt;0,AP$5&lt;100)),
VLOOKUP(FLOOR(('Final Term'!AP30/AP$5)*100,1),new_transmute,2,FALSE),
VLOOKUP('Final Term'!AP30,new_transmute,2,FALSE)
),
IF(Info!$B$4="Board program",
IF(OR(AND(AP$5&gt;0,AP$5&gt;100),AND(AP$5&gt;0,AP$5&lt;100)),
VLOOKUP(FLOOR(('Final Term'!AP30/AP$5)*100,1),new_transmute,3,FALSE),
VLOOKUP('Final Term'!AP30,new_transmute,3,FALSE)
),
IF(Info!$B$4="Board program (Medicine)",
IF(OR(AND(AP$5&gt;0,AP$5&gt;100),AND(AP$5&gt;0,AP$5&lt;100)),
VLOOKUP(FLOOR(('Final Term'!AP30/AP$5)*100,1),new_transmute,4,FALSE),
VLOOKUP('Final Term'!AP30,new_transmute,4,FALSE)
),
""
)
)
)
)
)
)
)
)
))</f>
        <v/>
      </c>
      <c r="AQ30" s="61" t="str">
        <f t="shared" si="7"/>
        <v/>
      </c>
      <c r="AR30" s="48" t="str">
        <f>IF('Final Term'!AR30="","",'Final Term'!AR30)</f>
        <v/>
      </c>
      <c r="AS30" s="165" t="str">
        <f t="shared" si="8"/>
        <v/>
      </c>
      <c r="AT30" s="14" t="str">
        <f t="shared" si="0"/>
        <v/>
      </c>
      <c r="AU30" s="13" t="str">
        <f>IF(B30="","",VLOOKUP(AT30,'New Grade Equivalent'!$B$3:$C$47,2,FALSE))</f>
        <v/>
      </c>
    </row>
    <row r="31" spans="1:47" x14ac:dyDescent="0.25">
      <c r="A31" s="8">
        <v>26</v>
      </c>
      <c r="B31" s="2" t="str">
        <f>IF('Student List'!C35="","",UPPER(LEFT('Student List'!C35,FIND(",",'Student List'!C35)-1)))</f>
        <v/>
      </c>
      <c r="C31" s="12" t="str">
        <f>IF('Student List'!C35="","",PROPER(MID('Student List'!C35, FIND(",", 'Student List'!C35) + 2, LEN('Student List'!C35) - FIND(",", 'Student List'!C35) - 1)))</f>
        <v/>
      </c>
      <c r="D31" s="127" t="str">
        <f>IF('Final Term'!D31="","",'Final Term'!D31)</f>
        <v/>
      </c>
      <c r="E31" s="8" t="str">
        <f>IF(MidCom!E31="FA", "FA",
    IF(MidCom!E31="DRP", "DRP",
        IF(MidCom!E31="WF", "WF",
            IF(D31="Yes", "INC",
               IF((SUM('MT Attendance'!AW29) / 3 + SUM('MT Attendance'!AY29) + SUM('FT Attendance'!AW29) / 3 + SUM('FT Attendance'!AY29)) &gt;= 0.2 * (SUMPRODUCT(--(ISTEXT('MT Attendance'!$C$2:$AU$2))) + SUMPRODUCT(--(ISTEXT('FT Attendance'!$C$2:$AU$2)))), "FA",
                   MidCom!E31
                )
            )
        )
    )
)</f>
        <v/>
      </c>
      <c r="F31" s="73" t="str">
        <f>IF($B31="","",
IF(F$5="","",
IF('Final Term'!F31="",0,
IF(NOT(ISNUMBER('Final Term'!F31)),"NAN",
IF('Final Term'!F31&lt;0,"NEG",
IF('Final Term'!F31&gt;F$5,"OVER",
IF(AND(F$5&lt;=100,'Final Term'!F31&gt;100),"ERR",
IF(Info!$B$4="Non-board program",
IF(OR(AND(F$5&gt;0,F$5&gt;100),AND(F$5&gt;0,F$5&lt;100)),
VLOOKUP(FLOOR(('Final Term'!F31/F$5)*100,1),new_transmute,2,FALSE),
VLOOKUP('Final Term'!F31,new_transmute,2,FALSE)
),
IF(Info!$B$4="Board program",
IF(OR(AND(F$5&gt;0,F$5&gt;100),AND(F$5&gt;0,F$5&lt;100)),
VLOOKUP(FLOOR(('Final Term'!F31/F$5)*100,1),new_transmute,3,FALSE),
VLOOKUP('Final Term'!F31,new_transmute,3,FALSE)
),
IF(Info!$B$4="Board program (Medicine)",
IF(OR(AND(F$5&gt;0,F$5&gt;100),AND(F$5&gt;0,F$5&lt;100)),
VLOOKUP(FLOOR(('Final Term'!F31/F$5)*100,1),new_transmute,4,FALSE),
VLOOKUP('Final Term'!F31,new_transmute,4,FALSE)
),
""
)
)
)
)
)
)
)
)
))</f>
        <v/>
      </c>
      <c r="G31" s="57" t="str">
        <f t="shared" si="1"/>
        <v/>
      </c>
      <c r="H31" s="73" t="str">
        <f>IF($B31="","",
IF(H$5="","",
IF('Final Term'!H31="",0,
IF(NOT(ISNUMBER('Final Term'!H31)),"NAN",
IF('Final Term'!H31&lt;0,"NEG",
IF('Final Term'!H31&gt;H$5,"OVER",
IF(AND(H$5&lt;=100,'Final Term'!H31&gt;100),"ERR",
IF(Info!$B$4="Non-board program",
IF(OR(AND(H$5&gt;0,H$5&gt;100),AND(H$5&gt;0,H$5&lt;100)),
VLOOKUP(FLOOR(('Final Term'!H31/H$5)*100,1),new_transmute,2,FALSE),
VLOOKUP('Final Term'!H31,new_transmute,2,FALSE)
),
IF(Info!$B$4="Board program",
IF(OR(AND(H$5&gt;0,H$5&gt;100),AND(H$5&gt;0,H$5&lt;100)),
VLOOKUP(FLOOR(('Final Term'!H31/H$5)*100,1),new_transmute,3,FALSE),
VLOOKUP('Final Term'!H31,new_transmute,3,FALSE)
),
IF(Info!$B$4="Board program (Medicine)",
IF(OR(AND(H$5&gt;0,H$5&gt;100),AND(H$5&gt;0,H$5&lt;100)),
VLOOKUP(FLOOR(('Final Term'!H31/H$5)*100,1),new_transmute,4,FALSE),
VLOOKUP('Final Term'!H31,new_transmute,4,FALSE)
),
""
)
)
)
)
)
)
)
)
))</f>
        <v/>
      </c>
      <c r="I31" s="73" t="str">
        <f>IF($B31="","",
IF(I$5="","",
IF('Final Term'!I31="",0,
IF(NOT(ISNUMBER('Final Term'!I31)),"NAN",
IF('Final Term'!I31&lt;0,"NEG",
IF('Final Term'!I31&gt;I$5,"OVER",
IF(AND(I$5&lt;=100,'Final Term'!I31&gt;100),"ERR",
IF(Info!$B$4="Non-board program",
IF(OR(AND(I$5&gt;0,I$5&gt;100),AND(I$5&gt;0,I$5&lt;100)),
VLOOKUP(FLOOR(('Final Term'!I31/I$5)*100,1),new_transmute,2,FALSE),
VLOOKUP('Final Term'!I31,new_transmute,2,FALSE)
),
IF(Info!$B$4="Board program",
IF(OR(AND(I$5&gt;0,I$5&gt;100),AND(I$5&gt;0,I$5&lt;100)),
VLOOKUP(FLOOR(('Final Term'!I31/I$5)*100,1),new_transmute,3,FALSE),
VLOOKUP('Final Term'!I31,new_transmute,3,FALSE)
),
IF(Info!$B$4="Board program (Medicine)",
IF(OR(AND(I$5&gt;0,I$5&gt;100),AND(I$5&gt;0,I$5&lt;100)),
VLOOKUP(FLOOR(('Final Term'!I31/I$5)*100,1),new_transmute,4,FALSE),
VLOOKUP('Final Term'!I31,new_transmute,4,FALSE)
),
""
)
)
)
)
)
)
)
)
))</f>
        <v/>
      </c>
      <c r="J31" s="73" t="str">
        <f>IF($B31="","",
IF(J$5="","",
IF('Final Term'!J31="",0,
IF(NOT(ISNUMBER('Final Term'!J31)),"NAN",
IF('Final Term'!J31&lt;0,"NEG",
IF('Final Term'!J31&gt;J$5,"OVER",
IF(AND(J$5&lt;=100,'Final Term'!J31&gt;100),"ERR",
IF(Info!$B$4="Non-board program",
IF(OR(AND(J$5&gt;0,J$5&gt;100),AND(J$5&gt;0,J$5&lt;100)),
VLOOKUP(FLOOR(('Final Term'!J31/J$5)*100,1),new_transmute,2,FALSE),
VLOOKUP('Final Term'!J31,new_transmute,2,FALSE)
),
IF(Info!$B$4="Board program",
IF(OR(AND(J$5&gt;0,J$5&gt;100),AND(J$5&gt;0,J$5&lt;100)),
VLOOKUP(FLOOR(('Final Term'!J31/J$5)*100,1),new_transmute,3,FALSE),
VLOOKUP('Final Term'!J31,new_transmute,3,FALSE)
),
IF(Info!$B$4="Board program (Medicine)",
IF(OR(AND(J$5&gt;0,J$5&gt;100),AND(J$5&gt;0,J$5&lt;100)),
VLOOKUP(FLOOR(('Final Term'!J31/J$5)*100,1),new_transmute,4,FALSE),
VLOOKUP('Final Term'!J31,new_transmute,4,FALSE)
),
""
)
)
)
)
)
)
)
)
))</f>
        <v/>
      </c>
      <c r="K31" s="73" t="str">
        <f>IF($B31="","",
IF(K$5="","",
IF('Final Term'!K31="",0,
IF(NOT(ISNUMBER('Final Term'!K31)),"NAN",
IF('Final Term'!K31&lt;0,"NEG",
IF('Final Term'!K31&gt;K$5,"OVER",
IF(AND(K$5&lt;=100,'Final Term'!K31&gt;100),"ERR",
IF(Info!$B$4="Non-board program",
IF(OR(AND(K$5&gt;0,K$5&gt;100),AND(K$5&gt;0,K$5&lt;100)),
VLOOKUP(FLOOR(('Final Term'!K31/K$5)*100,1),new_transmute,2,FALSE),
VLOOKUP('Final Term'!K31,new_transmute,2,FALSE)
),
IF(Info!$B$4="Board program",
IF(OR(AND(K$5&gt;0,K$5&gt;100),AND(K$5&gt;0,K$5&lt;100)),
VLOOKUP(FLOOR(('Final Term'!K31/K$5)*100,1),new_transmute,3,FALSE),
VLOOKUP('Final Term'!K31,new_transmute,3,FALSE)
),
IF(Info!$B$4="Board program (Medicine)",
IF(OR(AND(K$5&gt;0,K$5&gt;100),AND(K$5&gt;0,K$5&lt;100)),
VLOOKUP(FLOOR(('Final Term'!K31/K$5)*100,1),new_transmute,4,FALSE),
VLOOKUP('Final Term'!K31,new_transmute,4,FALSE)
),
""
)
)
)
)
)
)
)
)
))</f>
        <v/>
      </c>
      <c r="L31" s="73" t="str">
        <f>IF($B31="","",
IF(L$5="","",
IF('Final Term'!L31="",0,
IF(NOT(ISNUMBER('Final Term'!L31)),"NAN",
IF('Final Term'!L31&lt;0,"NEG",
IF('Final Term'!L31&gt;L$5,"OVER",
IF(AND(L$5&lt;=100,'Final Term'!L31&gt;100),"ERR",
IF(Info!$B$4="Non-board program",
IF(OR(AND(L$5&gt;0,L$5&gt;100),AND(L$5&gt;0,L$5&lt;100)),
VLOOKUP(FLOOR(('Final Term'!L31/L$5)*100,1),new_transmute,2,FALSE),
VLOOKUP('Final Term'!L31,new_transmute,2,FALSE)
),
IF(Info!$B$4="Board program",
IF(OR(AND(L$5&gt;0,L$5&gt;100),AND(L$5&gt;0,L$5&lt;100)),
VLOOKUP(FLOOR(('Final Term'!L31/L$5)*100,1),new_transmute,3,FALSE),
VLOOKUP('Final Term'!L31,new_transmute,3,FALSE)
),
IF(Info!$B$4="Board program (Medicine)",
IF(OR(AND(L$5&gt;0,L$5&gt;100),AND(L$5&gt;0,L$5&lt;100)),
VLOOKUP(FLOOR(('Final Term'!L31/L$5)*100,1),new_transmute,4,FALSE),
VLOOKUP('Final Term'!L31,new_transmute,4,FALSE)
),
""
)
)
)
)
)
)
)
)
))</f>
        <v/>
      </c>
      <c r="M31" s="111" t="str">
        <f t="shared" si="2"/>
        <v/>
      </c>
      <c r="N31" s="73" t="str">
        <f>IF($B31="","",
IF(N$5="","",
IF('Final Term'!N31="",0,
IF(NOT(ISNUMBER('Final Term'!N31)),"NAN",
IF('Final Term'!N31&lt;0,"NEG",
IF('Final Term'!N31&gt;N$5,"OVER",
IF(AND(N$5&lt;=100,'Final Term'!N31&gt;100),"ERR",
IF(Info!$B$4="Non-board program",
IF(OR(AND(N$5&gt;0,N$5&gt;100),AND(N$5&gt;0,N$5&lt;100)),
VLOOKUP(FLOOR(('Final Term'!N31/N$5)*100,1),new_transmute,2,FALSE),
VLOOKUP('Final Term'!N31,new_transmute,2,FALSE)
),
IF(Info!$B$4="Board program",
IF(OR(AND(N$5&gt;0,N$5&gt;100),AND(N$5&gt;0,N$5&lt;100)),
VLOOKUP(FLOOR(('Final Term'!N31/N$5)*100,1),new_transmute,3,FALSE),
VLOOKUP('Final Term'!N31,new_transmute,3,FALSE)
),
IF(Info!$B$4="Board program (Medicine)",
IF(OR(AND(N$5&gt;0,N$5&gt;100),AND(N$5&gt;0,N$5&lt;100)),
VLOOKUP(FLOOR(('Final Term'!N31/N$5)*100,1),new_transmute,4,FALSE),
VLOOKUP('Final Term'!N31,new_transmute,4,FALSE)
),
""
)
)
)
)
)
)
)
)
))</f>
        <v/>
      </c>
      <c r="O31" s="73" t="str">
        <f>IF($B31="","",
IF(O$5="","",
IF('Final Term'!O31="",0,
IF(NOT(ISNUMBER('Final Term'!O31)),"NAN",
IF('Final Term'!O31&lt;0,"NEG",
IF('Final Term'!O31&gt;O$5,"OVER",
IF(AND(O$5&lt;=100,'Final Term'!O31&gt;100),"ERR",
IF(Info!$B$4="Non-board program",
IF(OR(AND(O$5&gt;0,O$5&gt;100),AND(O$5&gt;0,O$5&lt;100)),
VLOOKUP(FLOOR(('Final Term'!O31/O$5)*100,1),new_transmute,2,FALSE),
VLOOKUP('Final Term'!O31,new_transmute,2,FALSE)
),
IF(Info!$B$4="Board program",
IF(OR(AND(O$5&gt;0,O$5&gt;100),AND(O$5&gt;0,O$5&lt;100)),
VLOOKUP(FLOOR(('Final Term'!O31/O$5)*100,1),new_transmute,3,FALSE),
VLOOKUP('Final Term'!O31,new_transmute,3,FALSE)
),
IF(Info!$B$4="Board program (Medicine)",
IF(OR(AND(O$5&gt;0,O$5&gt;100),AND(O$5&gt;0,O$5&lt;100)),
VLOOKUP(FLOOR(('Final Term'!O31/O$5)*100,1),new_transmute,4,FALSE),
VLOOKUP('Final Term'!O31,new_transmute,4,FALSE)
),
""
)
)
)
)
)
)
)
)
))</f>
        <v/>
      </c>
      <c r="P31" s="73" t="str">
        <f>IF($B31="","",
IF(P$5="","",
IF('Final Term'!P31="",0,
IF(NOT(ISNUMBER('Final Term'!P31)),"NAN",
IF('Final Term'!P31&lt;0,"NEG",
IF('Final Term'!P31&gt;P$5,"OVER",
IF(AND(P$5&lt;=100,'Final Term'!P31&gt;100),"ERR",
IF(Info!$B$4="Non-board program",
IF(OR(AND(P$5&gt;0,P$5&gt;100),AND(P$5&gt;0,P$5&lt;100)),
VLOOKUP(FLOOR(('Final Term'!P31/P$5)*100,1),new_transmute,2,FALSE),
VLOOKUP('Final Term'!P31,new_transmute,2,FALSE)
),
IF(Info!$B$4="Board program",
IF(OR(AND(P$5&gt;0,P$5&gt;100),AND(P$5&gt;0,P$5&lt;100)),
VLOOKUP(FLOOR(('Final Term'!P31/P$5)*100,1),new_transmute,3,FALSE),
VLOOKUP('Final Term'!P31,new_transmute,3,FALSE)
),
IF(Info!$B$4="Board program (Medicine)",
IF(OR(AND(P$5&gt;0,P$5&gt;100),AND(P$5&gt;0,P$5&lt;100)),
VLOOKUP(FLOOR(('Final Term'!P31/P$5)*100,1),new_transmute,4,FALSE),
VLOOKUP('Final Term'!P31,new_transmute,4,FALSE)
),
""
)
)
)
)
)
)
)
)
))</f>
        <v/>
      </c>
      <c r="Q31" s="73" t="str">
        <f>IF($B31="","",
IF(Q$5="","",
IF('Final Term'!Q31="",0,
IF(NOT(ISNUMBER('Final Term'!Q31)),"NAN",
IF('Final Term'!Q31&lt;0,"NEG",
IF('Final Term'!Q31&gt;Q$5,"OVER",
IF(AND(Q$5&lt;=100,'Final Term'!Q31&gt;100),"ERR",
IF(Info!$B$4="Non-board program",
IF(OR(AND(Q$5&gt;0,Q$5&gt;100),AND(Q$5&gt;0,Q$5&lt;100)),
VLOOKUP(FLOOR(('Final Term'!Q31/Q$5)*100,1),new_transmute,2,FALSE),
VLOOKUP('Final Term'!Q31,new_transmute,2,FALSE)
),
IF(Info!$B$4="Board program",
IF(OR(AND(Q$5&gt;0,Q$5&gt;100),AND(Q$5&gt;0,Q$5&lt;100)),
VLOOKUP(FLOOR(('Final Term'!Q31/Q$5)*100,1),new_transmute,3,FALSE),
VLOOKUP('Final Term'!Q31,new_transmute,3,FALSE)
),
IF(Info!$B$4="Board program (Medicine)",
IF(OR(AND(Q$5&gt;0,Q$5&gt;100),AND(Q$5&gt;0,Q$5&lt;100)),
VLOOKUP(FLOOR(('Final Term'!Q31/Q$5)*100,1),new_transmute,4,FALSE),
VLOOKUP('Final Term'!Q31,new_transmute,4,FALSE)
),
""
)
)
)
)
)
)
)
)
))</f>
        <v/>
      </c>
      <c r="R31" s="73" t="str">
        <f>IF($B31="","",
IF(R$5="","",
IF('Final Term'!R31="",0,
IF(NOT(ISNUMBER('Final Term'!R31)),"NAN",
IF('Final Term'!R31&lt;0,"NEG",
IF('Final Term'!R31&gt;R$5,"OVER",
IF(AND(R$5&lt;=100,'Final Term'!R31&gt;100),"ERR",
IF(Info!$B$4="Non-board program",
IF(OR(AND(R$5&gt;0,R$5&gt;100),AND(R$5&gt;0,R$5&lt;100)),
VLOOKUP(FLOOR(('Final Term'!R31/R$5)*100,1),new_transmute,2,FALSE),
VLOOKUP('Final Term'!R31,new_transmute,2,FALSE)
),
IF(Info!$B$4="Board program",
IF(OR(AND(R$5&gt;0,R$5&gt;100),AND(R$5&gt;0,R$5&lt;100)),
VLOOKUP(FLOOR(('Final Term'!R31/R$5)*100,1),new_transmute,3,FALSE),
VLOOKUP('Final Term'!R31,new_transmute,3,FALSE)
),
IF(Info!$B$4="Board program (Medicine)",
IF(OR(AND(R$5&gt;0,R$5&gt;100),AND(R$5&gt;0,R$5&lt;100)),
VLOOKUP(FLOOR(('Final Term'!R31/R$5)*100,1),new_transmute,4,FALSE),
VLOOKUP('Final Term'!R31,new_transmute,4,FALSE)
),
""
)
)
)
)
)
)
)
)
))</f>
        <v/>
      </c>
      <c r="S31" s="115" t="str">
        <f t="shared" si="3"/>
        <v/>
      </c>
      <c r="T31" s="73" t="str">
        <f>IF($B31="","",
IF(T$5="","",
IF('Final Term'!T31="",0,
IF(NOT(ISNUMBER('Final Term'!T31)),"NAN",
IF('Final Term'!T31&lt;0,"NEG",
IF('Final Term'!T31&gt;T$5,"OVER",
IF(AND(T$5&lt;=100,'Final Term'!T31&gt;100),"ERR",
IF(Info!$B$4="Non-board program",
IF(OR(AND(T$5&gt;0,T$5&gt;100),AND(T$5&gt;0,T$5&lt;100)),
VLOOKUP(FLOOR(('Final Term'!T31/T$5)*100,1),new_transmute,2,FALSE),
VLOOKUP('Final Term'!T31,new_transmute,2,FALSE)
),
IF(Info!$B$4="Board program",
IF(OR(AND(T$5&gt;0,T$5&gt;100),AND(T$5&gt;0,T$5&lt;100)),
VLOOKUP(FLOOR(('Final Term'!T31/T$5)*100,1),new_transmute,3,FALSE),
VLOOKUP('Final Term'!T31,new_transmute,3,FALSE)
),
IF(Info!$B$4="Board program (Medicine)",
IF(OR(AND(T$5&gt;0,T$5&gt;100),AND(T$5&gt;0,T$5&lt;100)),
VLOOKUP(FLOOR(('Final Term'!T31/T$5)*100,1),new_transmute,4,FALSE),
VLOOKUP('Final Term'!T31,new_transmute,4,FALSE)
),
""
)
)
)
)
)
)
)
)
))</f>
        <v/>
      </c>
      <c r="U31" s="73" t="str">
        <f>IF($B31="","",
IF(U$5="","",
IF('Final Term'!U31="",0,
IF(NOT(ISNUMBER('Final Term'!U31)),"NAN",
IF('Final Term'!U31&lt;0,"NEG",
IF('Final Term'!U31&gt;U$5,"OVER",
IF(AND(U$5&lt;=100,'Final Term'!U31&gt;100),"ERR",
IF(Info!$B$4="Non-board program",
IF(OR(AND(U$5&gt;0,U$5&gt;100),AND(U$5&gt;0,U$5&lt;100)),
VLOOKUP(FLOOR(('Final Term'!U31/U$5)*100,1),new_transmute,2,FALSE),
VLOOKUP('Final Term'!U31,new_transmute,2,FALSE)
),
IF(Info!$B$4="Board program",
IF(OR(AND(U$5&gt;0,U$5&gt;100),AND(U$5&gt;0,U$5&lt;100)),
VLOOKUP(FLOOR(('Final Term'!U31/U$5)*100,1),new_transmute,3,FALSE),
VLOOKUP('Final Term'!U31,new_transmute,3,FALSE)
),
IF(Info!$B$4="Board program (Medicine)",
IF(OR(AND(U$5&gt;0,U$5&gt;100),AND(U$5&gt;0,U$5&lt;100)),
VLOOKUP(FLOOR(('Final Term'!U31/U$5)*100,1),new_transmute,4,FALSE),
VLOOKUP('Final Term'!U31,new_transmute,4,FALSE)
),
""
)
)
)
)
)
)
)
)
))</f>
        <v/>
      </c>
      <c r="V31" s="73" t="str">
        <f>IF($B31="","",
IF(V$5="","",
IF('Final Term'!V31="",0,
IF(NOT(ISNUMBER('Final Term'!V31)),"NAN",
IF('Final Term'!V31&lt;0,"NEG",
IF('Final Term'!V31&gt;V$5,"OVER",
IF(AND(V$5&lt;=100,'Final Term'!V31&gt;100),"ERR",
IF(Info!$B$4="Non-board program",
IF(OR(AND(V$5&gt;0,V$5&gt;100),AND(V$5&gt;0,V$5&lt;100)),
VLOOKUP(FLOOR(('Final Term'!V31/V$5)*100,1),new_transmute,2,FALSE),
VLOOKUP('Final Term'!V31,new_transmute,2,FALSE)
),
IF(Info!$B$4="Board program",
IF(OR(AND(V$5&gt;0,V$5&gt;100),AND(V$5&gt;0,V$5&lt;100)),
VLOOKUP(FLOOR(('Final Term'!V31/V$5)*100,1),new_transmute,3,FALSE),
VLOOKUP('Final Term'!V31,new_transmute,3,FALSE)
),
IF(Info!$B$4="Board program (Medicine)",
IF(OR(AND(V$5&gt;0,V$5&gt;100),AND(V$5&gt;0,V$5&lt;100)),
VLOOKUP(FLOOR(('Final Term'!V31/V$5)*100,1),new_transmute,4,FALSE),
VLOOKUP('Final Term'!V31,new_transmute,4,FALSE)
),
""
)
)
)
)
)
)
)
)
))</f>
        <v/>
      </c>
      <c r="W31" s="73" t="str">
        <f>IF($B31="","",
IF(W$5="","",
IF('Final Term'!W31="",0,
IF(NOT(ISNUMBER('Final Term'!W31)),"NAN",
IF('Final Term'!W31&lt;0,"NEG",
IF('Final Term'!W31&gt;W$5,"OVER",
IF(AND(W$5&lt;=100,'Final Term'!W31&gt;100),"ERR",
IF(Info!$B$4="Non-board program",
IF(OR(AND(W$5&gt;0,W$5&gt;100),AND(W$5&gt;0,W$5&lt;100)),
VLOOKUP(FLOOR(('Final Term'!W31/W$5)*100,1),new_transmute,2,FALSE),
VLOOKUP('Final Term'!W31,new_transmute,2,FALSE)
),
IF(Info!$B$4="Board program",
IF(OR(AND(W$5&gt;0,W$5&gt;100),AND(W$5&gt;0,W$5&lt;100)),
VLOOKUP(FLOOR(('Final Term'!W31/W$5)*100,1),new_transmute,3,FALSE),
VLOOKUP('Final Term'!W31,new_transmute,3,FALSE)
),
IF(Info!$B$4="Board program (Medicine)",
IF(OR(AND(W$5&gt;0,W$5&gt;100),AND(W$5&gt;0,W$5&lt;100)),
VLOOKUP(FLOOR(('Final Term'!W31/W$5)*100,1),new_transmute,4,FALSE),
VLOOKUP('Final Term'!W31,new_transmute,4,FALSE)
),
""
)
)
)
)
)
)
)
)
))</f>
        <v/>
      </c>
      <c r="X31" s="73" t="str">
        <f>IF($B31="","",
IF(X$5="","",
IF('Final Term'!X31="",0,
IF(NOT(ISNUMBER('Final Term'!X31)),"NAN",
IF('Final Term'!X31&lt;0,"NEG",
IF('Final Term'!X31&gt;X$5,"OVER",
IF(AND(X$5&lt;=100,'Final Term'!X31&gt;100),"ERR",
IF(Info!$B$4="Non-board program",
IF(OR(AND(X$5&gt;0,X$5&gt;100),AND(X$5&gt;0,X$5&lt;100)),
VLOOKUP(FLOOR(('Final Term'!X31/X$5)*100,1),new_transmute,2,FALSE),
VLOOKUP('Final Term'!X31,new_transmute,2,FALSE)
),
IF(Info!$B$4="Board program",
IF(OR(AND(X$5&gt;0,X$5&gt;100),AND(X$5&gt;0,X$5&lt;100)),
VLOOKUP(FLOOR(('Final Term'!X31/X$5)*100,1),new_transmute,3,FALSE),
VLOOKUP('Final Term'!X31,new_transmute,3,FALSE)
),
IF(Info!$B$4="Board program (Medicine)",
IF(OR(AND(X$5&gt;0,X$5&gt;100),AND(X$5&gt;0,X$5&lt;100)),
VLOOKUP(FLOOR(('Final Term'!X31/X$5)*100,1),new_transmute,4,FALSE),
VLOOKUP('Final Term'!X31,new_transmute,4,FALSE)
),
""
)
)
)
)
)
)
)
)
))</f>
        <v/>
      </c>
      <c r="Y31" s="112" t="str">
        <f t="shared" si="4"/>
        <v/>
      </c>
      <c r="Z31" s="73" t="str">
        <f>IF($B31="","",
IF(Z$5="","",
IF('Final Term'!Z31="",0,
IF(NOT(ISNUMBER('Final Term'!Z31)),"NAN",
IF('Final Term'!Z31&lt;0,"NEG",
IF('Final Term'!Z31&gt;Z$5,"OVER",
IF(AND(Z$5&lt;=100,'Final Term'!Z31&gt;100),"ERR",
IF(Info!$B$4="Non-board program",
IF(OR(AND(Z$5&gt;0,Z$5&gt;100),AND(Z$5&gt;0,Z$5&lt;100)),
VLOOKUP(FLOOR(('Final Term'!Z31/Z$5)*100,1),new_transmute,2,FALSE),
VLOOKUP('Final Term'!Z31,new_transmute,2,FALSE)
),
IF(Info!$B$4="Board program",
IF(OR(AND(Z$5&gt;0,Z$5&gt;100),AND(Z$5&gt;0,Z$5&lt;100)),
VLOOKUP(FLOOR(('Final Term'!Z31/Z$5)*100,1),new_transmute,3,FALSE),
VLOOKUP('Final Term'!Z31,new_transmute,3,FALSE)
),
IF(Info!$B$4="Board program (Medicine)",
IF(OR(AND(Z$5&gt;0,Z$5&gt;100),AND(Z$5&gt;0,Z$5&lt;100)),
VLOOKUP(FLOOR(('Final Term'!Z31/Z$5)*100,1),new_transmute,4,FALSE),
VLOOKUP('Final Term'!Z31,new_transmute,4,FALSE)
),
""
)
)
)
)
)
)
)
)
))</f>
        <v/>
      </c>
      <c r="AA31" s="73" t="str">
        <f>IF($B31="","",
IF(AA$5="","",
IF('Final Term'!AA31="",0,
IF(NOT(ISNUMBER('Final Term'!AA31)),"NAN",
IF('Final Term'!AA31&lt;0,"NEG",
IF('Final Term'!AA31&gt;AA$5,"OVER",
IF(AND(AA$5&lt;=100,'Final Term'!AA31&gt;100),"ERR",
IF(Info!$B$4="Non-board program",
IF(OR(AND(AA$5&gt;0,AA$5&gt;100),AND(AA$5&gt;0,AA$5&lt;100)),
VLOOKUP(FLOOR(('Final Term'!AA31/AA$5)*100,1),new_transmute,2,FALSE),
VLOOKUP('Final Term'!AA31,new_transmute,2,FALSE)
),
IF(Info!$B$4="Board program",
IF(OR(AND(AA$5&gt;0,AA$5&gt;100),AND(AA$5&gt;0,AA$5&lt;100)),
VLOOKUP(FLOOR(('Final Term'!AA31/AA$5)*100,1),new_transmute,3,FALSE),
VLOOKUP('Final Term'!AA31,new_transmute,3,FALSE)
),
IF(Info!$B$4="Board program (Medicine)",
IF(OR(AND(AA$5&gt;0,AA$5&gt;100),AND(AA$5&gt;0,AA$5&lt;100)),
VLOOKUP(FLOOR(('Final Term'!AA31/AA$5)*100,1),new_transmute,4,FALSE),
VLOOKUP('Final Term'!AA31,new_transmute,4,FALSE)
),
""
)
)
)
)
)
)
)
)
))</f>
        <v/>
      </c>
      <c r="AB31" s="73" t="str">
        <f>IF($B31="","",
IF(AB$5="","",
IF('Final Term'!AB31="",0,
IF(NOT(ISNUMBER('Final Term'!AB31)),"NAN",
IF('Final Term'!AB31&lt;0,"NEG",
IF('Final Term'!AB31&gt;AB$5,"OVER",
IF(AND(AB$5&lt;=100,'Final Term'!AB31&gt;100),"ERR",
IF(Info!$B$4="Non-board program",
IF(OR(AND(AB$5&gt;0,AB$5&gt;100),AND(AB$5&gt;0,AB$5&lt;100)),
VLOOKUP(FLOOR(('Final Term'!AB31/AB$5)*100,1),new_transmute,2,FALSE),
VLOOKUP('Final Term'!AB31,new_transmute,2,FALSE)
),
IF(Info!$B$4="Board program",
IF(OR(AND(AB$5&gt;0,AB$5&gt;100),AND(AB$5&gt;0,AB$5&lt;100)),
VLOOKUP(FLOOR(('Final Term'!AB31/AB$5)*100,1),new_transmute,3,FALSE),
VLOOKUP('Final Term'!AB31,new_transmute,3,FALSE)
),
IF(Info!$B$4="Board program (Medicine)",
IF(OR(AND(AB$5&gt;0,AB$5&gt;100),AND(AB$5&gt;0,AB$5&lt;100)),
VLOOKUP(FLOOR(('Final Term'!AB31/AB$5)*100,1),new_transmute,4,FALSE),
VLOOKUP('Final Term'!AB31,new_transmute,4,FALSE)
),
""
)
)
)
)
)
)
)
)
))</f>
        <v/>
      </c>
      <c r="AC31" s="73" t="str">
        <f>IF($B31="","",
IF(AC$5="","",
IF('Final Term'!AC31="",0,
IF(NOT(ISNUMBER('Final Term'!AC31)),"NAN",
IF('Final Term'!AC31&lt;0,"NEG",
IF('Final Term'!AC31&gt;AC$5,"OVER",
IF(AND(AC$5&lt;=100,'Final Term'!AC31&gt;100),"ERR",
IF(Info!$B$4="Non-board program",
IF(OR(AND(AC$5&gt;0,AC$5&gt;100),AND(AC$5&gt;0,AC$5&lt;100)),
VLOOKUP(FLOOR(('Final Term'!AC31/AC$5)*100,1),new_transmute,2,FALSE),
VLOOKUP('Final Term'!AC31,new_transmute,2,FALSE)
),
IF(Info!$B$4="Board program",
IF(OR(AND(AC$5&gt;0,AC$5&gt;100),AND(AC$5&gt;0,AC$5&lt;100)),
VLOOKUP(FLOOR(('Final Term'!AC31/AC$5)*100,1),new_transmute,3,FALSE),
VLOOKUP('Final Term'!AC31,new_transmute,3,FALSE)
),
IF(Info!$B$4="Board program (Medicine)",
IF(OR(AND(AC$5&gt;0,AC$5&gt;100),AND(AC$5&gt;0,AC$5&lt;100)),
VLOOKUP(FLOOR(('Final Term'!AC31/AC$5)*100,1),new_transmute,4,FALSE),
VLOOKUP('Final Term'!AC31,new_transmute,4,FALSE)
),
""
)
)
)
)
)
)
)
)
))</f>
        <v/>
      </c>
      <c r="AD31" s="73" t="str">
        <f>IF($B31="","",
IF(AD$5="","",
IF('Final Term'!AD31="",0,
IF(NOT(ISNUMBER('Final Term'!AD31)),"NAN",
IF('Final Term'!AD31&lt;0,"NEG",
IF('Final Term'!AD31&gt;AD$5,"OVER",
IF(AND(AD$5&lt;=100,'Final Term'!AD31&gt;100),"ERR",
IF(Info!$B$4="Non-board program",
IF(OR(AND(AD$5&gt;0,AD$5&gt;100),AND(AD$5&gt;0,AD$5&lt;100)),
VLOOKUP(FLOOR(('Final Term'!AD31/AD$5)*100,1),new_transmute,2,FALSE),
VLOOKUP('Final Term'!AD31,new_transmute,2,FALSE)
),
IF(Info!$B$4="Board program",
IF(OR(AND(AD$5&gt;0,AD$5&gt;100),AND(AD$5&gt;0,AD$5&lt;100)),
VLOOKUP(FLOOR(('Final Term'!AD31/AD$5)*100,1),new_transmute,3,FALSE),
VLOOKUP('Final Term'!AD31,new_transmute,3,FALSE)
),
IF(Info!$B$4="Board program (Medicine)",
IF(OR(AND(AD$5&gt;0,AD$5&gt;100),AND(AD$5&gt;0,AD$5&lt;100)),
VLOOKUP(FLOOR(('Final Term'!AD31/AD$5)*100,1),new_transmute,4,FALSE),
VLOOKUP('Final Term'!AD31,new_transmute,4,FALSE)
),
""
)
)
)
)
)
)
)
)
))</f>
        <v/>
      </c>
      <c r="AE31" s="58" t="str">
        <f t="shared" si="5"/>
        <v/>
      </c>
      <c r="AF31" s="73" t="str">
        <f>IF($B31="","",
IF(AF$5="","",
IF('Final Term'!AF31="",0,
IF(NOT(ISNUMBER('Final Term'!AF31)),"NAN",
IF('Final Term'!AF31&lt;0,"NEG",
IF('Final Term'!AF31&gt;AF$5,"OVER",
IF(AND(AF$5&lt;=100,'Final Term'!AF31&gt;100),"ERR",
IF(Info!$B$4="Non-board program",
IF(OR(AND(AF$5&gt;0,AF$5&gt;100),AND(AF$5&gt;0,AF$5&lt;100)),
VLOOKUP(FLOOR(('Final Term'!AF31/AF$5)*100,1),new_transmute,2,FALSE),
VLOOKUP('Final Term'!AF31,new_transmute,2,FALSE)
),
IF(Info!$B$4="Board program",
IF(OR(AND(AF$5&gt;0,AF$5&gt;100),AND(AF$5&gt;0,AF$5&lt;100)),
VLOOKUP(FLOOR(('Final Term'!AF31/AF$5)*100,1),new_transmute,3,FALSE),
VLOOKUP('Final Term'!AF31,new_transmute,3,FALSE)
),
IF(Info!$B$4="Board program (Medicine)",
IF(OR(AND(AF$5&gt;0,AF$5&gt;100),AND(AF$5&gt;0,AF$5&lt;100)),
VLOOKUP(FLOOR(('Final Term'!AF31/AF$5)*100,1),new_transmute,4,FALSE),
VLOOKUP('Final Term'!AF31,new_transmute,4,FALSE)
),
""
)
)
)
)
)
)
)
)
))</f>
        <v/>
      </c>
      <c r="AG31" s="73" t="str">
        <f>IF($B31="","",
IF(AG$5="","",
IF('Final Term'!AG31="",0,
IF(NOT(ISNUMBER('Final Term'!AG31)),"NAN",
IF('Final Term'!AG31&lt;0,"NEG",
IF('Final Term'!AG31&gt;AG$5,"OVER",
IF(AND(AG$5&lt;=100,'Final Term'!AG31&gt;100),"ERR",
IF(Info!$B$4="Non-board program",
IF(OR(AND(AG$5&gt;0,AG$5&gt;100),AND(AG$5&gt;0,AG$5&lt;100)),
VLOOKUP(FLOOR(('Final Term'!AG31/AG$5)*100,1),new_transmute,2,FALSE),
VLOOKUP('Final Term'!AG31,new_transmute,2,FALSE)
),
IF(Info!$B$4="Board program",
IF(OR(AND(AG$5&gt;0,AG$5&gt;100),AND(AG$5&gt;0,AG$5&lt;100)),
VLOOKUP(FLOOR(('Final Term'!AG31/AG$5)*100,1),new_transmute,3,FALSE),
VLOOKUP('Final Term'!AG31,new_transmute,3,FALSE)
),
IF(Info!$B$4="Board program (Medicine)",
IF(OR(AND(AG$5&gt;0,AG$5&gt;100),AND(AG$5&gt;0,AG$5&lt;100)),
VLOOKUP(FLOOR(('Final Term'!AG31/AG$5)*100,1),new_transmute,4,FALSE),
VLOOKUP('Final Term'!AG31,new_transmute,4,FALSE)
),
""
)
)
)
)
)
)
)
)
))</f>
        <v/>
      </c>
      <c r="AH31" s="73" t="str">
        <f>IF($B31="","",
IF(AH$5="","",
IF('Final Term'!AH31="",0,
IF(NOT(ISNUMBER('Final Term'!AH31)),"NAN",
IF('Final Term'!AH31&lt;0,"NEG",
IF('Final Term'!AH31&gt;AH$5,"OVER",
IF(AND(AH$5&lt;=100,'Final Term'!AH31&gt;100),"ERR",
IF(Info!$B$4="Non-board program",
IF(OR(AND(AH$5&gt;0,AH$5&gt;100),AND(AH$5&gt;0,AH$5&lt;100)),
VLOOKUP(FLOOR(('Final Term'!AH31/AH$5)*100,1),new_transmute,2,FALSE),
VLOOKUP('Final Term'!AH31,new_transmute,2,FALSE)
),
IF(Info!$B$4="Board program",
IF(OR(AND(AH$5&gt;0,AH$5&gt;100),AND(AH$5&gt;0,AH$5&lt;100)),
VLOOKUP(FLOOR(('Final Term'!AH31/AH$5)*100,1),new_transmute,3,FALSE),
VLOOKUP('Final Term'!AH31,new_transmute,3,FALSE)
),
IF(Info!$B$4="Board program (Medicine)",
IF(OR(AND(AH$5&gt;0,AH$5&gt;100),AND(AH$5&gt;0,AH$5&lt;100)),
VLOOKUP(FLOOR(('Final Term'!AH31/AH$5)*100,1),new_transmute,4,FALSE),
VLOOKUP('Final Term'!AH31,new_transmute,4,FALSE)
),
""
)
)
)
)
)
)
)
)
))</f>
        <v/>
      </c>
      <c r="AI31" s="73" t="str">
        <f>IF($B31="","",
IF(AI$5="","",
IF('Final Term'!AI31="",0,
IF(NOT(ISNUMBER('Final Term'!AI31)),"NAN",
IF('Final Term'!AI31&lt;0,"NEG",
IF('Final Term'!AI31&gt;AI$5,"OVER",
IF(AND(AI$5&lt;=100,'Final Term'!AI31&gt;100),"ERR",
IF(Info!$B$4="Non-board program",
IF(OR(AND(AI$5&gt;0,AI$5&gt;100),AND(AI$5&gt;0,AI$5&lt;100)),
VLOOKUP(FLOOR(('Final Term'!AI31/AI$5)*100,1),new_transmute,2,FALSE),
VLOOKUP('Final Term'!AI31,new_transmute,2,FALSE)
),
IF(Info!$B$4="Board program",
IF(OR(AND(AI$5&gt;0,AI$5&gt;100),AND(AI$5&gt;0,AI$5&lt;100)),
VLOOKUP(FLOOR(('Final Term'!AI31/AI$5)*100,1),new_transmute,3,FALSE),
VLOOKUP('Final Term'!AI31,new_transmute,3,FALSE)
),
IF(Info!$B$4="Board program (Medicine)",
IF(OR(AND(AI$5&gt;0,AI$5&gt;100),AND(AI$5&gt;0,AI$5&lt;100)),
VLOOKUP(FLOOR(('Final Term'!AI31/AI$5)*100,1),new_transmute,4,FALSE),
VLOOKUP('Final Term'!AI31,new_transmute,4,FALSE)
),
""
)
)
)
)
)
)
)
)
))</f>
        <v/>
      </c>
      <c r="AJ31" s="73" t="str">
        <f>IF($B31="","",
IF(AJ$5="","",
IF('Final Term'!AJ31="",0,
IF(NOT(ISNUMBER('Final Term'!AJ31)),"NAN",
IF('Final Term'!AJ31&lt;0,"NEG",
IF('Final Term'!AJ31&gt;AJ$5,"OVER",
IF(AND(AJ$5&lt;=100,'Final Term'!AJ31&gt;100),"ERR",
IF(Info!$B$4="Non-board program",
IF(OR(AND(AJ$5&gt;0,AJ$5&gt;100),AND(AJ$5&gt;0,AJ$5&lt;100)),
VLOOKUP(FLOOR(('Final Term'!AJ31/AJ$5)*100,1),new_transmute,2,FALSE),
VLOOKUP('Final Term'!AJ31,new_transmute,2,FALSE)
),
IF(Info!$B$4="Board program",
IF(OR(AND(AJ$5&gt;0,AJ$5&gt;100),AND(AJ$5&gt;0,AJ$5&lt;100)),
VLOOKUP(FLOOR(('Final Term'!AJ31/AJ$5)*100,1),new_transmute,3,FALSE),
VLOOKUP('Final Term'!AJ31,new_transmute,3,FALSE)
),
IF(Info!$B$4="Board program (Medicine)",
IF(OR(AND(AJ$5&gt;0,AJ$5&gt;100),AND(AJ$5&gt;0,AJ$5&lt;100)),
VLOOKUP(FLOOR(('Final Term'!AJ31/AJ$5)*100,1),new_transmute,4,FALSE),
VLOOKUP('Final Term'!AJ31,new_transmute,4,FALSE)
),
""
)
)
)
)
)
)
)
)
))</f>
        <v/>
      </c>
      <c r="AK31" s="59" t="str">
        <f t="shared" si="6"/>
        <v/>
      </c>
      <c r="AL31" s="60" t="str">
        <f>IF(B31="", "",
    IF(OR(M31="OVER", S31="OVER", Y31="OVER", AE31="OVER", AK31="OVER"),
        "OVER",
        IF(Info!$B$4="Non-board program",
            VLOOKUP(IFERROR(FLOOR(SUM((M31*$M$4), (S31*$S$4), (Y31*$Y$4), (AE31*$AE$4), (AK31*$AK$4)) * (100 / 60), 1), 0), new_transmute, 2, FALSE),
            IF(Info!$B$4="Board program",
                VLOOKUP(IFERROR(FLOOR(SUM((M31*$M$4), (S31*$S$4), (Y31*$Y$4), (AE31*$AE$4), (AK31*$AK$4)) * (100 / 60), 1), 0), new_transmute, 3, FALSE),
                IF(Info!$B$4="Board program (Medicine)",
                    VLOOKUP(IFERROR(FLOOR(SUM((M31*$M$4), (S31*$S$4), (Y31*$Y$4), (AE31*$AE$4), (AK31*$AK$4)) * (100 / 60), 1), 0), new_transmute, 4, FALSE),
                    ""
                )
            )
        )
    )
)</f>
        <v/>
      </c>
      <c r="AM31" s="73" t="str">
        <f>IF($B31="","",
IF(AM$5="","",
IF('Final Term'!AM31="",0,
IF(NOT(ISNUMBER('Final Term'!AM31)),"NAN",
IF('Final Term'!AM31&lt;0,"NEG",
IF('Final Term'!AM31&gt;AM$5,"OVER",
IF(AND(AM$5&lt;=100,'Final Term'!AM31&gt;100),"ERR",
IF(Info!$B$4="Non-board program",
IF(OR(AND(AM$5&gt;0,AM$5&gt;100),AND(AM$5&gt;0,AM$5&lt;100)),
VLOOKUP(FLOOR(('Final Term'!AM31/AM$5)*100,1),new_transmute,2,FALSE),
VLOOKUP('Final Term'!AM31,new_transmute,2,FALSE)
),
IF(Info!$B$4="Board program",
IF(OR(AND(AM$5&gt;0,AM$5&gt;100),AND(AM$5&gt;0,AM$5&lt;100)),
VLOOKUP(FLOOR(('Final Term'!AM31/AM$5)*100,1),new_transmute,3,FALSE),
VLOOKUP('Final Term'!AM31,new_transmute,3,FALSE)
),
IF(Info!$B$4="Board program (Medicine)",
IF(OR(AND(AM$5&gt;0,AM$5&gt;100),AND(AM$5&gt;0,AM$5&lt;100)),
VLOOKUP(FLOOR(('Final Term'!AM31/AM$5)*100,1),new_transmute,4,FALSE),
VLOOKUP('Final Term'!AM31,new_transmute,4,FALSE)
),
""
)
)
)
)
)
)
)
)
))</f>
        <v/>
      </c>
      <c r="AN31" s="73" t="str">
        <f>IF($B31="","",
IF(AN$5="","",
IF('Final Term'!AN31="",0,
IF(NOT(ISNUMBER('Final Term'!AN31)),"NAN",
IF('Final Term'!AN31&lt;0,"NEG",
IF('Final Term'!AN31&gt;AN$5,"OVER",
IF(AND(AN$5&lt;=100,'Final Term'!AN31&gt;100),"ERR",
IF(Info!$B$4="Non-board program",
IF(OR(AND(AN$5&gt;0,AN$5&gt;100),AND(AN$5&gt;0,AN$5&lt;100)),
VLOOKUP(FLOOR(('Final Term'!AN31/AN$5)*100,1),new_transmute,2,FALSE),
VLOOKUP('Final Term'!AN31,new_transmute,2,FALSE)
),
IF(Info!$B$4="Board program",
IF(OR(AND(AN$5&gt;0,AN$5&gt;100),AND(AN$5&gt;0,AN$5&lt;100)),
VLOOKUP(FLOOR(('Final Term'!AN31/AN$5)*100,1),new_transmute,3,FALSE),
VLOOKUP('Final Term'!AN31,new_transmute,3,FALSE)
),
IF(Info!$B$4="Board program (Medicine)",
IF(OR(AND(AN$5&gt;0,AN$5&gt;100),AND(AN$5&gt;0,AN$5&lt;100)),
VLOOKUP(FLOOR(('Final Term'!AN31/AN$5)*100,1),new_transmute,4,FALSE),
VLOOKUP('Final Term'!AN31,new_transmute,4,FALSE)
),
""
)
)
)
)
)
)
)
)
))</f>
        <v/>
      </c>
      <c r="AO31" s="73" t="str">
        <f>IF($B31="","",
IF(AO$5="","",
IF('Final Term'!AO31="",0,
IF(NOT(ISNUMBER('Final Term'!AO31)),"NAN",
IF('Final Term'!AO31&lt;0,"NEG",
IF('Final Term'!AO31&gt;AO$5,"OVER",
IF(AND(AO$5&lt;=100,'Final Term'!AO31&gt;100),"ERR",
IF(Info!$B$4="Non-board program",
IF(OR(AND(AO$5&gt;0,AO$5&gt;100),AND(AO$5&gt;0,AO$5&lt;100)),
VLOOKUP(FLOOR(('Final Term'!AO31/AO$5)*100,1),new_transmute,2,FALSE),
VLOOKUP('Final Term'!AO31,new_transmute,2,FALSE)
),
IF(Info!$B$4="Board program",
IF(OR(AND(AO$5&gt;0,AO$5&gt;100),AND(AO$5&gt;0,AO$5&lt;100)),
VLOOKUP(FLOOR(('Final Term'!AO31/AO$5)*100,1),new_transmute,3,FALSE),
VLOOKUP('Final Term'!AO31,new_transmute,3,FALSE)
),
IF(Info!$B$4="Board program (Medicine)",
IF(OR(AND(AO$5&gt;0,AO$5&gt;100),AND(AO$5&gt;0,AO$5&lt;100)),
VLOOKUP(FLOOR(('Final Term'!AO31/AO$5)*100,1),new_transmute,4,FALSE),
VLOOKUP('Final Term'!AO31,new_transmute,4,FALSE)
),
""
)
)
)
)
)
)
)
)
))</f>
        <v/>
      </c>
      <c r="AP31" s="73" t="str">
        <f>IF($B31="","",
IF(AP$5="","",
IF('Final Term'!AP31="",0,
IF(NOT(ISNUMBER('Final Term'!AP31)),"NAN",
IF('Final Term'!AP31&lt;0,"NEG",
IF('Final Term'!AP31&gt;AP$5,"OVER",
IF(AND(AP$5&lt;=100,'Final Term'!AP31&gt;100),"ERR",
IF(Info!$B$4="Non-board program",
IF(OR(AND(AP$5&gt;0,AP$5&gt;100),AND(AP$5&gt;0,AP$5&lt;100)),
VLOOKUP(FLOOR(('Final Term'!AP31/AP$5)*100,1),new_transmute,2,FALSE),
VLOOKUP('Final Term'!AP31,new_transmute,2,FALSE)
),
IF(Info!$B$4="Board program",
IF(OR(AND(AP$5&gt;0,AP$5&gt;100),AND(AP$5&gt;0,AP$5&lt;100)),
VLOOKUP(FLOOR(('Final Term'!AP31/AP$5)*100,1),new_transmute,3,FALSE),
VLOOKUP('Final Term'!AP31,new_transmute,3,FALSE)
),
IF(Info!$B$4="Board program (Medicine)",
IF(OR(AND(AP$5&gt;0,AP$5&gt;100),AND(AP$5&gt;0,AP$5&lt;100)),
VLOOKUP(FLOOR(('Final Term'!AP31/AP$5)*100,1),new_transmute,4,FALSE),
VLOOKUP('Final Term'!AP31,new_transmute,4,FALSE)
),
""
)
)
)
)
)
)
)
)
))</f>
        <v/>
      </c>
      <c r="AQ31" s="61" t="str">
        <f t="shared" si="7"/>
        <v/>
      </c>
      <c r="AR31" s="48" t="str">
        <f>IF('Final Term'!AR31="","",'Final Term'!AR31)</f>
        <v/>
      </c>
      <c r="AS31" s="165" t="str">
        <f t="shared" si="8"/>
        <v/>
      </c>
      <c r="AT31" s="14" t="str">
        <f t="shared" si="0"/>
        <v/>
      </c>
      <c r="AU31" s="13" t="str">
        <f>IF(B31="","",VLOOKUP(AT31,'New Grade Equivalent'!$B$3:$C$47,2,FALSE))</f>
        <v/>
      </c>
    </row>
    <row r="32" spans="1:47" x14ac:dyDescent="0.25">
      <c r="A32" s="8">
        <v>27</v>
      </c>
      <c r="B32" s="2" t="str">
        <f>IF('Student List'!C36="","",UPPER(LEFT('Student List'!C36,FIND(",",'Student List'!C36)-1)))</f>
        <v/>
      </c>
      <c r="C32" s="12" t="str">
        <f>IF('Student List'!C36="","",PROPER(MID('Student List'!C36, FIND(",", 'Student List'!C36) + 2, LEN('Student List'!C36) - FIND(",", 'Student List'!C36) - 1)))</f>
        <v/>
      </c>
      <c r="D32" s="127" t="str">
        <f>IF('Final Term'!D32="","",'Final Term'!D32)</f>
        <v/>
      </c>
      <c r="E32" s="8" t="str">
        <f>IF(MidCom!E32="FA", "FA",
    IF(MidCom!E32="DRP", "DRP",
        IF(MidCom!E32="WF", "WF",
            IF(D32="Yes", "INC",
               IF((SUM('MT Attendance'!AW30) / 3 + SUM('MT Attendance'!AY30) + SUM('FT Attendance'!AW30) / 3 + SUM('FT Attendance'!AY30)) &gt;= 0.2 * (SUMPRODUCT(--(ISTEXT('MT Attendance'!$C$2:$AU$2))) + SUMPRODUCT(--(ISTEXT('FT Attendance'!$C$2:$AU$2)))), "FA",
                   MidCom!E32
                )
            )
        )
    )
)</f>
        <v/>
      </c>
      <c r="F32" s="73" t="str">
        <f>IF($B32="","",
IF(F$5="","",
IF('Final Term'!F32="",0,
IF(NOT(ISNUMBER('Final Term'!F32)),"NAN",
IF('Final Term'!F32&lt;0,"NEG",
IF('Final Term'!F32&gt;F$5,"OVER",
IF(AND(F$5&lt;=100,'Final Term'!F32&gt;100),"ERR",
IF(Info!$B$4="Non-board program",
IF(OR(AND(F$5&gt;0,F$5&gt;100),AND(F$5&gt;0,F$5&lt;100)),
VLOOKUP(FLOOR(('Final Term'!F32/F$5)*100,1),new_transmute,2,FALSE),
VLOOKUP('Final Term'!F32,new_transmute,2,FALSE)
),
IF(Info!$B$4="Board program",
IF(OR(AND(F$5&gt;0,F$5&gt;100),AND(F$5&gt;0,F$5&lt;100)),
VLOOKUP(FLOOR(('Final Term'!F32/F$5)*100,1),new_transmute,3,FALSE),
VLOOKUP('Final Term'!F32,new_transmute,3,FALSE)
),
IF(Info!$B$4="Board program (Medicine)",
IF(OR(AND(F$5&gt;0,F$5&gt;100),AND(F$5&gt;0,F$5&lt;100)),
VLOOKUP(FLOOR(('Final Term'!F32/F$5)*100,1),new_transmute,4,FALSE),
VLOOKUP('Final Term'!F32,new_transmute,4,FALSE)
),
""
)
)
)
)
)
)
)
)
))</f>
        <v/>
      </c>
      <c r="G32" s="57" t="str">
        <f t="shared" si="1"/>
        <v/>
      </c>
      <c r="H32" s="73" t="str">
        <f>IF($B32="","",
IF(H$5="","",
IF('Final Term'!H32="",0,
IF(NOT(ISNUMBER('Final Term'!H32)),"NAN",
IF('Final Term'!H32&lt;0,"NEG",
IF('Final Term'!H32&gt;H$5,"OVER",
IF(AND(H$5&lt;=100,'Final Term'!H32&gt;100),"ERR",
IF(Info!$B$4="Non-board program",
IF(OR(AND(H$5&gt;0,H$5&gt;100),AND(H$5&gt;0,H$5&lt;100)),
VLOOKUP(FLOOR(('Final Term'!H32/H$5)*100,1),new_transmute,2,FALSE),
VLOOKUP('Final Term'!H32,new_transmute,2,FALSE)
),
IF(Info!$B$4="Board program",
IF(OR(AND(H$5&gt;0,H$5&gt;100),AND(H$5&gt;0,H$5&lt;100)),
VLOOKUP(FLOOR(('Final Term'!H32/H$5)*100,1),new_transmute,3,FALSE),
VLOOKUP('Final Term'!H32,new_transmute,3,FALSE)
),
IF(Info!$B$4="Board program (Medicine)",
IF(OR(AND(H$5&gt;0,H$5&gt;100),AND(H$5&gt;0,H$5&lt;100)),
VLOOKUP(FLOOR(('Final Term'!H32/H$5)*100,1),new_transmute,4,FALSE),
VLOOKUP('Final Term'!H32,new_transmute,4,FALSE)
),
""
)
)
)
)
)
)
)
)
))</f>
        <v/>
      </c>
      <c r="I32" s="73" t="str">
        <f>IF($B32="","",
IF(I$5="","",
IF('Final Term'!I32="",0,
IF(NOT(ISNUMBER('Final Term'!I32)),"NAN",
IF('Final Term'!I32&lt;0,"NEG",
IF('Final Term'!I32&gt;I$5,"OVER",
IF(AND(I$5&lt;=100,'Final Term'!I32&gt;100),"ERR",
IF(Info!$B$4="Non-board program",
IF(OR(AND(I$5&gt;0,I$5&gt;100),AND(I$5&gt;0,I$5&lt;100)),
VLOOKUP(FLOOR(('Final Term'!I32/I$5)*100,1),new_transmute,2,FALSE),
VLOOKUP('Final Term'!I32,new_transmute,2,FALSE)
),
IF(Info!$B$4="Board program",
IF(OR(AND(I$5&gt;0,I$5&gt;100),AND(I$5&gt;0,I$5&lt;100)),
VLOOKUP(FLOOR(('Final Term'!I32/I$5)*100,1),new_transmute,3,FALSE),
VLOOKUP('Final Term'!I32,new_transmute,3,FALSE)
),
IF(Info!$B$4="Board program (Medicine)",
IF(OR(AND(I$5&gt;0,I$5&gt;100),AND(I$5&gt;0,I$5&lt;100)),
VLOOKUP(FLOOR(('Final Term'!I32/I$5)*100,1),new_transmute,4,FALSE),
VLOOKUP('Final Term'!I32,new_transmute,4,FALSE)
),
""
)
)
)
)
)
)
)
)
))</f>
        <v/>
      </c>
      <c r="J32" s="73" t="str">
        <f>IF($B32="","",
IF(J$5="","",
IF('Final Term'!J32="",0,
IF(NOT(ISNUMBER('Final Term'!J32)),"NAN",
IF('Final Term'!J32&lt;0,"NEG",
IF('Final Term'!J32&gt;J$5,"OVER",
IF(AND(J$5&lt;=100,'Final Term'!J32&gt;100),"ERR",
IF(Info!$B$4="Non-board program",
IF(OR(AND(J$5&gt;0,J$5&gt;100),AND(J$5&gt;0,J$5&lt;100)),
VLOOKUP(FLOOR(('Final Term'!J32/J$5)*100,1),new_transmute,2,FALSE),
VLOOKUP('Final Term'!J32,new_transmute,2,FALSE)
),
IF(Info!$B$4="Board program",
IF(OR(AND(J$5&gt;0,J$5&gt;100),AND(J$5&gt;0,J$5&lt;100)),
VLOOKUP(FLOOR(('Final Term'!J32/J$5)*100,1),new_transmute,3,FALSE),
VLOOKUP('Final Term'!J32,new_transmute,3,FALSE)
),
IF(Info!$B$4="Board program (Medicine)",
IF(OR(AND(J$5&gt;0,J$5&gt;100),AND(J$5&gt;0,J$5&lt;100)),
VLOOKUP(FLOOR(('Final Term'!J32/J$5)*100,1),new_transmute,4,FALSE),
VLOOKUP('Final Term'!J32,new_transmute,4,FALSE)
),
""
)
)
)
)
)
)
)
)
))</f>
        <v/>
      </c>
      <c r="K32" s="73" t="str">
        <f>IF($B32="","",
IF(K$5="","",
IF('Final Term'!K32="",0,
IF(NOT(ISNUMBER('Final Term'!K32)),"NAN",
IF('Final Term'!K32&lt;0,"NEG",
IF('Final Term'!K32&gt;K$5,"OVER",
IF(AND(K$5&lt;=100,'Final Term'!K32&gt;100),"ERR",
IF(Info!$B$4="Non-board program",
IF(OR(AND(K$5&gt;0,K$5&gt;100),AND(K$5&gt;0,K$5&lt;100)),
VLOOKUP(FLOOR(('Final Term'!K32/K$5)*100,1),new_transmute,2,FALSE),
VLOOKUP('Final Term'!K32,new_transmute,2,FALSE)
),
IF(Info!$B$4="Board program",
IF(OR(AND(K$5&gt;0,K$5&gt;100),AND(K$5&gt;0,K$5&lt;100)),
VLOOKUP(FLOOR(('Final Term'!K32/K$5)*100,1),new_transmute,3,FALSE),
VLOOKUP('Final Term'!K32,new_transmute,3,FALSE)
),
IF(Info!$B$4="Board program (Medicine)",
IF(OR(AND(K$5&gt;0,K$5&gt;100),AND(K$5&gt;0,K$5&lt;100)),
VLOOKUP(FLOOR(('Final Term'!K32/K$5)*100,1),new_transmute,4,FALSE),
VLOOKUP('Final Term'!K32,new_transmute,4,FALSE)
),
""
)
)
)
)
)
)
)
)
))</f>
        <v/>
      </c>
      <c r="L32" s="73" t="str">
        <f>IF($B32="","",
IF(L$5="","",
IF('Final Term'!L32="",0,
IF(NOT(ISNUMBER('Final Term'!L32)),"NAN",
IF('Final Term'!L32&lt;0,"NEG",
IF('Final Term'!L32&gt;L$5,"OVER",
IF(AND(L$5&lt;=100,'Final Term'!L32&gt;100),"ERR",
IF(Info!$B$4="Non-board program",
IF(OR(AND(L$5&gt;0,L$5&gt;100),AND(L$5&gt;0,L$5&lt;100)),
VLOOKUP(FLOOR(('Final Term'!L32/L$5)*100,1),new_transmute,2,FALSE),
VLOOKUP('Final Term'!L32,new_transmute,2,FALSE)
),
IF(Info!$B$4="Board program",
IF(OR(AND(L$5&gt;0,L$5&gt;100),AND(L$5&gt;0,L$5&lt;100)),
VLOOKUP(FLOOR(('Final Term'!L32/L$5)*100,1),new_transmute,3,FALSE),
VLOOKUP('Final Term'!L32,new_transmute,3,FALSE)
),
IF(Info!$B$4="Board program (Medicine)",
IF(OR(AND(L$5&gt;0,L$5&gt;100),AND(L$5&gt;0,L$5&lt;100)),
VLOOKUP(FLOOR(('Final Term'!L32/L$5)*100,1),new_transmute,4,FALSE),
VLOOKUP('Final Term'!L32,new_transmute,4,FALSE)
),
""
)
)
)
)
)
)
)
)
))</f>
        <v/>
      </c>
      <c r="M32" s="111" t="str">
        <f t="shared" si="2"/>
        <v/>
      </c>
      <c r="N32" s="73" t="str">
        <f>IF($B32="","",
IF(N$5="","",
IF('Final Term'!N32="",0,
IF(NOT(ISNUMBER('Final Term'!N32)),"NAN",
IF('Final Term'!N32&lt;0,"NEG",
IF('Final Term'!N32&gt;N$5,"OVER",
IF(AND(N$5&lt;=100,'Final Term'!N32&gt;100),"ERR",
IF(Info!$B$4="Non-board program",
IF(OR(AND(N$5&gt;0,N$5&gt;100),AND(N$5&gt;0,N$5&lt;100)),
VLOOKUP(FLOOR(('Final Term'!N32/N$5)*100,1),new_transmute,2,FALSE),
VLOOKUP('Final Term'!N32,new_transmute,2,FALSE)
),
IF(Info!$B$4="Board program",
IF(OR(AND(N$5&gt;0,N$5&gt;100),AND(N$5&gt;0,N$5&lt;100)),
VLOOKUP(FLOOR(('Final Term'!N32/N$5)*100,1),new_transmute,3,FALSE),
VLOOKUP('Final Term'!N32,new_transmute,3,FALSE)
),
IF(Info!$B$4="Board program (Medicine)",
IF(OR(AND(N$5&gt;0,N$5&gt;100),AND(N$5&gt;0,N$5&lt;100)),
VLOOKUP(FLOOR(('Final Term'!N32/N$5)*100,1),new_transmute,4,FALSE),
VLOOKUP('Final Term'!N32,new_transmute,4,FALSE)
),
""
)
)
)
)
)
)
)
)
))</f>
        <v/>
      </c>
      <c r="O32" s="73" t="str">
        <f>IF($B32="","",
IF(O$5="","",
IF('Final Term'!O32="",0,
IF(NOT(ISNUMBER('Final Term'!O32)),"NAN",
IF('Final Term'!O32&lt;0,"NEG",
IF('Final Term'!O32&gt;O$5,"OVER",
IF(AND(O$5&lt;=100,'Final Term'!O32&gt;100),"ERR",
IF(Info!$B$4="Non-board program",
IF(OR(AND(O$5&gt;0,O$5&gt;100),AND(O$5&gt;0,O$5&lt;100)),
VLOOKUP(FLOOR(('Final Term'!O32/O$5)*100,1),new_transmute,2,FALSE),
VLOOKUP('Final Term'!O32,new_transmute,2,FALSE)
),
IF(Info!$B$4="Board program",
IF(OR(AND(O$5&gt;0,O$5&gt;100),AND(O$5&gt;0,O$5&lt;100)),
VLOOKUP(FLOOR(('Final Term'!O32/O$5)*100,1),new_transmute,3,FALSE),
VLOOKUP('Final Term'!O32,new_transmute,3,FALSE)
),
IF(Info!$B$4="Board program (Medicine)",
IF(OR(AND(O$5&gt;0,O$5&gt;100),AND(O$5&gt;0,O$5&lt;100)),
VLOOKUP(FLOOR(('Final Term'!O32/O$5)*100,1),new_transmute,4,FALSE),
VLOOKUP('Final Term'!O32,new_transmute,4,FALSE)
),
""
)
)
)
)
)
)
)
)
))</f>
        <v/>
      </c>
      <c r="P32" s="73" t="str">
        <f>IF($B32="","",
IF(P$5="","",
IF('Final Term'!P32="",0,
IF(NOT(ISNUMBER('Final Term'!P32)),"NAN",
IF('Final Term'!P32&lt;0,"NEG",
IF('Final Term'!P32&gt;P$5,"OVER",
IF(AND(P$5&lt;=100,'Final Term'!P32&gt;100),"ERR",
IF(Info!$B$4="Non-board program",
IF(OR(AND(P$5&gt;0,P$5&gt;100),AND(P$5&gt;0,P$5&lt;100)),
VLOOKUP(FLOOR(('Final Term'!P32/P$5)*100,1),new_transmute,2,FALSE),
VLOOKUP('Final Term'!P32,new_transmute,2,FALSE)
),
IF(Info!$B$4="Board program",
IF(OR(AND(P$5&gt;0,P$5&gt;100),AND(P$5&gt;0,P$5&lt;100)),
VLOOKUP(FLOOR(('Final Term'!P32/P$5)*100,1),new_transmute,3,FALSE),
VLOOKUP('Final Term'!P32,new_transmute,3,FALSE)
),
IF(Info!$B$4="Board program (Medicine)",
IF(OR(AND(P$5&gt;0,P$5&gt;100),AND(P$5&gt;0,P$5&lt;100)),
VLOOKUP(FLOOR(('Final Term'!P32/P$5)*100,1),new_transmute,4,FALSE),
VLOOKUP('Final Term'!P32,new_transmute,4,FALSE)
),
""
)
)
)
)
)
)
)
)
))</f>
        <v/>
      </c>
      <c r="Q32" s="73" t="str">
        <f>IF($B32="","",
IF(Q$5="","",
IF('Final Term'!Q32="",0,
IF(NOT(ISNUMBER('Final Term'!Q32)),"NAN",
IF('Final Term'!Q32&lt;0,"NEG",
IF('Final Term'!Q32&gt;Q$5,"OVER",
IF(AND(Q$5&lt;=100,'Final Term'!Q32&gt;100),"ERR",
IF(Info!$B$4="Non-board program",
IF(OR(AND(Q$5&gt;0,Q$5&gt;100),AND(Q$5&gt;0,Q$5&lt;100)),
VLOOKUP(FLOOR(('Final Term'!Q32/Q$5)*100,1),new_transmute,2,FALSE),
VLOOKUP('Final Term'!Q32,new_transmute,2,FALSE)
),
IF(Info!$B$4="Board program",
IF(OR(AND(Q$5&gt;0,Q$5&gt;100),AND(Q$5&gt;0,Q$5&lt;100)),
VLOOKUP(FLOOR(('Final Term'!Q32/Q$5)*100,1),new_transmute,3,FALSE),
VLOOKUP('Final Term'!Q32,new_transmute,3,FALSE)
),
IF(Info!$B$4="Board program (Medicine)",
IF(OR(AND(Q$5&gt;0,Q$5&gt;100),AND(Q$5&gt;0,Q$5&lt;100)),
VLOOKUP(FLOOR(('Final Term'!Q32/Q$5)*100,1),new_transmute,4,FALSE),
VLOOKUP('Final Term'!Q32,new_transmute,4,FALSE)
),
""
)
)
)
)
)
)
)
)
))</f>
        <v/>
      </c>
      <c r="R32" s="73" t="str">
        <f>IF($B32="","",
IF(R$5="","",
IF('Final Term'!R32="",0,
IF(NOT(ISNUMBER('Final Term'!R32)),"NAN",
IF('Final Term'!R32&lt;0,"NEG",
IF('Final Term'!R32&gt;R$5,"OVER",
IF(AND(R$5&lt;=100,'Final Term'!R32&gt;100),"ERR",
IF(Info!$B$4="Non-board program",
IF(OR(AND(R$5&gt;0,R$5&gt;100),AND(R$5&gt;0,R$5&lt;100)),
VLOOKUP(FLOOR(('Final Term'!R32/R$5)*100,1),new_transmute,2,FALSE),
VLOOKUP('Final Term'!R32,new_transmute,2,FALSE)
),
IF(Info!$B$4="Board program",
IF(OR(AND(R$5&gt;0,R$5&gt;100),AND(R$5&gt;0,R$5&lt;100)),
VLOOKUP(FLOOR(('Final Term'!R32/R$5)*100,1),new_transmute,3,FALSE),
VLOOKUP('Final Term'!R32,new_transmute,3,FALSE)
),
IF(Info!$B$4="Board program (Medicine)",
IF(OR(AND(R$5&gt;0,R$5&gt;100),AND(R$5&gt;0,R$5&lt;100)),
VLOOKUP(FLOOR(('Final Term'!R32/R$5)*100,1),new_transmute,4,FALSE),
VLOOKUP('Final Term'!R32,new_transmute,4,FALSE)
),
""
)
)
)
)
)
)
)
)
))</f>
        <v/>
      </c>
      <c r="S32" s="115" t="str">
        <f t="shared" si="3"/>
        <v/>
      </c>
      <c r="T32" s="73" t="str">
        <f>IF($B32="","",
IF(T$5="","",
IF('Final Term'!T32="",0,
IF(NOT(ISNUMBER('Final Term'!T32)),"NAN",
IF('Final Term'!T32&lt;0,"NEG",
IF('Final Term'!T32&gt;T$5,"OVER",
IF(AND(T$5&lt;=100,'Final Term'!T32&gt;100),"ERR",
IF(Info!$B$4="Non-board program",
IF(OR(AND(T$5&gt;0,T$5&gt;100),AND(T$5&gt;0,T$5&lt;100)),
VLOOKUP(FLOOR(('Final Term'!T32/T$5)*100,1),new_transmute,2,FALSE),
VLOOKUP('Final Term'!T32,new_transmute,2,FALSE)
),
IF(Info!$B$4="Board program",
IF(OR(AND(T$5&gt;0,T$5&gt;100),AND(T$5&gt;0,T$5&lt;100)),
VLOOKUP(FLOOR(('Final Term'!T32/T$5)*100,1),new_transmute,3,FALSE),
VLOOKUP('Final Term'!T32,new_transmute,3,FALSE)
),
IF(Info!$B$4="Board program (Medicine)",
IF(OR(AND(T$5&gt;0,T$5&gt;100),AND(T$5&gt;0,T$5&lt;100)),
VLOOKUP(FLOOR(('Final Term'!T32/T$5)*100,1),new_transmute,4,FALSE),
VLOOKUP('Final Term'!T32,new_transmute,4,FALSE)
),
""
)
)
)
)
)
)
)
)
))</f>
        <v/>
      </c>
      <c r="U32" s="73" t="str">
        <f>IF($B32="","",
IF(U$5="","",
IF('Final Term'!U32="",0,
IF(NOT(ISNUMBER('Final Term'!U32)),"NAN",
IF('Final Term'!U32&lt;0,"NEG",
IF('Final Term'!U32&gt;U$5,"OVER",
IF(AND(U$5&lt;=100,'Final Term'!U32&gt;100),"ERR",
IF(Info!$B$4="Non-board program",
IF(OR(AND(U$5&gt;0,U$5&gt;100),AND(U$5&gt;0,U$5&lt;100)),
VLOOKUP(FLOOR(('Final Term'!U32/U$5)*100,1),new_transmute,2,FALSE),
VLOOKUP('Final Term'!U32,new_transmute,2,FALSE)
),
IF(Info!$B$4="Board program",
IF(OR(AND(U$5&gt;0,U$5&gt;100),AND(U$5&gt;0,U$5&lt;100)),
VLOOKUP(FLOOR(('Final Term'!U32/U$5)*100,1),new_transmute,3,FALSE),
VLOOKUP('Final Term'!U32,new_transmute,3,FALSE)
),
IF(Info!$B$4="Board program (Medicine)",
IF(OR(AND(U$5&gt;0,U$5&gt;100),AND(U$5&gt;0,U$5&lt;100)),
VLOOKUP(FLOOR(('Final Term'!U32/U$5)*100,1),new_transmute,4,FALSE),
VLOOKUP('Final Term'!U32,new_transmute,4,FALSE)
),
""
)
)
)
)
)
)
)
)
))</f>
        <v/>
      </c>
      <c r="V32" s="73" t="str">
        <f>IF($B32="","",
IF(V$5="","",
IF('Final Term'!V32="",0,
IF(NOT(ISNUMBER('Final Term'!V32)),"NAN",
IF('Final Term'!V32&lt;0,"NEG",
IF('Final Term'!V32&gt;V$5,"OVER",
IF(AND(V$5&lt;=100,'Final Term'!V32&gt;100),"ERR",
IF(Info!$B$4="Non-board program",
IF(OR(AND(V$5&gt;0,V$5&gt;100),AND(V$5&gt;0,V$5&lt;100)),
VLOOKUP(FLOOR(('Final Term'!V32/V$5)*100,1),new_transmute,2,FALSE),
VLOOKUP('Final Term'!V32,new_transmute,2,FALSE)
),
IF(Info!$B$4="Board program",
IF(OR(AND(V$5&gt;0,V$5&gt;100),AND(V$5&gt;0,V$5&lt;100)),
VLOOKUP(FLOOR(('Final Term'!V32/V$5)*100,1),new_transmute,3,FALSE),
VLOOKUP('Final Term'!V32,new_transmute,3,FALSE)
),
IF(Info!$B$4="Board program (Medicine)",
IF(OR(AND(V$5&gt;0,V$5&gt;100),AND(V$5&gt;0,V$5&lt;100)),
VLOOKUP(FLOOR(('Final Term'!V32/V$5)*100,1),new_transmute,4,FALSE),
VLOOKUP('Final Term'!V32,new_transmute,4,FALSE)
),
""
)
)
)
)
)
)
)
)
))</f>
        <v/>
      </c>
      <c r="W32" s="73" t="str">
        <f>IF($B32="","",
IF(W$5="","",
IF('Final Term'!W32="",0,
IF(NOT(ISNUMBER('Final Term'!W32)),"NAN",
IF('Final Term'!W32&lt;0,"NEG",
IF('Final Term'!W32&gt;W$5,"OVER",
IF(AND(W$5&lt;=100,'Final Term'!W32&gt;100),"ERR",
IF(Info!$B$4="Non-board program",
IF(OR(AND(W$5&gt;0,W$5&gt;100),AND(W$5&gt;0,W$5&lt;100)),
VLOOKUP(FLOOR(('Final Term'!W32/W$5)*100,1),new_transmute,2,FALSE),
VLOOKUP('Final Term'!W32,new_transmute,2,FALSE)
),
IF(Info!$B$4="Board program",
IF(OR(AND(W$5&gt;0,W$5&gt;100),AND(W$5&gt;0,W$5&lt;100)),
VLOOKUP(FLOOR(('Final Term'!W32/W$5)*100,1),new_transmute,3,FALSE),
VLOOKUP('Final Term'!W32,new_transmute,3,FALSE)
),
IF(Info!$B$4="Board program (Medicine)",
IF(OR(AND(W$5&gt;0,W$5&gt;100),AND(W$5&gt;0,W$5&lt;100)),
VLOOKUP(FLOOR(('Final Term'!W32/W$5)*100,1),new_transmute,4,FALSE),
VLOOKUP('Final Term'!W32,new_transmute,4,FALSE)
),
""
)
)
)
)
)
)
)
)
))</f>
        <v/>
      </c>
      <c r="X32" s="73" t="str">
        <f>IF($B32="","",
IF(X$5="","",
IF('Final Term'!X32="",0,
IF(NOT(ISNUMBER('Final Term'!X32)),"NAN",
IF('Final Term'!X32&lt;0,"NEG",
IF('Final Term'!X32&gt;X$5,"OVER",
IF(AND(X$5&lt;=100,'Final Term'!X32&gt;100),"ERR",
IF(Info!$B$4="Non-board program",
IF(OR(AND(X$5&gt;0,X$5&gt;100),AND(X$5&gt;0,X$5&lt;100)),
VLOOKUP(FLOOR(('Final Term'!X32/X$5)*100,1),new_transmute,2,FALSE),
VLOOKUP('Final Term'!X32,new_transmute,2,FALSE)
),
IF(Info!$B$4="Board program",
IF(OR(AND(X$5&gt;0,X$5&gt;100),AND(X$5&gt;0,X$5&lt;100)),
VLOOKUP(FLOOR(('Final Term'!X32/X$5)*100,1),new_transmute,3,FALSE),
VLOOKUP('Final Term'!X32,new_transmute,3,FALSE)
),
IF(Info!$B$4="Board program (Medicine)",
IF(OR(AND(X$5&gt;0,X$5&gt;100),AND(X$5&gt;0,X$5&lt;100)),
VLOOKUP(FLOOR(('Final Term'!X32/X$5)*100,1),new_transmute,4,FALSE),
VLOOKUP('Final Term'!X32,new_transmute,4,FALSE)
),
""
)
)
)
)
)
)
)
)
))</f>
        <v/>
      </c>
      <c r="Y32" s="112" t="str">
        <f t="shared" si="4"/>
        <v/>
      </c>
      <c r="Z32" s="73" t="str">
        <f>IF($B32="","",
IF(Z$5="","",
IF('Final Term'!Z32="",0,
IF(NOT(ISNUMBER('Final Term'!Z32)),"NAN",
IF('Final Term'!Z32&lt;0,"NEG",
IF('Final Term'!Z32&gt;Z$5,"OVER",
IF(AND(Z$5&lt;=100,'Final Term'!Z32&gt;100),"ERR",
IF(Info!$B$4="Non-board program",
IF(OR(AND(Z$5&gt;0,Z$5&gt;100),AND(Z$5&gt;0,Z$5&lt;100)),
VLOOKUP(FLOOR(('Final Term'!Z32/Z$5)*100,1),new_transmute,2,FALSE),
VLOOKUP('Final Term'!Z32,new_transmute,2,FALSE)
),
IF(Info!$B$4="Board program",
IF(OR(AND(Z$5&gt;0,Z$5&gt;100),AND(Z$5&gt;0,Z$5&lt;100)),
VLOOKUP(FLOOR(('Final Term'!Z32/Z$5)*100,1),new_transmute,3,FALSE),
VLOOKUP('Final Term'!Z32,new_transmute,3,FALSE)
),
IF(Info!$B$4="Board program (Medicine)",
IF(OR(AND(Z$5&gt;0,Z$5&gt;100),AND(Z$5&gt;0,Z$5&lt;100)),
VLOOKUP(FLOOR(('Final Term'!Z32/Z$5)*100,1),new_transmute,4,FALSE),
VLOOKUP('Final Term'!Z32,new_transmute,4,FALSE)
),
""
)
)
)
)
)
)
)
)
))</f>
        <v/>
      </c>
      <c r="AA32" s="73" t="str">
        <f>IF($B32="","",
IF(AA$5="","",
IF('Final Term'!AA32="",0,
IF(NOT(ISNUMBER('Final Term'!AA32)),"NAN",
IF('Final Term'!AA32&lt;0,"NEG",
IF('Final Term'!AA32&gt;AA$5,"OVER",
IF(AND(AA$5&lt;=100,'Final Term'!AA32&gt;100),"ERR",
IF(Info!$B$4="Non-board program",
IF(OR(AND(AA$5&gt;0,AA$5&gt;100),AND(AA$5&gt;0,AA$5&lt;100)),
VLOOKUP(FLOOR(('Final Term'!AA32/AA$5)*100,1),new_transmute,2,FALSE),
VLOOKUP('Final Term'!AA32,new_transmute,2,FALSE)
),
IF(Info!$B$4="Board program",
IF(OR(AND(AA$5&gt;0,AA$5&gt;100),AND(AA$5&gt;0,AA$5&lt;100)),
VLOOKUP(FLOOR(('Final Term'!AA32/AA$5)*100,1),new_transmute,3,FALSE),
VLOOKUP('Final Term'!AA32,new_transmute,3,FALSE)
),
IF(Info!$B$4="Board program (Medicine)",
IF(OR(AND(AA$5&gt;0,AA$5&gt;100),AND(AA$5&gt;0,AA$5&lt;100)),
VLOOKUP(FLOOR(('Final Term'!AA32/AA$5)*100,1),new_transmute,4,FALSE),
VLOOKUP('Final Term'!AA32,new_transmute,4,FALSE)
),
""
)
)
)
)
)
)
)
)
))</f>
        <v/>
      </c>
      <c r="AB32" s="73" t="str">
        <f>IF($B32="","",
IF(AB$5="","",
IF('Final Term'!AB32="",0,
IF(NOT(ISNUMBER('Final Term'!AB32)),"NAN",
IF('Final Term'!AB32&lt;0,"NEG",
IF('Final Term'!AB32&gt;AB$5,"OVER",
IF(AND(AB$5&lt;=100,'Final Term'!AB32&gt;100),"ERR",
IF(Info!$B$4="Non-board program",
IF(OR(AND(AB$5&gt;0,AB$5&gt;100),AND(AB$5&gt;0,AB$5&lt;100)),
VLOOKUP(FLOOR(('Final Term'!AB32/AB$5)*100,1),new_transmute,2,FALSE),
VLOOKUP('Final Term'!AB32,new_transmute,2,FALSE)
),
IF(Info!$B$4="Board program",
IF(OR(AND(AB$5&gt;0,AB$5&gt;100),AND(AB$5&gt;0,AB$5&lt;100)),
VLOOKUP(FLOOR(('Final Term'!AB32/AB$5)*100,1),new_transmute,3,FALSE),
VLOOKUP('Final Term'!AB32,new_transmute,3,FALSE)
),
IF(Info!$B$4="Board program (Medicine)",
IF(OR(AND(AB$5&gt;0,AB$5&gt;100),AND(AB$5&gt;0,AB$5&lt;100)),
VLOOKUP(FLOOR(('Final Term'!AB32/AB$5)*100,1),new_transmute,4,FALSE),
VLOOKUP('Final Term'!AB32,new_transmute,4,FALSE)
),
""
)
)
)
)
)
)
)
)
))</f>
        <v/>
      </c>
      <c r="AC32" s="73" t="str">
        <f>IF($B32="","",
IF(AC$5="","",
IF('Final Term'!AC32="",0,
IF(NOT(ISNUMBER('Final Term'!AC32)),"NAN",
IF('Final Term'!AC32&lt;0,"NEG",
IF('Final Term'!AC32&gt;AC$5,"OVER",
IF(AND(AC$5&lt;=100,'Final Term'!AC32&gt;100),"ERR",
IF(Info!$B$4="Non-board program",
IF(OR(AND(AC$5&gt;0,AC$5&gt;100),AND(AC$5&gt;0,AC$5&lt;100)),
VLOOKUP(FLOOR(('Final Term'!AC32/AC$5)*100,1),new_transmute,2,FALSE),
VLOOKUP('Final Term'!AC32,new_transmute,2,FALSE)
),
IF(Info!$B$4="Board program",
IF(OR(AND(AC$5&gt;0,AC$5&gt;100),AND(AC$5&gt;0,AC$5&lt;100)),
VLOOKUP(FLOOR(('Final Term'!AC32/AC$5)*100,1),new_transmute,3,FALSE),
VLOOKUP('Final Term'!AC32,new_transmute,3,FALSE)
),
IF(Info!$B$4="Board program (Medicine)",
IF(OR(AND(AC$5&gt;0,AC$5&gt;100),AND(AC$5&gt;0,AC$5&lt;100)),
VLOOKUP(FLOOR(('Final Term'!AC32/AC$5)*100,1),new_transmute,4,FALSE),
VLOOKUP('Final Term'!AC32,new_transmute,4,FALSE)
),
""
)
)
)
)
)
)
)
)
))</f>
        <v/>
      </c>
      <c r="AD32" s="73" t="str">
        <f>IF($B32="","",
IF(AD$5="","",
IF('Final Term'!AD32="",0,
IF(NOT(ISNUMBER('Final Term'!AD32)),"NAN",
IF('Final Term'!AD32&lt;0,"NEG",
IF('Final Term'!AD32&gt;AD$5,"OVER",
IF(AND(AD$5&lt;=100,'Final Term'!AD32&gt;100),"ERR",
IF(Info!$B$4="Non-board program",
IF(OR(AND(AD$5&gt;0,AD$5&gt;100),AND(AD$5&gt;0,AD$5&lt;100)),
VLOOKUP(FLOOR(('Final Term'!AD32/AD$5)*100,1),new_transmute,2,FALSE),
VLOOKUP('Final Term'!AD32,new_transmute,2,FALSE)
),
IF(Info!$B$4="Board program",
IF(OR(AND(AD$5&gt;0,AD$5&gt;100),AND(AD$5&gt;0,AD$5&lt;100)),
VLOOKUP(FLOOR(('Final Term'!AD32/AD$5)*100,1),new_transmute,3,FALSE),
VLOOKUP('Final Term'!AD32,new_transmute,3,FALSE)
),
IF(Info!$B$4="Board program (Medicine)",
IF(OR(AND(AD$5&gt;0,AD$5&gt;100),AND(AD$5&gt;0,AD$5&lt;100)),
VLOOKUP(FLOOR(('Final Term'!AD32/AD$5)*100,1),new_transmute,4,FALSE),
VLOOKUP('Final Term'!AD32,new_transmute,4,FALSE)
),
""
)
)
)
)
)
)
)
)
))</f>
        <v/>
      </c>
      <c r="AE32" s="58" t="str">
        <f t="shared" si="5"/>
        <v/>
      </c>
      <c r="AF32" s="73" t="str">
        <f>IF($B32="","",
IF(AF$5="","",
IF('Final Term'!AF32="",0,
IF(NOT(ISNUMBER('Final Term'!AF32)),"NAN",
IF('Final Term'!AF32&lt;0,"NEG",
IF('Final Term'!AF32&gt;AF$5,"OVER",
IF(AND(AF$5&lt;=100,'Final Term'!AF32&gt;100),"ERR",
IF(Info!$B$4="Non-board program",
IF(OR(AND(AF$5&gt;0,AF$5&gt;100),AND(AF$5&gt;0,AF$5&lt;100)),
VLOOKUP(FLOOR(('Final Term'!AF32/AF$5)*100,1),new_transmute,2,FALSE),
VLOOKUP('Final Term'!AF32,new_transmute,2,FALSE)
),
IF(Info!$B$4="Board program",
IF(OR(AND(AF$5&gt;0,AF$5&gt;100),AND(AF$5&gt;0,AF$5&lt;100)),
VLOOKUP(FLOOR(('Final Term'!AF32/AF$5)*100,1),new_transmute,3,FALSE),
VLOOKUP('Final Term'!AF32,new_transmute,3,FALSE)
),
IF(Info!$B$4="Board program (Medicine)",
IF(OR(AND(AF$5&gt;0,AF$5&gt;100),AND(AF$5&gt;0,AF$5&lt;100)),
VLOOKUP(FLOOR(('Final Term'!AF32/AF$5)*100,1),new_transmute,4,FALSE),
VLOOKUP('Final Term'!AF32,new_transmute,4,FALSE)
),
""
)
)
)
)
)
)
)
)
))</f>
        <v/>
      </c>
      <c r="AG32" s="73" t="str">
        <f>IF($B32="","",
IF(AG$5="","",
IF('Final Term'!AG32="",0,
IF(NOT(ISNUMBER('Final Term'!AG32)),"NAN",
IF('Final Term'!AG32&lt;0,"NEG",
IF('Final Term'!AG32&gt;AG$5,"OVER",
IF(AND(AG$5&lt;=100,'Final Term'!AG32&gt;100),"ERR",
IF(Info!$B$4="Non-board program",
IF(OR(AND(AG$5&gt;0,AG$5&gt;100),AND(AG$5&gt;0,AG$5&lt;100)),
VLOOKUP(FLOOR(('Final Term'!AG32/AG$5)*100,1),new_transmute,2,FALSE),
VLOOKUP('Final Term'!AG32,new_transmute,2,FALSE)
),
IF(Info!$B$4="Board program",
IF(OR(AND(AG$5&gt;0,AG$5&gt;100),AND(AG$5&gt;0,AG$5&lt;100)),
VLOOKUP(FLOOR(('Final Term'!AG32/AG$5)*100,1),new_transmute,3,FALSE),
VLOOKUP('Final Term'!AG32,new_transmute,3,FALSE)
),
IF(Info!$B$4="Board program (Medicine)",
IF(OR(AND(AG$5&gt;0,AG$5&gt;100),AND(AG$5&gt;0,AG$5&lt;100)),
VLOOKUP(FLOOR(('Final Term'!AG32/AG$5)*100,1),new_transmute,4,FALSE),
VLOOKUP('Final Term'!AG32,new_transmute,4,FALSE)
),
""
)
)
)
)
)
)
)
)
))</f>
        <v/>
      </c>
      <c r="AH32" s="73" t="str">
        <f>IF($B32="","",
IF(AH$5="","",
IF('Final Term'!AH32="",0,
IF(NOT(ISNUMBER('Final Term'!AH32)),"NAN",
IF('Final Term'!AH32&lt;0,"NEG",
IF('Final Term'!AH32&gt;AH$5,"OVER",
IF(AND(AH$5&lt;=100,'Final Term'!AH32&gt;100),"ERR",
IF(Info!$B$4="Non-board program",
IF(OR(AND(AH$5&gt;0,AH$5&gt;100),AND(AH$5&gt;0,AH$5&lt;100)),
VLOOKUP(FLOOR(('Final Term'!AH32/AH$5)*100,1),new_transmute,2,FALSE),
VLOOKUP('Final Term'!AH32,new_transmute,2,FALSE)
),
IF(Info!$B$4="Board program",
IF(OR(AND(AH$5&gt;0,AH$5&gt;100),AND(AH$5&gt;0,AH$5&lt;100)),
VLOOKUP(FLOOR(('Final Term'!AH32/AH$5)*100,1),new_transmute,3,FALSE),
VLOOKUP('Final Term'!AH32,new_transmute,3,FALSE)
),
IF(Info!$B$4="Board program (Medicine)",
IF(OR(AND(AH$5&gt;0,AH$5&gt;100),AND(AH$5&gt;0,AH$5&lt;100)),
VLOOKUP(FLOOR(('Final Term'!AH32/AH$5)*100,1),new_transmute,4,FALSE),
VLOOKUP('Final Term'!AH32,new_transmute,4,FALSE)
),
""
)
)
)
)
)
)
)
)
))</f>
        <v/>
      </c>
      <c r="AI32" s="73" t="str">
        <f>IF($B32="","",
IF(AI$5="","",
IF('Final Term'!AI32="",0,
IF(NOT(ISNUMBER('Final Term'!AI32)),"NAN",
IF('Final Term'!AI32&lt;0,"NEG",
IF('Final Term'!AI32&gt;AI$5,"OVER",
IF(AND(AI$5&lt;=100,'Final Term'!AI32&gt;100),"ERR",
IF(Info!$B$4="Non-board program",
IF(OR(AND(AI$5&gt;0,AI$5&gt;100),AND(AI$5&gt;0,AI$5&lt;100)),
VLOOKUP(FLOOR(('Final Term'!AI32/AI$5)*100,1),new_transmute,2,FALSE),
VLOOKUP('Final Term'!AI32,new_transmute,2,FALSE)
),
IF(Info!$B$4="Board program",
IF(OR(AND(AI$5&gt;0,AI$5&gt;100),AND(AI$5&gt;0,AI$5&lt;100)),
VLOOKUP(FLOOR(('Final Term'!AI32/AI$5)*100,1),new_transmute,3,FALSE),
VLOOKUP('Final Term'!AI32,new_transmute,3,FALSE)
),
IF(Info!$B$4="Board program (Medicine)",
IF(OR(AND(AI$5&gt;0,AI$5&gt;100),AND(AI$5&gt;0,AI$5&lt;100)),
VLOOKUP(FLOOR(('Final Term'!AI32/AI$5)*100,1),new_transmute,4,FALSE),
VLOOKUP('Final Term'!AI32,new_transmute,4,FALSE)
),
""
)
)
)
)
)
)
)
)
))</f>
        <v/>
      </c>
      <c r="AJ32" s="73" t="str">
        <f>IF($B32="","",
IF(AJ$5="","",
IF('Final Term'!AJ32="",0,
IF(NOT(ISNUMBER('Final Term'!AJ32)),"NAN",
IF('Final Term'!AJ32&lt;0,"NEG",
IF('Final Term'!AJ32&gt;AJ$5,"OVER",
IF(AND(AJ$5&lt;=100,'Final Term'!AJ32&gt;100),"ERR",
IF(Info!$B$4="Non-board program",
IF(OR(AND(AJ$5&gt;0,AJ$5&gt;100),AND(AJ$5&gt;0,AJ$5&lt;100)),
VLOOKUP(FLOOR(('Final Term'!AJ32/AJ$5)*100,1),new_transmute,2,FALSE),
VLOOKUP('Final Term'!AJ32,new_transmute,2,FALSE)
),
IF(Info!$B$4="Board program",
IF(OR(AND(AJ$5&gt;0,AJ$5&gt;100),AND(AJ$5&gt;0,AJ$5&lt;100)),
VLOOKUP(FLOOR(('Final Term'!AJ32/AJ$5)*100,1),new_transmute,3,FALSE),
VLOOKUP('Final Term'!AJ32,new_transmute,3,FALSE)
),
IF(Info!$B$4="Board program (Medicine)",
IF(OR(AND(AJ$5&gt;0,AJ$5&gt;100),AND(AJ$5&gt;0,AJ$5&lt;100)),
VLOOKUP(FLOOR(('Final Term'!AJ32/AJ$5)*100,1),new_transmute,4,FALSE),
VLOOKUP('Final Term'!AJ32,new_transmute,4,FALSE)
),
""
)
)
)
)
)
)
)
)
))</f>
        <v/>
      </c>
      <c r="AK32" s="59" t="str">
        <f t="shared" si="6"/>
        <v/>
      </c>
      <c r="AL32" s="60" t="str">
        <f>IF(B32="", "",
    IF(OR(M32="OVER", S32="OVER", Y32="OVER", AE32="OVER", AK32="OVER"),
        "OVER",
        IF(Info!$B$4="Non-board program",
            VLOOKUP(IFERROR(FLOOR(SUM((M32*$M$4), (S32*$S$4), (Y32*$Y$4), (AE32*$AE$4), (AK32*$AK$4)) * (100 / 60), 1), 0), new_transmute, 2, FALSE),
            IF(Info!$B$4="Board program",
                VLOOKUP(IFERROR(FLOOR(SUM((M32*$M$4), (S32*$S$4), (Y32*$Y$4), (AE32*$AE$4), (AK32*$AK$4)) * (100 / 60), 1), 0), new_transmute, 3, FALSE),
                IF(Info!$B$4="Board program (Medicine)",
                    VLOOKUP(IFERROR(FLOOR(SUM((M32*$M$4), (S32*$S$4), (Y32*$Y$4), (AE32*$AE$4), (AK32*$AK$4)) * (100 / 60), 1), 0), new_transmute, 4, FALSE),
                    ""
                )
            )
        )
    )
)</f>
        <v/>
      </c>
      <c r="AM32" s="73" t="str">
        <f>IF($B32="","",
IF(AM$5="","",
IF('Final Term'!AM32="",0,
IF(NOT(ISNUMBER('Final Term'!AM32)),"NAN",
IF('Final Term'!AM32&lt;0,"NEG",
IF('Final Term'!AM32&gt;AM$5,"OVER",
IF(AND(AM$5&lt;=100,'Final Term'!AM32&gt;100),"ERR",
IF(Info!$B$4="Non-board program",
IF(OR(AND(AM$5&gt;0,AM$5&gt;100),AND(AM$5&gt;0,AM$5&lt;100)),
VLOOKUP(FLOOR(('Final Term'!AM32/AM$5)*100,1),new_transmute,2,FALSE),
VLOOKUP('Final Term'!AM32,new_transmute,2,FALSE)
),
IF(Info!$B$4="Board program",
IF(OR(AND(AM$5&gt;0,AM$5&gt;100),AND(AM$5&gt;0,AM$5&lt;100)),
VLOOKUP(FLOOR(('Final Term'!AM32/AM$5)*100,1),new_transmute,3,FALSE),
VLOOKUP('Final Term'!AM32,new_transmute,3,FALSE)
),
IF(Info!$B$4="Board program (Medicine)",
IF(OR(AND(AM$5&gt;0,AM$5&gt;100),AND(AM$5&gt;0,AM$5&lt;100)),
VLOOKUP(FLOOR(('Final Term'!AM32/AM$5)*100,1),new_transmute,4,FALSE),
VLOOKUP('Final Term'!AM32,new_transmute,4,FALSE)
),
""
)
)
)
)
)
)
)
)
))</f>
        <v/>
      </c>
      <c r="AN32" s="73" t="str">
        <f>IF($B32="","",
IF(AN$5="","",
IF('Final Term'!AN32="",0,
IF(NOT(ISNUMBER('Final Term'!AN32)),"NAN",
IF('Final Term'!AN32&lt;0,"NEG",
IF('Final Term'!AN32&gt;AN$5,"OVER",
IF(AND(AN$5&lt;=100,'Final Term'!AN32&gt;100),"ERR",
IF(Info!$B$4="Non-board program",
IF(OR(AND(AN$5&gt;0,AN$5&gt;100),AND(AN$5&gt;0,AN$5&lt;100)),
VLOOKUP(FLOOR(('Final Term'!AN32/AN$5)*100,1),new_transmute,2,FALSE),
VLOOKUP('Final Term'!AN32,new_transmute,2,FALSE)
),
IF(Info!$B$4="Board program",
IF(OR(AND(AN$5&gt;0,AN$5&gt;100),AND(AN$5&gt;0,AN$5&lt;100)),
VLOOKUP(FLOOR(('Final Term'!AN32/AN$5)*100,1),new_transmute,3,FALSE),
VLOOKUP('Final Term'!AN32,new_transmute,3,FALSE)
),
IF(Info!$B$4="Board program (Medicine)",
IF(OR(AND(AN$5&gt;0,AN$5&gt;100),AND(AN$5&gt;0,AN$5&lt;100)),
VLOOKUP(FLOOR(('Final Term'!AN32/AN$5)*100,1),new_transmute,4,FALSE),
VLOOKUP('Final Term'!AN32,new_transmute,4,FALSE)
),
""
)
)
)
)
)
)
)
)
))</f>
        <v/>
      </c>
      <c r="AO32" s="73" t="str">
        <f>IF($B32="","",
IF(AO$5="","",
IF('Final Term'!AO32="",0,
IF(NOT(ISNUMBER('Final Term'!AO32)),"NAN",
IF('Final Term'!AO32&lt;0,"NEG",
IF('Final Term'!AO32&gt;AO$5,"OVER",
IF(AND(AO$5&lt;=100,'Final Term'!AO32&gt;100),"ERR",
IF(Info!$B$4="Non-board program",
IF(OR(AND(AO$5&gt;0,AO$5&gt;100),AND(AO$5&gt;0,AO$5&lt;100)),
VLOOKUP(FLOOR(('Final Term'!AO32/AO$5)*100,1),new_transmute,2,FALSE),
VLOOKUP('Final Term'!AO32,new_transmute,2,FALSE)
),
IF(Info!$B$4="Board program",
IF(OR(AND(AO$5&gt;0,AO$5&gt;100),AND(AO$5&gt;0,AO$5&lt;100)),
VLOOKUP(FLOOR(('Final Term'!AO32/AO$5)*100,1),new_transmute,3,FALSE),
VLOOKUP('Final Term'!AO32,new_transmute,3,FALSE)
),
IF(Info!$B$4="Board program (Medicine)",
IF(OR(AND(AO$5&gt;0,AO$5&gt;100),AND(AO$5&gt;0,AO$5&lt;100)),
VLOOKUP(FLOOR(('Final Term'!AO32/AO$5)*100,1),new_transmute,4,FALSE),
VLOOKUP('Final Term'!AO32,new_transmute,4,FALSE)
),
""
)
)
)
)
)
)
)
)
))</f>
        <v/>
      </c>
      <c r="AP32" s="73" t="str">
        <f>IF($B32="","",
IF(AP$5="","",
IF('Final Term'!AP32="",0,
IF(NOT(ISNUMBER('Final Term'!AP32)),"NAN",
IF('Final Term'!AP32&lt;0,"NEG",
IF('Final Term'!AP32&gt;AP$5,"OVER",
IF(AND(AP$5&lt;=100,'Final Term'!AP32&gt;100),"ERR",
IF(Info!$B$4="Non-board program",
IF(OR(AND(AP$5&gt;0,AP$5&gt;100),AND(AP$5&gt;0,AP$5&lt;100)),
VLOOKUP(FLOOR(('Final Term'!AP32/AP$5)*100,1),new_transmute,2,FALSE),
VLOOKUP('Final Term'!AP32,new_transmute,2,FALSE)
),
IF(Info!$B$4="Board program",
IF(OR(AND(AP$5&gt;0,AP$5&gt;100),AND(AP$5&gt;0,AP$5&lt;100)),
VLOOKUP(FLOOR(('Final Term'!AP32/AP$5)*100,1),new_transmute,3,FALSE),
VLOOKUP('Final Term'!AP32,new_transmute,3,FALSE)
),
IF(Info!$B$4="Board program (Medicine)",
IF(OR(AND(AP$5&gt;0,AP$5&gt;100),AND(AP$5&gt;0,AP$5&lt;100)),
VLOOKUP(FLOOR(('Final Term'!AP32/AP$5)*100,1),new_transmute,4,FALSE),
VLOOKUP('Final Term'!AP32,new_transmute,4,FALSE)
),
""
)
)
)
)
)
)
)
)
))</f>
        <v/>
      </c>
      <c r="AQ32" s="61" t="str">
        <f t="shared" si="7"/>
        <v/>
      </c>
      <c r="AR32" s="48" t="str">
        <f>IF('Final Term'!AR32="","",'Final Term'!AR32)</f>
        <v/>
      </c>
      <c r="AS32" s="165" t="str">
        <f t="shared" si="8"/>
        <v/>
      </c>
      <c r="AT32" s="14" t="str">
        <f t="shared" si="0"/>
        <v/>
      </c>
      <c r="AU32" s="13" t="str">
        <f>IF(B32="","",VLOOKUP(AT32,'New Grade Equivalent'!$B$3:$C$47,2,FALSE))</f>
        <v/>
      </c>
    </row>
    <row r="33" spans="1:47" x14ac:dyDescent="0.25">
      <c r="A33" s="8">
        <v>28</v>
      </c>
      <c r="B33" s="2" t="str">
        <f>IF('Student List'!C37="","",UPPER(LEFT('Student List'!C37,FIND(",",'Student List'!C37)-1)))</f>
        <v/>
      </c>
      <c r="C33" s="12" t="str">
        <f>IF('Student List'!C37="","",PROPER(MID('Student List'!C37, FIND(",", 'Student List'!C37) + 2, LEN('Student List'!C37) - FIND(",", 'Student List'!C37) - 1)))</f>
        <v/>
      </c>
      <c r="D33" s="127" t="str">
        <f>IF('Final Term'!D33="","",'Final Term'!D33)</f>
        <v/>
      </c>
      <c r="E33" s="8" t="str">
        <f>IF(MidCom!E33="FA", "FA",
    IF(MidCom!E33="DRP", "DRP",
        IF(MidCom!E33="WF", "WF",
            IF(D33="Yes", "INC",
               IF((SUM('MT Attendance'!AW31) / 3 + SUM('MT Attendance'!AY31) + SUM('FT Attendance'!AW31) / 3 + SUM('FT Attendance'!AY31)) &gt;= 0.2 * (SUMPRODUCT(--(ISTEXT('MT Attendance'!$C$2:$AU$2))) + SUMPRODUCT(--(ISTEXT('FT Attendance'!$C$2:$AU$2)))), "FA",
                   MidCom!E33
                )
            )
        )
    )
)</f>
        <v/>
      </c>
      <c r="F33" s="73" t="str">
        <f>IF($B33="","",
IF(F$5="","",
IF('Final Term'!F33="",0,
IF(NOT(ISNUMBER('Final Term'!F33)),"NAN",
IF('Final Term'!F33&lt;0,"NEG",
IF('Final Term'!F33&gt;F$5,"OVER",
IF(AND(F$5&lt;=100,'Final Term'!F33&gt;100),"ERR",
IF(Info!$B$4="Non-board program",
IF(OR(AND(F$5&gt;0,F$5&gt;100),AND(F$5&gt;0,F$5&lt;100)),
VLOOKUP(FLOOR(('Final Term'!F33/F$5)*100,1),new_transmute,2,FALSE),
VLOOKUP('Final Term'!F33,new_transmute,2,FALSE)
),
IF(Info!$B$4="Board program",
IF(OR(AND(F$5&gt;0,F$5&gt;100),AND(F$5&gt;0,F$5&lt;100)),
VLOOKUP(FLOOR(('Final Term'!F33/F$5)*100,1),new_transmute,3,FALSE),
VLOOKUP('Final Term'!F33,new_transmute,3,FALSE)
),
IF(Info!$B$4="Board program (Medicine)",
IF(OR(AND(F$5&gt;0,F$5&gt;100),AND(F$5&gt;0,F$5&lt;100)),
VLOOKUP(FLOOR(('Final Term'!F33/F$5)*100,1),new_transmute,4,FALSE),
VLOOKUP('Final Term'!F33,new_transmute,4,FALSE)
),
""
)
)
)
)
)
)
)
)
))</f>
        <v/>
      </c>
      <c r="G33" s="57" t="str">
        <f t="shared" si="1"/>
        <v/>
      </c>
      <c r="H33" s="73" t="str">
        <f>IF($B33="","",
IF(H$5="","",
IF('Final Term'!H33="",0,
IF(NOT(ISNUMBER('Final Term'!H33)),"NAN",
IF('Final Term'!H33&lt;0,"NEG",
IF('Final Term'!H33&gt;H$5,"OVER",
IF(AND(H$5&lt;=100,'Final Term'!H33&gt;100),"ERR",
IF(Info!$B$4="Non-board program",
IF(OR(AND(H$5&gt;0,H$5&gt;100),AND(H$5&gt;0,H$5&lt;100)),
VLOOKUP(FLOOR(('Final Term'!H33/H$5)*100,1),new_transmute,2,FALSE),
VLOOKUP('Final Term'!H33,new_transmute,2,FALSE)
),
IF(Info!$B$4="Board program",
IF(OR(AND(H$5&gt;0,H$5&gt;100),AND(H$5&gt;0,H$5&lt;100)),
VLOOKUP(FLOOR(('Final Term'!H33/H$5)*100,1),new_transmute,3,FALSE),
VLOOKUP('Final Term'!H33,new_transmute,3,FALSE)
),
IF(Info!$B$4="Board program (Medicine)",
IF(OR(AND(H$5&gt;0,H$5&gt;100),AND(H$5&gt;0,H$5&lt;100)),
VLOOKUP(FLOOR(('Final Term'!H33/H$5)*100,1),new_transmute,4,FALSE),
VLOOKUP('Final Term'!H33,new_transmute,4,FALSE)
),
""
)
)
)
)
)
)
)
)
))</f>
        <v/>
      </c>
      <c r="I33" s="73" t="str">
        <f>IF($B33="","",
IF(I$5="","",
IF('Final Term'!I33="",0,
IF(NOT(ISNUMBER('Final Term'!I33)),"NAN",
IF('Final Term'!I33&lt;0,"NEG",
IF('Final Term'!I33&gt;I$5,"OVER",
IF(AND(I$5&lt;=100,'Final Term'!I33&gt;100),"ERR",
IF(Info!$B$4="Non-board program",
IF(OR(AND(I$5&gt;0,I$5&gt;100),AND(I$5&gt;0,I$5&lt;100)),
VLOOKUP(FLOOR(('Final Term'!I33/I$5)*100,1),new_transmute,2,FALSE),
VLOOKUP('Final Term'!I33,new_transmute,2,FALSE)
),
IF(Info!$B$4="Board program",
IF(OR(AND(I$5&gt;0,I$5&gt;100),AND(I$5&gt;0,I$5&lt;100)),
VLOOKUP(FLOOR(('Final Term'!I33/I$5)*100,1),new_transmute,3,FALSE),
VLOOKUP('Final Term'!I33,new_transmute,3,FALSE)
),
IF(Info!$B$4="Board program (Medicine)",
IF(OR(AND(I$5&gt;0,I$5&gt;100),AND(I$5&gt;0,I$5&lt;100)),
VLOOKUP(FLOOR(('Final Term'!I33/I$5)*100,1),new_transmute,4,FALSE),
VLOOKUP('Final Term'!I33,new_transmute,4,FALSE)
),
""
)
)
)
)
)
)
)
)
))</f>
        <v/>
      </c>
      <c r="J33" s="73" t="str">
        <f>IF($B33="","",
IF(J$5="","",
IF('Final Term'!J33="",0,
IF(NOT(ISNUMBER('Final Term'!J33)),"NAN",
IF('Final Term'!J33&lt;0,"NEG",
IF('Final Term'!J33&gt;J$5,"OVER",
IF(AND(J$5&lt;=100,'Final Term'!J33&gt;100),"ERR",
IF(Info!$B$4="Non-board program",
IF(OR(AND(J$5&gt;0,J$5&gt;100),AND(J$5&gt;0,J$5&lt;100)),
VLOOKUP(FLOOR(('Final Term'!J33/J$5)*100,1),new_transmute,2,FALSE),
VLOOKUP('Final Term'!J33,new_transmute,2,FALSE)
),
IF(Info!$B$4="Board program",
IF(OR(AND(J$5&gt;0,J$5&gt;100),AND(J$5&gt;0,J$5&lt;100)),
VLOOKUP(FLOOR(('Final Term'!J33/J$5)*100,1),new_transmute,3,FALSE),
VLOOKUP('Final Term'!J33,new_transmute,3,FALSE)
),
IF(Info!$B$4="Board program (Medicine)",
IF(OR(AND(J$5&gt;0,J$5&gt;100),AND(J$5&gt;0,J$5&lt;100)),
VLOOKUP(FLOOR(('Final Term'!J33/J$5)*100,1),new_transmute,4,FALSE),
VLOOKUP('Final Term'!J33,new_transmute,4,FALSE)
),
""
)
)
)
)
)
)
)
)
))</f>
        <v/>
      </c>
      <c r="K33" s="73" t="str">
        <f>IF($B33="","",
IF(K$5="","",
IF('Final Term'!K33="",0,
IF(NOT(ISNUMBER('Final Term'!K33)),"NAN",
IF('Final Term'!K33&lt;0,"NEG",
IF('Final Term'!K33&gt;K$5,"OVER",
IF(AND(K$5&lt;=100,'Final Term'!K33&gt;100),"ERR",
IF(Info!$B$4="Non-board program",
IF(OR(AND(K$5&gt;0,K$5&gt;100),AND(K$5&gt;0,K$5&lt;100)),
VLOOKUP(FLOOR(('Final Term'!K33/K$5)*100,1),new_transmute,2,FALSE),
VLOOKUP('Final Term'!K33,new_transmute,2,FALSE)
),
IF(Info!$B$4="Board program",
IF(OR(AND(K$5&gt;0,K$5&gt;100),AND(K$5&gt;0,K$5&lt;100)),
VLOOKUP(FLOOR(('Final Term'!K33/K$5)*100,1),new_transmute,3,FALSE),
VLOOKUP('Final Term'!K33,new_transmute,3,FALSE)
),
IF(Info!$B$4="Board program (Medicine)",
IF(OR(AND(K$5&gt;0,K$5&gt;100),AND(K$5&gt;0,K$5&lt;100)),
VLOOKUP(FLOOR(('Final Term'!K33/K$5)*100,1),new_transmute,4,FALSE),
VLOOKUP('Final Term'!K33,new_transmute,4,FALSE)
),
""
)
)
)
)
)
)
)
)
))</f>
        <v/>
      </c>
      <c r="L33" s="73" t="str">
        <f>IF($B33="","",
IF(L$5="","",
IF('Final Term'!L33="",0,
IF(NOT(ISNUMBER('Final Term'!L33)),"NAN",
IF('Final Term'!L33&lt;0,"NEG",
IF('Final Term'!L33&gt;L$5,"OVER",
IF(AND(L$5&lt;=100,'Final Term'!L33&gt;100),"ERR",
IF(Info!$B$4="Non-board program",
IF(OR(AND(L$5&gt;0,L$5&gt;100),AND(L$5&gt;0,L$5&lt;100)),
VLOOKUP(FLOOR(('Final Term'!L33/L$5)*100,1),new_transmute,2,FALSE),
VLOOKUP('Final Term'!L33,new_transmute,2,FALSE)
),
IF(Info!$B$4="Board program",
IF(OR(AND(L$5&gt;0,L$5&gt;100),AND(L$5&gt;0,L$5&lt;100)),
VLOOKUP(FLOOR(('Final Term'!L33/L$5)*100,1),new_transmute,3,FALSE),
VLOOKUP('Final Term'!L33,new_transmute,3,FALSE)
),
IF(Info!$B$4="Board program (Medicine)",
IF(OR(AND(L$5&gt;0,L$5&gt;100),AND(L$5&gt;0,L$5&lt;100)),
VLOOKUP(FLOOR(('Final Term'!L33/L$5)*100,1),new_transmute,4,FALSE),
VLOOKUP('Final Term'!L33,new_transmute,4,FALSE)
),
""
)
)
)
)
)
)
)
)
))</f>
        <v/>
      </c>
      <c r="M33" s="111" t="str">
        <f t="shared" si="2"/>
        <v/>
      </c>
      <c r="N33" s="73" t="str">
        <f>IF($B33="","",
IF(N$5="","",
IF('Final Term'!N33="",0,
IF(NOT(ISNUMBER('Final Term'!N33)),"NAN",
IF('Final Term'!N33&lt;0,"NEG",
IF('Final Term'!N33&gt;N$5,"OVER",
IF(AND(N$5&lt;=100,'Final Term'!N33&gt;100),"ERR",
IF(Info!$B$4="Non-board program",
IF(OR(AND(N$5&gt;0,N$5&gt;100),AND(N$5&gt;0,N$5&lt;100)),
VLOOKUP(FLOOR(('Final Term'!N33/N$5)*100,1),new_transmute,2,FALSE),
VLOOKUP('Final Term'!N33,new_transmute,2,FALSE)
),
IF(Info!$B$4="Board program",
IF(OR(AND(N$5&gt;0,N$5&gt;100),AND(N$5&gt;0,N$5&lt;100)),
VLOOKUP(FLOOR(('Final Term'!N33/N$5)*100,1),new_transmute,3,FALSE),
VLOOKUP('Final Term'!N33,new_transmute,3,FALSE)
),
IF(Info!$B$4="Board program (Medicine)",
IF(OR(AND(N$5&gt;0,N$5&gt;100),AND(N$5&gt;0,N$5&lt;100)),
VLOOKUP(FLOOR(('Final Term'!N33/N$5)*100,1),new_transmute,4,FALSE),
VLOOKUP('Final Term'!N33,new_transmute,4,FALSE)
),
""
)
)
)
)
)
)
)
)
))</f>
        <v/>
      </c>
      <c r="O33" s="73" t="str">
        <f>IF($B33="","",
IF(O$5="","",
IF('Final Term'!O33="",0,
IF(NOT(ISNUMBER('Final Term'!O33)),"NAN",
IF('Final Term'!O33&lt;0,"NEG",
IF('Final Term'!O33&gt;O$5,"OVER",
IF(AND(O$5&lt;=100,'Final Term'!O33&gt;100),"ERR",
IF(Info!$B$4="Non-board program",
IF(OR(AND(O$5&gt;0,O$5&gt;100),AND(O$5&gt;0,O$5&lt;100)),
VLOOKUP(FLOOR(('Final Term'!O33/O$5)*100,1),new_transmute,2,FALSE),
VLOOKUP('Final Term'!O33,new_transmute,2,FALSE)
),
IF(Info!$B$4="Board program",
IF(OR(AND(O$5&gt;0,O$5&gt;100),AND(O$5&gt;0,O$5&lt;100)),
VLOOKUP(FLOOR(('Final Term'!O33/O$5)*100,1),new_transmute,3,FALSE),
VLOOKUP('Final Term'!O33,new_transmute,3,FALSE)
),
IF(Info!$B$4="Board program (Medicine)",
IF(OR(AND(O$5&gt;0,O$5&gt;100),AND(O$5&gt;0,O$5&lt;100)),
VLOOKUP(FLOOR(('Final Term'!O33/O$5)*100,1),new_transmute,4,FALSE),
VLOOKUP('Final Term'!O33,new_transmute,4,FALSE)
),
""
)
)
)
)
)
)
)
)
))</f>
        <v/>
      </c>
      <c r="P33" s="73" t="str">
        <f>IF($B33="","",
IF(P$5="","",
IF('Final Term'!P33="",0,
IF(NOT(ISNUMBER('Final Term'!P33)),"NAN",
IF('Final Term'!P33&lt;0,"NEG",
IF('Final Term'!P33&gt;P$5,"OVER",
IF(AND(P$5&lt;=100,'Final Term'!P33&gt;100),"ERR",
IF(Info!$B$4="Non-board program",
IF(OR(AND(P$5&gt;0,P$5&gt;100),AND(P$5&gt;0,P$5&lt;100)),
VLOOKUP(FLOOR(('Final Term'!P33/P$5)*100,1),new_transmute,2,FALSE),
VLOOKUP('Final Term'!P33,new_transmute,2,FALSE)
),
IF(Info!$B$4="Board program",
IF(OR(AND(P$5&gt;0,P$5&gt;100),AND(P$5&gt;0,P$5&lt;100)),
VLOOKUP(FLOOR(('Final Term'!P33/P$5)*100,1),new_transmute,3,FALSE),
VLOOKUP('Final Term'!P33,new_transmute,3,FALSE)
),
IF(Info!$B$4="Board program (Medicine)",
IF(OR(AND(P$5&gt;0,P$5&gt;100),AND(P$5&gt;0,P$5&lt;100)),
VLOOKUP(FLOOR(('Final Term'!P33/P$5)*100,1),new_transmute,4,FALSE),
VLOOKUP('Final Term'!P33,new_transmute,4,FALSE)
),
""
)
)
)
)
)
)
)
)
))</f>
        <v/>
      </c>
      <c r="Q33" s="73" t="str">
        <f>IF($B33="","",
IF(Q$5="","",
IF('Final Term'!Q33="",0,
IF(NOT(ISNUMBER('Final Term'!Q33)),"NAN",
IF('Final Term'!Q33&lt;0,"NEG",
IF('Final Term'!Q33&gt;Q$5,"OVER",
IF(AND(Q$5&lt;=100,'Final Term'!Q33&gt;100),"ERR",
IF(Info!$B$4="Non-board program",
IF(OR(AND(Q$5&gt;0,Q$5&gt;100),AND(Q$5&gt;0,Q$5&lt;100)),
VLOOKUP(FLOOR(('Final Term'!Q33/Q$5)*100,1),new_transmute,2,FALSE),
VLOOKUP('Final Term'!Q33,new_transmute,2,FALSE)
),
IF(Info!$B$4="Board program",
IF(OR(AND(Q$5&gt;0,Q$5&gt;100),AND(Q$5&gt;0,Q$5&lt;100)),
VLOOKUP(FLOOR(('Final Term'!Q33/Q$5)*100,1),new_transmute,3,FALSE),
VLOOKUP('Final Term'!Q33,new_transmute,3,FALSE)
),
IF(Info!$B$4="Board program (Medicine)",
IF(OR(AND(Q$5&gt;0,Q$5&gt;100),AND(Q$5&gt;0,Q$5&lt;100)),
VLOOKUP(FLOOR(('Final Term'!Q33/Q$5)*100,1),new_transmute,4,FALSE),
VLOOKUP('Final Term'!Q33,new_transmute,4,FALSE)
),
""
)
)
)
)
)
)
)
)
))</f>
        <v/>
      </c>
      <c r="R33" s="73" t="str">
        <f>IF($B33="","",
IF(R$5="","",
IF('Final Term'!R33="",0,
IF(NOT(ISNUMBER('Final Term'!R33)),"NAN",
IF('Final Term'!R33&lt;0,"NEG",
IF('Final Term'!R33&gt;R$5,"OVER",
IF(AND(R$5&lt;=100,'Final Term'!R33&gt;100),"ERR",
IF(Info!$B$4="Non-board program",
IF(OR(AND(R$5&gt;0,R$5&gt;100),AND(R$5&gt;0,R$5&lt;100)),
VLOOKUP(FLOOR(('Final Term'!R33/R$5)*100,1),new_transmute,2,FALSE),
VLOOKUP('Final Term'!R33,new_transmute,2,FALSE)
),
IF(Info!$B$4="Board program",
IF(OR(AND(R$5&gt;0,R$5&gt;100),AND(R$5&gt;0,R$5&lt;100)),
VLOOKUP(FLOOR(('Final Term'!R33/R$5)*100,1),new_transmute,3,FALSE),
VLOOKUP('Final Term'!R33,new_transmute,3,FALSE)
),
IF(Info!$B$4="Board program (Medicine)",
IF(OR(AND(R$5&gt;0,R$5&gt;100),AND(R$5&gt;0,R$5&lt;100)),
VLOOKUP(FLOOR(('Final Term'!R33/R$5)*100,1),new_transmute,4,FALSE),
VLOOKUP('Final Term'!R33,new_transmute,4,FALSE)
),
""
)
)
)
)
)
)
)
)
))</f>
        <v/>
      </c>
      <c r="S33" s="115" t="str">
        <f t="shared" si="3"/>
        <v/>
      </c>
      <c r="T33" s="73" t="str">
        <f>IF($B33="","",
IF(T$5="","",
IF('Final Term'!T33="",0,
IF(NOT(ISNUMBER('Final Term'!T33)),"NAN",
IF('Final Term'!T33&lt;0,"NEG",
IF('Final Term'!T33&gt;T$5,"OVER",
IF(AND(T$5&lt;=100,'Final Term'!T33&gt;100),"ERR",
IF(Info!$B$4="Non-board program",
IF(OR(AND(T$5&gt;0,T$5&gt;100),AND(T$5&gt;0,T$5&lt;100)),
VLOOKUP(FLOOR(('Final Term'!T33/T$5)*100,1),new_transmute,2,FALSE),
VLOOKUP('Final Term'!T33,new_transmute,2,FALSE)
),
IF(Info!$B$4="Board program",
IF(OR(AND(T$5&gt;0,T$5&gt;100),AND(T$5&gt;0,T$5&lt;100)),
VLOOKUP(FLOOR(('Final Term'!T33/T$5)*100,1),new_transmute,3,FALSE),
VLOOKUP('Final Term'!T33,new_transmute,3,FALSE)
),
IF(Info!$B$4="Board program (Medicine)",
IF(OR(AND(T$5&gt;0,T$5&gt;100),AND(T$5&gt;0,T$5&lt;100)),
VLOOKUP(FLOOR(('Final Term'!T33/T$5)*100,1),new_transmute,4,FALSE),
VLOOKUP('Final Term'!T33,new_transmute,4,FALSE)
),
""
)
)
)
)
)
)
)
)
))</f>
        <v/>
      </c>
      <c r="U33" s="73" t="str">
        <f>IF($B33="","",
IF(U$5="","",
IF('Final Term'!U33="",0,
IF(NOT(ISNUMBER('Final Term'!U33)),"NAN",
IF('Final Term'!U33&lt;0,"NEG",
IF('Final Term'!U33&gt;U$5,"OVER",
IF(AND(U$5&lt;=100,'Final Term'!U33&gt;100),"ERR",
IF(Info!$B$4="Non-board program",
IF(OR(AND(U$5&gt;0,U$5&gt;100),AND(U$5&gt;0,U$5&lt;100)),
VLOOKUP(FLOOR(('Final Term'!U33/U$5)*100,1),new_transmute,2,FALSE),
VLOOKUP('Final Term'!U33,new_transmute,2,FALSE)
),
IF(Info!$B$4="Board program",
IF(OR(AND(U$5&gt;0,U$5&gt;100),AND(U$5&gt;0,U$5&lt;100)),
VLOOKUP(FLOOR(('Final Term'!U33/U$5)*100,1),new_transmute,3,FALSE),
VLOOKUP('Final Term'!U33,new_transmute,3,FALSE)
),
IF(Info!$B$4="Board program (Medicine)",
IF(OR(AND(U$5&gt;0,U$5&gt;100),AND(U$5&gt;0,U$5&lt;100)),
VLOOKUP(FLOOR(('Final Term'!U33/U$5)*100,1),new_transmute,4,FALSE),
VLOOKUP('Final Term'!U33,new_transmute,4,FALSE)
),
""
)
)
)
)
)
)
)
)
))</f>
        <v/>
      </c>
      <c r="V33" s="73" t="str">
        <f>IF($B33="","",
IF(V$5="","",
IF('Final Term'!V33="",0,
IF(NOT(ISNUMBER('Final Term'!V33)),"NAN",
IF('Final Term'!V33&lt;0,"NEG",
IF('Final Term'!V33&gt;V$5,"OVER",
IF(AND(V$5&lt;=100,'Final Term'!V33&gt;100),"ERR",
IF(Info!$B$4="Non-board program",
IF(OR(AND(V$5&gt;0,V$5&gt;100),AND(V$5&gt;0,V$5&lt;100)),
VLOOKUP(FLOOR(('Final Term'!V33/V$5)*100,1),new_transmute,2,FALSE),
VLOOKUP('Final Term'!V33,new_transmute,2,FALSE)
),
IF(Info!$B$4="Board program",
IF(OR(AND(V$5&gt;0,V$5&gt;100),AND(V$5&gt;0,V$5&lt;100)),
VLOOKUP(FLOOR(('Final Term'!V33/V$5)*100,1),new_transmute,3,FALSE),
VLOOKUP('Final Term'!V33,new_transmute,3,FALSE)
),
IF(Info!$B$4="Board program (Medicine)",
IF(OR(AND(V$5&gt;0,V$5&gt;100),AND(V$5&gt;0,V$5&lt;100)),
VLOOKUP(FLOOR(('Final Term'!V33/V$5)*100,1),new_transmute,4,FALSE),
VLOOKUP('Final Term'!V33,new_transmute,4,FALSE)
),
""
)
)
)
)
)
)
)
)
))</f>
        <v/>
      </c>
      <c r="W33" s="73" t="str">
        <f>IF($B33="","",
IF(W$5="","",
IF('Final Term'!W33="",0,
IF(NOT(ISNUMBER('Final Term'!W33)),"NAN",
IF('Final Term'!W33&lt;0,"NEG",
IF('Final Term'!W33&gt;W$5,"OVER",
IF(AND(W$5&lt;=100,'Final Term'!W33&gt;100),"ERR",
IF(Info!$B$4="Non-board program",
IF(OR(AND(W$5&gt;0,W$5&gt;100),AND(W$5&gt;0,W$5&lt;100)),
VLOOKUP(FLOOR(('Final Term'!W33/W$5)*100,1),new_transmute,2,FALSE),
VLOOKUP('Final Term'!W33,new_transmute,2,FALSE)
),
IF(Info!$B$4="Board program",
IF(OR(AND(W$5&gt;0,W$5&gt;100),AND(W$5&gt;0,W$5&lt;100)),
VLOOKUP(FLOOR(('Final Term'!W33/W$5)*100,1),new_transmute,3,FALSE),
VLOOKUP('Final Term'!W33,new_transmute,3,FALSE)
),
IF(Info!$B$4="Board program (Medicine)",
IF(OR(AND(W$5&gt;0,W$5&gt;100),AND(W$5&gt;0,W$5&lt;100)),
VLOOKUP(FLOOR(('Final Term'!W33/W$5)*100,1),new_transmute,4,FALSE),
VLOOKUP('Final Term'!W33,new_transmute,4,FALSE)
),
""
)
)
)
)
)
)
)
)
))</f>
        <v/>
      </c>
      <c r="X33" s="73" t="str">
        <f>IF($B33="","",
IF(X$5="","",
IF('Final Term'!X33="",0,
IF(NOT(ISNUMBER('Final Term'!X33)),"NAN",
IF('Final Term'!X33&lt;0,"NEG",
IF('Final Term'!X33&gt;X$5,"OVER",
IF(AND(X$5&lt;=100,'Final Term'!X33&gt;100),"ERR",
IF(Info!$B$4="Non-board program",
IF(OR(AND(X$5&gt;0,X$5&gt;100),AND(X$5&gt;0,X$5&lt;100)),
VLOOKUP(FLOOR(('Final Term'!X33/X$5)*100,1),new_transmute,2,FALSE),
VLOOKUP('Final Term'!X33,new_transmute,2,FALSE)
),
IF(Info!$B$4="Board program",
IF(OR(AND(X$5&gt;0,X$5&gt;100),AND(X$5&gt;0,X$5&lt;100)),
VLOOKUP(FLOOR(('Final Term'!X33/X$5)*100,1),new_transmute,3,FALSE),
VLOOKUP('Final Term'!X33,new_transmute,3,FALSE)
),
IF(Info!$B$4="Board program (Medicine)",
IF(OR(AND(X$5&gt;0,X$5&gt;100),AND(X$5&gt;0,X$5&lt;100)),
VLOOKUP(FLOOR(('Final Term'!X33/X$5)*100,1),new_transmute,4,FALSE),
VLOOKUP('Final Term'!X33,new_transmute,4,FALSE)
),
""
)
)
)
)
)
)
)
)
))</f>
        <v/>
      </c>
      <c r="Y33" s="112" t="str">
        <f t="shared" si="4"/>
        <v/>
      </c>
      <c r="Z33" s="73" t="str">
        <f>IF($B33="","",
IF(Z$5="","",
IF('Final Term'!Z33="",0,
IF(NOT(ISNUMBER('Final Term'!Z33)),"NAN",
IF('Final Term'!Z33&lt;0,"NEG",
IF('Final Term'!Z33&gt;Z$5,"OVER",
IF(AND(Z$5&lt;=100,'Final Term'!Z33&gt;100),"ERR",
IF(Info!$B$4="Non-board program",
IF(OR(AND(Z$5&gt;0,Z$5&gt;100),AND(Z$5&gt;0,Z$5&lt;100)),
VLOOKUP(FLOOR(('Final Term'!Z33/Z$5)*100,1),new_transmute,2,FALSE),
VLOOKUP('Final Term'!Z33,new_transmute,2,FALSE)
),
IF(Info!$B$4="Board program",
IF(OR(AND(Z$5&gt;0,Z$5&gt;100),AND(Z$5&gt;0,Z$5&lt;100)),
VLOOKUP(FLOOR(('Final Term'!Z33/Z$5)*100,1),new_transmute,3,FALSE),
VLOOKUP('Final Term'!Z33,new_transmute,3,FALSE)
),
IF(Info!$B$4="Board program (Medicine)",
IF(OR(AND(Z$5&gt;0,Z$5&gt;100),AND(Z$5&gt;0,Z$5&lt;100)),
VLOOKUP(FLOOR(('Final Term'!Z33/Z$5)*100,1),new_transmute,4,FALSE),
VLOOKUP('Final Term'!Z33,new_transmute,4,FALSE)
),
""
)
)
)
)
)
)
)
)
))</f>
        <v/>
      </c>
      <c r="AA33" s="73" t="str">
        <f>IF($B33="","",
IF(AA$5="","",
IF('Final Term'!AA33="",0,
IF(NOT(ISNUMBER('Final Term'!AA33)),"NAN",
IF('Final Term'!AA33&lt;0,"NEG",
IF('Final Term'!AA33&gt;AA$5,"OVER",
IF(AND(AA$5&lt;=100,'Final Term'!AA33&gt;100),"ERR",
IF(Info!$B$4="Non-board program",
IF(OR(AND(AA$5&gt;0,AA$5&gt;100),AND(AA$5&gt;0,AA$5&lt;100)),
VLOOKUP(FLOOR(('Final Term'!AA33/AA$5)*100,1),new_transmute,2,FALSE),
VLOOKUP('Final Term'!AA33,new_transmute,2,FALSE)
),
IF(Info!$B$4="Board program",
IF(OR(AND(AA$5&gt;0,AA$5&gt;100),AND(AA$5&gt;0,AA$5&lt;100)),
VLOOKUP(FLOOR(('Final Term'!AA33/AA$5)*100,1),new_transmute,3,FALSE),
VLOOKUP('Final Term'!AA33,new_transmute,3,FALSE)
),
IF(Info!$B$4="Board program (Medicine)",
IF(OR(AND(AA$5&gt;0,AA$5&gt;100),AND(AA$5&gt;0,AA$5&lt;100)),
VLOOKUP(FLOOR(('Final Term'!AA33/AA$5)*100,1),new_transmute,4,FALSE),
VLOOKUP('Final Term'!AA33,new_transmute,4,FALSE)
),
""
)
)
)
)
)
)
)
)
))</f>
        <v/>
      </c>
      <c r="AB33" s="73" t="str">
        <f>IF($B33="","",
IF(AB$5="","",
IF('Final Term'!AB33="",0,
IF(NOT(ISNUMBER('Final Term'!AB33)),"NAN",
IF('Final Term'!AB33&lt;0,"NEG",
IF('Final Term'!AB33&gt;AB$5,"OVER",
IF(AND(AB$5&lt;=100,'Final Term'!AB33&gt;100),"ERR",
IF(Info!$B$4="Non-board program",
IF(OR(AND(AB$5&gt;0,AB$5&gt;100),AND(AB$5&gt;0,AB$5&lt;100)),
VLOOKUP(FLOOR(('Final Term'!AB33/AB$5)*100,1),new_transmute,2,FALSE),
VLOOKUP('Final Term'!AB33,new_transmute,2,FALSE)
),
IF(Info!$B$4="Board program",
IF(OR(AND(AB$5&gt;0,AB$5&gt;100),AND(AB$5&gt;0,AB$5&lt;100)),
VLOOKUP(FLOOR(('Final Term'!AB33/AB$5)*100,1),new_transmute,3,FALSE),
VLOOKUP('Final Term'!AB33,new_transmute,3,FALSE)
),
IF(Info!$B$4="Board program (Medicine)",
IF(OR(AND(AB$5&gt;0,AB$5&gt;100),AND(AB$5&gt;0,AB$5&lt;100)),
VLOOKUP(FLOOR(('Final Term'!AB33/AB$5)*100,1),new_transmute,4,FALSE),
VLOOKUP('Final Term'!AB33,new_transmute,4,FALSE)
),
""
)
)
)
)
)
)
)
)
))</f>
        <v/>
      </c>
      <c r="AC33" s="73" t="str">
        <f>IF($B33="","",
IF(AC$5="","",
IF('Final Term'!AC33="",0,
IF(NOT(ISNUMBER('Final Term'!AC33)),"NAN",
IF('Final Term'!AC33&lt;0,"NEG",
IF('Final Term'!AC33&gt;AC$5,"OVER",
IF(AND(AC$5&lt;=100,'Final Term'!AC33&gt;100),"ERR",
IF(Info!$B$4="Non-board program",
IF(OR(AND(AC$5&gt;0,AC$5&gt;100),AND(AC$5&gt;0,AC$5&lt;100)),
VLOOKUP(FLOOR(('Final Term'!AC33/AC$5)*100,1),new_transmute,2,FALSE),
VLOOKUP('Final Term'!AC33,new_transmute,2,FALSE)
),
IF(Info!$B$4="Board program",
IF(OR(AND(AC$5&gt;0,AC$5&gt;100),AND(AC$5&gt;0,AC$5&lt;100)),
VLOOKUP(FLOOR(('Final Term'!AC33/AC$5)*100,1),new_transmute,3,FALSE),
VLOOKUP('Final Term'!AC33,new_transmute,3,FALSE)
),
IF(Info!$B$4="Board program (Medicine)",
IF(OR(AND(AC$5&gt;0,AC$5&gt;100),AND(AC$5&gt;0,AC$5&lt;100)),
VLOOKUP(FLOOR(('Final Term'!AC33/AC$5)*100,1),new_transmute,4,FALSE),
VLOOKUP('Final Term'!AC33,new_transmute,4,FALSE)
),
""
)
)
)
)
)
)
)
)
))</f>
        <v/>
      </c>
      <c r="AD33" s="73" t="str">
        <f>IF($B33="","",
IF(AD$5="","",
IF('Final Term'!AD33="",0,
IF(NOT(ISNUMBER('Final Term'!AD33)),"NAN",
IF('Final Term'!AD33&lt;0,"NEG",
IF('Final Term'!AD33&gt;AD$5,"OVER",
IF(AND(AD$5&lt;=100,'Final Term'!AD33&gt;100),"ERR",
IF(Info!$B$4="Non-board program",
IF(OR(AND(AD$5&gt;0,AD$5&gt;100),AND(AD$5&gt;0,AD$5&lt;100)),
VLOOKUP(FLOOR(('Final Term'!AD33/AD$5)*100,1),new_transmute,2,FALSE),
VLOOKUP('Final Term'!AD33,new_transmute,2,FALSE)
),
IF(Info!$B$4="Board program",
IF(OR(AND(AD$5&gt;0,AD$5&gt;100),AND(AD$5&gt;0,AD$5&lt;100)),
VLOOKUP(FLOOR(('Final Term'!AD33/AD$5)*100,1),new_transmute,3,FALSE),
VLOOKUP('Final Term'!AD33,new_transmute,3,FALSE)
),
IF(Info!$B$4="Board program (Medicine)",
IF(OR(AND(AD$5&gt;0,AD$5&gt;100),AND(AD$5&gt;0,AD$5&lt;100)),
VLOOKUP(FLOOR(('Final Term'!AD33/AD$5)*100,1),new_transmute,4,FALSE),
VLOOKUP('Final Term'!AD33,new_transmute,4,FALSE)
),
""
)
)
)
)
)
)
)
)
))</f>
        <v/>
      </c>
      <c r="AE33" s="58" t="str">
        <f t="shared" si="5"/>
        <v/>
      </c>
      <c r="AF33" s="73" t="str">
        <f>IF($B33="","",
IF(AF$5="","",
IF('Final Term'!AF33="",0,
IF(NOT(ISNUMBER('Final Term'!AF33)),"NAN",
IF('Final Term'!AF33&lt;0,"NEG",
IF('Final Term'!AF33&gt;AF$5,"OVER",
IF(AND(AF$5&lt;=100,'Final Term'!AF33&gt;100),"ERR",
IF(Info!$B$4="Non-board program",
IF(OR(AND(AF$5&gt;0,AF$5&gt;100),AND(AF$5&gt;0,AF$5&lt;100)),
VLOOKUP(FLOOR(('Final Term'!AF33/AF$5)*100,1),new_transmute,2,FALSE),
VLOOKUP('Final Term'!AF33,new_transmute,2,FALSE)
),
IF(Info!$B$4="Board program",
IF(OR(AND(AF$5&gt;0,AF$5&gt;100),AND(AF$5&gt;0,AF$5&lt;100)),
VLOOKUP(FLOOR(('Final Term'!AF33/AF$5)*100,1),new_transmute,3,FALSE),
VLOOKUP('Final Term'!AF33,new_transmute,3,FALSE)
),
IF(Info!$B$4="Board program (Medicine)",
IF(OR(AND(AF$5&gt;0,AF$5&gt;100),AND(AF$5&gt;0,AF$5&lt;100)),
VLOOKUP(FLOOR(('Final Term'!AF33/AF$5)*100,1),new_transmute,4,FALSE),
VLOOKUP('Final Term'!AF33,new_transmute,4,FALSE)
),
""
)
)
)
)
)
)
)
)
))</f>
        <v/>
      </c>
      <c r="AG33" s="73" t="str">
        <f>IF($B33="","",
IF(AG$5="","",
IF('Final Term'!AG33="",0,
IF(NOT(ISNUMBER('Final Term'!AG33)),"NAN",
IF('Final Term'!AG33&lt;0,"NEG",
IF('Final Term'!AG33&gt;AG$5,"OVER",
IF(AND(AG$5&lt;=100,'Final Term'!AG33&gt;100),"ERR",
IF(Info!$B$4="Non-board program",
IF(OR(AND(AG$5&gt;0,AG$5&gt;100),AND(AG$5&gt;0,AG$5&lt;100)),
VLOOKUP(FLOOR(('Final Term'!AG33/AG$5)*100,1),new_transmute,2,FALSE),
VLOOKUP('Final Term'!AG33,new_transmute,2,FALSE)
),
IF(Info!$B$4="Board program",
IF(OR(AND(AG$5&gt;0,AG$5&gt;100),AND(AG$5&gt;0,AG$5&lt;100)),
VLOOKUP(FLOOR(('Final Term'!AG33/AG$5)*100,1),new_transmute,3,FALSE),
VLOOKUP('Final Term'!AG33,new_transmute,3,FALSE)
),
IF(Info!$B$4="Board program (Medicine)",
IF(OR(AND(AG$5&gt;0,AG$5&gt;100),AND(AG$5&gt;0,AG$5&lt;100)),
VLOOKUP(FLOOR(('Final Term'!AG33/AG$5)*100,1),new_transmute,4,FALSE),
VLOOKUP('Final Term'!AG33,new_transmute,4,FALSE)
),
""
)
)
)
)
)
)
)
)
))</f>
        <v/>
      </c>
      <c r="AH33" s="73" t="str">
        <f>IF($B33="","",
IF(AH$5="","",
IF('Final Term'!AH33="",0,
IF(NOT(ISNUMBER('Final Term'!AH33)),"NAN",
IF('Final Term'!AH33&lt;0,"NEG",
IF('Final Term'!AH33&gt;AH$5,"OVER",
IF(AND(AH$5&lt;=100,'Final Term'!AH33&gt;100),"ERR",
IF(Info!$B$4="Non-board program",
IF(OR(AND(AH$5&gt;0,AH$5&gt;100),AND(AH$5&gt;0,AH$5&lt;100)),
VLOOKUP(FLOOR(('Final Term'!AH33/AH$5)*100,1),new_transmute,2,FALSE),
VLOOKUP('Final Term'!AH33,new_transmute,2,FALSE)
),
IF(Info!$B$4="Board program",
IF(OR(AND(AH$5&gt;0,AH$5&gt;100),AND(AH$5&gt;0,AH$5&lt;100)),
VLOOKUP(FLOOR(('Final Term'!AH33/AH$5)*100,1),new_transmute,3,FALSE),
VLOOKUP('Final Term'!AH33,new_transmute,3,FALSE)
),
IF(Info!$B$4="Board program (Medicine)",
IF(OR(AND(AH$5&gt;0,AH$5&gt;100),AND(AH$5&gt;0,AH$5&lt;100)),
VLOOKUP(FLOOR(('Final Term'!AH33/AH$5)*100,1),new_transmute,4,FALSE),
VLOOKUP('Final Term'!AH33,new_transmute,4,FALSE)
),
""
)
)
)
)
)
)
)
)
))</f>
        <v/>
      </c>
      <c r="AI33" s="73" t="str">
        <f>IF($B33="","",
IF(AI$5="","",
IF('Final Term'!AI33="",0,
IF(NOT(ISNUMBER('Final Term'!AI33)),"NAN",
IF('Final Term'!AI33&lt;0,"NEG",
IF('Final Term'!AI33&gt;AI$5,"OVER",
IF(AND(AI$5&lt;=100,'Final Term'!AI33&gt;100),"ERR",
IF(Info!$B$4="Non-board program",
IF(OR(AND(AI$5&gt;0,AI$5&gt;100),AND(AI$5&gt;0,AI$5&lt;100)),
VLOOKUP(FLOOR(('Final Term'!AI33/AI$5)*100,1),new_transmute,2,FALSE),
VLOOKUP('Final Term'!AI33,new_transmute,2,FALSE)
),
IF(Info!$B$4="Board program",
IF(OR(AND(AI$5&gt;0,AI$5&gt;100),AND(AI$5&gt;0,AI$5&lt;100)),
VLOOKUP(FLOOR(('Final Term'!AI33/AI$5)*100,1),new_transmute,3,FALSE),
VLOOKUP('Final Term'!AI33,new_transmute,3,FALSE)
),
IF(Info!$B$4="Board program (Medicine)",
IF(OR(AND(AI$5&gt;0,AI$5&gt;100),AND(AI$5&gt;0,AI$5&lt;100)),
VLOOKUP(FLOOR(('Final Term'!AI33/AI$5)*100,1),new_transmute,4,FALSE),
VLOOKUP('Final Term'!AI33,new_transmute,4,FALSE)
),
""
)
)
)
)
)
)
)
)
))</f>
        <v/>
      </c>
      <c r="AJ33" s="73" t="str">
        <f>IF($B33="","",
IF(AJ$5="","",
IF('Final Term'!AJ33="",0,
IF(NOT(ISNUMBER('Final Term'!AJ33)),"NAN",
IF('Final Term'!AJ33&lt;0,"NEG",
IF('Final Term'!AJ33&gt;AJ$5,"OVER",
IF(AND(AJ$5&lt;=100,'Final Term'!AJ33&gt;100),"ERR",
IF(Info!$B$4="Non-board program",
IF(OR(AND(AJ$5&gt;0,AJ$5&gt;100),AND(AJ$5&gt;0,AJ$5&lt;100)),
VLOOKUP(FLOOR(('Final Term'!AJ33/AJ$5)*100,1),new_transmute,2,FALSE),
VLOOKUP('Final Term'!AJ33,new_transmute,2,FALSE)
),
IF(Info!$B$4="Board program",
IF(OR(AND(AJ$5&gt;0,AJ$5&gt;100),AND(AJ$5&gt;0,AJ$5&lt;100)),
VLOOKUP(FLOOR(('Final Term'!AJ33/AJ$5)*100,1),new_transmute,3,FALSE),
VLOOKUP('Final Term'!AJ33,new_transmute,3,FALSE)
),
IF(Info!$B$4="Board program (Medicine)",
IF(OR(AND(AJ$5&gt;0,AJ$5&gt;100),AND(AJ$5&gt;0,AJ$5&lt;100)),
VLOOKUP(FLOOR(('Final Term'!AJ33/AJ$5)*100,1),new_transmute,4,FALSE),
VLOOKUP('Final Term'!AJ33,new_transmute,4,FALSE)
),
""
)
)
)
)
)
)
)
)
))</f>
        <v/>
      </c>
      <c r="AK33" s="59" t="str">
        <f t="shared" si="6"/>
        <v/>
      </c>
      <c r="AL33" s="60" t="str">
        <f>IF(B33="", "",
    IF(OR(M33="OVER", S33="OVER", Y33="OVER", AE33="OVER", AK33="OVER"),
        "OVER",
        IF(Info!$B$4="Non-board program",
            VLOOKUP(IFERROR(FLOOR(SUM((M33*$M$4), (S33*$S$4), (Y33*$Y$4), (AE33*$AE$4), (AK33*$AK$4)) * (100 / 60), 1), 0), new_transmute, 2, FALSE),
            IF(Info!$B$4="Board program",
                VLOOKUP(IFERROR(FLOOR(SUM((M33*$M$4), (S33*$S$4), (Y33*$Y$4), (AE33*$AE$4), (AK33*$AK$4)) * (100 / 60), 1), 0), new_transmute, 3, FALSE),
                IF(Info!$B$4="Board program (Medicine)",
                    VLOOKUP(IFERROR(FLOOR(SUM((M33*$M$4), (S33*$S$4), (Y33*$Y$4), (AE33*$AE$4), (AK33*$AK$4)) * (100 / 60), 1), 0), new_transmute, 4, FALSE),
                    ""
                )
            )
        )
    )
)</f>
        <v/>
      </c>
      <c r="AM33" s="73" t="str">
        <f>IF($B33="","",
IF(AM$5="","",
IF('Final Term'!AM33="",0,
IF(NOT(ISNUMBER('Final Term'!AM33)),"NAN",
IF('Final Term'!AM33&lt;0,"NEG",
IF('Final Term'!AM33&gt;AM$5,"OVER",
IF(AND(AM$5&lt;=100,'Final Term'!AM33&gt;100),"ERR",
IF(Info!$B$4="Non-board program",
IF(OR(AND(AM$5&gt;0,AM$5&gt;100),AND(AM$5&gt;0,AM$5&lt;100)),
VLOOKUP(FLOOR(('Final Term'!AM33/AM$5)*100,1),new_transmute,2,FALSE),
VLOOKUP('Final Term'!AM33,new_transmute,2,FALSE)
),
IF(Info!$B$4="Board program",
IF(OR(AND(AM$5&gt;0,AM$5&gt;100),AND(AM$5&gt;0,AM$5&lt;100)),
VLOOKUP(FLOOR(('Final Term'!AM33/AM$5)*100,1),new_transmute,3,FALSE),
VLOOKUP('Final Term'!AM33,new_transmute,3,FALSE)
),
IF(Info!$B$4="Board program (Medicine)",
IF(OR(AND(AM$5&gt;0,AM$5&gt;100),AND(AM$5&gt;0,AM$5&lt;100)),
VLOOKUP(FLOOR(('Final Term'!AM33/AM$5)*100,1),new_transmute,4,FALSE),
VLOOKUP('Final Term'!AM33,new_transmute,4,FALSE)
),
""
)
)
)
)
)
)
)
)
))</f>
        <v/>
      </c>
      <c r="AN33" s="73" t="str">
        <f>IF($B33="","",
IF(AN$5="","",
IF('Final Term'!AN33="",0,
IF(NOT(ISNUMBER('Final Term'!AN33)),"NAN",
IF('Final Term'!AN33&lt;0,"NEG",
IF('Final Term'!AN33&gt;AN$5,"OVER",
IF(AND(AN$5&lt;=100,'Final Term'!AN33&gt;100),"ERR",
IF(Info!$B$4="Non-board program",
IF(OR(AND(AN$5&gt;0,AN$5&gt;100),AND(AN$5&gt;0,AN$5&lt;100)),
VLOOKUP(FLOOR(('Final Term'!AN33/AN$5)*100,1),new_transmute,2,FALSE),
VLOOKUP('Final Term'!AN33,new_transmute,2,FALSE)
),
IF(Info!$B$4="Board program",
IF(OR(AND(AN$5&gt;0,AN$5&gt;100),AND(AN$5&gt;0,AN$5&lt;100)),
VLOOKUP(FLOOR(('Final Term'!AN33/AN$5)*100,1),new_transmute,3,FALSE),
VLOOKUP('Final Term'!AN33,new_transmute,3,FALSE)
),
IF(Info!$B$4="Board program (Medicine)",
IF(OR(AND(AN$5&gt;0,AN$5&gt;100),AND(AN$5&gt;0,AN$5&lt;100)),
VLOOKUP(FLOOR(('Final Term'!AN33/AN$5)*100,1),new_transmute,4,FALSE),
VLOOKUP('Final Term'!AN33,new_transmute,4,FALSE)
),
""
)
)
)
)
)
)
)
)
))</f>
        <v/>
      </c>
      <c r="AO33" s="73" t="str">
        <f>IF($B33="","",
IF(AO$5="","",
IF('Final Term'!AO33="",0,
IF(NOT(ISNUMBER('Final Term'!AO33)),"NAN",
IF('Final Term'!AO33&lt;0,"NEG",
IF('Final Term'!AO33&gt;AO$5,"OVER",
IF(AND(AO$5&lt;=100,'Final Term'!AO33&gt;100),"ERR",
IF(Info!$B$4="Non-board program",
IF(OR(AND(AO$5&gt;0,AO$5&gt;100),AND(AO$5&gt;0,AO$5&lt;100)),
VLOOKUP(FLOOR(('Final Term'!AO33/AO$5)*100,1),new_transmute,2,FALSE),
VLOOKUP('Final Term'!AO33,new_transmute,2,FALSE)
),
IF(Info!$B$4="Board program",
IF(OR(AND(AO$5&gt;0,AO$5&gt;100),AND(AO$5&gt;0,AO$5&lt;100)),
VLOOKUP(FLOOR(('Final Term'!AO33/AO$5)*100,1),new_transmute,3,FALSE),
VLOOKUP('Final Term'!AO33,new_transmute,3,FALSE)
),
IF(Info!$B$4="Board program (Medicine)",
IF(OR(AND(AO$5&gt;0,AO$5&gt;100),AND(AO$5&gt;0,AO$5&lt;100)),
VLOOKUP(FLOOR(('Final Term'!AO33/AO$5)*100,1),new_transmute,4,FALSE),
VLOOKUP('Final Term'!AO33,new_transmute,4,FALSE)
),
""
)
)
)
)
)
)
)
)
))</f>
        <v/>
      </c>
      <c r="AP33" s="73" t="str">
        <f>IF($B33="","",
IF(AP$5="","",
IF('Final Term'!AP33="",0,
IF(NOT(ISNUMBER('Final Term'!AP33)),"NAN",
IF('Final Term'!AP33&lt;0,"NEG",
IF('Final Term'!AP33&gt;AP$5,"OVER",
IF(AND(AP$5&lt;=100,'Final Term'!AP33&gt;100),"ERR",
IF(Info!$B$4="Non-board program",
IF(OR(AND(AP$5&gt;0,AP$5&gt;100),AND(AP$5&gt;0,AP$5&lt;100)),
VLOOKUP(FLOOR(('Final Term'!AP33/AP$5)*100,1),new_transmute,2,FALSE),
VLOOKUP('Final Term'!AP33,new_transmute,2,FALSE)
),
IF(Info!$B$4="Board program",
IF(OR(AND(AP$5&gt;0,AP$5&gt;100),AND(AP$5&gt;0,AP$5&lt;100)),
VLOOKUP(FLOOR(('Final Term'!AP33/AP$5)*100,1),new_transmute,3,FALSE),
VLOOKUP('Final Term'!AP33,new_transmute,3,FALSE)
),
IF(Info!$B$4="Board program (Medicine)",
IF(OR(AND(AP$5&gt;0,AP$5&gt;100),AND(AP$5&gt;0,AP$5&lt;100)),
VLOOKUP(FLOOR(('Final Term'!AP33/AP$5)*100,1),new_transmute,4,FALSE),
VLOOKUP('Final Term'!AP33,new_transmute,4,FALSE)
),
""
)
)
)
)
)
)
)
)
))</f>
        <v/>
      </c>
      <c r="AQ33" s="61" t="str">
        <f t="shared" si="7"/>
        <v/>
      </c>
      <c r="AR33" s="48" t="str">
        <f>IF('Final Term'!AR33="","",'Final Term'!AR33)</f>
        <v/>
      </c>
      <c r="AS33" s="165" t="str">
        <f t="shared" si="8"/>
        <v/>
      </c>
      <c r="AT33" s="14" t="str">
        <f t="shared" si="0"/>
        <v/>
      </c>
      <c r="AU33" s="13" t="str">
        <f>IF(B33="","",VLOOKUP(AT33,'New Grade Equivalent'!$B$3:$C$47,2,FALSE))</f>
        <v/>
      </c>
    </row>
    <row r="34" spans="1:47" x14ac:dyDescent="0.25">
      <c r="A34" s="8">
        <v>29</v>
      </c>
      <c r="B34" s="2" t="str">
        <f>IF('Student List'!C38="","",UPPER(LEFT('Student List'!C38,FIND(",",'Student List'!C38)-1)))</f>
        <v/>
      </c>
      <c r="C34" s="12" t="str">
        <f>IF('Student List'!C38="","",PROPER(MID('Student List'!C38, FIND(",", 'Student List'!C38) + 2, LEN('Student List'!C38) - FIND(",", 'Student List'!C38) - 1)))</f>
        <v/>
      </c>
      <c r="D34" s="127" t="str">
        <f>IF('Final Term'!D34="","",'Final Term'!D34)</f>
        <v/>
      </c>
      <c r="E34" s="8" t="str">
        <f>IF(MidCom!E34="FA", "FA",
    IF(MidCom!E34="DRP", "DRP",
        IF(MidCom!E34="WF", "WF",
            IF(D34="Yes", "INC",
               IF((SUM('MT Attendance'!AW32) / 3 + SUM('MT Attendance'!AY32) + SUM('FT Attendance'!AW32) / 3 + SUM('FT Attendance'!AY32)) &gt;= 0.2 * (SUMPRODUCT(--(ISTEXT('MT Attendance'!$C$2:$AU$2))) + SUMPRODUCT(--(ISTEXT('FT Attendance'!$C$2:$AU$2)))), "FA",
                   MidCom!E34
                )
            )
        )
    )
)</f>
        <v/>
      </c>
      <c r="F34" s="73" t="str">
        <f>IF($B34="","",
IF(F$5="","",
IF('Final Term'!F34="",0,
IF(NOT(ISNUMBER('Final Term'!F34)),"NAN",
IF('Final Term'!F34&lt;0,"NEG",
IF('Final Term'!F34&gt;F$5,"OVER",
IF(AND(F$5&lt;=100,'Final Term'!F34&gt;100),"ERR",
IF(Info!$B$4="Non-board program",
IF(OR(AND(F$5&gt;0,F$5&gt;100),AND(F$5&gt;0,F$5&lt;100)),
VLOOKUP(FLOOR(('Final Term'!F34/F$5)*100,1),new_transmute,2,FALSE),
VLOOKUP('Final Term'!F34,new_transmute,2,FALSE)
),
IF(Info!$B$4="Board program",
IF(OR(AND(F$5&gt;0,F$5&gt;100),AND(F$5&gt;0,F$5&lt;100)),
VLOOKUP(FLOOR(('Final Term'!F34/F$5)*100,1),new_transmute,3,FALSE),
VLOOKUP('Final Term'!F34,new_transmute,3,FALSE)
),
IF(Info!$B$4="Board program (Medicine)",
IF(OR(AND(F$5&gt;0,F$5&gt;100),AND(F$5&gt;0,F$5&lt;100)),
VLOOKUP(FLOOR(('Final Term'!F34/F$5)*100,1),new_transmute,4,FALSE),
VLOOKUP('Final Term'!F34,new_transmute,4,FALSE)
),
""
)
)
)
)
)
)
)
)
))</f>
        <v/>
      </c>
      <c r="G34" s="57" t="str">
        <f t="shared" si="1"/>
        <v/>
      </c>
      <c r="H34" s="73" t="str">
        <f>IF($B34="","",
IF(H$5="","",
IF('Final Term'!H34="",0,
IF(NOT(ISNUMBER('Final Term'!H34)),"NAN",
IF('Final Term'!H34&lt;0,"NEG",
IF('Final Term'!H34&gt;H$5,"OVER",
IF(AND(H$5&lt;=100,'Final Term'!H34&gt;100),"ERR",
IF(Info!$B$4="Non-board program",
IF(OR(AND(H$5&gt;0,H$5&gt;100),AND(H$5&gt;0,H$5&lt;100)),
VLOOKUP(FLOOR(('Final Term'!H34/H$5)*100,1),new_transmute,2,FALSE),
VLOOKUP('Final Term'!H34,new_transmute,2,FALSE)
),
IF(Info!$B$4="Board program",
IF(OR(AND(H$5&gt;0,H$5&gt;100),AND(H$5&gt;0,H$5&lt;100)),
VLOOKUP(FLOOR(('Final Term'!H34/H$5)*100,1),new_transmute,3,FALSE),
VLOOKUP('Final Term'!H34,new_transmute,3,FALSE)
),
IF(Info!$B$4="Board program (Medicine)",
IF(OR(AND(H$5&gt;0,H$5&gt;100),AND(H$5&gt;0,H$5&lt;100)),
VLOOKUP(FLOOR(('Final Term'!H34/H$5)*100,1),new_transmute,4,FALSE),
VLOOKUP('Final Term'!H34,new_transmute,4,FALSE)
),
""
)
)
)
)
)
)
)
)
))</f>
        <v/>
      </c>
      <c r="I34" s="73" t="str">
        <f>IF($B34="","",
IF(I$5="","",
IF('Final Term'!I34="",0,
IF(NOT(ISNUMBER('Final Term'!I34)),"NAN",
IF('Final Term'!I34&lt;0,"NEG",
IF('Final Term'!I34&gt;I$5,"OVER",
IF(AND(I$5&lt;=100,'Final Term'!I34&gt;100),"ERR",
IF(Info!$B$4="Non-board program",
IF(OR(AND(I$5&gt;0,I$5&gt;100),AND(I$5&gt;0,I$5&lt;100)),
VLOOKUP(FLOOR(('Final Term'!I34/I$5)*100,1),new_transmute,2,FALSE),
VLOOKUP('Final Term'!I34,new_transmute,2,FALSE)
),
IF(Info!$B$4="Board program",
IF(OR(AND(I$5&gt;0,I$5&gt;100),AND(I$5&gt;0,I$5&lt;100)),
VLOOKUP(FLOOR(('Final Term'!I34/I$5)*100,1),new_transmute,3,FALSE),
VLOOKUP('Final Term'!I34,new_transmute,3,FALSE)
),
IF(Info!$B$4="Board program (Medicine)",
IF(OR(AND(I$5&gt;0,I$5&gt;100),AND(I$5&gt;0,I$5&lt;100)),
VLOOKUP(FLOOR(('Final Term'!I34/I$5)*100,1),new_transmute,4,FALSE),
VLOOKUP('Final Term'!I34,new_transmute,4,FALSE)
),
""
)
)
)
)
)
)
)
)
))</f>
        <v/>
      </c>
      <c r="J34" s="73" t="str">
        <f>IF($B34="","",
IF(J$5="","",
IF('Final Term'!J34="",0,
IF(NOT(ISNUMBER('Final Term'!J34)),"NAN",
IF('Final Term'!J34&lt;0,"NEG",
IF('Final Term'!J34&gt;J$5,"OVER",
IF(AND(J$5&lt;=100,'Final Term'!J34&gt;100),"ERR",
IF(Info!$B$4="Non-board program",
IF(OR(AND(J$5&gt;0,J$5&gt;100),AND(J$5&gt;0,J$5&lt;100)),
VLOOKUP(FLOOR(('Final Term'!J34/J$5)*100,1),new_transmute,2,FALSE),
VLOOKUP('Final Term'!J34,new_transmute,2,FALSE)
),
IF(Info!$B$4="Board program",
IF(OR(AND(J$5&gt;0,J$5&gt;100),AND(J$5&gt;0,J$5&lt;100)),
VLOOKUP(FLOOR(('Final Term'!J34/J$5)*100,1),new_transmute,3,FALSE),
VLOOKUP('Final Term'!J34,new_transmute,3,FALSE)
),
IF(Info!$B$4="Board program (Medicine)",
IF(OR(AND(J$5&gt;0,J$5&gt;100),AND(J$5&gt;0,J$5&lt;100)),
VLOOKUP(FLOOR(('Final Term'!J34/J$5)*100,1),new_transmute,4,FALSE),
VLOOKUP('Final Term'!J34,new_transmute,4,FALSE)
),
""
)
)
)
)
)
)
)
)
))</f>
        <v/>
      </c>
      <c r="K34" s="73" t="str">
        <f>IF($B34="","",
IF(K$5="","",
IF('Final Term'!K34="",0,
IF(NOT(ISNUMBER('Final Term'!K34)),"NAN",
IF('Final Term'!K34&lt;0,"NEG",
IF('Final Term'!K34&gt;K$5,"OVER",
IF(AND(K$5&lt;=100,'Final Term'!K34&gt;100),"ERR",
IF(Info!$B$4="Non-board program",
IF(OR(AND(K$5&gt;0,K$5&gt;100),AND(K$5&gt;0,K$5&lt;100)),
VLOOKUP(FLOOR(('Final Term'!K34/K$5)*100,1),new_transmute,2,FALSE),
VLOOKUP('Final Term'!K34,new_transmute,2,FALSE)
),
IF(Info!$B$4="Board program",
IF(OR(AND(K$5&gt;0,K$5&gt;100),AND(K$5&gt;0,K$5&lt;100)),
VLOOKUP(FLOOR(('Final Term'!K34/K$5)*100,1),new_transmute,3,FALSE),
VLOOKUP('Final Term'!K34,new_transmute,3,FALSE)
),
IF(Info!$B$4="Board program (Medicine)",
IF(OR(AND(K$5&gt;0,K$5&gt;100),AND(K$5&gt;0,K$5&lt;100)),
VLOOKUP(FLOOR(('Final Term'!K34/K$5)*100,1),new_transmute,4,FALSE),
VLOOKUP('Final Term'!K34,new_transmute,4,FALSE)
),
""
)
)
)
)
)
)
)
)
))</f>
        <v/>
      </c>
      <c r="L34" s="73" t="str">
        <f>IF($B34="","",
IF(L$5="","",
IF('Final Term'!L34="",0,
IF(NOT(ISNUMBER('Final Term'!L34)),"NAN",
IF('Final Term'!L34&lt;0,"NEG",
IF('Final Term'!L34&gt;L$5,"OVER",
IF(AND(L$5&lt;=100,'Final Term'!L34&gt;100),"ERR",
IF(Info!$B$4="Non-board program",
IF(OR(AND(L$5&gt;0,L$5&gt;100),AND(L$5&gt;0,L$5&lt;100)),
VLOOKUP(FLOOR(('Final Term'!L34/L$5)*100,1),new_transmute,2,FALSE),
VLOOKUP('Final Term'!L34,new_transmute,2,FALSE)
),
IF(Info!$B$4="Board program",
IF(OR(AND(L$5&gt;0,L$5&gt;100),AND(L$5&gt;0,L$5&lt;100)),
VLOOKUP(FLOOR(('Final Term'!L34/L$5)*100,1),new_transmute,3,FALSE),
VLOOKUP('Final Term'!L34,new_transmute,3,FALSE)
),
IF(Info!$B$4="Board program (Medicine)",
IF(OR(AND(L$5&gt;0,L$5&gt;100),AND(L$5&gt;0,L$5&lt;100)),
VLOOKUP(FLOOR(('Final Term'!L34/L$5)*100,1),new_transmute,4,FALSE),
VLOOKUP('Final Term'!L34,new_transmute,4,FALSE)
),
""
)
)
)
)
)
)
)
)
))</f>
        <v/>
      </c>
      <c r="M34" s="111" t="str">
        <f t="shared" si="2"/>
        <v/>
      </c>
      <c r="N34" s="73" t="str">
        <f>IF($B34="","",
IF(N$5="","",
IF('Final Term'!N34="",0,
IF(NOT(ISNUMBER('Final Term'!N34)),"NAN",
IF('Final Term'!N34&lt;0,"NEG",
IF('Final Term'!N34&gt;N$5,"OVER",
IF(AND(N$5&lt;=100,'Final Term'!N34&gt;100),"ERR",
IF(Info!$B$4="Non-board program",
IF(OR(AND(N$5&gt;0,N$5&gt;100),AND(N$5&gt;0,N$5&lt;100)),
VLOOKUP(FLOOR(('Final Term'!N34/N$5)*100,1),new_transmute,2,FALSE),
VLOOKUP('Final Term'!N34,new_transmute,2,FALSE)
),
IF(Info!$B$4="Board program",
IF(OR(AND(N$5&gt;0,N$5&gt;100),AND(N$5&gt;0,N$5&lt;100)),
VLOOKUP(FLOOR(('Final Term'!N34/N$5)*100,1),new_transmute,3,FALSE),
VLOOKUP('Final Term'!N34,new_transmute,3,FALSE)
),
IF(Info!$B$4="Board program (Medicine)",
IF(OR(AND(N$5&gt;0,N$5&gt;100),AND(N$5&gt;0,N$5&lt;100)),
VLOOKUP(FLOOR(('Final Term'!N34/N$5)*100,1),new_transmute,4,FALSE),
VLOOKUP('Final Term'!N34,new_transmute,4,FALSE)
),
""
)
)
)
)
)
)
)
)
))</f>
        <v/>
      </c>
      <c r="O34" s="73" t="str">
        <f>IF($B34="","",
IF(O$5="","",
IF('Final Term'!O34="",0,
IF(NOT(ISNUMBER('Final Term'!O34)),"NAN",
IF('Final Term'!O34&lt;0,"NEG",
IF('Final Term'!O34&gt;O$5,"OVER",
IF(AND(O$5&lt;=100,'Final Term'!O34&gt;100),"ERR",
IF(Info!$B$4="Non-board program",
IF(OR(AND(O$5&gt;0,O$5&gt;100),AND(O$5&gt;0,O$5&lt;100)),
VLOOKUP(FLOOR(('Final Term'!O34/O$5)*100,1),new_transmute,2,FALSE),
VLOOKUP('Final Term'!O34,new_transmute,2,FALSE)
),
IF(Info!$B$4="Board program",
IF(OR(AND(O$5&gt;0,O$5&gt;100),AND(O$5&gt;0,O$5&lt;100)),
VLOOKUP(FLOOR(('Final Term'!O34/O$5)*100,1),new_transmute,3,FALSE),
VLOOKUP('Final Term'!O34,new_transmute,3,FALSE)
),
IF(Info!$B$4="Board program (Medicine)",
IF(OR(AND(O$5&gt;0,O$5&gt;100),AND(O$5&gt;0,O$5&lt;100)),
VLOOKUP(FLOOR(('Final Term'!O34/O$5)*100,1),new_transmute,4,FALSE),
VLOOKUP('Final Term'!O34,new_transmute,4,FALSE)
),
""
)
)
)
)
)
)
)
)
))</f>
        <v/>
      </c>
      <c r="P34" s="73" t="str">
        <f>IF($B34="","",
IF(P$5="","",
IF('Final Term'!P34="",0,
IF(NOT(ISNUMBER('Final Term'!P34)),"NAN",
IF('Final Term'!P34&lt;0,"NEG",
IF('Final Term'!P34&gt;P$5,"OVER",
IF(AND(P$5&lt;=100,'Final Term'!P34&gt;100),"ERR",
IF(Info!$B$4="Non-board program",
IF(OR(AND(P$5&gt;0,P$5&gt;100),AND(P$5&gt;0,P$5&lt;100)),
VLOOKUP(FLOOR(('Final Term'!P34/P$5)*100,1),new_transmute,2,FALSE),
VLOOKUP('Final Term'!P34,new_transmute,2,FALSE)
),
IF(Info!$B$4="Board program",
IF(OR(AND(P$5&gt;0,P$5&gt;100),AND(P$5&gt;0,P$5&lt;100)),
VLOOKUP(FLOOR(('Final Term'!P34/P$5)*100,1),new_transmute,3,FALSE),
VLOOKUP('Final Term'!P34,new_transmute,3,FALSE)
),
IF(Info!$B$4="Board program (Medicine)",
IF(OR(AND(P$5&gt;0,P$5&gt;100),AND(P$5&gt;0,P$5&lt;100)),
VLOOKUP(FLOOR(('Final Term'!P34/P$5)*100,1),new_transmute,4,FALSE),
VLOOKUP('Final Term'!P34,new_transmute,4,FALSE)
),
""
)
)
)
)
)
)
)
)
))</f>
        <v/>
      </c>
      <c r="Q34" s="73" t="str">
        <f>IF($B34="","",
IF(Q$5="","",
IF('Final Term'!Q34="",0,
IF(NOT(ISNUMBER('Final Term'!Q34)),"NAN",
IF('Final Term'!Q34&lt;0,"NEG",
IF('Final Term'!Q34&gt;Q$5,"OVER",
IF(AND(Q$5&lt;=100,'Final Term'!Q34&gt;100),"ERR",
IF(Info!$B$4="Non-board program",
IF(OR(AND(Q$5&gt;0,Q$5&gt;100),AND(Q$5&gt;0,Q$5&lt;100)),
VLOOKUP(FLOOR(('Final Term'!Q34/Q$5)*100,1),new_transmute,2,FALSE),
VLOOKUP('Final Term'!Q34,new_transmute,2,FALSE)
),
IF(Info!$B$4="Board program",
IF(OR(AND(Q$5&gt;0,Q$5&gt;100),AND(Q$5&gt;0,Q$5&lt;100)),
VLOOKUP(FLOOR(('Final Term'!Q34/Q$5)*100,1),new_transmute,3,FALSE),
VLOOKUP('Final Term'!Q34,new_transmute,3,FALSE)
),
IF(Info!$B$4="Board program (Medicine)",
IF(OR(AND(Q$5&gt;0,Q$5&gt;100),AND(Q$5&gt;0,Q$5&lt;100)),
VLOOKUP(FLOOR(('Final Term'!Q34/Q$5)*100,1),new_transmute,4,FALSE),
VLOOKUP('Final Term'!Q34,new_transmute,4,FALSE)
),
""
)
)
)
)
)
)
)
)
))</f>
        <v/>
      </c>
      <c r="R34" s="73" t="str">
        <f>IF($B34="","",
IF(R$5="","",
IF('Final Term'!R34="",0,
IF(NOT(ISNUMBER('Final Term'!R34)),"NAN",
IF('Final Term'!R34&lt;0,"NEG",
IF('Final Term'!R34&gt;R$5,"OVER",
IF(AND(R$5&lt;=100,'Final Term'!R34&gt;100),"ERR",
IF(Info!$B$4="Non-board program",
IF(OR(AND(R$5&gt;0,R$5&gt;100),AND(R$5&gt;0,R$5&lt;100)),
VLOOKUP(FLOOR(('Final Term'!R34/R$5)*100,1),new_transmute,2,FALSE),
VLOOKUP('Final Term'!R34,new_transmute,2,FALSE)
),
IF(Info!$B$4="Board program",
IF(OR(AND(R$5&gt;0,R$5&gt;100),AND(R$5&gt;0,R$5&lt;100)),
VLOOKUP(FLOOR(('Final Term'!R34/R$5)*100,1),new_transmute,3,FALSE),
VLOOKUP('Final Term'!R34,new_transmute,3,FALSE)
),
IF(Info!$B$4="Board program (Medicine)",
IF(OR(AND(R$5&gt;0,R$5&gt;100),AND(R$5&gt;0,R$5&lt;100)),
VLOOKUP(FLOOR(('Final Term'!R34/R$5)*100,1),new_transmute,4,FALSE),
VLOOKUP('Final Term'!R34,new_transmute,4,FALSE)
),
""
)
)
)
)
)
)
)
)
))</f>
        <v/>
      </c>
      <c r="S34" s="115" t="str">
        <f t="shared" si="3"/>
        <v/>
      </c>
      <c r="T34" s="73" t="str">
        <f>IF($B34="","",
IF(T$5="","",
IF('Final Term'!T34="",0,
IF(NOT(ISNUMBER('Final Term'!T34)),"NAN",
IF('Final Term'!T34&lt;0,"NEG",
IF('Final Term'!T34&gt;T$5,"OVER",
IF(AND(T$5&lt;=100,'Final Term'!T34&gt;100),"ERR",
IF(Info!$B$4="Non-board program",
IF(OR(AND(T$5&gt;0,T$5&gt;100),AND(T$5&gt;0,T$5&lt;100)),
VLOOKUP(FLOOR(('Final Term'!T34/T$5)*100,1),new_transmute,2,FALSE),
VLOOKUP('Final Term'!T34,new_transmute,2,FALSE)
),
IF(Info!$B$4="Board program",
IF(OR(AND(T$5&gt;0,T$5&gt;100),AND(T$5&gt;0,T$5&lt;100)),
VLOOKUP(FLOOR(('Final Term'!T34/T$5)*100,1),new_transmute,3,FALSE),
VLOOKUP('Final Term'!T34,new_transmute,3,FALSE)
),
IF(Info!$B$4="Board program (Medicine)",
IF(OR(AND(T$5&gt;0,T$5&gt;100),AND(T$5&gt;0,T$5&lt;100)),
VLOOKUP(FLOOR(('Final Term'!T34/T$5)*100,1),new_transmute,4,FALSE),
VLOOKUP('Final Term'!T34,new_transmute,4,FALSE)
),
""
)
)
)
)
)
)
)
)
))</f>
        <v/>
      </c>
      <c r="U34" s="73" t="str">
        <f>IF($B34="","",
IF(U$5="","",
IF('Final Term'!U34="",0,
IF(NOT(ISNUMBER('Final Term'!U34)),"NAN",
IF('Final Term'!U34&lt;0,"NEG",
IF('Final Term'!U34&gt;U$5,"OVER",
IF(AND(U$5&lt;=100,'Final Term'!U34&gt;100),"ERR",
IF(Info!$B$4="Non-board program",
IF(OR(AND(U$5&gt;0,U$5&gt;100),AND(U$5&gt;0,U$5&lt;100)),
VLOOKUP(FLOOR(('Final Term'!U34/U$5)*100,1),new_transmute,2,FALSE),
VLOOKUP('Final Term'!U34,new_transmute,2,FALSE)
),
IF(Info!$B$4="Board program",
IF(OR(AND(U$5&gt;0,U$5&gt;100),AND(U$5&gt;0,U$5&lt;100)),
VLOOKUP(FLOOR(('Final Term'!U34/U$5)*100,1),new_transmute,3,FALSE),
VLOOKUP('Final Term'!U34,new_transmute,3,FALSE)
),
IF(Info!$B$4="Board program (Medicine)",
IF(OR(AND(U$5&gt;0,U$5&gt;100),AND(U$5&gt;0,U$5&lt;100)),
VLOOKUP(FLOOR(('Final Term'!U34/U$5)*100,1),new_transmute,4,FALSE),
VLOOKUP('Final Term'!U34,new_transmute,4,FALSE)
),
""
)
)
)
)
)
)
)
)
))</f>
        <v/>
      </c>
      <c r="V34" s="73" t="str">
        <f>IF($B34="","",
IF(V$5="","",
IF('Final Term'!V34="",0,
IF(NOT(ISNUMBER('Final Term'!V34)),"NAN",
IF('Final Term'!V34&lt;0,"NEG",
IF('Final Term'!V34&gt;V$5,"OVER",
IF(AND(V$5&lt;=100,'Final Term'!V34&gt;100),"ERR",
IF(Info!$B$4="Non-board program",
IF(OR(AND(V$5&gt;0,V$5&gt;100),AND(V$5&gt;0,V$5&lt;100)),
VLOOKUP(FLOOR(('Final Term'!V34/V$5)*100,1),new_transmute,2,FALSE),
VLOOKUP('Final Term'!V34,new_transmute,2,FALSE)
),
IF(Info!$B$4="Board program",
IF(OR(AND(V$5&gt;0,V$5&gt;100),AND(V$5&gt;0,V$5&lt;100)),
VLOOKUP(FLOOR(('Final Term'!V34/V$5)*100,1),new_transmute,3,FALSE),
VLOOKUP('Final Term'!V34,new_transmute,3,FALSE)
),
IF(Info!$B$4="Board program (Medicine)",
IF(OR(AND(V$5&gt;0,V$5&gt;100),AND(V$5&gt;0,V$5&lt;100)),
VLOOKUP(FLOOR(('Final Term'!V34/V$5)*100,1),new_transmute,4,FALSE),
VLOOKUP('Final Term'!V34,new_transmute,4,FALSE)
),
""
)
)
)
)
)
)
)
)
))</f>
        <v/>
      </c>
      <c r="W34" s="73" t="str">
        <f>IF($B34="","",
IF(W$5="","",
IF('Final Term'!W34="",0,
IF(NOT(ISNUMBER('Final Term'!W34)),"NAN",
IF('Final Term'!W34&lt;0,"NEG",
IF('Final Term'!W34&gt;W$5,"OVER",
IF(AND(W$5&lt;=100,'Final Term'!W34&gt;100),"ERR",
IF(Info!$B$4="Non-board program",
IF(OR(AND(W$5&gt;0,W$5&gt;100),AND(W$5&gt;0,W$5&lt;100)),
VLOOKUP(FLOOR(('Final Term'!W34/W$5)*100,1),new_transmute,2,FALSE),
VLOOKUP('Final Term'!W34,new_transmute,2,FALSE)
),
IF(Info!$B$4="Board program",
IF(OR(AND(W$5&gt;0,W$5&gt;100),AND(W$5&gt;0,W$5&lt;100)),
VLOOKUP(FLOOR(('Final Term'!W34/W$5)*100,1),new_transmute,3,FALSE),
VLOOKUP('Final Term'!W34,new_transmute,3,FALSE)
),
IF(Info!$B$4="Board program (Medicine)",
IF(OR(AND(W$5&gt;0,W$5&gt;100),AND(W$5&gt;0,W$5&lt;100)),
VLOOKUP(FLOOR(('Final Term'!W34/W$5)*100,1),new_transmute,4,FALSE),
VLOOKUP('Final Term'!W34,new_transmute,4,FALSE)
),
""
)
)
)
)
)
)
)
)
))</f>
        <v/>
      </c>
      <c r="X34" s="73" t="str">
        <f>IF($B34="","",
IF(X$5="","",
IF('Final Term'!X34="",0,
IF(NOT(ISNUMBER('Final Term'!X34)),"NAN",
IF('Final Term'!X34&lt;0,"NEG",
IF('Final Term'!X34&gt;X$5,"OVER",
IF(AND(X$5&lt;=100,'Final Term'!X34&gt;100),"ERR",
IF(Info!$B$4="Non-board program",
IF(OR(AND(X$5&gt;0,X$5&gt;100),AND(X$5&gt;0,X$5&lt;100)),
VLOOKUP(FLOOR(('Final Term'!X34/X$5)*100,1),new_transmute,2,FALSE),
VLOOKUP('Final Term'!X34,new_transmute,2,FALSE)
),
IF(Info!$B$4="Board program",
IF(OR(AND(X$5&gt;0,X$5&gt;100),AND(X$5&gt;0,X$5&lt;100)),
VLOOKUP(FLOOR(('Final Term'!X34/X$5)*100,1),new_transmute,3,FALSE),
VLOOKUP('Final Term'!X34,new_transmute,3,FALSE)
),
IF(Info!$B$4="Board program (Medicine)",
IF(OR(AND(X$5&gt;0,X$5&gt;100),AND(X$5&gt;0,X$5&lt;100)),
VLOOKUP(FLOOR(('Final Term'!X34/X$5)*100,1),new_transmute,4,FALSE),
VLOOKUP('Final Term'!X34,new_transmute,4,FALSE)
),
""
)
)
)
)
)
)
)
)
))</f>
        <v/>
      </c>
      <c r="Y34" s="112" t="str">
        <f t="shared" si="4"/>
        <v/>
      </c>
      <c r="Z34" s="73" t="str">
        <f>IF($B34="","",
IF(Z$5="","",
IF('Final Term'!Z34="",0,
IF(NOT(ISNUMBER('Final Term'!Z34)),"NAN",
IF('Final Term'!Z34&lt;0,"NEG",
IF('Final Term'!Z34&gt;Z$5,"OVER",
IF(AND(Z$5&lt;=100,'Final Term'!Z34&gt;100),"ERR",
IF(Info!$B$4="Non-board program",
IF(OR(AND(Z$5&gt;0,Z$5&gt;100),AND(Z$5&gt;0,Z$5&lt;100)),
VLOOKUP(FLOOR(('Final Term'!Z34/Z$5)*100,1),new_transmute,2,FALSE),
VLOOKUP('Final Term'!Z34,new_transmute,2,FALSE)
),
IF(Info!$B$4="Board program",
IF(OR(AND(Z$5&gt;0,Z$5&gt;100),AND(Z$5&gt;0,Z$5&lt;100)),
VLOOKUP(FLOOR(('Final Term'!Z34/Z$5)*100,1),new_transmute,3,FALSE),
VLOOKUP('Final Term'!Z34,new_transmute,3,FALSE)
),
IF(Info!$B$4="Board program (Medicine)",
IF(OR(AND(Z$5&gt;0,Z$5&gt;100),AND(Z$5&gt;0,Z$5&lt;100)),
VLOOKUP(FLOOR(('Final Term'!Z34/Z$5)*100,1),new_transmute,4,FALSE),
VLOOKUP('Final Term'!Z34,new_transmute,4,FALSE)
),
""
)
)
)
)
)
)
)
)
))</f>
        <v/>
      </c>
      <c r="AA34" s="73" t="str">
        <f>IF($B34="","",
IF(AA$5="","",
IF('Final Term'!AA34="",0,
IF(NOT(ISNUMBER('Final Term'!AA34)),"NAN",
IF('Final Term'!AA34&lt;0,"NEG",
IF('Final Term'!AA34&gt;AA$5,"OVER",
IF(AND(AA$5&lt;=100,'Final Term'!AA34&gt;100),"ERR",
IF(Info!$B$4="Non-board program",
IF(OR(AND(AA$5&gt;0,AA$5&gt;100),AND(AA$5&gt;0,AA$5&lt;100)),
VLOOKUP(FLOOR(('Final Term'!AA34/AA$5)*100,1),new_transmute,2,FALSE),
VLOOKUP('Final Term'!AA34,new_transmute,2,FALSE)
),
IF(Info!$B$4="Board program",
IF(OR(AND(AA$5&gt;0,AA$5&gt;100),AND(AA$5&gt;0,AA$5&lt;100)),
VLOOKUP(FLOOR(('Final Term'!AA34/AA$5)*100,1),new_transmute,3,FALSE),
VLOOKUP('Final Term'!AA34,new_transmute,3,FALSE)
),
IF(Info!$B$4="Board program (Medicine)",
IF(OR(AND(AA$5&gt;0,AA$5&gt;100),AND(AA$5&gt;0,AA$5&lt;100)),
VLOOKUP(FLOOR(('Final Term'!AA34/AA$5)*100,1),new_transmute,4,FALSE),
VLOOKUP('Final Term'!AA34,new_transmute,4,FALSE)
),
""
)
)
)
)
)
)
)
)
))</f>
        <v/>
      </c>
      <c r="AB34" s="73" t="str">
        <f>IF($B34="","",
IF(AB$5="","",
IF('Final Term'!AB34="",0,
IF(NOT(ISNUMBER('Final Term'!AB34)),"NAN",
IF('Final Term'!AB34&lt;0,"NEG",
IF('Final Term'!AB34&gt;AB$5,"OVER",
IF(AND(AB$5&lt;=100,'Final Term'!AB34&gt;100),"ERR",
IF(Info!$B$4="Non-board program",
IF(OR(AND(AB$5&gt;0,AB$5&gt;100),AND(AB$5&gt;0,AB$5&lt;100)),
VLOOKUP(FLOOR(('Final Term'!AB34/AB$5)*100,1),new_transmute,2,FALSE),
VLOOKUP('Final Term'!AB34,new_transmute,2,FALSE)
),
IF(Info!$B$4="Board program",
IF(OR(AND(AB$5&gt;0,AB$5&gt;100),AND(AB$5&gt;0,AB$5&lt;100)),
VLOOKUP(FLOOR(('Final Term'!AB34/AB$5)*100,1),new_transmute,3,FALSE),
VLOOKUP('Final Term'!AB34,new_transmute,3,FALSE)
),
IF(Info!$B$4="Board program (Medicine)",
IF(OR(AND(AB$5&gt;0,AB$5&gt;100),AND(AB$5&gt;0,AB$5&lt;100)),
VLOOKUP(FLOOR(('Final Term'!AB34/AB$5)*100,1),new_transmute,4,FALSE),
VLOOKUP('Final Term'!AB34,new_transmute,4,FALSE)
),
""
)
)
)
)
)
)
)
)
))</f>
        <v/>
      </c>
      <c r="AC34" s="73" t="str">
        <f>IF($B34="","",
IF(AC$5="","",
IF('Final Term'!AC34="",0,
IF(NOT(ISNUMBER('Final Term'!AC34)),"NAN",
IF('Final Term'!AC34&lt;0,"NEG",
IF('Final Term'!AC34&gt;AC$5,"OVER",
IF(AND(AC$5&lt;=100,'Final Term'!AC34&gt;100),"ERR",
IF(Info!$B$4="Non-board program",
IF(OR(AND(AC$5&gt;0,AC$5&gt;100),AND(AC$5&gt;0,AC$5&lt;100)),
VLOOKUP(FLOOR(('Final Term'!AC34/AC$5)*100,1),new_transmute,2,FALSE),
VLOOKUP('Final Term'!AC34,new_transmute,2,FALSE)
),
IF(Info!$B$4="Board program",
IF(OR(AND(AC$5&gt;0,AC$5&gt;100),AND(AC$5&gt;0,AC$5&lt;100)),
VLOOKUP(FLOOR(('Final Term'!AC34/AC$5)*100,1),new_transmute,3,FALSE),
VLOOKUP('Final Term'!AC34,new_transmute,3,FALSE)
),
IF(Info!$B$4="Board program (Medicine)",
IF(OR(AND(AC$5&gt;0,AC$5&gt;100),AND(AC$5&gt;0,AC$5&lt;100)),
VLOOKUP(FLOOR(('Final Term'!AC34/AC$5)*100,1),new_transmute,4,FALSE),
VLOOKUP('Final Term'!AC34,new_transmute,4,FALSE)
),
""
)
)
)
)
)
)
)
)
))</f>
        <v/>
      </c>
      <c r="AD34" s="73" t="str">
        <f>IF($B34="","",
IF(AD$5="","",
IF('Final Term'!AD34="",0,
IF(NOT(ISNUMBER('Final Term'!AD34)),"NAN",
IF('Final Term'!AD34&lt;0,"NEG",
IF('Final Term'!AD34&gt;AD$5,"OVER",
IF(AND(AD$5&lt;=100,'Final Term'!AD34&gt;100),"ERR",
IF(Info!$B$4="Non-board program",
IF(OR(AND(AD$5&gt;0,AD$5&gt;100),AND(AD$5&gt;0,AD$5&lt;100)),
VLOOKUP(FLOOR(('Final Term'!AD34/AD$5)*100,1),new_transmute,2,FALSE),
VLOOKUP('Final Term'!AD34,new_transmute,2,FALSE)
),
IF(Info!$B$4="Board program",
IF(OR(AND(AD$5&gt;0,AD$5&gt;100),AND(AD$5&gt;0,AD$5&lt;100)),
VLOOKUP(FLOOR(('Final Term'!AD34/AD$5)*100,1),new_transmute,3,FALSE),
VLOOKUP('Final Term'!AD34,new_transmute,3,FALSE)
),
IF(Info!$B$4="Board program (Medicine)",
IF(OR(AND(AD$5&gt;0,AD$5&gt;100),AND(AD$5&gt;0,AD$5&lt;100)),
VLOOKUP(FLOOR(('Final Term'!AD34/AD$5)*100,1),new_transmute,4,FALSE),
VLOOKUP('Final Term'!AD34,new_transmute,4,FALSE)
),
""
)
)
)
)
)
)
)
)
))</f>
        <v/>
      </c>
      <c r="AE34" s="58" t="str">
        <f t="shared" si="5"/>
        <v/>
      </c>
      <c r="AF34" s="73" t="str">
        <f>IF($B34="","",
IF(AF$5="","",
IF('Final Term'!AF34="",0,
IF(NOT(ISNUMBER('Final Term'!AF34)),"NAN",
IF('Final Term'!AF34&lt;0,"NEG",
IF('Final Term'!AF34&gt;AF$5,"OVER",
IF(AND(AF$5&lt;=100,'Final Term'!AF34&gt;100),"ERR",
IF(Info!$B$4="Non-board program",
IF(OR(AND(AF$5&gt;0,AF$5&gt;100),AND(AF$5&gt;0,AF$5&lt;100)),
VLOOKUP(FLOOR(('Final Term'!AF34/AF$5)*100,1),new_transmute,2,FALSE),
VLOOKUP('Final Term'!AF34,new_transmute,2,FALSE)
),
IF(Info!$B$4="Board program",
IF(OR(AND(AF$5&gt;0,AF$5&gt;100),AND(AF$5&gt;0,AF$5&lt;100)),
VLOOKUP(FLOOR(('Final Term'!AF34/AF$5)*100,1),new_transmute,3,FALSE),
VLOOKUP('Final Term'!AF34,new_transmute,3,FALSE)
),
IF(Info!$B$4="Board program (Medicine)",
IF(OR(AND(AF$5&gt;0,AF$5&gt;100),AND(AF$5&gt;0,AF$5&lt;100)),
VLOOKUP(FLOOR(('Final Term'!AF34/AF$5)*100,1),new_transmute,4,FALSE),
VLOOKUP('Final Term'!AF34,new_transmute,4,FALSE)
),
""
)
)
)
)
)
)
)
)
))</f>
        <v/>
      </c>
      <c r="AG34" s="73" t="str">
        <f>IF($B34="","",
IF(AG$5="","",
IF('Final Term'!AG34="",0,
IF(NOT(ISNUMBER('Final Term'!AG34)),"NAN",
IF('Final Term'!AG34&lt;0,"NEG",
IF('Final Term'!AG34&gt;AG$5,"OVER",
IF(AND(AG$5&lt;=100,'Final Term'!AG34&gt;100),"ERR",
IF(Info!$B$4="Non-board program",
IF(OR(AND(AG$5&gt;0,AG$5&gt;100),AND(AG$5&gt;0,AG$5&lt;100)),
VLOOKUP(FLOOR(('Final Term'!AG34/AG$5)*100,1),new_transmute,2,FALSE),
VLOOKUP('Final Term'!AG34,new_transmute,2,FALSE)
),
IF(Info!$B$4="Board program",
IF(OR(AND(AG$5&gt;0,AG$5&gt;100),AND(AG$5&gt;0,AG$5&lt;100)),
VLOOKUP(FLOOR(('Final Term'!AG34/AG$5)*100,1),new_transmute,3,FALSE),
VLOOKUP('Final Term'!AG34,new_transmute,3,FALSE)
),
IF(Info!$B$4="Board program (Medicine)",
IF(OR(AND(AG$5&gt;0,AG$5&gt;100),AND(AG$5&gt;0,AG$5&lt;100)),
VLOOKUP(FLOOR(('Final Term'!AG34/AG$5)*100,1),new_transmute,4,FALSE),
VLOOKUP('Final Term'!AG34,new_transmute,4,FALSE)
),
""
)
)
)
)
)
)
)
)
))</f>
        <v/>
      </c>
      <c r="AH34" s="73" t="str">
        <f>IF($B34="","",
IF(AH$5="","",
IF('Final Term'!AH34="",0,
IF(NOT(ISNUMBER('Final Term'!AH34)),"NAN",
IF('Final Term'!AH34&lt;0,"NEG",
IF('Final Term'!AH34&gt;AH$5,"OVER",
IF(AND(AH$5&lt;=100,'Final Term'!AH34&gt;100),"ERR",
IF(Info!$B$4="Non-board program",
IF(OR(AND(AH$5&gt;0,AH$5&gt;100),AND(AH$5&gt;0,AH$5&lt;100)),
VLOOKUP(FLOOR(('Final Term'!AH34/AH$5)*100,1),new_transmute,2,FALSE),
VLOOKUP('Final Term'!AH34,new_transmute,2,FALSE)
),
IF(Info!$B$4="Board program",
IF(OR(AND(AH$5&gt;0,AH$5&gt;100),AND(AH$5&gt;0,AH$5&lt;100)),
VLOOKUP(FLOOR(('Final Term'!AH34/AH$5)*100,1),new_transmute,3,FALSE),
VLOOKUP('Final Term'!AH34,new_transmute,3,FALSE)
),
IF(Info!$B$4="Board program (Medicine)",
IF(OR(AND(AH$5&gt;0,AH$5&gt;100),AND(AH$5&gt;0,AH$5&lt;100)),
VLOOKUP(FLOOR(('Final Term'!AH34/AH$5)*100,1),new_transmute,4,FALSE),
VLOOKUP('Final Term'!AH34,new_transmute,4,FALSE)
),
""
)
)
)
)
)
)
)
)
))</f>
        <v/>
      </c>
      <c r="AI34" s="73" t="str">
        <f>IF($B34="","",
IF(AI$5="","",
IF('Final Term'!AI34="",0,
IF(NOT(ISNUMBER('Final Term'!AI34)),"NAN",
IF('Final Term'!AI34&lt;0,"NEG",
IF('Final Term'!AI34&gt;AI$5,"OVER",
IF(AND(AI$5&lt;=100,'Final Term'!AI34&gt;100),"ERR",
IF(Info!$B$4="Non-board program",
IF(OR(AND(AI$5&gt;0,AI$5&gt;100),AND(AI$5&gt;0,AI$5&lt;100)),
VLOOKUP(FLOOR(('Final Term'!AI34/AI$5)*100,1),new_transmute,2,FALSE),
VLOOKUP('Final Term'!AI34,new_transmute,2,FALSE)
),
IF(Info!$B$4="Board program",
IF(OR(AND(AI$5&gt;0,AI$5&gt;100),AND(AI$5&gt;0,AI$5&lt;100)),
VLOOKUP(FLOOR(('Final Term'!AI34/AI$5)*100,1),new_transmute,3,FALSE),
VLOOKUP('Final Term'!AI34,new_transmute,3,FALSE)
),
IF(Info!$B$4="Board program (Medicine)",
IF(OR(AND(AI$5&gt;0,AI$5&gt;100),AND(AI$5&gt;0,AI$5&lt;100)),
VLOOKUP(FLOOR(('Final Term'!AI34/AI$5)*100,1),new_transmute,4,FALSE),
VLOOKUP('Final Term'!AI34,new_transmute,4,FALSE)
),
""
)
)
)
)
)
)
)
)
))</f>
        <v/>
      </c>
      <c r="AJ34" s="73" t="str">
        <f>IF($B34="","",
IF(AJ$5="","",
IF('Final Term'!AJ34="",0,
IF(NOT(ISNUMBER('Final Term'!AJ34)),"NAN",
IF('Final Term'!AJ34&lt;0,"NEG",
IF('Final Term'!AJ34&gt;AJ$5,"OVER",
IF(AND(AJ$5&lt;=100,'Final Term'!AJ34&gt;100),"ERR",
IF(Info!$B$4="Non-board program",
IF(OR(AND(AJ$5&gt;0,AJ$5&gt;100),AND(AJ$5&gt;0,AJ$5&lt;100)),
VLOOKUP(FLOOR(('Final Term'!AJ34/AJ$5)*100,1),new_transmute,2,FALSE),
VLOOKUP('Final Term'!AJ34,new_transmute,2,FALSE)
),
IF(Info!$B$4="Board program",
IF(OR(AND(AJ$5&gt;0,AJ$5&gt;100),AND(AJ$5&gt;0,AJ$5&lt;100)),
VLOOKUP(FLOOR(('Final Term'!AJ34/AJ$5)*100,1),new_transmute,3,FALSE),
VLOOKUP('Final Term'!AJ34,new_transmute,3,FALSE)
),
IF(Info!$B$4="Board program (Medicine)",
IF(OR(AND(AJ$5&gt;0,AJ$5&gt;100),AND(AJ$5&gt;0,AJ$5&lt;100)),
VLOOKUP(FLOOR(('Final Term'!AJ34/AJ$5)*100,1),new_transmute,4,FALSE),
VLOOKUP('Final Term'!AJ34,new_transmute,4,FALSE)
),
""
)
)
)
)
)
)
)
)
))</f>
        <v/>
      </c>
      <c r="AK34" s="59" t="str">
        <f t="shared" si="6"/>
        <v/>
      </c>
      <c r="AL34" s="60" t="str">
        <f>IF(B34="", "",
    IF(OR(M34="OVER", S34="OVER", Y34="OVER", AE34="OVER", AK34="OVER"),
        "OVER",
        IF(Info!$B$4="Non-board program",
            VLOOKUP(IFERROR(FLOOR(SUM((M34*$M$4), (S34*$S$4), (Y34*$Y$4), (AE34*$AE$4), (AK34*$AK$4)) * (100 / 60), 1), 0), new_transmute, 2, FALSE),
            IF(Info!$B$4="Board program",
                VLOOKUP(IFERROR(FLOOR(SUM((M34*$M$4), (S34*$S$4), (Y34*$Y$4), (AE34*$AE$4), (AK34*$AK$4)) * (100 / 60), 1), 0), new_transmute, 3, FALSE),
                IF(Info!$B$4="Board program (Medicine)",
                    VLOOKUP(IFERROR(FLOOR(SUM((M34*$M$4), (S34*$S$4), (Y34*$Y$4), (AE34*$AE$4), (AK34*$AK$4)) * (100 / 60), 1), 0), new_transmute, 4, FALSE),
                    ""
                )
            )
        )
    )
)</f>
        <v/>
      </c>
      <c r="AM34" s="73" t="str">
        <f>IF($B34="","",
IF(AM$5="","",
IF('Final Term'!AM34="",0,
IF(NOT(ISNUMBER('Final Term'!AM34)),"NAN",
IF('Final Term'!AM34&lt;0,"NEG",
IF('Final Term'!AM34&gt;AM$5,"OVER",
IF(AND(AM$5&lt;=100,'Final Term'!AM34&gt;100),"ERR",
IF(Info!$B$4="Non-board program",
IF(OR(AND(AM$5&gt;0,AM$5&gt;100),AND(AM$5&gt;0,AM$5&lt;100)),
VLOOKUP(FLOOR(('Final Term'!AM34/AM$5)*100,1),new_transmute,2,FALSE),
VLOOKUP('Final Term'!AM34,new_transmute,2,FALSE)
),
IF(Info!$B$4="Board program",
IF(OR(AND(AM$5&gt;0,AM$5&gt;100),AND(AM$5&gt;0,AM$5&lt;100)),
VLOOKUP(FLOOR(('Final Term'!AM34/AM$5)*100,1),new_transmute,3,FALSE),
VLOOKUP('Final Term'!AM34,new_transmute,3,FALSE)
),
IF(Info!$B$4="Board program (Medicine)",
IF(OR(AND(AM$5&gt;0,AM$5&gt;100),AND(AM$5&gt;0,AM$5&lt;100)),
VLOOKUP(FLOOR(('Final Term'!AM34/AM$5)*100,1),new_transmute,4,FALSE),
VLOOKUP('Final Term'!AM34,new_transmute,4,FALSE)
),
""
)
)
)
)
)
)
)
)
))</f>
        <v/>
      </c>
      <c r="AN34" s="73" t="str">
        <f>IF($B34="","",
IF(AN$5="","",
IF('Final Term'!AN34="",0,
IF(NOT(ISNUMBER('Final Term'!AN34)),"NAN",
IF('Final Term'!AN34&lt;0,"NEG",
IF('Final Term'!AN34&gt;AN$5,"OVER",
IF(AND(AN$5&lt;=100,'Final Term'!AN34&gt;100),"ERR",
IF(Info!$B$4="Non-board program",
IF(OR(AND(AN$5&gt;0,AN$5&gt;100),AND(AN$5&gt;0,AN$5&lt;100)),
VLOOKUP(FLOOR(('Final Term'!AN34/AN$5)*100,1),new_transmute,2,FALSE),
VLOOKUP('Final Term'!AN34,new_transmute,2,FALSE)
),
IF(Info!$B$4="Board program",
IF(OR(AND(AN$5&gt;0,AN$5&gt;100),AND(AN$5&gt;0,AN$5&lt;100)),
VLOOKUP(FLOOR(('Final Term'!AN34/AN$5)*100,1),new_transmute,3,FALSE),
VLOOKUP('Final Term'!AN34,new_transmute,3,FALSE)
),
IF(Info!$B$4="Board program (Medicine)",
IF(OR(AND(AN$5&gt;0,AN$5&gt;100),AND(AN$5&gt;0,AN$5&lt;100)),
VLOOKUP(FLOOR(('Final Term'!AN34/AN$5)*100,1),new_transmute,4,FALSE),
VLOOKUP('Final Term'!AN34,new_transmute,4,FALSE)
),
""
)
)
)
)
)
)
)
)
))</f>
        <v/>
      </c>
      <c r="AO34" s="73" t="str">
        <f>IF($B34="","",
IF(AO$5="","",
IF('Final Term'!AO34="",0,
IF(NOT(ISNUMBER('Final Term'!AO34)),"NAN",
IF('Final Term'!AO34&lt;0,"NEG",
IF('Final Term'!AO34&gt;AO$5,"OVER",
IF(AND(AO$5&lt;=100,'Final Term'!AO34&gt;100),"ERR",
IF(Info!$B$4="Non-board program",
IF(OR(AND(AO$5&gt;0,AO$5&gt;100),AND(AO$5&gt;0,AO$5&lt;100)),
VLOOKUP(FLOOR(('Final Term'!AO34/AO$5)*100,1),new_transmute,2,FALSE),
VLOOKUP('Final Term'!AO34,new_transmute,2,FALSE)
),
IF(Info!$B$4="Board program",
IF(OR(AND(AO$5&gt;0,AO$5&gt;100),AND(AO$5&gt;0,AO$5&lt;100)),
VLOOKUP(FLOOR(('Final Term'!AO34/AO$5)*100,1),new_transmute,3,FALSE),
VLOOKUP('Final Term'!AO34,new_transmute,3,FALSE)
),
IF(Info!$B$4="Board program (Medicine)",
IF(OR(AND(AO$5&gt;0,AO$5&gt;100),AND(AO$5&gt;0,AO$5&lt;100)),
VLOOKUP(FLOOR(('Final Term'!AO34/AO$5)*100,1),new_transmute,4,FALSE),
VLOOKUP('Final Term'!AO34,new_transmute,4,FALSE)
),
""
)
)
)
)
)
)
)
)
))</f>
        <v/>
      </c>
      <c r="AP34" s="73" t="str">
        <f>IF($B34="","",
IF(AP$5="","",
IF('Final Term'!AP34="",0,
IF(NOT(ISNUMBER('Final Term'!AP34)),"NAN",
IF('Final Term'!AP34&lt;0,"NEG",
IF('Final Term'!AP34&gt;AP$5,"OVER",
IF(AND(AP$5&lt;=100,'Final Term'!AP34&gt;100),"ERR",
IF(Info!$B$4="Non-board program",
IF(OR(AND(AP$5&gt;0,AP$5&gt;100),AND(AP$5&gt;0,AP$5&lt;100)),
VLOOKUP(FLOOR(('Final Term'!AP34/AP$5)*100,1),new_transmute,2,FALSE),
VLOOKUP('Final Term'!AP34,new_transmute,2,FALSE)
),
IF(Info!$B$4="Board program",
IF(OR(AND(AP$5&gt;0,AP$5&gt;100),AND(AP$5&gt;0,AP$5&lt;100)),
VLOOKUP(FLOOR(('Final Term'!AP34/AP$5)*100,1),new_transmute,3,FALSE),
VLOOKUP('Final Term'!AP34,new_transmute,3,FALSE)
),
IF(Info!$B$4="Board program (Medicine)",
IF(OR(AND(AP$5&gt;0,AP$5&gt;100),AND(AP$5&gt;0,AP$5&lt;100)),
VLOOKUP(FLOOR(('Final Term'!AP34/AP$5)*100,1),new_transmute,4,FALSE),
VLOOKUP('Final Term'!AP34,new_transmute,4,FALSE)
),
""
)
)
)
)
)
)
)
)
))</f>
        <v/>
      </c>
      <c r="AQ34" s="61" t="str">
        <f t="shared" si="7"/>
        <v/>
      </c>
      <c r="AR34" s="48" t="str">
        <f>IF('Final Term'!AR34="","",'Final Term'!AR34)</f>
        <v/>
      </c>
      <c r="AS34" s="165" t="str">
        <f t="shared" si="8"/>
        <v/>
      </c>
      <c r="AT34" s="14" t="str">
        <f t="shared" si="0"/>
        <v/>
      </c>
      <c r="AU34" s="13" t="str">
        <f>IF(B34="","",VLOOKUP(AT34,'New Grade Equivalent'!$B$3:$C$47,2,FALSE))</f>
        <v/>
      </c>
    </row>
    <row r="35" spans="1:47" x14ac:dyDescent="0.25">
      <c r="A35" s="8">
        <v>30</v>
      </c>
      <c r="B35" s="2" t="str">
        <f>IF('Student List'!C39="","",UPPER(LEFT('Student List'!C39,FIND(",",'Student List'!C39)-1)))</f>
        <v/>
      </c>
      <c r="C35" s="12" t="str">
        <f>IF('Student List'!C39="","",PROPER(MID('Student List'!C39, FIND(",", 'Student List'!C39) + 2, LEN('Student List'!C39) - FIND(",", 'Student List'!C39) - 1)))</f>
        <v/>
      </c>
      <c r="D35" s="127" t="str">
        <f>IF('Final Term'!D35="","",'Final Term'!D35)</f>
        <v/>
      </c>
      <c r="E35" s="8" t="str">
        <f>IF(MidCom!E35="FA", "FA",
    IF(MidCom!E35="DRP", "DRP",
        IF(MidCom!E35="WF", "WF",
            IF(D35="Yes", "INC",
               IF((SUM('MT Attendance'!AW33) / 3 + SUM('MT Attendance'!AY33) + SUM('FT Attendance'!AW33) / 3 + SUM('FT Attendance'!AY33)) &gt;= 0.2 * (SUMPRODUCT(--(ISTEXT('MT Attendance'!$C$2:$AU$2))) + SUMPRODUCT(--(ISTEXT('FT Attendance'!$C$2:$AU$2)))), "FA",
                   MidCom!E35
                )
            )
        )
    )
)</f>
        <v/>
      </c>
      <c r="F35" s="73" t="str">
        <f>IF($B35="","",
IF(F$5="","",
IF('Final Term'!F35="",0,
IF(NOT(ISNUMBER('Final Term'!F35)),"NAN",
IF('Final Term'!F35&lt;0,"NEG",
IF('Final Term'!F35&gt;F$5,"OVER",
IF(AND(F$5&lt;=100,'Final Term'!F35&gt;100),"ERR",
IF(Info!$B$4="Non-board program",
IF(OR(AND(F$5&gt;0,F$5&gt;100),AND(F$5&gt;0,F$5&lt;100)),
VLOOKUP(FLOOR(('Final Term'!F35/F$5)*100,1),new_transmute,2,FALSE),
VLOOKUP('Final Term'!F35,new_transmute,2,FALSE)
),
IF(Info!$B$4="Board program",
IF(OR(AND(F$5&gt;0,F$5&gt;100),AND(F$5&gt;0,F$5&lt;100)),
VLOOKUP(FLOOR(('Final Term'!F35/F$5)*100,1),new_transmute,3,FALSE),
VLOOKUP('Final Term'!F35,new_transmute,3,FALSE)
),
IF(Info!$B$4="Board program (Medicine)",
IF(OR(AND(F$5&gt;0,F$5&gt;100),AND(F$5&gt;0,F$5&lt;100)),
VLOOKUP(FLOOR(('Final Term'!F35/F$5)*100,1),new_transmute,4,FALSE),
VLOOKUP('Final Term'!F35,new_transmute,4,FALSE)
),
""
)
)
)
)
)
)
)
)
))</f>
        <v/>
      </c>
      <c r="G35" s="57" t="str">
        <f t="shared" si="1"/>
        <v/>
      </c>
      <c r="H35" s="73" t="str">
        <f>IF($B35="","",
IF(H$5="","",
IF('Final Term'!H35="",0,
IF(NOT(ISNUMBER('Final Term'!H35)),"NAN",
IF('Final Term'!H35&lt;0,"NEG",
IF('Final Term'!H35&gt;H$5,"OVER",
IF(AND(H$5&lt;=100,'Final Term'!H35&gt;100),"ERR",
IF(Info!$B$4="Non-board program",
IF(OR(AND(H$5&gt;0,H$5&gt;100),AND(H$5&gt;0,H$5&lt;100)),
VLOOKUP(FLOOR(('Final Term'!H35/H$5)*100,1),new_transmute,2,FALSE),
VLOOKUP('Final Term'!H35,new_transmute,2,FALSE)
),
IF(Info!$B$4="Board program",
IF(OR(AND(H$5&gt;0,H$5&gt;100),AND(H$5&gt;0,H$5&lt;100)),
VLOOKUP(FLOOR(('Final Term'!H35/H$5)*100,1),new_transmute,3,FALSE),
VLOOKUP('Final Term'!H35,new_transmute,3,FALSE)
),
IF(Info!$B$4="Board program (Medicine)",
IF(OR(AND(H$5&gt;0,H$5&gt;100),AND(H$5&gt;0,H$5&lt;100)),
VLOOKUP(FLOOR(('Final Term'!H35/H$5)*100,1),new_transmute,4,FALSE),
VLOOKUP('Final Term'!H35,new_transmute,4,FALSE)
),
""
)
)
)
)
)
)
)
)
))</f>
        <v/>
      </c>
      <c r="I35" s="73" t="str">
        <f>IF($B35="","",
IF(I$5="","",
IF('Final Term'!I35="",0,
IF(NOT(ISNUMBER('Final Term'!I35)),"NAN",
IF('Final Term'!I35&lt;0,"NEG",
IF('Final Term'!I35&gt;I$5,"OVER",
IF(AND(I$5&lt;=100,'Final Term'!I35&gt;100),"ERR",
IF(Info!$B$4="Non-board program",
IF(OR(AND(I$5&gt;0,I$5&gt;100),AND(I$5&gt;0,I$5&lt;100)),
VLOOKUP(FLOOR(('Final Term'!I35/I$5)*100,1),new_transmute,2,FALSE),
VLOOKUP('Final Term'!I35,new_transmute,2,FALSE)
),
IF(Info!$B$4="Board program",
IF(OR(AND(I$5&gt;0,I$5&gt;100),AND(I$5&gt;0,I$5&lt;100)),
VLOOKUP(FLOOR(('Final Term'!I35/I$5)*100,1),new_transmute,3,FALSE),
VLOOKUP('Final Term'!I35,new_transmute,3,FALSE)
),
IF(Info!$B$4="Board program (Medicine)",
IF(OR(AND(I$5&gt;0,I$5&gt;100),AND(I$5&gt;0,I$5&lt;100)),
VLOOKUP(FLOOR(('Final Term'!I35/I$5)*100,1),new_transmute,4,FALSE),
VLOOKUP('Final Term'!I35,new_transmute,4,FALSE)
),
""
)
)
)
)
)
)
)
)
))</f>
        <v/>
      </c>
      <c r="J35" s="73" t="str">
        <f>IF($B35="","",
IF(J$5="","",
IF('Final Term'!J35="",0,
IF(NOT(ISNUMBER('Final Term'!J35)),"NAN",
IF('Final Term'!J35&lt;0,"NEG",
IF('Final Term'!J35&gt;J$5,"OVER",
IF(AND(J$5&lt;=100,'Final Term'!J35&gt;100),"ERR",
IF(Info!$B$4="Non-board program",
IF(OR(AND(J$5&gt;0,J$5&gt;100),AND(J$5&gt;0,J$5&lt;100)),
VLOOKUP(FLOOR(('Final Term'!J35/J$5)*100,1),new_transmute,2,FALSE),
VLOOKUP('Final Term'!J35,new_transmute,2,FALSE)
),
IF(Info!$B$4="Board program",
IF(OR(AND(J$5&gt;0,J$5&gt;100),AND(J$5&gt;0,J$5&lt;100)),
VLOOKUP(FLOOR(('Final Term'!J35/J$5)*100,1),new_transmute,3,FALSE),
VLOOKUP('Final Term'!J35,new_transmute,3,FALSE)
),
IF(Info!$B$4="Board program (Medicine)",
IF(OR(AND(J$5&gt;0,J$5&gt;100),AND(J$5&gt;0,J$5&lt;100)),
VLOOKUP(FLOOR(('Final Term'!J35/J$5)*100,1),new_transmute,4,FALSE),
VLOOKUP('Final Term'!J35,new_transmute,4,FALSE)
),
""
)
)
)
)
)
)
)
)
))</f>
        <v/>
      </c>
      <c r="K35" s="73" t="str">
        <f>IF($B35="","",
IF(K$5="","",
IF('Final Term'!K35="",0,
IF(NOT(ISNUMBER('Final Term'!K35)),"NAN",
IF('Final Term'!K35&lt;0,"NEG",
IF('Final Term'!K35&gt;K$5,"OVER",
IF(AND(K$5&lt;=100,'Final Term'!K35&gt;100),"ERR",
IF(Info!$B$4="Non-board program",
IF(OR(AND(K$5&gt;0,K$5&gt;100),AND(K$5&gt;0,K$5&lt;100)),
VLOOKUP(FLOOR(('Final Term'!K35/K$5)*100,1),new_transmute,2,FALSE),
VLOOKUP('Final Term'!K35,new_transmute,2,FALSE)
),
IF(Info!$B$4="Board program",
IF(OR(AND(K$5&gt;0,K$5&gt;100),AND(K$5&gt;0,K$5&lt;100)),
VLOOKUP(FLOOR(('Final Term'!K35/K$5)*100,1),new_transmute,3,FALSE),
VLOOKUP('Final Term'!K35,new_transmute,3,FALSE)
),
IF(Info!$B$4="Board program (Medicine)",
IF(OR(AND(K$5&gt;0,K$5&gt;100),AND(K$5&gt;0,K$5&lt;100)),
VLOOKUP(FLOOR(('Final Term'!K35/K$5)*100,1),new_transmute,4,FALSE),
VLOOKUP('Final Term'!K35,new_transmute,4,FALSE)
),
""
)
)
)
)
)
)
)
)
))</f>
        <v/>
      </c>
      <c r="L35" s="73" t="str">
        <f>IF($B35="","",
IF(L$5="","",
IF('Final Term'!L35="",0,
IF(NOT(ISNUMBER('Final Term'!L35)),"NAN",
IF('Final Term'!L35&lt;0,"NEG",
IF('Final Term'!L35&gt;L$5,"OVER",
IF(AND(L$5&lt;=100,'Final Term'!L35&gt;100),"ERR",
IF(Info!$B$4="Non-board program",
IF(OR(AND(L$5&gt;0,L$5&gt;100),AND(L$5&gt;0,L$5&lt;100)),
VLOOKUP(FLOOR(('Final Term'!L35/L$5)*100,1),new_transmute,2,FALSE),
VLOOKUP('Final Term'!L35,new_transmute,2,FALSE)
),
IF(Info!$B$4="Board program",
IF(OR(AND(L$5&gt;0,L$5&gt;100),AND(L$5&gt;0,L$5&lt;100)),
VLOOKUP(FLOOR(('Final Term'!L35/L$5)*100,1),new_transmute,3,FALSE),
VLOOKUP('Final Term'!L35,new_transmute,3,FALSE)
),
IF(Info!$B$4="Board program (Medicine)",
IF(OR(AND(L$5&gt;0,L$5&gt;100),AND(L$5&gt;0,L$5&lt;100)),
VLOOKUP(FLOOR(('Final Term'!L35/L$5)*100,1),new_transmute,4,FALSE),
VLOOKUP('Final Term'!L35,new_transmute,4,FALSE)
),
""
)
)
)
)
)
)
)
)
))</f>
        <v/>
      </c>
      <c r="M35" s="111" t="str">
        <f t="shared" si="2"/>
        <v/>
      </c>
      <c r="N35" s="73" t="str">
        <f>IF($B35="","",
IF(N$5="","",
IF('Final Term'!N35="",0,
IF(NOT(ISNUMBER('Final Term'!N35)),"NAN",
IF('Final Term'!N35&lt;0,"NEG",
IF('Final Term'!N35&gt;N$5,"OVER",
IF(AND(N$5&lt;=100,'Final Term'!N35&gt;100),"ERR",
IF(Info!$B$4="Non-board program",
IF(OR(AND(N$5&gt;0,N$5&gt;100),AND(N$5&gt;0,N$5&lt;100)),
VLOOKUP(FLOOR(('Final Term'!N35/N$5)*100,1),new_transmute,2,FALSE),
VLOOKUP('Final Term'!N35,new_transmute,2,FALSE)
),
IF(Info!$B$4="Board program",
IF(OR(AND(N$5&gt;0,N$5&gt;100),AND(N$5&gt;0,N$5&lt;100)),
VLOOKUP(FLOOR(('Final Term'!N35/N$5)*100,1),new_transmute,3,FALSE),
VLOOKUP('Final Term'!N35,new_transmute,3,FALSE)
),
IF(Info!$B$4="Board program (Medicine)",
IF(OR(AND(N$5&gt;0,N$5&gt;100),AND(N$5&gt;0,N$5&lt;100)),
VLOOKUP(FLOOR(('Final Term'!N35/N$5)*100,1),new_transmute,4,FALSE),
VLOOKUP('Final Term'!N35,new_transmute,4,FALSE)
),
""
)
)
)
)
)
)
)
)
))</f>
        <v/>
      </c>
      <c r="O35" s="73" t="str">
        <f>IF($B35="","",
IF(O$5="","",
IF('Final Term'!O35="",0,
IF(NOT(ISNUMBER('Final Term'!O35)),"NAN",
IF('Final Term'!O35&lt;0,"NEG",
IF('Final Term'!O35&gt;O$5,"OVER",
IF(AND(O$5&lt;=100,'Final Term'!O35&gt;100),"ERR",
IF(Info!$B$4="Non-board program",
IF(OR(AND(O$5&gt;0,O$5&gt;100),AND(O$5&gt;0,O$5&lt;100)),
VLOOKUP(FLOOR(('Final Term'!O35/O$5)*100,1),new_transmute,2,FALSE),
VLOOKUP('Final Term'!O35,new_transmute,2,FALSE)
),
IF(Info!$B$4="Board program",
IF(OR(AND(O$5&gt;0,O$5&gt;100),AND(O$5&gt;0,O$5&lt;100)),
VLOOKUP(FLOOR(('Final Term'!O35/O$5)*100,1),new_transmute,3,FALSE),
VLOOKUP('Final Term'!O35,new_transmute,3,FALSE)
),
IF(Info!$B$4="Board program (Medicine)",
IF(OR(AND(O$5&gt;0,O$5&gt;100),AND(O$5&gt;0,O$5&lt;100)),
VLOOKUP(FLOOR(('Final Term'!O35/O$5)*100,1),new_transmute,4,FALSE),
VLOOKUP('Final Term'!O35,new_transmute,4,FALSE)
),
""
)
)
)
)
)
)
)
)
))</f>
        <v/>
      </c>
      <c r="P35" s="73" t="str">
        <f>IF($B35="","",
IF(P$5="","",
IF('Final Term'!P35="",0,
IF(NOT(ISNUMBER('Final Term'!P35)),"NAN",
IF('Final Term'!P35&lt;0,"NEG",
IF('Final Term'!P35&gt;P$5,"OVER",
IF(AND(P$5&lt;=100,'Final Term'!P35&gt;100),"ERR",
IF(Info!$B$4="Non-board program",
IF(OR(AND(P$5&gt;0,P$5&gt;100),AND(P$5&gt;0,P$5&lt;100)),
VLOOKUP(FLOOR(('Final Term'!P35/P$5)*100,1),new_transmute,2,FALSE),
VLOOKUP('Final Term'!P35,new_transmute,2,FALSE)
),
IF(Info!$B$4="Board program",
IF(OR(AND(P$5&gt;0,P$5&gt;100),AND(P$5&gt;0,P$5&lt;100)),
VLOOKUP(FLOOR(('Final Term'!P35/P$5)*100,1),new_transmute,3,FALSE),
VLOOKUP('Final Term'!P35,new_transmute,3,FALSE)
),
IF(Info!$B$4="Board program (Medicine)",
IF(OR(AND(P$5&gt;0,P$5&gt;100),AND(P$5&gt;0,P$5&lt;100)),
VLOOKUP(FLOOR(('Final Term'!P35/P$5)*100,1),new_transmute,4,FALSE),
VLOOKUP('Final Term'!P35,new_transmute,4,FALSE)
),
""
)
)
)
)
)
)
)
)
))</f>
        <v/>
      </c>
      <c r="Q35" s="73" t="str">
        <f>IF($B35="","",
IF(Q$5="","",
IF('Final Term'!Q35="",0,
IF(NOT(ISNUMBER('Final Term'!Q35)),"NAN",
IF('Final Term'!Q35&lt;0,"NEG",
IF('Final Term'!Q35&gt;Q$5,"OVER",
IF(AND(Q$5&lt;=100,'Final Term'!Q35&gt;100),"ERR",
IF(Info!$B$4="Non-board program",
IF(OR(AND(Q$5&gt;0,Q$5&gt;100),AND(Q$5&gt;0,Q$5&lt;100)),
VLOOKUP(FLOOR(('Final Term'!Q35/Q$5)*100,1),new_transmute,2,FALSE),
VLOOKUP('Final Term'!Q35,new_transmute,2,FALSE)
),
IF(Info!$B$4="Board program",
IF(OR(AND(Q$5&gt;0,Q$5&gt;100),AND(Q$5&gt;0,Q$5&lt;100)),
VLOOKUP(FLOOR(('Final Term'!Q35/Q$5)*100,1),new_transmute,3,FALSE),
VLOOKUP('Final Term'!Q35,new_transmute,3,FALSE)
),
IF(Info!$B$4="Board program (Medicine)",
IF(OR(AND(Q$5&gt;0,Q$5&gt;100),AND(Q$5&gt;0,Q$5&lt;100)),
VLOOKUP(FLOOR(('Final Term'!Q35/Q$5)*100,1),new_transmute,4,FALSE),
VLOOKUP('Final Term'!Q35,new_transmute,4,FALSE)
),
""
)
)
)
)
)
)
)
)
))</f>
        <v/>
      </c>
      <c r="R35" s="73" t="str">
        <f>IF($B35="","",
IF(R$5="","",
IF('Final Term'!R35="",0,
IF(NOT(ISNUMBER('Final Term'!R35)),"NAN",
IF('Final Term'!R35&lt;0,"NEG",
IF('Final Term'!R35&gt;R$5,"OVER",
IF(AND(R$5&lt;=100,'Final Term'!R35&gt;100),"ERR",
IF(Info!$B$4="Non-board program",
IF(OR(AND(R$5&gt;0,R$5&gt;100),AND(R$5&gt;0,R$5&lt;100)),
VLOOKUP(FLOOR(('Final Term'!R35/R$5)*100,1),new_transmute,2,FALSE),
VLOOKUP('Final Term'!R35,new_transmute,2,FALSE)
),
IF(Info!$B$4="Board program",
IF(OR(AND(R$5&gt;0,R$5&gt;100),AND(R$5&gt;0,R$5&lt;100)),
VLOOKUP(FLOOR(('Final Term'!R35/R$5)*100,1),new_transmute,3,FALSE),
VLOOKUP('Final Term'!R35,new_transmute,3,FALSE)
),
IF(Info!$B$4="Board program (Medicine)",
IF(OR(AND(R$5&gt;0,R$5&gt;100),AND(R$5&gt;0,R$5&lt;100)),
VLOOKUP(FLOOR(('Final Term'!R35/R$5)*100,1),new_transmute,4,FALSE),
VLOOKUP('Final Term'!R35,new_transmute,4,FALSE)
),
""
)
)
)
)
)
)
)
)
))</f>
        <v/>
      </c>
      <c r="S35" s="115" t="str">
        <f t="shared" si="3"/>
        <v/>
      </c>
      <c r="T35" s="73" t="str">
        <f>IF($B35="","",
IF(T$5="","",
IF('Final Term'!T35="",0,
IF(NOT(ISNUMBER('Final Term'!T35)),"NAN",
IF('Final Term'!T35&lt;0,"NEG",
IF('Final Term'!T35&gt;T$5,"OVER",
IF(AND(T$5&lt;=100,'Final Term'!T35&gt;100),"ERR",
IF(Info!$B$4="Non-board program",
IF(OR(AND(T$5&gt;0,T$5&gt;100),AND(T$5&gt;0,T$5&lt;100)),
VLOOKUP(FLOOR(('Final Term'!T35/T$5)*100,1),new_transmute,2,FALSE),
VLOOKUP('Final Term'!T35,new_transmute,2,FALSE)
),
IF(Info!$B$4="Board program",
IF(OR(AND(T$5&gt;0,T$5&gt;100),AND(T$5&gt;0,T$5&lt;100)),
VLOOKUP(FLOOR(('Final Term'!T35/T$5)*100,1),new_transmute,3,FALSE),
VLOOKUP('Final Term'!T35,new_transmute,3,FALSE)
),
IF(Info!$B$4="Board program (Medicine)",
IF(OR(AND(T$5&gt;0,T$5&gt;100),AND(T$5&gt;0,T$5&lt;100)),
VLOOKUP(FLOOR(('Final Term'!T35/T$5)*100,1),new_transmute,4,FALSE),
VLOOKUP('Final Term'!T35,new_transmute,4,FALSE)
),
""
)
)
)
)
)
)
)
)
))</f>
        <v/>
      </c>
      <c r="U35" s="73" t="str">
        <f>IF($B35="","",
IF(U$5="","",
IF('Final Term'!U35="",0,
IF(NOT(ISNUMBER('Final Term'!U35)),"NAN",
IF('Final Term'!U35&lt;0,"NEG",
IF('Final Term'!U35&gt;U$5,"OVER",
IF(AND(U$5&lt;=100,'Final Term'!U35&gt;100),"ERR",
IF(Info!$B$4="Non-board program",
IF(OR(AND(U$5&gt;0,U$5&gt;100),AND(U$5&gt;0,U$5&lt;100)),
VLOOKUP(FLOOR(('Final Term'!U35/U$5)*100,1),new_transmute,2,FALSE),
VLOOKUP('Final Term'!U35,new_transmute,2,FALSE)
),
IF(Info!$B$4="Board program",
IF(OR(AND(U$5&gt;0,U$5&gt;100),AND(U$5&gt;0,U$5&lt;100)),
VLOOKUP(FLOOR(('Final Term'!U35/U$5)*100,1),new_transmute,3,FALSE),
VLOOKUP('Final Term'!U35,new_transmute,3,FALSE)
),
IF(Info!$B$4="Board program (Medicine)",
IF(OR(AND(U$5&gt;0,U$5&gt;100),AND(U$5&gt;0,U$5&lt;100)),
VLOOKUP(FLOOR(('Final Term'!U35/U$5)*100,1),new_transmute,4,FALSE),
VLOOKUP('Final Term'!U35,new_transmute,4,FALSE)
),
""
)
)
)
)
)
)
)
)
))</f>
        <v/>
      </c>
      <c r="V35" s="73" t="str">
        <f>IF($B35="","",
IF(V$5="","",
IF('Final Term'!V35="",0,
IF(NOT(ISNUMBER('Final Term'!V35)),"NAN",
IF('Final Term'!V35&lt;0,"NEG",
IF('Final Term'!V35&gt;V$5,"OVER",
IF(AND(V$5&lt;=100,'Final Term'!V35&gt;100),"ERR",
IF(Info!$B$4="Non-board program",
IF(OR(AND(V$5&gt;0,V$5&gt;100),AND(V$5&gt;0,V$5&lt;100)),
VLOOKUP(FLOOR(('Final Term'!V35/V$5)*100,1),new_transmute,2,FALSE),
VLOOKUP('Final Term'!V35,new_transmute,2,FALSE)
),
IF(Info!$B$4="Board program",
IF(OR(AND(V$5&gt;0,V$5&gt;100),AND(V$5&gt;0,V$5&lt;100)),
VLOOKUP(FLOOR(('Final Term'!V35/V$5)*100,1),new_transmute,3,FALSE),
VLOOKUP('Final Term'!V35,new_transmute,3,FALSE)
),
IF(Info!$B$4="Board program (Medicine)",
IF(OR(AND(V$5&gt;0,V$5&gt;100),AND(V$5&gt;0,V$5&lt;100)),
VLOOKUP(FLOOR(('Final Term'!V35/V$5)*100,1),new_transmute,4,FALSE),
VLOOKUP('Final Term'!V35,new_transmute,4,FALSE)
),
""
)
)
)
)
)
)
)
)
))</f>
        <v/>
      </c>
      <c r="W35" s="73" t="str">
        <f>IF($B35="","",
IF(W$5="","",
IF('Final Term'!W35="",0,
IF(NOT(ISNUMBER('Final Term'!W35)),"NAN",
IF('Final Term'!W35&lt;0,"NEG",
IF('Final Term'!W35&gt;W$5,"OVER",
IF(AND(W$5&lt;=100,'Final Term'!W35&gt;100),"ERR",
IF(Info!$B$4="Non-board program",
IF(OR(AND(W$5&gt;0,W$5&gt;100),AND(W$5&gt;0,W$5&lt;100)),
VLOOKUP(FLOOR(('Final Term'!W35/W$5)*100,1),new_transmute,2,FALSE),
VLOOKUP('Final Term'!W35,new_transmute,2,FALSE)
),
IF(Info!$B$4="Board program",
IF(OR(AND(W$5&gt;0,W$5&gt;100),AND(W$5&gt;0,W$5&lt;100)),
VLOOKUP(FLOOR(('Final Term'!W35/W$5)*100,1),new_transmute,3,FALSE),
VLOOKUP('Final Term'!W35,new_transmute,3,FALSE)
),
IF(Info!$B$4="Board program (Medicine)",
IF(OR(AND(W$5&gt;0,W$5&gt;100),AND(W$5&gt;0,W$5&lt;100)),
VLOOKUP(FLOOR(('Final Term'!W35/W$5)*100,1),new_transmute,4,FALSE),
VLOOKUP('Final Term'!W35,new_transmute,4,FALSE)
),
""
)
)
)
)
)
)
)
)
))</f>
        <v/>
      </c>
      <c r="X35" s="73" t="str">
        <f>IF($B35="","",
IF(X$5="","",
IF('Final Term'!X35="",0,
IF(NOT(ISNUMBER('Final Term'!X35)),"NAN",
IF('Final Term'!X35&lt;0,"NEG",
IF('Final Term'!X35&gt;X$5,"OVER",
IF(AND(X$5&lt;=100,'Final Term'!X35&gt;100),"ERR",
IF(Info!$B$4="Non-board program",
IF(OR(AND(X$5&gt;0,X$5&gt;100),AND(X$5&gt;0,X$5&lt;100)),
VLOOKUP(FLOOR(('Final Term'!X35/X$5)*100,1),new_transmute,2,FALSE),
VLOOKUP('Final Term'!X35,new_transmute,2,FALSE)
),
IF(Info!$B$4="Board program",
IF(OR(AND(X$5&gt;0,X$5&gt;100),AND(X$5&gt;0,X$5&lt;100)),
VLOOKUP(FLOOR(('Final Term'!X35/X$5)*100,1),new_transmute,3,FALSE),
VLOOKUP('Final Term'!X35,new_transmute,3,FALSE)
),
IF(Info!$B$4="Board program (Medicine)",
IF(OR(AND(X$5&gt;0,X$5&gt;100),AND(X$5&gt;0,X$5&lt;100)),
VLOOKUP(FLOOR(('Final Term'!X35/X$5)*100,1),new_transmute,4,FALSE),
VLOOKUP('Final Term'!X35,new_transmute,4,FALSE)
),
""
)
)
)
)
)
)
)
)
))</f>
        <v/>
      </c>
      <c r="Y35" s="112" t="str">
        <f t="shared" si="4"/>
        <v/>
      </c>
      <c r="Z35" s="73" t="str">
        <f>IF($B35="","",
IF(Z$5="","",
IF('Final Term'!Z35="",0,
IF(NOT(ISNUMBER('Final Term'!Z35)),"NAN",
IF('Final Term'!Z35&lt;0,"NEG",
IF('Final Term'!Z35&gt;Z$5,"OVER",
IF(AND(Z$5&lt;=100,'Final Term'!Z35&gt;100),"ERR",
IF(Info!$B$4="Non-board program",
IF(OR(AND(Z$5&gt;0,Z$5&gt;100),AND(Z$5&gt;0,Z$5&lt;100)),
VLOOKUP(FLOOR(('Final Term'!Z35/Z$5)*100,1),new_transmute,2,FALSE),
VLOOKUP('Final Term'!Z35,new_transmute,2,FALSE)
),
IF(Info!$B$4="Board program",
IF(OR(AND(Z$5&gt;0,Z$5&gt;100),AND(Z$5&gt;0,Z$5&lt;100)),
VLOOKUP(FLOOR(('Final Term'!Z35/Z$5)*100,1),new_transmute,3,FALSE),
VLOOKUP('Final Term'!Z35,new_transmute,3,FALSE)
),
IF(Info!$B$4="Board program (Medicine)",
IF(OR(AND(Z$5&gt;0,Z$5&gt;100),AND(Z$5&gt;0,Z$5&lt;100)),
VLOOKUP(FLOOR(('Final Term'!Z35/Z$5)*100,1),new_transmute,4,FALSE),
VLOOKUP('Final Term'!Z35,new_transmute,4,FALSE)
),
""
)
)
)
)
)
)
)
)
))</f>
        <v/>
      </c>
      <c r="AA35" s="73" t="str">
        <f>IF($B35="","",
IF(AA$5="","",
IF('Final Term'!AA35="",0,
IF(NOT(ISNUMBER('Final Term'!AA35)),"NAN",
IF('Final Term'!AA35&lt;0,"NEG",
IF('Final Term'!AA35&gt;AA$5,"OVER",
IF(AND(AA$5&lt;=100,'Final Term'!AA35&gt;100),"ERR",
IF(Info!$B$4="Non-board program",
IF(OR(AND(AA$5&gt;0,AA$5&gt;100),AND(AA$5&gt;0,AA$5&lt;100)),
VLOOKUP(FLOOR(('Final Term'!AA35/AA$5)*100,1),new_transmute,2,FALSE),
VLOOKUP('Final Term'!AA35,new_transmute,2,FALSE)
),
IF(Info!$B$4="Board program",
IF(OR(AND(AA$5&gt;0,AA$5&gt;100),AND(AA$5&gt;0,AA$5&lt;100)),
VLOOKUP(FLOOR(('Final Term'!AA35/AA$5)*100,1),new_transmute,3,FALSE),
VLOOKUP('Final Term'!AA35,new_transmute,3,FALSE)
),
IF(Info!$B$4="Board program (Medicine)",
IF(OR(AND(AA$5&gt;0,AA$5&gt;100),AND(AA$5&gt;0,AA$5&lt;100)),
VLOOKUP(FLOOR(('Final Term'!AA35/AA$5)*100,1),new_transmute,4,FALSE),
VLOOKUP('Final Term'!AA35,new_transmute,4,FALSE)
),
""
)
)
)
)
)
)
)
)
))</f>
        <v/>
      </c>
      <c r="AB35" s="73" t="str">
        <f>IF($B35="","",
IF(AB$5="","",
IF('Final Term'!AB35="",0,
IF(NOT(ISNUMBER('Final Term'!AB35)),"NAN",
IF('Final Term'!AB35&lt;0,"NEG",
IF('Final Term'!AB35&gt;AB$5,"OVER",
IF(AND(AB$5&lt;=100,'Final Term'!AB35&gt;100),"ERR",
IF(Info!$B$4="Non-board program",
IF(OR(AND(AB$5&gt;0,AB$5&gt;100),AND(AB$5&gt;0,AB$5&lt;100)),
VLOOKUP(FLOOR(('Final Term'!AB35/AB$5)*100,1),new_transmute,2,FALSE),
VLOOKUP('Final Term'!AB35,new_transmute,2,FALSE)
),
IF(Info!$B$4="Board program",
IF(OR(AND(AB$5&gt;0,AB$5&gt;100),AND(AB$5&gt;0,AB$5&lt;100)),
VLOOKUP(FLOOR(('Final Term'!AB35/AB$5)*100,1),new_transmute,3,FALSE),
VLOOKUP('Final Term'!AB35,new_transmute,3,FALSE)
),
IF(Info!$B$4="Board program (Medicine)",
IF(OR(AND(AB$5&gt;0,AB$5&gt;100),AND(AB$5&gt;0,AB$5&lt;100)),
VLOOKUP(FLOOR(('Final Term'!AB35/AB$5)*100,1),new_transmute,4,FALSE),
VLOOKUP('Final Term'!AB35,new_transmute,4,FALSE)
),
""
)
)
)
)
)
)
)
)
))</f>
        <v/>
      </c>
      <c r="AC35" s="73" t="str">
        <f>IF($B35="","",
IF(AC$5="","",
IF('Final Term'!AC35="",0,
IF(NOT(ISNUMBER('Final Term'!AC35)),"NAN",
IF('Final Term'!AC35&lt;0,"NEG",
IF('Final Term'!AC35&gt;AC$5,"OVER",
IF(AND(AC$5&lt;=100,'Final Term'!AC35&gt;100),"ERR",
IF(Info!$B$4="Non-board program",
IF(OR(AND(AC$5&gt;0,AC$5&gt;100),AND(AC$5&gt;0,AC$5&lt;100)),
VLOOKUP(FLOOR(('Final Term'!AC35/AC$5)*100,1),new_transmute,2,FALSE),
VLOOKUP('Final Term'!AC35,new_transmute,2,FALSE)
),
IF(Info!$B$4="Board program",
IF(OR(AND(AC$5&gt;0,AC$5&gt;100),AND(AC$5&gt;0,AC$5&lt;100)),
VLOOKUP(FLOOR(('Final Term'!AC35/AC$5)*100,1),new_transmute,3,FALSE),
VLOOKUP('Final Term'!AC35,new_transmute,3,FALSE)
),
IF(Info!$B$4="Board program (Medicine)",
IF(OR(AND(AC$5&gt;0,AC$5&gt;100),AND(AC$5&gt;0,AC$5&lt;100)),
VLOOKUP(FLOOR(('Final Term'!AC35/AC$5)*100,1),new_transmute,4,FALSE),
VLOOKUP('Final Term'!AC35,new_transmute,4,FALSE)
),
""
)
)
)
)
)
)
)
)
))</f>
        <v/>
      </c>
      <c r="AD35" s="73" t="str">
        <f>IF($B35="","",
IF(AD$5="","",
IF('Final Term'!AD35="",0,
IF(NOT(ISNUMBER('Final Term'!AD35)),"NAN",
IF('Final Term'!AD35&lt;0,"NEG",
IF('Final Term'!AD35&gt;AD$5,"OVER",
IF(AND(AD$5&lt;=100,'Final Term'!AD35&gt;100),"ERR",
IF(Info!$B$4="Non-board program",
IF(OR(AND(AD$5&gt;0,AD$5&gt;100),AND(AD$5&gt;0,AD$5&lt;100)),
VLOOKUP(FLOOR(('Final Term'!AD35/AD$5)*100,1),new_transmute,2,FALSE),
VLOOKUP('Final Term'!AD35,new_transmute,2,FALSE)
),
IF(Info!$B$4="Board program",
IF(OR(AND(AD$5&gt;0,AD$5&gt;100),AND(AD$5&gt;0,AD$5&lt;100)),
VLOOKUP(FLOOR(('Final Term'!AD35/AD$5)*100,1),new_transmute,3,FALSE),
VLOOKUP('Final Term'!AD35,new_transmute,3,FALSE)
),
IF(Info!$B$4="Board program (Medicine)",
IF(OR(AND(AD$5&gt;0,AD$5&gt;100),AND(AD$5&gt;0,AD$5&lt;100)),
VLOOKUP(FLOOR(('Final Term'!AD35/AD$5)*100,1),new_transmute,4,FALSE),
VLOOKUP('Final Term'!AD35,new_transmute,4,FALSE)
),
""
)
)
)
)
)
)
)
)
))</f>
        <v/>
      </c>
      <c r="AE35" s="58" t="str">
        <f t="shared" si="5"/>
        <v/>
      </c>
      <c r="AF35" s="73" t="str">
        <f>IF($B35="","",
IF(AF$5="","",
IF('Final Term'!AF35="",0,
IF(NOT(ISNUMBER('Final Term'!AF35)),"NAN",
IF('Final Term'!AF35&lt;0,"NEG",
IF('Final Term'!AF35&gt;AF$5,"OVER",
IF(AND(AF$5&lt;=100,'Final Term'!AF35&gt;100),"ERR",
IF(Info!$B$4="Non-board program",
IF(OR(AND(AF$5&gt;0,AF$5&gt;100),AND(AF$5&gt;0,AF$5&lt;100)),
VLOOKUP(FLOOR(('Final Term'!AF35/AF$5)*100,1),new_transmute,2,FALSE),
VLOOKUP('Final Term'!AF35,new_transmute,2,FALSE)
),
IF(Info!$B$4="Board program",
IF(OR(AND(AF$5&gt;0,AF$5&gt;100),AND(AF$5&gt;0,AF$5&lt;100)),
VLOOKUP(FLOOR(('Final Term'!AF35/AF$5)*100,1),new_transmute,3,FALSE),
VLOOKUP('Final Term'!AF35,new_transmute,3,FALSE)
),
IF(Info!$B$4="Board program (Medicine)",
IF(OR(AND(AF$5&gt;0,AF$5&gt;100),AND(AF$5&gt;0,AF$5&lt;100)),
VLOOKUP(FLOOR(('Final Term'!AF35/AF$5)*100,1),new_transmute,4,FALSE),
VLOOKUP('Final Term'!AF35,new_transmute,4,FALSE)
),
""
)
)
)
)
)
)
)
)
))</f>
        <v/>
      </c>
      <c r="AG35" s="73" t="str">
        <f>IF($B35="","",
IF(AG$5="","",
IF('Final Term'!AG35="",0,
IF(NOT(ISNUMBER('Final Term'!AG35)),"NAN",
IF('Final Term'!AG35&lt;0,"NEG",
IF('Final Term'!AG35&gt;AG$5,"OVER",
IF(AND(AG$5&lt;=100,'Final Term'!AG35&gt;100),"ERR",
IF(Info!$B$4="Non-board program",
IF(OR(AND(AG$5&gt;0,AG$5&gt;100),AND(AG$5&gt;0,AG$5&lt;100)),
VLOOKUP(FLOOR(('Final Term'!AG35/AG$5)*100,1),new_transmute,2,FALSE),
VLOOKUP('Final Term'!AG35,new_transmute,2,FALSE)
),
IF(Info!$B$4="Board program",
IF(OR(AND(AG$5&gt;0,AG$5&gt;100),AND(AG$5&gt;0,AG$5&lt;100)),
VLOOKUP(FLOOR(('Final Term'!AG35/AG$5)*100,1),new_transmute,3,FALSE),
VLOOKUP('Final Term'!AG35,new_transmute,3,FALSE)
),
IF(Info!$B$4="Board program (Medicine)",
IF(OR(AND(AG$5&gt;0,AG$5&gt;100),AND(AG$5&gt;0,AG$5&lt;100)),
VLOOKUP(FLOOR(('Final Term'!AG35/AG$5)*100,1),new_transmute,4,FALSE),
VLOOKUP('Final Term'!AG35,new_transmute,4,FALSE)
),
""
)
)
)
)
)
)
)
)
))</f>
        <v/>
      </c>
      <c r="AH35" s="73" t="str">
        <f>IF($B35="","",
IF(AH$5="","",
IF('Final Term'!AH35="",0,
IF(NOT(ISNUMBER('Final Term'!AH35)),"NAN",
IF('Final Term'!AH35&lt;0,"NEG",
IF('Final Term'!AH35&gt;AH$5,"OVER",
IF(AND(AH$5&lt;=100,'Final Term'!AH35&gt;100),"ERR",
IF(Info!$B$4="Non-board program",
IF(OR(AND(AH$5&gt;0,AH$5&gt;100),AND(AH$5&gt;0,AH$5&lt;100)),
VLOOKUP(FLOOR(('Final Term'!AH35/AH$5)*100,1),new_transmute,2,FALSE),
VLOOKUP('Final Term'!AH35,new_transmute,2,FALSE)
),
IF(Info!$B$4="Board program",
IF(OR(AND(AH$5&gt;0,AH$5&gt;100),AND(AH$5&gt;0,AH$5&lt;100)),
VLOOKUP(FLOOR(('Final Term'!AH35/AH$5)*100,1),new_transmute,3,FALSE),
VLOOKUP('Final Term'!AH35,new_transmute,3,FALSE)
),
IF(Info!$B$4="Board program (Medicine)",
IF(OR(AND(AH$5&gt;0,AH$5&gt;100),AND(AH$5&gt;0,AH$5&lt;100)),
VLOOKUP(FLOOR(('Final Term'!AH35/AH$5)*100,1),new_transmute,4,FALSE),
VLOOKUP('Final Term'!AH35,new_transmute,4,FALSE)
),
""
)
)
)
)
)
)
)
)
))</f>
        <v/>
      </c>
      <c r="AI35" s="73" t="str">
        <f>IF($B35="","",
IF(AI$5="","",
IF('Final Term'!AI35="",0,
IF(NOT(ISNUMBER('Final Term'!AI35)),"NAN",
IF('Final Term'!AI35&lt;0,"NEG",
IF('Final Term'!AI35&gt;AI$5,"OVER",
IF(AND(AI$5&lt;=100,'Final Term'!AI35&gt;100),"ERR",
IF(Info!$B$4="Non-board program",
IF(OR(AND(AI$5&gt;0,AI$5&gt;100),AND(AI$5&gt;0,AI$5&lt;100)),
VLOOKUP(FLOOR(('Final Term'!AI35/AI$5)*100,1),new_transmute,2,FALSE),
VLOOKUP('Final Term'!AI35,new_transmute,2,FALSE)
),
IF(Info!$B$4="Board program",
IF(OR(AND(AI$5&gt;0,AI$5&gt;100),AND(AI$5&gt;0,AI$5&lt;100)),
VLOOKUP(FLOOR(('Final Term'!AI35/AI$5)*100,1),new_transmute,3,FALSE),
VLOOKUP('Final Term'!AI35,new_transmute,3,FALSE)
),
IF(Info!$B$4="Board program (Medicine)",
IF(OR(AND(AI$5&gt;0,AI$5&gt;100),AND(AI$5&gt;0,AI$5&lt;100)),
VLOOKUP(FLOOR(('Final Term'!AI35/AI$5)*100,1),new_transmute,4,FALSE),
VLOOKUP('Final Term'!AI35,new_transmute,4,FALSE)
),
""
)
)
)
)
)
)
)
)
))</f>
        <v/>
      </c>
      <c r="AJ35" s="73" t="str">
        <f>IF($B35="","",
IF(AJ$5="","",
IF('Final Term'!AJ35="",0,
IF(NOT(ISNUMBER('Final Term'!AJ35)),"NAN",
IF('Final Term'!AJ35&lt;0,"NEG",
IF('Final Term'!AJ35&gt;AJ$5,"OVER",
IF(AND(AJ$5&lt;=100,'Final Term'!AJ35&gt;100),"ERR",
IF(Info!$B$4="Non-board program",
IF(OR(AND(AJ$5&gt;0,AJ$5&gt;100),AND(AJ$5&gt;0,AJ$5&lt;100)),
VLOOKUP(FLOOR(('Final Term'!AJ35/AJ$5)*100,1),new_transmute,2,FALSE),
VLOOKUP('Final Term'!AJ35,new_transmute,2,FALSE)
),
IF(Info!$B$4="Board program",
IF(OR(AND(AJ$5&gt;0,AJ$5&gt;100),AND(AJ$5&gt;0,AJ$5&lt;100)),
VLOOKUP(FLOOR(('Final Term'!AJ35/AJ$5)*100,1),new_transmute,3,FALSE),
VLOOKUP('Final Term'!AJ35,new_transmute,3,FALSE)
),
IF(Info!$B$4="Board program (Medicine)",
IF(OR(AND(AJ$5&gt;0,AJ$5&gt;100),AND(AJ$5&gt;0,AJ$5&lt;100)),
VLOOKUP(FLOOR(('Final Term'!AJ35/AJ$5)*100,1),new_transmute,4,FALSE),
VLOOKUP('Final Term'!AJ35,new_transmute,4,FALSE)
),
""
)
)
)
)
)
)
)
)
))</f>
        <v/>
      </c>
      <c r="AK35" s="59" t="str">
        <f t="shared" si="6"/>
        <v/>
      </c>
      <c r="AL35" s="60" t="str">
        <f>IF(B35="", "",
    IF(OR(M35="OVER", S35="OVER", Y35="OVER", AE35="OVER", AK35="OVER"),
        "OVER",
        IF(Info!$B$4="Non-board program",
            VLOOKUP(IFERROR(FLOOR(SUM((M35*$M$4), (S35*$S$4), (Y35*$Y$4), (AE35*$AE$4), (AK35*$AK$4)) * (100 / 60), 1), 0), new_transmute, 2, FALSE),
            IF(Info!$B$4="Board program",
                VLOOKUP(IFERROR(FLOOR(SUM((M35*$M$4), (S35*$S$4), (Y35*$Y$4), (AE35*$AE$4), (AK35*$AK$4)) * (100 / 60), 1), 0), new_transmute, 3, FALSE),
                IF(Info!$B$4="Board program (Medicine)",
                    VLOOKUP(IFERROR(FLOOR(SUM((M35*$M$4), (S35*$S$4), (Y35*$Y$4), (AE35*$AE$4), (AK35*$AK$4)) * (100 / 60), 1), 0), new_transmute, 4, FALSE),
                    ""
                )
            )
        )
    )
)</f>
        <v/>
      </c>
      <c r="AM35" s="73" t="str">
        <f>IF($B35="","",
IF(AM$5="","",
IF('Final Term'!AM35="",0,
IF(NOT(ISNUMBER('Final Term'!AM35)),"NAN",
IF('Final Term'!AM35&lt;0,"NEG",
IF('Final Term'!AM35&gt;AM$5,"OVER",
IF(AND(AM$5&lt;=100,'Final Term'!AM35&gt;100),"ERR",
IF(Info!$B$4="Non-board program",
IF(OR(AND(AM$5&gt;0,AM$5&gt;100),AND(AM$5&gt;0,AM$5&lt;100)),
VLOOKUP(FLOOR(('Final Term'!AM35/AM$5)*100,1),new_transmute,2,FALSE),
VLOOKUP('Final Term'!AM35,new_transmute,2,FALSE)
),
IF(Info!$B$4="Board program",
IF(OR(AND(AM$5&gt;0,AM$5&gt;100),AND(AM$5&gt;0,AM$5&lt;100)),
VLOOKUP(FLOOR(('Final Term'!AM35/AM$5)*100,1),new_transmute,3,FALSE),
VLOOKUP('Final Term'!AM35,new_transmute,3,FALSE)
),
IF(Info!$B$4="Board program (Medicine)",
IF(OR(AND(AM$5&gt;0,AM$5&gt;100),AND(AM$5&gt;0,AM$5&lt;100)),
VLOOKUP(FLOOR(('Final Term'!AM35/AM$5)*100,1),new_transmute,4,FALSE),
VLOOKUP('Final Term'!AM35,new_transmute,4,FALSE)
),
""
)
)
)
)
)
)
)
)
))</f>
        <v/>
      </c>
      <c r="AN35" s="73" t="str">
        <f>IF($B35="","",
IF(AN$5="","",
IF('Final Term'!AN35="",0,
IF(NOT(ISNUMBER('Final Term'!AN35)),"NAN",
IF('Final Term'!AN35&lt;0,"NEG",
IF('Final Term'!AN35&gt;AN$5,"OVER",
IF(AND(AN$5&lt;=100,'Final Term'!AN35&gt;100),"ERR",
IF(Info!$B$4="Non-board program",
IF(OR(AND(AN$5&gt;0,AN$5&gt;100),AND(AN$5&gt;0,AN$5&lt;100)),
VLOOKUP(FLOOR(('Final Term'!AN35/AN$5)*100,1),new_transmute,2,FALSE),
VLOOKUP('Final Term'!AN35,new_transmute,2,FALSE)
),
IF(Info!$B$4="Board program",
IF(OR(AND(AN$5&gt;0,AN$5&gt;100),AND(AN$5&gt;0,AN$5&lt;100)),
VLOOKUP(FLOOR(('Final Term'!AN35/AN$5)*100,1),new_transmute,3,FALSE),
VLOOKUP('Final Term'!AN35,new_transmute,3,FALSE)
),
IF(Info!$B$4="Board program (Medicine)",
IF(OR(AND(AN$5&gt;0,AN$5&gt;100),AND(AN$5&gt;0,AN$5&lt;100)),
VLOOKUP(FLOOR(('Final Term'!AN35/AN$5)*100,1),new_transmute,4,FALSE),
VLOOKUP('Final Term'!AN35,new_transmute,4,FALSE)
),
""
)
)
)
)
)
)
)
)
))</f>
        <v/>
      </c>
      <c r="AO35" s="73" t="str">
        <f>IF($B35="","",
IF(AO$5="","",
IF('Final Term'!AO35="",0,
IF(NOT(ISNUMBER('Final Term'!AO35)),"NAN",
IF('Final Term'!AO35&lt;0,"NEG",
IF('Final Term'!AO35&gt;AO$5,"OVER",
IF(AND(AO$5&lt;=100,'Final Term'!AO35&gt;100),"ERR",
IF(Info!$B$4="Non-board program",
IF(OR(AND(AO$5&gt;0,AO$5&gt;100),AND(AO$5&gt;0,AO$5&lt;100)),
VLOOKUP(FLOOR(('Final Term'!AO35/AO$5)*100,1),new_transmute,2,FALSE),
VLOOKUP('Final Term'!AO35,new_transmute,2,FALSE)
),
IF(Info!$B$4="Board program",
IF(OR(AND(AO$5&gt;0,AO$5&gt;100),AND(AO$5&gt;0,AO$5&lt;100)),
VLOOKUP(FLOOR(('Final Term'!AO35/AO$5)*100,1),new_transmute,3,FALSE),
VLOOKUP('Final Term'!AO35,new_transmute,3,FALSE)
),
IF(Info!$B$4="Board program (Medicine)",
IF(OR(AND(AO$5&gt;0,AO$5&gt;100),AND(AO$5&gt;0,AO$5&lt;100)),
VLOOKUP(FLOOR(('Final Term'!AO35/AO$5)*100,1),new_transmute,4,FALSE),
VLOOKUP('Final Term'!AO35,new_transmute,4,FALSE)
),
""
)
)
)
)
)
)
)
)
))</f>
        <v/>
      </c>
      <c r="AP35" s="73" t="str">
        <f>IF($B35="","",
IF(AP$5="","",
IF('Final Term'!AP35="",0,
IF(NOT(ISNUMBER('Final Term'!AP35)),"NAN",
IF('Final Term'!AP35&lt;0,"NEG",
IF('Final Term'!AP35&gt;AP$5,"OVER",
IF(AND(AP$5&lt;=100,'Final Term'!AP35&gt;100),"ERR",
IF(Info!$B$4="Non-board program",
IF(OR(AND(AP$5&gt;0,AP$5&gt;100),AND(AP$5&gt;0,AP$5&lt;100)),
VLOOKUP(FLOOR(('Final Term'!AP35/AP$5)*100,1),new_transmute,2,FALSE),
VLOOKUP('Final Term'!AP35,new_transmute,2,FALSE)
),
IF(Info!$B$4="Board program",
IF(OR(AND(AP$5&gt;0,AP$5&gt;100),AND(AP$5&gt;0,AP$5&lt;100)),
VLOOKUP(FLOOR(('Final Term'!AP35/AP$5)*100,1),new_transmute,3,FALSE),
VLOOKUP('Final Term'!AP35,new_transmute,3,FALSE)
),
IF(Info!$B$4="Board program (Medicine)",
IF(OR(AND(AP$5&gt;0,AP$5&gt;100),AND(AP$5&gt;0,AP$5&lt;100)),
VLOOKUP(FLOOR(('Final Term'!AP35/AP$5)*100,1),new_transmute,4,FALSE),
VLOOKUP('Final Term'!AP35,new_transmute,4,FALSE)
),
""
)
)
)
)
)
)
)
)
))</f>
        <v/>
      </c>
      <c r="AQ35" s="61" t="str">
        <f t="shared" si="7"/>
        <v/>
      </c>
      <c r="AR35" s="48" t="str">
        <f>IF('Final Term'!AR35="","",'Final Term'!AR35)</f>
        <v/>
      </c>
      <c r="AS35" s="165" t="str">
        <f t="shared" si="8"/>
        <v/>
      </c>
      <c r="AT35" s="14" t="str">
        <f t="shared" si="0"/>
        <v/>
      </c>
      <c r="AU35" s="13" t="str">
        <f>IF(B35="","",VLOOKUP(AT35,'New Grade Equivalent'!$B$3:$C$47,2,FALSE))</f>
        <v/>
      </c>
    </row>
    <row r="36" spans="1:47" x14ac:dyDescent="0.25">
      <c r="A36" s="8">
        <v>31</v>
      </c>
      <c r="B36" s="2" t="str">
        <f>IF('Student List'!C40="","",UPPER(LEFT('Student List'!C40,FIND(",",'Student List'!C40)-1)))</f>
        <v/>
      </c>
      <c r="C36" s="12" t="str">
        <f>IF('Student List'!C40="","",PROPER(MID('Student List'!C40, FIND(",", 'Student List'!C40) + 2, LEN('Student List'!C40) - FIND(",", 'Student List'!C40) - 1)))</f>
        <v/>
      </c>
      <c r="D36" s="127" t="str">
        <f>IF('Final Term'!D36="","",'Final Term'!D36)</f>
        <v/>
      </c>
      <c r="E36" s="8" t="str">
        <f>IF(MidCom!E36="FA", "FA",
    IF(MidCom!E36="DRP", "DRP",
        IF(MidCom!E36="WF", "WF",
            IF(D36="Yes", "INC",
               IF((SUM('MT Attendance'!AW34) / 3 + SUM('MT Attendance'!AY34) + SUM('FT Attendance'!AW34) / 3 + SUM('FT Attendance'!AY34)) &gt;= 0.2 * (SUMPRODUCT(--(ISTEXT('MT Attendance'!$C$2:$AU$2))) + SUMPRODUCT(--(ISTEXT('FT Attendance'!$C$2:$AU$2)))), "FA",
                   MidCom!E36
                )
            )
        )
    )
)</f>
        <v/>
      </c>
      <c r="F36" s="73" t="str">
        <f>IF($B36="","",
IF(F$5="","",
IF('Final Term'!F36="",0,
IF(NOT(ISNUMBER('Final Term'!F36)),"NAN",
IF('Final Term'!F36&lt;0,"NEG",
IF('Final Term'!F36&gt;F$5,"OVER",
IF(AND(F$5&lt;=100,'Final Term'!F36&gt;100),"ERR",
IF(Info!$B$4="Non-board program",
IF(OR(AND(F$5&gt;0,F$5&gt;100),AND(F$5&gt;0,F$5&lt;100)),
VLOOKUP(FLOOR(('Final Term'!F36/F$5)*100,1),new_transmute,2,FALSE),
VLOOKUP('Final Term'!F36,new_transmute,2,FALSE)
),
IF(Info!$B$4="Board program",
IF(OR(AND(F$5&gt;0,F$5&gt;100),AND(F$5&gt;0,F$5&lt;100)),
VLOOKUP(FLOOR(('Final Term'!F36/F$5)*100,1),new_transmute,3,FALSE),
VLOOKUP('Final Term'!F36,new_transmute,3,FALSE)
),
IF(Info!$B$4="Board program (Medicine)",
IF(OR(AND(F$5&gt;0,F$5&gt;100),AND(F$5&gt;0,F$5&lt;100)),
VLOOKUP(FLOOR(('Final Term'!F36/F$5)*100,1),new_transmute,4,FALSE),
VLOOKUP('Final Term'!F36,new_transmute,4,FALSE)
),
""
)
)
)
)
)
)
)
)
))</f>
        <v/>
      </c>
      <c r="G36" s="57" t="str">
        <f t="shared" si="1"/>
        <v/>
      </c>
      <c r="H36" s="73" t="str">
        <f>IF($B36="","",
IF(H$5="","",
IF('Final Term'!H36="",0,
IF(NOT(ISNUMBER('Final Term'!H36)),"NAN",
IF('Final Term'!H36&lt;0,"NEG",
IF('Final Term'!H36&gt;H$5,"OVER",
IF(AND(H$5&lt;=100,'Final Term'!H36&gt;100),"ERR",
IF(Info!$B$4="Non-board program",
IF(OR(AND(H$5&gt;0,H$5&gt;100),AND(H$5&gt;0,H$5&lt;100)),
VLOOKUP(FLOOR(('Final Term'!H36/H$5)*100,1),new_transmute,2,FALSE),
VLOOKUP('Final Term'!H36,new_transmute,2,FALSE)
),
IF(Info!$B$4="Board program",
IF(OR(AND(H$5&gt;0,H$5&gt;100),AND(H$5&gt;0,H$5&lt;100)),
VLOOKUP(FLOOR(('Final Term'!H36/H$5)*100,1),new_transmute,3,FALSE),
VLOOKUP('Final Term'!H36,new_transmute,3,FALSE)
),
IF(Info!$B$4="Board program (Medicine)",
IF(OR(AND(H$5&gt;0,H$5&gt;100),AND(H$5&gt;0,H$5&lt;100)),
VLOOKUP(FLOOR(('Final Term'!H36/H$5)*100,1),new_transmute,4,FALSE),
VLOOKUP('Final Term'!H36,new_transmute,4,FALSE)
),
""
)
)
)
)
)
)
)
)
))</f>
        <v/>
      </c>
      <c r="I36" s="73" t="str">
        <f>IF($B36="","",
IF(I$5="","",
IF('Final Term'!I36="",0,
IF(NOT(ISNUMBER('Final Term'!I36)),"NAN",
IF('Final Term'!I36&lt;0,"NEG",
IF('Final Term'!I36&gt;I$5,"OVER",
IF(AND(I$5&lt;=100,'Final Term'!I36&gt;100),"ERR",
IF(Info!$B$4="Non-board program",
IF(OR(AND(I$5&gt;0,I$5&gt;100),AND(I$5&gt;0,I$5&lt;100)),
VLOOKUP(FLOOR(('Final Term'!I36/I$5)*100,1),new_transmute,2,FALSE),
VLOOKUP('Final Term'!I36,new_transmute,2,FALSE)
),
IF(Info!$B$4="Board program",
IF(OR(AND(I$5&gt;0,I$5&gt;100),AND(I$5&gt;0,I$5&lt;100)),
VLOOKUP(FLOOR(('Final Term'!I36/I$5)*100,1),new_transmute,3,FALSE),
VLOOKUP('Final Term'!I36,new_transmute,3,FALSE)
),
IF(Info!$B$4="Board program (Medicine)",
IF(OR(AND(I$5&gt;0,I$5&gt;100),AND(I$5&gt;0,I$5&lt;100)),
VLOOKUP(FLOOR(('Final Term'!I36/I$5)*100,1),new_transmute,4,FALSE),
VLOOKUP('Final Term'!I36,new_transmute,4,FALSE)
),
""
)
)
)
)
)
)
)
)
))</f>
        <v/>
      </c>
      <c r="J36" s="73" t="str">
        <f>IF($B36="","",
IF(J$5="","",
IF('Final Term'!J36="",0,
IF(NOT(ISNUMBER('Final Term'!J36)),"NAN",
IF('Final Term'!J36&lt;0,"NEG",
IF('Final Term'!J36&gt;J$5,"OVER",
IF(AND(J$5&lt;=100,'Final Term'!J36&gt;100),"ERR",
IF(Info!$B$4="Non-board program",
IF(OR(AND(J$5&gt;0,J$5&gt;100),AND(J$5&gt;0,J$5&lt;100)),
VLOOKUP(FLOOR(('Final Term'!J36/J$5)*100,1),new_transmute,2,FALSE),
VLOOKUP('Final Term'!J36,new_transmute,2,FALSE)
),
IF(Info!$B$4="Board program",
IF(OR(AND(J$5&gt;0,J$5&gt;100),AND(J$5&gt;0,J$5&lt;100)),
VLOOKUP(FLOOR(('Final Term'!J36/J$5)*100,1),new_transmute,3,FALSE),
VLOOKUP('Final Term'!J36,new_transmute,3,FALSE)
),
IF(Info!$B$4="Board program (Medicine)",
IF(OR(AND(J$5&gt;0,J$5&gt;100),AND(J$5&gt;0,J$5&lt;100)),
VLOOKUP(FLOOR(('Final Term'!J36/J$5)*100,1),new_transmute,4,FALSE),
VLOOKUP('Final Term'!J36,new_transmute,4,FALSE)
),
""
)
)
)
)
)
)
)
)
))</f>
        <v/>
      </c>
      <c r="K36" s="73" t="str">
        <f>IF($B36="","",
IF(K$5="","",
IF('Final Term'!K36="",0,
IF(NOT(ISNUMBER('Final Term'!K36)),"NAN",
IF('Final Term'!K36&lt;0,"NEG",
IF('Final Term'!K36&gt;K$5,"OVER",
IF(AND(K$5&lt;=100,'Final Term'!K36&gt;100),"ERR",
IF(Info!$B$4="Non-board program",
IF(OR(AND(K$5&gt;0,K$5&gt;100),AND(K$5&gt;0,K$5&lt;100)),
VLOOKUP(FLOOR(('Final Term'!K36/K$5)*100,1),new_transmute,2,FALSE),
VLOOKUP('Final Term'!K36,new_transmute,2,FALSE)
),
IF(Info!$B$4="Board program",
IF(OR(AND(K$5&gt;0,K$5&gt;100),AND(K$5&gt;0,K$5&lt;100)),
VLOOKUP(FLOOR(('Final Term'!K36/K$5)*100,1),new_transmute,3,FALSE),
VLOOKUP('Final Term'!K36,new_transmute,3,FALSE)
),
IF(Info!$B$4="Board program (Medicine)",
IF(OR(AND(K$5&gt;0,K$5&gt;100),AND(K$5&gt;0,K$5&lt;100)),
VLOOKUP(FLOOR(('Final Term'!K36/K$5)*100,1),new_transmute,4,FALSE),
VLOOKUP('Final Term'!K36,new_transmute,4,FALSE)
),
""
)
)
)
)
)
)
)
)
))</f>
        <v/>
      </c>
      <c r="L36" s="73" t="str">
        <f>IF($B36="","",
IF(L$5="","",
IF('Final Term'!L36="",0,
IF(NOT(ISNUMBER('Final Term'!L36)),"NAN",
IF('Final Term'!L36&lt;0,"NEG",
IF('Final Term'!L36&gt;L$5,"OVER",
IF(AND(L$5&lt;=100,'Final Term'!L36&gt;100),"ERR",
IF(Info!$B$4="Non-board program",
IF(OR(AND(L$5&gt;0,L$5&gt;100),AND(L$5&gt;0,L$5&lt;100)),
VLOOKUP(FLOOR(('Final Term'!L36/L$5)*100,1),new_transmute,2,FALSE),
VLOOKUP('Final Term'!L36,new_transmute,2,FALSE)
),
IF(Info!$B$4="Board program",
IF(OR(AND(L$5&gt;0,L$5&gt;100),AND(L$5&gt;0,L$5&lt;100)),
VLOOKUP(FLOOR(('Final Term'!L36/L$5)*100,1),new_transmute,3,FALSE),
VLOOKUP('Final Term'!L36,new_transmute,3,FALSE)
),
IF(Info!$B$4="Board program (Medicine)",
IF(OR(AND(L$5&gt;0,L$5&gt;100),AND(L$5&gt;0,L$5&lt;100)),
VLOOKUP(FLOOR(('Final Term'!L36/L$5)*100,1),new_transmute,4,FALSE),
VLOOKUP('Final Term'!L36,new_transmute,4,FALSE)
),
""
)
)
)
)
)
)
)
)
))</f>
        <v/>
      </c>
      <c r="M36" s="111" t="str">
        <f t="shared" si="2"/>
        <v/>
      </c>
      <c r="N36" s="73" t="str">
        <f>IF($B36="","",
IF(N$5="","",
IF('Final Term'!N36="",0,
IF(NOT(ISNUMBER('Final Term'!N36)),"NAN",
IF('Final Term'!N36&lt;0,"NEG",
IF('Final Term'!N36&gt;N$5,"OVER",
IF(AND(N$5&lt;=100,'Final Term'!N36&gt;100),"ERR",
IF(Info!$B$4="Non-board program",
IF(OR(AND(N$5&gt;0,N$5&gt;100),AND(N$5&gt;0,N$5&lt;100)),
VLOOKUP(FLOOR(('Final Term'!N36/N$5)*100,1),new_transmute,2,FALSE),
VLOOKUP('Final Term'!N36,new_transmute,2,FALSE)
),
IF(Info!$B$4="Board program",
IF(OR(AND(N$5&gt;0,N$5&gt;100),AND(N$5&gt;0,N$5&lt;100)),
VLOOKUP(FLOOR(('Final Term'!N36/N$5)*100,1),new_transmute,3,FALSE),
VLOOKUP('Final Term'!N36,new_transmute,3,FALSE)
),
IF(Info!$B$4="Board program (Medicine)",
IF(OR(AND(N$5&gt;0,N$5&gt;100),AND(N$5&gt;0,N$5&lt;100)),
VLOOKUP(FLOOR(('Final Term'!N36/N$5)*100,1),new_transmute,4,FALSE),
VLOOKUP('Final Term'!N36,new_transmute,4,FALSE)
),
""
)
)
)
)
)
)
)
)
))</f>
        <v/>
      </c>
      <c r="O36" s="73" t="str">
        <f>IF($B36="","",
IF(O$5="","",
IF('Final Term'!O36="",0,
IF(NOT(ISNUMBER('Final Term'!O36)),"NAN",
IF('Final Term'!O36&lt;0,"NEG",
IF('Final Term'!O36&gt;O$5,"OVER",
IF(AND(O$5&lt;=100,'Final Term'!O36&gt;100),"ERR",
IF(Info!$B$4="Non-board program",
IF(OR(AND(O$5&gt;0,O$5&gt;100),AND(O$5&gt;0,O$5&lt;100)),
VLOOKUP(FLOOR(('Final Term'!O36/O$5)*100,1),new_transmute,2,FALSE),
VLOOKUP('Final Term'!O36,new_transmute,2,FALSE)
),
IF(Info!$B$4="Board program",
IF(OR(AND(O$5&gt;0,O$5&gt;100),AND(O$5&gt;0,O$5&lt;100)),
VLOOKUP(FLOOR(('Final Term'!O36/O$5)*100,1),new_transmute,3,FALSE),
VLOOKUP('Final Term'!O36,new_transmute,3,FALSE)
),
IF(Info!$B$4="Board program (Medicine)",
IF(OR(AND(O$5&gt;0,O$5&gt;100),AND(O$5&gt;0,O$5&lt;100)),
VLOOKUP(FLOOR(('Final Term'!O36/O$5)*100,1),new_transmute,4,FALSE),
VLOOKUP('Final Term'!O36,new_transmute,4,FALSE)
),
""
)
)
)
)
)
)
)
)
))</f>
        <v/>
      </c>
      <c r="P36" s="73" t="str">
        <f>IF($B36="","",
IF(P$5="","",
IF('Final Term'!P36="",0,
IF(NOT(ISNUMBER('Final Term'!P36)),"NAN",
IF('Final Term'!P36&lt;0,"NEG",
IF('Final Term'!P36&gt;P$5,"OVER",
IF(AND(P$5&lt;=100,'Final Term'!P36&gt;100),"ERR",
IF(Info!$B$4="Non-board program",
IF(OR(AND(P$5&gt;0,P$5&gt;100),AND(P$5&gt;0,P$5&lt;100)),
VLOOKUP(FLOOR(('Final Term'!P36/P$5)*100,1),new_transmute,2,FALSE),
VLOOKUP('Final Term'!P36,new_transmute,2,FALSE)
),
IF(Info!$B$4="Board program",
IF(OR(AND(P$5&gt;0,P$5&gt;100),AND(P$5&gt;0,P$5&lt;100)),
VLOOKUP(FLOOR(('Final Term'!P36/P$5)*100,1),new_transmute,3,FALSE),
VLOOKUP('Final Term'!P36,new_transmute,3,FALSE)
),
IF(Info!$B$4="Board program (Medicine)",
IF(OR(AND(P$5&gt;0,P$5&gt;100),AND(P$5&gt;0,P$5&lt;100)),
VLOOKUP(FLOOR(('Final Term'!P36/P$5)*100,1),new_transmute,4,FALSE),
VLOOKUP('Final Term'!P36,new_transmute,4,FALSE)
),
""
)
)
)
)
)
)
)
)
))</f>
        <v/>
      </c>
      <c r="Q36" s="73" t="str">
        <f>IF($B36="","",
IF(Q$5="","",
IF('Final Term'!Q36="",0,
IF(NOT(ISNUMBER('Final Term'!Q36)),"NAN",
IF('Final Term'!Q36&lt;0,"NEG",
IF('Final Term'!Q36&gt;Q$5,"OVER",
IF(AND(Q$5&lt;=100,'Final Term'!Q36&gt;100),"ERR",
IF(Info!$B$4="Non-board program",
IF(OR(AND(Q$5&gt;0,Q$5&gt;100),AND(Q$5&gt;0,Q$5&lt;100)),
VLOOKUP(FLOOR(('Final Term'!Q36/Q$5)*100,1),new_transmute,2,FALSE),
VLOOKUP('Final Term'!Q36,new_transmute,2,FALSE)
),
IF(Info!$B$4="Board program",
IF(OR(AND(Q$5&gt;0,Q$5&gt;100),AND(Q$5&gt;0,Q$5&lt;100)),
VLOOKUP(FLOOR(('Final Term'!Q36/Q$5)*100,1),new_transmute,3,FALSE),
VLOOKUP('Final Term'!Q36,new_transmute,3,FALSE)
),
IF(Info!$B$4="Board program (Medicine)",
IF(OR(AND(Q$5&gt;0,Q$5&gt;100),AND(Q$5&gt;0,Q$5&lt;100)),
VLOOKUP(FLOOR(('Final Term'!Q36/Q$5)*100,1),new_transmute,4,FALSE),
VLOOKUP('Final Term'!Q36,new_transmute,4,FALSE)
),
""
)
)
)
)
)
)
)
)
))</f>
        <v/>
      </c>
      <c r="R36" s="73" t="str">
        <f>IF($B36="","",
IF(R$5="","",
IF('Final Term'!R36="",0,
IF(NOT(ISNUMBER('Final Term'!R36)),"NAN",
IF('Final Term'!R36&lt;0,"NEG",
IF('Final Term'!R36&gt;R$5,"OVER",
IF(AND(R$5&lt;=100,'Final Term'!R36&gt;100),"ERR",
IF(Info!$B$4="Non-board program",
IF(OR(AND(R$5&gt;0,R$5&gt;100),AND(R$5&gt;0,R$5&lt;100)),
VLOOKUP(FLOOR(('Final Term'!R36/R$5)*100,1),new_transmute,2,FALSE),
VLOOKUP('Final Term'!R36,new_transmute,2,FALSE)
),
IF(Info!$B$4="Board program",
IF(OR(AND(R$5&gt;0,R$5&gt;100),AND(R$5&gt;0,R$5&lt;100)),
VLOOKUP(FLOOR(('Final Term'!R36/R$5)*100,1),new_transmute,3,FALSE),
VLOOKUP('Final Term'!R36,new_transmute,3,FALSE)
),
IF(Info!$B$4="Board program (Medicine)",
IF(OR(AND(R$5&gt;0,R$5&gt;100),AND(R$5&gt;0,R$5&lt;100)),
VLOOKUP(FLOOR(('Final Term'!R36/R$5)*100,1),new_transmute,4,FALSE),
VLOOKUP('Final Term'!R36,new_transmute,4,FALSE)
),
""
)
)
)
)
)
)
)
)
))</f>
        <v/>
      </c>
      <c r="S36" s="115" t="str">
        <f t="shared" si="3"/>
        <v/>
      </c>
      <c r="T36" s="73" t="str">
        <f>IF($B36="","",
IF(T$5="","",
IF('Final Term'!T36="",0,
IF(NOT(ISNUMBER('Final Term'!T36)),"NAN",
IF('Final Term'!T36&lt;0,"NEG",
IF('Final Term'!T36&gt;T$5,"OVER",
IF(AND(T$5&lt;=100,'Final Term'!T36&gt;100),"ERR",
IF(Info!$B$4="Non-board program",
IF(OR(AND(T$5&gt;0,T$5&gt;100),AND(T$5&gt;0,T$5&lt;100)),
VLOOKUP(FLOOR(('Final Term'!T36/T$5)*100,1),new_transmute,2,FALSE),
VLOOKUP('Final Term'!T36,new_transmute,2,FALSE)
),
IF(Info!$B$4="Board program",
IF(OR(AND(T$5&gt;0,T$5&gt;100),AND(T$5&gt;0,T$5&lt;100)),
VLOOKUP(FLOOR(('Final Term'!T36/T$5)*100,1),new_transmute,3,FALSE),
VLOOKUP('Final Term'!T36,new_transmute,3,FALSE)
),
IF(Info!$B$4="Board program (Medicine)",
IF(OR(AND(T$5&gt;0,T$5&gt;100),AND(T$5&gt;0,T$5&lt;100)),
VLOOKUP(FLOOR(('Final Term'!T36/T$5)*100,1),new_transmute,4,FALSE),
VLOOKUP('Final Term'!T36,new_transmute,4,FALSE)
),
""
)
)
)
)
)
)
)
)
))</f>
        <v/>
      </c>
      <c r="U36" s="73" t="str">
        <f>IF($B36="","",
IF(U$5="","",
IF('Final Term'!U36="",0,
IF(NOT(ISNUMBER('Final Term'!U36)),"NAN",
IF('Final Term'!U36&lt;0,"NEG",
IF('Final Term'!U36&gt;U$5,"OVER",
IF(AND(U$5&lt;=100,'Final Term'!U36&gt;100),"ERR",
IF(Info!$B$4="Non-board program",
IF(OR(AND(U$5&gt;0,U$5&gt;100),AND(U$5&gt;0,U$5&lt;100)),
VLOOKUP(FLOOR(('Final Term'!U36/U$5)*100,1),new_transmute,2,FALSE),
VLOOKUP('Final Term'!U36,new_transmute,2,FALSE)
),
IF(Info!$B$4="Board program",
IF(OR(AND(U$5&gt;0,U$5&gt;100),AND(U$5&gt;0,U$5&lt;100)),
VLOOKUP(FLOOR(('Final Term'!U36/U$5)*100,1),new_transmute,3,FALSE),
VLOOKUP('Final Term'!U36,new_transmute,3,FALSE)
),
IF(Info!$B$4="Board program (Medicine)",
IF(OR(AND(U$5&gt;0,U$5&gt;100),AND(U$5&gt;0,U$5&lt;100)),
VLOOKUP(FLOOR(('Final Term'!U36/U$5)*100,1),new_transmute,4,FALSE),
VLOOKUP('Final Term'!U36,new_transmute,4,FALSE)
),
""
)
)
)
)
)
)
)
)
))</f>
        <v/>
      </c>
      <c r="V36" s="73" t="str">
        <f>IF($B36="","",
IF(V$5="","",
IF('Final Term'!V36="",0,
IF(NOT(ISNUMBER('Final Term'!V36)),"NAN",
IF('Final Term'!V36&lt;0,"NEG",
IF('Final Term'!V36&gt;V$5,"OVER",
IF(AND(V$5&lt;=100,'Final Term'!V36&gt;100),"ERR",
IF(Info!$B$4="Non-board program",
IF(OR(AND(V$5&gt;0,V$5&gt;100),AND(V$5&gt;0,V$5&lt;100)),
VLOOKUP(FLOOR(('Final Term'!V36/V$5)*100,1),new_transmute,2,FALSE),
VLOOKUP('Final Term'!V36,new_transmute,2,FALSE)
),
IF(Info!$B$4="Board program",
IF(OR(AND(V$5&gt;0,V$5&gt;100),AND(V$5&gt;0,V$5&lt;100)),
VLOOKUP(FLOOR(('Final Term'!V36/V$5)*100,1),new_transmute,3,FALSE),
VLOOKUP('Final Term'!V36,new_transmute,3,FALSE)
),
IF(Info!$B$4="Board program (Medicine)",
IF(OR(AND(V$5&gt;0,V$5&gt;100),AND(V$5&gt;0,V$5&lt;100)),
VLOOKUP(FLOOR(('Final Term'!V36/V$5)*100,1),new_transmute,4,FALSE),
VLOOKUP('Final Term'!V36,new_transmute,4,FALSE)
),
""
)
)
)
)
)
)
)
)
))</f>
        <v/>
      </c>
      <c r="W36" s="73" t="str">
        <f>IF($B36="","",
IF(W$5="","",
IF('Final Term'!W36="",0,
IF(NOT(ISNUMBER('Final Term'!W36)),"NAN",
IF('Final Term'!W36&lt;0,"NEG",
IF('Final Term'!W36&gt;W$5,"OVER",
IF(AND(W$5&lt;=100,'Final Term'!W36&gt;100),"ERR",
IF(Info!$B$4="Non-board program",
IF(OR(AND(W$5&gt;0,W$5&gt;100),AND(W$5&gt;0,W$5&lt;100)),
VLOOKUP(FLOOR(('Final Term'!W36/W$5)*100,1),new_transmute,2,FALSE),
VLOOKUP('Final Term'!W36,new_transmute,2,FALSE)
),
IF(Info!$B$4="Board program",
IF(OR(AND(W$5&gt;0,W$5&gt;100),AND(W$5&gt;0,W$5&lt;100)),
VLOOKUP(FLOOR(('Final Term'!W36/W$5)*100,1),new_transmute,3,FALSE),
VLOOKUP('Final Term'!W36,new_transmute,3,FALSE)
),
IF(Info!$B$4="Board program (Medicine)",
IF(OR(AND(W$5&gt;0,W$5&gt;100),AND(W$5&gt;0,W$5&lt;100)),
VLOOKUP(FLOOR(('Final Term'!W36/W$5)*100,1),new_transmute,4,FALSE),
VLOOKUP('Final Term'!W36,new_transmute,4,FALSE)
),
""
)
)
)
)
)
)
)
)
))</f>
        <v/>
      </c>
      <c r="X36" s="73" t="str">
        <f>IF($B36="","",
IF(X$5="","",
IF('Final Term'!X36="",0,
IF(NOT(ISNUMBER('Final Term'!X36)),"NAN",
IF('Final Term'!X36&lt;0,"NEG",
IF('Final Term'!X36&gt;X$5,"OVER",
IF(AND(X$5&lt;=100,'Final Term'!X36&gt;100),"ERR",
IF(Info!$B$4="Non-board program",
IF(OR(AND(X$5&gt;0,X$5&gt;100),AND(X$5&gt;0,X$5&lt;100)),
VLOOKUP(FLOOR(('Final Term'!X36/X$5)*100,1),new_transmute,2,FALSE),
VLOOKUP('Final Term'!X36,new_transmute,2,FALSE)
),
IF(Info!$B$4="Board program",
IF(OR(AND(X$5&gt;0,X$5&gt;100),AND(X$5&gt;0,X$5&lt;100)),
VLOOKUP(FLOOR(('Final Term'!X36/X$5)*100,1),new_transmute,3,FALSE),
VLOOKUP('Final Term'!X36,new_transmute,3,FALSE)
),
IF(Info!$B$4="Board program (Medicine)",
IF(OR(AND(X$5&gt;0,X$5&gt;100),AND(X$5&gt;0,X$5&lt;100)),
VLOOKUP(FLOOR(('Final Term'!X36/X$5)*100,1),new_transmute,4,FALSE),
VLOOKUP('Final Term'!X36,new_transmute,4,FALSE)
),
""
)
)
)
)
)
)
)
)
))</f>
        <v/>
      </c>
      <c r="Y36" s="112" t="str">
        <f t="shared" si="4"/>
        <v/>
      </c>
      <c r="Z36" s="73" t="str">
        <f>IF($B36="","",
IF(Z$5="","",
IF('Final Term'!Z36="",0,
IF(NOT(ISNUMBER('Final Term'!Z36)),"NAN",
IF('Final Term'!Z36&lt;0,"NEG",
IF('Final Term'!Z36&gt;Z$5,"OVER",
IF(AND(Z$5&lt;=100,'Final Term'!Z36&gt;100),"ERR",
IF(Info!$B$4="Non-board program",
IF(OR(AND(Z$5&gt;0,Z$5&gt;100),AND(Z$5&gt;0,Z$5&lt;100)),
VLOOKUP(FLOOR(('Final Term'!Z36/Z$5)*100,1),new_transmute,2,FALSE),
VLOOKUP('Final Term'!Z36,new_transmute,2,FALSE)
),
IF(Info!$B$4="Board program",
IF(OR(AND(Z$5&gt;0,Z$5&gt;100),AND(Z$5&gt;0,Z$5&lt;100)),
VLOOKUP(FLOOR(('Final Term'!Z36/Z$5)*100,1),new_transmute,3,FALSE),
VLOOKUP('Final Term'!Z36,new_transmute,3,FALSE)
),
IF(Info!$B$4="Board program (Medicine)",
IF(OR(AND(Z$5&gt;0,Z$5&gt;100),AND(Z$5&gt;0,Z$5&lt;100)),
VLOOKUP(FLOOR(('Final Term'!Z36/Z$5)*100,1),new_transmute,4,FALSE),
VLOOKUP('Final Term'!Z36,new_transmute,4,FALSE)
),
""
)
)
)
)
)
)
)
)
))</f>
        <v/>
      </c>
      <c r="AA36" s="73" t="str">
        <f>IF($B36="","",
IF(AA$5="","",
IF('Final Term'!AA36="",0,
IF(NOT(ISNUMBER('Final Term'!AA36)),"NAN",
IF('Final Term'!AA36&lt;0,"NEG",
IF('Final Term'!AA36&gt;AA$5,"OVER",
IF(AND(AA$5&lt;=100,'Final Term'!AA36&gt;100),"ERR",
IF(Info!$B$4="Non-board program",
IF(OR(AND(AA$5&gt;0,AA$5&gt;100),AND(AA$5&gt;0,AA$5&lt;100)),
VLOOKUP(FLOOR(('Final Term'!AA36/AA$5)*100,1),new_transmute,2,FALSE),
VLOOKUP('Final Term'!AA36,new_transmute,2,FALSE)
),
IF(Info!$B$4="Board program",
IF(OR(AND(AA$5&gt;0,AA$5&gt;100),AND(AA$5&gt;0,AA$5&lt;100)),
VLOOKUP(FLOOR(('Final Term'!AA36/AA$5)*100,1),new_transmute,3,FALSE),
VLOOKUP('Final Term'!AA36,new_transmute,3,FALSE)
),
IF(Info!$B$4="Board program (Medicine)",
IF(OR(AND(AA$5&gt;0,AA$5&gt;100),AND(AA$5&gt;0,AA$5&lt;100)),
VLOOKUP(FLOOR(('Final Term'!AA36/AA$5)*100,1),new_transmute,4,FALSE),
VLOOKUP('Final Term'!AA36,new_transmute,4,FALSE)
),
""
)
)
)
)
)
)
)
)
))</f>
        <v/>
      </c>
      <c r="AB36" s="73" t="str">
        <f>IF($B36="","",
IF(AB$5="","",
IF('Final Term'!AB36="",0,
IF(NOT(ISNUMBER('Final Term'!AB36)),"NAN",
IF('Final Term'!AB36&lt;0,"NEG",
IF('Final Term'!AB36&gt;AB$5,"OVER",
IF(AND(AB$5&lt;=100,'Final Term'!AB36&gt;100),"ERR",
IF(Info!$B$4="Non-board program",
IF(OR(AND(AB$5&gt;0,AB$5&gt;100),AND(AB$5&gt;0,AB$5&lt;100)),
VLOOKUP(FLOOR(('Final Term'!AB36/AB$5)*100,1),new_transmute,2,FALSE),
VLOOKUP('Final Term'!AB36,new_transmute,2,FALSE)
),
IF(Info!$B$4="Board program",
IF(OR(AND(AB$5&gt;0,AB$5&gt;100),AND(AB$5&gt;0,AB$5&lt;100)),
VLOOKUP(FLOOR(('Final Term'!AB36/AB$5)*100,1),new_transmute,3,FALSE),
VLOOKUP('Final Term'!AB36,new_transmute,3,FALSE)
),
IF(Info!$B$4="Board program (Medicine)",
IF(OR(AND(AB$5&gt;0,AB$5&gt;100),AND(AB$5&gt;0,AB$5&lt;100)),
VLOOKUP(FLOOR(('Final Term'!AB36/AB$5)*100,1),new_transmute,4,FALSE),
VLOOKUP('Final Term'!AB36,new_transmute,4,FALSE)
),
""
)
)
)
)
)
)
)
)
))</f>
        <v/>
      </c>
      <c r="AC36" s="73" t="str">
        <f>IF($B36="","",
IF(AC$5="","",
IF('Final Term'!AC36="",0,
IF(NOT(ISNUMBER('Final Term'!AC36)),"NAN",
IF('Final Term'!AC36&lt;0,"NEG",
IF('Final Term'!AC36&gt;AC$5,"OVER",
IF(AND(AC$5&lt;=100,'Final Term'!AC36&gt;100),"ERR",
IF(Info!$B$4="Non-board program",
IF(OR(AND(AC$5&gt;0,AC$5&gt;100),AND(AC$5&gt;0,AC$5&lt;100)),
VLOOKUP(FLOOR(('Final Term'!AC36/AC$5)*100,1),new_transmute,2,FALSE),
VLOOKUP('Final Term'!AC36,new_transmute,2,FALSE)
),
IF(Info!$B$4="Board program",
IF(OR(AND(AC$5&gt;0,AC$5&gt;100),AND(AC$5&gt;0,AC$5&lt;100)),
VLOOKUP(FLOOR(('Final Term'!AC36/AC$5)*100,1),new_transmute,3,FALSE),
VLOOKUP('Final Term'!AC36,new_transmute,3,FALSE)
),
IF(Info!$B$4="Board program (Medicine)",
IF(OR(AND(AC$5&gt;0,AC$5&gt;100),AND(AC$5&gt;0,AC$5&lt;100)),
VLOOKUP(FLOOR(('Final Term'!AC36/AC$5)*100,1),new_transmute,4,FALSE),
VLOOKUP('Final Term'!AC36,new_transmute,4,FALSE)
),
""
)
)
)
)
)
)
)
)
))</f>
        <v/>
      </c>
      <c r="AD36" s="73" t="str">
        <f>IF($B36="","",
IF(AD$5="","",
IF('Final Term'!AD36="",0,
IF(NOT(ISNUMBER('Final Term'!AD36)),"NAN",
IF('Final Term'!AD36&lt;0,"NEG",
IF('Final Term'!AD36&gt;AD$5,"OVER",
IF(AND(AD$5&lt;=100,'Final Term'!AD36&gt;100),"ERR",
IF(Info!$B$4="Non-board program",
IF(OR(AND(AD$5&gt;0,AD$5&gt;100),AND(AD$5&gt;0,AD$5&lt;100)),
VLOOKUP(FLOOR(('Final Term'!AD36/AD$5)*100,1),new_transmute,2,FALSE),
VLOOKUP('Final Term'!AD36,new_transmute,2,FALSE)
),
IF(Info!$B$4="Board program",
IF(OR(AND(AD$5&gt;0,AD$5&gt;100),AND(AD$5&gt;0,AD$5&lt;100)),
VLOOKUP(FLOOR(('Final Term'!AD36/AD$5)*100,1),new_transmute,3,FALSE),
VLOOKUP('Final Term'!AD36,new_transmute,3,FALSE)
),
IF(Info!$B$4="Board program (Medicine)",
IF(OR(AND(AD$5&gt;0,AD$5&gt;100),AND(AD$5&gt;0,AD$5&lt;100)),
VLOOKUP(FLOOR(('Final Term'!AD36/AD$5)*100,1),new_transmute,4,FALSE),
VLOOKUP('Final Term'!AD36,new_transmute,4,FALSE)
),
""
)
)
)
)
)
)
)
)
))</f>
        <v/>
      </c>
      <c r="AE36" s="58" t="str">
        <f t="shared" si="5"/>
        <v/>
      </c>
      <c r="AF36" s="73" t="str">
        <f>IF($B36="","",
IF(AF$5="","",
IF('Final Term'!AF36="",0,
IF(NOT(ISNUMBER('Final Term'!AF36)),"NAN",
IF('Final Term'!AF36&lt;0,"NEG",
IF('Final Term'!AF36&gt;AF$5,"OVER",
IF(AND(AF$5&lt;=100,'Final Term'!AF36&gt;100),"ERR",
IF(Info!$B$4="Non-board program",
IF(OR(AND(AF$5&gt;0,AF$5&gt;100),AND(AF$5&gt;0,AF$5&lt;100)),
VLOOKUP(FLOOR(('Final Term'!AF36/AF$5)*100,1),new_transmute,2,FALSE),
VLOOKUP('Final Term'!AF36,new_transmute,2,FALSE)
),
IF(Info!$B$4="Board program",
IF(OR(AND(AF$5&gt;0,AF$5&gt;100),AND(AF$5&gt;0,AF$5&lt;100)),
VLOOKUP(FLOOR(('Final Term'!AF36/AF$5)*100,1),new_transmute,3,FALSE),
VLOOKUP('Final Term'!AF36,new_transmute,3,FALSE)
),
IF(Info!$B$4="Board program (Medicine)",
IF(OR(AND(AF$5&gt;0,AF$5&gt;100),AND(AF$5&gt;0,AF$5&lt;100)),
VLOOKUP(FLOOR(('Final Term'!AF36/AF$5)*100,1),new_transmute,4,FALSE),
VLOOKUP('Final Term'!AF36,new_transmute,4,FALSE)
),
""
)
)
)
)
)
)
)
)
))</f>
        <v/>
      </c>
      <c r="AG36" s="73" t="str">
        <f>IF($B36="","",
IF(AG$5="","",
IF('Final Term'!AG36="",0,
IF(NOT(ISNUMBER('Final Term'!AG36)),"NAN",
IF('Final Term'!AG36&lt;0,"NEG",
IF('Final Term'!AG36&gt;AG$5,"OVER",
IF(AND(AG$5&lt;=100,'Final Term'!AG36&gt;100),"ERR",
IF(Info!$B$4="Non-board program",
IF(OR(AND(AG$5&gt;0,AG$5&gt;100),AND(AG$5&gt;0,AG$5&lt;100)),
VLOOKUP(FLOOR(('Final Term'!AG36/AG$5)*100,1),new_transmute,2,FALSE),
VLOOKUP('Final Term'!AG36,new_transmute,2,FALSE)
),
IF(Info!$B$4="Board program",
IF(OR(AND(AG$5&gt;0,AG$5&gt;100),AND(AG$5&gt;0,AG$5&lt;100)),
VLOOKUP(FLOOR(('Final Term'!AG36/AG$5)*100,1),new_transmute,3,FALSE),
VLOOKUP('Final Term'!AG36,new_transmute,3,FALSE)
),
IF(Info!$B$4="Board program (Medicine)",
IF(OR(AND(AG$5&gt;0,AG$5&gt;100),AND(AG$5&gt;0,AG$5&lt;100)),
VLOOKUP(FLOOR(('Final Term'!AG36/AG$5)*100,1),new_transmute,4,FALSE),
VLOOKUP('Final Term'!AG36,new_transmute,4,FALSE)
),
""
)
)
)
)
)
)
)
)
))</f>
        <v/>
      </c>
      <c r="AH36" s="73" t="str">
        <f>IF($B36="","",
IF(AH$5="","",
IF('Final Term'!AH36="",0,
IF(NOT(ISNUMBER('Final Term'!AH36)),"NAN",
IF('Final Term'!AH36&lt;0,"NEG",
IF('Final Term'!AH36&gt;AH$5,"OVER",
IF(AND(AH$5&lt;=100,'Final Term'!AH36&gt;100),"ERR",
IF(Info!$B$4="Non-board program",
IF(OR(AND(AH$5&gt;0,AH$5&gt;100),AND(AH$5&gt;0,AH$5&lt;100)),
VLOOKUP(FLOOR(('Final Term'!AH36/AH$5)*100,1),new_transmute,2,FALSE),
VLOOKUP('Final Term'!AH36,new_transmute,2,FALSE)
),
IF(Info!$B$4="Board program",
IF(OR(AND(AH$5&gt;0,AH$5&gt;100),AND(AH$5&gt;0,AH$5&lt;100)),
VLOOKUP(FLOOR(('Final Term'!AH36/AH$5)*100,1),new_transmute,3,FALSE),
VLOOKUP('Final Term'!AH36,new_transmute,3,FALSE)
),
IF(Info!$B$4="Board program (Medicine)",
IF(OR(AND(AH$5&gt;0,AH$5&gt;100),AND(AH$5&gt;0,AH$5&lt;100)),
VLOOKUP(FLOOR(('Final Term'!AH36/AH$5)*100,1),new_transmute,4,FALSE),
VLOOKUP('Final Term'!AH36,new_transmute,4,FALSE)
),
""
)
)
)
)
)
)
)
)
))</f>
        <v/>
      </c>
      <c r="AI36" s="73" t="str">
        <f>IF($B36="","",
IF(AI$5="","",
IF('Final Term'!AI36="",0,
IF(NOT(ISNUMBER('Final Term'!AI36)),"NAN",
IF('Final Term'!AI36&lt;0,"NEG",
IF('Final Term'!AI36&gt;AI$5,"OVER",
IF(AND(AI$5&lt;=100,'Final Term'!AI36&gt;100),"ERR",
IF(Info!$B$4="Non-board program",
IF(OR(AND(AI$5&gt;0,AI$5&gt;100),AND(AI$5&gt;0,AI$5&lt;100)),
VLOOKUP(FLOOR(('Final Term'!AI36/AI$5)*100,1),new_transmute,2,FALSE),
VLOOKUP('Final Term'!AI36,new_transmute,2,FALSE)
),
IF(Info!$B$4="Board program",
IF(OR(AND(AI$5&gt;0,AI$5&gt;100),AND(AI$5&gt;0,AI$5&lt;100)),
VLOOKUP(FLOOR(('Final Term'!AI36/AI$5)*100,1),new_transmute,3,FALSE),
VLOOKUP('Final Term'!AI36,new_transmute,3,FALSE)
),
IF(Info!$B$4="Board program (Medicine)",
IF(OR(AND(AI$5&gt;0,AI$5&gt;100),AND(AI$5&gt;0,AI$5&lt;100)),
VLOOKUP(FLOOR(('Final Term'!AI36/AI$5)*100,1),new_transmute,4,FALSE),
VLOOKUP('Final Term'!AI36,new_transmute,4,FALSE)
),
""
)
)
)
)
)
)
)
)
))</f>
        <v/>
      </c>
      <c r="AJ36" s="73" t="str">
        <f>IF($B36="","",
IF(AJ$5="","",
IF('Final Term'!AJ36="",0,
IF(NOT(ISNUMBER('Final Term'!AJ36)),"NAN",
IF('Final Term'!AJ36&lt;0,"NEG",
IF('Final Term'!AJ36&gt;AJ$5,"OVER",
IF(AND(AJ$5&lt;=100,'Final Term'!AJ36&gt;100),"ERR",
IF(Info!$B$4="Non-board program",
IF(OR(AND(AJ$5&gt;0,AJ$5&gt;100),AND(AJ$5&gt;0,AJ$5&lt;100)),
VLOOKUP(FLOOR(('Final Term'!AJ36/AJ$5)*100,1),new_transmute,2,FALSE),
VLOOKUP('Final Term'!AJ36,new_transmute,2,FALSE)
),
IF(Info!$B$4="Board program",
IF(OR(AND(AJ$5&gt;0,AJ$5&gt;100),AND(AJ$5&gt;0,AJ$5&lt;100)),
VLOOKUP(FLOOR(('Final Term'!AJ36/AJ$5)*100,1),new_transmute,3,FALSE),
VLOOKUP('Final Term'!AJ36,new_transmute,3,FALSE)
),
IF(Info!$B$4="Board program (Medicine)",
IF(OR(AND(AJ$5&gt;0,AJ$5&gt;100),AND(AJ$5&gt;0,AJ$5&lt;100)),
VLOOKUP(FLOOR(('Final Term'!AJ36/AJ$5)*100,1),new_transmute,4,FALSE),
VLOOKUP('Final Term'!AJ36,new_transmute,4,FALSE)
),
""
)
)
)
)
)
)
)
)
))</f>
        <v/>
      </c>
      <c r="AK36" s="59" t="str">
        <f t="shared" si="6"/>
        <v/>
      </c>
      <c r="AL36" s="60" t="str">
        <f>IF(B36="", "",
    IF(OR(M36="OVER", S36="OVER", Y36="OVER", AE36="OVER", AK36="OVER"),
        "OVER",
        IF(Info!$B$4="Non-board program",
            VLOOKUP(IFERROR(FLOOR(SUM((M36*$M$4), (S36*$S$4), (Y36*$Y$4), (AE36*$AE$4), (AK36*$AK$4)) * (100 / 60), 1), 0), new_transmute, 2, FALSE),
            IF(Info!$B$4="Board program",
                VLOOKUP(IFERROR(FLOOR(SUM((M36*$M$4), (S36*$S$4), (Y36*$Y$4), (AE36*$AE$4), (AK36*$AK$4)) * (100 / 60), 1), 0), new_transmute, 3, FALSE),
                IF(Info!$B$4="Board program (Medicine)",
                    VLOOKUP(IFERROR(FLOOR(SUM((M36*$M$4), (S36*$S$4), (Y36*$Y$4), (AE36*$AE$4), (AK36*$AK$4)) * (100 / 60), 1), 0), new_transmute, 4, FALSE),
                    ""
                )
            )
        )
    )
)</f>
        <v/>
      </c>
      <c r="AM36" s="73" t="str">
        <f>IF($B36="","",
IF(AM$5="","",
IF('Final Term'!AM36="",0,
IF(NOT(ISNUMBER('Final Term'!AM36)),"NAN",
IF('Final Term'!AM36&lt;0,"NEG",
IF('Final Term'!AM36&gt;AM$5,"OVER",
IF(AND(AM$5&lt;=100,'Final Term'!AM36&gt;100),"ERR",
IF(Info!$B$4="Non-board program",
IF(OR(AND(AM$5&gt;0,AM$5&gt;100),AND(AM$5&gt;0,AM$5&lt;100)),
VLOOKUP(FLOOR(('Final Term'!AM36/AM$5)*100,1),new_transmute,2,FALSE),
VLOOKUP('Final Term'!AM36,new_transmute,2,FALSE)
),
IF(Info!$B$4="Board program",
IF(OR(AND(AM$5&gt;0,AM$5&gt;100),AND(AM$5&gt;0,AM$5&lt;100)),
VLOOKUP(FLOOR(('Final Term'!AM36/AM$5)*100,1),new_transmute,3,FALSE),
VLOOKUP('Final Term'!AM36,new_transmute,3,FALSE)
),
IF(Info!$B$4="Board program (Medicine)",
IF(OR(AND(AM$5&gt;0,AM$5&gt;100),AND(AM$5&gt;0,AM$5&lt;100)),
VLOOKUP(FLOOR(('Final Term'!AM36/AM$5)*100,1),new_transmute,4,FALSE),
VLOOKUP('Final Term'!AM36,new_transmute,4,FALSE)
),
""
)
)
)
)
)
)
)
)
))</f>
        <v/>
      </c>
      <c r="AN36" s="73" t="str">
        <f>IF($B36="","",
IF(AN$5="","",
IF('Final Term'!AN36="",0,
IF(NOT(ISNUMBER('Final Term'!AN36)),"NAN",
IF('Final Term'!AN36&lt;0,"NEG",
IF('Final Term'!AN36&gt;AN$5,"OVER",
IF(AND(AN$5&lt;=100,'Final Term'!AN36&gt;100),"ERR",
IF(Info!$B$4="Non-board program",
IF(OR(AND(AN$5&gt;0,AN$5&gt;100),AND(AN$5&gt;0,AN$5&lt;100)),
VLOOKUP(FLOOR(('Final Term'!AN36/AN$5)*100,1),new_transmute,2,FALSE),
VLOOKUP('Final Term'!AN36,new_transmute,2,FALSE)
),
IF(Info!$B$4="Board program",
IF(OR(AND(AN$5&gt;0,AN$5&gt;100),AND(AN$5&gt;0,AN$5&lt;100)),
VLOOKUP(FLOOR(('Final Term'!AN36/AN$5)*100,1),new_transmute,3,FALSE),
VLOOKUP('Final Term'!AN36,new_transmute,3,FALSE)
),
IF(Info!$B$4="Board program (Medicine)",
IF(OR(AND(AN$5&gt;0,AN$5&gt;100),AND(AN$5&gt;0,AN$5&lt;100)),
VLOOKUP(FLOOR(('Final Term'!AN36/AN$5)*100,1),new_transmute,4,FALSE),
VLOOKUP('Final Term'!AN36,new_transmute,4,FALSE)
),
""
)
)
)
)
)
)
)
)
))</f>
        <v/>
      </c>
      <c r="AO36" s="73" t="str">
        <f>IF($B36="","",
IF(AO$5="","",
IF('Final Term'!AO36="",0,
IF(NOT(ISNUMBER('Final Term'!AO36)),"NAN",
IF('Final Term'!AO36&lt;0,"NEG",
IF('Final Term'!AO36&gt;AO$5,"OVER",
IF(AND(AO$5&lt;=100,'Final Term'!AO36&gt;100),"ERR",
IF(Info!$B$4="Non-board program",
IF(OR(AND(AO$5&gt;0,AO$5&gt;100),AND(AO$5&gt;0,AO$5&lt;100)),
VLOOKUP(FLOOR(('Final Term'!AO36/AO$5)*100,1),new_transmute,2,FALSE),
VLOOKUP('Final Term'!AO36,new_transmute,2,FALSE)
),
IF(Info!$B$4="Board program",
IF(OR(AND(AO$5&gt;0,AO$5&gt;100),AND(AO$5&gt;0,AO$5&lt;100)),
VLOOKUP(FLOOR(('Final Term'!AO36/AO$5)*100,1),new_transmute,3,FALSE),
VLOOKUP('Final Term'!AO36,new_transmute,3,FALSE)
),
IF(Info!$B$4="Board program (Medicine)",
IF(OR(AND(AO$5&gt;0,AO$5&gt;100),AND(AO$5&gt;0,AO$5&lt;100)),
VLOOKUP(FLOOR(('Final Term'!AO36/AO$5)*100,1),new_transmute,4,FALSE),
VLOOKUP('Final Term'!AO36,new_transmute,4,FALSE)
),
""
)
)
)
)
)
)
)
)
))</f>
        <v/>
      </c>
      <c r="AP36" s="73" t="str">
        <f>IF($B36="","",
IF(AP$5="","",
IF('Final Term'!AP36="",0,
IF(NOT(ISNUMBER('Final Term'!AP36)),"NAN",
IF('Final Term'!AP36&lt;0,"NEG",
IF('Final Term'!AP36&gt;AP$5,"OVER",
IF(AND(AP$5&lt;=100,'Final Term'!AP36&gt;100),"ERR",
IF(Info!$B$4="Non-board program",
IF(OR(AND(AP$5&gt;0,AP$5&gt;100),AND(AP$5&gt;0,AP$5&lt;100)),
VLOOKUP(FLOOR(('Final Term'!AP36/AP$5)*100,1),new_transmute,2,FALSE),
VLOOKUP('Final Term'!AP36,new_transmute,2,FALSE)
),
IF(Info!$B$4="Board program",
IF(OR(AND(AP$5&gt;0,AP$5&gt;100),AND(AP$5&gt;0,AP$5&lt;100)),
VLOOKUP(FLOOR(('Final Term'!AP36/AP$5)*100,1),new_transmute,3,FALSE),
VLOOKUP('Final Term'!AP36,new_transmute,3,FALSE)
),
IF(Info!$B$4="Board program (Medicine)",
IF(OR(AND(AP$5&gt;0,AP$5&gt;100),AND(AP$5&gt;0,AP$5&lt;100)),
VLOOKUP(FLOOR(('Final Term'!AP36/AP$5)*100,1),new_transmute,4,FALSE),
VLOOKUP('Final Term'!AP36,new_transmute,4,FALSE)
),
""
)
)
)
)
)
)
)
)
))</f>
        <v/>
      </c>
      <c r="AQ36" s="61" t="str">
        <f t="shared" si="7"/>
        <v/>
      </c>
      <c r="AR36" s="48" t="str">
        <f>IF('Final Term'!AR36="","",'Final Term'!AR36)</f>
        <v/>
      </c>
      <c r="AS36" s="165" t="str">
        <f t="shared" si="8"/>
        <v/>
      </c>
      <c r="AT36" s="14" t="str">
        <f t="shared" si="0"/>
        <v/>
      </c>
      <c r="AU36" s="13" t="str">
        <f>IF(B36="","",VLOOKUP(AT36,'New Grade Equivalent'!$B$3:$C$47,2,FALSE))</f>
        <v/>
      </c>
    </row>
    <row r="37" spans="1:47" x14ac:dyDescent="0.25">
      <c r="A37" s="8">
        <v>32</v>
      </c>
      <c r="B37" s="2" t="str">
        <f>IF('Student List'!C41="","",UPPER(LEFT('Student List'!C41,FIND(",",'Student List'!C41)-1)))</f>
        <v/>
      </c>
      <c r="C37" s="12" t="str">
        <f>IF('Student List'!C41="","",PROPER(MID('Student List'!C41, FIND(",", 'Student List'!C41) + 2, LEN('Student List'!C41) - FIND(",", 'Student List'!C41) - 1)))</f>
        <v/>
      </c>
      <c r="D37" s="127" t="str">
        <f>IF('Final Term'!D37="","",'Final Term'!D37)</f>
        <v/>
      </c>
      <c r="E37" s="8" t="str">
        <f>IF(MidCom!E37="FA", "FA",
    IF(MidCom!E37="DRP", "DRP",
        IF(MidCom!E37="WF", "WF",
            IF(D37="Yes", "INC",
               IF((SUM('MT Attendance'!AW35) / 3 + SUM('MT Attendance'!AY35) + SUM('FT Attendance'!AW35) / 3 + SUM('FT Attendance'!AY35)) &gt;= 0.2 * (SUMPRODUCT(--(ISTEXT('MT Attendance'!$C$2:$AU$2))) + SUMPRODUCT(--(ISTEXT('FT Attendance'!$C$2:$AU$2)))), "FA",
                   MidCom!E37
                )
            )
        )
    )
)</f>
        <v/>
      </c>
      <c r="F37" s="73" t="str">
        <f>IF($B37="","",
IF(F$5="","",
IF('Final Term'!F37="",0,
IF(NOT(ISNUMBER('Final Term'!F37)),"NAN",
IF('Final Term'!F37&lt;0,"NEG",
IF('Final Term'!F37&gt;F$5,"OVER",
IF(AND(F$5&lt;=100,'Final Term'!F37&gt;100),"ERR",
IF(Info!$B$4="Non-board program",
IF(OR(AND(F$5&gt;0,F$5&gt;100),AND(F$5&gt;0,F$5&lt;100)),
VLOOKUP(FLOOR(('Final Term'!F37/F$5)*100,1),new_transmute,2,FALSE),
VLOOKUP('Final Term'!F37,new_transmute,2,FALSE)
),
IF(Info!$B$4="Board program",
IF(OR(AND(F$5&gt;0,F$5&gt;100),AND(F$5&gt;0,F$5&lt;100)),
VLOOKUP(FLOOR(('Final Term'!F37/F$5)*100,1),new_transmute,3,FALSE),
VLOOKUP('Final Term'!F37,new_transmute,3,FALSE)
),
IF(Info!$B$4="Board program (Medicine)",
IF(OR(AND(F$5&gt;0,F$5&gt;100),AND(F$5&gt;0,F$5&lt;100)),
VLOOKUP(FLOOR(('Final Term'!F37/F$5)*100,1),new_transmute,4,FALSE),
VLOOKUP('Final Term'!F37,new_transmute,4,FALSE)
),
""
)
)
)
)
)
)
)
)
))</f>
        <v/>
      </c>
      <c r="G37" s="57" t="str">
        <f t="shared" si="1"/>
        <v/>
      </c>
      <c r="H37" s="73" t="str">
        <f>IF($B37="","",
IF(H$5="","",
IF('Final Term'!H37="",0,
IF(NOT(ISNUMBER('Final Term'!H37)),"NAN",
IF('Final Term'!H37&lt;0,"NEG",
IF('Final Term'!H37&gt;H$5,"OVER",
IF(AND(H$5&lt;=100,'Final Term'!H37&gt;100),"ERR",
IF(Info!$B$4="Non-board program",
IF(OR(AND(H$5&gt;0,H$5&gt;100),AND(H$5&gt;0,H$5&lt;100)),
VLOOKUP(FLOOR(('Final Term'!H37/H$5)*100,1),new_transmute,2,FALSE),
VLOOKUP('Final Term'!H37,new_transmute,2,FALSE)
),
IF(Info!$B$4="Board program",
IF(OR(AND(H$5&gt;0,H$5&gt;100),AND(H$5&gt;0,H$5&lt;100)),
VLOOKUP(FLOOR(('Final Term'!H37/H$5)*100,1),new_transmute,3,FALSE),
VLOOKUP('Final Term'!H37,new_transmute,3,FALSE)
),
IF(Info!$B$4="Board program (Medicine)",
IF(OR(AND(H$5&gt;0,H$5&gt;100),AND(H$5&gt;0,H$5&lt;100)),
VLOOKUP(FLOOR(('Final Term'!H37/H$5)*100,1),new_transmute,4,FALSE),
VLOOKUP('Final Term'!H37,new_transmute,4,FALSE)
),
""
)
)
)
)
)
)
)
)
))</f>
        <v/>
      </c>
      <c r="I37" s="73" t="str">
        <f>IF($B37="","",
IF(I$5="","",
IF('Final Term'!I37="",0,
IF(NOT(ISNUMBER('Final Term'!I37)),"NAN",
IF('Final Term'!I37&lt;0,"NEG",
IF('Final Term'!I37&gt;I$5,"OVER",
IF(AND(I$5&lt;=100,'Final Term'!I37&gt;100),"ERR",
IF(Info!$B$4="Non-board program",
IF(OR(AND(I$5&gt;0,I$5&gt;100),AND(I$5&gt;0,I$5&lt;100)),
VLOOKUP(FLOOR(('Final Term'!I37/I$5)*100,1),new_transmute,2,FALSE),
VLOOKUP('Final Term'!I37,new_transmute,2,FALSE)
),
IF(Info!$B$4="Board program",
IF(OR(AND(I$5&gt;0,I$5&gt;100),AND(I$5&gt;0,I$5&lt;100)),
VLOOKUP(FLOOR(('Final Term'!I37/I$5)*100,1),new_transmute,3,FALSE),
VLOOKUP('Final Term'!I37,new_transmute,3,FALSE)
),
IF(Info!$B$4="Board program (Medicine)",
IF(OR(AND(I$5&gt;0,I$5&gt;100),AND(I$5&gt;0,I$5&lt;100)),
VLOOKUP(FLOOR(('Final Term'!I37/I$5)*100,1),new_transmute,4,FALSE),
VLOOKUP('Final Term'!I37,new_transmute,4,FALSE)
),
""
)
)
)
)
)
)
)
)
))</f>
        <v/>
      </c>
      <c r="J37" s="73" t="str">
        <f>IF($B37="","",
IF(J$5="","",
IF('Final Term'!J37="",0,
IF(NOT(ISNUMBER('Final Term'!J37)),"NAN",
IF('Final Term'!J37&lt;0,"NEG",
IF('Final Term'!J37&gt;J$5,"OVER",
IF(AND(J$5&lt;=100,'Final Term'!J37&gt;100),"ERR",
IF(Info!$B$4="Non-board program",
IF(OR(AND(J$5&gt;0,J$5&gt;100),AND(J$5&gt;0,J$5&lt;100)),
VLOOKUP(FLOOR(('Final Term'!J37/J$5)*100,1),new_transmute,2,FALSE),
VLOOKUP('Final Term'!J37,new_transmute,2,FALSE)
),
IF(Info!$B$4="Board program",
IF(OR(AND(J$5&gt;0,J$5&gt;100),AND(J$5&gt;0,J$5&lt;100)),
VLOOKUP(FLOOR(('Final Term'!J37/J$5)*100,1),new_transmute,3,FALSE),
VLOOKUP('Final Term'!J37,new_transmute,3,FALSE)
),
IF(Info!$B$4="Board program (Medicine)",
IF(OR(AND(J$5&gt;0,J$5&gt;100),AND(J$5&gt;0,J$5&lt;100)),
VLOOKUP(FLOOR(('Final Term'!J37/J$5)*100,1),new_transmute,4,FALSE),
VLOOKUP('Final Term'!J37,new_transmute,4,FALSE)
),
""
)
)
)
)
)
)
)
)
))</f>
        <v/>
      </c>
      <c r="K37" s="73" t="str">
        <f>IF($B37="","",
IF(K$5="","",
IF('Final Term'!K37="",0,
IF(NOT(ISNUMBER('Final Term'!K37)),"NAN",
IF('Final Term'!K37&lt;0,"NEG",
IF('Final Term'!K37&gt;K$5,"OVER",
IF(AND(K$5&lt;=100,'Final Term'!K37&gt;100),"ERR",
IF(Info!$B$4="Non-board program",
IF(OR(AND(K$5&gt;0,K$5&gt;100),AND(K$5&gt;0,K$5&lt;100)),
VLOOKUP(FLOOR(('Final Term'!K37/K$5)*100,1),new_transmute,2,FALSE),
VLOOKUP('Final Term'!K37,new_transmute,2,FALSE)
),
IF(Info!$B$4="Board program",
IF(OR(AND(K$5&gt;0,K$5&gt;100),AND(K$5&gt;0,K$5&lt;100)),
VLOOKUP(FLOOR(('Final Term'!K37/K$5)*100,1),new_transmute,3,FALSE),
VLOOKUP('Final Term'!K37,new_transmute,3,FALSE)
),
IF(Info!$B$4="Board program (Medicine)",
IF(OR(AND(K$5&gt;0,K$5&gt;100),AND(K$5&gt;0,K$5&lt;100)),
VLOOKUP(FLOOR(('Final Term'!K37/K$5)*100,1),new_transmute,4,FALSE),
VLOOKUP('Final Term'!K37,new_transmute,4,FALSE)
),
""
)
)
)
)
)
)
)
)
))</f>
        <v/>
      </c>
      <c r="L37" s="73" t="str">
        <f>IF($B37="","",
IF(L$5="","",
IF('Final Term'!L37="",0,
IF(NOT(ISNUMBER('Final Term'!L37)),"NAN",
IF('Final Term'!L37&lt;0,"NEG",
IF('Final Term'!L37&gt;L$5,"OVER",
IF(AND(L$5&lt;=100,'Final Term'!L37&gt;100),"ERR",
IF(Info!$B$4="Non-board program",
IF(OR(AND(L$5&gt;0,L$5&gt;100),AND(L$5&gt;0,L$5&lt;100)),
VLOOKUP(FLOOR(('Final Term'!L37/L$5)*100,1),new_transmute,2,FALSE),
VLOOKUP('Final Term'!L37,new_transmute,2,FALSE)
),
IF(Info!$B$4="Board program",
IF(OR(AND(L$5&gt;0,L$5&gt;100),AND(L$5&gt;0,L$5&lt;100)),
VLOOKUP(FLOOR(('Final Term'!L37/L$5)*100,1),new_transmute,3,FALSE),
VLOOKUP('Final Term'!L37,new_transmute,3,FALSE)
),
IF(Info!$B$4="Board program (Medicine)",
IF(OR(AND(L$5&gt;0,L$5&gt;100),AND(L$5&gt;0,L$5&lt;100)),
VLOOKUP(FLOOR(('Final Term'!L37/L$5)*100,1),new_transmute,4,FALSE),
VLOOKUP('Final Term'!L37,new_transmute,4,FALSE)
),
""
)
)
)
)
)
)
)
)
))</f>
        <v/>
      </c>
      <c r="M37" s="111" t="str">
        <f t="shared" si="2"/>
        <v/>
      </c>
      <c r="N37" s="73" t="str">
        <f>IF($B37="","",
IF(N$5="","",
IF('Final Term'!N37="",0,
IF(NOT(ISNUMBER('Final Term'!N37)),"NAN",
IF('Final Term'!N37&lt;0,"NEG",
IF('Final Term'!N37&gt;N$5,"OVER",
IF(AND(N$5&lt;=100,'Final Term'!N37&gt;100),"ERR",
IF(Info!$B$4="Non-board program",
IF(OR(AND(N$5&gt;0,N$5&gt;100),AND(N$5&gt;0,N$5&lt;100)),
VLOOKUP(FLOOR(('Final Term'!N37/N$5)*100,1),new_transmute,2,FALSE),
VLOOKUP('Final Term'!N37,new_transmute,2,FALSE)
),
IF(Info!$B$4="Board program",
IF(OR(AND(N$5&gt;0,N$5&gt;100),AND(N$5&gt;0,N$5&lt;100)),
VLOOKUP(FLOOR(('Final Term'!N37/N$5)*100,1),new_transmute,3,FALSE),
VLOOKUP('Final Term'!N37,new_transmute,3,FALSE)
),
IF(Info!$B$4="Board program (Medicine)",
IF(OR(AND(N$5&gt;0,N$5&gt;100),AND(N$5&gt;0,N$5&lt;100)),
VLOOKUP(FLOOR(('Final Term'!N37/N$5)*100,1),new_transmute,4,FALSE),
VLOOKUP('Final Term'!N37,new_transmute,4,FALSE)
),
""
)
)
)
)
)
)
)
)
))</f>
        <v/>
      </c>
      <c r="O37" s="73" t="str">
        <f>IF($B37="","",
IF(O$5="","",
IF('Final Term'!O37="",0,
IF(NOT(ISNUMBER('Final Term'!O37)),"NAN",
IF('Final Term'!O37&lt;0,"NEG",
IF('Final Term'!O37&gt;O$5,"OVER",
IF(AND(O$5&lt;=100,'Final Term'!O37&gt;100),"ERR",
IF(Info!$B$4="Non-board program",
IF(OR(AND(O$5&gt;0,O$5&gt;100),AND(O$5&gt;0,O$5&lt;100)),
VLOOKUP(FLOOR(('Final Term'!O37/O$5)*100,1),new_transmute,2,FALSE),
VLOOKUP('Final Term'!O37,new_transmute,2,FALSE)
),
IF(Info!$B$4="Board program",
IF(OR(AND(O$5&gt;0,O$5&gt;100),AND(O$5&gt;0,O$5&lt;100)),
VLOOKUP(FLOOR(('Final Term'!O37/O$5)*100,1),new_transmute,3,FALSE),
VLOOKUP('Final Term'!O37,new_transmute,3,FALSE)
),
IF(Info!$B$4="Board program (Medicine)",
IF(OR(AND(O$5&gt;0,O$5&gt;100),AND(O$5&gt;0,O$5&lt;100)),
VLOOKUP(FLOOR(('Final Term'!O37/O$5)*100,1),new_transmute,4,FALSE),
VLOOKUP('Final Term'!O37,new_transmute,4,FALSE)
),
""
)
)
)
)
)
)
)
)
))</f>
        <v/>
      </c>
      <c r="P37" s="73" t="str">
        <f>IF($B37="","",
IF(P$5="","",
IF('Final Term'!P37="",0,
IF(NOT(ISNUMBER('Final Term'!P37)),"NAN",
IF('Final Term'!P37&lt;0,"NEG",
IF('Final Term'!P37&gt;P$5,"OVER",
IF(AND(P$5&lt;=100,'Final Term'!P37&gt;100),"ERR",
IF(Info!$B$4="Non-board program",
IF(OR(AND(P$5&gt;0,P$5&gt;100),AND(P$5&gt;0,P$5&lt;100)),
VLOOKUP(FLOOR(('Final Term'!P37/P$5)*100,1),new_transmute,2,FALSE),
VLOOKUP('Final Term'!P37,new_transmute,2,FALSE)
),
IF(Info!$B$4="Board program",
IF(OR(AND(P$5&gt;0,P$5&gt;100),AND(P$5&gt;0,P$5&lt;100)),
VLOOKUP(FLOOR(('Final Term'!P37/P$5)*100,1),new_transmute,3,FALSE),
VLOOKUP('Final Term'!P37,new_transmute,3,FALSE)
),
IF(Info!$B$4="Board program (Medicine)",
IF(OR(AND(P$5&gt;0,P$5&gt;100),AND(P$5&gt;0,P$5&lt;100)),
VLOOKUP(FLOOR(('Final Term'!P37/P$5)*100,1),new_transmute,4,FALSE),
VLOOKUP('Final Term'!P37,new_transmute,4,FALSE)
),
""
)
)
)
)
)
)
)
)
))</f>
        <v/>
      </c>
      <c r="Q37" s="73" t="str">
        <f>IF($B37="","",
IF(Q$5="","",
IF('Final Term'!Q37="",0,
IF(NOT(ISNUMBER('Final Term'!Q37)),"NAN",
IF('Final Term'!Q37&lt;0,"NEG",
IF('Final Term'!Q37&gt;Q$5,"OVER",
IF(AND(Q$5&lt;=100,'Final Term'!Q37&gt;100),"ERR",
IF(Info!$B$4="Non-board program",
IF(OR(AND(Q$5&gt;0,Q$5&gt;100),AND(Q$5&gt;0,Q$5&lt;100)),
VLOOKUP(FLOOR(('Final Term'!Q37/Q$5)*100,1),new_transmute,2,FALSE),
VLOOKUP('Final Term'!Q37,new_transmute,2,FALSE)
),
IF(Info!$B$4="Board program",
IF(OR(AND(Q$5&gt;0,Q$5&gt;100),AND(Q$5&gt;0,Q$5&lt;100)),
VLOOKUP(FLOOR(('Final Term'!Q37/Q$5)*100,1),new_transmute,3,FALSE),
VLOOKUP('Final Term'!Q37,new_transmute,3,FALSE)
),
IF(Info!$B$4="Board program (Medicine)",
IF(OR(AND(Q$5&gt;0,Q$5&gt;100),AND(Q$5&gt;0,Q$5&lt;100)),
VLOOKUP(FLOOR(('Final Term'!Q37/Q$5)*100,1),new_transmute,4,FALSE),
VLOOKUP('Final Term'!Q37,new_transmute,4,FALSE)
),
""
)
)
)
)
)
)
)
)
))</f>
        <v/>
      </c>
      <c r="R37" s="73" t="str">
        <f>IF($B37="","",
IF(R$5="","",
IF('Final Term'!R37="",0,
IF(NOT(ISNUMBER('Final Term'!R37)),"NAN",
IF('Final Term'!R37&lt;0,"NEG",
IF('Final Term'!R37&gt;R$5,"OVER",
IF(AND(R$5&lt;=100,'Final Term'!R37&gt;100),"ERR",
IF(Info!$B$4="Non-board program",
IF(OR(AND(R$5&gt;0,R$5&gt;100),AND(R$5&gt;0,R$5&lt;100)),
VLOOKUP(FLOOR(('Final Term'!R37/R$5)*100,1),new_transmute,2,FALSE),
VLOOKUP('Final Term'!R37,new_transmute,2,FALSE)
),
IF(Info!$B$4="Board program",
IF(OR(AND(R$5&gt;0,R$5&gt;100),AND(R$5&gt;0,R$5&lt;100)),
VLOOKUP(FLOOR(('Final Term'!R37/R$5)*100,1),new_transmute,3,FALSE),
VLOOKUP('Final Term'!R37,new_transmute,3,FALSE)
),
IF(Info!$B$4="Board program (Medicine)",
IF(OR(AND(R$5&gt;0,R$5&gt;100),AND(R$5&gt;0,R$5&lt;100)),
VLOOKUP(FLOOR(('Final Term'!R37/R$5)*100,1),new_transmute,4,FALSE),
VLOOKUP('Final Term'!R37,new_transmute,4,FALSE)
),
""
)
)
)
)
)
)
)
)
))</f>
        <v/>
      </c>
      <c r="S37" s="115" t="str">
        <f t="shared" si="3"/>
        <v/>
      </c>
      <c r="T37" s="73" t="str">
        <f>IF($B37="","",
IF(T$5="","",
IF('Final Term'!T37="",0,
IF(NOT(ISNUMBER('Final Term'!T37)),"NAN",
IF('Final Term'!T37&lt;0,"NEG",
IF('Final Term'!T37&gt;T$5,"OVER",
IF(AND(T$5&lt;=100,'Final Term'!T37&gt;100),"ERR",
IF(Info!$B$4="Non-board program",
IF(OR(AND(T$5&gt;0,T$5&gt;100),AND(T$5&gt;0,T$5&lt;100)),
VLOOKUP(FLOOR(('Final Term'!T37/T$5)*100,1),new_transmute,2,FALSE),
VLOOKUP('Final Term'!T37,new_transmute,2,FALSE)
),
IF(Info!$B$4="Board program",
IF(OR(AND(T$5&gt;0,T$5&gt;100),AND(T$5&gt;0,T$5&lt;100)),
VLOOKUP(FLOOR(('Final Term'!T37/T$5)*100,1),new_transmute,3,FALSE),
VLOOKUP('Final Term'!T37,new_transmute,3,FALSE)
),
IF(Info!$B$4="Board program (Medicine)",
IF(OR(AND(T$5&gt;0,T$5&gt;100),AND(T$5&gt;0,T$5&lt;100)),
VLOOKUP(FLOOR(('Final Term'!T37/T$5)*100,1),new_transmute,4,FALSE),
VLOOKUP('Final Term'!T37,new_transmute,4,FALSE)
),
""
)
)
)
)
)
)
)
)
))</f>
        <v/>
      </c>
      <c r="U37" s="73" t="str">
        <f>IF($B37="","",
IF(U$5="","",
IF('Final Term'!U37="",0,
IF(NOT(ISNUMBER('Final Term'!U37)),"NAN",
IF('Final Term'!U37&lt;0,"NEG",
IF('Final Term'!U37&gt;U$5,"OVER",
IF(AND(U$5&lt;=100,'Final Term'!U37&gt;100),"ERR",
IF(Info!$B$4="Non-board program",
IF(OR(AND(U$5&gt;0,U$5&gt;100),AND(U$5&gt;0,U$5&lt;100)),
VLOOKUP(FLOOR(('Final Term'!U37/U$5)*100,1),new_transmute,2,FALSE),
VLOOKUP('Final Term'!U37,new_transmute,2,FALSE)
),
IF(Info!$B$4="Board program",
IF(OR(AND(U$5&gt;0,U$5&gt;100),AND(U$5&gt;0,U$5&lt;100)),
VLOOKUP(FLOOR(('Final Term'!U37/U$5)*100,1),new_transmute,3,FALSE),
VLOOKUP('Final Term'!U37,new_transmute,3,FALSE)
),
IF(Info!$B$4="Board program (Medicine)",
IF(OR(AND(U$5&gt;0,U$5&gt;100),AND(U$5&gt;0,U$5&lt;100)),
VLOOKUP(FLOOR(('Final Term'!U37/U$5)*100,1),new_transmute,4,FALSE),
VLOOKUP('Final Term'!U37,new_transmute,4,FALSE)
),
""
)
)
)
)
)
)
)
)
))</f>
        <v/>
      </c>
      <c r="V37" s="73" t="str">
        <f>IF($B37="","",
IF(V$5="","",
IF('Final Term'!V37="",0,
IF(NOT(ISNUMBER('Final Term'!V37)),"NAN",
IF('Final Term'!V37&lt;0,"NEG",
IF('Final Term'!V37&gt;V$5,"OVER",
IF(AND(V$5&lt;=100,'Final Term'!V37&gt;100),"ERR",
IF(Info!$B$4="Non-board program",
IF(OR(AND(V$5&gt;0,V$5&gt;100),AND(V$5&gt;0,V$5&lt;100)),
VLOOKUP(FLOOR(('Final Term'!V37/V$5)*100,1),new_transmute,2,FALSE),
VLOOKUP('Final Term'!V37,new_transmute,2,FALSE)
),
IF(Info!$B$4="Board program",
IF(OR(AND(V$5&gt;0,V$5&gt;100),AND(V$5&gt;0,V$5&lt;100)),
VLOOKUP(FLOOR(('Final Term'!V37/V$5)*100,1),new_transmute,3,FALSE),
VLOOKUP('Final Term'!V37,new_transmute,3,FALSE)
),
IF(Info!$B$4="Board program (Medicine)",
IF(OR(AND(V$5&gt;0,V$5&gt;100),AND(V$5&gt;0,V$5&lt;100)),
VLOOKUP(FLOOR(('Final Term'!V37/V$5)*100,1),new_transmute,4,FALSE),
VLOOKUP('Final Term'!V37,new_transmute,4,FALSE)
),
""
)
)
)
)
)
)
)
)
))</f>
        <v/>
      </c>
      <c r="W37" s="73" t="str">
        <f>IF($B37="","",
IF(W$5="","",
IF('Final Term'!W37="",0,
IF(NOT(ISNUMBER('Final Term'!W37)),"NAN",
IF('Final Term'!W37&lt;0,"NEG",
IF('Final Term'!W37&gt;W$5,"OVER",
IF(AND(W$5&lt;=100,'Final Term'!W37&gt;100),"ERR",
IF(Info!$B$4="Non-board program",
IF(OR(AND(W$5&gt;0,W$5&gt;100),AND(W$5&gt;0,W$5&lt;100)),
VLOOKUP(FLOOR(('Final Term'!W37/W$5)*100,1),new_transmute,2,FALSE),
VLOOKUP('Final Term'!W37,new_transmute,2,FALSE)
),
IF(Info!$B$4="Board program",
IF(OR(AND(W$5&gt;0,W$5&gt;100),AND(W$5&gt;0,W$5&lt;100)),
VLOOKUP(FLOOR(('Final Term'!W37/W$5)*100,1),new_transmute,3,FALSE),
VLOOKUP('Final Term'!W37,new_transmute,3,FALSE)
),
IF(Info!$B$4="Board program (Medicine)",
IF(OR(AND(W$5&gt;0,W$5&gt;100),AND(W$5&gt;0,W$5&lt;100)),
VLOOKUP(FLOOR(('Final Term'!W37/W$5)*100,1),new_transmute,4,FALSE),
VLOOKUP('Final Term'!W37,new_transmute,4,FALSE)
),
""
)
)
)
)
)
)
)
)
))</f>
        <v/>
      </c>
      <c r="X37" s="73" t="str">
        <f>IF($B37="","",
IF(X$5="","",
IF('Final Term'!X37="",0,
IF(NOT(ISNUMBER('Final Term'!X37)),"NAN",
IF('Final Term'!X37&lt;0,"NEG",
IF('Final Term'!X37&gt;X$5,"OVER",
IF(AND(X$5&lt;=100,'Final Term'!X37&gt;100),"ERR",
IF(Info!$B$4="Non-board program",
IF(OR(AND(X$5&gt;0,X$5&gt;100),AND(X$5&gt;0,X$5&lt;100)),
VLOOKUP(FLOOR(('Final Term'!X37/X$5)*100,1),new_transmute,2,FALSE),
VLOOKUP('Final Term'!X37,new_transmute,2,FALSE)
),
IF(Info!$B$4="Board program",
IF(OR(AND(X$5&gt;0,X$5&gt;100),AND(X$5&gt;0,X$5&lt;100)),
VLOOKUP(FLOOR(('Final Term'!X37/X$5)*100,1),new_transmute,3,FALSE),
VLOOKUP('Final Term'!X37,new_transmute,3,FALSE)
),
IF(Info!$B$4="Board program (Medicine)",
IF(OR(AND(X$5&gt;0,X$5&gt;100),AND(X$5&gt;0,X$5&lt;100)),
VLOOKUP(FLOOR(('Final Term'!X37/X$5)*100,1),new_transmute,4,FALSE),
VLOOKUP('Final Term'!X37,new_transmute,4,FALSE)
),
""
)
)
)
)
)
)
)
)
))</f>
        <v/>
      </c>
      <c r="Y37" s="112" t="str">
        <f t="shared" si="4"/>
        <v/>
      </c>
      <c r="Z37" s="73" t="str">
        <f>IF($B37="","",
IF(Z$5="","",
IF('Final Term'!Z37="",0,
IF(NOT(ISNUMBER('Final Term'!Z37)),"NAN",
IF('Final Term'!Z37&lt;0,"NEG",
IF('Final Term'!Z37&gt;Z$5,"OVER",
IF(AND(Z$5&lt;=100,'Final Term'!Z37&gt;100),"ERR",
IF(Info!$B$4="Non-board program",
IF(OR(AND(Z$5&gt;0,Z$5&gt;100),AND(Z$5&gt;0,Z$5&lt;100)),
VLOOKUP(FLOOR(('Final Term'!Z37/Z$5)*100,1),new_transmute,2,FALSE),
VLOOKUP('Final Term'!Z37,new_transmute,2,FALSE)
),
IF(Info!$B$4="Board program",
IF(OR(AND(Z$5&gt;0,Z$5&gt;100),AND(Z$5&gt;0,Z$5&lt;100)),
VLOOKUP(FLOOR(('Final Term'!Z37/Z$5)*100,1),new_transmute,3,FALSE),
VLOOKUP('Final Term'!Z37,new_transmute,3,FALSE)
),
IF(Info!$B$4="Board program (Medicine)",
IF(OR(AND(Z$5&gt;0,Z$5&gt;100),AND(Z$5&gt;0,Z$5&lt;100)),
VLOOKUP(FLOOR(('Final Term'!Z37/Z$5)*100,1),new_transmute,4,FALSE),
VLOOKUP('Final Term'!Z37,new_transmute,4,FALSE)
),
""
)
)
)
)
)
)
)
)
))</f>
        <v/>
      </c>
      <c r="AA37" s="73" t="str">
        <f>IF($B37="","",
IF(AA$5="","",
IF('Final Term'!AA37="",0,
IF(NOT(ISNUMBER('Final Term'!AA37)),"NAN",
IF('Final Term'!AA37&lt;0,"NEG",
IF('Final Term'!AA37&gt;AA$5,"OVER",
IF(AND(AA$5&lt;=100,'Final Term'!AA37&gt;100),"ERR",
IF(Info!$B$4="Non-board program",
IF(OR(AND(AA$5&gt;0,AA$5&gt;100),AND(AA$5&gt;0,AA$5&lt;100)),
VLOOKUP(FLOOR(('Final Term'!AA37/AA$5)*100,1),new_transmute,2,FALSE),
VLOOKUP('Final Term'!AA37,new_transmute,2,FALSE)
),
IF(Info!$B$4="Board program",
IF(OR(AND(AA$5&gt;0,AA$5&gt;100),AND(AA$5&gt;0,AA$5&lt;100)),
VLOOKUP(FLOOR(('Final Term'!AA37/AA$5)*100,1),new_transmute,3,FALSE),
VLOOKUP('Final Term'!AA37,new_transmute,3,FALSE)
),
IF(Info!$B$4="Board program (Medicine)",
IF(OR(AND(AA$5&gt;0,AA$5&gt;100),AND(AA$5&gt;0,AA$5&lt;100)),
VLOOKUP(FLOOR(('Final Term'!AA37/AA$5)*100,1),new_transmute,4,FALSE),
VLOOKUP('Final Term'!AA37,new_transmute,4,FALSE)
),
""
)
)
)
)
)
)
)
)
))</f>
        <v/>
      </c>
      <c r="AB37" s="73" t="str">
        <f>IF($B37="","",
IF(AB$5="","",
IF('Final Term'!AB37="",0,
IF(NOT(ISNUMBER('Final Term'!AB37)),"NAN",
IF('Final Term'!AB37&lt;0,"NEG",
IF('Final Term'!AB37&gt;AB$5,"OVER",
IF(AND(AB$5&lt;=100,'Final Term'!AB37&gt;100),"ERR",
IF(Info!$B$4="Non-board program",
IF(OR(AND(AB$5&gt;0,AB$5&gt;100),AND(AB$5&gt;0,AB$5&lt;100)),
VLOOKUP(FLOOR(('Final Term'!AB37/AB$5)*100,1),new_transmute,2,FALSE),
VLOOKUP('Final Term'!AB37,new_transmute,2,FALSE)
),
IF(Info!$B$4="Board program",
IF(OR(AND(AB$5&gt;0,AB$5&gt;100),AND(AB$5&gt;0,AB$5&lt;100)),
VLOOKUP(FLOOR(('Final Term'!AB37/AB$5)*100,1),new_transmute,3,FALSE),
VLOOKUP('Final Term'!AB37,new_transmute,3,FALSE)
),
IF(Info!$B$4="Board program (Medicine)",
IF(OR(AND(AB$5&gt;0,AB$5&gt;100),AND(AB$5&gt;0,AB$5&lt;100)),
VLOOKUP(FLOOR(('Final Term'!AB37/AB$5)*100,1),new_transmute,4,FALSE),
VLOOKUP('Final Term'!AB37,new_transmute,4,FALSE)
),
""
)
)
)
)
)
)
)
)
))</f>
        <v/>
      </c>
      <c r="AC37" s="73" t="str">
        <f>IF($B37="","",
IF(AC$5="","",
IF('Final Term'!AC37="",0,
IF(NOT(ISNUMBER('Final Term'!AC37)),"NAN",
IF('Final Term'!AC37&lt;0,"NEG",
IF('Final Term'!AC37&gt;AC$5,"OVER",
IF(AND(AC$5&lt;=100,'Final Term'!AC37&gt;100),"ERR",
IF(Info!$B$4="Non-board program",
IF(OR(AND(AC$5&gt;0,AC$5&gt;100),AND(AC$5&gt;0,AC$5&lt;100)),
VLOOKUP(FLOOR(('Final Term'!AC37/AC$5)*100,1),new_transmute,2,FALSE),
VLOOKUP('Final Term'!AC37,new_transmute,2,FALSE)
),
IF(Info!$B$4="Board program",
IF(OR(AND(AC$5&gt;0,AC$5&gt;100),AND(AC$5&gt;0,AC$5&lt;100)),
VLOOKUP(FLOOR(('Final Term'!AC37/AC$5)*100,1),new_transmute,3,FALSE),
VLOOKUP('Final Term'!AC37,new_transmute,3,FALSE)
),
IF(Info!$B$4="Board program (Medicine)",
IF(OR(AND(AC$5&gt;0,AC$5&gt;100),AND(AC$5&gt;0,AC$5&lt;100)),
VLOOKUP(FLOOR(('Final Term'!AC37/AC$5)*100,1),new_transmute,4,FALSE),
VLOOKUP('Final Term'!AC37,new_transmute,4,FALSE)
),
""
)
)
)
)
)
)
)
)
))</f>
        <v/>
      </c>
      <c r="AD37" s="73" t="str">
        <f>IF($B37="","",
IF(AD$5="","",
IF('Final Term'!AD37="",0,
IF(NOT(ISNUMBER('Final Term'!AD37)),"NAN",
IF('Final Term'!AD37&lt;0,"NEG",
IF('Final Term'!AD37&gt;AD$5,"OVER",
IF(AND(AD$5&lt;=100,'Final Term'!AD37&gt;100),"ERR",
IF(Info!$B$4="Non-board program",
IF(OR(AND(AD$5&gt;0,AD$5&gt;100),AND(AD$5&gt;0,AD$5&lt;100)),
VLOOKUP(FLOOR(('Final Term'!AD37/AD$5)*100,1),new_transmute,2,FALSE),
VLOOKUP('Final Term'!AD37,new_transmute,2,FALSE)
),
IF(Info!$B$4="Board program",
IF(OR(AND(AD$5&gt;0,AD$5&gt;100),AND(AD$5&gt;0,AD$5&lt;100)),
VLOOKUP(FLOOR(('Final Term'!AD37/AD$5)*100,1),new_transmute,3,FALSE),
VLOOKUP('Final Term'!AD37,new_transmute,3,FALSE)
),
IF(Info!$B$4="Board program (Medicine)",
IF(OR(AND(AD$5&gt;0,AD$5&gt;100),AND(AD$5&gt;0,AD$5&lt;100)),
VLOOKUP(FLOOR(('Final Term'!AD37/AD$5)*100,1),new_transmute,4,FALSE),
VLOOKUP('Final Term'!AD37,new_transmute,4,FALSE)
),
""
)
)
)
)
)
)
)
)
))</f>
        <v/>
      </c>
      <c r="AE37" s="58" t="str">
        <f t="shared" si="5"/>
        <v/>
      </c>
      <c r="AF37" s="73" t="str">
        <f>IF($B37="","",
IF(AF$5="","",
IF('Final Term'!AF37="",0,
IF(NOT(ISNUMBER('Final Term'!AF37)),"NAN",
IF('Final Term'!AF37&lt;0,"NEG",
IF('Final Term'!AF37&gt;AF$5,"OVER",
IF(AND(AF$5&lt;=100,'Final Term'!AF37&gt;100),"ERR",
IF(Info!$B$4="Non-board program",
IF(OR(AND(AF$5&gt;0,AF$5&gt;100),AND(AF$5&gt;0,AF$5&lt;100)),
VLOOKUP(FLOOR(('Final Term'!AF37/AF$5)*100,1),new_transmute,2,FALSE),
VLOOKUP('Final Term'!AF37,new_transmute,2,FALSE)
),
IF(Info!$B$4="Board program",
IF(OR(AND(AF$5&gt;0,AF$5&gt;100),AND(AF$5&gt;0,AF$5&lt;100)),
VLOOKUP(FLOOR(('Final Term'!AF37/AF$5)*100,1),new_transmute,3,FALSE),
VLOOKUP('Final Term'!AF37,new_transmute,3,FALSE)
),
IF(Info!$B$4="Board program (Medicine)",
IF(OR(AND(AF$5&gt;0,AF$5&gt;100),AND(AF$5&gt;0,AF$5&lt;100)),
VLOOKUP(FLOOR(('Final Term'!AF37/AF$5)*100,1),new_transmute,4,FALSE),
VLOOKUP('Final Term'!AF37,new_transmute,4,FALSE)
),
""
)
)
)
)
)
)
)
)
))</f>
        <v/>
      </c>
      <c r="AG37" s="73" t="str">
        <f>IF($B37="","",
IF(AG$5="","",
IF('Final Term'!AG37="",0,
IF(NOT(ISNUMBER('Final Term'!AG37)),"NAN",
IF('Final Term'!AG37&lt;0,"NEG",
IF('Final Term'!AG37&gt;AG$5,"OVER",
IF(AND(AG$5&lt;=100,'Final Term'!AG37&gt;100),"ERR",
IF(Info!$B$4="Non-board program",
IF(OR(AND(AG$5&gt;0,AG$5&gt;100),AND(AG$5&gt;0,AG$5&lt;100)),
VLOOKUP(FLOOR(('Final Term'!AG37/AG$5)*100,1),new_transmute,2,FALSE),
VLOOKUP('Final Term'!AG37,new_transmute,2,FALSE)
),
IF(Info!$B$4="Board program",
IF(OR(AND(AG$5&gt;0,AG$5&gt;100),AND(AG$5&gt;0,AG$5&lt;100)),
VLOOKUP(FLOOR(('Final Term'!AG37/AG$5)*100,1),new_transmute,3,FALSE),
VLOOKUP('Final Term'!AG37,new_transmute,3,FALSE)
),
IF(Info!$B$4="Board program (Medicine)",
IF(OR(AND(AG$5&gt;0,AG$5&gt;100),AND(AG$5&gt;0,AG$5&lt;100)),
VLOOKUP(FLOOR(('Final Term'!AG37/AG$5)*100,1),new_transmute,4,FALSE),
VLOOKUP('Final Term'!AG37,new_transmute,4,FALSE)
),
""
)
)
)
)
)
)
)
)
))</f>
        <v/>
      </c>
      <c r="AH37" s="73" t="str">
        <f>IF($B37="","",
IF(AH$5="","",
IF('Final Term'!AH37="",0,
IF(NOT(ISNUMBER('Final Term'!AH37)),"NAN",
IF('Final Term'!AH37&lt;0,"NEG",
IF('Final Term'!AH37&gt;AH$5,"OVER",
IF(AND(AH$5&lt;=100,'Final Term'!AH37&gt;100),"ERR",
IF(Info!$B$4="Non-board program",
IF(OR(AND(AH$5&gt;0,AH$5&gt;100),AND(AH$5&gt;0,AH$5&lt;100)),
VLOOKUP(FLOOR(('Final Term'!AH37/AH$5)*100,1),new_transmute,2,FALSE),
VLOOKUP('Final Term'!AH37,new_transmute,2,FALSE)
),
IF(Info!$B$4="Board program",
IF(OR(AND(AH$5&gt;0,AH$5&gt;100),AND(AH$5&gt;0,AH$5&lt;100)),
VLOOKUP(FLOOR(('Final Term'!AH37/AH$5)*100,1),new_transmute,3,FALSE),
VLOOKUP('Final Term'!AH37,new_transmute,3,FALSE)
),
IF(Info!$B$4="Board program (Medicine)",
IF(OR(AND(AH$5&gt;0,AH$5&gt;100),AND(AH$5&gt;0,AH$5&lt;100)),
VLOOKUP(FLOOR(('Final Term'!AH37/AH$5)*100,1),new_transmute,4,FALSE),
VLOOKUP('Final Term'!AH37,new_transmute,4,FALSE)
),
""
)
)
)
)
)
)
)
)
))</f>
        <v/>
      </c>
      <c r="AI37" s="73" t="str">
        <f>IF($B37="","",
IF(AI$5="","",
IF('Final Term'!AI37="",0,
IF(NOT(ISNUMBER('Final Term'!AI37)),"NAN",
IF('Final Term'!AI37&lt;0,"NEG",
IF('Final Term'!AI37&gt;AI$5,"OVER",
IF(AND(AI$5&lt;=100,'Final Term'!AI37&gt;100),"ERR",
IF(Info!$B$4="Non-board program",
IF(OR(AND(AI$5&gt;0,AI$5&gt;100),AND(AI$5&gt;0,AI$5&lt;100)),
VLOOKUP(FLOOR(('Final Term'!AI37/AI$5)*100,1),new_transmute,2,FALSE),
VLOOKUP('Final Term'!AI37,new_transmute,2,FALSE)
),
IF(Info!$B$4="Board program",
IF(OR(AND(AI$5&gt;0,AI$5&gt;100),AND(AI$5&gt;0,AI$5&lt;100)),
VLOOKUP(FLOOR(('Final Term'!AI37/AI$5)*100,1),new_transmute,3,FALSE),
VLOOKUP('Final Term'!AI37,new_transmute,3,FALSE)
),
IF(Info!$B$4="Board program (Medicine)",
IF(OR(AND(AI$5&gt;0,AI$5&gt;100),AND(AI$5&gt;0,AI$5&lt;100)),
VLOOKUP(FLOOR(('Final Term'!AI37/AI$5)*100,1),new_transmute,4,FALSE),
VLOOKUP('Final Term'!AI37,new_transmute,4,FALSE)
),
""
)
)
)
)
)
)
)
)
))</f>
        <v/>
      </c>
      <c r="AJ37" s="73" t="str">
        <f>IF($B37="","",
IF(AJ$5="","",
IF('Final Term'!AJ37="",0,
IF(NOT(ISNUMBER('Final Term'!AJ37)),"NAN",
IF('Final Term'!AJ37&lt;0,"NEG",
IF('Final Term'!AJ37&gt;AJ$5,"OVER",
IF(AND(AJ$5&lt;=100,'Final Term'!AJ37&gt;100),"ERR",
IF(Info!$B$4="Non-board program",
IF(OR(AND(AJ$5&gt;0,AJ$5&gt;100),AND(AJ$5&gt;0,AJ$5&lt;100)),
VLOOKUP(FLOOR(('Final Term'!AJ37/AJ$5)*100,1),new_transmute,2,FALSE),
VLOOKUP('Final Term'!AJ37,new_transmute,2,FALSE)
),
IF(Info!$B$4="Board program",
IF(OR(AND(AJ$5&gt;0,AJ$5&gt;100),AND(AJ$5&gt;0,AJ$5&lt;100)),
VLOOKUP(FLOOR(('Final Term'!AJ37/AJ$5)*100,1),new_transmute,3,FALSE),
VLOOKUP('Final Term'!AJ37,new_transmute,3,FALSE)
),
IF(Info!$B$4="Board program (Medicine)",
IF(OR(AND(AJ$5&gt;0,AJ$5&gt;100),AND(AJ$5&gt;0,AJ$5&lt;100)),
VLOOKUP(FLOOR(('Final Term'!AJ37/AJ$5)*100,1),new_transmute,4,FALSE),
VLOOKUP('Final Term'!AJ37,new_transmute,4,FALSE)
),
""
)
)
)
)
)
)
)
)
))</f>
        <v/>
      </c>
      <c r="AK37" s="59" t="str">
        <f t="shared" si="6"/>
        <v/>
      </c>
      <c r="AL37" s="60" t="str">
        <f>IF(B37="", "",
    IF(OR(M37="OVER", S37="OVER", Y37="OVER", AE37="OVER", AK37="OVER"),
        "OVER",
        IF(Info!$B$4="Non-board program",
            VLOOKUP(IFERROR(FLOOR(SUM((M37*$M$4), (S37*$S$4), (Y37*$Y$4), (AE37*$AE$4), (AK37*$AK$4)) * (100 / 60), 1), 0), new_transmute, 2, FALSE),
            IF(Info!$B$4="Board program",
                VLOOKUP(IFERROR(FLOOR(SUM((M37*$M$4), (S37*$S$4), (Y37*$Y$4), (AE37*$AE$4), (AK37*$AK$4)) * (100 / 60), 1), 0), new_transmute, 3, FALSE),
                IF(Info!$B$4="Board program (Medicine)",
                    VLOOKUP(IFERROR(FLOOR(SUM((M37*$M$4), (S37*$S$4), (Y37*$Y$4), (AE37*$AE$4), (AK37*$AK$4)) * (100 / 60), 1), 0), new_transmute, 4, FALSE),
                    ""
                )
            )
        )
    )
)</f>
        <v/>
      </c>
      <c r="AM37" s="73" t="str">
        <f>IF($B37="","",
IF(AM$5="","",
IF('Final Term'!AM37="",0,
IF(NOT(ISNUMBER('Final Term'!AM37)),"NAN",
IF('Final Term'!AM37&lt;0,"NEG",
IF('Final Term'!AM37&gt;AM$5,"OVER",
IF(AND(AM$5&lt;=100,'Final Term'!AM37&gt;100),"ERR",
IF(Info!$B$4="Non-board program",
IF(OR(AND(AM$5&gt;0,AM$5&gt;100),AND(AM$5&gt;0,AM$5&lt;100)),
VLOOKUP(FLOOR(('Final Term'!AM37/AM$5)*100,1),new_transmute,2,FALSE),
VLOOKUP('Final Term'!AM37,new_transmute,2,FALSE)
),
IF(Info!$B$4="Board program",
IF(OR(AND(AM$5&gt;0,AM$5&gt;100),AND(AM$5&gt;0,AM$5&lt;100)),
VLOOKUP(FLOOR(('Final Term'!AM37/AM$5)*100,1),new_transmute,3,FALSE),
VLOOKUP('Final Term'!AM37,new_transmute,3,FALSE)
),
IF(Info!$B$4="Board program (Medicine)",
IF(OR(AND(AM$5&gt;0,AM$5&gt;100),AND(AM$5&gt;0,AM$5&lt;100)),
VLOOKUP(FLOOR(('Final Term'!AM37/AM$5)*100,1),new_transmute,4,FALSE),
VLOOKUP('Final Term'!AM37,new_transmute,4,FALSE)
),
""
)
)
)
)
)
)
)
)
))</f>
        <v/>
      </c>
      <c r="AN37" s="73" t="str">
        <f>IF($B37="","",
IF(AN$5="","",
IF('Final Term'!AN37="",0,
IF(NOT(ISNUMBER('Final Term'!AN37)),"NAN",
IF('Final Term'!AN37&lt;0,"NEG",
IF('Final Term'!AN37&gt;AN$5,"OVER",
IF(AND(AN$5&lt;=100,'Final Term'!AN37&gt;100),"ERR",
IF(Info!$B$4="Non-board program",
IF(OR(AND(AN$5&gt;0,AN$5&gt;100),AND(AN$5&gt;0,AN$5&lt;100)),
VLOOKUP(FLOOR(('Final Term'!AN37/AN$5)*100,1),new_transmute,2,FALSE),
VLOOKUP('Final Term'!AN37,new_transmute,2,FALSE)
),
IF(Info!$B$4="Board program",
IF(OR(AND(AN$5&gt;0,AN$5&gt;100),AND(AN$5&gt;0,AN$5&lt;100)),
VLOOKUP(FLOOR(('Final Term'!AN37/AN$5)*100,1),new_transmute,3,FALSE),
VLOOKUP('Final Term'!AN37,new_transmute,3,FALSE)
),
IF(Info!$B$4="Board program (Medicine)",
IF(OR(AND(AN$5&gt;0,AN$5&gt;100),AND(AN$5&gt;0,AN$5&lt;100)),
VLOOKUP(FLOOR(('Final Term'!AN37/AN$5)*100,1),new_transmute,4,FALSE),
VLOOKUP('Final Term'!AN37,new_transmute,4,FALSE)
),
""
)
)
)
)
)
)
)
)
))</f>
        <v/>
      </c>
      <c r="AO37" s="73" t="str">
        <f>IF($B37="","",
IF(AO$5="","",
IF('Final Term'!AO37="",0,
IF(NOT(ISNUMBER('Final Term'!AO37)),"NAN",
IF('Final Term'!AO37&lt;0,"NEG",
IF('Final Term'!AO37&gt;AO$5,"OVER",
IF(AND(AO$5&lt;=100,'Final Term'!AO37&gt;100),"ERR",
IF(Info!$B$4="Non-board program",
IF(OR(AND(AO$5&gt;0,AO$5&gt;100),AND(AO$5&gt;0,AO$5&lt;100)),
VLOOKUP(FLOOR(('Final Term'!AO37/AO$5)*100,1),new_transmute,2,FALSE),
VLOOKUP('Final Term'!AO37,new_transmute,2,FALSE)
),
IF(Info!$B$4="Board program",
IF(OR(AND(AO$5&gt;0,AO$5&gt;100),AND(AO$5&gt;0,AO$5&lt;100)),
VLOOKUP(FLOOR(('Final Term'!AO37/AO$5)*100,1),new_transmute,3,FALSE),
VLOOKUP('Final Term'!AO37,new_transmute,3,FALSE)
),
IF(Info!$B$4="Board program (Medicine)",
IF(OR(AND(AO$5&gt;0,AO$5&gt;100),AND(AO$5&gt;0,AO$5&lt;100)),
VLOOKUP(FLOOR(('Final Term'!AO37/AO$5)*100,1),new_transmute,4,FALSE),
VLOOKUP('Final Term'!AO37,new_transmute,4,FALSE)
),
""
)
)
)
)
)
)
)
)
))</f>
        <v/>
      </c>
      <c r="AP37" s="73" t="str">
        <f>IF($B37="","",
IF(AP$5="","",
IF('Final Term'!AP37="",0,
IF(NOT(ISNUMBER('Final Term'!AP37)),"NAN",
IF('Final Term'!AP37&lt;0,"NEG",
IF('Final Term'!AP37&gt;AP$5,"OVER",
IF(AND(AP$5&lt;=100,'Final Term'!AP37&gt;100),"ERR",
IF(Info!$B$4="Non-board program",
IF(OR(AND(AP$5&gt;0,AP$5&gt;100),AND(AP$5&gt;0,AP$5&lt;100)),
VLOOKUP(FLOOR(('Final Term'!AP37/AP$5)*100,1),new_transmute,2,FALSE),
VLOOKUP('Final Term'!AP37,new_transmute,2,FALSE)
),
IF(Info!$B$4="Board program",
IF(OR(AND(AP$5&gt;0,AP$5&gt;100),AND(AP$5&gt;0,AP$5&lt;100)),
VLOOKUP(FLOOR(('Final Term'!AP37/AP$5)*100,1),new_transmute,3,FALSE),
VLOOKUP('Final Term'!AP37,new_transmute,3,FALSE)
),
IF(Info!$B$4="Board program (Medicine)",
IF(OR(AND(AP$5&gt;0,AP$5&gt;100),AND(AP$5&gt;0,AP$5&lt;100)),
VLOOKUP(FLOOR(('Final Term'!AP37/AP$5)*100,1),new_transmute,4,FALSE),
VLOOKUP('Final Term'!AP37,new_transmute,4,FALSE)
),
""
)
)
)
)
)
)
)
)
))</f>
        <v/>
      </c>
      <c r="AQ37" s="61" t="str">
        <f t="shared" si="7"/>
        <v/>
      </c>
      <c r="AR37" s="48" t="str">
        <f>IF('Final Term'!AR37="","",'Final Term'!AR37)</f>
        <v/>
      </c>
      <c r="AS37" s="165" t="str">
        <f t="shared" si="8"/>
        <v/>
      </c>
      <c r="AT37" s="14" t="str">
        <f t="shared" si="0"/>
        <v/>
      </c>
      <c r="AU37" s="13" t="str">
        <f>IF(B37="","",VLOOKUP(AT37,'New Grade Equivalent'!$B$3:$C$47,2,FALSE))</f>
        <v/>
      </c>
    </row>
    <row r="38" spans="1:47" x14ac:dyDescent="0.25">
      <c r="A38" s="8">
        <v>33</v>
      </c>
      <c r="B38" s="2" t="str">
        <f>IF('Student List'!C42="","",UPPER(LEFT('Student List'!C42,FIND(",",'Student List'!C42)-1)))</f>
        <v/>
      </c>
      <c r="C38" s="12" t="str">
        <f>IF('Student List'!C42="","",PROPER(MID('Student List'!C42, FIND(",", 'Student List'!C42) + 2, LEN('Student List'!C42) - FIND(",", 'Student List'!C42) - 1)))</f>
        <v/>
      </c>
      <c r="D38" s="127" t="str">
        <f>IF('Final Term'!D38="","",'Final Term'!D38)</f>
        <v/>
      </c>
      <c r="E38" s="8" t="str">
        <f>IF(MidCom!E38="FA", "FA",
    IF(MidCom!E38="DRP", "DRP",
        IF(MidCom!E38="WF", "WF",
            IF(D38="Yes", "INC",
               IF((SUM('MT Attendance'!AW36) / 3 + SUM('MT Attendance'!AY36) + SUM('FT Attendance'!AW36) / 3 + SUM('FT Attendance'!AY36)) &gt;= 0.2 * (SUMPRODUCT(--(ISTEXT('MT Attendance'!$C$2:$AU$2))) + SUMPRODUCT(--(ISTEXT('FT Attendance'!$C$2:$AU$2)))), "FA",
                   MidCom!E38
                )
            )
        )
    )
)</f>
        <v/>
      </c>
      <c r="F38" s="73" t="str">
        <f>IF($B38="","",
IF(F$5="","",
IF('Final Term'!F38="",0,
IF(NOT(ISNUMBER('Final Term'!F38)),"NAN",
IF('Final Term'!F38&lt;0,"NEG",
IF('Final Term'!F38&gt;F$5,"OVER",
IF(AND(F$5&lt;=100,'Final Term'!F38&gt;100),"ERR",
IF(Info!$B$4="Non-board program",
IF(OR(AND(F$5&gt;0,F$5&gt;100),AND(F$5&gt;0,F$5&lt;100)),
VLOOKUP(FLOOR(('Final Term'!F38/F$5)*100,1),new_transmute,2,FALSE),
VLOOKUP('Final Term'!F38,new_transmute,2,FALSE)
),
IF(Info!$B$4="Board program",
IF(OR(AND(F$5&gt;0,F$5&gt;100),AND(F$5&gt;0,F$5&lt;100)),
VLOOKUP(FLOOR(('Final Term'!F38/F$5)*100,1),new_transmute,3,FALSE),
VLOOKUP('Final Term'!F38,new_transmute,3,FALSE)
),
IF(Info!$B$4="Board program (Medicine)",
IF(OR(AND(F$5&gt;0,F$5&gt;100),AND(F$5&gt;0,F$5&lt;100)),
VLOOKUP(FLOOR(('Final Term'!F38/F$5)*100,1),new_transmute,4,FALSE),
VLOOKUP('Final Term'!F38,new_transmute,4,FALSE)
),
""
)
)
)
)
)
)
)
)
))</f>
        <v/>
      </c>
      <c r="G38" s="57" t="str">
        <f t="shared" si="1"/>
        <v/>
      </c>
      <c r="H38" s="73" t="str">
        <f>IF($B38="","",
IF(H$5="","",
IF('Final Term'!H38="",0,
IF(NOT(ISNUMBER('Final Term'!H38)),"NAN",
IF('Final Term'!H38&lt;0,"NEG",
IF('Final Term'!H38&gt;H$5,"OVER",
IF(AND(H$5&lt;=100,'Final Term'!H38&gt;100),"ERR",
IF(Info!$B$4="Non-board program",
IF(OR(AND(H$5&gt;0,H$5&gt;100),AND(H$5&gt;0,H$5&lt;100)),
VLOOKUP(FLOOR(('Final Term'!H38/H$5)*100,1),new_transmute,2,FALSE),
VLOOKUP('Final Term'!H38,new_transmute,2,FALSE)
),
IF(Info!$B$4="Board program",
IF(OR(AND(H$5&gt;0,H$5&gt;100),AND(H$5&gt;0,H$5&lt;100)),
VLOOKUP(FLOOR(('Final Term'!H38/H$5)*100,1),new_transmute,3,FALSE),
VLOOKUP('Final Term'!H38,new_transmute,3,FALSE)
),
IF(Info!$B$4="Board program (Medicine)",
IF(OR(AND(H$5&gt;0,H$5&gt;100),AND(H$5&gt;0,H$5&lt;100)),
VLOOKUP(FLOOR(('Final Term'!H38/H$5)*100,1),new_transmute,4,FALSE),
VLOOKUP('Final Term'!H38,new_transmute,4,FALSE)
),
""
)
)
)
)
)
)
)
)
))</f>
        <v/>
      </c>
      <c r="I38" s="73" t="str">
        <f>IF($B38="","",
IF(I$5="","",
IF('Final Term'!I38="",0,
IF(NOT(ISNUMBER('Final Term'!I38)),"NAN",
IF('Final Term'!I38&lt;0,"NEG",
IF('Final Term'!I38&gt;I$5,"OVER",
IF(AND(I$5&lt;=100,'Final Term'!I38&gt;100),"ERR",
IF(Info!$B$4="Non-board program",
IF(OR(AND(I$5&gt;0,I$5&gt;100),AND(I$5&gt;0,I$5&lt;100)),
VLOOKUP(FLOOR(('Final Term'!I38/I$5)*100,1),new_transmute,2,FALSE),
VLOOKUP('Final Term'!I38,new_transmute,2,FALSE)
),
IF(Info!$B$4="Board program",
IF(OR(AND(I$5&gt;0,I$5&gt;100),AND(I$5&gt;0,I$5&lt;100)),
VLOOKUP(FLOOR(('Final Term'!I38/I$5)*100,1),new_transmute,3,FALSE),
VLOOKUP('Final Term'!I38,new_transmute,3,FALSE)
),
IF(Info!$B$4="Board program (Medicine)",
IF(OR(AND(I$5&gt;0,I$5&gt;100),AND(I$5&gt;0,I$5&lt;100)),
VLOOKUP(FLOOR(('Final Term'!I38/I$5)*100,1),new_transmute,4,FALSE),
VLOOKUP('Final Term'!I38,new_transmute,4,FALSE)
),
""
)
)
)
)
)
)
)
)
))</f>
        <v/>
      </c>
      <c r="J38" s="73" t="str">
        <f>IF($B38="","",
IF(J$5="","",
IF('Final Term'!J38="",0,
IF(NOT(ISNUMBER('Final Term'!J38)),"NAN",
IF('Final Term'!J38&lt;0,"NEG",
IF('Final Term'!J38&gt;J$5,"OVER",
IF(AND(J$5&lt;=100,'Final Term'!J38&gt;100),"ERR",
IF(Info!$B$4="Non-board program",
IF(OR(AND(J$5&gt;0,J$5&gt;100),AND(J$5&gt;0,J$5&lt;100)),
VLOOKUP(FLOOR(('Final Term'!J38/J$5)*100,1),new_transmute,2,FALSE),
VLOOKUP('Final Term'!J38,new_transmute,2,FALSE)
),
IF(Info!$B$4="Board program",
IF(OR(AND(J$5&gt;0,J$5&gt;100),AND(J$5&gt;0,J$5&lt;100)),
VLOOKUP(FLOOR(('Final Term'!J38/J$5)*100,1),new_transmute,3,FALSE),
VLOOKUP('Final Term'!J38,new_transmute,3,FALSE)
),
IF(Info!$B$4="Board program (Medicine)",
IF(OR(AND(J$5&gt;0,J$5&gt;100),AND(J$5&gt;0,J$5&lt;100)),
VLOOKUP(FLOOR(('Final Term'!J38/J$5)*100,1),new_transmute,4,FALSE),
VLOOKUP('Final Term'!J38,new_transmute,4,FALSE)
),
""
)
)
)
)
)
)
)
)
))</f>
        <v/>
      </c>
      <c r="K38" s="73" t="str">
        <f>IF($B38="","",
IF(K$5="","",
IF('Final Term'!K38="",0,
IF(NOT(ISNUMBER('Final Term'!K38)),"NAN",
IF('Final Term'!K38&lt;0,"NEG",
IF('Final Term'!K38&gt;K$5,"OVER",
IF(AND(K$5&lt;=100,'Final Term'!K38&gt;100),"ERR",
IF(Info!$B$4="Non-board program",
IF(OR(AND(K$5&gt;0,K$5&gt;100),AND(K$5&gt;0,K$5&lt;100)),
VLOOKUP(FLOOR(('Final Term'!K38/K$5)*100,1),new_transmute,2,FALSE),
VLOOKUP('Final Term'!K38,new_transmute,2,FALSE)
),
IF(Info!$B$4="Board program",
IF(OR(AND(K$5&gt;0,K$5&gt;100),AND(K$5&gt;0,K$5&lt;100)),
VLOOKUP(FLOOR(('Final Term'!K38/K$5)*100,1),new_transmute,3,FALSE),
VLOOKUP('Final Term'!K38,new_transmute,3,FALSE)
),
IF(Info!$B$4="Board program (Medicine)",
IF(OR(AND(K$5&gt;0,K$5&gt;100),AND(K$5&gt;0,K$5&lt;100)),
VLOOKUP(FLOOR(('Final Term'!K38/K$5)*100,1),new_transmute,4,FALSE),
VLOOKUP('Final Term'!K38,new_transmute,4,FALSE)
),
""
)
)
)
)
)
)
)
)
))</f>
        <v/>
      </c>
      <c r="L38" s="73" t="str">
        <f>IF($B38="","",
IF(L$5="","",
IF('Final Term'!L38="",0,
IF(NOT(ISNUMBER('Final Term'!L38)),"NAN",
IF('Final Term'!L38&lt;0,"NEG",
IF('Final Term'!L38&gt;L$5,"OVER",
IF(AND(L$5&lt;=100,'Final Term'!L38&gt;100),"ERR",
IF(Info!$B$4="Non-board program",
IF(OR(AND(L$5&gt;0,L$5&gt;100),AND(L$5&gt;0,L$5&lt;100)),
VLOOKUP(FLOOR(('Final Term'!L38/L$5)*100,1),new_transmute,2,FALSE),
VLOOKUP('Final Term'!L38,new_transmute,2,FALSE)
),
IF(Info!$B$4="Board program",
IF(OR(AND(L$5&gt;0,L$5&gt;100),AND(L$5&gt;0,L$5&lt;100)),
VLOOKUP(FLOOR(('Final Term'!L38/L$5)*100,1),new_transmute,3,FALSE),
VLOOKUP('Final Term'!L38,new_transmute,3,FALSE)
),
IF(Info!$B$4="Board program (Medicine)",
IF(OR(AND(L$5&gt;0,L$5&gt;100),AND(L$5&gt;0,L$5&lt;100)),
VLOOKUP(FLOOR(('Final Term'!L38/L$5)*100,1),new_transmute,4,FALSE),
VLOOKUP('Final Term'!L38,new_transmute,4,FALSE)
),
""
)
)
)
)
)
)
)
)
))</f>
        <v/>
      </c>
      <c r="M38" s="111" t="str">
        <f t="shared" si="2"/>
        <v/>
      </c>
      <c r="N38" s="73" t="str">
        <f>IF($B38="","",
IF(N$5="","",
IF('Final Term'!N38="",0,
IF(NOT(ISNUMBER('Final Term'!N38)),"NAN",
IF('Final Term'!N38&lt;0,"NEG",
IF('Final Term'!N38&gt;N$5,"OVER",
IF(AND(N$5&lt;=100,'Final Term'!N38&gt;100),"ERR",
IF(Info!$B$4="Non-board program",
IF(OR(AND(N$5&gt;0,N$5&gt;100),AND(N$5&gt;0,N$5&lt;100)),
VLOOKUP(FLOOR(('Final Term'!N38/N$5)*100,1),new_transmute,2,FALSE),
VLOOKUP('Final Term'!N38,new_transmute,2,FALSE)
),
IF(Info!$B$4="Board program",
IF(OR(AND(N$5&gt;0,N$5&gt;100),AND(N$5&gt;0,N$5&lt;100)),
VLOOKUP(FLOOR(('Final Term'!N38/N$5)*100,1),new_transmute,3,FALSE),
VLOOKUP('Final Term'!N38,new_transmute,3,FALSE)
),
IF(Info!$B$4="Board program (Medicine)",
IF(OR(AND(N$5&gt;0,N$5&gt;100),AND(N$5&gt;0,N$5&lt;100)),
VLOOKUP(FLOOR(('Final Term'!N38/N$5)*100,1),new_transmute,4,FALSE),
VLOOKUP('Final Term'!N38,new_transmute,4,FALSE)
),
""
)
)
)
)
)
)
)
)
))</f>
        <v/>
      </c>
      <c r="O38" s="73" t="str">
        <f>IF($B38="","",
IF(O$5="","",
IF('Final Term'!O38="",0,
IF(NOT(ISNUMBER('Final Term'!O38)),"NAN",
IF('Final Term'!O38&lt;0,"NEG",
IF('Final Term'!O38&gt;O$5,"OVER",
IF(AND(O$5&lt;=100,'Final Term'!O38&gt;100),"ERR",
IF(Info!$B$4="Non-board program",
IF(OR(AND(O$5&gt;0,O$5&gt;100),AND(O$5&gt;0,O$5&lt;100)),
VLOOKUP(FLOOR(('Final Term'!O38/O$5)*100,1),new_transmute,2,FALSE),
VLOOKUP('Final Term'!O38,new_transmute,2,FALSE)
),
IF(Info!$B$4="Board program",
IF(OR(AND(O$5&gt;0,O$5&gt;100),AND(O$5&gt;0,O$5&lt;100)),
VLOOKUP(FLOOR(('Final Term'!O38/O$5)*100,1),new_transmute,3,FALSE),
VLOOKUP('Final Term'!O38,new_transmute,3,FALSE)
),
IF(Info!$B$4="Board program (Medicine)",
IF(OR(AND(O$5&gt;0,O$5&gt;100),AND(O$5&gt;0,O$5&lt;100)),
VLOOKUP(FLOOR(('Final Term'!O38/O$5)*100,1),new_transmute,4,FALSE),
VLOOKUP('Final Term'!O38,new_transmute,4,FALSE)
),
""
)
)
)
)
)
)
)
)
))</f>
        <v/>
      </c>
      <c r="P38" s="73" t="str">
        <f>IF($B38="","",
IF(P$5="","",
IF('Final Term'!P38="",0,
IF(NOT(ISNUMBER('Final Term'!P38)),"NAN",
IF('Final Term'!P38&lt;0,"NEG",
IF('Final Term'!P38&gt;P$5,"OVER",
IF(AND(P$5&lt;=100,'Final Term'!P38&gt;100),"ERR",
IF(Info!$B$4="Non-board program",
IF(OR(AND(P$5&gt;0,P$5&gt;100),AND(P$5&gt;0,P$5&lt;100)),
VLOOKUP(FLOOR(('Final Term'!P38/P$5)*100,1),new_transmute,2,FALSE),
VLOOKUP('Final Term'!P38,new_transmute,2,FALSE)
),
IF(Info!$B$4="Board program",
IF(OR(AND(P$5&gt;0,P$5&gt;100),AND(P$5&gt;0,P$5&lt;100)),
VLOOKUP(FLOOR(('Final Term'!P38/P$5)*100,1),new_transmute,3,FALSE),
VLOOKUP('Final Term'!P38,new_transmute,3,FALSE)
),
IF(Info!$B$4="Board program (Medicine)",
IF(OR(AND(P$5&gt;0,P$5&gt;100),AND(P$5&gt;0,P$5&lt;100)),
VLOOKUP(FLOOR(('Final Term'!P38/P$5)*100,1),new_transmute,4,FALSE),
VLOOKUP('Final Term'!P38,new_transmute,4,FALSE)
),
""
)
)
)
)
)
)
)
)
))</f>
        <v/>
      </c>
      <c r="Q38" s="73" t="str">
        <f>IF($B38="","",
IF(Q$5="","",
IF('Final Term'!Q38="",0,
IF(NOT(ISNUMBER('Final Term'!Q38)),"NAN",
IF('Final Term'!Q38&lt;0,"NEG",
IF('Final Term'!Q38&gt;Q$5,"OVER",
IF(AND(Q$5&lt;=100,'Final Term'!Q38&gt;100),"ERR",
IF(Info!$B$4="Non-board program",
IF(OR(AND(Q$5&gt;0,Q$5&gt;100),AND(Q$5&gt;0,Q$5&lt;100)),
VLOOKUP(FLOOR(('Final Term'!Q38/Q$5)*100,1),new_transmute,2,FALSE),
VLOOKUP('Final Term'!Q38,new_transmute,2,FALSE)
),
IF(Info!$B$4="Board program",
IF(OR(AND(Q$5&gt;0,Q$5&gt;100),AND(Q$5&gt;0,Q$5&lt;100)),
VLOOKUP(FLOOR(('Final Term'!Q38/Q$5)*100,1),new_transmute,3,FALSE),
VLOOKUP('Final Term'!Q38,new_transmute,3,FALSE)
),
IF(Info!$B$4="Board program (Medicine)",
IF(OR(AND(Q$5&gt;0,Q$5&gt;100),AND(Q$5&gt;0,Q$5&lt;100)),
VLOOKUP(FLOOR(('Final Term'!Q38/Q$5)*100,1),new_transmute,4,FALSE),
VLOOKUP('Final Term'!Q38,new_transmute,4,FALSE)
),
""
)
)
)
)
)
)
)
)
))</f>
        <v/>
      </c>
      <c r="R38" s="73" t="str">
        <f>IF($B38="","",
IF(R$5="","",
IF('Final Term'!R38="",0,
IF(NOT(ISNUMBER('Final Term'!R38)),"NAN",
IF('Final Term'!R38&lt;0,"NEG",
IF('Final Term'!R38&gt;R$5,"OVER",
IF(AND(R$5&lt;=100,'Final Term'!R38&gt;100),"ERR",
IF(Info!$B$4="Non-board program",
IF(OR(AND(R$5&gt;0,R$5&gt;100),AND(R$5&gt;0,R$5&lt;100)),
VLOOKUP(FLOOR(('Final Term'!R38/R$5)*100,1),new_transmute,2,FALSE),
VLOOKUP('Final Term'!R38,new_transmute,2,FALSE)
),
IF(Info!$B$4="Board program",
IF(OR(AND(R$5&gt;0,R$5&gt;100),AND(R$5&gt;0,R$5&lt;100)),
VLOOKUP(FLOOR(('Final Term'!R38/R$5)*100,1),new_transmute,3,FALSE),
VLOOKUP('Final Term'!R38,new_transmute,3,FALSE)
),
IF(Info!$B$4="Board program (Medicine)",
IF(OR(AND(R$5&gt;0,R$5&gt;100),AND(R$5&gt;0,R$5&lt;100)),
VLOOKUP(FLOOR(('Final Term'!R38/R$5)*100,1),new_transmute,4,FALSE),
VLOOKUP('Final Term'!R38,new_transmute,4,FALSE)
),
""
)
)
)
)
)
)
)
)
))</f>
        <v/>
      </c>
      <c r="S38" s="115" t="str">
        <f t="shared" si="3"/>
        <v/>
      </c>
      <c r="T38" s="73" t="str">
        <f>IF($B38="","",
IF(T$5="","",
IF('Final Term'!T38="",0,
IF(NOT(ISNUMBER('Final Term'!T38)),"NAN",
IF('Final Term'!T38&lt;0,"NEG",
IF('Final Term'!T38&gt;T$5,"OVER",
IF(AND(T$5&lt;=100,'Final Term'!T38&gt;100),"ERR",
IF(Info!$B$4="Non-board program",
IF(OR(AND(T$5&gt;0,T$5&gt;100),AND(T$5&gt;0,T$5&lt;100)),
VLOOKUP(FLOOR(('Final Term'!T38/T$5)*100,1),new_transmute,2,FALSE),
VLOOKUP('Final Term'!T38,new_transmute,2,FALSE)
),
IF(Info!$B$4="Board program",
IF(OR(AND(T$5&gt;0,T$5&gt;100),AND(T$5&gt;0,T$5&lt;100)),
VLOOKUP(FLOOR(('Final Term'!T38/T$5)*100,1),new_transmute,3,FALSE),
VLOOKUP('Final Term'!T38,new_transmute,3,FALSE)
),
IF(Info!$B$4="Board program (Medicine)",
IF(OR(AND(T$5&gt;0,T$5&gt;100),AND(T$5&gt;0,T$5&lt;100)),
VLOOKUP(FLOOR(('Final Term'!T38/T$5)*100,1),new_transmute,4,FALSE),
VLOOKUP('Final Term'!T38,new_transmute,4,FALSE)
),
""
)
)
)
)
)
)
)
)
))</f>
        <v/>
      </c>
      <c r="U38" s="73" t="str">
        <f>IF($B38="","",
IF(U$5="","",
IF('Final Term'!U38="",0,
IF(NOT(ISNUMBER('Final Term'!U38)),"NAN",
IF('Final Term'!U38&lt;0,"NEG",
IF('Final Term'!U38&gt;U$5,"OVER",
IF(AND(U$5&lt;=100,'Final Term'!U38&gt;100),"ERR",
IF(Info!$B$4="Non-board program",
IF(OR(AND(U$5&gt;0,U$5&gt;100),AND(U$5&gt;0,U$5&lt;100)),
VLOOKUP(FLOOR(('Final Term'!U38/U$5)*100,1),new_transmute,2,FALSE),
VLOOKUP('Final Term'!U38,new_transmute,2,FALSE)
),
IF(Info!$B$4="Board program",
IF(OR(AND(U$5&gt;0,U$5&gt;100),AND(U$5&gt;0,U$5&lt;100)),
VLOOKUP(FLOOR(('Final Term'!U38/U$5)*100,1),new_transmute,3,FALSE),
VLOOKUP('Final Term'!U38,new_transmute,3,FALSE)
),
IF(Info!$B$4="Board program (Medicine)",
IF(OR(AND(U$5&gt;0,U$5&gt;100),AND(U$5&gt;0,U$5&lt;100)),
VLOOKUP(FLOOR(('Final Term'!U38/U$5)*100,1),new_transmute,4,FALSE),
VLOOKUP('Final Term'!U38,new_transmute,4,FALSE)
),
""
)
)
)
)
)
)
)
)
))</f>
        <v/>
      </c>
      <c r="V38" s="73" t="str">
        <f>IF($B38="","",
IF(V$5="","",
IF('Final Term'!V38="",0,
IF(NOT(ISNUMBER('Final Term'!V38)),"NAN",
IF('Final Term'!V38&lt;0,"NEG",
IF('Final Term'!V38&gt;V$5,"OVER",
IF(AND(V$5&lt;=100,'Final Term'!V38&gt;100),"ERR",
IF(Info!$B$4="Non-board program",
IF(OR(AND(V$5&gt;0,V$5&gt;100),AND(V$5&gt;0,V$5&lt;100)),
VLOOKUP(FLOOR(('Final Term'!V38/V$5)*100,1),new_transmute,2,FALSE),
VLOOKUP('Final Term'!V38,new_transmute,2,FALSE)
),
IF(Info!$B$4="Board program",
IF(OR(AND(V$5&gt;0,V$5&gt;100),AND(V$5&gt;0,V$5&lt;100)),
VLOOKUP(FLOOR(('Final Term'!V38/V$5)*100,1),new_transmute,3,FALSE),
VLOOKUP('Final Term'!V38,new_transmute,3,FALSE)
),
IF(Info!$B$4="Board program (Medicine)",
IF(OR(AND(V$5&gt;0,V$5&gt;100),AND(V$5&gt;0,V$5&lt;100)),
VLOOKUP(FLOOR(('Final Term'!V38/V$5)*100,1),new_transmute,4,FALSE),
VLOOKUP('Final Term'!V38,new_transmute,4,FALSE)
),
""
)
)
)
)
)
)
)
)
))</f>
        <v/>
      </c>
      <c r="W38" s="73" t="str">
        <f>IF($B38="","",
IF(W$5="","",
IF('Final Term'!W38="",0,
IF(NOT(ISNUMBER('Final Term'!W38)),"NAN",
IF('Final Term'!W38&lt;0,"NEG",
IF('Final Term'!W38&gt;W$5,"OVER",
IF(AND(W$5&lt;=100,'Final Term'!W38&gt;100),"ERR",
IF(Info!$B$4="Non-board program",
IF(OR(AND(W$5&gt;0,W$5&gt;100),AND(W$5&gt;0,W$5&lt;100)),
VLOOKUP(FLOOR(('Final Term'!W38/W$5)*100,1),new_transmute,2,FALSE),
VLOOKUP('Final Term'!W38,new_transmute,2,FALSE)
),
IF(Info!$B$4="Board program",
IF(OR(AND(W$5&gt;0,W$5&gt;100),AND(W$5&gt;0,W$5&lt;100)),
VLOOKUP(FLOOR(('Final Term'!W38/W$5)*100,1),new_transmute,3,FALSE),
VLOOKUP('Final Term'!W38,new_transmute,3,FALSE)
),
IF(Info!$B$4="Board program (Medicine)",
IF(OR(AND(W$5&gt;0,W$5&gt;100),AND(W$5&gt;0,W$5&lt;100)),
VLOOKUP(FLOOR(('Final Term'!W38/W$5)*100,1),new_transmute,4,FALSE),
VLOOKUP('Final Term'!W38,new_transmute,4,FALSE)
),
""
)
)
)
)
)
)
)
)
))</f>
        <v/>
      </c>
      <c r="X38" s="73" t="str">
        <f>IF($B38="","",
IF(X$5="","",
IF('Final Term'!X38="",0,
IF(NOT(ISNUMBER('Final Term'!X38)),"NAN",
IF('Final Term'!X38&lt;0,"NEG",
IF('Final Term'!X38&gt;X$5,"OVER",
IF(AND(X$5&lt;=100,'Final Term'!X38&gt;100),"ERR",
IF(Info!$B$4="Non-board program",
IF(OR(AND(X$5&gt;0,X$5&gt;100),AND(X$5&gt;0,X$5&lt;100)),
VLOOKUP(FLOOR(('Final Term'!X38/X$5)*100,1),new_transmute,2,FALSE),
VLOOKUP('Final Term'!X38,new_transmute,2,FALSE)
),
IF(Info!$B$4="Board program",
IF(OR(AND(X$5&gt;0,X$5&gt;100),AND(X$5&gt;0,X$5&lt;100)),
VLOOKUP(FLOOR(('Final Term'!X38/X$5)*100,1),new_transmute,3,FALSE),
VLOOKUP('Final Term'!X38,new_transmute,3,FALSE)
),
IF(Info!$B$4="Board program (Medicine)",
IF(OR(AND(X$5&gt;0,X$5&gt;100),AND(X$5&gt;0,X$5&lt;100)),
VLOOKUP(FLOOR(('Final Term'!X38/X$5)*100,1),new_transmute,4,FALSE),
VLOOKUP('Final Term'!X38,new_transmute,4,FALSE)
),
""
)
)
)
)
)
)
)
)
))</f>
        <v/>
      </c>
      <c r="Y38" s="112" t="str">
        <f t="shared" si="4"/>
        <v/>
      </c>
      <c r="Z38" s="73" t="str">
        <f>IF($B38="","",
IF(Z$5="","",
IF('Final Term'!Z38="",0,
IF(NOT(ISNUMBER('Final Term'!Z38)),"NAN",
IF('Final Term'!Z38&lt;0,"NEG",
IF('Final Term'!Z38&gt;Z$5,"OVER",
IF(AND(Z$5&lt;=100,'Final Term'!Z38&gt;100),"ERR",
IF(Info!$B$4="Non-board program",
IF(OR(AND(Z$5&gt;0,Z$5&gt;100),AND(Z$5&gt;0,Z$5&lt;100)),
VLOOKUP(FLOOR(('Final Term'!Z38/Z$5)*100,1),new_transmute,2,FALSE),
VLOOKUP('Final Term'!Z38,new_transmute,2,FALSE)
),
IF(Info!$B$4="Board program",
IF(OR(AND(Z$5&gt;0,Z$5&gt;100),AND(Z$5&gt;0,Z$5&lt;100)),
VLOOKUP(FLOOR(('Final Term'!Z38/Z$5)*100,1),new_transmute,3,FALSE),
VLOOKUP('Final Term'!Z38,new_transmute,3,FALSE)
),
IF(Info!$B$4="Board program (Medicine)",
IF(OR(AND(Z$5&gt;0,Z$5&gt;100),AND(Z$5&gt;0,Z$5&lt;100)),
VLOOKUP(FLOOR(('Final Term'!Z38/Z$5)*100,1),new_transmute,4,FALSE),
VLOOKUP('Final Term'!Z38,new_transmute,4,FALSE)
),
""
)
)
)
)
)
)
)
)
))</f>
        <v/>
      </c>
      <c r="AA38" s="73" t="str">
        <f>IF($B38="","",
IF(AA$5="","",
IF('Final Term'!AA38="",0,
IF(NOT(ISNUMBER('Final Term'!AA38)),"NAN",
IF('Final Term'!AA38&lt;0,"NEG",
IF('Final Term'!AA38&gt;AA$5,"OVER",
IF(AND(AA$5&lt;=100,'Final Term'!AA38&gt;100),"ERR",
IF(Info!$B$4="Non-board program",
IF(OR(AND(AA$5&gt;0,AA$5&gt;100),AND(AA$5&gt;0,AA$5&lt;100)),
VLOOKUP(FLOOR(('Final Term'!AA38/AA$5)*100,1),new_transmute,2,FALSE),
VLOOKUP('Final Term'!AA38,new_transmute,2,FALSE)
),
IF(Info!$B$4="Board program",
IF(OR(AND(AA$5&gt;0,AA$5&gt;100),AND(AA$5&gt;0,AA$5&lt;100)),
VLOOKUP(FLOOR(('Final Term'!AA38/AA$5)*100,1),new_transmute,3,FALSE),
VLOOKUP('Final Term'!AA38,new_transmute,3,FALSE)
),
IF(Info!$B$4="Board program (Medicine)",
IF(OR(AND(AA$5&gt;0,AA$5&gt;100),AND(AA$5&gt;0,AA$5&lt;100)),
VLOOKUP(FLOOR(('Final Term'!AA38/AA$5)*100,1),new_transmute,4,FALSE),
VLOOKUP('Final Term'!AA38,new_transmute,4,FALSE)
),
""
)
)
)
)
)
)
)
)
))</f>
        <v/>
      </c>
      <c r="AB38" s="73" t="str">
        <f>IF($B38="","",
IF(AB$5="","",
IF('Final Term'!AB38="",0,
IF(NOT(ISNUMBER('Final Term'!AB38)),"NAN",
IF('Final Term'!AB38&lt;0,"NEG",
IF('Final Term'!AB38&gt;AB$5,"OVER",
IF(AND(AB$5&lt;=100,'Final Term'!AB38&gt;100),"ERR",
IF(Info!$B$4="Non-board program",
IF(OR(AND(AB$5&gt;0,AB$5&gt;100),AND(AB$5&gt;0,AB$5&lt;100)),
VLOOKUP(FLOOR(('Final Term'!AB38/AB$5)*100,1),new_transmute,2,FALSE),
VLOOKUP('Final Term'!AB38,new_transmute,2,FALSE)
),
IF(Info!$B$4="Board program",
IF(OR(AND(AB$5&gt;0,AB$5&gt;100),AND(AB$5&gt;0,AB$5&lt;100)),
VLOOKUP(FLOOR(('Final Term'!AB38/AB$5)*100,1),new_transmute,3,FALSE),
VLOOKUP('Final Term'!AB38,new_transmute,3,FALSE)
),
IF(Info!$B$4="Board program (Medicine)",
IF(OR(AND(AB$5&gt;0,AB$5&gt;100),AND(AB$5&gt;0,AB$5&lt;100)),
VLOOKUP(FLOOR(('Final Term'!AB38/AB$5)*100,1),new_transmute,4,FALSE),
VLOOKUP('Final Term'!AB38,new_transmute,4,FALSE)
),
""
)
)
)
)
)
)
)
)
))</f>
        <v/>
      </c>
      <c r="AC38" s="73" t="str">
        <f>IF($B38="","",
IF(AC$5="","",
IF('Final Term'!AC38="",0,
IF(NOT(ISNUMBER('Final Term'!AC38)),"NAN",
IF('Final Term'!AC38&lt;0,"NEG",
IF('Final Term'!AC38&gt;AC$5,"OVER",
IF(AND(AC$5&lt;=100,'Final Term'!AC38&gt;100),"ERR",
IF(Info!$B$4="Non-board program",
IF(OR(AND(AC$5&gt;0,AC$5&gt;100),AND(AC$5&gt;0,AC$5&lt;100)),
VLOOKUP(FLOOR(('Final Term'!AC38/AC$5)*100,1),new_transmute,2,FALSE),
VLOOKUP('Final Term'!AC38,new_transmute,2,FALSE)
),
IF(Info!$B$4="Board program",
IF(OR(AND(AC$5&gt;0,AC$5&gt;100),AND(AC$5&gt;0,AC$5&lt;100)),
VLOOKUP(FLOOR(('Final Term'!AC38/AC$5)*100,1),new_transmute,3,FALSE),
VLOOKUP('Final Term'!AC38,new_transmute,3,FALSE)
),
IF(Info!$B$4="Board program (Medicine)",
IF(OR(AND(AC$5&gt;0,AC$5&gt;100),AND(AC$5&gt;0,AC$5&lt;100)),
VLOOKUP(FLOOR(('Final Term'!AC38/AC$5)*100,1),new_transmute,4,FALSE),
VLOOKUP('Final Term'!AC38,new_transmute,4,FALSE)
),
""
)
)
)
)
)
)
)
)
))</f>
        <v/>
      </c>
      <c r="AD38" s="73" t="str">
        <f>IF($B38="","",
IF(AD$5="","",
IF('Final Term'!AD38="",0,
IF(NOT(ISNUMBER('Final Term'!AD38)),"NAN",
IF('Final Term'!AD38&lt;0,"NEG",
IF('Final Term'!AD38&gt;AD$5,"OVER",
IF(AND(AD$5&lt;=100,'Final Term'!AD38&gt;100),"ERR",
IF(Info!$B$4="Non-board program",
IF(OR(AND(AD$5&gt;0,AD$5&gt;100),AND(AD$5&gt;0,AD$5&lt;100)),
VLOOKUP(FLOOR(('Final Term'!AD38/AD$5)*100,1),new_transmute,2,FALSE),
VLOOKUP('Final Term'!AD38,new_transmute,2,FALSE)
),
IF(Info!$B$4="Board program",
IF(OR(AND(AD$5&gt;0,AD$5&gt;100),AND(AD$5&gt;0,AD$5&lt;100)),
VLOOKUP(FLOOR(('Final Term'!AD38/AD$5)*100,1),new_transmute,3,FALSE),
VLOOKUP('Final Term'!AD38,new_transmute,3,FALSE)
),
IF(Info!$B$4="Board program (Medicine)",
IF(OR(AND(AD$5&gt;0,AD$5&gt;100),AND(AD$5&gt;0,AD$5&lt;100)),
VLOOKUP(FLOOR(('Final Term'!AD38/AD$5)*100,1),new_transmute,4,FALSE),
VLOOKUP('Final Term'!AD38,new_transmute,4,FALSE)
),
""
)
)
)
)
)
)
)
)
))</f>
        <v/>
      </c>
      <c r="AE38" s="58" t="str">
        <f t="shared" si="5"/>
        <v/>
      </c>
      <c r="AF38" s="73" t="str">
        <f>IF($B38="","",
IF(AF$5="","",
IF('Final Term'!AF38="",0,
IF(NOT(ISNUMBER('Final Term'!AF38)),"NAN",
IF('Final Term'!AF38&lt;0,"NEG",
IF('Final Term'!AF38&gt;AF$5,"OVER",
IF(AND(AF$5&lt;=100,'Final Term'!AF38&gt;100),"ERR",
IF(Info!$B$4="Non-board program",
IF(OR(AND(AF$5&gt;0,AF$5&gt;100),AND(AF$5&gt;0,AF$5&lt;100)),
VLOOKUP(FLOOR(('Final Term'!AF38/AF$5)*100,1),new_transmute,2,FALSE),
VLOOKUP('Final Term'!AF38,new_transmute,2,FALSE)
),
IF(Info!$B$4="Board program",
IF(OR(AND(AF$5&gt;0,AF$5&gt;100),AND(AF$5&gt;0,AF$5&lt;100)),
VLOOKUP(FLOOR(('Final Term'!AF38/AF$5)*100,1),new_transmute,3,FALSE),
VLOOKUP('Final Term'!AF38,new_transmute,3,FALSE)
),
IF(Info!$B$4="Board program (Medicine)",
IF(OR(AND(AF$5&gt;0,AF$5&gt;100),AND(AF$5&gt;0,AF$5&lt;100)),
VLOOKUP(FLOOR(('Final Term'!AF38/AF$5)*100,1),new_transmute,4,FALSE),
VLOOKUP('Final Term'!AF38,new_transmute,4,FALSE)
),
""
)
)
)
)
)
)
)
)
))</f>
        <v/>
      </c>
      <c r="AG38" s="73" t="str">
        <f>IF($B38="","",
IF(AG$5="","",
IF('Final Term'!AG38="",0,
IF(NOT(ISNUMBER('Final Term'!AG38)),"NAN",
IF('Final Term'!AG38&lt;0,"NEG",
IF('Final Term'!AG38&gt;AG$5,"OVER",
IF(AND(AG$5&lt;=100,'Final Term'!AG38&gt;100),"ERR",
IF(Info!$B$4="Non-board program",
IF(OR(AND(AG$5&gt;0,AG$5&gt;100),AND(AG$5&gt;0,AG$5&lt;100)),
VLOOKUP(FLOOR(('Final Term'!AG38/AG$5)*100,1),new_transmute,2,FALSE),
VLOOKUP('Final Term'!AG38,new_transmute,2,FALSE)
),
IF(Info!$B$4="Board program",
IF(OR(AND(AG$5&gt;0,AG$5&gt;100),AND(AG$5&gt;0,AG$5&lt;100)),
VLOOKUP(FLOOR(('Final Term'!AG38/AG$5)*100,1),new_transmute,3,FALSE),
VLOOKUP('Final Term'!AG38,new_transmute,3,FALSE)
),
IF(Info!$B$4="Board program (Medicine)",
IF(OR(AND(AG$5&gt;0,AG$5&gt;100),AND(AG$5&gt;0,AG$5&lt;100)),
VLOOKUP(FLOOR(('Final Term'!AG38/AG$5)*100,1),new_transmute,4,FALSE),
VLOOKUP('Final Term'!AG38,new_transmute,4,FALSE)
),
""
)
)
)
)
)
)
)
)
))</f>
        <v/>
      </c>
      <c r="AH38" s="73" t="str">
        <f>IF($B38="","",
IF(AH$5="","",
IF('Final Term'!AH38="",0,
IF(NOT(ISNUMBER('Final Term'!AH38)),"NAN",
IF('Final Term'!AH38&lt;0,"NEG",
IF('Final Term'!AH38&gt;AH$5,"OVER",
IF(AND(AH$5&lt;=100,'Final Term'!AH38&gt;100),"ERR",
IF(Info!$B$4="Non-board program",
IF(OR(AND(AH$5&gt;0,AH$5&gt;100),AND(AH$5&gt;0,AH$5&lt;100)),
VLOOKUP(FLOOR(('Final Term'!AH38/AH$5)*100,1),new_transmute,2,FALSE),
VLOOKUP('Final Term'!AH38,new_transmute,2,FALSE)
),
IF(Info!$B$4="Board program",
IF(OR(AND(AH$5&gt;0,AH$5&gt;100),AND(AH$5&gt;0,AH$5&lt;100)),
VLOOKUP(FLOOR(('Final Term'!AH38/AH$5)*100,1),new_transmute,3,FALSE),
VLOOKUP('Final Term'!AH38,new_transmute,3,FALSE)
),
IF(Info!$B$4="Board program (Medicine)",
IF(OR(AND(AH$5&gt;0,AH$5&gt;100),AND(AH$5&gt;0,AH$5&lt;100)),
VLOOKUP(FLOOR(('Final Term'!AH38/AH$5)*100,1),new_transmute,4,FALSE),
VLOOKUP('Final Term'!AH38,new_transmute,4,FALSE)
),
""
)
)
)
)
)
)
)
)
))</f>
        <v/>
      </c>
      <c r="AI38" s="73" t="str">
        <f>IF($B38="","",
IF(AI$5="","",
IF('Final Term'!AI38="",0,
IF(NOT(ISNUMBER('Final Term'!AI38)),"NAN",
IF('Final Term'!AI38&lt;0,"NEG",
IF('Final Term'!AI38&gt;AI$5,"OVER",
IF(AND(AI$5&lt;=100,'Final Term'!AI38&gt;100),"ERR",
IF(Info!$B$4="Non-board program",
IF(OR(AND(AI$5&gt;0,AI$5&gt;100),AND(AI$5&gt;0,AI$5&lt;100)),
VLOOKUP(FLOOR(('Final Term'!AI38/AI$5)*100,1),new_transmute,2,FALSE),
VLOOKUP('Final Term'!AI38,new_transmute,2,FALSE)
),
IF(Info!$B$4="Board program",
IF(OR(AND(AI$5&gt;0,AI$5&gt;100),AND(AI$5&gt;0,AI$5&lt;100)),
VLOOKUP(FLOOR(('Final Term'!AI38/AI$5)*100,1),new_transmute,3,FALSE),
VLOOKUP('Final Term'!AI38,new_transmute,3,FALSE)
),
IF(Info!$B$4="Board program (Medicine)",
IF(OR(AND(AI$5&gt;0,AI$5&gt;100),AND(AI$5&gt;0,AI$5&lt;100)),
VLOOKUP(FLOOR(('Final Term'!AI38/AI$5)*100,1),new_transmute,4,FALSE),
VLOOKUP('Final Term'!AI38,new_transmute,4,FALSE)
),
""
)
)
)
)
)
)
)
)
))</f>
        <v/>
      </c>
      <c r="AJ38" s="73" t="str">
        <f>IF($B38="","",
IF(AJ$5="","",
IF('Final Term'!AJ38="",0,
IF(NOT(ISNUMBER('Final Term'!AJ38)),"NAN",
IF('Final Term'!AJ38&lt;0,"NEG",
IF('Final Term'!AJ38&gt;AJ$5,"OVER",
IF(AND(AJ$5&lt;=100,'Final Term'!AJ38&gt;100),"ERR",
IF(Info!$B$4="Non-board program",
IF(OR(AND(AJ$5&gt;0,AJ$5&gt;100),AND(AJ$5&gt;0,AJ$5&lt;100)),
VLOOKUP(FLOOR(('Final Term'!AJ38/AJ$5)*100,1),new_transmute,2,FALSE),
VLOOKUP('Final Term'!AJ38,new_transmute,2,FALSE)
),
IF(Info!$B$4="Board program",
IF(OR(AND(AJ$5&gt;0,AJ$5&gt;100),AND(AJ$5&gt;0,AJ$5&lt;100)),
VLOOKUP(FLOOR(('Final Term'!AJ38/AJ$5)*100,1),new_transmute,3,FALSE),
VLOOKUP('Final Term'!AJ38,new_transmute,3,FALSE)
),
IF(Info!$B$4="Board program (Medicine)",
IF(OR(AND(AJ$5&gt;0,AJ$5&gt;100),AND(AJ$5&gt;0,AJ$5&lt;100)),
VLOOKUP(FLOOR(('Final Term'!AJ38/AJ$5)*100,1),new_transmute,4,FALSE),
VLOOKUP('Final Term'!AJ38,new_transmute,4,FALSE)
),
""
)
)
)
)
)
)
)
)
))</f>
        <v/>
      </c>
      <c r="AK38" s="59" t="str">
        <f t="shared" si="6"/>
        <v/>
      </c>
      <c r="AL38" s="60" t="str">
        <f>IF(B38="", "",
    IF(OR(M38="OVER", S38="OVER", Y38="OVER", AE38="OVER", AK38="OVER"),
        "OVER",
        IF(Info!$B$4="Non-board program",
            VLOOKUP(IFERROR(FLOOR(SUM((M38*$M$4), (S38*$S$4), (Y38*$Y$4), (AE38*$AE$4), (AK38*$AK$4)) * (100 / 60), 1), 0), new_transmute, 2, FALSE),
            IF(Info!$B$4="Board program",
                VLOOKUP(IFERROR(FLOOR(SUM((M38*$M$4), (S38*$S$4), (Y38*$Y$4), (AE38*$AE$4), (AK38*$AK$4)) * (100 / 60), 1), 0), new_transmute, 3, FALSE),
                IF(Info!$B$4="Board program (Medicine)",
                    VLOOKUP(IFERROR(FLOOR(SUM((M38*$M$4), (S38*$S$4), (Y38*$Y$4), (AE38*$AE$4), (AK38*$AK$4)) * (100 / 60), 1), 0), new_transmute, 4, FALSE),
                    ""
                )
            )
        )
    )
)</f>
        <v/>
      </c>
      <c r="AM38" s="73" t="str">
        <f>IF($B38="","",
IF(AM$5="","",
IF('Final Term'!AM38="",0,
IF(NOT(ISNUMBER('Final Term'!AM38)),"NAN",
IF('Final Term'!AM38&lt;0,"NEG",
IF('Final Term'!AM38&gt;AM$5,"OVER",
IF(AND(AM$5&lt;=100,'Final Term'!AM38&gt;100),"ERR",
IF(Info!$B$4="Non-board program",
IF(OR(AND(AM$5&gt;0,AM$5&gt;100),AND(AM$5&gt;0,AM$5&lt;100)),
VLOOKUP(FLOOR(('Final Term'!AM38/AM$5)*100,1),new_transmute,2,FALSE),
VLOOKUP('Final Term'!AM38,new_transmute,2,FALSE)
),
IF(Info!$B$4="Board program",
IF(OR(AND(AM$5&gt;0,AM$5&gt;100),AND(AM$5&gt;0,AM$5&lt;100)),
VLOOKUP(FLOOR(('Final Term'!AM38/AM$5)*100,1),new_transmute,3,FALSE),
VLOOKUP('Final Term'!AM38,new_transmute,3,FALSE)
),
IF(Info!$B$4="Board program (Medicine)",
IF(OR(AND(AM$5&gt;0,AM$5&gt;100),AND(AM$5&gt;0,AM$5&lt;100)),
VLOOKUP(FLOOR(('Final Term'!AM38/AM$5)*100,1),new_transmute,4,FALSE),
VLOOKUP('Final Term'!AM38,new_transmute,4,FALSE)
),
""
)
)
)
)
)
)
)
)
))</f>
        <v/>
      </c>
      <c r="AN38" s="73" t="str">
        <f>IF($B38="","",
IF(AN$5="","",
IF('Final Term'!AN38="",0,
IF(NOT(ISNUMBER('Final Term'!AN38)),"NAN",
IF('Final Term'!AN38&lt;0,"NEG",
IF('Final Term'!AN38&gt;AN$5,"OVER",
IF(AND(AN$5&lt;=100,'Final Term'!AN38&gt;100),"ERR",
IF(Info!$B$4="Non-board program",
IF(OR(AND(AN$5&gt;0,AN$5&gt;100),AND(AN$5&gt;0,AN$5&lt;100)),
VLOOKUP(FLOOR(('Final Term'!AN38/AN$5)*100,1),new_transmute,2,FALSE),
VLOOKUP('Final Term'!AN38,new_transmute,2,FALSE)
),
IF(Info!$B$4="Board program",
IF(OR(AND(AN$5&gt;0,AN$5&gt;100),AND(AN$5&gt;0,AN$5&lt;100)),
VLOOKUP(FLOOR(('Final Term'!AN38/AN$5)*100,1),new_transmute,3,FALSE),
VLOOKUP('Final Term'!AN38,new_transmute,3,FALSE)
),
IF(Info!$B$4="Board program (Medicine)",
IF(OR(AND(AN$5&gt;0,AN$5&gt;100),AND(AN$5&gt;0,AN$5&lt;100)),
VLOOKUP(FLOOR(('Final Term'!AN38/AN$5)*100,1),new_transmute,4,FALSE),
VLOOKUP('Final Term'!AN38,new_transmute,4,FALSE)
),
""
)
)
)
)
)
)
)
)
))</f>
        <v/>
      </c>
      <c r="AO38" s="73" t="str">
        <f>IF($B38="","",
IF(AO$5="","",
IF('Final Term'!AO38="",0,
IF(NOT(ISNUMBER('Final Term'!AO38)),"NAN",
IF('Final Term'!AO38&lt;0,"NEG",
IF('Final Term'!AO38&gt;AO$5,"OVER",
IF(AND(AO$5&lt;=100,'Final Term'!AO38&gt;100),"ERR",
IF(Info!$B$4="Non-board program",
IF(OR(AND(AO$5&gt;0,AO$5&gt;100),AND(AO$5&gt;0,AO$5&lt;100)),
VLOOKUP(FLOOR(('Final Term'!AO38/AO$5)*100,1),new_transmute,2,FALSE),
VLOOKUP('Final Term'!AO38,new_transmute,2,FALSE)
),
IF(Info!$B$4="Board program",
IF(OR(AND(AO$5&gt;0,AO$5&gt;100),AND(AO$5&gt;0,AO$5&lt;100)),
VLOOKUP(FLOOR(('Final Term'!AO38/AO$5)*100,1),new_transmute,3,FALSE),
VLOOKUP('Final Term'!AO38,new_transmute,3,FALSE)
),
IF(Info!$B$4="Board program (Medicine)",
IF(OR(AND(AO$5&gt;0,AO$5&gt;100),AND(AO$5&gt;0,AO$5&lt;100)),
VLOOKUP(FLOOR(('Final Term'!AO38/AO$5)*100,1),new_transmute,4,FALSE),
VLOOKUP('Final Term'!AO38,new_transmute,4,FALSE)
),
""
)
)
)
)
)
)
)
)
))</f>
        <v/>
      </c>
      <c r="AP38" s="73" t="str">
        <f>IF($B38="","",
IF(AP$5="","",
IF('Final Term'!AP38="",0,
IF(NOT(ISNUMBER('Final Term'!AP38)),"NAN",
IF('Final Term'!AP38&lt;0,"NEG",
IF('Final Term'!AP38&gt;AP$5,"OVER",
IF(AND(AP$5&lt;=100,'Final Term'!AP38&gt;100),"ERR",
IF(Info!$B$4="Non-board program",
IF(OR(AND(AP$5&gt;0,AP$5&gt;100),AND(AP$5&gt;0,AP$5&lt;100)),
VLOOKUP(FLOOR(('Final Term'!AP38/AP$5)*100,1),new_transmute,2,FALSE),
VLOOKUP('Final Term'!AP38,new_transmute,2,FALSE)
),
IF(Info!$B$4="Board program",
IF(OR(AND(AP$5&gt;0,AP$5&gt;100),AND(AP$5&gt;0,AP$5&lt;100)),
VLOOKUP(FLOOR(('Final Term'!AP38/AP$5)*100,1),new_transmute,3,FALSE),
VLOOKUP('Final Term'!AP38,new_transmute,3,FALSE)
),
IF(Info!$B$4="Board program (Medicine)",
IF(OR(AND(AP$5&gt;0,AP$5&gt;100),AND(AP$5&gt;0,AP$5&lt;100)),
VLOOKUP(FLOOR(('Final Term'!AP38/AP$5)*100,1),new_transmute,4,FALSE),
VLOOKUP('Final Term'!AP38,new_transmute,4,FALSE)
),
""
)
)
)
)
)
)
)
)
))</f>
        <v/>
      </c>
      <c r="AQ38" s="61" t="str">
        <f t="shared" si="7"/>
        <v/>
      </c>
      <c r="AR38" s="48" t="str">
        <f>IF('Final Term'!AR38="","",'Final Term'!AR38)</f>
        <v/>
      </c>
      <c r="AS38" s="165" t="str">
        <f t="shared" si="8"/>
        <v/>
      </c>
      <c r="AT38" s="14" t="str">
        <f t="shared" ref="AT38:AT69" si="9">IF(B38="", "",
    IF(AS38="ERR", "ERR",
        IF(AS38="INC",
            VLOOKUP(AS38, Equivalent, 1, FALSE),
            IF(AS38="DRP",
                VLOOKUP(AS38, Equivalent, 1, FALSE),
                IF(AS38="WF",
                    VLOOKUP(AS38, Equivalent, 1, FALSE),
                    IF(E38="FA",
                        VLOOKUP(E38, Equivalent, 1, FALSE),
                        IF(AS38&lt;60,
                            5,
                            VLOOKUP(FLOOR(AS38, 1), Equivalent, 2, FALSE)
                        )
                    )
                )
            )
        )
    )
)</f>
        <v/>
      </c>
      <c r="AU38" s="13" t="str">
        <f>IF(B38="","",VLOOKUP(AT38,'New Grade Equivalent'!$B$3:$C$47,2,FALSE))</f>
        <v/>
      </c>
    </row>
    <row r="39" spans="1:47" x14ac:dyDescent="0.25">
      <c r="A39" s="8">
        <v>34</v>
      </c>
      <c r="B39" s="2" t="str">
        <f>IF('Student List'!C43="","",UPPER(LEFT('Student List'!C43,FIND(",",'Student List'!C43)-1)))</f>
        <v/>
      </c>
      <c r="C39" s="12" t="str">
        <f>IF('Student List'!C43="","",PROPER(MID('Student List'!C43, FIND(",", 'Student List'!C43) + 2, LEN('Student List'!C43) - FIND(",", 'Student List'!C43) - 1)))</f>
        <v/>
      </c>
      <c r="D39" s="127" t="str">
        <f>IF('Final Term'!D39="","",'Final Term'!D39)</f>
        <v/>
      </c>
      <c r="E39" s="8" t="str">
        <f>IF(MidCom!E39="FA", "FA",
    IF(MidCom!E39="DRP", "DRP",
        IF(MidCom!E39="WF", "WF",
            IF(D39="Yes", "INC",
               IF((SUM('MT Attendance'!AW37) / 3 + SUM('MT Attendance'!AY37) + SUM('FT Attendance'!AW37) / 3 + SUM('FT Attendance'!AY37)) &gt;= 0.2 * (SUMPRODUCT(--(ISTEXT('MT Attendance'!$C$2:$AU$2))) + SUMPRODUCT(--(ISTEXT('FT Attendance'!$C$2:$AU$2)))), "FA",
                   MidCom!E39
                )
            )
        )
    )
)</f>
        <v/>
      </c>
      <c r="F39" s="73" t="str">
        <f>IF($B39="","",
IF(F$5="","",
IF('Final Term'!F39="",0,
IF(NOT(ISNUMBER('Final Term'!F39)),"NAN",
IF('Final Term'!F39&lt;0,"NEG",
IF('Final Term'!F39&gt;F$5,"OVER",
IF(AND(F$5&lt;=100,'Final Term'!F39&gt;100),"ERR",
IF(Info!$B$4="Non-board program",
IF(OR(AND(F$5&gt;0,F$5&gt;100),AND(F$5&gt;0,F$5&lt;100)),
VLOOKUP(FLOOR(('Final Term'!F39/F$5)*100,1),new_transmute,2,FALSE),
VLOOKUP('Final Term'!F39,new_transmute,2,FALSE)
),
IF(Info!$B$4="Board program",
IF(OR(AND(F$5&gt;0,F$5&gt;100),AND(F$5&gt;0,F$5&lt;100)),
VLOOKUP(FLOOR(('Final Term'!F39/F$5)*100,1),new_transmute,3,FALSE),
VLOOKUP('Final Term'!F39,new_transmute,3,FALSE)
),
IF(Info!$B$4="Board program (Medicine)",
IF(OR(AND(F$5&gt;0,F$5&gt;100),AND(F$5&gt;0,F$5&lt;100)),
VLOOKUP(FLOOR(('Final Term'!F39/F$5)*100,1),new_transmute,4,FALSE),
VLOOKUP('Final Term'!F39,new_transmute,4,FALSE)
),
""
)
)
)
)
)
)
)
)
))</f>
        <v/>
      </c>
      <c r="G39" s="57" t="str">
        <f t="shared" si="1"/>
        <v/>
      </c>
      <c r="H39" s="73" t="str">
        <f>IF($B39="","",
IF(H$5="","",
IF('Final Term'!H39="",0,
IF(NOT(ISNUMBER('Final Term'!H39)),"NAN",
IF('Final Term'!H39&lt;0,"NEG",
IF('Final Term'!H39&gt;H$5,"OVER",
IF(AND(H$5&lt;=100,'Final Term'!H39&gt;100),"ERR",
IF(Info!$B$4="Non-board program",
IF(OR(AND(H$5&gt;0,H$5&gt;100),AND(H$5&gt;0,H$5&lt;100)),
VLOOKUP(FLOOR(('Final Term'!H39/H$5)*100,1),new_transmute,2,FALSE),
VLOOKUP('Final Term'!H39,new_transmute,2,FALSE)
),
IF(Info!$B$4="Board program",
IF(OR(AND(H$5&gt;0,H$5&gt;100),AND(H$5&gt;0,H$5&lt;100)),
VLOOKUP(FLOOR(('Final Term'!H39/H$5)*100,1),new_transmute,3,FALSE),
VLOOKUP('Final Term'!H39,new_transmute,3,FALSE)
),
IF(Info!$B$4="Board program (Medicine)",
IF(OR(AND(H$5&gt;0,H$5&gt;100),AND(H$5&gt;0,H$5&lt;100)),
VLOOKUP(FLOOR(('Final Term'!H39/H$5)*100,1),new_transmute,4,FALSE),
VLOOKUP('Final Term'!H39,new_transmute,4,FALSE)
),
""
)
)
)
)
)
)
)
)
))</f>
        <v/>
      </c>
      <c r="I39" s="73" t="str">
        <f>IF($B39="","",
IF(I$5="","",
IF('Final Term'!I39="",0,
IF(NOT(ISNUMBER('Final Term'!I39)),"NAN",
IF('Final Term'!I39&lt;0,"NEG",
IF('Final Term'!I39&gt;I$5,"OVER",
IF(AND(I$5&lt;=100,'Final Term'!I39&gt;100),"ERR",
IF(Info!$B$4="Non-board program",
IF(OR(AND(I$5&gt;0,I$5&gt;100),AND(I$5&gt;0,I$5&lt;100)),
VLOOKUP(FLOOR(('Final Term'!I39/I$5)*100,1),new_transmute,2,FALSE),
VLOOKUP('Final Term'!I39,new_transmute,2,FALSE)
),
IF(Info!$B$4="Board program",
IF(OR(AND(I$5&gt;0,I$5&gt;100),AND(I$5&gt;0,I$5&lt;100)),
VLOOKUP(FLOOR(('Final Term'!I39/I$5)*100,1),new_transmute,3,FALSE),
VLOOKUP('Final Term'!I39,new_transmute,3,FALSE)
),
IF(Info!$B$4="Board program (Medicine)",
IF(OR(AND(I$5&gt;0,I$5&gt;100),AND(I$5&gt;0,I$5&lt;100)),
VLOOKUP(FLOOR(('Final Term'!I39/I$5)*100,1),new_transmute,4,FALSE),
VLOOKUP('Final Term'!I39,new_transmute,4,FALSE)
),
""
)
)
)
)
)
)
)
)
))</f>
        <v/>
      </c>
      <c r="J39" s="73" t="str">
        <f>IF($B39="","",
IF(J$5="","",
IF('Final Term'!J39="",0,
IF(NOT(ISNUMBER('Final Term'!J39)),"NAN",
IF('Final Term'!J39&lt;0,"NEG",
IF('Final Term'!J39&gt;J$5,"OVER",
IF(AND(J$5&lt;=100,'Final Term'!J39&gt;100),"ERR",
IF(Info!$B$4="Non-board program",
IF(OR(AND(J$5&gt;0,J$5&gt;100),AND(J$5&gt;0,J$5&lt;100)),
VLOOKUP(FLOOR(('Final Term'!J39/J$5)*100,1),new_transmute,2,FALSE),
VLOOKUP('Final Term'!J39,new_transmute,2,FALSE)
),
IF(Info!$B$4="Board program",
IF(OR(AND(J$5&gt;0,J$5&gt;100),AND(J$5&gt;0,J$5&lt;100)),
VLOOKUP(FLOOR(('Final Term'!J39/J$5)*100,1),new_transmute,3,FALSE),
VLOOKUP('Final Term'!J39,new_transmute,3,FALSE)
),
IF(Info!$B$4="Board program (Medicine)",
IF(OR(AND(J$5&gt;0,J$5&gt;100),AND(J$5&gt;0,J$5&lt;100)),
VLOOKUP(FLOOR(('Final Term'!J39/J$5)*100,1),new_transmute,4,FALSE),
VLOOKUP('Final Term'!J39,new_transmute,4,FALSE)
),
""
)
)
)
)
)
)
)
)
))</f>
        <v/>
      </c>
      <c r="K39" s="73" t="str">
        <f>IF($B39="","",
IF(K$5="","",
IF('Final Term'!K39="",0,
IF(NOT(ISNUMBER('Final Term'!K39)),"NAN",
IF('Final Term'!K39&lt;0,"NEG",
IF('Final Term'!K39&gt;K$5,"OVER",
IF(AND(K$5&lt;=100,'Final Term'!K39&gt;100),"ERR",
IF(Info!$B$4="Non-board program",
IF(OR(AND(K$5&gt;0,K$5&gt;100),AND(K$5&gt;0,K$5&lt;100)),
VLOOKUP(FLOOR(('Final Term'!K39/K$5)*100,1),new_transmute,2,FALSE),
VLOOKUP('Final Term'!K39,new_transmute,2,FALSE)
),
IF(Info!$B$4="Board program",
IF(OR(AND(K$5&gt;0,K$5&gt;100),AND(K$5&gt;0,K$5&lt;100)),
VLOOKUP(FLOOR(('Final Term'!K39/K$5)*100,1),new_transmute,3,FALSE),
VLOOKUP('Final Term'!K39,new_transmute,3,FALSE)
),
IF(Info!$B$4="Board program (Medicine)",
IF(OR(AND(K$5&gt;0,K$5&gt;100),AND(K$5&gt;0,K$5&lt;100)),
VLOOKUP(FLOOR(('Final Term'!K39/K$5)*100,1),new_transmute,4,FALSE),
VLOOKUP('Final Term'!K39,new_transmute,4,FALSE)
),
""
)
)
)
)
)
)
)
)
))</f>
        <v/>
      </c>
      <c r="L39" s="73" t="str">
        <f>IF($B39="","",
IF(L$5="","",
IF('Final Term'!L39="",0,
IF(NOT(ISNUMBER('Final Term'!L39)),"NAN",
IF('Final Term'!L39&lt;0,"NEG",
IF('Final Term'!L39&gt;L$5,"OVER",
IF(AND(L$5&lt;=100,'Final Term'!L39&gt;100),"ERR",
IF(Info!$B$4="Non-board program",
IF(OR(AND(L$5&gt;0,L$5&gt;100),AND(L$5&gt;0,L$5&lt;100)),
VLOOKUP(FLOOR(('Final Term'!L39/L$5)*100,1),new_transmute,2,FALSE),
VLOOKUP('Final Term'!L39,new_transmute,2,FALSE)
),
IF(Info!$B$4="Board program",
IF(OR(AND(L$5&gt;0,L$5&gt;100),AND(L$5&gt;0,L$5&lt;100)),
VLOOKUP(FLOOR(('Final Term'!L39/L$5)*100,1),new_transmute,3,FALSE),
VLOOKUP('Final Term'!L39,new_transmute,3,FALSE)
),
IF(Info!$B$4="Board program (Medicine)",
IF(OR(AND(L$5&gt;0,L$5&gt;100),AND(L$5&gt;0,L$5&lt;100)),
VLOOKUP(FLOOR(('Final Term'!L39/L$5)*100,1),new_transmute,4,FALSE),
VLOOKUP('Final Term'!L39,new_transmute,4,FALSE)
),
""
)
)
)
)
)
)
)
)
))</f>
        <v/>
      </c>
      <c r="M39" s="111" t="str">
        <f t="shared" si="2"/>
        <v/>
      </c>
      <c r="N39" s="73" t="str">
        <f>IF($B39="","",
IF(N$5="","",
IF('Final Term'!N39="",0,
IF(NOT(ISNUMBER('Final Term'!N39)),"NAN",
IF('Final Term'!N39&lt;0,"NEG",
IF('Final Term'!N39&gt;N$5,"OVER",
IF(AND(N$5&lt;=100,'Final Term'!N39&gt;100),"ERR",
IF(Info!$B$4="Non-board program",
IF(OR(AND(N$5&gt;0,N$5&gt;100),AND(N$5&gt;0,N$5&lt;100)),
VLOOKUP(FLOOR(('Final Term'!N39/N$5)*100,1),new_transmute,2,FALSE),
VLOOKUP('Final Term'!N39,new_transmute,2,FALSE)
),
IF(Info!$B$4="Board program",
IF(OR(AND(N$5&gt;0,N$5&gt;100),AND(N$5&gt;0,N$5&lt;100)),
VLOOKUP(FLOOR(('Final Term'!N39/N$5)*100,1),new_transmute,3,FALSE),
VLOOKUP('Final Term'!N39,new_transmute,3,FALSE)
),
IF(Info!$B$4="Board program (Medicine)",
IF(OR(AND(N$5&gt;0,N$5&gt;100),AND(N$5&gt;0,N$5&lt;100)),
VLOOKUP(FLOOR(('Final Term'!N39/N$5)*100,1),new_transmute,4,FALSE),
VLOOKUP('Final Term'!N39,new_transmute,4,FALSE)
),
""
)
)
)
)
)
)
)
)
))</f>
        <v/>
      </c>
      <c r="O39" s="73" t="str">
        <f>IF($B39="","",
IF(O$5="","",
IF('Final Term'!O39="",0,
IF(NOT(ISNUMBER('Final Term'!O39)),"NAN",
IF('Final Term'!O39&lt;0,"NEG",
IF('Final Term'!O39&gt;O$5,"OVER",
IF(AND(O$5&lt;=100,'Final Term'!O39&gt;100),"ERR",
IF(Info!$B$4="Non-board program",
IF(OR(AND(O$5&gt;0,O$5&gt;100),AND(O$5&gt;0,O$5&lt;100)),
VLOOKUP(FLOOR(('Final Term'!O39/O$5)*100,1),new_transmute,2,FALSE),
VLOOKUP('Final Term'!O39,new_transmute,2,FALSE)
),
IF(Info!$B$4="Board program",
IF(OR(AND(O$5&gt;0,O$5&gt;100),AND(O$5&gt;0,O$5&lt;100)),
VLOOKUP(FLOOR(('Final Term'!O39/O$5)*100,1),new_transmute,3,FALSE),
VLOOKUP('Final Term'!O39,new_transmute,3,FALSE)
),
IF(Info!$B$4="Board program (Medicine)",
IF(OR(AND(O$5&gt;0,O$5&gt;100),AND(O$5&gt;0,O$5&lt;100)),
VLOOKUP(FLOOR(('Final Term'!O39/O$5)*100,1),new_transmute,4,FALSE),
VLOOKUP('Final Term'!O39,new_transmute,4,FALSE)
),
""
)
)
)
)
)
)
)
)
))</f>
        <v/>
      </c>
      <c r="P39" s="73" t="str">
        <f>IF($B39="","",
IF(P$5="","",
IF('Final Term'!P39="",0,
IF(NOT(ISNUMBER('Final Term'!P39)),"NAN",
IF('Final Term'!P39&lt;0,"NEG",
IF('Final Term'!P39&gt;P$5,"OVER",
IF(AND(P$5&lt;=100,'Final Term'!P39&gt;100),"ERR",
IF(Info!$B$4="Non-board program",
IF(OR(AND(P$5&gt;0,P$5&gt;100),AND(P$5&gt;0,P$5&lt;100)),
VLOOKUP(FLOOR(('Final Term'!P39/P$5)*100,1),new_transmute,2,FALSE),
VLOOKUP('Final Term'!P39,new_transmute,2,FALSE)
),
IF(Info!$B$4="Board program",
IF(OR(AND(P$5&gt;0,P$5&gt;100),AND(P$5&gt;0,P$5&lt;100)),
VLOOKUP(FLOOR(('Final Term'!P39/P$5)*100,1),new_transmute,3,FALSE),
VLOOKUP('Final Term'!P39,new_transmute,3,FALSE)
),
IF(Info!$B$4="Board program (Medicine)",
IF(OR(AND(P$5&gt;0,P$5&gt;100),AND(P$5&gt;0,P$5&lt;100)),
VLOOKUP(FLOOR(('Final Term'!P39/P$5)*100,1),new_transmute,4,FALSE),
VLOOKUP('Final Term'!P39,new_transmute,4,FALSE)
),
""
)
)
)
)
)
)
)
)
))</f>
        <v/>
      </c>
      <c r="Q39" s="73" t="str">
        <f>IF($B39="","",
IF(Q$5="","",
IF('Final Term'!Q39="",0,
IF(NOT(ISNUMBER('Final Term'!Q39)),"NAN",
IF('Final Term'!Q39&lt;0,"NEG",
IF('Final Term'!Q39&gt;Q$5,"OVER",
IF(AND(Q$5&lt;=100,'Final Term'!Q39&gt;100),"ERR",
IF(Info!$B$4="Non-board program",
IF(OR(AND(Q$5&gt;0,Q$5&gt;100),AND(Q$5&gt;0,Q$5&lt;100)),
VLOOKUP(FLOOR(('Final Term'!Q39/Q$5)*100,1),new_transmute,2,FALSE),
VLOOKUP('Final Term'!Q39,new_transmute,2,FALSE)
),
IF(Info!$B$4="Board program",
IF(OR(AND(Q$5&gt;0,Q$5&gt;100),AND(Q$5&gt;0,Q$5&lt;100)),
VLOOKUP(FLOOR(('Final Term'!Q39/Q$5)*100,1),new_transmute,3,FALSE),
VLOOKUP('Final Term'!Q39,new_transmute,3,FALSE)
),
IF(Info!$B$4="Board program (Medicine)",
IF(OR(AND(Q$5&gt;0,Q$5&gt;100),AND(Q$5&gt;0,Q$5&lt;100)),
VLOOKUP(FLOOR(('Final Term'!Q39/Q$5)*100,1),new_transmute,4,FALSE),
VLOOKUP('Final Term'!Q39,new_transmute,4,FALSE)
),
""
)
)
)
)
)
)
)
)
))</f>
        <v/>
      </c>
      <c r="R39" s="73" t="str">
        <f>IF($B39="","",
IF(R$5="","",
IF('Final Term'!R39="",0,
IF(NOT(ISNUMBER('Final Term'!R39)),"NAN",
IF('Final Term'!R39&lt;0,"NEG",
IF('Final Term'!R39&gt;R$5,"OVER",
IF(AND(R$5&lt;=100,'Final Term'!R39&gt;100),"ERR",
IF(Info!$B$4="Non-board program",
IF(OR(AND(R$5&gt;0,R$5&gt;100),AND(R$5&gt;0,R$5&lt;100)),
VLOOKUP(FLOOR(('Final Term'!R39/R$5)*100,1),new_transmute,2,FALSE),
VLOOKUP('Final Term'!R39,new_transmute,2,FALSE)
),
IF(Info!$B$4="Board program",
IF(OR(AND(R$5&gt;0,R$5&gt;100),AND(R$5&gt;0,R$5&lt;100)),
VLOOKUP(FLOOR(('Final Term'!R39/R$5)*100,1),new_transmute,3,FALSE),
VLOOKUP('Final Term'!R39,new_transmute,3,FALSE)
),
IF(Info!$B$4="Board program (Medicine)",
IF(OR(AND(R$5&gt;0,R$5&gt;100),AND(R$5&gt;0,R$5&lt;100)),
VLOOKUP(FLOOR(('Final Term'!R39/R$5)*100,1),new_transmute,4,FALSE),
VLOOKUP('Final Term'!R39,new_transmute,4,FALSE)
),
""
)
)
)
)
)
)
)
)
))</f>
        <v/>
      </c>
      <c r="S39" s="115" t="str">
        <f t="shared" si="3"/>
        <v/>
      </c>
      <c r="T39" s="73" t="str">
        <f>IF($B39="","",
IF(T$5="","",
IF('Final Term'!T39="",0,
IF(NOT(ISNUMBER('Final Term'!T39)),"NAN",
IF('Final Term'!T39&lt;0,"NEG",
IF('Final Term'!T39&gt;T$5,"OVER",
IF(AND(T$5&lt;=100,'Final Term'!T39&gt;100),"ERR",
IF(Info!$B$4="Non-board program",
IF(OR(AND(T$5&gt;0,T$5&gt;100),AND(T$5&gt;0,T$5&lt;100)),
VLOOKUP(FLOOR(('Final Term'!T39/T$5)*100,1),new_transmute,2,FALSE),
VLOOKUP('Final Term'!T39,new_transmute,2,FALSE)
),
IF(Info!$B$4="Board program",
IF(OR(AND(T$5&gt;0,T$5&gt;100),AND(T$5&gt;0,T$5&lt;100)),
VLOOKUP(FLOOR(('Final Term'!T39/T$5)*100,1),new_transmute,3,FALSE),
VLOOKUP('Final Term'!T39,new_transmute,3,FALSE)
),
IF(Info!$B$4="Board program (Medicine)",
IF(OR(AND(T$5&gt;0,T$5&gt;100),AND(T$5&gt;0,T$5&lt;100)),
VLOOKUP(FLOOR(('Final Term'!T39/T$5)*100,1),new_transmute,4,FALSE),
VLOOKUP('Final Term'!T39,new_transmute,4,FALSE)
),
""
)
)
)
)
)
)
)
)
))</f>
        <v/>
      </c>
      <c r="U39" s="73" t="str">
        <f>IF($B39="","",
IF(U$5="","",
IF('Final Term'!U39="",0,
IF(NOT(ISNUMBER('Final Term'!U39)),"NAN",
IF('Final Term'!U39&lt;0,"NEG",
IF('Final Term'!U39&gt;U$5,"OVER",
IF(AND(U$5&lt;=100,'Final Term'!U39&gt;100),"ERR",
IF(Info!$B$4="Non-board program",
IF(OR(AND(U$5&gt;0,U$5&gt;100),AND(U$5&gt;0,U$5&lt;100)),
VLOOKUP(FLOOR(('Final Term'!U39/U$5)*100,1),new_transmute,2,FALSE),
VLOOKUP('Final Term'!U39,new_transmute,2,FALSE)
),
IF(Info!$B$4="Board program",
IF(OR(AND(U$5&gt;0,U$5&gt;100),AND(U$5&gt;0,U$5&lt;100)),
VLOOKUP(FLOOR(('Final Term'!U39/U$5)*100,1),new_transmute,3,FALSE),
VLOOKUP('Final Term'!U39,new_transmute,3,FALSE)
),
IF(Info!$B$4="Board program (Medicine)",
IF(OR(AND(U$5&gt;0,U$5&gt;100),AND(U$5&gt;0,U$5&lt;100)),
VLOOKUP(FLOOR(('Final Term'!U39/U$5)*100,1),new_transmute,4,FALSE),
VLOOKUP('Final Term'!U39,new_transmute,4,FALSE)
),
""
)
)
)
)
)
)
)
)
))</f>
        <v/>
      </c>
      <c r="V39" s="73" t="str">
        <f>IF($B39="","",
IF(V$5="","",
IF('Final Term'!V39="",0,
IF(NOT(ISNUMBER('Final Term'!V39)),"NAN",
IF('Final Term'!V39&lt;0,"NEG",
IF('Final Term'!V39&gt;V$5,"OVER",
IF(AND(V$5&lt;=100,'Final Term'!V39&gt;100),"ERR",
IF(Info!$B$4="Non-board program",
IF(OR(AND(V$5&gt;0,V$5&gt;100),AND(V$5&gt;0,V$5&lt;100)),
VLOOKUP(FLOOR(('Final Term'!V39/V$5)*100,1),new_transmute,2,FALSE),
VLOOKUP('Final Term'!V39,new_transmute,2,FALSE)
),
IF(Info!$B$4="Board program",
IF(OR(AND(V$5&gt;0,V$5&gt;100),AND(V$5&gt;0,V$5&lt;100)),
VLOOKUP(FLOOR(('Final Term'!V39/V$5)*100,1),new_transmute,3,FALSE),
VLOOKUP('Final Term'!V39,new_transmute,3,FALSE)
),
IF(Info!$B$4="Board program (Medicine)",
IF(OR(AND(V$5&gt;0,V$5&gt;100),AND(V$5&gt;0,V$5&lt;100)),
VLOOKUP(FLOOR(('Final Term'!V39/V$5)*100,1),new_transmute,4,FALSE),
VLOOKUP('Final Term'!V39,new_transmute,4,FALSE)
),
""
)
)
)
)
)
)
)
)
))</f>
        <v/>
      </c>
      <c r="W39" s="73" t="str">
        <f>IF($B39="","",
IF(W$5="","",
IF('Final Term'!W39="",0,
IF(NOT(ISNUMBER('Final Term'!W39)),"NAN",
IF('Final Term'!W39&lt;0,"NEG",
IF('Final Term'!W39&gt;W$5,"OVER",
IF(AND(W$5&lt;=100,'Final Term'!W39&gt;100),"ERR",
IF(Info!$B$4="Non-board program",
IF(OR(AND(W$5&gt;0,W$5&gt;100),AND(W$5&gt;0,W$5&lt;100)),
VLOOKUP(FLOOR(('Final Term'!W39/W$5)*100,1),new_transmute,2,FALSE),
VLOOKUP('Final Term'!W39,new_transmute,2,FALSE)
),
IF(Info!$B$4="Board program",
IF(OR(AND(W$5&gt;0,W$5&gt;100),AND(W$5&gt;0,W$5&lt;100)),
VLOOKUP(FLOOR(('Final Term'!W39/W$5)*100,1),new_transmute,3,FALSE),
VLOOKUP('Final Term'!W39,new_transmute,3,FALSE)
),
IF(Info!$B$4="Board program (Medicine)",
IF(OR(AND(W$5&gt;0,W$5&gt;100),AND(W$5&gt;0,W$5&lt;100)),
VLOOKUP(FLOOR(('Final Term'!W39/W$5)*100,1),new_transmute,4,FALSE),
VLOOKUP('Final Term'!W39,new_transmute,4,FALSE)
),
""
)
)
)
)
)
)
)
)
))</f>
        <v/>
      </c>
      <c r="X39" s="73" t="str">
        <f>IF($B39="","",
IF(X$5="","",
IF('Final Term'!X39="",0,
IF(NOT(ISNUMBER('Final Term'!X39)),"NAN",
IF('Final Term'!X39&lt;0,"NEG",
IF('Final Term'!X39&gt;X$5,"OVER",
IF(AND(X$5&lt;=100,'Final Term'!X39&gt;100),"ERR",
IF(Info!$B$4="Non-board program",
IF(OR(AND(X$5&gt;0,X$5&gt;100),AND(X$5&gt;0,X$5&lt;100)),
VLOOKUP(FLOOR(('Final Term'!X39/X$5)*100,1),new_transmute,2,FALSE),
VLOOKUP('Final Term'!X39,new_transmute,2,FALSE)
),
IF(Info!$B$4="Board program",
IF(OR(AND(X$5&gt;0,X$5&gt;100),AND(X$5&gt;0,X$5&lt;100)),
VLOOKUP(FLOOR(('Final Term'!X39/X$5)*100,1),new_transmute,3,FALSE),
VLOOKUP('Final Term'!X39,new_transmute,3,FALSE)
),
IF(Info!$B$4="Board program (Medicine)",
IF(OR(AND(X$5&gt;0,X$5&gt;100),AND(X$5&gt;0,X$5&lt;100)),
VLOOKUP(FLOOR(('Final Term'!X39/X$5)*100,1),new_transmute,4,FALSE),
VLOOKUP('Final Term'!X39,new_transmute,4,FALSE)
),
""
)
)
)
)
)
)
)
)
))</f>
        <v/>
      </c>
      <c r="Y39" s="112" t="str">
        <f t="shared" si="4"/>
        <v/>
      </c>
      <c r="Z39" s="73" t="str">
        <f>IF($B39="","",
IF(Z$5="","",
IF('Final Term'!Z39="",0,
IF(NOT(ISNUMBER('Final Term'!Z39)),"NAN",
IF('Final Term'!Z39&lt;0,"NEG",
IF('Final Term'!Z39&gt;Z$5,"OVER",
IF(AND(Z$5&lt;=100,'Final Term'!Z39&gt;100),"ERR",
IF(Info!$B$4="Non-board program",
IF(OR(AND(Z$5&gt;0,Z$5&gt;100),AND(Z$5&gt;0,Z$5&lt;100)),
VLOOKUP(FLOOR(('Final Term'!Z39/Z$5)*100,1),new_transmute,2,FALSE),
VLOOKUP('Final Term'!Z39,new_transmute,2,FALSE)
),
IF(Info!$B$4="Board program",
IF(OR(AND(Z$5&gt;0,Z$5&gt;100),AND(Z$5&gt;0,Z$5&lt;100)),
VLOOKUP(FLOOR(('Final Term'!Z39/Z$5)*100,1),new_transmute,3,FALSE),
VLOOKUP('Final Term'!Z39,new_transmute,3,FALSE)
),
IF(Info!$B$4="Board program (Medicine)",
IF(OR(AND(Z$5&gt;0,Z$5&gt;100),AND(Z$5&gt;0,Z$5&lt;100)),
VLOOKUP(FLOOR(('Final Term'!Z39/Z$5)*100,1),new_transmute,4,FALSE),
VLOOKUP('Final Term'!Z39,new_transmute,4,FALSE)
),
""
)
)
)
)
)
)
)
)
))</f>
        <v/>
      </c>
      <c r="AA39" s="73" t="str">
        <f>IF($B39="","",
IF(AA$5="","",
IF('Final Term'!AA39="",0,
IF(NOT(ISNUMBER('Final Term'!AA39)),"NAN",
IF('Final Term'!AA39&lt;0,"NEG",
IF('Final Term'!AA39&gt;AA$5,"OVER",
IF(AND(AA$5&lt;=100,'Final Term'!AA39&gt;100),"ERR",
IF(Info!$B$4="Non-board program",
IF(OR(AND(AA$5&gt;0,AA$5&gt;100),AND(AA$5&gt;0,AA$5&lt;100)),
VLOOKUP(FLOOR(('Final Term'!AA39/AA$5)*100,1),new_transmute,2,FALSE),
VLOOKUP('Final Term'!AA39,new_transmute,2,FALSE)
),
IF(Info!$B$4="Board program",
IF(OR(AND(AA$5&gt;0,AA$5&gt;100),AND(AA$5&gt;0,AA$5&lt;100)),
VLOOKUP(FLOOR(('Final Term'!AA39/AA$5)*100,1),new_transmute,3,FALSE),
VLOOKUP('Final Term'!AA39,new_transmute,3,FALSE)
),
IF(Info!$B$4="Board program (Medicine)",
IF(OR(AND(AA$5&gt;0,AA$5&gt;100),AND(AA$5&gt;0,AA$5&lt;100)),
VLOOKUP(FLOOR(('Final Term'!AA39/AA$5)*100,1),new_transmute,4,FALSE),
VLOOKUP('Final Term'!AA39,new_transmute,4,FALSE)
),
""
)
)
)
)
)
)
)
)
))</f>
        <v/>
      </c>
      <c r="AB39" s="73" t="str">
        <f>IF($B39="","",
IF(AB$5="","",
IF('Final Term'!AB39="",0,
IF(NOT(ISNUMBER('Final Term'!AB39)),"NAN",
IF('Final Term'!AB39&lt;0,"NEG",
IF('Final Term'!AB39&gt;AB$5,"OVER",
IF(AND(AB$5&lt;=100,'Final Term'!AB39&gt;100),"ERR",
IF(Info!$B$4="Non-board program",
IF(OR(AND(AB$5&gt;0,AB$5&gt;100),AND(AB$5&gt;0,AB$5&lt;100)),
VLOOKUP(FLOOR(('Final Term'!AB39/AB$5)*100,1),new_transmute,2,FALSE),
VLOOKUP('Final Term'!AB39,new_transmute,2,FALSE)
),
IF(Info!$B$4="Board program",
IF(OR(AND(AB$5&gt;0,AB$5&gt;100),AND(AB$5&gt;0,AB$5&lt;100)),
VLOOKUP(FLOOR(('Final Term'!AB39/AB$5)*100,1),new_transmute,3,FALSE),
VLOOKUP('Final Term'!AB39,new_transmute,3,FALSE)
),
IF(Info!$B$4="Board program (Medicine)",
IF(OR(AND(AB$5&gt;0,AB$5&gt;100),AND(AB$5&gt;0,AB$5&lt;100)),
VLOOKUP(FLOOR(('Final Term'!AB39/AB$5)*100,1),new_transmute,4,FALSE),
VLOOKUP('Final Term'!AB39,new_transmute,4,FALSE)
),
""
)
)
)
)
)
)
)
)
))</f>
        <v/>
      </c>
      <c r="AC39" s="73" t="str">
        <f>IF($B39="","",
IF(AC$5="","",
IF('Final Term'!AC39="",0,
IF(NOT(ISNUMBER('Final Term'!AC39)),"NAN",
IF('Final Term'!AC39&lt;0,"NEG",
IF('Final Term'!AC39&gt;AC$5,"OVER",
IF(AND(AC$5&lt;=100,'Final Term'!AC39&gt;100),"ERR",
IF(Info!$B$4="Non-board program",
IF(OR(AND(AC$5&gt;0,AC$5&gt;100),AND(AC$5&gt;0,AC$5&lt;100)),
VLOOKUP(FLOOR(('Final Term'!AC39/AC$5)*100,1),new_transmute,2,FALSE),
VLOOKUP('Final Term'!AC39,new_transmute,2,FALSE)
),
IF(Info!$B$4="Board program",
IF(OR(AND(AC$5&gt;0,AC$5&gt;100),AND(AC$5&gt;0,AC$5&lt;100)),
VLOOKUP(FLOOR(('Final Term'!AC39/AC$5)*100,1),new_transmute,3,FALSE),
VLOOKUP('Final Term'!AC39,new_transmute,3,FALSE)
),
IF(Info!$B$4="Board program (Medicine)",
IF(OR(AND(AC$5&gt;0,AC$5&gt;100),AND(AC$5&gt;0,AC$5&lt;100)),
VLOOKUP(FLOOR(('Final Term'!AC39/AC$5)*100,1),new_transmute,4,FALSE),
VLOOKUP('Final Term'!AC39,new_transmute,4,FALSE)
),
""
)
)
)
)
)
)
)
)
))</f>
        <v/>
      </c>
      <c r="AD39" s="73" t="str">
        <f>IF($B39="","",
IF(AD$5="","",
IF('Final Term'!AD39="",0,
IF(NOT(ISNUMBER('Final Term'!AD39)),"NAN",
IF('Final Term'!AD39&lt;0,"NEG",
IF('Final Term'!AD39&gt;AD$5,"OVER",
IF(AND(AD$5&lt;=100,'Final Term'!AD39&gt;100),"ERR",
IF(Info!$B$4="Non-board program",
IF(OR(AND(AD$5&gt;0,AD$5&gt;100),AND(AD$5&gt;0,AD$5&lt;100)),
VLOOKUP(FLOOR(('Final Term'!AD39/AD$5)*100,1),new_transmute,2,FALSE),
VLOOKUP('Final Term'!AD39,new_transmute,2,FALSE)
),
IF(Info!$B$4="Board program",
IF(OR(AND(AD$5&gt;0,AD$5&gt;100),AND(AD$5&gt;0,AD$5&lt;100)),
VLOOKUP(FLOOR(('Final Term'!AD39/AD$5)*100,1),new_transmute,3,FALSE),
VLOOKUP('Final Term'!AD39,new_transmute,3,FALSE)
),
IF(Info!$B$4="Board program (Medicine)",
IF(OR(AND(AD$5&gt;0,AD$5&gt;100),AND(AD$5&gt;0,AD$5&lt;100)),
VLOOKUP(FLOOR(('Final Term'!AD39/AD$5)*100,1),new_transmute,4,FALSE),
VLOOKUP('Final Term'!AD39,new_transmute,4,FALSE)
),
""
)
)
)
)
)
)
)
)
))</f>
        <v/>
      </c>
      <c r="AE39" s="58" t="str">
        <f t="shared" si="5"/>
        <v/>
      </c>
      <c r="AF39" s="73" t="str">
        <f>IF($B39="","",
IF(AF$5="","",
IF('Final Term'!AF39="",0,
IF(NOT(ISNUMBER('Final Term'!AF39)),"NAN",
IF('Final Term'!AF39&lt;0,"NEG",
IF('Final Term'!AF39&gt;AF$5,"OVER",
IF(AND(AF$5&lt;=100,'Final Term'!AF39&gt;100),"ERR",
IF(Info!$B$4="Non-board program",
IF(OR(AND(AF$5&gt;0,AF$5&gt;100),AND(AF$5&gt;0,AF$5&lt;100)),
VLOOKUP(FLOOR(('Final Term'!AF39/AF$5)*100,1),new_transmute,2,FALSE),
VLOOKUP('Final Term'!AF39,new_transmute,2,FALSE)
),
IF(Info!$B$4="Board program",
IF(OR(AND(AF$5&gt;0,AF$5&gt;100),AND(AF$5&gt;0,AF$5&lt;100)),
VLOOKUP(FLOOR(('Final Term'!AF39/AF$5)*100,1),new_transmute,3,FALSE),
VLOOKUP('Final Term'!AF39,new_transmute,3,FALSE)
),
IF(Info!$B$4="Board program (Medicine)",
IF(OR(AND(AF$5&gt;0,AF$5&gt;100),AND(AF$5&gt;0,AF$5&lt;100)),
VLOOKUP(FLOOR(('Final Term'!AF39/AF$5)*100,1),new_transmute,4,FALSE),
VLOOKUP('Final Term'!AF39,new_transmute,4,FALSE)
),
""
)
)
)
)
)
)
)
)
))</f>
        <v/>
      </c>
      <c r="AG39" s="73" t="str">
        <f>IF($B39="","",
IF(AG$5="","",
IF('Final Term'!AG39="",0,
IF(NOT(ISNUMBER('Final Term'!AG39)),"NAN",
IF('Final Term'!AG39&lt;0,"NEG",
IF('Final Term'!AG39&gt;AG$5,"OVER",
IF(AND(AG$5&lt;=100,'Final Term'!AG39&gt;100),"ERR",
IF(Info!$B$4="Non-board program",
IF(OR(AND(AG$5&gt;0,AG$5&gt;100),AND(AG$5&gt;0,AG$5&lt;100)),
VLOOKUP(FLOOR(('Final Term'!AG39/AG$5)*100,1),new_transmute,2,FALSE),
VLOOKUP('Final Term'!AG39,new_transmute,2,FALSE)
),
IF(Info!$B$4="Board program",
IF(OR(AND(AG$5&gt;0,AG$5&gt;100),AND(AG$5&gt;0,AG$5&lt;100)),
VLOOKUP(FLOOR(('Final Term'!AG39/AG$5)*100,1),new_transmute,3,FALSE),
VLOOKUP('Final Term'!AG39,new_transmute,3,FALSE)
),
IF(Info!$B$4="Board program (Medicine)",
IF(OR(AND(AG$5&gt;0,AG$5&gt;100),AND(AG$5&gt;0,AG$5&lt;100)),
VLOOKUP(FLOOR(('Final Term'!AG39/AG$5)*100,1),new_transmute,4,FALSE),
VLOOKUP('Final Term'!AG39,new_transmute,4,FALSE)
),
""
)
)
)
)
)
)
)
)
))</f>
        <v/>
      </c>
      <c r="AH39" s="73" t="str">
        <f>IF($B39="","",
IF(AH$5="","",
IF('Final Term'!AH39="",0,
IF(NOT(ISNUMBER('Final Term'!AH39)),"NAN",
IF('Final Term'!AH39&lt;0,"NEG",
IF('Final Term'!AH39&gt;AH$5,"OVER",
IF(AND(AH$5&lt;=100,'Final Term'!AH39&gt;100),"ERR",
IF(Info!$B$4="Non-board program",
IF(OR(AND(AH$5&gt;0,AH$5&gt;100),AND(AH$5&gt;0,AH$5&lt;100)),
VLOOKUP(FLOOR(('Final Term'!AH39/AH$5)*100,1),new_transmute,2,FALSE),
VLOOKUP('Final Term'!AH39,new_transmute,2,FALSE)
),
IF(Info!$B$4="Board program",
IF(OR(AND(AH$5&gt;0,AH$5&gt;100),AND(AH$5&gt;0,AH$5&lt;100)),
VLOOKUP(FLOOR(('Final Term'!AH39/AH$5)*100,1),new_transmute,3,FALSE),
VLOOKUP('Final Term'!AH39,new_transmute,3,FALSE)
),
IF(Info!$B$4="Board program (Medicine)",
IF(OR(AND(AH$5&gt;0,AH$5&gt;100),AND(AH$5&gt;0,AH$5&lt;100)),
VLOOKUP(FLOOR(('Final Term'!AH39/AH$5)*100,1),new_transmute,4,FALSE),
VLOOKUP('Final Term'!AH39,new_transmute,4,FALSE)
),
""
)
)
)
)
)
)
)
)
))</f>
        <v/>
      </c>
      <c r="AI39" s="73" t="str">
        <f>IF($B39="","",
IF(AI$5="","",
IF('Final Term'!AI39="",0,
IF(NOT(ISNUMBER('Final Term'!AI39)),"NAN",
IF('Final Term'!AI39&lt;0,"NEG",
IF('Final Term'!AI39&gt;AI$5,"OVER",
IF(AND(AI$5&lt;=100,'Final Term'!AI39&gt;100),"ERR",
IF(Info!$B$4="Non-board program",
IF(OR(AND(AI$5&gt;0,AI$5&gt;100),AND(AI$5&gt;0,AI$5&lt;100)),
VLOOKUP(FLOOR(('Final Term'!AI39/AI$5)*100,1),new_transmute,2,FALSE),
VLOOKUP('Final Term'!AI39,new_transmute,2,FALSE)
),
IF(Info!$B$4="Board program",
IF(OR(AND(AI$5&gt;0,AI$5&gt;100),AND(AI$5&gt;0,AI$5&lt;100)),
VLOOKUP(FLOOR(('Final Term'!AI39/AI$5)*100,1),new_transmute,3,FALSE),
VLOOKUP('Final Term'!AI39,new_transmute,3,FALSE)
),
IF(Info!$B$4="Board program (Medicine)",
IF(OR(AND(AI$5&gt;0,AI$5&gt;100),AND(AI$5&gt;0,AI$5&lt;100)),
VLOOKUP(FLOOR(('Final Term'!AI39/AI$5)*100,1),new_transmute,4,FALSE),
VLOOKUP('Final Term'!AI39,new_transmute,4,FALSE)
),
""
)
)
)
)
)
)
)
)
))</f>
        <v/>
      </c>
      <c r="AJ39" s="73" t="str">
        <f>IF($B39="","",
IF(AJ$5="","",
IF('Final Term'!AJ39="",0,
IF(NOT(ISNUMBER('Final Term'!AJ39)),"NAN",
IF('Final Term'!AJ39&lt;0,"NEG",
IF('Final Term'!AJ39&gt;AJ$5,"OVER",
IF(AND(AJ$5&lt;=100,'Final Term'!AJ39&gt;100),"ERR",
IF(Info!$B$4="Non-board program",
IF(OR(AND(AJ$5&gt;0,AJ$5&gt;100),AND(AJ$5&gt;0,AJ$5&lt;100)),
VLOOKUP(FLOOR(('Final Term'!AJ39/AJ$5)*100,1),new_transmute,2,FALSE),
VLOOKUP('Final Term'!AJ39,new_transmute,2,FALSE)
),
IF(Info!$B$4="Board program",
IF(OR(AND(AJ$5&gt;0,AJ$5&gt;100),AND(AJ$5&gt;0,AJ$5&lt;100)),
VLOOKUP(FLOOR(('Final Term'!AJ39/AJ$5)*100,1),new_transmute,3,FALSE),
VLOOKUP('Final Term'!AJ39,new_transmute,3,FALSE)
),
IF(Info!$B$4="Board program (Medicine)",
IF(OR(AND(AJ$5&gt;0,AJ$5&gt;100),AND(AJ$5&gt;0,AJ$5&lt;100)),
VLOOKUP(FLOOR(('Final Term'!AJ39/AJ$5)*100,1),new_transmute,4,FALSE),
VLOOKUP('Final Term'!AJ39,new_transmute,4,FALSE)
),
""
)
)
)
)
)
)
)
)
))</f>
        <v/>
      </c>
      <c r="AK39" s="59" t="str">
        <f t="shared" si="6"/>
        <v/>
      </c>
      <c r="AL39" s="60" t="str">
        <f>IF(B39="", "",
    IF(OR(M39="OVER", S39="OVER", Y39="OVER", AE39="OVER", AK39="OVER"),
        "OVER",
        IF(Info!$B$4="Non-board program",
            VLOOKUP(IFERROR(FLOOR(SUM((M39*$M$4), (S39*$S$4), (Y39*$Y$4), (AE39*$AE$4), (AK39*$AK$4)) * (100 / 60), 1), 0), new_transmute, 2, FALSE),
            IF(Info!$B$4="Board program",
                VLOOKUP(IFERROR(FLOOR(SUM((M39*$M$4), (S39*$S$4), (Y39*$Y$4), (AE39*$AE$4), (AK39*$AK$4)) * (100 / 60), 1), 0), new_transmute, 3, FALSE),
                IF(Info!$B$4="Board program (Medicine)",
                    VLOOKUP(IFERROR(FLOOR(SUM((M39*$M$4), (S39*$S$4), (Y39*$Y$4), (AE39*$AE$4), (AK39*$AK$4)) * (100 / 60), 1), 0), new_transmute, 4, FALSE),
                    ""
                )
            )
        )
    )
)</f>
        <v/>
      </c>
      <c r="AM39" s="73" t="str">
        <f>IF($B39="","",
IF(AM$5="","",
IF('Final Term'!AM39="",0,
IF(NOT(ISNUMBER('Final Term'!AM39)),"NAN",
IF('Final Term'!AM39&lt;0,"NEG",
IF('Final Term'!AM39&gt;AM$5,"OVER",
IF(AND(AM$5&lt;=100,'Final Term'!AM39&gt;100),"ERR",
IF(Info!$B$4="Non-board program",
IF(OR(AND(AM$5&gt;0,AM$5&gt;100),AND(AM$5&gt;0,AM$5&lt;100)),
VLOOKUP(FLOOR(('Final Term'!AM39/AM$5)*100,1),new_transmute,2,FALSE),
VLOOKUP('Final Term'!AM39,new_transmute,2,FALSE)
),
IF(Info!$B$4="Board program",
IF(OR(AND(AM$5&gt;0,AM$5&gt;100),AND(AM$5&gt;0,AM$5&lt;100)),
VLOOKUP(FLOOR(('Final Term'!AM39/AM$5)*100,1),new_transmute,3,FALSE),
VLOOKUP('Final Term'!AM39,new_transmute,3,FALSE)
),
IF(Info!$B$4="Board program (Medicine)",
IF(OR(AND(AM$5&gt;0,AM$5&gt;100),AND(AM$5&gt;0,AM$5&lt;100)),
VLOOKUP(FLOOR(('Final Term'!AM39/AM$5)*100,1),new_transmute,4,FALSE),
VLOOKUP('Final Term'!AM39,new_transmute,4,FALSE)
),
""
)
)
)
)
)
)
)
)
))</f>
        <v/>
      </c>
      <c r="AN39" s="73" t="str">
        <f>IF($B39="","",
IF(AN$5="","",
IF('Final Term'!AN39="",0,
IF(NOT(ISNUMBER('Final Term'!AN39)),"NAN",
IF('Final Term'!AN39&lt;0,"NEG",
IF('Final Term'!AN39&gt;AN$5,"OVER",
IF(AND(AN$5&lt;=100,'Final Term'!AN39&gt;100),"ERR",
IF(Info!$B$4="Non-board program",
IF(OR(AND(AN$5&gt;0,AN$5&gt;100),AND(AN$5&gt;0,AN$5&lt;100)),
VLOOKUP(FLOOR(('Final Term'!AN39/AN$5)*100,1),new_transmute,2,FALSE),
VLOOKUP('Final Term'!AN39,new_transmute,2,FALSE)
),
IF(Info!$B$4="Board program",
IF(OR(AND(AN$5&gt;0,AN$5&gt;100),AND(AN$5&gt;0,AN$5&lt;100)),
VLOOKUP(FLOOR(('Final Term'!AN39/AN$5)*100,1),new_transmute,3,FALSE),
VLOOKUP('Final Term'!AN39,new_transmute,3,FALSE)
),
IF(Info!$B$4="Board program (Medicine)",
IF(OR(AND(AN$5&gt;0,AN$5&gt;100),AND(AN$5&gt;0,AN$5&lt;100)),
VLOOKUP(FLOOR(('Final Term'!AN39/AN$5)*100,1),new_transmute,4,FALSE),
VLOOKUP('Final Term'!AN39,new_transmute,4,FALSE)
),
""
)
)
)
)
)
)
)
)
))</f>
        <v/>
      </c>
      <c r="AO39" s="73" t="str">
        <f>IF($B39="","",
IF(AO$5="","",
IF('Final Term'!AO39="",0,
IF(NOT(ISNUMBER('Final Term'!AO39)),"NAN",
IF('Final Term'!AO39&lt;0,"NEG",
IF('Final Term'!AO39&gt;AO$5,"OVER",
IF(AND(AO$5&lt;=100,'Final Term'!AO39&gt;100),"ERR",
IF(Info!$B$4="Non-board program",
IF(OR(AND(AO$5&gt;0,AO$5&gt;100),AND(AO$5&gt;0,AO$5&lt;100)),
VLOOKUP(FLOOR(('Final Term'!AO39/AO$5)*100,1),new_transmute,2,FALSE),
VLOOKUP('Final Term'!AO39,new_transmute,2,FALSE)
),
IF(Info!$B$4="Board program",
IF(OR(AND(AO$5&gt;0,AO$5&gt;100),AND(AO$5&gt;0,AO$5&lt;100)),
VLOOKUP(FLOOR(('Final Term'!AO39/AO$5)*100,1),new_transmute,3,FALSE),
VLOOKUP('Final Term'!AO39,new_transmute,3,FALSE)
),
IF(Info!$B$4="Board program (Medicine)",
IF(OR(AND(AO$5&gt;0,AO$5&gt;100),AND(AO$5&gt;0,AO$5&lt;100)),
VLOOKUP(FLOOR(('Final Term'!AO39/AO$5)*100,1),new_transmute,4,FALSE),
VLOOKUP('Final Term'!AO39,new_transmute,4,FALSE)
),
""
)
)
)
)
)
)
)
)
))</f>
        <v/>
      </c>
      <c r="AP39" s="73" t="str">
        <f>IF($B39="","",
IF(AP$5="","",
IF('Final Term'!AP39="",0,
IF(NOT(ISNUMBER('Final Term'!AP39)),"NAN",
IF('Final Term'!AP39&lt;0,"NEG",
IF('Final Term'!AP39&gt;AP$5,"OVER",
IF(AND(AP$5&lt;=100,'Final Term'!AP39&gt;100),"ERR",
IF(Info!$B$4="Non-board program",
IF(OR(AND(AP$5&gt;0,AP$5&gt;100),AND(AP$5&gt;0,AP$5&lt;100)),
VLOOKUP(FLOOR(('Final Term'!AP39/AP$5)*100,1),new_transmute,2,FALSE),
VLOOKUP('Final Term'!AP39,new_transmute,2,FALSE)
),
IF(Info!$B$4="Board program",
IF(OR(AND(AP$5&gt;0,AP$5&gt;100),AND(AP$5&gt;0,AP$5&lt;100)),
VLOOKUP(FLOOR(('Final Term'!AP39/AP$5)*100,1),new_transmute,3,FALSE),
VLOOKUP('Final Term'!AP39,new_transmute,3,FALSE)
),
IF(Info!$B$4="Board program (Medicine)",
IF(OR(AND(AP$5&gt;0,AP$5&gt;100),AND(AP$5&gt;0,AP$5&lt;100)),
VLOOKUP(FLOOR(('Final Term'!AP39/AP$5)*100,1),new_transmute,4,FALSE),
VLOOKUP('Final Term'!AP39,new_transmute,4,FALSE)
),
""
)
)
)
)
)
)
)
)
))</f>
        <v/>
      </c>
      <c r="AQ39" s="61" t="str">
        <f t="shared" si="7"/>
        <v/>
      </c>
      <c r="AR39" s="48" t="str">
        <f>IF('Final Term'!AR39="","",'Final Term'!AR39)</f>
        <v/>
      </c>
      <c r="AS39" s="165" t="str">
        <f t="shared" si="8"/>
        <v/>
      </c>
      <c r="AT39" s="14" t="str">
        <f t="shared" si="9"/>
        <v/>
      </c>
      <c r="AU39" s="13" t="str">
        <f>IF(B39="","",VLOOKUP(AT39,'New Grade Equivalent'!$B$3:$C$47,2,FALSE))</f>
        <v/>
      </c>
    </row>
    <row r="40" spans="1:47" x14ac:dyDescent="0.25">
      <c r="A40" s="8">
        <v>35</v>
      </c>
      <c r="B40" s="2" t="str">
        <f>IF('Student List'!C44="","",UPPER(LEFT('Student List'!C44,FIND(",",'Student List'!C44)-1)))</f>
        <v/>
      </c>
      <c r="C40" s="12" t="str">
        <f>IF('Student List'!C44="","",PROPER(MID('Student List'!C44, FIND(",", 'Student List'!C44) + 2, LEN('Student List'!C44) - FIND(",", 'Student List'!C44) - 1)))</f>
        <v/>
      </c>
      <c r="D40" s="127" t="str">
        <f>IF('Final Term'!D40="","",'Final Term'!D40)</f>
        <v/>
      </c>
      <c r="E40" s="8" t="str">
        <f>IF(MidCom!E40="FA", "FA",
    IF(MidCom!E40="DRP", "DRP",
        IF(MidCom!E40="WF", "WF",
            IF(D40="Yes", "INC",
               IF((SUM('MT Attendance'!AW38) / 3 + SUM('MT Attendance'!AY38) + SUM('FT Attendance'!AW38) / 3 + SUM('FT Attendance'!AY38)) &gt;= 0.2 * (SUMPRODUCT(--(ISTEXT('MT Attendance'!$C$2:$AU$2))) + SUMPRODUCT(--(ISTEXT('FT Attendance'!$C$2:$AU$2)))), "FA",
                   MidCom!E40
                )
            )
        )
    )
)</f>
        <v/>
      </c>
      <c r="F40" s="73" t="str">
        <f>IF($B40="","",
IF(F$5="","",
IF('Final Term'!F40="",0,
IF(NOT(ISNUMBER('Final Term'!F40)),"NAN",
IF('Final Term'!F40&lt;0,"NEG",
IF('Final Term'!F40&gt;F$5,"OVER",
IF(AND(F$5&lt;=100,'Final Term'!F40&gt;100),"ERR",
IF(Info!$B$4="Non-board program",
IF(OR(AND(F$5&gt;0,F$5&gt;100),AND(F$5&gt;0,F$5&lt;100)),
VLOOKUP(FLOOR(('Final Term'!F40/F$5)*100,1),new_transmute,2,FALSE),
VLOOKUP('Final Term'!F40,new_transmute,2,FALSE)
),
IF(Info!$B$4="Board program",
IF(OR(AND(F$5&gt;0,F$5&gt;100),AND(F$5&gt;0,F$5&lt;100)),
VLOOKUP(FLOOR(('Final Term'!F40/F$5)*100,1),new_transmute,3,FALSE),
VLOOKUP('Final Term'!F40,new_transmute,3,FALSE)
),
IF(Info!$B$4="Board program (Medicine)",
IF(OR(AND(F$5&gt;0,F$5&gt;100),AND(F$5&gt;0,F$5&lt;100)),
VLOOKUP(FLOOR(('Final Term'!F40/F$5)*100,1),new_transmute,4,FALSE),
VLOOKUP('Final Term'!F40,new_transmute,4,FALSE)
),
""
)
)
)
)
)
)
)
)
))</f>
        <v/>
      </c>
      <c r="G40" s="57" t="str">
        <f t="shared" si="1"/>
        <v/>
      </c>
      <c r="H40" s="73" t="str">
        <f>IF($B40="","",
IF(H$5="","",
IF('Final Term'!H40="",0,
IF(NOT(ISNUMBER('Final Term'!H40)),"NAN",
IF('Final Term'!H40&lt;0,"NEG",
IF('Final Term'!H40&gt;H$5,"OVER",
IF(AND(H$5&lt;=100,'Final Term'!H40&gt;100),"ERR",
IF(Info!$B$4="Non-board program",
IF(OR(AND(H$5&gt;0,H$5&gt;100),AND(H$5&gt;0,H$5&lt;100)),
VLOOKUP(FLOOR(('Final Term'!H40/H$5)*100,1),new_transmute,2,FALSE),
VLOOKUP('Final Term'!H40,new_transmute,2,FALSE)
),
IF(Info!$B$4="Board program",
IF(OR(AND(H$5&gt;0,H$5&gt;100),AND(H$5&gt;0,H$5&lt;100)),
VLOOKUP(FLOOR(('Final Term'!H40/H$5)*100,1),new_transmute,3,FALSE),
VLOOKUP('Final Term'!H40,new_transmute,3,FALSE)
),
IF(Info!$B$4="Board program (Medicine)",
IF(OR(AND(H$5&gt;0,H$5&gt;100),AND(H$5&gt;0,H$5&lt;100)),
VLOOKUP(FLOOR(('Final Term'!H40/H$5)*100,1),new_transmute,4,FALSE),
VLOOKUP('Final Term'!H40,new_transmute,4,FALSE)
),
""
)
)
)
)
)
)
)
)
))</f>
        <v/>
      </c>
      <c r="I40" s="73" t="str">
        <f>IF($B40="","",
IF(I$5="","",
IF('Final Term'!I40="",0,
IF(NOT(ISNUMBER('Final Term'!I40)),"NAN",
IF('Final Term'!I40&lt;0,"NEG",
IF('Final Term'!I40&gt;I$5,"OVER",
IF(AND(I$5&lt;=100,'Final Term'!I40&gt;100),"ERR",
IF(Info!$B$4="Non-board program",
IF(OR(AND(I$5&gt;0,I$5&gt;100),AND(I$5&gt;0,I$5&lt;100)),
VLOOKUP(FLOOR(('Final Term'!I40/I$5)*100,1),new_transmute,2,FALSE),
VLOOKUP('Final Term'!I40,new_transmute,2,FALSE)
),
IF(Info!$B$4="Board program",
IF(OR(AND(I$5&gt;0,I$5&gt;100),AND(I$5&gt;0,I$5&lt;100)),
VLOOKUP(FLOOR(('Final Term'!I40/I$5)*100,1),new_transmute,3,FALSE),
VLOOKUP('Final Term'!I40,new_transmute,3,FALSE)
),
IF(Info!$B$4="Board program (Medicine)",
IF(OR(AND(I$5&gt;0,I$5&gt;100),AND(I$5&gt;0,I$5&lt;100)),
VLOOKUP(FLOOR(('Final Term'!I40/I$5)*100,1),new_transmute,4,FALSE),
VLOOKUP('Final Term'!I40,new_transmute,4,FALSE)
),
""
)
)
)
)
)
)
)
)
))</f>
        <v/>
      </c>
      <c r="J40" s="73" t="str">
        <f>IF($B40="","",
IF(J$5="","",
IF('Final Term'!J40="",0,
IF(NOT(ISNUMBER('Final Term'!J40)),"NAN",
IF('Final Term'!J40&lt;0,"NEG",
IF('Final Term'!J40&gt;J$5,"OVER",
IF(AND(J$5&lt;=100,'Final Term'!J40&gt;100),"ERR",
IF(Info!$B$4="Non-board program",
IF(OR(AND(J$5&gt;0,J$5&gt;100),AND(J$5&gt;0,J$5&lt;100)),
VLOOKUP(FLOOR(('Final Term'!J40/J$5)*100,1),new_transmute,2,FALSE),
VLOOKUP('Final Term'!J40,new_transmute,2,FALSE)
),
IF(Info!$B$4="Board program",
IF(OR(AND(J$5&gt;0,J$5&gt;100),AND(J$5&gt;0,J$5&lt;100)),
VLOOKUP(FLOOR(('Final Term'!J40/J$5)*100,1),new_transmute,3,FALSE),
VLOOKUP('Final Term'!J40,new_transmute,3,FALSE)
),
IF(Info!$B$4="Board program (Medicine)",
IF(OR(AND(J$5&gt;0,J$5&gt;100),AND(J$5&gt;0,J$5&lt;100)),
VLOOKUP(FLOOR(('Final Term'!J40/J$5)*100,1),new_transmute,4,FALSE),
VLOOKUP('Final Term'!J40,new_transmute,4,FALSE)
),
""
)
)
)
)
)
)
)
)
))</f>
        <v/>
      </c>
      <c r="K40" s="73" t="str">
        <f>IF($B40="","",
IF(K$5="","",
IF('Final Term'!K40="",0,
IF(NOT(ISNUMBER('Final Term'!K40)),"NAN",
IF('Final Term'!K40&lt;0,"NEG",
IF('Final Term'!K40&gt;K$5,"OVER",
IF(AND(K$5&lt;=100,'Final Term'!K40&gt;100),"ERR",
IF(Info!$B$4="Non-board program",
IF(OR(AND(K$5&gt;0,K$5&gt;100),AND(K$5&gt;0,K$5&lt;100)),
VLOOKUP(FLOOR(('Final Term'!K40/K$5)*100,1),new_transmute,2,FALSE),
VLOOKUP('Final Term'!K40,new_transmute,2,FALSE)
),
IF(Info!$B$4="Board program",
IF(OR(AND(K$5&gt;0,K$5&gt;100),AND(K$5&gt;0,K$5&lt;100)),
VLOOKUP(FLOOR(('Final Term'!K40/K$5)*100,1),new_transmute,3,FALSE),
VLOOKUP('Final Term'!K40,new_transmute,3,FALSE)
),
IF(Info!$B$4="Board program (Medicine)",
IF(OR(AND(K$5&gt;0,K$5&gt;100),AND(K$5&gt;0,K$5&lt;100)),
VLOOKUP(FLOOR(('Final Term'!K40/K$5)*100,1),new_transmute,4,FALSE),
VLOOKUP('Final Term'!K40,new_transmute,4,FALSE)
),
""
)
)
)
)
)
)
)
)
))</f>
        <v/>
      </c>
      <c r="L40" s="73" t="str">
        <f>IF($B40="","",
IF(L$5="","",
IF('Final Term'!L40="",0,
IF(NOT(ISNUMBER('Final Term'!L40)),"NAN",
IF('Final Term'!L40&lt;0,"NEG",
IF('Final Term'!L40&gt;L$5,"OVER",
IF(AND(L$5&lt;=100,'Final Term'!L40&gt;100),"ERR",
IF(Info!$B$4="Non-board program",
IF(OR(AND(L$5&gt;0,L$5&gt;100),AND(L$5&gt;0,L$5&lt;100)),
VLOOKUP(FLOOR(('Final Term'!L40/L$5)*100,1),new_transmute,2,FALSE),
VLOOKUP('Final Term'!L40,new_transmute,2,FALSE)
),
IF(Info!$B$4="Board program",
IF(OR(AND(L$5&gt;0,L$5&gt;100),AND(L$5&gt;0,L$5&lt;100)),
VLOOKUP(FLOOR(('Final Term'!L40/L$5)*100,1),new_transmute,3,FALSE),
VLOOKUP('Final Term'!L40,new_transmute,3,FALSE)
),
IF(Info!$B$4="Board program (Medicine)",
IF(OR(AND(L$5&gt;0,L$5&gt;100),AND(L$5&gt;0,L$5&lt;100)),
VLOOKUP(FLOOR(('Final Term'!L40/L$5)*100,1),new_transmute,4,FALSE),
VLOOKUP('Final Term'!L40,new_transmute,4,FALSE)
),
""
)
)
)
)
)
)
)
)
))</f>
        <v/>
      </c>
      <c r="M40" s="111" t="str">
        <f t="shared" si="2"/>
        <v/>
      </c>
      <c r="N40" s="73" t="str">
        <f>IF($B40="","",
IF(N$5="","",
IF('Final Term'!N40="",0,
IF(NOT(ISNUMBER('Final Term'!N40)),"NAN",
IF('Final Term'!N40&lt;0,"NEG",
IF('Final Term'!N40&gt;N$5,"OVER",
IF(AND(N$5&lt;=100,'Final Term'!N40&gt;100),"ERR",
IF(Info!$B$4="Non-board program",
IF(OR(AND(N$5&gt;0,N$5&gt;100),AND(N$5&gt;0,N$5&lt;100)),
VLOOKUP(FLOOR(('Final Term'!N40/N$5)*100,1),new_transmute,2,FALSE),
VLOOKUP('Final Term'!N40,new_transmute,2,FALSE)
),
IF(Info!$B$4="Board program",
IF(OR(AND(N$5&gt;0,N$5&gt;100),AND(N$5&gt;0,N$5&lt;100)),
VLOOKUP(FLOOR(('Final Term'!N40/N$5)*100,1),new_transmute,3,FALSE),
VLOOKUP('Final Term'!N40,new_transmute,3,FALSE)
),
IF(Info!$B$4="Board program (Medicine)",
IF(OR(AND(N$5&gt;0,N$5&gt;100),AND(N$5&gt;0,N$5&lt;100)),
VLOOKUP(FLOOR(('Final Term'!N40/N$5)*100,1),new_transmute,4,FALSE),
VLOOKUP('Final Term'!N40,new_transmute,4,FALSE)
),
""
)
)
)
)
)
)
)
)
))</f>
        <v/>
      </c>
      <c r="O40" s="73" t="str">
        <f>IF($B40="","",
IF(O$5="","",
IF('Final Term'!O40="",0,
IF(NOT(ISNUMBER('Final Term'!O40)),"NAN",
IF('Final Term'!O40&lt;0,"NEG",
IF('Final Term'!O40&gt;O$5,"OVER",
IF(AND(O$5&lt;=100,'Final Term'!O40&gt;100),"ERR",
IF(Info!$B$4="Non-board program",
IF(OR(AND(O$5&gt;0,O$5&gt;100),AND(O$5&gt;0,O$5&lt;100)),
VLOOKUP(FLOOR(('Final Term'!O40/O$5)*100,1),new_transmute,2,FALSE),
VLOOKUP('Final Term'!O40,new_transmute,2,FALSE)
),
IF(Info!$B$4="Board program",
IF(OR(AND(O$5&gt;0,O$5&gt;100),AND(O$5&gt;0,O$5&lt;100)),
VLOOKUP(FLOOR(('Final Term'!O40/O$5)*100,1),new_transmute,3,FALSE),
VLOOKUP('Final Term'!O40,new_transmute,3,FALSE)
),
IF(Info!$B$4="Board program (Medicine)",
IF(OR(AND(O$5&gt;0,O$5&gt;100),AND(O$5&gt;0,O$5&lt;100)),
VLOOKUP(FLOOR(('Final Term'!O40/O$5)*100,1),new_transmute,4,FALSE),
VLOOKUP('Final Term'!O40,new_transmute,4,FALSE)
),
""
)
)
)
)
)
)
)
)
))</f>
        <v/>
      </c>
      <c r="P40" s="73" t="str">
        <f>IF($B40="","",
IF(P$5="","",
IF('Final Term'!P40="",0,
IF(NOT(ISNUMBER('Final Term'!P40)),"NAN",
IF('Final Term'!P40&lt;0,"NEG",
IF('Final Term'!P40&gt;P$5,"OVER",
IF(AND(P$5&lt;=100,'Final Term'!P40&gt;100),"ERR",
IF(Info!$B$4="Non-board program",
IF(OR(AND(P$5&gt;0,P$5&gt;100),AND(P$5&gt;0,P$5&lt;100)),
VLOOKUP(FLOOR(('Final Term'!P40/P$5)*100,1),new_transmute,2,FALSE),
VLOOKUP('Final Term'!P40,new_transmute,2,FALSE)
),
IF(Info!$B$4="Board program",
IF(OR(AND(P$5&gt;0,P$5&gt;100),AND(P$5&gt;0,P$5&lt;100)),
VLOOKUP(FLOOR(('Final Term'!P40/P$5)*100,1),new_transmute,3,FALSE),
VLOOKUP('Final Term'!P40,new_transmute,3,FALSE)
),
IF(Info!$B$4="Board program (Medicine)",
IF(OR(AND(P$5&gt;0,P$5&gt;100),AND(P$5&gt;0,P$5&lt;100)),
VLOOKUP(FLOOR(('Final Term'!P40/P$5)*100,1),new_transmute,4,FALSE),
VLOOKUP('Final Term'!P40,new_transmute,4,FALSE)
),
""
)
)
)
)
)
)
)
)
))</f>
        <v/>
      </c>
      <c r="Q40" s="73" t="str">
        <f>IF($B40="","",
IF(Q$5="","",
IF('Final Term'!Q40="",0,
IF(NOT(ISNUMBER('Final Term'!Q40)),"NAN",
IF('Final Term'!Q40&lt;0,"NEG",
IF('Final Term'!Q40&gt;Q$5,"OVER",
IF(AND(Q$5&lt;=100,'Final Term'!Q40&gt;100),"ERR",
IF(Info!$B$4="Non-board program",
IF(OR(AND(Q$5&gt;0,Q$5&gt;100),AND(Q$5&gt;0,Q$5&lt;100)),
VLOOKUP(FLOOR(('Final Term'!Q40/Q$5)*100,1),new_transmute,2,FALSE),
VLOOKUP('Final Term'!Q40,new_transmute,2,FALSE)
),
IF(Info!$B$4="Board program",
IF(OR(AND(Q$5&gt;0,Q$5&gt;100),AND(Q$5&gt;0,Q$5&lt;100)),
VLOOKUP(FLOOR(('Final Term'!Q40/Q$5)*100,1),new_transmute,3,FALSE),
VLOOKUP('Final Term'!Q40,new_transmute,3,FALSE)
),
IF(Info!$B$4="Board program (Medicine)",
IF(OR(AND(Q$5&gt;0,Q$5&gt;100),AND(Q$5&gt;0,Q$5&lt;100)),
VLOOKUP(FLOOR(('Final Term'!Q40/Q$5)*100,1),new_transmute,4,FALSE),
VLOOKUP('Final Term'!Q40,new_transmute,4,FALSE)
),
""
)
)
)
)
)
)
)
)
))</f>
        <v/>
      </c>
      <c r="R40" s="73" t="str">
        <f>IF($B40="","",
IF(R$5="","",
IF('Final Term'!R40="",0,
IF(NOT(ISNUMBER('Final Term'!R40)),"NAN",
IF('Final Term'!R40&lt;0,"NEG",
IF('Final Term'!R40&gt;R$5,"OVER",
IF(AND(R$5&lt;=100,'Final Term'!R40&gt;100),"ERR",
IF(Info!$B$4="Non-board program",
IF(OR(AND(R$5&gt;0,R$5&gt;100),AND(R$5&gt;0,R$5&lt;100)),
VLOOKUP(FLOOR(('Final Term'!R40/R$5)*100,1),new_transmute,2,FALSE),
VLOOKUP('Final Term'!R40,new_transmute,2,FALSE)
),
IF(Info!$B$4="Board program",
IF(OR(AND(R$5&gt;0,R$5&gt;100),AND(R$5&gt;0,R$5&lt;100)),
VLOOKUP(FLOOR(('Final Term'!R40/R$5)*100,1),new_transmute,3,FALSE),
VLOOKUP('Final Term'!R40,new_transmute,3,FALSE)
),
IF(Info!$B$4="Board program (Medicine)",
IF(OR(AND(R$5&gt;0,R$5&gt;100),AND(R$5&gt;0,R$5&lt;100)),
VLOOKUP(FLOOR(('Final Term'!R40/R$5)*100,1),new_transmute,4,FALSE),
VLOOKUP('Final Term'!R40,new_transmute,4,FALSE)
),
""
)
)
)
)
)
)
)
)
))</f>
        <v/>
      </c>
      <c r="S40" s="115" t="str">
        <f t="shared" si="3"/>
        <v/>
      </c>
      <c r="T40" s="73" t="str">
        <f>IF($B40="","",
IF(T$5="","",
IF('Final Term'!T40="",0,
IF(NOT(ISNUMBER('Final Term'!T40)),"NAN",
IF('Final Term'!T40&lt;0,"NEG",
IF('Final Term'!T40&gt;T$5,"OVER",
IF(AND(T$5&lt;=100,'Final Term'!T40&gt;100),"ERR",
IF(Info!$B$4="Non-board program",
IF(OR(AND(T$5&gt;0,T$5&gt;100),AND(T$5&gt;0,T$5&lt;100)),
VLOOKUP(FLOOR(('Final Term'!T40/T$5)*100,1),new_transmute,2,FALSE),
VLOOKUP('Final Term'!T40,new_transmute,2,FALSE)
),
IF(Info!$B$4="Board program",
IF(OR(AND(T$5&gt;0,T$5&gt;100),AND(T$5&gt;0,T$5&lt;100)),
VLOOKUP(FLOOR(('Final Term'!T40/T$5)*100,1),new_transmute,3,FALSE),
VLOOKUP('Final Term'!T40,new_transmute,3,FALSE)
),
IF(Info!$B$4="Board program (Medicine)",
IF(OR(AND(T$5&gt;0,T$5&gt;100),AND(T$5&gt;0,T$5&lt;100)),
VLOOKUP(FLOOR(('Final Term'!T40/T$5)*100,1),new_transmute,4,FALSE),
VLOOKUP('Final Term'!T40,new_transmute,4,FALSE)
),
""
)
)
)
)
)
)
)
)
))</f>
        <v/>
      </c>
      <c r="U40" s="73" t="str">
        <f>IF($B40="","",
IF(U$5="","",
IF('Final Term'!U40="",0,
IF(NOT(ISNUMBER('Final Term'!U40)),"NAN",
IF('Final Term'!U40&lt;0,"NEG",
IF('Final Term'!U40&gt;U$5,"OVER",
IF(AND(U$5&lt;=100,'Final Term'!U40&gt;100),"ERR",
IF(Info!$B$4="Non-board program",
IF(OR(AND(U$5&gt;0,U$5&gt;100),AND(U$5&gt;0,U$5&lt;100)),
VLOOKUP(FLOOR(('Final Term'!U40/U$5)*100,1),new_transmute,2,FALSE),
VLOOKUP('Final Term'!U40,new_transmute,2,FALSE)
),
IF(Info!$B$4="Board program",
IF(OR(AND(U$5&gt;0,U$5&gt;100),AND(U$5&gt;0,U$5&lt;100)),
VLOOKUP(FLOOR(('Final Term'!U40/U$5)*100,1),new_transmute,3,FALSE),
VLOOKUP('Final Term'!U40,new_transmute,3,FALSE)
),
IF(Info!$B$4="Board program (Medicine)",
IF(OR(AND(U$5&gt;0,U$5&gt;100),AND(U$5&gt;0,U$5&lt;100)),
VLOOKUP(FLOOR(('Final Term'!U40/U$5)*100,1),new_transmute,4,FALSE),
VLOOKUP('Final Term'!U40,new_transmute,4,FALSE)
),
""
)
)
)
)
)
)
)
)
))</f>
        <v/>
      </c>
      <c r="V40" s="73" t="str">
        <f>IF($B40="","",
IF(V$5="","",
IF('Final Term'!V40="",0,
IF(NOT(ISNUMBER('Final Term'!V40)),"NAN",
IF('Final Term'!V40&lt;0,"NEG",
IF('Final Term'!V40&gt;V$5,"OVER",
IF(AND(V$5&lt;=100,'Final Term'!V40&gt;100),"ERR",
IF(Info!$B$4="Non-board program",
IF(OR(AND(V$5&gt;0,V$5&gt;100),AND(V$5&gt;0,V$5&lt;100)),
VLOOKUP(FLOOR(('Final Term'!V40/V$5)*100,1),new_transmute,2,FALSE),
VLOOKUP('Final Term'!V40,new_transmute,2,FALSE)
),
IF(Info!$B$4="Board program",
IF(OR(AND(V$5&gt;0,V$5&gt;100),AND(V$5&gt;0,V$5&lt;100)),
VLOOKUP(FLOOR(('Final Term'!V40/V$5)*100,1),new_transmute,3,FALSE),
VLOOKUP('Final Term'!V40,new_transmute,3,FALSE)
),
IF(Info!$B$4="Board program (Medicine)",
IF(OR(AND(V$5&gt;0,V$5&gt;100),AND(V$5&gt;0,V$5&lt;100)),
VLOOKUP(FLOOR(('Final Term'!V40/V$5)*100,1),new_transmute,4,FALSE),
VLOOKUP('Final Term'!V40,new_transmute,4,FALSE)
),
""
)
)
)
)
)
)
)
)
))</f>
        <v/>
      </c>
      <c r="W40" s="73" t="str">
        <f>IF($B40="","",
IF(W$5="","",
IF('Final Term'!W40="",0,
IF(NOT(ISNUMBER('Final Term'!W40)),"NAN",
IF('Final Term'!W40&lt;0,"NEG",
IF('Final Term'!W40&gt;W$5,"OVER",
IF(AND(W$5&lt;=100,'Final Term'!W40&gt;100),"ERR",
IF(Info!$B$4="Non-board program",
IF(OR(AND(W$5&gt;0,W$5&gt;100),AND(W$5&gt;0,W$5&lt;100)),
VLOOKUP(FLOOR(('Final Term'!W40/W$5)*100,1),new_transmute,2,FALSE),
VLOOKUP('Final Term'!W40,new_transmute,2,FALSE)
),
IF(Info!$B$4="Board program",
IF(OR(AND(W$5&gt;0,W$5&gt;100),AND(W$5&gt;0,W$5&lt;100)),
VLOOKUP(FLOOR(('Final Term'!W40/W$5)*100,1),new_transmute,3,FALSE),
VLOOKUP('Final Term'!W40,new_transmute,3,FALSE)
),
IF(Info!$B$4="Board program (Medicine)",
IF(OR(AND(W$5&gt;0,W$5&gt;100),AND(W$5&gt;0,W$5&lt;100)),
VLOOKUP(FLOOR(('Final Term'!W40/W$5)*100,1),new_transmute,4,FALSE),
VLOOKUP('Final Term'!W40,new_transmute,4,FALSE)
),
""
)
)
)
)
)
)
)
)
))</f>
        <v/>
      </c>
      <c r="X40" s="73" t="str">
        <f>IF($B40="","",
IF(X$5="","",
IF('Final Term'!X40="",0,
IF(NOT(ISNUMBER('Final Term'!X40)),"NAN",
IF('Final Term'!X40&lt;0,"NEG",
IF('Final Term'!X40&gt;X$5,"OVER",
IF(AND(X$5&lt;=100,'Final Term'!X40&gt;100),"ERR",
IF(Info!$B$4="Non-board program",
IF(OR(AND(X$5&gt;0,X$5&gt;100),AND(X$5&gt;0,X$5&lt;100)),
VLOOKUP(FLOOR(('Final Term'!X40/X$5)*100,1),new_transmute,2,FALSE),
VLOOKUP('Final Term'!X40,new_transmute,2,FALSE)
),
IF(Info!$B$4="Board program",
IF(OR(AND(X$5&gt;0,X$5&gt;100),AND(X$5&gt;0,X$5&lt;100)),
VLOOKUP(FLOOR(('Final Term'!X40/X$5)*100,1),new_transmute,3,FALSE),
VLOOKUP('Final Term'!X40,new_transmute,3,FALSE)
),
IF(Info!$B$4="Board program (Medicine)",
IF(OR(AND(X$5&gt;0,X$5&gt;100),AND(X$5&gt;0,X$5&lt;100)),
VLOOKUP(FLOOR(('Final Term'!X40/X$5)*100,1),new_transmute,4,FALSE),
VLOOKUP('Final Term'!X40,new_transmute,4,FALSE)
),
""
)
)
)
)
)
)
)
)
))</f>
        <v/>
      </c>
      <c r="Y40" s="112" t="str">
        <f t="shared" si="4"/>
        <v/>
      </c>
      <c r="Z40" s="73" t="str">
        <f>IF($B40="","",
IF(Z$5="","",
IF('Final Term'!Z40="",0,
IF(NOT(ISNUMBER('Final Term'!Z40)),"NAN",
IF('Final Term'!Z40&lt;0,"NEG",
IF('Final Term'!Z40&gt;Z$5,"OVER",
IF(AND(Z$5&lt;=100,'Final Term'!Z40&gt;100),"ERR",
IF(Info!$B$4="Non-board program",
IF(OR(AND(Z$5&gt;0,Z$5&gt;100),AND(Z$5&gt;0,Z$5&lt;100)),
VLOOKUP(FLOOR(('Final Term'!Z40/Z$5)*100,1),new_transmute,2,FALSE),
VLOOKUP('Final Term'!Z40,new_transmute,2,FALSE)
),
IF(Info!$B$4="Board program",
IF(OR(AND(Z$5&gt;0,Z$5&gt;100),AND(Z$5&gt;0,Z$5&lt;100)),
VLOOKUP(FLOOR(('Final Term'!Z40/Z$5)*100,1),new_transmute,3,FALSE),
VLOOKUP('Final Term'!Z40,new_transmute,3,FALSE)
),
IF(Info!$B$4="Board program (Medicine)",
IF(OR(AND(Z$5&gt;0,Z$5&gt;100),AND(Z$5&gt;0,Z$5&lt;100)),
VLOOKUP(FLOOR(('Final Term'!Z40/Z$5)*100,1),new_transmute,4,FALSE),
VLOOKUP('Final Term'!Z40,new_transmute,4,FALSE)
),
""
)
)
)
)
)
)
)
)
))</f>
        <v/>
      </c>
      <c r="AA40" s="73" t="str">
        <f>IF($B40="","",
IF(AA$5="","",
IF('Final Term'!AA40="",0,
IF(NOT(ISNUMBER('Final Term'!AA40)),"NAN",
IF('Final Term'!AA40&lt;0,"NEG",
IF('Final Term'!AA40&gt;AA$5,"OVER",
IF(AND(AA$5&lt;=100,'Final Term'!AA40&gt;100),"ERR",
IF(Info!$B$4="Non-board program",
IF(OR(AND(AA$5&gt;0,AA$5&gt;100),AND(AA$5&gt;0,AA$5&lt;100)),
VLOOKUP(FLOOR(('Final Term'!AA40/AA$5)*100,1),new_transmute,2,FALSE),
VLOOKUP('Final Term'!AA40,new_transmute,2,FALSE)
),
IF(Info!$B$4="Board program",
IF(OR(AND(AA$5&gt;0,AA$5&gt;100),AND(AA$5&gt;0,AA$5&lt;100)),
VLOOKUP(FLOOR(('Final Term'!AA40/AA$5)*100,1),new_transmute,3,FALSE),
VLOOKUP('Final Term'!AA40,new_transmute,3,FALSE)
),
IF(Info!$B$4="Board program (Medicine)",
IF(OR(AND(AA$5&gt;0,AA$5&gt;100),AND(AA$5&gt;0,AA$5&lt;100)),
VLOOKUP(FLOOR(('Final Term'!AA40/AA$5)*100,1),new_transmute,4,FALSE),
VLOOKUP('Final Term'!AA40,new_transmute,4,FALSE)
),
""
)
)
)
)
)
)
)
)
))</f>
        <v/>
      </c>
      <c r="AB40" s="73" t="str">
        <f>IF($B40="","",
IF(AB$5="","",
IF('Final Term'!AB40="",0,
IF(NOT(ISNUMBER('Final Term'!AB40)),"NAN",
IF('Final Term'!AB40&lt;0,"NEG",
IF('Final Term'!AB40&gt;AB$5,"OVER",
IF(AND(AB$5&lt;=100,'Final Term'!AB40&gt;100),"ERR",
IF(Info!$B$4="Non-board program",
IF(OR(AND(AB$5&gt;0,AB$5&gt;100),AND(AB$5&gt;0,AB$5&lt;100)),
VLOOKUP(FLOOR(('Final Term'!AB40/AB$5)*100,1),new_transmute,2,FALSE),
VLOOKUP('Final Term'!AB40,new_transmute,2,FALSE)
),
IF(Info!$B$4="Board program",
IF(OR(AND(AB$5&gt;0,AB$5&gt;100),AND(AB$5&gt;0,AB$5&lt;100)),
VLOOKUP(FLOOR(('Final Term'!AB40/AB$5)*100,1),new_transmute,3,FALSE),
VLOOKUP('Final Term'!AB40,new_transmute,3,FALSE)
),
IF(Info!$B$4="Board program (Medicine)",
IF(OR(AND(AB$5&gt;0,AB$5&gt;100),AND(AB$5&gt;0,AB$5&lt;100)),
VLOOKUP(FLOOR(('Final Term'!AB40/AB$5)*100,1),new_transmute,4,FALSE),
VLOOKUP('Final Term'!AB40,new_transmute,4,FALSE)
),
""
)
)
)
)
)
)
)
)
))</f>
        <v/>
      </c>
      <c r="AC40" s="73" t="str">
        <f>IF($B40="","",
IF(AC$5="","",
IF('Final Term'!AC40="",0,
IF(NOT(ISNUMBER('Final Term'!AC40)),"NAN",
IF('Final Term'!AC40&lt;0,"NEG",
IF('Final Term'!AC40&gt;AC$5,"OVER",
IF(AND(AC$5&lt;=100,'Final Term'!AC40&gt;100),"ERR",
IF(Info!$B$4="Non-board program",
IF(OR(AND(AC$5&gt;0,AC$5&gt;100),AND(AC$5&gt;0,AC$5&lt;100)),
VLOOKUP(FLOOR(('Final Term'!AC40/AC$5)*100,1),new_transmute,2,FALSE),
VLOOKUP('Final Term'!AC40,new_transmute,2,FALSE)
),
IF(Info!$B$4="Board program",
IF(OR(AND(AC$5&gt;0,AC$5&gt;100),AND(AC$5&gt;0,AC$5&lt;100)),
VLOOKUP(FLOOR(('Final Term'!AC40/AC$5)*100,1),new_transmute,3,FALSE),
VLOOKUP('Final Term'!AC40,new_transmute,3,FALSE)
),
IF(Info!$B$4="Board program (Medicine)",
IF(OR(AND(AC$5&gt;0,AC$5&gt;100),AND(AC$5&gt;0,AC$5&lt;100)),
VLOOKUP(FLOOR(('Final Term'!AC40/AC$5)*100,1),new_transmute,4,FALSE),
VLOOKUP('Final Term'!AC40,new_transmute,4,FALSE)
),
""
)
)
)
)
)
)
)
)
))</f>
        <v/>
      </c>
      <c r="AD40" s="73" t="str">
        <f>IF($B40="","",
IF(AD$5="","",
IF('Final Term'!AD40="",0,
IF(NOT(ISNUMBER('Final Term'!AD40)),"NAN",
IF('Final Term'!AD40&lt;0,"NEG",
IF('Final Term'!AD40&gt;AD$5,"OVER",
IF(AND(AD$5&lt;=100,'Final Term'!AD40&gt;100),"ERR",
IF(Info!$B$4="Non-board program",
IF(OR(AND(AD$5&gt;0,AD$5&gt;100),AND(AD$5&gt;0,AD$5&lt;100)),
VLOOKUP(FLOOR(('Final Term'!AD40/AD$5)*100,1),new_transmute,2,FALSE),
VLOOKUP('Final Term'!AD40,new_transmute,2,FALSE)
),
IF(Info!$B$4="Board program",
IF(OR(AND(AD$5&gt;0,AD$5&gt;100),AND(AD$5&gt;0,AD$5&lt;100)),
VLOOKUP(FLOOR(('Final Term'!AD40/AD$5)*100,1),new_transmute,3,FALSE),
VLOOKUP('Final Term'!AD40,new_transmute,3,FALSE)
),
IF(Info!$B$4="Board program (Medicine)",
IF(OR(AND(AD$5&gt;0,AD$5&gt;100),AND(AD$5&gt;0,AD$5&lt;100)),
VLOOKUP(FLOOR(('Final Term'!AD40/AD$5)*100,1),new_transmute,4,FALSE),
VLOOKUP('Final Term'!AD40,new_transmute,4,FALSE)
),
""
)
)
)
)
)
)
)
)
))</f>
        <v/>
      </c>
      <c r="AE40" s="58" t="str">
        <f t="shared" si="5"/>
        <v/>
      </c>
      <c r="AF40" s="73" t="str">
        <f>IF($B40="","",
IF(AF$5="","",
IF('Final Term'!AF40="",0,
IF(NOT(ISNUMBER('Final Term'!AF40)),"NAN",
IF('Final Term'!AF40&lt;0,"NEG",
IF('Final Term'!AF40&gt;AF$5,"OVER",
IF(AND(AF$5&lt;=100,'Final Term'!AF40&gt;100),"ERR",
IF(Info!$B$4="Non-board program",
IF(OR(AND(AF$5&gt;0,AF$5&gt;100),AND(AF$5&gt;0,AF$5&lt;100)),
VLOOKUP(FLOOR(('Final Term'!AF40/AF$5)*100,1),new_transmute,2,FALSE),
VLOOKUP('Final Term'!AF40,new_transmute,2,FALSE)
),
IF(Info!$B$4="Board program",
IF(OR(AND(AF$5&gt;0,AF$5&gt;100),AND(AF$5&gt;0,AF$5&lt;100)),
VLOOKUP(FLOOR(('Final Term'!AF40/AF$5)*100,1),new_transmute,3,FALSE),
VLOOKUP('Final Term'!AF40,new_transmute,3,FALSE)
),
IF(Info!$B$4="Board program (Medicine)",
IF(OR(AND(AF$5&gt;0,AF$5&gt;100),AND(AF$5&gt;0,AF$5&lt;100)),
VLOOKUP(FLOOR(('Final Term'!AF40/AF$5)*100,1),new_transmute,4,FALSE),
VLOOKUP('Final Term'!AF40,new_transmute,4,FALSE)
),
""
)
)
)
)
)
)
)
)
))</f>
        <v/>
      </c>
      <c r="AG40" s="73" t="str">
        <f>IF($B40="","",
IF(AG$5="","",
IF('Final Term'!AG40="",0,
IF(NOT(ISNUMBER('Final Term'!AG40)),"NAN",
IF('Final Term'!AG40&lt;0,"NEG",
IF('Final Term'!AG40&gt;AG$5,"OVER",
IF(AND(AG$5&lt;=100,'Final Term'!AG40&gt;100),"ERR",
IF(Info!$B$4="Non-board program",
IF(OR(AND(AG$5&gt;0,AG$5&gt;100),AND(AG$5&gt;0,AG$5&lt;100)),
VLOOKUP(FLOOR(('Final Term'!AG40/AG$5)*100,1),new_transmute,2,FALSE),
VLOOKUP('Final Term'!AG40,new_transmute,2,FALSE)
),
IF(Info!$B$4="Board program",
IF(OR(AND(AG$5&gt;0,AG$5&gt;100),AND(AG$5&gt;0,AG$5&lt;100)),
VLOOKUP(FLOOR(('Final Term'!AG40/AG$5)*100,1),new_transmute,3,FALSE),
VLOOKUP('Final Term'!AG40,new_transmute,3,FALSE)
),
IF(Info!$B$4="Board program (Medicine)",
IF(OR(AND(AG$5&gt;0,AG$5&gt;100),AND(AG$5&gt;0,AG$5&lt;100)),
VLOOKUP(FLOOR(('Final Term'!AG40/AG$5)*100,1),new_transmute,4,FALSE),
VLOOKUP('Final Term'!AG40,new_transmute,4,FALSE)
),
""
)
)
)
)
)
)
)
)
))</f>
        <v/>
      </c>
      <c r="AH40" s="73" t="str">
        <f>IF($B40="","",
IF(AH$5="","",
IF('Final Term'!AH40="",0,
IF(NOT(ISNUMBER('Final Term'!AH40)),"NAN",
IF('Final Term'!AH40&lt;0,"NEG",
IF('Final Term'!AH40&gt;AH$5,"OVER",
IF(AND(AH$5&lt;=100,'Final Term'!AH40&gt;100),"ERR",
IF(Info!$B$4="Non-board program",
IF(OR(AND(AH$5&gt;0,AH$5&gt;100),AND(AH$5&gt;0,AH$5&lt;100)),
VLOOKUP(FLOOR(('Final Term'!AH40/AH$5)*100,1),new_transmute,2,FALSE),
VLOOKUP('Final Term'!AH40,new_transmute,2,FALSE)
),
IF(Info!$B$4="Board program",
IF(OR(AND(AH$5&gt;0,AH$5&gt;100),AND(AH$5&gt;0,AH$5&lt;100)),
VLOOKUP(FLOOR(('Final Term'!AH40/AH$5)*100,1),new_transmute,3,FALSE),
VLOOKUP('Final Term'!AH40,new_transmute,3,FALSE)
),
IF(Info!$B$4="Board program (Medicine)",
IF(OR(AND(AH$5&gt;0,AH$5&gt;100),AND(AH$5&gt;0,AH$5&lt;100)),
VLOOKUP(FLOOR(('Final Term'!AH40/AH$5)*100,1),new_transmute,4,FALSE),
VLOOKUP('Final Term'!AH40,new_transmute,4,FALSE)
),
""
)
)
)
)
)
)
)
)
))</f>
        <v/>
      </c>
      <c r="AI40" s="73" t="str">
        <f>IF($B40="","",
IF(AI$5="","",
IF('Final Term'!AI40="",0,
IF(NOT(ISNUMBER('Final Term'!AI40)),"NAN",
IF('Final Term'!AI40&lt;0,"NEG",
IF('Final Term'!AI40&gt;AI$5,"OVER",
IF(AND(AI$5&lt;=100,'Final Term'!AI40&gt;100),"ERR",
IF(Info!$B$4="Non-board program",
IF(OR(AND(AI$5&gt;0,AI$5&gt;100),AND(AI$5&gt;0,AI$5&lt;100)),
VLOOKUP(FLOOR(('Final Term'!AI40/AI$5)*100,1),new_transmute,2,FALSE),
VLOOKUP('Final Term'!AI40,new_transmute,2,FALSE)
),
IF(Info!$B$4="Board program",
IF(OR(AND(AI$5&gt;0,AI$5&gt;100),AND(AI$5&gt;0,AI$5&lt;100)),
VLOOKUP(FLOOR(('Final Term'!AI40/AI$5)*100,1),new_transmute,3,FALSE),
VLOOKUP('Final Term'!AI40,new_transmute,3,FALSE)
),
IF(Info!$B$4="Board program (Medicine)",
IF(OR(AND(AI$5&gt;0,AI$5&gt;100),AND(AI$5&gt;0,AI$5&lt;100)),
VLOOKUP(FLOOR(('Final Term'!AI40/AI$5)*100,1),new_transmute,4,FALSE),
VLOOKUP('Final Term'!AI40,new_transmute,4,FALSE)
),
""
)
)
)
)
)
)
)
)
))</f>
        <v/>
      </c>
      <c r="AJ40" s="73" t="str">
        <f>IF($B40="","",
IF(AJ$5="","",
IF('Final Term'!AJ40="",0,
IF(NOT(ISNUMBER('Final Term'!AJ40)),"NAN",
IF('Final Term'!AJ40&lt;0,"NEG",
IF('Final Term'!AJ40&gt;AJ$5,"OVER",
IF(AND(AJ$5&lt;=100,'Final Term'!AJ40&gt;100),"ERR",
IF(Info!$B$4="Non-board program",
IF(OR(AND(AJ$5&gt;0,AJ$5&gt;100),AND(AJ$5&gt;0,AJ$5&lt;100)),
VLOOKUP(FLOOR(('Final Term'!AJ40/AJ$5)*100,1),new_transmute,2,FALSE),
VLOOKUP('Final Term'!AJ40,new_transmute,2,FALSE)
),
IF(Info!$B$4="Board program",
IF(OR(AND(AJ$5&gt;0,AJ$5&gt;100),AND(AJ$5&gt;0,AJ$5&lt;100)),
VLOOKUP(FLOOR(('Final Term'!AJ40/AJ$5)*100,1),new_transmute,3,FALSE),
VLOOKUP('Final Term'!AJ40,new_transmute,3,FALSE)
),
IF(Info!$B$4="Board program (Medicine)",
IF(OR(AND(AJ$5&gt;0,AJ$5&gt;100),AND(AJ$5&gt;0,AJ$5&lt;100)),
VLOOKUP(FLOOR(('Final Term'!AJ40/AJ$5)*100,1),new_transmute,4,FALSE),
VLOOKUP('Final Term'!AJ40,new_transmute,4,FALSE)
),
""
)
)
)
)
)
)
)
)
))</f>
        <v/>
      </c>
      <c r="AK40" s="59" t="str">
        <f t="shared" si="6"/>
        <v/>
      </c>
      <c r="AL40" s="60" t="str">
        <f>IF(B40="", "",
    IF(OR(M40="OVER", S40="OVER", Y40="OVER", AE40="OVER", AK40="OVER"),
        "OVER",
        IF(Info!$B$4="Non-board program",
            VLOOKUP(IFERROR(FLOOR(SUM((M40*$M$4), (S40*$S$4), (Y40*$Y$4), (AE40*$AE$4), (AK40*$AK$4)) * (100 / 60), 1), 0), new_transmute, 2, FALSE),
            IF(Info!$B$4="Board program",
                VLOOKUP(IFERROR(FLOOR(SUM((M40*$M$4), (S40*$S$4), (Y40*$Y$4), (AE40*$AE$4), (AK40*$AK$4)) * (100 / 60), 1), 0), new_transmute, 3, FALSE),
                IF(Info!$B$4="Board program (Medicine)",
                    VLOOKUP(IFERROR(FLOOR(SUM((M40*$M$4), (S40*$S$4), (Y40*$Y$4), (AE40*$AE$4), (AK40*$AK$4)) * (100 / 60), 1), 0), new_transmute, 4, FALSE),
                    ""
                )
            )
        )
    )
)</f>
        <v/>
      </c>
      <c r="AM40" s="73" t="str">
        <f>IF($B40="","",
IF(AM$5="","",
IF('Final Term'!AM40="",0,
IF(NOT(ISNUMBER('Final Term'!AM40)),"NAN",
IF('Final Term'!AM40&lt;0,"NEG",
IF('Final Term'!AM40&gt;AM$5,"OVER",
IF(AND(AM$5&lt;=100,'Final Term'!AM40&gt;100),"ERR",
IF(Info!$B$4="Non-board program",
IF(OR(AND(AM$5&gt;0,AM$5&gt;100),AND(AM$5&gt;0,AM$5&lt;100)),
VLOOKUP(FLOOR(('Final Term'!AM40/AM$5)*100,1),new_transmute,2,FALSE),
VLOOKUP('Final Term'!AM40,new_transmute,2,FALSE)
),
IF(Info!$B$4="Board program",
IF(OR(AND(AM$5&gt;0,AM$5&gt;100),AND(AM$5&gt;0,AM$5&lt;100)),
VLOOKUP(FLOOR(('Final Term'!AM40/AM$5)*100,1),new_transmute,3,FALSE),
VLOOKUP('Final Term'!AM40,new_transmute,3,FALSE)
),
IF(Info!$B$4="Board program (Medicine)",
IF(OR(AND(AM$5&gt;0,AM$5&gt;100),AND(AM$5&gt;0,AM$5&lt;100)),
VLOOKUP(FLOOR(('Final Term'!AM40/AM$5)*100,1),new_transmute,4,FALSE),
VLOOKUP('Final Term'!AM40,new_transmute,4,FALSE)
),
""
)
)
)
)
)
)
)
)
))</f>
        <v/>
      </c>
      <c r="AN40" s="73" t="str">
        <f>IF($B40="","",
IF(AN$5="","",
IF('Final Term'!AN40="",0,
IF(NOT(ISNUMBER('Final Term'!AN40)),"NAN",
IF('Final Term'!AN40&lt;0,"NEG",
IF('Final Term'!AN40&gt;AN$5,"OVER",
IF(AND(AN$5&lt;=100,'Final Term'!AN40&gt;100),"ERR",
IF(Info!$B$4="Non-board program",
IF(OR(AND(AN$5&gt;0,AN$5&gt;100),AND(AN$5&gt;0,AN$5&lt;100)),
VLOOKUP(FLOOR(('Final Term'!AN40/AN$5)*100,1),new_transmute,2,FALSE),
VLOOKUP('Final Term'!AN40,new_transmute,2,FALSE)
),
IF(Info!$B$4="Board program",
IF(OR(AND(AN$5&gt;0,AN$5&gt;100),AND(AN$5&gt;0,AN$5&lt;100)),
VLOOKUP(FLOOR(('Final Term'!AN40/AN$5)*100,1),new_transmute,3,FALSE),
VLOOKUP('Final Term'!AN40,new_transmute,3,FALSE)
),
IF(Info!$B$4="Board program (Medicine)",
IF(OR(AND(AN$5&gt;0,AN$5&gt;100),AND(AN$5&gt;0,AN$5&lt;100)),
VLOOKUP(FLOOR(('Final Term'!AN40/AN$5)*100,1),new_transmute,4,FALSE),
VLOOKUP('Final Term'!AN40,new_transmute,4,FALSE)
),
""
)
)
)
)
)
)
)
)
))</f>
        <v/>
      </c>
      <c r="AO40" s="73" t="str">
        <f>IF($B40="","",
IF(AO$5="","",
IF('Final Term'!AO40="",0,
IF(NOT(ISNUMBER('Final Term'!AO40)),"NAN",
IF('Final Term'!AO40&lt;0,"NEG",
IF('Final Term'!AO40&gt;AO$5,"OVER",
IF(AND(AO$5&lt;=100,'Final Term'!AO40&gt;100),"ERR",
IF(Info!$B$4="Non-board program",
IF(OR(AND(AO$5&gt;0,AO$5&gt;100),AND(AO$5&gt;0,AO$5&lt;100)),
VLOOKUP(FLOOR(('Final Term'!AO40/AO$5)*100,1),new_transmute,2,FALSE),
VLOOKUP('Final Term'!AO40,new_transmute,2,FALSE)
),
IF(Info!$B$4="Board program",
IF(OR(AND(AO$5&gt;0,AO$5&gt;100),AND(AO$5&gt;0,AO$5&lt;100)),
VLOOKUP(FLOOR(('Final Term'!AO40/AO$5)*100,1),new_transmute,3,FALSE),
VLOOKUP('Final Term'!AO40,new_transmute,3,FALSE)
),
IF(Info!$B$4="Board program (Medicine)",
IF(OR(AND(AO$5&gt;0,AO$5&gt;100),AND(AO$5&gt;0,AO$5&lt;100)),
VLOOKUP(FLOOR(('Final Term'!AO40/AO$5)*100,1),new_transmute,4,FALSE),
VLOOKUP('Final Term'!AO40,new_transmute,4,FALSE)
),
""
)
)
)
)
)
)
)
)
))</f>
        <v/>
      </c>
      <c r="AP40" s="73" t="str">
        <f>IF($B40="","",
IF(AP$5="","",
IF('Final Term'!AP40="",0,
IF(NOT(ISNUMBER('Final Term'!AP40)),"NAN",
IF('Final Term'!AP40&lt;0,"NEG",
IF('Final Term'!AP40&gt;AP$5,"OVER",
IF(AND(AP$5&lt;=100,'Final Term'!AP40&gt;100),"ERR",
IF(Info!$B$4="Non-board program",
IF(OR(AND(AP$5&gt;0,AP$5&gt;100),AND(AP$5&gt;0,AP$5&lt;100)),
VLOOKUP(FLOOR(('Final Term'!AP40/AP$5)*100,1),new_transmute,2,FALSE),
VLOOKUP('Final Term'!AP40,new_transmute,2,FALSE)
),
IF(Info!$B$4="Board program",
IF(OR(AND(AP$5&gt;0,AP$5&gt;100),AND(AP$5&gt;0,AP$5&lt;100)),
VLOOKUP(FLOOR(('Final Term'!AP40/AP$5)*100,1),new_transmute,3,FALSE),
VLOOKUP('Final Term'!AP40,new_transmute,3,FALSE)
),
IF(Info!$B$4="Board program (Medicine)",
IF(OR(AND(AP$5&gt;0,AP$5&gt;100),AND(AP$5&gt;0,AP$5&lt;100)),
VLOOKUP(FLOOR(('Final Term'!AP40/AP$5)*100,1),new_transmute,4,FALSE),
VLOOKUP('Final Term'!AP40,new_transmute,4,FALSE)
),
""
)
)
)
)
)
)
)
)
))</f>
        <v/>
      </c>
      <c r="AQ40" s="61" t="str">
        <f t="shared" si="7"/>
        <v/>
      </c>
      <c r="AR40" s="48" t="str">
        <f>IF('Final Term'!AR40="","",'Final Term'!AR40)</f>
        <v/>
      </c>
      <c r="AS40" s="165" t="str">
        <f t="shared" si="8"/>
        <v/>
      </c>
      <c r="AT40" s="14" t="str">
        <f t="shared" si="9"/>
        <v/>
      </c>
      <c r="AU40" s="13" t="str">
        <f>IF(B40="","",VLOOKUP(AT40,'New Grade Equivalent'!$B$3:$C$47,2,FALSE))</f>
        <v/>
      </c>
    </row>
    <row r="41" spans="1:47" x14ac:dyDescent="0.25">
      <c r="A41" s="8">
        <v>36</v>
      </c>
      <c r="B41" s="2" t="str">
        <f>IF('Student List'!C45="","",UPPER(LEFT('Student List'!C45,FIND(",",'Student List'!C45)-1)))</f>
        <v/>
      </c>
      <c r="C41" s="12" t="str">
        <f>IF('Student List'!C45="","",PROPER(MID('Student List'!C45, FIND(",", 'Student List'!C45) + 2, LEN('Student List'!C45) - FIND(",", 'Student List'!C45) - 1)))</f>
        <v/>
      </c>
      <c r="D41" s="127" t="str">
        <f>IF('Final Term'!D41="","",'Final Term'!D41)</f>
        <v/>
      </c>
      <c r="E41" s="8" t="str">
        <f>IF(MidCom!E41="FA", "FA",
    IF(MidCom!E41="DRP", "DRP",
        IF(MidCom!E41="WF", "WF",
            IF(D41="Yes", "INC",
               IF((SUM('MT Attendance'!AW39) / 3 + SUM('MT Attendance'!AY39) + SUM('FT Attendance'!AW39) / 3 + SUM('FT Attendance'!AY39)) &gt;= 0.2 * (SUMPRODUCT(--(ISTEXT('MT Attendance'!$C$2:$AU$2))) + SUMPRODUCT(--(ISTEXT('FT Attendance'!$C$2:$AU$2)))), "FA",
                   MidCom!E41
                )
            )
        )
    )
)</f>
        <v/>
      </c>
      <c r="F41" s="73" t="str">
        <f>IF($B41="","",
IF(F$5="","",
IF('Final Term'!F41="",0,
IF(NOT(ISNUMBER('Final Term'!F41)),"NAN",
IF('Final Term'!F41&lt;0,"NEG",
IF('Final Term'!F41&gt;F$5,"OVER",
IF(AND(F$5&lt;=100,'Final Term'!F41&gt;100),"ERR",
IF(Info!$B$4="Non-board program",
IF(OR(AND(F$5&gt;0,F$5&gt;100),AND(F$5&gt;0,F$5&lt;100)),
VLOOKUP(FLOOR(('Final Term'!F41/F$5)*100,1),new_transmute,2,FALSE),
VLOOKUP('Final Term'!F41,new_transmute,2,FALSE)
),
IF(Info!$B$4="Board program",
IF(OR(AND(F$5&gt;0,F$5&gt;100),AND(F$5&gt;0,F$5&lt;100)),
VLOOKUP(FLOOR(('Final Term'!F41/F$5)*100,1),new_transmute,3,FALSE),
VLOOKUP('Final Term'!F41,new_transmute,3,FALSE)
),
IF(Info!$B$4="Board program (Medicine)",
IF(OR(AND(F$5&gt;0,F$5&gt;100),AND(F$5&gt;0,F$5&lt;100)),
VLOOKUP(FLOOR(('Final Term'!F41/F$5)*100,1),new_transmute,4,FALSE),
VLOOKUP('Final Term'!F41,new_transmute,4,FALSE)
),
""
)
)
)
)
)
)
)
)
))</f>
        <v/>
      </c>
      <c r="G41" s="57" t="str">
        <f t="shared" si="1"/>
        <v/>
      </c>
      <c r="H41" s="73" t="str">
        <f>IF($B41="","",
IF(H$5="","",
IF('Final Term'!H41="",0,
IF(NOT(ISNUMBER('Final Term'!H41)),"NAN",
IF('Final Term'!H41&lt;0,"NEG",
IF('Final Term'!H41&gt;H$5,"OVER",
IF(AND(H$5&lt;=100,'Final Term'!H41&gt;100),"ERR",
IF(Info!$B$4="Non-board program",
IF(OR(AND(H$5&gt;0,H$5&gt;100),AND(H$5&gt;0,H$5&lt;100)),
VLOOKUP(FLOOR(('Final Term'!H41/H$5)*100,1),new_transmute,2,FALSE),
VLOOKUP('Final Term'!H41,new_transmute,2,FALSE)
),
IF(Info!$B$4="Board program",
IF(OR(AND(H$5&gt;0,H$5&gt;100),AND(H$5&gt;0,H$5&lt;100)),
VLOOKUP(FLOOR(('Final Term'!H41/H$5)*100,1),new_transmute,3,FALSE),
VLOOKUP('Final Term'!H41,new_transmute,3,FALSE)
),
IF(Info!$B$4="Board program (Medicine)",
IF(OR(AND(H$5&gt;0,H$5&gt;100),AND(H$5&gt;0,H$5&lt;100)),
VLOOKUP(FLOOR(('Final Term'!H41/H$5)*100,1),new_transmute,4,FALSE),
VLOOKUP('Final Term'!H41,new_transmute,4,FALSE)
),
""
)
)
)
)
)
)
)
)
))</f>
        <v/>
      </c>
      <c r="I41" s="73" t="str">
        <f>IF($B41="","",
IF(I$5="","",
IF('Final Term'!I41="",0,
IF(NOT(ISNUMBER('Final Term'!I41)),"NAN",
IF('Final Term'!I41&lt;0,"NEG",
IF('Final Term'!I41&gt;I$5,"OVER",
IF(AND(I$5&lt;=100,'Final Term'!I41&gt;100),"ERR",
IF(Info!$B$4="Non-board program",
IF(OR(AND(I$5&gt;0,I$5&gt;100),AND(I$5&gt;0,I$5&lt;100)),
VLOOKUP(FLOOR(('Final Term'!I41/I$5)*100,1),new_transmute,2,FALSE),
VLOOKUP('Final Term'!I41,new_transmute,2,FALSE)
),
IF(Info!$B$4="Board program",
IF(OR(AND(I$5&gt;0,I$5&gt;100),AND(I$5&gt;0,I$5&lt;100)),
VLOOKUP(FLOOR(('Final Term'!I41/I$5)*100,1),new_transmute,3,FALSE),
VLOOKUP('Final Term'!I41,new_transmute,3,FALSE)
),
IF(Info!$B$4="Board program (Medicine)",
IF(OR(AND(I$5&gt;0,I$5&gt;100),AND(I$5&gt;0,I$5&lt;100)),
VLOOKUP(FLOOR(('Final Term'!I41/I$5)*100,1),new_transmute,4,FALSE),
VLOOKUP('Final Term'!I41,new_transmute,4,FALSE)
),
""
)
)
)
)
)
)
)
)
))</f>
        <v/>
      </c>
      <c r="J41" s="73" t="str">
        <f>IF($B41="","",
IF(J$5="","",
IF('Final Term'!J41="",0,
IF(NOT(ISNUMBER('Final Term'!J41)),"NAN",
IF('Final Term'!J41&lt;0,"NEG",
IF('Final Term'!J41&gt;J$5,"OVER",
IF(AND(J$5&lt;=100,'Final Term'!J41&gt;100),"ERR",
IF(Info!$B$4="Non-board program",
IF(OR(AND(J$5&gt;0,J$5&gt;100),AND(J$5&gt;0,J$5&lt;100)),
VLOOKUP(FLOOR(('Final Term'!J41/J$5)*100,1),new_transmute,2,FALSE),
VLOOKUP('Final Term'!J41,new_transmute,2,FALSE)
),
IF(Info!$B$4="Board program",
IF(OR(AND(J$5&gt;0,J$5&gt;100),AND(J$5&gt;0,J$5&lt;100)),
VLOOKUP(FLOOR(('Final Term'!J41/J$5)*100,1),new_transmute,3,FALSE),
VLOOKUP('Final Term'!J41,new_transmute,3,FALSE)
),
IF(Info!$B$4="Board program (Medicine)",
IF(OR(AND(J$5&gt;0,J$5&gt;100),AND(J$5&gt;0,J$5&lt;100)),
VLOOKUP(FLOOR(('Final Term'!J41/J$5)*100,1),new_transmute,4,FALSE),
VLOOKUP('Final Term'!J41,new_transmute,4,FALSE)
),
""
)
)
)
)
)
)
)
)
))</f>
        <v/>
      </c>
      <c r="K41" s="73" t="str">
        <f>IF($B41="","",
IF(K$5="","",
IF('Final Term'!K41="",0,
IF(NOT(ISNUMBER('Final Term'!K41)),"NAN",
IF('Final Term'!K41&lt;0,"NEG",
IF('Final Term'!K41&gt;K$5,"OVER",
IF(AND(K$5&lt;=100,'Final Term'!K41&gt;100),"ERR",
IF(Info!$B$4="Non-board program",
IF(OR(AND(K$5&gt;0,K$5&gt;100),AND(K$5&gt;0,K$5&lt;100)),
VLOOKUP(FLOOR(('Final Term'!K41/K$5)*100,1),new_transmute,2,FALSE),
VLOOKUP('Final Term'!K41,new_transmute,2,FALSE)
),
IF(Info!$B$4="Board program",
IF(OR(AND(K$5&gt;0,K$5&gt;100),AND(K$5&gt;0,K$5&lt;100)),
VLOOKUP(FLOOR(('Final Term'!K41/K$5)*100,1),new_transmute,3,FALSE),
VLOOKUP('Final Term'!K41,new_transmute,3,FALSE)
),
IF(Info!$B$4="Board program (Medicine)",
IF(OR(AND(K$5&gt;0,K$5&gt;100),AND(K$5&gt;0,K$5&lt;100)),
VLOOKUP(FLOOR(('Final Term'!K41/K$5)*100,1),new_transmute,4,FALSE),
VLOOKUP('Final Term'!K41,new_transmute,4,FALSE)
),
""
)
)
)
)
)
)
)
)
))</f>
        <v/>
      </c>
      <c r="L41" s="73" t="str">
        <f>IF($B41="","",
IF(L$5="","",
IF('Final Term'!L41="",0,
IF(NOT(ISNUMBER('Final Term'!L41)),"NAN",
IF('Final Term'!L41&lt;0,"NEG",
IF('Final Term'!L41&gt;L$5,"OVER",
IF(AND(L$5&lt;=100,'Final Term'!L41&gt;100),"ERR",
IF(Info!$B$4="Non-board program",
IF(OR(AND(L$5&gt;0,L$5&gt;100),AND(L$5&gt;0,L$5&lt;100)),
VLOOKUP(FLOOR(('Final Term'!L41/L$5)*100,1),new_transmute,2,FALSE),
VLOOKUP('Final Term'!L41,new_transmute,2,FALSE)
),
IF(Info!$B$4="Board program",
IF(OR(AND(L$5&gt;0,L$5&gt;100),AND(L$5&gt;0,L$5&lt;100)),
VLOOKUP(FLOOR(('Final Term'!L41/L$5)*100,1),new_transmute,3,FALSE),
VLOOKUP('Final Term'!L41,new_transmute,3,FALSE)
),
IF(Info!$B$4="Board program (Medicine)",
IF(OR(AND(L$5&gt;0,L$5&gt;100),AND(L$5&gt;0,L$5&lt;100)),
VLOOKUP(FLOOR(('Final Term'!L41/L$5)*100,1),new_transmute,4,FALSE),
VLOOKUP('Final Term'!L41,new_transmute,4,FALSE)
),
""
)
)
)
)
)
)
)
)
))</f>
        <v/>
      </c>
      <c r="M41" s="111" t="str">
        <f t="shared" si="2"/>
        <v/>
      </c>
      <c r="N41" s="73" t="str">
        <f>IF($B41="","",
IF(N$5="","",
IF('Final Term'!N41="",0,
IF(NOT(ISNUMBER('Final Term'!N41)),"NAN",
IF('Final Term'!N41&lt;0,"NEG",
IF('Final Term'!N41&gt;N$5,"OVER",
IF(AND(N$5&lt;=100,'Final Term'!N41&gt;100),"ERR",
IF(Info!$B$4="Non-board program",
IF(OR(AND(N$5&gt;0,N$5&gt;100),AND(N$5&gt;0,N$5&lt;100)),
VLOOKUP(FLOOR(('Final Term'!N41/N$5)*100,1),new_transmute,2,FALSE),
VLOOKUP('Final Term'!N41,new_transmute,2,FALSE)
),
IF(Info!$B$4="Board program",
IF(OR(AND(N$5&gt;0,N$5&gt;100),AND(N$5&gt;0,N$5&lt;100)),
VLOOKUP(FLOOR(('Final Term'!N41/N$5)*100,1),new_transmute,3,FALSE),
VLOOKUP('Final Term'!N41,new_transmute,3,FALSE)
),
IF(Info!$B$4="Board program (Medicine)",
IF(OR(AND(N$5&gt;0,N$5&gt;100),AND(N$5&gt;0,N$5&lt;100)),
VLOOKUP(FLOOR(('Final Term'!N41/N$5)*100,1),new_transmute,4,FALSE),
VLOOKUP('Final Term'!N41,new_transmute,4,FALSE)
),
""
)
)
)
)
)
)
)
)
))</f>
        <v/>
      </c>
      <c r="O41" s="73" t="str">
        <f>IF($B41="","",
IF(O$5="","",
IF('Final Term'!O41="",0,
IF(NOT(ISNUMBER('Final Term'!O41)),"NAN",
IF('Final Term'!O41&lt;0,"NEG",
IF('Final Term'!O41&gt;O$5,"OVER",
IF(AND(O$5&lt;=100,'Final Term'!O41&gt;100),"ERR",
IF(Info!$B$4="Non-board program",
IF(OR(AND(O$5&gt;0,O$5&gt;100),AND(O$5&gt;0,O$5&lt;100)),
VLOOKUP(FLOOR(('Final Term'!O41/O$5)*100,1),new_transmute,2,FALSE),
VLOOKUP('Final Term'!O41,new_transmute,2,FALSE)
),
IF(Info!$B$4="Board program",
IF(OR(AND(O$5&gt;0,O$5&gt;100),AND(O$5&gt;0,O$5&lt;100)),
VLOOKUP(FLOOR(('Final Term'!O41/O$5)*100,1),new_transmute,3,FALSE),
VLOOKUP('Final Term'!O41,new_transmute,3,FALSE)
),
IF(Info!$B$4="Board program (Medicine)",
IF(OR(AND(O$5&gt;0,O$5&gt;100),AND(O$5&gt;0,O$5&lt;100)),
VLOOKUP(FLOOR(('Final Term'!O41/O$5)*100,1),new_transmute,4,FALSE),
VLOOKUP('Final Term'!O41,new_transmute,4,FALSE)
),
""
)
)
)
)
)
)
)
)
))</f>
        <v/>
      </c>
      <c r="P41" s="73" t="str">
        <f>IF($B41="","",
IF(P$5="","",
IF('Final Term'!P41="",0,
IF(NOT(ISNUMBER('Final Term'!P41)),"NAN",
IF('Final Term'!P41&lt;0,"NEG",
IF('Final Term'!P41&gt;P$5,"OVER",
IF(AND(P$5&lt;=100,'Final Term'!P41&gt;100),"ERR",
IF(Info!$B$4="Non-board program",
IF(OR(AND(P$5&gt;0,P$5&gt;100),AND(P$5&gt;0,P$5&lt;100)),
VLOOKUP(FLOOR(('Final Term'!P41/P$5)*100,1),new_transmute,2,FALSE),
VLOOKUP('Final Term'!P41,new_transmute,2,FALSE)
),
IF(Info!$B$4="Board program",
IF(OR(AND(P$5&gt;0,P$5&gt;100),AND(P$5&gt;0,P$5&lt;100)),
VLOOKUP(FLOOR(('Final Term'!P41/P$5)*100,1),new_transmute,3,FALSE),
VLOOKUP('Final Term'!P41,new_transmute,3,FALSE)
),
IF(Info!$B$4="Board program (Medicine)",
IF(OR(AND(P$5&gt;0,P$5&gt;100),AND(P$5&gt;0,P$5&lt;100)),
VLOOKUP(FLOOR(('Final Term'!P41/P$5)*100,1),new_transmute,4,FALSE),
VLOOKUP('Final Term'!P41,new_transmute,4,FALSE)
),
""
)
)
)
)
)
)
)
)
))</f>
        <v/>
      </c>
      <c r="Q41" s="73" t="str">
        <f>IF($B41="","",
IF(Q$5="","",
IF('Final Term'!Q41="",0,
IF(NOT(ISNUMBER('Final Term'!Q41)),"NAN",
IF('Final Term'!Q41&lt;0,"NEG",
IF('Final Term'!Q41&gt;Q$5,"OVER",
IF(AND(Q$5&lt;=100,'Final Term'!Q41&gt;100),"ERR",
IF(Info!$B$4="Non-board program",
IF(OR(AND(Q$5&gt;0,Q$5&gt;100),AND(Q$5&gt;0,Q$5&lt;100)),
VLOOKUP(FLOOR(('Final Term'!Q41/Q$5)*100,1),new_transmute,2,FALSE),
VLOOKUP('Final Term'!Q41,new_transmute,2,FALSE)
),
IF(Info!$B$4="Board program",
IF(OR(AND(Q$5&gt;0,Q$5&gt;100),AND(Q$5&gt;0,Q$5&lt;100)),
VLOOKUP(FLOOR(('Final Term'!Q41/Q$5)*100,1),new_transmute,3,FALSE),
VLOOKUP('Final Term'!Q41,new_transmute,3,FALSE)
),
IF(Info!$B$4="Board program (Medicine)",
IF(OR(AND(Q$5&gt;0,Q$5&gt;100),AND(Q$5&gt;0,Q$5&lt;100)),
VLOOKUP(FLOOR(('Final Term'!Q41/Q$5)*100,1),new_transmute,4,FALSE),
VLOOKUP('Final Term'!Q41,new_transmute,4,FALSE)
),
""
)
)
)
)
)
)
)
)
))</f>
        <v/>
      </c>
      <c r="R41" s="73" t="str">
        <f>IF($B41="","",
IF(R$5="","",
IF('Final Term'!R41="",0,
IF(NOT(ISNUMBER('Final Term'!R41)),"NAN",
IF('Final Term'!R41&lt;0,"NEG",
IF('Final Term'!R41&gt;R$5,"OVER",
IF(AND(R$5&lt;=100,'Final Term'!R41&gt;100),"ERR",
IF(Info!$B$4="Non-board program",
IF(OR(AND(R$5&gt;0,R$5&gt;100),AND(R$5&gt;0,R$5&lt;100)),
VLOOKUP(FLOOR(('Final Term'!R41/R$5)*100,1),new_transmute,2,FALSE),
VLOOKUP('Final Term'!R41,new_transmute,2,FALSE)
),
IF(Info!$B$4="Board program",
IF(OR(AND(R$5&gt;0,R$5&gt;100),AND(R$5&gt;0,R$5&lt;100)),
VLOOKUP(FLOOR(('Final Term'!R41/R$5)*100,1),new_transmute,3,FALSE),
VLOOKUP('Final Term'!R41,new_transmute,3,FALSE)
),
IF(Info!$B$4="Board program (Medicine)",
IF(OR(AND(R$5&gt;0,R$5&gt;100),AND(R$5&gt;0,R$5&lt;100)),
VLOOKUP(FLOOR(('Final Term'!R41/R$5)*100,1),new_transmute,4,FALSE),
VLOOKUP('Final Term'!R41,new_transmute,4,FALSE)
),
""
)
)
)
)
)
)
)
)
))</f>
        <v/>
      </c>
      <c r="S41" s="115" t="str">
        <f t="shared" si="3"/>
        <v/>
      </c>
      <c r="T41" s="73" t="str">
        <f>IF($B41="","",
IF(T$5="","",
IF('Final Term'!T41="",0,
IF(NOT(ISNUMBER('Final Term'!T41)),"NAN",
IF('Final Term'!T41&lt;0,"NEG",
IF('Final Term'!T41&gt;T$5,"OVER",
IF(AND(T$5&lt;=100,'Final Term'!T41&gt;100),"ERR",
IF(Info!$B$4="Non-board program",
IF(OR(AND(T$5&gt;0,T$5&gt;100),AND(T$5&gt;0,T$5&lt;100)),
VLOOKUP(FLOOR(('Final Term'!T41/T$5)*100,1),new_transmute,2,FALSE),
VLOOKUP('Final Term'!T41,new_transmute,2,FALSE)
),
IF(Info!$B$4="Board program",
IF(OR(AND(T$5&gt;0,T$5&gt;100),AND(T$5&gt;0,T$5&lt;100)),
VLOOKUP(FLOOR(('Final Term'!T41/T$5)*100,1),new_transmute,3,FALSE),
VLOOKUP('Final Term'!T41,new_transmute,3,FALSE)
),
IF(Info!$B$4="Board program (Medicine)",
IF(OR(AND(T$5&gt;0,T$5&gt;100),AND(T$5&gt;0,T$5&lt;100)),
VLOOKUP(FLOOR(('Final Term'!T41/T$5)*100,1),new_transmute,4,FALSE),
VLOOKUP('Final Term'!T41,new_transmute,4,FALSE)
),
""
)
)
)
)
)
)
)
)
))</f>
        <v/>
      </c>
      <c r="U41" s="73" t="str">
        <f>IF($B41="","",
IF(U$5="","",
IF('Final Term'!U41="",0,
IF(NOT(ISNUMBER('Final Term'!U41)),"NAN",
IF('Final Term'!U41&lt;0,"NEG",
IF('Final Term'!U41&gt;U$5,"OVER",
IF(AND(U$5&lt;=100,'Final Term'!U41&gt;100),"ERR",
IF(Info!$B$4="Non-board program",
IF(OR(AND(U$5&gt;0,U$5&gt;100),AND(U$5&gt;0,U$5&lt;100)),
VLOOKUP(FLOOR(('Final Term'!U41/U$5)*100,1),new_transmute,2,FALSE),
VLOOKUP('Final Term'!U41,new_transmute,2,FALSE)
),
IF(Info!$B$4="Board program",
IF(OR(AND(U$5&gt;0,U$5&gt;100),AND(U$5&gt;0,U$5&lt;100)),
VLOOKUP(FLOOR(('Final Term'!U41/U$5)*100,1),new_transmute,3,FALSE),
VLOOKUP('Final Term'!U41,new_transmute,3,FALSE)
),
IF(Info!$B$4="Board program (Medicine)",
IF(OR(AND(U$5&gt;0,U$5&gt;100),AND(U$5&gt;0,U$5&lt;100)),
VLOOKUP(FLOOR(('Final Term'!U41/U$5)*100,1),new_transmute,4,FALSE),
VLOOKUP('Final Term'!U41,new_transmute,4,FALSE)
),
""
)
)
)
)
)
)
)
)
))</f>
        <v/>
      </c>
      <c r="V41" s="73" t="str">
        <f>IF($B41="","",
IF(V$5="","",
IF('Final Term'!V41="",0,
IF(NOT(ISNUMBER('Final Term'!V41)),"NAN",
IF('Final Term'!V41&lt;0,"NEG",
IF('Final Term'!V41&gt;V$5,"OVER",
IF(AND(V$5&lt;=100,'Final Term'!V41&gt;100),"ERR",
IF(Info!$B$4="Non-board program",
IF(OR(AND(V$5&gt;0,V$5&gt;100),AND(V$5&gt;0,V$5&lt;100)),
VLOOKUP(FLOOR(('Final Term'!V41/V$5)*100,1),new_transmute,2,FALSE),
VLOOKUP('Final Term'!V41,new_transmute,2,FALSE)
),
IF(Info!$B$4="Board program",
IF(OR(AND(V$5&gt;0,V$5&gt;100),AND(V$5&gt;0,V$5&lt;100)),
VLOOKUP(FLOOR(('Final Term'!V41/V$5)*100,1),new_transmute,3,FALSE),
VLOOKUP('Final Term'!V41,new_transmute,3,FALSE)
),
IF(Info!$B$4="Board program (Medicine)",
IF(OR(AND(V$5&gt;0,V$5&gt;100),AND(V$5&gt;0,V$5&lt;100)),
VLOOKUP(FLOOR(('Final Term'!V41/V$5)*100,1),new_transmute,4,FALSE),
VLOOKUP('Final Term'!V41,new_transmute,4,FALSE)
),
""
)
)
)
)
)
)
)
)
))</f>
        <v/>
      </c>
      <c r="W41" s="73" t="str">
        <f>IF($B41="","",
IF(W$5="","",
IF('Final Term'!W41="",0,
IF(NOT(ISNUMBER('Final Term'!W41)),"NAN",
IF('Final Term'!W41&lt;0,"NEG",
IF('Final Term'!W41&gt;W$5,"OVER",
IF(AND(W$5&lt;=100,'Final Term'!W41&gt;100),"ERR",
IF(Info!$B$4="Non-board program",
IF(OR(AND(W$5&gt;0,W$5&gt;100),AND(W$5&gt;0,W$5&lt;100)),
VLOOKUP(FLOOR(('Final Term'!W41/W$5)*100,1),new_transmute,2,FALSE),
VLOOKUP('Final Term'!W41,new_transmute,2,FALSE)
),
IF(Info!$B$4="Board program",
IF(OR(AND(W$5&gt;0,W$5&gt;100),AND(W$5&gt;0,W$5&lt;100)),
VLOOKUP(FLOOR(('Final Term'!W41/W$5)*100,1),new_transmute,3,FALSE),
VLOOKUP('Final Term'!W41,new_transmute,3,FALSE)
),
IF(Info!$B$4="Board program (Medicine)",
IF(OR(AND(W$5&gt;0,W$5&gt;100),AND(W$5&gt;0,W$5&lt;100)),
VLOOKUP(FLOOR(('Final Term'!W41/W$5)*100,1),new_transmute,4,FALSE),
VLOOKUP('Final Term'!W41,new_transmute,4,FALSE)
),
""
)
)
)
)
)
)
)
)
))</f>
        <v/>
      </c>
      <c r="X41" s="73" t="str">
        <f>IF($B41="","",
IF(X$5="","",
IF('Final Term'!X41="",0,
IF(NOT(ISNUMBER('Final Term'!X41)),"NAN",
IF('Final Term'!X41&lt;0,"NEG",
IF('Final Term'!X41&gt;X$5,"OVER",
IF(AND(X$5&lt;=100,'Final Term'!X41&gt;100),"ERR",
IF(Info!$B$4="Non-board program",
IF(OR(AND(X$5&gt;0,X$5&gt;100),AND(X$5&gt;0,X$5&lt;100)),
VLOOKUP(FLOOR(('Final Term'!X41/X$5)*100,1),new_transmute,2,FALSE),
VLOOKUP('Final Term'!X41,new_transmute,2,FALSE)
),
IF(Info!$B$4="Board program",
IF(OR(AND(X$5&gt;0,X$5&gt;100),AND(X$5&gt;0,X$5&lt;100)),
VLOOKUP(FLOOR(('Final Term'!X41/X$5)*100,1),new_transmute,3,FALSE),
VLOOKUP('Final Term'!X41,new_transmute,3,FALSE)
),
IF(Info!$B$4="Board program (Medicine)",
IF(OR(AND(X$5&gt;0,X$5&gt;100),AND(X$5&gt;0,X$5&lt;100)),
VLOOKUP(FLOOR(('Final Term'!X41/X$5)*100,1),new_transmute,4,FALSE),
VLOOKUP('Final Term'!X41,new_transmute,4,FALSE)
),
""
)
)
)
)
)
)
)
)
))</f>
        <v/>
      </c>
      <c r="Y41" s="112" t="str">
        <f t="shared" si="4"/>
        <v/>
      </c>
      <c r="Z41" s="73" t="str">
        <f>IF($B41="","",
IF(Z$5="","",
IF('Final Term'!Z41="",0,
IF(NOT(ISNUMBER('Final Term'!Z41)),"NAN",
IF('Final Term'!Z41&lt;0,"NEG",
IF('Final Term'!Z41&gt;Z$5,"OVER",
IF(AND(Z$5&lt;=100,'Final Term'!Z41&gt;100),"ERR",
IF(Info!$B$4="Non-board program",
IF(OR(AND(Z$5&gt;0,Z$5&gt;100),AND(Z$5&gt;0,Z$5&lt;100)),
VLOOKUP(FLOOR(('Final Term'!Z41/Z$5)*100,1),new_transmute,2,FALSE),
VLOOKUP('Final Term'!Z41,new_transmute,2,FALSE)
),
IF(Info!$B$4="Board program",
IF(OR(AND(Z$5&gt;0,Z$5&gt;100),AND(Z$5&gt;0,Z$5&lt;100)),
VLOOKUP(FLOOR(('Final Term'!Z41/Z$5)*100,1),new_transmute,3,FALSE),
VLOOKUP('Final Term'!Z41,new_transmute,3,FALSE)
),
IF(Info!$B$4="Board program (Medicine)",
IF(OR(AND(Z$5&gt;0,Z$5&gt;100),AND(Z$5&gt;0,Z$5&lt;100)),
VLOOKUP(FLOOR(('Final Term'!Z41/Z$5)*100,1),new_transmute,4,FALSE),
VLOOKUP('Final Term'!Z41,new_transmute,4,FALSE)
),
""
)
)
)
)
)
)
)
)
))</f>
        <v/>
      </c>
      <c r="AA41" s="73" t="str">
        <f>IF($B41="","",
IF(AA$5="","",
IF('Final Term'!AA41="",0,
IF(NOT(ISNUMBER('Final Term'!AA41)),"NAN",
IF('Final Term'!AA41&lt;0,"NEG",
IF('Final Term'!AA41&gt;AA$5,"OVER",
IF(AND(AA$5&lt;=100,'Final Term'!AA41&gt;100),"ERR",
IF(Info!$B$4="Non-board program",
IF(OR(AND(AA$5&gt;0,AA$5&gt;100),AND(AA$5&gt;0,AA$5&lt;100)),
VLOOKUP(FLOOR(('Final Term'!AA41/AA$5)*100,1),new_transmute,2,FALSE),
VLOOKUP('Final Term'!AA41,new_transmute,2,FALSE)
),
IF(Info!$B$4="Board program",
IF(OR(AND(AA$5&gt;0,AA$5&gt;100),AND(AA$5&gt;0,AA$5&lt;100)),
VLOOKUP(FLOOR(('Final Term'!AA41/AA$5)*100,1),new_transmute,3,FALSE),
VLOOKUP('Final Term'!AA41,new_transmute,3,FALSE)
),
IF(Info!$B$4="Board program (Medicine)",
IF(OR(AND(AA$5&gt;0,AA$5&gt;100),AND(AA$5&gt;0,AA$5&lt;100)),
VLOOKUP(FLOOR(('Final Term'!AA41/AA$5)*100,1),new_transmute,4,FALSE),
VLOOKUP('Final Term'!AA41,new_transmute,4,FALSE)
),
""
)
)
)
)
)
)
)
)
))</f>
        <v/>
      </c>
      <c r="AB41" s="73" t="str">
        <f>IF($B41="","",
IF(AB$5="","",
IF('Final Term'!AB41="",0,
IF(NOT(ISNUMBER('Final Term'!AB41)),"NAN",
IF('Final Term'!AB41&lt;0,"NEG",
IF('Final Term'!AB41&gt;AB$5,"OVER",
IF(AND(AB$5&lt;=100,'Final Term'!AB41&gt;100),"ERR",
IF(Info!$B$4="Non-board program",
IF(OR(AND(AB$5&gt;0,AB$5&gt;100),AND(AB$5&gt;0,AB$5&lt;100)),
VLOOKUP(FLOOR(('Final Term'!AB41/AB$5)*100,1),new_transmute,2,FALSE),
VLOOKUP('Final Term'!AB41,new_transmute,2,FALSE)
),
IF(Info!$B$4="Board program",
IF(OR(AND(AB$5&gt;0,AB$5&gt;100),AND(AB$5&gt;0,AB$5&lt;100)),
VLOOKUP(FLOOR(('Final Term'!AB41/AB$5)*100,1),new_transmute,3,FALSE),
VLOOKUP('Final Term'!AB41,new_transmute,3,FALSE)
),
IF(Info!$B$4="Board program (Medicine)",
IF(OR(AND(AB$5&gt;0,AB$5&gt;100),AND(AB$5&gt;0,AB$5&lt;100)),
VLOOKUP(FLOOR(('Final Term'!AB41/AB$5)*100,1),new_transmute,4,FALSE),
VLOOKUP('Final Term'!AB41,new_transmute,4,FALSE)
),
""
)
)
)
)
)
)
)
)
))</f>
        <v/>
      </c>
      <c r="AC41" s="73" t="str">
        <f>IF($B41="","",
IF(AC$5="","",
IF('Final Term'!AC41="",0,
IF(NOT(ISNUMBER('Final Term'!AC41)),"NAN",
IF('Final Term'!AC41&lt;0,"NEG",
IF('Final Term'!AC41&gt;AC$5,"OVER",
IF(AND(AC$5&lt;=100,'Final Term'!AC41&gt;100),"ERR",
IF(Info!$B$4="Non-board program",
IF(OR(AND(AC$5&gt;0,AC$5&gt;100),AND(AC$5&gt;0,AC$5&lt;100)),
VLOOKUP(FLOOR(('Final Term'!AC41/AC$5)*100,1),new_transmute,2,FALSE),
VLOOKUP('Final Term'!AC41,new_transmute,2,FALSE)
),
IF(Info!$B$4="Board program",
IF(OR(AND(AC$5&gt;0,AC$5&gt;100),AND(AC$5&gt;0,AC$5&lt;100)),
VLOOKUP(FLOOR(('Final Term'!AC41/AC$5)*100,1),new_transmute,3,FALSE),
VLOOKUP('Final Term'!AC41,new_transmute,3,FALSE)
),
IF(Info!$B$4="Board program (Medicine)",
IF(OR(AND(AC$5&gt;0,AC$5&gt;100),AND(AC$5&gt;0,AC$5&lt;100)),
VLOOKUP(FLOOR(('Final Term'!AC41/AC$5)*100,1),new_transmute,4,FALSE),
VLOOKUP('Final Term'!AC41,new_transmute,4,FALSE)
),
""
)
)
)
)
)
)
)
)
))</f>
        <v/>
      </c>
      <c r="AD41" s="73" t="str">
        <f>IF($B41="","",
IF(AD$5="","",
IF('Final Term'!AD41="",0,
IF(NOT(ISNUMBER('Final Term'!AD41)),"NAN",
IF('Final Term'!AD41&lt;0,"NEG",
IF('Final Term'!AD41&gt;AD$5,"OVER",
IF(AND(AD$5&lt;=100,'Final Term'!AD41&gt;100),"ERR",
IF(Info!$B$4="Non-board program",
IF(OR(AND(AD$5&gt;0,AD$5&gt;100),AND(AD$5&gt;0,AD$5&lt;100)),
VLOOKUP(FLOOR(('Final Term'!AD41/AD$5)*100,1),new_transmute,2,FALSE),
VLOOKUP('Final Term'!AD41,new_transmute,2,FALSE)
),
IF(Info!$B$4="Board program",
IF(OR(AND(AD$5&gt;0,AD$5&gt;100),AND(AD$5&gt;0,AD$5&lt;100)),
VLOOKUP(FLOOR(('Final Term'!AD41/AD$5)*100,1),new_transmute,3,FALSE),
VLOOKUP('Final Term'!AD41,new_transmute,3,FALSE)
),
IF(Info!$B$4="Board program (Medicine)",
IF(OR(AND(AD$5&gt;0,AD$5&gt;100),AND(AD$5&gt;0,AD$5&lt;100)),
VLOOKUP(FLOOR(('Final Term'!AD41/AD$5)*100,1),new_transmute,4,FALSE),
VLOOKUP('Final Term'!AD41,new_transmute,4,FALSE)
),
""
)
)
)
)
)
)
)
)
))</f>
        <v/>
      </c>
      <c r="AE41" s="58" t="str">
        <f t="shared" si="5"/>
        <v/>
      </c>
      <c r="AF41" s="73" t="str">
        <f>IF($B41="","",
IF(AF$5="","",
IF('Final Term'!AF41="",0,
IF(NOT(ISNUMBER('Final Term'!AF41)),"NAN",
IF('Final Term'!AF41&lt;0,"NEG",
IF('Final Term'!AF41&gt;AF$5,"OVER",
IF(AND(AF$5&lt;=100,'Final Term'!AF41&gt;100),"ERR",
IF(Info!$B$4="Non-board program",
IF(OR(AND(AF$5&gt;0,AF$5&gt;100),AND(AF$5&gt;0,AF$5&lt;100)),
VLOOKUP(FLOOR(('Final Term'!AF41/AF$5)*100,1),new_transmute,2,FALSE),
VLOOKUP('Final Term'!AF41,new_transmute,2,FALSE)
),
IF(Info!$B$4="Board program",
IF(OR(AND(AF$5&gt;0,AF$5&gt;100),AND(AF$5&gt;0,AF$5&lt;100)),
VLOOKUP(FLOOR(('Final Term'!AF41/AF$5)*100,1),new_transmute,3,FALSE),
VLOOKUP('Final Term'!AF41,new_transmute,3,FALSE)
),
IF(Info!$B$4="Board program (Medicine)",
IF(OR(AND(AF$5&gt;0,AF$5&gt;100),AND(AF$5&gt;0,AF$5&lt;100)),
VLOOKUP(FLOOR(('Final Term'!AF41/AF$5)*100,1),new_transmute,4,FALSE),
VLOOKUP('Final Term'!AF41,new_transmute,4,FALSE)
),
""
)
)
)
)
)
)
)
)
))</f>
        <v/>
      </c>
      <c r="AG41" s="73" t="str">
        <f>IF($B41="","",
IF(AG$5="","",
IF('Final Term'!AG41="",0,
IF(NOT(ISNUMBER('Final Term'!AG41)),"NAN",
IF('Final Term'!AG41&lt;0,"NEG",
IF('Final Term'!AG41&gt;AG$5,"OVER",
IF(AND(AG$5&lt;=100,'Final Term'!AG41&gt;100),"ERR",
IF(Info!$B$4="Non-board program",
IF(OR(AND(AG$5&gt;0,AG$5&gt;100),AND(AG$5&gt;0,AG$5&lt;100)),
VLOOKUP(FLOOR(('Final Term'!AG41/AG$5)*100,1),new_transmute,2,FALSE),
VLOOKUP('Final Term'!AG41,new_transmute,2,FALSE)
),
IF(Info!$B$4="Board program",
IF(OR(AND(AG$5&gt;0,AG$5&gt;100),AND(AG$5&gt;0,AG$5&lt;100)),
VLOOKUP(FLOOR(('Final Term'!AG41/AG$5)*100,1),new_transmute,3,FALSE),
VLOOKUP('Final Term'!AG41,new_transmute,3,FALSE)
),
IF(Info!$B$4="Board program (Medicine)",
IF(OR(AND(AG$5&gt;0,AG$5&gt;100),AND(AG$5&gt;0,AG$5&lt;100)),
VLOOKUP(FLOOR(('Final Term'!AG41/AG$5)*100,1),new_transmute,4,FALSE),
VLOOKUP('Final Term'!AG41,new_transmute,4,FALSE)
),
""
)
)
)
)
)
)
)
)
))</f>
        <v/>
      </c>
      <c r="AH41" s="73" t="str">
        <f>IF($B41="","",
IF(AH$5="","",
IF('Final Term'!AH41="",0,
IF(NOT(ISNUMBER('Final Term'!AH41)),"NAN",
IF('Final Term'!AH41&lt;0,"NEG",
IF('Final Term'!AH41&gt;AH$5,"OVER",
IF(AND(AH$5&lt;=100,'Final Term'!AH41&gt;100),"ERR",
IF(Info!$B$4="Non-board program",
IF(OR(AND(AH$5&gt;0,AH$5&gt;100),AND(AH$5&gt;0,AH$5&lt;100)),
VLOOKUP(FLOOR(('Final Term'!AH41/AH$5)*100,1),new_transmute,2,FALSE),
VLOOKUP('Final Term'!AH41,new_transmute,2,FALSE)
),
IF(Info!$B$4="Board program",
IF(OR(AND(AH$5&gt;0,AH$5&gt;100),AND(AH$5&gt;0,AH$5&lt;100)),
VLOOKUP(FLOOR(('Final Term'!AH41/AH$5)*100,1),new_transmute,3,FALSE),
VLOOKUP('Final Term'!AH41,new_transmute,3,FALSE)
),
IF(Info!$B$4="Board program (Medicine)",
IF(OR(AND(AH$5&gt;0,AH$5&gt;100),AND(AH$5&gt;0,AH$5&lt;100)),
VLOOKUP(FLOOR(('Final Term'!AH41/AH$5)*100,1),new_transmute,4,FALSE),
VLOOKUP('Final Term'!AH41,new_transmute,4,FALSE)
),
""
)
)
)
)
)
)
)
)
))</f>
        <v/>
      </c>
      <c r="AI41" s="73" t="str">
        <f>IF($B41="","",
IF(AI$5="","",
IF('Final Term'!AI41="",0,
IF(NOT(ISNUMBER('Final Term'!AI41)),"NAN",
IF('Final Term'!AI41&lt;0,"NEG",
IF('Final Term'!AI41&gt;AI$5,"OVER",
IF(AND(AI$5&lt;=100,'Final Term'!AI41&gt;100),"ERR",
IF(Info!$B$4="Non-board program",
IF(OR(AND(AI$5&gt;0,AI$5&gt;100),AND(AI$5&gt;0,AI$5&lt;100)),
VLOOKUP(FLOOR(('Final Term'!AI41/AI$5)*100,1),new_transmute,2,FALSE),
VLOOKUP('Final Term'!AI41,new_transmute,2,FALSE)
),
IF(Info!$B$4="Board program",
IF(OR(AND(AI$5&gt;0,AI$5&gt;100),AND(AI$5&gt;0,AI$5&lt;100)),
VLOOKUP(FLOOR(('Final Term'!AI41/AI$5)*100,1),new_transmute,3,FALSE),
VLOOKUP('Final Term'!AI41,new_transmute,3,FALSE)
),
IF(Info!$B$4="Board program (Medicine)",
IF(OR(AND(AI$5&gt;0,AI$5&gt;100),AND(AI$5&gt;0,AI$5&lt;100)),
VLOOKUP(FLOOR(('Final Term'!AI41/AI$5)*100,1),new_transmute,4,FALSE),
VLOOKUP('Final Term'!AI41,new_transmute,4,FALSE)
),
""
)
)
)
)
)
)
)
)
))</f>
        <v/>
      </c>
      <c r="AJ41" s="73" t="str">
        <f>IF($B41="","",
IF(AJ$5="","",
IF('Final Term'!AJ41="",0,
IF(NOT(ISNUMBER('Final Term'!AJ41)),"NAN",
IF('Final Term'!AJ41&lt;0,"NEG",
IF('Final Term'!AJ41&gt;AJ$5,"OVER",
IF(AND(AJ$5&lt;=100,'Final Term'!AJ41&gt;100),"ERR",
IF(Info!$B$4="Non-board program",
IF(OR(AND(AJ$5&gt;0,AJ$5&gt;100),AND(AJ$5&gt;0,AJ$5&lt;100)),
VLOOKUP(FLOOR(('Final Term'!AJ41/AJ$5)*100,1),new_transmute,2,FALSE),
VLOOKUP('Final Term'!AJ41,new_transmute,2,FALSE)
),
IF(Info!$B$4="Board program",
IF(OR(AND(AJ$5&gt;0,AJ$5&gt;100),AND(AJ$5&gt;0,AJ$5&lt;100)),
VLOOKUP(FLOOR(('Final Term'!AJ41/AJ$5)*100,1),new_transmute,3,FALSE),
VLOOKUP('Final Term'!AJ41,new_transmute,3,FALSE)
),
IF(Info!$B$4="Board program (Medicine)",
IF(OR(AND(AJ$5&gt;0,AJ$5&gt;100),AND(AJ$5&gt;0,AJ$5&lt;100)),
VLOOKUP(FLOOR(('Final Term'!AJ41/AJ$5)*100,1),new_transmute,4,FALSE),
VLOOKUP('Final Term'!AJ41,new_transmute,4,FALSE)
),
""
)
)
)
)
)
)
)
)
))</f>
        <v/>
      </c>
      <c r="AK41" s="59" t="str">
        <f t="shared" si="6"/>
        <v/>
      </c>
      <c r="AL41" s="60" t="str">
        <f>IF(B41="", "",
    IF(OR(M41="OVER", S41="OVER", Y41="OVER", AE41="OVER", AK41="OVER"),
        "OVER",
        IF(Info!$B$4="Non-board program",
            VLOOKUP(IFERROR(FLOOR(SUM((M41*$M$4), (S41*$S$4), (Y41*$Y$4), (AE41*$AE$4), (AK41*$AK$4)) * (100 / 60), 1), 0), new_transmute, 2, FALSE),
            IF(Info!$B$4="Board program",
                VLOOKUP(IFERROR(FLOOR(SUM((M41*$M$4), (S41*$S$4), (Y41*$Y$4), (AE41*$AE$4), (AK41*$AK$4)) * (100 / 60), 1), 0), new_transmute, 3, FALSE),
                IF(Info!$B$4="Board program (Medicine)",
                    VLOOKUP(IFERROR(FLOOR(SUM((M41*$M$4), (S41*$S$4), (Y41*$Y$4), (AE41*$AE$4), (AK41*$AK$4)) * (100 / 60), 1), 0), new_transmute, 4, FALSE),
                    ""
                )
            )
        )
    )
)</f>
        <v/>
      </c>
      <c r="AM41" s="73" t="str">
        <f>IF($B41="","",
IF(AM$5="","",
IF('Final Term'!AM41="",0,
IF(NOT(ISNUMBER('Final Term'!AM41)),"NAN",
IF('Final Term'!AM41&lt;0,"NEG",
IF('Final Term'!AM41&gt;AM$5,"OVER",
IF(AND(AM$5&lt;=100,'Final Term'!AM41&gt;100),"ERR",
IF(Info!$B$4="Non-board program",
IF(OR(AND(AM$5&gt;0,AM$5&gt;100),AND(AM$5&gt;0,AM$5&lt;100)),
VLOOKUP(FLOOR(('Final Term'!AM41/AM$5)*100,1),new_transmute,2,FALSE),
VLOOKUP('Final Term'!AM41,new_transmute,2,FALSE)
),
IF(Info!$B$4="Board program",
IF(OR(AND(AM$5&gt;0,AM$5&gt;100),AND(AM$5&gt;0,AM$5&lt;100)),
VLOOKUP(FLOOR(('Final Term'!AM41/AM$5)*100,1),new_transmute,3,FALSE),
VLOOKUP('Final Term'!AM41,new_transmute,3,FALSE)
),
IF(Info!$B$4="Board program (Medicine)",
IF(OR(AND(AM$5&gt;0,AM$5&gt;100),AND(AM$5&gt;0,AM$5&lt;100)),
VLOOKUP(FLOOR(('Final Term'!AM41/AM$5)*100,1),new_transmute,4,FALSE),
VLOOKUP('Final Term'!AM41,new_transmute,4,FALSE)
),
""
)
)
)
)
)
)
)
)
))</f>
        <v/>
      </c>
      <c r="AN41" s="73" t="str">
        <f>IF($B41="","",
IF(AN$5="","",
IF('Final Term'!AN41="",0,
IF(NOT(ISNUMBER('Final Term'!AN41)),"NAN",
IF('Final Term'!AN41&lt;0,"NEG",
IF('Final Term'!AN41&gt;AN$5,"OVER",
IF(AND(AN$5&lt;=100,'Final Term'!AN41&gt;100),"ERR",
IF(Info!$B$4="Non-board program",
IF(OR(AND(AN$5&gt;0,AN$5&gt;100),AND(AN$5&gt;0,AN$5&lt;100)),
VLOOKUP(FLOOR(('Final Term'!AN41/AN$5)*100,1),new_transmute,2,FALSE),
VLOOKUP('Final Term'!AN41,new_transmute,2,FALSE)
),
IF(Info!$B$4="Board program",
IF(OR(AND(AN$5&gt;0,AN$5&gt;100),AND(AN$5&gt;0,AN$5&lt;100)),
VLOOKUP(FLOOR(('Final Term'!AN41/AN$5)*100,1),new_transmute,3,FALSE),
VLOOKUP('Final Term'!AN41,new_transmute,3,FALSE)
),
IF(Info!$B$4="Board program (Medicine)",
IF(OR(AND(AN$5&gt;0,AN$5&gt;100),AND(AN$5&gt;0,AN$5&lt;100)),
VLOOKUP(FLOOR(('Final Term'!AN41/AN$5)*100,1),new_transmute,4,FALSE),
VLOOKUP('Final Term'!AN41,new_transmute,4,FALSE)
),
""
)
)
)
)
)
)
)
)
))</f>
        <v/>
      </c>
      <c r="AO41" s="73" t="str">
        <f>IF($B41="","",
IF(AO$5="","",
IF('Final Term'!AO41="",0,
IF(NOT(ISNUMBER('Final Term'!AO41)),"NAN",
IF('Final Term'!AO41&lt;0,"NEG",
IF('Final Term'!AO41&gt;AO$5,"OVER",
IF(AND(AO$5&lt;=100,'Final Term'!AO41&gt;100),"ERR",
IF(Info!$B$4="Non-board program",
IF(OR(AND(AO$5&gt;0,AO$5&gt;100),AND(AO$5&gt;0,AO$5&lt;100)),
VLOOKUP(FLOOR(('Final Term'!AO41/AO$5)*100,1),new_transmute,2,FALSE),
VLOOKUP('Final Term'!AO41,new_transmute,2,FALSE)
),
IF(Info!$B$4="Board program",
IF(OR(AND(AO$5&gt;0,AO$5&gt;100),AND(AO$5&gt;0,AO$5&lt;100)),
VLOOKUP(FLOOR(('Final Term'!AO41/AO$5)*100,1),new_transmute,3,FALSE),
VLOOKUP('Final Term'!AO41,new_transmute,3,FALSE)
),
IF(Info!$B$4="Board program (Medicine)",
IF(OR(AND(AO$5&gt;0,AO$5&gt;100),AND(AO$5&gt;0,AO$5&lt;100)),
VLOOKUP(FLOOR(('Final Term'!AO41/AO$5)*100,1),new_transmute,4,FALSE),
VLOOKUP('Final Term'!AO41,new_transmute,4,FALSE)
),
""
)
)
)
)
)
)
)
)
))</f>
        <v/>
      </c>
      <c r="AP41" s="73" t="str">
        <f>IF($B41="","",
IF(AP$5="","",
IF('Final Term'!AP41="",0,
IF(NOT(ISNUMBER('Final Term'!AP41)),"NAN",
IF('Final Term'!AP41&lt;0,"NEG",
IF('Final Term'!AP41&gt;AP$5,"OVER",
IF(AND(AP$5&lt;=100,'Final Term'!AP41&gt;100),"ERR",
IF(Info!$B$4="Non-board program",
IF(OR(AND(AP$5&gt;0,AP$5&gt;100),AND(AP$5&gt;0,AP$5&lt;100)),
VLOOKUP(FLOOR(('Final Term'!AP41/AP$5)*100,1),new_transmute,2,FALSE),
VLOOKUP('Final Term'!AP41,new_transmute,2,FALSE)
),
IF(Info!$B$4="Board program",
IF(OR(AND(AP$5&gt;0,AP$5&gt;100),AND(AP$5&gt;0,AP$5&lt;100)),
VLOOKUP(FLOOR(('Final Term'!AP41/AP$5)*100,1),new_transmute,3,FALSE),
VLOOKUP('Final Term'!AP41,new_transmute,3,FALSE)
),
IF(Info!$B$4="Board program (Medicine)",
IF(OR(AND(AP$5&gt;0,AP$5&gt;100),AND(AP$5&gt;0,AP$5&lt;100)),
VLOOKUP(FLOOR(('Final Term'!AP41/AP$5)*100,1),new_transmute,4,FALSE),
VLOOKUP('Final Term'!AP41,new_transmute,4,FALSE)
),
""
)
)
)
)
)
)
)
)
))</f>
        <v/>
      </c>
      <c r="AQ41" s="61" t="str">
        <f t="shared" si="7"/>
        <v/>
      </c>
      <c r="AR41" s="48" t="str">
        <f>IF('Final Term'!AR41="","",'Final Term'!AR41)</f>
        <v/>
      </c>
      <c r="AS41" s="165" t="str">
        <f t="shared" si="8"/>
        <v/>
      </c>
      <c r="AT41" s="14" t="str">
        <f t="shared" si="9"/>
        <v/>
      </c>
      <c r="AU41" s="13" t="str">
        <f>IF(B41="","",VLOOKUP(AT41,'New Grade Equivalent'!$B$3:$C$47,2,FALSE))</f>
        <v/>
      </c>
    </row>
    <row r="42" spans="1:47" x14ac:dyDescent="0.25">
      <c r="A42" s="8">
        <v>37</v>
      </c>
      <c r="B42" s="2" t="str">
        <f>IF('Student List'!C46="","",UPPER(LEFT('Student List'!C46,FIND(",",'Student List'!C46)-1)))</f>
        <v/>
      </c>
      <c r="C42" s="12" t="str">
        <f>IF('Student List'!C46="","",PROPER(MID('Student List'!C46, FIND(",", 'Student List'!C46) + 2, LEN('Student List'!C46) - FIND(",", 'Student List'!C46) - 1)))</f>
        <v/>
      </c>
      <c r="D42" s="127" t="str">
        <f>IF('Final Term'!D42="","",'Final Term'!D42)</f>
        <v/>
      </c>
      <c r="E42" s="8" t="str">
        <f>IF(MidCom!E42="FA", "FA",
    IF(MidCom!E42="DRP", "DRP",
        IF(MidCom!E42="WF", "WF",
            IF(D42="Yes", "INC",
               IF((SUM('MT Attendance'!AW40) / 3 + SUM('MT Attendance'!AY40) + SUM('FT Attendance'!AW40) / 3 + SUM('FT Attendance'!AY40)) &gt;= 0.2 * (SUMPRODUCT(--(ISTEXT('MT Attendance'!$C$2:$AU$2))) + SUMPRODUCT(--(ISTEXT('FT Attendance'!$C$2:$AU$2)))), "FA",
                   MidCom!E42
                )
            )
        )
    )
)</f>
        <v/>
      </c>
      <c r="F42" s="73" t="str">
        <f>IF($B42="","",
IF(F$5="","",
IF('Final Term'!F42="",0,
IF(NOT(ISNUMBER('Final Term'!F42)),"NAN",
IF('Final Term'!F42&lt;0,"NEG",
IF('Final Term'!F42&gt;F$5,"OVER",
IF(AND(F$5&lt;=100,'Final Term'!F42&gt;100),"ERR",
IF(Info!$B$4="Non-board program",
IF(OR(AND(F$5&gt;0,F$5&gt;100),AND(F$5&gt;0,F$5&lt;100)),
VLOOKUP(FLOOR(('Final Term'!F42/F$5)*100,1),new_transmute,2,FALSE),
VLOOKUP('Final Term'!F42,new_transmute,2,FALSE)
),
IF(Info!$B$4="Board program",
IF(OR(AND(F$5&gt;0,F$5&gt;100),AND(F$5&gt;0,F$5&lt;100)),
VLOOKUP(FLOOR(('Final Term'!F42/F$5)*100,1),new_transmute,3,FALSE),
VLOOKUP('Final Term'!F42,new_transmute,3,FALSE)
),
IF(Info!$B$4="Board program (Medicine)",
IF(OR(AND(F$5&gt;0,F$5&gt;100),AND(F$5&gt;0,F$5&lt;100)),
VLOOKUP(FLOOR(('Final Term'!F42/F$5)*100,1),new_transmute,4,FALSE),
VLOOKUP('Final Term'!F42,new_transmute,4,FALSE)
),
""
)
)
)
)
)
)
)
)
))</f>
        <v/>
      </c>
      <c r="G42" s="57" t="str">
        <f t="shared" si="1"/>
        <v/>
      </c>
      <c r="H42" s="73" t="str">
        <f>IF($B42="","",
IF(H$5="","",
IF('Final Term'!H42="",0,
IF(NOT(ISNUMBER('Final Term'!H42)),"NAN",
IF('Final Term'!H42&lt;0,"NEG",
IF('Final Term'!H42&gt;H$5,"OVER",
IF(AND(H$5&lt;=100,'Final Term'!H42&gt;100),"ERR",
IF(Info!$B$4="Non-board program",
IF(OR(AND(H$5&gt;0,H$5&gt;100),AND(H$5&gt;0,H$5&lt;100)),
VLOOKUP(FLOOR(('Final Term'!H42/H$5)*100,1),new_transmute,2,FALSE),
VLOOKUP('Final Term'!H42,new_transmute,2,FALSE)
),
IF(Info!$B$4="Board program",
IF(OR(AND(H$5&gt;0,H$5&gt;100),AND(H$5&gt;0,H$5&lt;100)),
VLOOKUP(FLOOR(('Final Term'!H42/H$5)*100,1),new_transmute,3,FALSE),
VLOOKUP('Final Term'!H42,new_transmute,3,FALSE)
),
IF(Info!$B$4="Board program (Medicine)",
IF(OR(AND(H$5&gt;0,H$5&gt;100),AND(H$5&gt;0,H$5&lt;100)),
VLOOKUP(FLOOR(('Final Term'!H42/H$5)*100,1),new_transmute,4,FALSE),
VLOOKUP('Final Term'!H42,new_transmute,4,FALSE)
),
""
)
)
)
)
)
)
)
)
))</f>
        <v/>
      </c>
      <c r="I42" s="73" t="str">
        <f>IF($B42="","",
IF(I$5="","",
IF('Final Term'!I42="",0,
IF(NOT(ISNUMBER('Final Term'!I42)),"NAN",
IF('Final Term'!I42&lt;0,"NEG",
IF('Final Term'!I42&gt;I$5,"OVER",
IF(AND(I$5&lt;=100,'Final Term'!I42&gt;100),"ERR",
IF(Info!$B$4="Non-board program",
IF(OR(AND(I$5&gt;0,I$5&gt;100),AND(I$5&gt;0,I$5&lt;100)),
VLOOKUP(FLOOR(('Final Term'!I42/I$5)*100,1),new_transmute,2,FALSE),
VLOOKUP('Final Term'!I42,new_transmute,2,FALSE)
),
IF(Info!$B$4="Board program",
IF(OR(AND(I$5&gt;0,I$5&gt;100),AND(I$5&gt;0,I$5&lt;100)),
VLOOKUP(FLOOR(('Final Term'!I42/I$5)*100,1),new_transmute,3,FALSE),
VLOOKUP('Final Term'!I42,new_transmute,3,FALSE)
),
IF(Info!$B$4="Board program (Medicine)",
IF(OR(AND(I$5&gt;0,I$5&gt;100),AND(I$5&gt;0,I$5&lt;100)),
VLOOKUP(FLOOR(('Final Term'!I42/I$5)*100,1),new_transmute,4,FALSE),
VLOOKUP('Final Term'!I42,new_transmute,4,FALSE)
),
""
)
)
)
)
)
)
)
)
))</f>
        <v/>
      </c>
      <c r="J42" s="73" t="str">
        <f>IF($B42="","",
IF(J$5="","",
IF('Final Term'!J42="",0,
IF(NOT(ISNUMBER('Final Term'!J42)),"NAN",
IF('Final Term'!J42&lt;0,"NEG",
IF('Final Term'!J42&gt;J$5,"OVER",
IF(AND(J$5&lt;=100,'Final Term'!J42&gt;100),"ERR",
IF(Info!$B$4="Non-board program",
IF(OR(AND(J$5&gt;0,J$5&gt;100),AND(J$5&gt;0,J$5&lt;100)),
VLOOKUP(FLOOR(('Final Term'!J42/J$5)*100,1),new_transmute,2,FALSE),
VLOOKUP('Final Term'!J42,new_transmute,2,FALSE)
),
IF(Info!$B$4="Board program",
IF(OR(AND(J$5&gt;0,J$5&gt;100),AND(J$5&gt;0,J$5&lt;100)),
VLOOKUP(FLOOR(('Final Term'!J42/J$5)*100,1),new_transmute,3,FALSE),
VLOOKUP('Final Term'!J42,new_transmute,3,FALSE)
),
IF(Info!$B$4="Board program (Medicine)",
IF(OR(AND(J$5&gt;0,J$5&gt;100),AND(J$5&gt;0,J$5&lt;100)),
VLOOKUP(FLOOR(('Final Term'!J42/J$5)*100,1),new_transmute,4,FALSE),
VLOOKUP('Final Term'!J42,new_transmute,4,FALSE)
),
""
)
)
)
)
)
)
)
)
))</f>
        <v/>
      </c>
      <c r="K42" s="73" t="str">
        <f>IF($B42="","",
IF(K$5="","",
IF('Final Term'!K42="",0,
IF(NOT(ISNUMBER('Final Term'!K42)),"NAN",
IF('Final Term'!K42&lt;0,"NEG",
IF('Final Term'!K42&gt;K$5,"OVER",
IF(AND(K$5&lt;=100,'Final Term'!K42&gt;100),"ERR",
IF(Info!$B$4="Non-board program",
IF(OR(AND(K$5&gt;0,K$5&gt;100),AND(K$5&gt;0,K$5&lt;100)),
VLOOKUP(FLOOR(('Final Term'!K42/K$5)*100,1),new_transmute,2,FALSE),
VLOOKUP('Final Term'!K42,new_transmute,2,FALSE)
),
IF(Info!$B$4="Board program",
IF(OR(AND(K$5&gt;0,K$5&gt;100),AND(K$5&gt;0,K$5&lt;100)),
VLOOKUP(FLOOR(('Final Term'!K42/K$5)*100,1),new_transmute,3,FALSE),
VLOOKUP('Final Term'!K42,new_transmute,3,FALSE)
),
IF(Info!$B$4="Board program (Medicine)",
IF(OR(AND(K$5&gt;0,K$5&gt;100),AND(K$5&gt;0,K$5&lt;100)),
VLOOKUP(FLOOR(('Final Term'!K42/K$5)*100,1),new_transmute,4,FALSE),
VLOOKUP('Final Term'!K42,new_transmute,4,FALSE)
),
""
)
)
)
)
)
)
)
)
))</f>
        <v/>
      </c>
      <c r="L42" s="73" t="str">
        <f>IF($B42="","",
IF(L$5="","",
IF('Final Term'!L42="",0,
IF(NOT(ISNUMBER('Final Term'!L42)),"NAN",
IF('Final Term'!L42&lt;0,"NEG",
IF('Final Term'!L42&gt;L$5,"OVER",
IF(AND(L$5&lt;=100,'Final Term'!L42&gt;100),"ERR",
IF(Info!$B$4="Non-board program",
IF(OR(AND(L$5&gt;0,L$5&gt;100),AND(L$5&gt;0,L$5&lt;100)),
VLOOKUP(FLOOR(('Final Term'!L42/L$5)*100,1),new_transmute,2,FALSE),
VLOOKUP('Final Term'!L42,new_transmute,2,FALSE)
),
IF(Info!$B$4="Board program",
IF(OR(AND(L$5&gt;0,L$5&gt;100),AND(L$5&gt;0,L$5&lt;100)),
VLOOKUP(FLOOR(('Final Term'!L42/L$5)*100,1),new_transmute,3,FALSE),
VLOOKUP('Final Term'!L42,new_transmute,3,FALSE)
),
IF(Info!$B$4="Board program (Medicine)",
IF(OR(AND(L$5&gt;0,L$5&gt;100),AND(L$5&gt;0,L$5&lt;100)),
VLOOKUP(FLOOR(('Final Term'!L42/L$5)*100,1),new_transmute,4,FALSE),
VLOOKUP('Final Term'!L42,new_transmute,4,FALSE)
),
""
)
)
)
)
)
)
)
)
))</f>
        <v/>
      </c>
      <c r="M42" s="111" t="str">
        <f t="shared" si="2"/>
        <v/>
      </c>
      <c r="N42" s="73" t="str">
        <f>IF($B42="","",
IF(N$5="","",
IF('Final Term'!N42="",0,
IF(NOT(ISNUMBER('Final Term'!N42)),"NAN",
IF('Final Term'!N42&lt;0,"NEG",
IF('Final Term'!N42&gt;N$5,"OVER",
IF(AND(N$5&lt;=100,'Final Term'!N42&gt;100),"ERR",
IF(Info!$B$4="Non-board program",
IF(OR(AND(N$5&gt;0,N$5&gt;100),AND(N$5&gt;0,N$5&lt;100)),
VLOOKUP(FLOOR(('Final Term'!N42/N$5)*100,1),new_transmute,2,FALSE),
VLOOKUP('Final Term'!N42,new_transmute,2,FALSE)
),
IF(Info!$B$4="Board program",
IF(OR(AND(N$5&gt;0,N$5&gt;100),AND(N$5&gt;0,N$5&lt;100)),
VLOOKUP(FLOOR(('Final Term'!N42/N$5)*100,1),new_transmute,3,FALSE),
VLOOKUP('Final Term'!N42,new_transmute,3,FALSE)
),
IF(Info!$B$4="Board program (Medicine)",
IF(OR(AND(N$5&gt;0,N$5&gt;100),AND(N$5&gt;0,N$5&lt;100)),
VLOOKUP(FLOOR(('Final Term'!N42/N$5)*100,1),new_transmute,4,FALSE),
VLOOKUP('Final Term'!N42,new_transmute,4,FALSE)
),
""
)
)
)
)
)
)
)
)
))</f>
        <v/>
      </c>
      <c r="O42" s="73" t="str">
        <f>IF($B42="","",
IF(O$5="","",
IF('Final Term'!O42="",0,
IF(NOT(ISNUMBER('Final Term'!O42)),"NAN",
IF('Final Term'!O42&lt;0,"NEG",
IF('Final Term'!O42&gt;O$5,"OVER",
IF(AND(O$5&lt;=100,'Final Term'!O42&gt;100),"ERR",
IF(Info!$B$4="Non-board program",
IF(OR(AND(O$5&gt;0,O$5&gt;100),AND(O$5&gt;0,O$5&lt;100)),
VLOOKUP(FLOOR(('Final Term'!O42/O$5)*100,1),new_transmute,2,FALSE),
VLOOKUP('Final Term'!O42,new_transmute,2,FALSE)
),
IF(Info!$B$4="Board program",
IF(OR(AND(O$5&gt;0,O$5&gt;100),AND(O$5&gt;0,O$5&lt;100)),
VLOOKUP(FLOOR(('Final Term'!O42/O$5)*100,1),new_transmute,3,FALSE),
VLOOKUP('Final Term'!O42,new_transmute,3,FALSE)
),
IF(Info!$B$4="Board program (Medicine)",
IF(OR(AND(O$5&gt;0,O$5&gt;100),AND(O$5&gt;0,O$5&lt;100)),
VLOOKUP(FLOOR(('Final Term'!O42/O$5)*100,1),new_transmute,4,FALSE),
VLOOKUP('Final Term'!O42,new_transmute,4,FALSE)
),
""
)
)
)
)
)
)
)
)
))</f>
        <v/>
      </c>
      <c r="P42" s="73" t="str">
        <f>IF($B42="","",
IF(P$5="","",
IF('Final Term'!P42="",0,
IF(NOT(ISNUMBER('Final Term'!P42)),"NAN",
IF('Final Term'!P42&lt;0,"NEG",
IF('Final Term'!P42&gt;P$5,"OVER",
IF(AND(P$5&lt;=100,'Final Term'!P42&gt;100),"ERR",
IF(Info!$B$4="Non-board program",
IF(OR(AND(P$5&gt;0,P$5&gt;100),AND(P$5&gt;0,P$5&lt;100)),
VLOOKUP(FLOOR(('Final Term'!P42/P$5)*100,1),new_transmute,2,FALSE),
VLOOKUP('Final Term'!P42,new_transmute,2,FALSE)
),
IF(Info!$B$4="Board program",
IF(OR(AND(P$5&gt;0,P$5&gt;100),AND(P$5&gt;0,P$5&lt;100)),
VLOOKUP(FLOOR(('Final Term'!P42/P$5)*100,1),new_transmute,3,FALSE),
VLOOKUP('Final Term'!P42,new_transmute,3,FALSE)
),
IF(Info!$B$4="Board program (Medicine)",
IF(OR(AND(P$5&gt;0,P$5&gt;100),AND(P$5&gt;0,P$5&lt;100)),
VLOOKUP(FLOOR(('Final Term'!P42/P$5)*100,1),new_transmute,4,FALSE),
VLOOKUP('Final Term'!P42,new_transmute,4,FALSE)
),
""
)
)
)
)
)
)
)
)
))</f>
        <v/>
      </c>
      <c r="Q42" s="73" t="str">
        <f>IF($B42="","",
IF(Q$5="","",
IF('Final Term'!Q42="",0,
IF(NOT(ISNUMBER('Final Term'!Q42)),"NAN",
IF('Final Term'!Q42&lt;0,"NEG",
IF('Final Term'!Q42&gt;Q$5,"OVER",
IF(AND(Q$5&lt;=100,'Final Term'!Q42&gt;100),"ERR",
IF(Info!$B$4="Non-board program",
IF(OR(AND(Q$5&gt;0,Q$5&gt;100),AND(Q$5&gt;0,Q$5&lt;100)),
VLOOKUP(FLOOR(('Final Term'!Q42/Q$5)*100,1),new_transmute,2,FALSE),
VLOOKUP('Final Term'!Q42,new_transmute,2,FALSE)
),
IF(Info!$B$4="Board program",
IF(OR(AND(Q$5&gt;0,Q$5&gt;100),AND(Q$5&gt;0,Q$5&lt;100)),
VLOOKUP(FLOOR(('Final Term'!Q42/Q$5)*100,1),new_transmute,3,FALSE),
VLOOKUP('Final Term'!Q42,new_transmute,3,FALSE)
),
IF(Info!$B$4="Board program (Medicine)",
IF(OR(AND(Q$5&gt;0,Q$5&gt;100),AND(Q$5&gt;0,Q$5&lt;100)),
VLOOKUP(FLOOR(('Final Term'!Q42/Q$5)*100,1),new_transmute,4,FALSE),
VLOOKUP('Final Term'!Q42,new_transmute,4,FALSE)
),
""
)
)
)
)
)
)
)
)
))</f>
        <v/>
      </c>
      <c r="R42" s="73" t="str">
        <f>IF($B42="","",
IF(R$5="","",
IF('Final Term'!R42="",0,
IF(NOT(ISNUMBER('Final Term'!R42)),"NAN",
IF('Final Term'!R42&lt;0,"NEG",
IF('Final Term'!R42&gt;R$5,"OVER",
IF(AND(R$5&lt;=100,'Final Term'!R42&gt;100),"ERR",
IF(Info!$B$4="Non-board program",
IF(OR(AND(R$5&gt;0,R$5&gt;100),AND(R$5&gt;0,R$5&lt;100)),
VLOOKUP(FLOOR(('Final Term'!R42/R$5)*100,1),new_transmute,2,FALSE),
VLOOKUP('Final Term'!R42,new_transmute,2,FALSE)
),
IF(Info!$B$4="Board program",
IF(OR(AND(R$5&gt;0,R$5&gt;100),AND(R$5&gt;0,R$5&lt;100)),
VLOOKUP(FLOOR(('Final Term'!R42/R$5)*100,1),new_transmute,3,FALSE),
VLOOKUP('Final Term'!R42,new_transmute,3,FALSE)
),
IF(Info!$B$4="Board program (Medicine)",
IF(OR(AND(R$5&gt;0,R$5&gt;100),AND(R$5&gt;0,R$5&lt;100)),
VLOOKUP(FLOOR(('Final Term'!R42/R$5)*100,1),new_transmute,4,FALSE),
VLOOKUP('Final Term'!R42,new_transmute,4,FALSE)
),
""
)
)
)
)
)
)
)
)
))</f>
        <v/>
      </c>
      <c r="S42" s="115" t="str">
        <f t="shared" si="3"/>
        <v/>
      </c>
      <c r="T42" s="73" t="str">
        <f>IF($B42="","",
IF(T$5="","",
IF('Final Term'!T42="",0,
IF(NOT(ISNUMBER('Final Term'!T42)),"NAN",
IF('Final Term'!T42&lt;0,"NEG",
IF('Final Term'!T42&gt;T$5,"OVER",
IF(AND(T$5&lt;=100,'Final Term'!T42&gt;100),"ERR",
IF(Info!$B$4="Non-board program",
IF(OR(AND(T$5&gt;0,T$5&gt;100),AND(T$5&gt;0,T$5&lt;100)),
VLOOKUP(FLOOR(('Final Term'!T42/T$5)*100,1),new_transmute,2,FALSE),
VLOOKUP('Final Term'!T42,new_transmute,2,FALSE)
),
IF(Info!$B$4="Board program",
IF(OR(AND(T$5&gt;0,T$5&gt;100),AND(T$5&gt;0,T$5&lt;100)),
VLOOKUP(FLOOR(('Final Term'!T42/T$5)*100,1),new_transmute,3,FALSE),
VLOOKUP('Final Term'!T42,new_transmute,3,FALSE)
),
IF(Info!$B$4="Board program (Medicine)",
IF(OR(AND(T$5&gt;0,T$5&gt;100),AND(T$5&gt;0,T$5&lt;100)),
VLOOKUP(FLOOR(('Final Term'!T42/T$5)*100,1),new_transmute,4,FALSE),
VLOOKUP('Final Term'!T42,new_transmute,4,FALSE)
),
""
)
)
)
)
)
)
)
)
))</f>
        <v/>
      </c>
      <c r="U42" s="73" t="str">
        <f>IF($B42="","",
IF(U$5="","",
IF('Final Term'!U42="",0,
IF(NOT(ISNUMBER('Final Term'!U42)),"NAN",
IF('Final Term'!U42&lt;0,"NEG",
IF('Final Term'!U42&gt;U$5,"OVER",
IF(AND(U$5&lt;=100,'Final Term'!U42&gt;100),"ERR",
IF(Info!$B$4="Non-board program",
IF(OR(AND(U$5&gt;0,U$5&gt;100),AND(U$5&gt;0,U$5&lt;100)),
VLOOKUP(FLOOR(('Final Term'!U42/U$5)*100,1),new_transmute,2,FALSE),
VLOOKUP('Final Term'!U42,new_transmute,2,FALSE)
),
IF(Info!$B$4="Board program",
IF(OR(AND(U$5&gt;0,U$5&gt;100),AND(U$5&gt;0,U$5&lt;100)),
VLOOKUP(FLOOR(('Final Term'!U42/U$5)*100,1),new_transmute,3,FALSE),
VLOOKUP('Final Term'!U42,new_transmute,3,FALSE)
),
IF(Info!$B$4="Board program (Medicine)",
IF(OR(AND(U$5&gt;0,U$5&gt;100),AND(U$5&gt;0,U$5&lt;100)),
VLOOKUP(FLOOR(('Final Term'!U42/U$5)*100,1),new_transmute,4,FALSE),
VLOOKUP('Final Term'!U42,new_transmute,4,FALSE)
),
""
)
)
)
)
)
)
)
)
))</f>
        <v/>
      </c>
      <c r="V42" s="73" t="str">
        <f>IF($B42="","",
IF(V$5="","",
IF('Final Term'!V42="",0,
IF(NOT(ISNUMBER('Final Term'!V42)),"NAN",
IF('Final Term'!V42&lt;0,"NEG",
IF('Final Term'!V42&gt;V$5,"OVER",
IF(AND(V$5&lt;=100,'Final Term'!V42&gt;100),"ERR",
IF(Info!$B$4="Non-board program",
IF(OR(AND(V$5&gt;0,V$5&gt;100),AND(V$5&gt;0,V$5&lt;100)),
VLOOKUP(FLOOR(('Final Term'!V42/V$5)*100,1),new_transmute,2,FALSE),
VLOOKUP('Final Term'!V42,new_transmute,2,FALSE)
),
IF(Info!$B$4="Board program",
IF(OR(AND(V$5&gt;0,V$5&gt;100),AND(V$5&gt;0,V$5&lt;100)),
VLOOKUP(FLOOR(('Final Term'!V42/V$5)*100,1),new_transmute,3,FALSE),
VLOOKUP('Final Term'!V42,new_transmute,3,FALSE)
),
IF(Info!$B$4="Board program (Medicine)",
IF(OR(AND(V$5&gt;0,V$5&gt;100),AND(V$5&gt;0,V$5&lt;100)),
VLOOKUP(FLOOR(('Final Term'!V42/V$5)*100,1),new_transmute,4,FALSE),
VLOOKUP('Final Term'!V42,new_transmute,4,FALSE)
),
""
)
)
)
)
)
)
)
)
))</f>
        <v/>
      </c>
      <c r="W42" s="73" t="str">
        <f>IF($B42="","",
IF(W$5="","",
IF('Final Term'!W42="",0,
IF(NOT(ISNUMBER('Final Term'!W42)),"NAN",
IF('Final Term'!W42&lt;0,"NEG",
IF('Final Term'!W42&gt;W$5,"OVER",
IF(AND(W$5&lt;=100,'Final Term'!W42&gt;100),"ERR",
IF(Info!$B$4="Non-board program",
IF(OR(AND(W$5&gt;0,W$5&gt;100),AND(W$5&gt;0,W$5&lt;100)),
VLOOKUP(FLOOR(('Final Term'!W42/W$5)*100,1),new_transmute,2,FALSE),
VLOOKUP('Final Term'!W42,new_transmute,2,FALSE)
),
IF(Info!$B$4="Board program",
IF(OR(AND(W$5&gt;0,W$5&gt;100),AND(W$5&gt;0,W$5&lt;100)),
VLOOKUP(FLOOR(('Final Term'!W42/W$5)*100,1),new_transmute,3,FALSE),
VLOOKUP('Final Term'!W42,new_transmute,3,FALSE)
),
IF(Info!$B$4="Board program (Medicine)",
IF(OR(AND(W$5&gt;0,W$5&gt;100),AND(W$5&gt;0,W$5&lt;100)),
VLOOKUP(FLOOR(('Final Term'!W42/W$5)*100,1),new_transmute,4,FALSE),
VLOOKUP('Final Term'!W42,new_transmute,4,FALSE)
),
""
)
)
)
)
)
)
)
)
))</f>
        <v/>
      </c>
      <c r="X42" s="73" t="str">
        <f>IF($B42="","",
IF(X$5="","",
IF('Final Term'!X42="",0,
IF(NOT(ISNUMBER('Final Term'!X42)),"NAN",
IF('Final Term'!X42&lt;0,"NEG",
IF('Final Term'!X42&gt;X$5,"OVER",
IF(AND(X$5&lt;=100,'Final Term'!X42&gt;100),"ERR",
IF(Info!$B$4="Non-board program",
IF(OR(AND(X$5&gt;0,X$5&gt;100),AND(X$5&gt;0,X$5&lt;100)),
VLOOKUP(FLOOR(('Final Term'!X42/X$5)*100,1),new_transmute,2,FALSE),
VLOOKUP('Final Term'!X42,new_transmute,2,FALSE)
),
IF(Info!$B$4="Board program",
IF(OR(AND(X$5&gt;0,X$5&gt;100),AND(X$5&gt;0,X$5&lt;100)),
VLOOKUP(FLOOR(('Final Term'!X42/X$5)*100,1),new_transmute,3,FALSE),
VLOOKUP('Final Term'!X42,new_transmute,3,FALSE)
),
IF(Info!$B$4="Board program (Medicine)",
IF(OR(AND(X$5&gt;0,X$5&gt;100),AND(X$5&gt;0,X$5&lt;100)),
VLOOKUP(FLOOR(('Final Term'!X42/X$5)*100,1),new_transmute,4,FALSE),
VLOOKUP('Final Term'!X42,new_transmute,4,FALSE)
),
""
)
)
)
)
)
)
)
)
))</f>
        <v/>
      </c>
      <c r="Y42" s="112" t="str">
        <f t="shared" si="4"/>
        <v/>
      </c>
      <c r="Z42" s="73" t="str">
        <f>IF($B42="","",
IF(Z$5="","",
IF('Final Term'!Z42="",0,
IF(NOT(ISNUMBER('Final Term'!Z42)),"NAN",
IF('Final Term'!Z42&lt;0,"NEG",
IF('Final Term'!Z42&gt;Z$5,"OVER",
IF(AND(Z$5&lt;=100,'Final Term'!Z42&gt;100),"ERR",
IF(Info!$B$4="Non-board program",
IF(OR(AND(Z$5&gt;0,Z$5&gt;100),AND(Z$5&gt;0,Z$5&lt;100)),
VLOOKUP(FLOOR(('Final Term'!Z42/Z$5)*100,1),new_transmute,2,FALSE),
VLOOKUP('Final Term'!Z42,new_transmute,2,FALSE)
),
IF(Info!$B$4="Board program",
IF(OR(AND(Z$5&gt;0,Z$5&gt;100),AND(Z$5&gt;0,Z$5&lt;100)),
VLOOKUP(FLOOR(('Final Term'!Z42/Z$5)*100,1),new_transmute,3,FALSE),
VLOOKUP('Final Term'!Z42,new_transmute,3,FALSE)
),
IF(Info!$B$4="Board program (Medicine)",
IF(OR(AND(Z$5&gt;0,Z$5&gt;100),AND(Z$5&gt;0,Z$5&lt;100)),
VLOOKUP(FLOOR(('Final Term'!Z42/Z$5)*100,1),new_transmute,4,FALSE),
VLOOKUP('Final Term'!Z42,new_transmute,4,FALSE)
),
""
)
)
)
)
)
)
)
)
))</f>
        <v/>
      </c>
      <c r="AA42" s="73" t="str">
        <f>IF($B42="","",
IF(AA$5="","",
IF('Final Term'!AA42="",0,
IF(NOT(ISNUMBER('Final Term'!AA42)),"NAN",
IF('Final Term'!AA42&lt;0,"NEG",
IF('Final Term'!AA42&gt;AA$5,"OVER",
IF(AND(AA$5&lt;=100,'Final Term'!AA42&gt;100),"ERR",
IF(Info!$B$4="Non-board program",
IF(OR(AND(AA$5&gt;0,AA$5&gt;100),AND(AA$5&gt;0,AA$5&lt;100)),
VLOOKUP(FLOOR(('Final Term'!AA42/AA$5)*100,1),new_transmute,2,FALSE),
VLOOKUP('Final Term'!AA42,new_transmute,2,FALSE)
),
IF(Info!$B$4="Board program",
IF(OR(AND(AA$5&gt;0,AA$5&gt;100),AND(AA$5&gt;0,AA$5&lt;100)),
VLOOKUP(FLOOR(('Final Term'!AA42/AA$5)*100,1),new_transmute,3,FALSE),
VLOOKUP('Final Term'!AA42,new_transmute,3,FALSE)
),
IF(Info!$B$4="Board program (Medicine)",
IF(OR(AND(AA$5&gt;0,AA$5&gt;100),AND(AA$5&gt;0,AA$5&lt;100)),
VLOOKUP(FLOOR(('Final Term'!AA42/AA$5)*100,1),new_transmute,4,FALSE),
VLOOKUP('Final Term'!AA42,new_transmute,4,FALSE)
),
""
)
)
)
)
)
)
)
)
))</f>
        <v/>
      </c>
      <c r="AB42" s="73" t="str">
        <f>IF($B42="","",
IF(AB$5="","",
IF('Final Term'!AB42="",0,
IF(NOT(ISNUMBER('Final Term'!AB42)),"NAN",
IF('Final Term'!AB42&lt;0,"NEG",
IF('Final Term'!AB42&gt;AB$5,"OVER",
IF(AND(AB$5&lt;=100,'Final Term'!AB42&gt;100),"ERR",
IF(Info!$B$4="Non-board program",
IF(OR(AND(AB$5&gt;0,AB$5&gt;100),AND(AB$5&gt;0,AB$5&lt;100)),
VLOOKUP(FLOOR(('Final Term'!AB42/AB$5)*100,1),new_transmute,2,FALSE),
VLOOKUP('Final Term'!AB42,new_transmute,2,FALSE)
),
IF(Info!$B$4="Board program",
IF(OR(AND(AB$5&gt;0,AB$5&gt;100),AND(AB$5&gt;0,AB$5&lt;100)),
VLOOKUP(FLOOR(('Final Term'!AB42/AB$5)*100,1),new_transmute,3,FALSE),
VLOOKUP('Final Term'!AB42,new_transmute,3,FALSE)
),
IF(Info!$B$4="Board program (Medicine)",
IF(OR(AND(AB$5&gt;0,AB$5&gt;100),AND(AB$5&gt;0,AB$5&lt;100)),
VLOOKUP(FLOOR(('Final Term'!AB42/AB$5)*100,1),new_transmute,4,FALSE),
VLOOKUP('Final Term'!AB42,new_transmute,4,FALSE)
),
""
)
)
)
)
)
)
)
)
))</f>
        <v/>
      </c>
      <c r="AC42" s="73" t="str">
        <f>IF($B42="","",
IF(AC$5="","",
IF('Final Term'!AC42="",0,
IF(NOT(ISNUMBER('Final Term'!AC42)),"NAN",
IF('Final Term'!AC42&lt;0,"NEG",
IF('Final Term'!AC42&gt;AC$5,"OVER",
IF(AND(AC$5&lt;=100,'Final Term'!AC42&gt;100),"ERR",
IF(Info!$B$4="Non-board program",
IF(OR(AND(AC$5&gt;0,AC$5&gt;100),AND(AC$5&gt;0,AC$5&lt;100)),
VLOOKUP(FLOOR(('Final Term'!AC42/AC$5)*100,1),new_transmute,2,FALSE),
VLOOKUP('Final Term'!AC42,new_transmute,2,FALSE)
),
IF(Info!$B$4="Board program",
IF(OR(AND(AC$5&gt;0,AC$5&gt;100),AND(AC$5&gt;0,AC$5&lt;100)),
VLOOKUP(FLOOR(('Final Term'!AC42/AC$5)*100,1),new_transmute,3,FALSE),
VLOOKUP('Final Term'!AC42,new_transmute,3,FALSE)
),
IF(Info!$B$4="Board program (Medicine)",
IF(OR(AND(AC$5&gt;0,AC$5&gt;100),AND(AC$5&gt;0,AC$5&lt;100)),
VLOOKUP(FLOOR(('Final Term'!AC42/AC$5)*100,1),new_transmute,4,FALSE),
VLOOKUP('Final Term'!AC42,new_transmute,4,FALSE)
),
""
)
)
)
)
)
)
)
)
))</f>
        <v/>
      </c>
      <c r="AD42" s="73" t="str">
        <f>IF($B42="","",
IF(AD$5="","",
IF('Final Term'!AD42="",0,
IF(NOT(ISNUMBER('Final Term'!AD42)),"NAN",
IF('Final Term'!AD42&lt;0,"NEG",
IF('Final Term'!AD42&gt;AD$5,"OVER",
IF(AND(AD$5&lt;=100,'Final Term'!AD42&gt;100),"ERR",
IF(Info!$B$4="Non-board program",
IF(OR(AND(AD$5&gt;0,AD$5&gt;100),AND(AD$5&gt;0,AD$5&lt;100)),
VLOOKUP(FLOOR(('Final Term'!AD42/AD$5)*100,1),new_transmute,2,FALSE),
VLOOKUP('Final Term'!AD42,new_transmute,2,FALSE)
),
IF(Info!$B$4="Board program",
IF(OR(AND(AD$5&gt;0,AD$5&gt;100),AND(AD$5&gt;0,AD$5&lt;100)),
VLOOKUP(FLOOR(('Final Term'!AD42/AD$5)*100,1),new_transmute,3,FALSE),
VLOOKUP('Final Term'!AD42,new_transmute,3,FALSE)
),
IF(Info!$B$4="Board program (Medicine)",
IF(OR(AND(AD$5&gt;0,AD$5&gt;100),AND(AD$5&gt;0,AD$5&lt;100)),
VLOOKUP(FLOOR(('Final Term'!AD42/AD$5)*100,1),new_transmute,4,FALSE),
VLOOKUP('Final Term'!AD42,new_transmute,4,FALSE)
),
""
)
)
)
)
)
)
)
)
))</f>
        <v/>
      </c>
      <c r="AE42" s="58" t="str">
        <f t="shared" si="5"/>
        <v/>
      </c>
      <c r="AF42" s="73" t="str">
        <f>IF($B42="","",
IF(AF$5="","",
IF('Final Term'!AF42="",0,
IF(NOT(ISNUMBER('Final Term'!AF42)),"NAN",
IF('Final Term'!AF42&lt;0,"NEG",
IF('Final Term'!AF42&gt;AF$5,"OVER",
IF(AND(AF$5&lt;=100,'Final Term'!AF42&gt;100),"ERR",
IF(Info!$B$4="Non-board program",
IF(OR(AND(AF$5&gt;0,AF$5&gt;100),AND(AF$5&gt;0,AF$5&lt;100)),
VLOOKUP(FLOOR(('Final Term'!AF42/AF$5)*100,1),new_transmute,2,FALSE),
VLOOKUP('Final Term'!AF42,new_transmute,2,FALSE)
),
IF(Info!$B$4="Board program",
IF(OR(AND(AF$5&gt;0,AF$5&gt;100),AND(AF$5&gt;0,AF$5&lt;100)),
VLOOKUP(FLOOR(('Final Term'!AF42/AF$5)*100,1),new_transmute,3,FALSE),
VLOOKUP('Final Term'!AF42,new_transmute,3,FALSE)
),
IF(Info!$B$4="Board program (Medicine)",
IF(OR(AND(AF$5&gt;0,AF$5&gt;100),AND(AF$5&gt;0,AF$5&lt;100)),
VLOOKUP(FLOOR(('Final Term'!AF42/AF$5)*100,1),new_transmute,4,FALSE),
VLOOKUP('Final Term'!AF42,new_transmute,4,FALSE)
),
""
)
)
)
)
)
)
)
)
))</f>
        <v/>
      </c>
      <c r="AG42" s="73" t="str">
        <f>IF($B42="","",
IF(AG$5="","",
IF('Final Term'!AG42="",0,
IF(NOT(ISNUMBER('Final Term'!AG42)),"NAN",
IF('Final Term'!AG42&lt;0,"NEG",
IF('Final Term'!AG42&gt;AG$5,"OVER",
IF(AND(AG$5&lt;=100,'Final Term'!AG42&gt;100),"ERR",
IF(Info!$B$4="Non-board program",
IF(OR(AND(AG$5&gt;0,AG$5&gt;100),AND(AG$5&gt;0,AG$5&lt;100)),
VLOOKUP(FLOOR(('Final Term'!AG42/AG$5)*100,1),new_transmute,2,FALSE),
VLOOKUP('Final Term'!AG42,new_transmute,2,FALSE)
),
IF(Info!$B$4="Board program",
IF(OR(AND(AG$5&gt;0,AG$5&gt;100),AND(AG$5&gt;0,AG$5&lt;100)),
VLOOKUP(FLOOR(('Final Term'!AG42/AG$5)*100,1),new_transmute,3,FALSE),
VLOOKUP('Final Term'!AG42,new_transmute,3,FALSE)
),
IF(Info!$B$4="Board program (Medicine)",
IF(OR(AND(AG$5&gt;0,AG$5&gt;100),AND(AG$5&gt;0,AG$5&lt;100)),
VLOOKUP(FLOOR(('Final Term'!AG42/AG$5)*100,1),new_transmute,4,FALSE),
VLOOKUP('Final Term'!AG42,new_transmute,4,FALSE)
),
""
)
)
)
)
)
)
)
)
))</f>
        <v/>
      </c>
      <c r="AH42" s="73" t="str">
        <f>IF($B42="","",
IF(AH$5="","",
IF('Final Term'!AH42="",0,
IF(NOT(ISNUMBER('Final Term'!AH42)),"NAN",
IF('Final Term'!AH42&lt;0,"NEG",
IF('Final Term'!AH42&gt;AH$5,"OVER",
IF(AND(AH$5&lt;=100,'Final Term'!AH42&gt;100),"ERR",
IF(Info!$B$4="Non-board program",
IF(OR(AND(AH$5&gt;0,AH$5&gt;100),AND(AH$5&gt;0,AH$5&lt;100)),
VLOOKUP(FLOOR(('Final Term'!AH42/AH$5)*100,1),new_transmute,2,FALSE),
VLOOKUP('Final Term'!AH42,new_transmute,2,FALSE)
),
IF(Info!$B$4="Board program",
IF(OR(AND(AH$5&gt;0,AH$5&gt;100),AND(AH$5&gt;0,AH$5&lt;100)),
VLOOKUP(FLOOR(('Final Term'!AH42/AH$5)*100,1),new_transmute,3,FALSE),
VLOOKUP('Final Term'!AH42,new_transmute,3,FALSE)
),
IF(Info!$B$4="Board program (Medicine)",
IF(OR(AND(AH$5&gt;0,AH$5&gt;100),AND(AH$5&gt;0,AH$5&lt;100)),
VLOOKUP(FLOOR(('Final Term'!AH42/AH$5)*100,1),new_transmute,4,FALSE),
VLOOKUP('Final Term'!AH42,new_transmute,4,FALSE)
),
""
)
)
)
)
)
)
)
)
))</f>
        <v/>
      </c>
      <c r="AI42" s="73" t="str">
        <f>IF($B42="","",
IF(AI$5="","",
IF('Final Term'!AI42="",0,
IF(NOT(ISNUMBER('Final Term'!AI42)),"NAN",
IF('Final Term'!AI42&lt;0,"NEG",
IF('Final Term'!AI42&gt;AI$5,"OVER",
IF(AND(AI$5&lt;=100,'Final Term'!AI42&gt;100),"ERR",
IF(Info!$B$4="Non-board program",
IF(OR(AND(AI$5&gt;0,AI$5&gt;100),AND(AI$5&gt;0,AI$5&lt;100)),
VLOOKUP(FLOOR(('Final Term'!AI42/AI$5)*100,1),new_transmute,2,FALSE),
VLOOKUP('Final Term'!AI42,new_transmute,2,FALSE)
),
IF(Info!$B$4="Board program",
IF(OR(AND(AI$5&gt;0,AI$5&gt;100),AND(AI$5&gt;0,AI$5&lt;100)),
VLOOKUP(FLOOR(('Final Term'!AI42/AI$5)*100,1),new_transmute,3,FALSE),
VLOOKUP('Final Term'!AI42,new_transmute,3,FALSE)
),
IF(Info!$B$4="Board program (Medicine)",
IF(OR(AND(AI$5&gt;0,AI$5&gt;100),AND(AI$5&gt;0,AI$5&lt;100)),
VLOOKUP(FLOOR(('Final Term'!AI42/AI$5)*100,1),new_transmute,4,FALSE),
VLOOKUP('Final Term'!AI42,new_transmute,4,FALSE)
),
""
)
)
)
)
)
)
)
)
))</f>
        <v/>
      </c>
      <c r="AJ42" s="73" t="str">
        <f>IF($B42="","",
IF(AJ$5="","",
IF('Final Term'!AJ42="",0,
IF(NOT(ISNUMBER('Final Term'!AJ42)),"NAN",
IF('Final Term'!AJ42&lt;0,"NEG",
IF('Final Term'!AJ42&gt;AJ$5,"OVER",
IF(AND(AJ$5&lt;=100,'Final Term'!AJ42&gt;100),"ERR",
IF(Info!$B$4="Non-board program",
IF(OR(AND(AJ$5&gt;0,AJ$5&gt;100),AND(AJ$5&gt;0,AJ$5&lt;100)),
VLOOKUP(FLOOR(('Final Term'!AJ42/AJ$5)*100,1),new_transmute,2,FALSE),
VLOOKUP('Final Term'!AJ42,new_transmute,2,FALSE)
),
IF(Info!$B$4="Board program",
IF(OR(AND(AJ$5&gt;0,AJ$5&gt;100),AND(AJ$5&gt;0,AJ$5&lt;100)),
VLOOKUP(FLOOR(('Final Term'!AJ42/AJ$5)*100,1),new_transmute,3,FALSE),
VLOOKUP('Final Term'!AJ42,new_transmute,3,FALSE)
),
IF(Info!$B$4="Board program (Medicine)",
IF(OR(AND(AJ$5&gt;0,AJ$5&gt;100),AND(AJ$5&gt;0,AJ$5&lt;100)),
VLOOKUP(FLOOR(('Final Term'!AJ42/AJ$5)*100,1),new_transmute,4,FALSE),
VLOOKUP('Final Term'!AJ42,new_transmute,4,FALSE)
),
""
)
)
)
)
)
)
)
)
))</f>
        <v/>
      </c>
      <c r="AK42" s="59" t="str">
        <f t="shared" si="6"/>
        <v/>
      </c>
      <c r="AL42" s="60" t="str">
        <f>IF(B42="", "",
    IF(OR(M42="OVER", S42="OVER", Y42="OVER", AE42="OVER", AK42="OVER"),
        "OVER",
        IF(Info!$B$4="Non-board program",
            VLOOKUP(IFERROR(FLOOR(SUM((M42*$M$4), (S42*$S$4), (Y42*$Y$4), (AE42*$AE$4), (AK42*$AK$4)) * (100 / 60), 1), 0), new_transmute, 2, FALSE),
            IF(Info!$B$4="Board program",
                VLOOKUP(IFERROR(FLOOR(SUM((M42*$M$4), (S42*$S$4), (Y42*$Y$4), (AE42*$AE$4), (AK42*$AK$4)) * (100 / 60), 1), 0), new_transmute, 3, FALSE),
                IF(Info!$B$4="Board program (Medicine)",
                    VLOOKUP(IFERROR(FLOOR(SUM((M42*$M$4), (S42*$S$4), (Y42*$Y$4), (AE42*$AE$4), (AK42*$AK$4)) * (100 / 60), 1), 0), new_transmute, 4, FALSE),
                    ""
                )
            )
        )
    )
)</f>
        <v/>
      </c>
      <c r="AM42" s="73" t="str">
        <f>IF($B42="","",
IF(AM$5="","",
IF('Final Term'!AM42="",0,
IF(NOT(ISNUMBER('Final Term'!AM42)),"NAN",
IF('Final Term'!AM42&lt;0,"NEG",
IF('Final Term'!AM42&gt;AM$5,"OVER",
IF(AND(AM$5&lt;=100,'Final Term'!AM42&gt;100),"ERR",
IF(Info!$B$4="Non-board program",
IF(OR(AND(AM$5&gt;0,AM$5&gt;100),AND(AM$5&gt;0,AM$5&lt;100)),
VLOOKUP(FLOOR(('Final Term'!AM42/AM$5)*100,1),new_transmute,2,FALSE),
VLOOKUP('Final Term'!AM42,new_transmute,2,FALSE)
),
IF(Info!$B$4="Board program",
IF(OR(AND(AM$5&gt;0,AM$5&gt;100),AND(AM$5&gt;0,AM$5&lt;100)),
VLOOKUP(FLOOR(('Final Term'!AM42/AM$5)*100,1),new_transmute,3,FALSE),
VLOOKUP('Final Term'!AM42,new_transmute,3,FALSE)
),
IF(Info!$B$4="Board program (Medicine)",
IF(OR(AND(AM$5&gt;0,AM$5&gt;100),AND(AM$5&gt;0,AM$5&lt;100)),
VLOOKUP(FLOOR(('Final Term'!AM42/AM$5)*100,1),new_transmute,4,FALSE),
VLOOKUP('Final Term'!AM42,new_transmute,4,FALSE)
),
""
)
)
)
)
)
)
)
)
))</f>
        <v/>
      </c>
      <c r="AN42" s="73" t="str">
        <f>IF($B42="","",
IF(AN$5="","",
IF('Final Term'!AN42="",0,
IF(NOT(ISNUMBER('Final Term'!AN42)),"NAN",
IF('Final Term'!AN42&lt;0,"NEG",
IF('Final Term'!AN42&gt;AN$5,"OVER",
IF(AND(AN$5&lt;=100,'Final Term'!AN42&gt;100),"ERR",
IF(Info!$B$4="Non-board program",
IF(OR(AND(AN$5&gt;0,AN$5&gt;100),AND(AN$5&gt;0,AN$5&lt;100)),
VLOOKUP(FLOOR(('Final Term'!AN42/AN$5)*100,1),new_transmute,2,FALSE),
VLOOKUP('Final Term'!AN42,new_transmute,2,FALSE)
),
IF(Info!$B$4="Board program",
IF(OR(AND(AN$5&gt;0,AN$5&gt;100),AND(AN$5&gt;0,AN$5&lt;100)),
VLOOKUP(FLOOR(('Final Term'!AN42/AN$5)*100,1),new_transmute,3,FALSE),
VLOOKUP('Final Term'!AN42,new_transmute,3,FALSE)
),
IF(Info!$B$4="Board program (Medicine)",
IF(OR(AND(AN$5&gt;0,AN$5&gt;100),AND(AN$5&gt;0,AN$5&lt;100)),
VLOOKUP(FLOOR(('Final Term'!AN42/AN$5)*100,1),new_transmute,4,FALSE),
VLOOKUP('Final Term'!AN42,new_transmute,4,FALSE)
),
""
)
)
)
)
)
)
)
)
))</f>
        <v/>
      </c>
      <c r="AO42" s="73" t="str">
        <f>IF($B42="","",
IF(AO$5="","",
IF('Final Term'!AO42="",0,
IF(NOT(ISNUMBER('Final Term'!AO42)),"NAN",
IF('Final Term'!AO42&lt;0,"NEG",
IF('Final Term'!AO42&gt;AO$5,"OVER",
IF(AND(AO$5&lt;=100,'Final Term'!AO42&gt;100),"ERR",
IF(Info!$B$4="Non-board program",
IF(OR(AND(AO$5&gt;0,AO$5&gt;100),AND(AO$5&gt;0,AO$5&lt;100)),
VLOOKUP(FLOOR(('Final Term'!AO42/AO$5)*100,1),new_transmute,2,FALSE),
VLOOKUP('Final Term'!AO42,new_transmute,2,FALSE)
),
IF(Info!$B$4="Board program",
IF(OR(AND(AO$5&gt;0,AO$5&gt;100),AND(AO$5&gt;0,AO$5&lt;100)),
VLOOKUP(FLOOR(('Final Term'!AO42/AO$5)*100,1),new_transmute,3,FALSE),
VLOOKUP('Final Term'!AO42,new_transmute,3,FALSE)
),
IF(Info!$B$4="Board program (Medicine)",
IF(OR(AND(AO$5&gt;0,AO$5&gt;100),AND(AO$5&gt;0,AO$5&lt;100)),
VLOOKUP(FLOOR(('Final Term'!AO42/AO$5)*100,1),new_transmute,4,FALSE),
VLOOKUP('Final Term'!AO42,new_transmute,4,FALSE)
),
""
)
)
)
)
)
)
)
)
))</f>
        <v/>
      </c>
      <c r="AP42" s="73" t="str">
        <f>IF($B42="","",
IF(AP$5="","",
IF('Final Term'!AP42="",0,
IF(NOT(ISNUMBER('Final Term'!AP42)),"NAN",
IF('Final Term'!AP42&lt;0,"NEG",
IF('Final Term'!AP42&gt;AP$5,"OVER",
IF(AND(AP$5&lt;=100,'Final Term'!AP42&gt;100),"ERR",
IF(Info!$B$4="Non-board program",
IF(OR(AND(AP$5&gt;0,AP$5&gt;100),AND(AP$5&gt;0,AP$5&lt;100)),
VLOOKUP(FLOOR(('Final Term'!AP42/AP$5)*100,1),new_transmute,2,FALSE),
VLOOKUP('Final Term'!AP42,new_transmute,2,FALSE)
),
IF(Info!$B$4="Board program",
IF(OR(AND(AP$5&gt;0,AP$5&gt;100),AND(AP$5&gt;0,AP$5&lt;100)),
VLOOKUP(FLOOR(('Final Term'!AP42/AP$5)*100,1),new_transmute,3,FALSE),
VLOOKUP('Final Term'!AP42,new_transmute,3,FALSE)
),
IF(Info!$B$4="Board program (Medicine)",
IF(OR(AND(AP$5&gt;0,AP$5&gt;100),AND(AP$5&gt;0,AP$5&lt;100)),
VLOOKUP(FLOOR(('Final Term'!AP42/AP$5)*100,1),new_transmute,4,FALSE),
VLOOKUP('Final Term'!AP42,new_transmute,4,FALSE)
),
""
)
)
)
)
)
)
)
)
))</f>
        <v/>
      </c>
      <c r="AQ42" s="61" t="str">
        <f t="shared" si="7"/>
        <v/>
      </c>
      <c r="AR42" s="48" t="str">
        <f>IF('Final Term'!AR42="","",'Final Term'!AR42)</f>
        <v/>
      </c>
      <c r="AS42" s="165" t="str">
        <f t="shared" si="8"/>
        <v/>
      </c>
      <c r="AT42" s="14" t="str">
        <f t="shared" si="9"/>
        <v/>
      </c>
      <c r="AU42" s="13" t="str">
        <f>IF(B42="","",VLOOKUP(AT42,'New Grade Equivalent'!$B$3:$C$47,2,FALSE))</f>
        <v/>
      </c>
    </row>
    <row r="43" spans="1:47" x14ac:dyDescent="0.25">
      <c r="A43" s="8">
        <v>38</v>
      </c>
      <c r="B43" s="2" t="str">
        <f>IF('Student List'!C47="","",UPPER(LEFT('Student List'!C47,FIND(",",'Student List'!C47)-1)))</f>
        <v/>
      </c>
      <c r="C43" s="12" t="str">
        <f>IF('Student List'!C47="","",PROPER(MID('Student List'!C47, FIND(",", 'Student List'!C47) + 2, LEN('Student List'!C47) - FIND(",", 'Student List'!C47) - 1)))</f>
        <v/>
      </c>
      <c r="D43" s="127" t="str">
        <f>IF('Final Term'!D43="","",'Final Term'!D43)</f>
        <v/>
      </c>
      <c r="E43" s="8" t="str">
        <f>IF(MidCom!E43="FA", "FA",
    IF(MidCom!E43="DRP", "DRP",
        IF(MidCom!E43="WF", "WF",
            IF(D43="Yes", "INC",
               IF((SUM('MT Attendance'!AW41) / 3 + SUM('MT Attendance'!AY41) + SUM('FT Attendance'!AW41) / 3 + SUM('FT Attendance'!AY41)) &gt;= 0.2 * (SUMPRODUCT(--(ISTEXT('MT Attendance'!$C$2:$AU$2))) + SUMPRODUCT(--(ISTEXT('FT Attendance'!$C$2:$AU$2)))), "FA",
                   MidCom!E43
                )
            )
        )
    )
)</f>
        <v/>
      </c>
      <c r="F43" s="73" t="str">
        <f>IF($B43="","",
IF(F$5="","",
IF('Final Term'!F43="",0,
IF(NOT(ISNUMBER('Final Term'!F43)),"NAN",
IF('Final Term'!F43&lt;0,"NEG",
IF('Final Term'!F43&gt;F$5,"OVER",
IF(AND(F$5&lt;=100,'Final Term'!F43&gt;100),"ERR",
IF(Info!$B$4="Non-board program",
IF(OR(AND(F$5&gt;0,F$5&gt;100),AND(F$5&gt;0,F$5&lt;100)),
VLOOKUP(FLOOR(('Final Term'!F43/F$5)*100,1),new_transmute,2,FALSE),
VLOOKUP('Final Term'!F43,new_transmute,2,FALSE)
),
IF(Info!$B$4="Board program",
IF(OR(AND(F$5&gt;0,F$5&gt;100),AND(F$5&gt;0,F$5&lt;100)),
VLOOKUP(FLOOR(('Final Term'!F43/F$5)*100,1),new_transmute,3,FALSE),
VLOOKUP('Final Term'!F43,new_transmute,3,FALSE)
),
IF(Info!$B$4="Board program (Medicine)",
IF(OR(AND(F$5&gt;0,F$5&gt;100),AND(F$5&gt;0,F$5&lt;100)),
VLOOKUP(FLOOR(('Final Term'!F43/F$5)*100,1),new_transmute,4,FALSE),
VLOOKUP('Final Term'!F43,new_transmute,4,FALSE)
),
""
)
)
)
)
)
)
)
)
))</f>
        <v/>
      </c>
      <c r="G43" s="57" t="str">
        <f t="shared" si="1"/>
        <v/>
      </c>
      <c r="H43" s="73" t="str">
        <f>IF($B43="","",
IF(H$5="","",
IF('Final Term'!H43="",0,
IF(NOT(ISNUMBER('Final Term'!H43)),"NAN",
IF('Final Term'!H43&lt;0,"NEG",
IF('Final Term'!H43&gt;H$5,"OVER",
IF(AND(H$5&lt;=100,'Final Term'!H43&gt;100),"ERR",
IF(Info!$B$4="Non-board program",
IF(OR(AND(H$5&gt;0,H$5&gt;100),AND(H$5&gt;0,H$5&lt;100)),
VLOOKUP(FLOOR(('Final Term'!H43/H$5)*100,1),new_transmute,2,FALSE),
VLOOKUP('Final Term'!H43,new_transmute,2,FALSE)
),
IF(Info!$B$4="Board program",
IF(OR(AND(H$5&gt;0,H$5&gt;100),AND(H$5&gt;0,H$5&lt;100)),
VLOOKUP(FLOOR(('Final Term'!H43/H$5)*100,1),new_transmute,3,FALSE),
VLOOKUP('Final Term'!H43,new_transmute,3,FALSE)
),
IF(Info!$B$4="Board program (Medicine)",
IF(OR(AND(H$5&gt;0,H$5&gt;100),AND(H$5&gt;0,H$5&lt;100)),
VLOOKUP(FLOOR(('Final Term'!H43/H$5)*100,1),new_transmute,4,FALSE),
VLOOKUP('Final Term'!H43,new_transmute,4,FALSE)
),
""
)
)
)
)
)
)
)
)
))</f>
        <v/>
      </c>
      <c r="I43" s="73" t="str">
        <f>IF($B43="","",
IF(I$5="","",
IF('Final Term'!I43="",0,
IF(NOT(ISNUMBER('Final Term'!I43)),"NAN",
IF('Final Term'!I43&lt;0,"NEG",
IF('Final Term'!I43&gt;I$5,"OVER",
IF(AND(I$5&lt;=100,'Final Term'!I43&gt;100),"ERR",
IF(Info!$B$4="Non-board program",
IF(OR(AND(I$5&gt;0,I$5&gt;100),AND(I$5&gt;0,I$5&lt;100)),
VLOOKUP(FLOOR(('Final Term'!I43/I$5)*100,1),new_transmute,2,FALSE),
VLOOKUP('Final Term'!I43,new_transmute,2,FALSE)
),
IF(Info!$B$4="Board program",
IF(OR(AND(I$5&gt;0,I$5&gt;100),AND(I$5&gt;0,I$5&lt;100)),
VLOOKUP(FLOOR(('Final Term'!I43/I$5)*100,1),new_transmute,3,FALSE),
VLOOKUP('Final Term'!I43,new_transmute,3,FALSE)
),
IF(Info!$B$4="Board program (Medicine)",
IF(OR(AND(I$5&gt;0,I$5&gt;100),AND(I$5&gt;0,I$5&lt;100)),
VLOOKUP(FLOOR(('Final Term'!I43/I$5)*100,1),new_transmute,4,FALSE),
VLOOKUP('Final Term'!I43,new_transmute,4,FALSE)
),
""
)
)
)
)
)
)
)
)
))</f>
        <v/>
      </c>
      <c r="J43" s="73" t="str">
        <f>IF($B43="","",
IF(J$5="","",
IF('Final Term'!J43="",0,
IF(NOT(ISNUMBER('Final Term'!J43)),"NAN",
IF('Final Term'!J43&lt;0,"NEG",
IF('Final Term'!J43&gt;J$5,"OVER",
IF(AND(J$5&lt;=100,'Final Term'!J43&gt;100),"ERR",
IF(Info!$B$4="Non-board program",
IF(OR(AND(J$5&gt;0,J$5&gt;100),AND(J$5&gt;0,J$5&lt;100)),
VLOOKUP(FLOOR(('Final Term'!J43/J$5)*100,1),new_transmute,2,FALSE),
VLOOKUP('Final Term'!J43,new_transmute,2,FALSE)
),
IF(Info!$B$4="Board program",
IF(OR(AND(J$5&gt;0,J$5&gt;100),AND(J$5&gt;0,J$5&lt;100)),
VLOOKUP(FLOOR(('Final Term'!J43/J$5)*100,1),new_transmute,3,FALSE),
VLOOKUP('Final Term'!J43,new_transmute,3,FALSE)
),
IF(Info!$B$4="Board program (Medicine)",
IF(OR(AND(J$5&gt;0,J$5&gt;100),AND(J$5&gt;0,J$5&lt;100)),
VLOOKUP(FLOOR(('Final Term'!J43/J$5)*100,1),new_transmute,4,FALSE),
VLOOKUP('Final Term'!J43,new_transmute,4,FALSE)
),
""
)
)
)
)
)
)
)
)
))</f>
        <v/>
      </c>
      <c r="K43" s="73" t="str">
        <f>IF($B43="","",
IF(K$5="","",
IF('Final Term'!K43="",0,
IF(NOT(ISNUMBER('Final Term'!K43)),"NAN",
IF('Final Term'!K43&lt;0,"NEG",
IF('Final Term'!K43&gt;K$5,"OVER",
IF(AND(K$5&lt;=100,'Final Term'!K43&gt;100),"ERR",
IF(Info!$B$4="Non-board program",
IF(OR(AND(K$5&gt;0,K$5&gt;100),AND(K$5&gt;0,K$5&lt;100)),
VLOOKUP(FLOOR(('Final Term'!K43/K$5)*100,1),new_transmute,2,FALSE),
VLOOKUP('Final Term'!K43,new_transmute,2,FALSE)
),
IF(Info!$B$4="Board program",
IF(OR(AND(K$5&gt;0,K$5&gt;100),AND(K$5&gt;0,K$5&lt;100)),
VLOOKUP(FLOOR(('Final Term'!K43/K$5)*100,1),new_transmute,3,FALSE),
VLOOKUP('Final Term'!K43,new_transmute,3,FALSE)
),
IF(Info!$B$4="Board program (Medicine)",
IF(OR(AND(K$5&gt;0,K$5&gt;100),AND(K$5&gt;0,K$5&lt;100)),
VLOOKUP(FLOOR(('Final Term'!K43/K$5)*100,1),new_transmute,4,FALSE),
VLOOKUP('Final Term'!K43,new_transmute,4,FALSE)
),
""
)
)
)
)
)
)
)
)
))</f>
        <v/>
      </c>
      <c r="L43" s="73" t="str">
        <f>IF($B43="","",
IF(L$5="","",
IF('Final Term'!L43="",0,
IF(NOT(ISNUMBER('Final Term'!L43)),"NAN",
IF('Final Term'!L43&lt;0,"NEG",
IF('Final Term'!L43&gt;L$5,"OVER",
IF(AND(L$5&lt;=100,'Final Term'!L43&gt;100),"ERR",
IF(Info!$B$4="Non-board program",
IF(OR(AND(L$5&gt;0,L$5&gt;100),AND(L$5&gt;0,L$5&lt;100)),
VLOOKUP(FLOOR(('Final Term'!L43/L$5)*100,1),new_transmute,2,FALSE),
VLOOKUP('Final Term'!L43,new_transmute,2,FALSE)
),
IF(Info!$B$4="Board program",
IF(OR(AND(L$5&gt;0,L$5&gt;100),AND(L$5&gt;0,L$5&lt;100)),
VLOOKUP(FLOOR(('Final Term'!L43/L$5)*100,1),new_transmute,3,FALSE),
VLOOKUP('Final Term'!L43,new_transmute,3,FALSE)
),
IF(Info!$B$4="Board program (Medicine)",
IF(OR(AND(L$5&gt;0,L$5&gt;100),AND(L$5&gt;0,L$5&lt;100)),
VLOOKUP(FLOOR(('Final Term'!L43/L$5)*100,1),new_transmute,4,FALSE),
VLOOKUP('Final Term'!L43,new_transmute,4,FALSE)
),
""
)
)
)
)
)
)
)
)
))</f>
        <v/>
      </c>
      <c r="M43" s="111" t="str">
        <f t="shared" si="2"/>
        <v/>
      </c>
      <c r="N43" s="73" t="str">
        <f>IF($B43="","",
IF(N$5="","",
IF('Final Term'!N43="",0,
IF(NOT(ISNUMBER('Final Term'!N43)),"NAN",
IF('Final Term'!N43&lt;0,"NEG",
IF('Final Term'!N43&gt;N$5,"OVER",
IF(AND(N$5&lt;=100,'Final Term'!N43&gt;100),"ERR",
IF(Info!$B$4="Non-board program",
IF(OR(AND(N$5&gt;0,N$5&gt;100),AND(N$5&gt;0,N$5&lt;100)),
VLOOKUP(FLOOR(('Final Term'!N43/N$5)*100,1),new_transmute,2,FALSE),
VLOOKUP('Final Term'!N43,new_transmute,2,FALSE)
),
IF(Info!$B$4="Board program",
IF(OR(AND(N$5&gt;0,N$5&gt;100),AND(N$5&gt;0,N$5&lt;100)),
VLOOKUP(FLOOR(('Final Term'!N43/N$5)*100,1),new_transmute,3,FALSE),
VLOOKUP('Final Term'!N43,new_transmute,3,FALSE)
),
IF(Info!$B$4="Board program (Medicine)",
IF(OR(AND(N$5&gt;0,N$5&gt;100),AND(N$5&gt;0,N$5&lt;100)),
VLOOKUP(FLOOR(('Final Term'!N43/N$5)*100,1),new_transmute,4,FALSE),
VLOOKUP('Final Term'!N43,new_transmute,4,FALSE)
),
""
)
)
)
)
)
)
)
)
))</f>
        <v/>
      </c>
      <c r="O43" s="73" t="str">
        <f>IF($B43="","",
IF(O$5="","",
IF('Final Term'!O43="",0,
IF(NOT(ISNUMBER('Final Term'!O43)),"NAN",
IF('Final Term'!O43&lt;0,"NEG",
IF('Final Term'!O43&gt;O$5,"OVER",
IF(AND(O$5&lt;=100,'Final Term'!O43&gt;100),"ERR",
IF(Info!$B$4="Non-board program",
IF(OR(AND(O$5&gt;0,O$5&gt;100),AND(O$5&gt;0,O$5&lt;100)),
VLOOKUP(FLOOR(('Final Term'!O43/O$5)*100,1),new_transmute,2,FALSE),
VLOOKUP('Final Term'!O43,new_transmute,2,FALSE)
),
IF(Info!$B$4="Board program",
IF(OR(AND(O$5&gt;0,O$5&gt;100),AND(O$5&gt;0,O$5&lt;100)),
VLOOKUP(FLOOR(('Final Term'!O43/O$5)*100,1),new_transmute,3,FALSE),
VLOOKUP('Final Term'!O43,new_transmute,3,FALSE)
),
IF(Info!$B$4="Board program (Medicine)",
IF(OR(AND(O$5&gt;0,O$5&gt;100),AND(O$5&gt;0,O$5&lt;100)),
VLOOKUP(FLOOR(('Final Term'!O43/O$5)*100,1),new_transmute,4,FALSE),
VLOOKUP('Final Term'!O43,new_transmute,4,FALSE)
),
""
)
)
)
)
)
)
)
)
))</f>
        <v/>
      </c>
      <c r="P43" s="73" t="str">
        <f>IF($B43="","",
IF(P$5="","",
IF('Final Term'!P43="",0,
IF(NOT(ISNUMBER('Final Term'!P43)),"NAN",
IF('Final Term'!P43&lt;0,"NEG",
IF('Final Term'!P43&gt;P$5,"OVER",
IF(AND(P$5&lt;=100,'Final Term'!P43&gt;100),"ERR",
IF(Info!$B$4="Non-board program",
IF(OR(AND(P$5&gt;0,P$5&gt;100),AND(P$5&gt;0,P$5&lt;100)),
VLOOKUP(FLOOR(('Final Term'!P43/P$5)*100,1),new_transmute,2,FALSE),
VLOOKUP('Final Term'!P43,new_transmute,2,FALSE)
),
IF(Info!$B$4="Board program",
IF(OR(AND(P$5&gt;0,P$5&gt;100),AND(P$5&gt;0,P$5&lt;100)),
VLOOKUP(FLOOR(('Final Term'!P43/P$5)*100,1),new_transmute,3,FALSE),
VLOOKUP('Final Term'!P43,new_transmute,3,FALSE)
),
IF(Info!$B$4="Board program (Medicine)",
IF(OR(AND(P$5&gt;0,P$5&gt;100),AND(P$5&gt;0,P$5&lt;100)),
VLOOKUP(FLOOR(('Final Term'!P43/P$5)*100,1),new_transmute,4,FALSE),
VLOOKUP('Final Term'!P43,new_transmute,4,FALSE)
),
""
)
)
)
)
)
)
)
)
))</f>
        <v/>
      </c>
      <c r="Q43" s="73" t="str">
        <f>IF($B43="","",
IF(Q$5="","",
IF('Final Term'!Q43="",0,
IF(NOT(ISNUMBER('Final Term'!Q43)),"NAN",
IF('Final Term'!Q43&lt;0,"NEG",
IF('Final Term'!Q43&gt;Q$5,"OVER",
IF(AND(Q$5&lt;=100,'Final Term'!Q43&gt;100),"ERR",
IF(Info!$B$4="Non-board program",
IF(OR(AND(Q$5&gt;0,Q$5&gt;100),AND(Q$5&gt;0,Q$5&lt;100)),
VLOOKUP(FLOOR(('Final Term'!Q43/Q$5)*100,1),new_transmute,2,FALSE),
VLOOKUP('Final Term'!Q43,new_transmute,2,FALSE)
),
IF(Info!$B$4="Board program",
IF(OR(AND(Q$5&gt;0,Q$5&gt;100),AND(Q$5&gt;0,Q$5&lt;100)),
VLOOKUP(FLOOR(('Final Term'!Q43/Q$5)*100,1),new_transmute,3,FALSE),
VLOOKUP('Final Term'!Q43,new_transmute,3,FALSE)
),
IF(Info!$B$4="Board program (Medicine)",
IF(OR(AND(Q$5&gt;0,Q$5&gt;100),AND(Q$5&gt;0,Q$5&lt;100)),
VLOOKUP(FLOOR(('Final Term'!Q43/Q$5)*100,1),new_transmute,4,FALSE),
VLOOKUP('Final Term'!Q43,new_transmute,4,FALSE)
),
""
)
)
)
)
)
)
)
)
))</f>
        <v/>
      </c>
      <c r="R43" s="73" t="str">
        <f>IF($B43="","",
IF(R$5="","",
IF('Final Term'!R43="",0,
IF(NOT(ISNUMBER('Final Term'!R43)),"NAN",
IF('Final Term'!R43&lt;0,"NEG",
IF('Final Term'!R43&gt;R$5,"OVER",
IF(AND(R$5&lt;=100,'Final Term'!R43&gt;100),"ERR",
IF(Info!$B$4="Non-board program",
IF(OR(AND(R$5&gt;0,R$5&gt;100),AND(R$5&gt;0,R$5&lt;100)),
VLOOKUP(FLOOR(('Final Term'!R43/R$5)*100,1),new_transmute,2,FALSE),
VLOOKUP('Final Term'!R43,new_transmute,2,FALSE)
),
IF(Info!$B$4="Board program",
IF(OR(AND(R$5&gt;0,R$5&gt;100),AND(R$5&gt;0,R$5&lt;100)),
VLOOKUP(FLOOR(('Final Term'!R43/R$5)*100,1),new_transmute,3,FALSE),
VLOOKUP('Final Term'!R43,new_transmute,3,FALSE)
),
IF(Info!$B$4="Board program (Medicine)",
IF(OR(AND(R$5&gt;0,R$5&gt;100),AND(R$5&gt;0,R$5&lt;100)),
VLOOKUP(FLOOR(('Final Term'!R43/R$5)*100,1),new_transmute,4,FALSE),
VLOOKUP('Final Term'!R43,new_transmute,4,FALSE)
),
""
)
)
)
)
)
)
)
)
))</f>
        <v/>
      </c>
      <c r="S43" s="115" t="str">
        <f t="shared" si="3"/>
        <v/>
      </c>
      <c r="T43" s="73" t="str">
        <f>IF($B43="","",
IF(T$5="","",
IF('Final Term'!T43="",0,
IF(NOT(ISNUMBER('Final Term'!T43)),"NAN",
IF('Final Term'!T43&lt;0,"NEG",
IF('Final Term'!T43&gt;T$5,"OVER",
IF(AND(T$5&lt;=100,'Final Term'!T43&gt;100),"ERR",
IF(Info!$B$4="Non-board program",
IF(OR(AND(T$5&gt;0,T$5&gt;100),AND(T$5&gt;0,T$5&lt;100)),
VLOOKUP(FLOOR(('Final Term'!T43/T$5)*100,1),new_transmute,2,FALSE),
VLOOKUP('Final Term'!T43,new_transmute,2,FALSE)
),
IF(Info!$B$4="Board program",
IF(OR(AND(T$5&gt;0,T$5&gt;100),AND(T$5&gt;0,T$5&lt;100)),
VLOOKUP(FLOOR(('Final Term'!T43/T$5)*100,1),new_transmute,3,FALSE),
VLOOKUP('Final Term'!T43,new_transmute,3,FALSE)
),
IF(Info!$B$4="Board program (Medicine)",
IF(OR(AND(T$5&gt;0,T$5&gt;100),AND(T$5&gt;0,T$5&lt;100)),
VLOOKUP(FLOOR(('Final Term'!T43/T$5)*100,1),new_transmute,4,FALSE),
VLOOKUP('Final Term'!T43,new_transmute,4,FALSE)
),
""
)
)
)
)
)
)
)
)
))</f>
        <v/>
      </c>
      <c r="U43" s="73" t="str">
        <f>IF($B43="","",
IF(U$5="","",
IF('Final Term'!U43="",0,
IF(NOT(ISNUMBER('Final Term'!U43)),"NAN",
IF('Final Term'!U43&lt;0,"NEG",
IF('Final Term'!U43&gt;U$5,"OVER",
IF(AND(U$5&lt;=100,'Final Term'!U43&gt;100),"ERR",
IF(Info!$B$4="Non-board program",
IF(OR(AND(U$5&gt;0,U$5&gt;100),AND(U$5&gt;0,U$5&lt;100)),
VLOOKUP(FLOOR(('Final Term'!U43/U$5)*100,1),new_transmute,2,FALSE),
VLOOKUP('Final Term'!U43,new_transmute,2,FALSE)
),
IF(Info!$B$4="Board program",
IF(OR(AND(U$5&gt;0,U$5&gt;100),AND(U$5&gt;0,U$5&lt;100)),
VLOOKUP(FLOOR(('Final Term'!U43/U$5)*100,1),new_transmute,3,FALSE),
VLOOKUP('Final Term'!U43,new_transmute,3,FALSE)
),
IF(Info!$B$4="Board program (Medicine)",
IF(OR(AND(U$5&gt;0,U$5&gt;100),AND(U$5&gt;0,U$5&lt;100)),
VLOOKUP(FLOOR(('Final Term'!U43/U$5)*100,1),new_transmute,4,FALSE),
VLOOKUP('Final Term'!U43,new_transmute,4,FALSE)
),
""
)
)
)
)
)
)
)
)
))</f>
        <v/>
      </c>
      <c r="V43" s="73" t="str">
        <f>IF($B43="","",
IF(V$5="","",
IF('Final Term'!V43="",0,
IF(NOT(ISNUMBER('Final Term'!V43)),"NAN",
IF('Final Term'!V43&lt;0,"NEG",
IF('Final Term'!V43&gt;V$5,"OVER",
IF(AND(V$5&lt;=100,'Final Term'!V43&gt;100),"ERR",
IF(Info!$B$4="Non-board program",
IF(OR(AND(V$5&gt;0,V$5&gt;100),AND(V$5&gt;0,V$5&lt;100)),
VLOOKUP(FLOOR(('Final Term'!V43/V$5)*100,1),new_transmute,2,FALSE),
VLOOKUP('Final Term'!V43,new_transmute,2,FALSE)
),
IF(Info!$B$4="Board program",
IF(OR(AND(V$5&gt;0,V$5&gt;100),AND(V$5&gt;0,V$5&lt;100)),
VLOOKUP(FLOOR(('Final Term'!V43/V$5)*100,1),new_transmute,3,FALSE),
VLOOKUP('Final Term'!V43,new_transmute,3,FALSE)
),
IF(Info!$B$4="Board program (Medicine)",
IF(OR(AND(V$5&gt;0,V$5&gt;100),AND(V$5&gt;0,V$5&lt;100)),
VLOOKUP(FLOOR(('Final Term'!V43/V$5)*100,1),new_transmute,4,FALSE),
VLOOKUP('Final Term'!V43,new_transmute,4,FALSE)
),
""
)
)
)
)
)
)
)
)
))</f>
        <v/>
      </c>
      <c r="W43" s="73" t="str">
        <f>IF($B43="","",
IF(W$5="","",
IF('Final Term'!W43="",0,
IF(NOT(ISNUMBER('Final Term'!W43)),"NAN",
IF('Final Term'!W43&lt;0,"NEG",
IF('Final Term'!W43&gt;W$5,"OVER",
IF(AND(W$5&lt;=100,'Final Term'!W43&gt;100),"ERR",
IF(Info!$B$4="Non-board program",
IF(OR(AND(W$5&gt;0,W$5&gt;100),AND(W$5&gt;0,W$5&lt;100)),
VLOOKUP(FLOOR(('Final Term'!W43/W$5)*100,1),new_transmute,2,FALSE),
VLOOKUP('Final Term'!W43,new_transmute,2,FALSE)
),
IF(Info!$B$4="Board program",
IF(OR(AND(W$5&gt;0,W$5&gt;100),AND(W$5&gt;0,W$5&lt;100)),
VLOOKUP(FLOOR(('Final Term'!W43/W$5)*100,1),new_transmute,3,FALSE),
VLOOKUP('Final Term'!W43,new_transmute,3,FALSE)
),
IF(Info!$B$4="Board program (Medicine)",
IF(OR(AND(W$5&gt;0,W$5&gt;100),AND(W$5&gt;0,W$5&lt;100)),
VLOOKUP(FLOOR(('Final Term'!W43/W$5)*100,1),new_transmute,4,FALSE),
VLOOKUP('Final Term'!W43,new_transmute,4,FALSE)
),
""
)
)
)
)
)
)
)
)
))</f>
        <v/>
      </c>
      <c r="X43" s="73" t="str">
        <f>IF($B43="","",
IF(X$5="","",
IF('Final Term'!X43="",0,
IF(NOT(ISNUMBER('Final Term'!X43)),"NAN",
IF('Final Term'!X43&lt;0,"NEG",
IF('Final Term'!X43&gt;X$5,"OVER",
IF(AND(X$5&lt;=100,'Final Term'!X43&gt;100),"ERR",
IF(Info!$B$4="Non-board program",
IF(OR(AND(X$5&gt;0,X$5&gt;100),AND(X$5&gt;0,X$5&lt;100)),
VLOOKUP(FLOOR(('Final Term'!X43/X$5)*100,1),new_transmute,2,FALSE),
VLOOKUP('Final Term'!X43,new_transmute,2,FALSE)
),
IF(Info!$B$4="Board program",
IF(OR(AND(X$5&gt;0,X$5&gt;100),AND(X$5&gt;0,X$5&lt;100)),
VLOOKUP(FLOOR(('Final Term'!X43/X$5)*100,1),new_transmute,3,FALSE),
VLOOKUP('Final Term'!X43,new_transmute,3,FALSE)
),
IF(Info!$B$4="Board program (Medicine)",
IF(OR(AND(X$5&gt;0,X$5&gt;100),AND(X$5&gt;0,X$5&lt;100)),
VLOOKUP(FLOOR(('Final Term'!X43/X$5)*100,1),new_transmute,4,FALSE),
VLOOKUP('Final Term'!X43,new_transmute,4,FALSE)
),
""
)
)
)
)
)
)
)
)
))</f>
        <v/>
      </c>
      <c r="Y43" s="112" t="str">
        <f t="shared" si="4"/>
        <v/>
      </c>
      <c r="Z43" s="73" t="str">
        <f>IF($B43="","",
IF(Z$5="","",
IF('Final Term'!Z43="",0,
IF(NOT(ISNUMBER('Final Term'!Z43)),"NAN",
IF('Final Term'!Z43&lt;0,"NEG",
IF('Final Term'!Z43&gt;Z$5,"OVER",
IF(AND(Z$5&lt;=100,'Final Term'!Z43&gt;100),"ERR",
IF(Info!$B$4="Non-board program",
IF(OR(AND(Z$5&gt;0,Z$5&gt;100),AND(Z$5&gt;0,Z$5&lt;100)),
VLOOKUP(FLOOR(('Final Term'!Z43/Z$5)*100,1),new_transmute,2,FALSE),
VLOOKUP('Final Term'!Z43,new_transmute,2,FALSE)
),
IF(Info!$B$4="Board program",
IF(OR(AND(Z$5&gt;0,Z$5&gt;100),AND(Z$5&gt;0,Z$5&lt;100)),
VLOOKUP(FLOOR(('Final Term'!Z43/Z$5)*100,1),new_transmute,3,FALSE),
VLOOKUP('Final Term'!Z43,new_transmute,3,FALSE)
),
IF(Info!$B$4="Board program (Medicine)",
IF(OR(AND(Z$5&gt;0,Z$5&gt;100),AND(Z$5&gt;0,Z$5&lt;100)),
VLOOKUP(FLOOR(('Final Term'!Z43/Z$5)*100,1),new_transmute,4,FALSE),
VLOOKUP('Final Term'!Z43,new_transmute,4,FALSE)
),
""
)
)
)
)
)
)
)
)
))</f>
        <v/>
      </c>
      <c r="AA43" s="73" t="str">
        <f>IF($B43="","",
IF(AA$5="","",
IF('Final Term'!AA43="",0,
IF(NOT(ISNUMBER('Final Term'!AA43)),"NAN",
IF('Final Term'!AA43&lt;0,"NEG",
IF('Final Term'!AA43&gt;AA$5,"OVER",
IF(AND(AA$5&lt;=100,'Final Term'!AA43&gt;100),"ERR",
IF(Info!$B$4="Non-board program",
IF(OR(AND(AA$5&gt;0,AA$5&gt;100),AND(AA$5&gt;0,AA$5&lt;100)),
VLOOKUP(FLOOR(('Final Term'!AA43/AA$5)*100,1),new_transmute,2,FALSE),
VLOOKUP('Final Term'!AA43,new_transmute,2,FALSE)
),
IF(Info!$B$4="Board program",
IF(OR(AND(AA$5&gt;0,AA$5&gt;100),AND(AA$5&gt;0,AA$5&lt;100)),
VLOOKUP(FLOOR(('Final Term'!AA43/AA$5)*100,1),new_transmute,3,FALSE),
VLOOKUP('Final Term'!AA43,new_transmute,3,FALSE)
),
IF(Info!$B$4="Board program (Medicine)",
IF(OR(AND(AA$5&gt;0,AA$5&gt;100),AND(AA$5&gt;0,AA$5&lt;100)),
VLOOKUP(FLOOR(('Final Term'!AA43/AA$5)*100,1),new_transmute,4,FALSE),
VLOOKUP('Final Term'!AA43,new_transmute,4,FALSE)
),
""
)
)
)
)
)
)
)
)
))</f>
        <v/>
      </c>
      <c r="AB43" s="73" t="str">
        <f>IF($B43="","",
IF(AB$5="","",
IF('Final Term'!AB43="",0,
IF(NOT(ISNUMBER('Final Term'!AB43)),"NAN",
IF('Final Term'!AB43&lt;0,"NEG",
IF('Final Term'!AB43&gt;AB$5,"OVER",
IF(AND(AB$5&lt;=100,'Final Term'!AB43&gt;100),"ERR",
IF(Info!$B$4="Non-board program",
IF(OR(AND(AB$5&gt;0,AB$5&gt;100),AND(AB$5&gt;0,AB$5&lt;100)),
VLOOKUP(FLOOR(('Final Term'!AB43/AB$5)*100,1),new_transmute,2,FALSE),
VLOOKUP('Final Term'!AB43,new_transmute,2,FALSE)
),
IF(Info!$B$4="Board program",
IF(OR(AND(AB$5&gt;0,AB$5&gt;100),AND(AB$5&gt;0,AB$5&lt;100)),
VLOOKUP(FLOOR(('Final Term'!AB43/AB$5)*100,1),new_transmute,3,FALSE),
VLOOKUP('Final Term'!AB43,new_transmute,3,FALSE)
),
IF(Info!$B$4="Board program (Medicine)",
IF(OR(AND(AB$5&gt;0,AB$5&gt;100),AND(AB$5&gt;0,AB$5&lt;100)),
VLOOKUP(FLOOR(('Final Term'!AB43/AB$5)*100,1),new_transmute,4,FALSE),
VLOOKUP('Final Term'!AB43,new_transmute,4,FALSE)
),
""
)
)
)
)
)
)
)
)
))</f>
        <v/>
      </c>
      <c r="AC43" s="73" t="str">
        <f>IF($B43="","",
IF(AC$5="","",
IF('Final Term'!AC43="",0,
IF(NOT(ISNUMBER('Final Term'!AC43)),"NAN",
IF('Final Term'!AC43&lt;0,"NEG",
IF('Final Term'!AC43&gt;AC$5,"OVER",
IF(AND(AC$5&lt;=100,'Final Term'!AC43&gt;100),"ERR",
IF(Info!$B$4="Non-board program",
IF(OR(AND(AC$5&gt;0,AC$5&gt;100),AND(AC$5&gt;0,AC$5&lt;100)),
VLOOKUP(FLOOR(('Final Term'!AC43/AC$5)*100,1),new_transmute,2,FALSE),
VLOOKUP('Final Term'!AC43,new_transmute,2,FALSE)
),
IF(Info!$B$4="Board program",
IF(OR(AND(AC$5&gt;0,AC$5&gt;100),AND(AC$5&gt;0,AC$5&lt;100)),
VLOOKUP(FLOOR(('Final Term'!AC43/AC$5)*100,1),new_transmute,3,FALSE),
VLOOKUP('Final Term'!AC43,new_transmute,3,FALSE)
),
IF(Info!$B$4="Board program (Medicine)",
IF(OR(AND(AC$5&gt;0,AC$5&gt;100),AND(AC$5&gt;0,AC$5&lt;100)),
VLOOKUP(FLOOR(('Final Term'!AC43/AC$5)*100,1),new_transmute,4,FALSE),
VLOOKUP('Final Term'!AC43,new_transmute,4,FALSE)
),
""
)
)
)
)
)
)
)
)
))</f>
        <v/>
      </c>
      <c r="AD43" s="73" t="str">
        <f>IF($B43="","",
IF(AD$5="","",
IF('Final Term'!AD43="",0,
IF(NOT(ISNUMBER('Final Term'!AD43)),"NAN",
IF('Final Term'!AD43&lt;0,"NEG",
IF('Final Term'!AD43&gt;AD$5,"OVER",
IF(AND(AD$5&lt;=100,'Final Term'!AD43&gt;100),"ERR",
IF(Info!$B$4="Non-board program",
IF(OR(AND(AD$5&gt;0,AD$5&gt;100),AND(AD$5&gt;0,AD$5&lt;100)),
VLOOKUP(FLOOR(('Final Term'!AD43/AD$5)*100,1),new_transmute,2,FALSE),
VLOOKUP('Final Term'!AD43,new_transmute,2,FALSE)
),
IF(Info!$B$4="Board program",
IF(OR(AND(AD$5&gt;0,AD$5&gt;100),AND(AD$5&gt;0,AD$5&lt;100)),
VLOOKUP(FLOOR(('Final Term'!AD43/AD$5)*100,1),new_transmute,3,FALSE),
VLOOKUP('Final Term'!AD43,new_transmute,3,FALSE)
),
IF(Info!$B$4="Board program (Medicine)",
IF(OR(AND(AD$5&gt;0,AD$5&gt;100),AND(AD$5&gt;0,AD$5&lt;100)),
VLOOKUP(FLOOR(('Final Term'!AD43/AD$5)*100,1),new_transmute,4,FALSE),
VLOOKUP('Final Term'!AD43,new_transmute,4,FALSE)
),
""
)
)
)
)
)
)
)
)
))</f>
        <v/>
      </c>
      <c r="AE43" s="58" t="str">
        <f t="shared" si="5"/>
        <v/>
      </c>
      <c r="AF43" s="73" t="str">
        <f>IF($B43="","",
IF(AF$5="","",
IF('Final Term'!AF43="",0,
IF(NOT(ISNUMBER('Final Term'!AF43)),"NAN",
IF('Final Term'!AF43&lt;0,"NEG",
IF('Final Term'!AF43&gt;AF$5,"OVER",
IF(AND(AF$5&lt;=100,'Final Term'!AF43&gt;100),"ERR",
IF(Info!$B$4="Non-board program",
IF(OR(AND(AF$5&gt;0,AF$5&gt;100),AND(AF$5&gt;0,AF$5&lt;100)),
VLOOKUP(FLOOR(('Final Term'!AF43/AF$5)*100,1),new_transmute,2,FALSE),
VLOOKUP('Final Term'!AF43,new_transmute,2,FALSE)
),
IF(Info!$B$4="Board program",
IF(OR(AND(AF$5&gt;0,AF$5&gt;100),AND(AF$5&gt;0,AF$5&lt;100)),
VLOOKUP(FLOOR(('Final Term'!AF43/AF$5)*100,1),new_transmute,3,FALSE),
VLOOKUP('Final Term'!AF43,new_transmute,3,FALSE)
),
IF(Info!$B$4="Board program (Medicine)",
IF(OR(AND(AF$5&gt;0,AF$5&gt;100),AND(AF$5&gt;0,AF$5&lt;100)),
VLOOKUP(FLOOR(('Final Term'!AF43/AF$5)*100,1),new_transmute,4,FALSE),
VLOOKUP('Final Term'!AF43,new_transmute,4,FALSE)
),
""
)
)
)
)
)
)
)
)
))</f>
        <v/>
      </c>
      <c r="AG43" s="73" t="str">
        <f>IF($B43="","",
IF(AG$5="","",
IF('Final Term'!AG43="",0,
IF(NOT(ISNUMBER('Final Term'!AG43)),"NAN",
IF('Final Term'!AG43&lt;0,"NEG",
IF('Final Term'!AG43&gt;AG$5,"OVER",
IF(AND(AG$5&lt;=100,'Final Term'!AG43&gt;100),"ERR",
IF(Info!$B$4="Non-board program",
IF(OR(AND(AG$5&gt;0,AG$5&gt;100),AND(AG$5&gt;0,AG$5&lt;100)),
VLOOKUP(FLOOR(('Final Term'!AG43/AG$5)*100,1),new_transmute,2,FALSE),
VLOOKUP('Final Term'!AG43,new_transmute,2,FALSE)
),
IF(Info!$B$4="Board program",
IF(OR(AND(AG$5&gt;0,AG$5&gt;100),AND(AG$5&gt;0,AG$5&lt;100)),
VLOOKUP(FLOOR(('Final Term'!AG43/AG$5)*100,1),new_transmute,3,FALSE),
VLOOKUP('Final Term'!AG43,new_transmute,3,FALSE)
),
IF(Info!$B$4="Board program (Medicine)",
IF(OR(AND(AG$5&gt;0,AG$5&gt;100),AND(AG$5&gt;0,AG$5&lt;100)),
VLOOKUP(FLOOR(('Final Term'!AG43/AG$5)*100,1),new_transmute,4,FALSE),
VLOOKUP('Final Term'!AG43,new_transmute,4,FALSE)
),
""
)
)
)
)
)
)
)
)
))</f>
        <v/>
      </c>
      <c r="AH43" s="73" t="str">
        <f>IF($B43="","",
IF(AH$5="","",
IF('Final Term'!AH43="",0,
IF(NOT(ISNUMBER('Final Term'!AH43)),"NAN",
IF('Final Term'!AH43&lt;0,"NEG",
IF('Final Term'!AH43&gt;AH$5,"OVER",
IF(AND(AH$5&lt;=100,'Final Term'!AH43&gt;100),"ERR",
IF(Info!$B$4="Non-board program",
IF(OR(AND(AH$5&gt;0,AH$5&gt;100),AND(AH$5&gt;0,AH$5&lt;100)),
VLOOKUP(FLOOR(('Final Term'!AH43/AH$5)*100,1),new_transmute,2,FALSE),
VLOOKUP('Final Term'!AH43,new_transmute,2,FALSE)
),
IF(Info!$B$4="Board program",
IF(OR(AND(AH$5&gt;0,AH$5&gt;100),AND(AH$5&gt;0,AH$5&lt;100)),
VLOOKUP(FLOOR(('Final Term'!AH43/AH$5)*100,1),new_transmute,3,FALSE),
VLOOKUP('Final Term'!AH43,new_transmute,3,FALSE)
),
IF(Info!$B$4="Board program (Medicine)",
IF(OR(AND(AH$5&gt;0,AH$5&gt;100),AND(AH$5&gt;0,AH$5&lt;100)),
VLOOKUP(FLOOR(('Final Term'!AH43/AH$5)*100,1),new_transmute,4,FALSE),
VLOOKUP('Final Term'!AH43,new_transmute,4,FALSE)
),
""
)
)
)
)
)
)
)
)
))</f>
        <v/>
      </c>
      <c r="AI43" s="73" t="str">
        <f>IF($B43="","",
IF(AI$5="","",
IF('Final Term'!AI43="",0,
IF(NOT(ISNUMBER('Final Term'!AI43)),"NAN",
IF('Final Term'!AI43&lt;0,"NEG",
IF('Final Term'!AI43&gt;AI$5,"OVER",
IF(AND(AI$5&lt;=100,'Final Term'!AI43&gt;100),"ERR",
IF(Info!$B$4="Non-board program",
IF(OR(AND(AI$5&gt;0,AI$5&gt;100),AND(AI$5&gt;0,AI$5&lt;100)),
VLOOKUP(FLOOR(('Final Term'!AI43/AI$5)*100,1),new_transmute,2,FALSE),
VLOOKUP('Final Term'!AI43,new_transmute,2,FALSE)
),
IF(Info!$B$4="Board program",
IF(OR(AND(AI$5&gt;0,AI$5&gt;100),AND(AI$5&gt;0,AI$5&lt;100)),
VLOOKUP(FLOOR(('Final Term'!AI43/AI$5)*100,1),new_transmute,3,FALSE),
VLOOKUP('Final Term'!AI43,new_transmute,3,FALSE)
),
IF(Info!$B$4="Board program (Medicine)",
IF(OR(AND(AI$5&gt;0,AI$5&gt;100),AND(AI$5&gt;0,AI$5&lt;100)),
VLOOKUP(FLOOR(('Final Term'!AI43/AI$5)*100,1),new_transmute,4,FALSE),
VLOOKUP('Final Term'!AI43,new_transmute,4,FALSE)
),
""
)
)
)
)
)
)
)
)
))</f>
        <v/>
      </c>
      <c r="AJ43" s="73" t="str">
        <f>IF($B43="","",
IF(AJ$5="","",
IF('Final Term'!AJ43="",0,
IF(NOT(ISNUMBER('Final Term'!AJ43)),"NAN",
IF('Final Term'!AJ43&lt;0,"NEG",
IF('Final Term'!AJ43&gt;AJ$5,"OVER",
IF(AND(AJ$5&lt;=100,'Final Term'!AJ43&gt;100),"ERR",
IF(Info!$B$4="Non-board program",
IF(OR(AND(AJ$5&gt;0,AJ$5&gt;100),AND(AJ$5&gt;0,AJ$5&lt;100)),
VLOOKUP(FLOOR(('Final Term'!AJ43/AJ$5)*100,1),new_transmute,2,FALSE),
VLOOKUP('Final Term'!AJ43,new_transmute,2,FALSE)
),
IF(Info!$B$4="Board program",
IF(OR(AND(AJ$5&gt;0,AJ$5&gt;100),AND(AJ$5&gt;0,AJ$5&lt;100)),
VLOOKUP(FLOOR(('Final Term'!AJ43/AJ$5)*100,1),new_transmute,3,FALSE),
VLOOKUP('Final Term'!AJ43,new_transmute,3,FALSE)
),
IF(Info!$B$4="Board program (Medicine)",
IF(OR(AND(AJ$5&gt;0,AJ$5&gt;100),AND(AJ$5&gt;0,AJ$5&lt;100)),
VLOOKUP(FLOOR(('Final Term'!AJ43/AJ$5)*100,1),new_transmute,4,FALSE),
VLOOKUP('Final Term'!AJ43,new_transmute,4,FALSE)
),
""
)
)
)
)
)
)
)
)
))</f>
        <v/>
      </c>
      <c r="AK43" s="59" t="str">
        <f t="shared" si="6"/>
        <v/>
      </c>
      <c r="AL43" s="60" t="str">
        <f>IF(B43="", "",
    IF(OR(M43="OVER", S43="OVER", Y43="OVER", AE43="OVER", AK43="OVER"),
        "OVER",
        IF(Info!$B$4="Non-board program",
            VLOOKUP(IFERROR(FLOOR(SUM((M43*$M$4), (S43*$S$4), (Y43*$Y$4), (AE43*$AE$4), (AK43*$AK$4)) * (100 / 60), 1), 0), new_transmute, 2, FALSE),
            IF(Info!$B$4="Board program",
                VLOOKUP(IFERROR(FLOOR(SUM((M43*$M$4), (S43*$S$4), (Y43*$Y$4), (AE43*$AE$4), (AK43*$AK$4)) * (100 / 60), 1), 0), new_transmute, 3, FALSE),
                IF(Info!$B$4="Board program (Medicine)",
                    VLOOKUP(IFERROR(FLOOR(SUM((M43*$M$4), (S43*$S$4), (Y43*$Y$4), (AE43*$AE$4), (AK43*$AK$4)) * (100 / 60), 1), 0), new_transmute, 4, FALSE),
                    ""
                )
            )
        )
    )
)</f>
        <v/>
      </c>
      <c r="AM43" s="73" t="str">
        <f>IF($B43="","",
IF(AM$5="","",
IF('Final Term'!AM43="",0,
IF(NOT(ISNUMBER('Final Term'!AM43)),"NAN",
IF('Final Term'!AM43&lt;0,"NEG",
IF('Final Term'!AM43&gt;AM$5,"OVER",
IF(AND(AM$5&lt;=100,'Final Term'!AM43&gt;100),"ERR",
IF(Info!$B$4="Non-board program",
IF(OR(AND(AM$5&gt;0,AM$5&gt;100),AND(AM$5&gt;0,AM$5&lt;100)),
VLOOKUP(FLOOR(('Final Term'!AM43/AM$5)*100,1),new_transmute,2,FALSE),
VLOOKUP('Final Term'!AM43,new_transmute,2,FALSE)
),
IF(Info!$B$4="Board program",
IF(OR(AND(AM$5&gt;0,AM$5&gt;100),AND(AM$5&gt;0,AM$5&lt;100)),
VLOOKUP(FLOOR(('Final Term'!AM43/AM$5)*100,1),new_transmute,3,FALSE),
VLOOKUP('Final Term'!AM43,new_transmute,3,FALSE)
),
IF(Info!$B$4="Board program (Medicine)",
IF(OR(AND(AM$5&gt;0,AM$5&gt;100),AND(AM$5&gt;0,AM$5&lt;100)),
VLOOKUP(FLOOR(('Final Term'!AM43/AM$5)*100,1),new_transmute,4,FALSE),
VLOOKUP('Final Term'!AM43,new_transmute,4,FALSE)
),
""
)
)
)
)
)
)
)
)
))</f>
        <v/>
      </c>
      <c r="AN43" s="73" t="str">
        <f>IF($B43="","",
IF(AN$5="","",
IF('Final Term'!AN43="",0,
IF(NOT(ISNUMBER('Final Term'!AN43)),"NAN",
IF('Final Term'!AN43&lt;0,"NEG",
IF('Final Term'!AN43&gt;AN$5,"OVER",
IF(AND(AN$5&lt;=100,'Final Term'!AN43&gt;100),"ERR",
IF(Info!$B$4="Non-board program",
IF(OR(AND(AN$5&gt;0,AN$5&gt;100),AND(AN$5&gt;0,AN$5&lt;100)),
VLOOKUP(FLOOR(('Final Term'!AN43/AN$5)*100,1),new_transmute,2,FALSE),
VLOOKUP('Final Term'!AN43,new_transmute,2,FALSE)
),
IF(Info!$B$4="Board program",
IF(OR(AND(AN$5&gt;0,AN$5&gt;100),AND(AN$5&gt;0,AN$5&lt;100)),
VLOOKUP(FLOOR(('Final Term'!AN43/AN$5)*100,1),new_transmute,3,FALSE),
VLOOKUP('Final Term'!AN43,new_transmute,3,FALSE)
),
IF(Info!$B$4="Board program (Medicine)",
IF(OR(AND(AN$5&gt;0,AN$5&gt;100),AND(AN$5&gt;0,AN$5&lt;100)),
VLOOKUP(FLOOR(('Final Term'!AN43/AN$5)*100,1),new_transmute,4,FALSE),
VLOOKUP('Final Term'!AN43,new_transmute,4,FALSE)
),
""
)
)
)
)
)
)
)
)
))</f>
        <v/>
      </c>
      <c r="AO43" s="73" t="str">
        <f>IF($B43="","",
IF(AO$5="","",
IF('Final Term'!AO43="",0,
IF(NOT(ISNUMBER('Final Term'!AO43)),"NAN",
IF('Final Term'!AO43&lt;0,"NEG",
IF('Final Term'!AO43&gt;AO$5,"OVER",
IF(AND(AO$5&lt;=100,'Final Term'!AO43&gt;100),"ERR",
IF(Info!$B$4="Non-board program",
IF(OR(AND(AO$5&gt;0,AO$5&gt;100),AND(AO$5&gt;0,AO$5&lt;100)),
VLOOKUP(FLOOR(('Final Term'!AO43/AO$5)*100,1),new_transmute,2,FALSE),
VLOOKUP('Final Term'!AO43,new_transmute,2,FALSE)
),
IF(Info!$B$4="Board program",
IF(OR(AND(AO$5&gt;0,AO$5&gt;100),AND(AO$5&gt;0,AO$5&lt;100)),
VLOOKUP(FLOOR(('Final Term'!AO43/AO$5)*100,1),new_transmute,3,FALSE),
VLOOKUP('Final Term'!AO43,new_transmute,3,FALSE)
),
IF(Info!$B$4="Board program (Medicine)",
IF(OR(AND(AO$5&gt;0,AO$5&gt;100),AND(AO$5&gt;0,AO$5&lt;100)),
VLOOKUP(FLOOR(('Final Term'!AO43/AO$5)*100,1),new_transmute,4,FALSE),
VLOOKUP('Final Term'!AO43,new_transmute,4,FALSE)
),
""
)
)
)
)
)
)
)
)
))</f>
        <v/>
      </c>
      <c r="AP43" s="73" t="str">
        <f>IF($B43="","",
IF(AP$5="","",
IF('Final Term'!AP43="",0,
IF(NOT(ISNUMBER('Final Term'!AP43)),"NAN",
IF('Final Term'!AP43&lt;0,"NEG",
IF('Final Term'!AP43&gt;AP$5,"OVER",
IF(AND(AP$5&lt;=100,'Final Term'!AP43&gt;100),"ERR",
IF(Info!$B$4="Non-board program",
IF(OR(AND(AP$5&gt;0,AP$5&gt;100),AND(AP$5&gt;0,AP$5&lt;100)),
VLOOKUP(FLOOR(('Final Term'!AP43/AP$5)*100,1),new_transmute,2,FALSE),
VLOOKUP('Final Term'!AP43,new_transmute,2,FALSE)
),
IF(Info!$B$4="Board program",
IF(OR(AND(AP$5&gt;0,AP$5&gt;100),AND(AP$5&gt;0,AP$5&lt;100)),
VLOOKUP(FLOOR(('Final Term'!AP43/AP$5)*100,1),new_transmute,3,FALSE),
VLOOKUP('Final Term'!AP43,new_transmute,3,FALSE)
),
IF(Info!$B$4="Board program (Medicine)",
IF(OR(AND(AP$5&gt;0,AP$5&gt;100),AND(AP$5&gt;0,AP$5&lt;100)),
VLOOKUP(FLOOR(('Final Term'!AP43/AP$5)*100,1),new_transmute,4,FALSE),
VLOOKUP('Final Term'!AP43,new_transmute,4,FALSE)
),
""
)
)
)
)
)
)
)
)
))</f>
        <v/>
      </c>
      <c r="AQ43" s="61" t="str">
        <f t="shared" si="7"/>
        <v/>
      </c>
      <c r="AR43" s="48" t="str">
        <f>IF('Final Term'!AR43="","",'Final Term'!AR43)</f>
        <v/>
      </c>
      <c r="AS43" s="165" t="str">
        <f t="shared" si="8"/>
        <v/>
      </c>
      <c r="AT43" s="14" t="str">
        <f t="shared" si="9"/>
        <v/>
      </c>
      <c r="AU43" s="13" t="str">
        <f>IF(B43="","",VLOOKUP(AT43,'New Grade Equivalent'!$B$3:$C$47,2,FALSE))</f>
        <v/>
      </c>
    </row>
    <row r="44" spans="1:47" x14ac:dyDescent="0.25">
      <c r="A44" s="8">
        <v>39</v>
      </c>
      <c r="B44" s="2" t="str">
        <f>IF('Student List'!C48="","",UPPER(LEFT('Student List'!C48,FIND(",",'Student List'!C48)-1)))</f>
        <v/>
      </c>
      <c r="C44" s="12" t="str">
        <f>IF('Student List'!C48="","",PROPER(MID('Student List'!C48, FIND(",", 'Student List'!C48) + 2, LEN('Student List'!C48) - FIND(",", 'Student List'!C48) - 1)))</f>
        <v/>
      </c>
      <c r="D44" s="127" t="str">
        <f>IF('Final Term'!D44="","",'Final Term'!D44)</f>
        <v/>
      </c>
      <c r="E44" s="8" t="str">
        <f>IF(MidCom!E44="FA", "FA",
    IF(MidCom!E44="DRP", "DRP",
        IF(MidCom!E44="WF", "WF",
            IF(D44="Yes", "INC",
               IF((SUM('MT Attendance'!AW42) / 3 + SUM('MT Attendance'!AY42) + SUM('FT Attendance'!AW42) / 3 + SUM('FT Attendance'!AY42)) &gt;= 0.2 * (SUMPRODUCT(--(ISTEXT('MT Attendance'!$C$2:$AU$2))) + SUMPRODUCT(--(ISTEXT('FT Attendance'!$C$2:$AU$2)))), "FA",
                   MidCom!E44
                )
            )
        )
    )
)</f>
        <v/>
      </c>
      <c r="F44" s="73" t="str">
        <f>IF($B44="","",
IF(F$5="","",
IF('Final Term'!F44="",0,
IF(NOT(ISNUMBER('Final Term'!F44)),"NAN",
IF('Final Term'!F44&lt;0,"NEG",
IF('Final Term'!F44&gt;F$5,"OVER",
IF(AND(F$5&lt;=100,'Final Term'!F44&gt;100),"ERR",
IF(Info!$B$4="Non-board program",
IF(OR(AND(F$5&gt;0,F$5&gt;100),AND(F$5&gt;0,F$5&lt;100)),
VLOOKUP(FLOOR(('Final Term'!F44/F$5)*100,1),new_transmute,2,FALSE),
VLOOKUP('Final Term'!F44,new_transmute,2,FALSE)
),
IF(Info!$B$4="Board program",
IF(OR(AND(F$5&gt;0,F$5&gt;100),AND(F$5&gt;0,F$5&lt;100)),
VLOOKUP(FLOOR(('Final Term'!F44/F$5)*100,1),new_transmute,3,FALSE),
VLOOKUP('Final Term'!F44,new_transmute,3,FALSE)
),
IF(Info!$B$4="Board program (Medicine)",
IF(OR(AND(F$5&gt;0,F$5&gt;100),AND(F$5&gt;0,F$5&lt;100)),
VLOOKUP(FLOOR(('Final Term'!F44/F$5)*100,1),new_transmute,4,FALSE),
VLOOKUP('Final Term'!F44,new_transmute,4,FALSE)
),
""
)
)
)
)
)
)
)
)
))</f>
        <v/>
      </c>
      <c r="G44" s="57" t="str">
        <f t="shared" si="1"/>
        <v/>
      </c>
      <c r="H44" s="73" t="str">
        <f>IF($B44="","",
IF(H$5="","",
IF('Final Term'!H44="",0,
IF(NOT(ISNUMBER('Final Term'!H44)),"NAN",
IF('Final Term'!H44&lt;0,"NEG",
IF('Final Term'!H44&gt;H$5,"OVER",
IF(AND(H$5&lt;=100,'Final Term'!H44&gt;100),"ERR",
IF(Info!$B$4="Non-board program",
IF(OR(AND(H$5&gt;0,H$5&gt;100),AND(H$5&gt;0,H$5&lt;100)),
VLOOKUP(FLOOR(('Final Term'!H44/H$5)*100,1),new_transmute,2,FALSE),
VLOOKUP('Final Term'!H44,new_transmute,2,FALSE)
),
IF(Info!$B$4="Board program",
IF(OR(AND(H$5&gt;0,H$5&gt;100),AND(H$5&gt;0,H$5&lt;100)),
VLOOKUP(FLOOR(('Final Term'!H44/H$5)*100,1),new_transmute,3,FALSE),
VLOOKUP('Final Term'!H44,new_transmute,3,FALSE)
),
IF(Info!$B$4="Board program (Medicine)",
IF(OR(AND(H$5&gt;0,H$5&gt;100),AND(H$5&gt;0,H$5&lt;100)),
VLOOKUP(FLOOR(('Final Term'!H44/H$5)*100,1),new_transmute,4,FALSE),
VLOOKUP('Final Term'!H44,new_transmute,4,FALSE)
),
""
)
)
)
)
)
)
)
)
))</f>
        <v/>
      </c>
      <c r="I44" s="73" t="str">
        <f>IF($B44="","",
IF(I$5="","",
IF('Final Term'!I44="",0,
IF(NOT(ISNUMBER('Final Term'!I44)),"NAN",
IF('Final Term'!I44&lt;0,"NEG",
IF('Final Term'!I44&gt;I$5,"OVER",
IF(AND(I$5&lt;=100,'Final Term'!I44&gt;100),"ERR",
IF(Info!$B$4="Non-board program",
IF(OR(AND(I$5&gt;0,I$5&gt;100),AND(I$5&gt;0,I$5&lt;100)),
VLOOKUP(FLOOR(('Final Term'!I44/I$5)*100,1),new_transmute,2,FALSE),
VLOOKUP('Final Term'!I44,new_transmute,2,FALSE)
),
IF(Info!$B$4="Board program",
IF(OR(AND(I$5&gt;0,I$5&gt;100),AND(I$5&gt;0,I$5&lt;100)),
VLOOKUP(FLOOR(('Final Term'!I44/I$5)*100,1),new_transmute,3,FALSE),
VLOOKUP('Final Term'!I44,new_transmute,3,FALSE)
),
IF(Info!$B$4="Board program (Medicine)",
IF(OR(AND(I$5&gt;0,I$5&gt;100),AND(I$5&gt;0,I$5&lt;100)),
VLOOKUP(FLOOR(('Final Term'!I44/I$5)*100,1),new_transmute,4,FALSE),
VLOOKUP('Final Term'!I44,new_transmute,4,FALSE)
),
""
)
)
)
)
)
)
)
)
))</f>
        <v/>
      </c>
      <c r="J44" s="73" t="str">
        <f>IF($B44="","",
IF(J$5="","",
IF('Final Term'!J44="",0,
IF(NOT(ISNUMBER('Final Term'!J44)),"NAN",
IF('Final Term'!J44&lt;0,"NEG",
IF('Final Term'!J44&gt;J$5,"OVER",
IF(AND(J$5&lt;=100,'Final Term'!J44&gt;100),"ERR",
IF(Info!$B$4="Non-board program",
IF(OR(AND(J$5&gt;0,J$5&gt;100),AND(J$5&gt;0,J$5&lt;100)),
VLOOKUP(FLOOR(('Final Term'!J44/J$5)*100,1),new_transmute,2,FALSE),
VLOOKUP('Final Term'!J44,new_transmute,2,FALSE)
),
IF(Info!$B$4="Board program",
IF(OR(AND(J$5&gt;0,J$5&gt;100),AND(J$5&gt;0,J$5&lt;100)),
VLOOKUP(FLOOR(('Final Term'!J44/J$5)*100,1),new_transmute,3,FALSE),
VLOOKUP('Final Term'!J44,new_transmute,3,FALSE)
),
IF(Info!$B$4="Board program (Medicine)",
IF(OR(AND(J$5&gt;0,J$5&gt;100),AND(J$5&gt;0,J$5&lt;100)),
VLOOKUP(FLOOR(('Final Term'!J44/J$5)*100,1),new_transmute,4,FALSE),
VLOOKUP('Final Term'!J44,new_transmute,4,FALSE)
),
""
)
)
)
)
)
)
)
)
))</f>
        <v/>
      </c>
      <c r="K44" s="73" t="str">
        <f>IF($B44="","",
IF(K$5="","",
IF('Final Term'!K44="",0,
IF(NOT(ISNUMBER('Final Term'!K44)),"NAN",
IF('Final Term'!K44&lt;0,"NEG",
IF('Final Term'!K44&gt;K$5,"OVER",
IF(AND(K$5&lt;=100,'Final Term'!K44&gt;100),"ERR",
IF(Info!$B$4="Non-board program",
IF(OR(AND(K$5&gt;0,K$5&gt;100),AND(K$5&gt;0,K$5&lt;100)),
VLOOKUP(FLOOR(('Final Term'!K44/K$5)*100,1),new_transmute,2,FALSE),
VLOOKUP('Final Term'!K44,new_transmute,2,FALSE)
),
IF(Info!$B$4="Board program",
IF(OR(AND(K$5&gt;0,K$5&gt;100),AND(K$5&gt;0,K$5&lt;100)),
VLOOKUP(FLOOR(('Final Term'!K44/K$5)*100,1),new_transmute,3,FALSE),
VLOOKUP('Final Term'!K44,new_transmute,3,FALSE)
),
IF(Info!$B$4="Board program (Medicine)",
IF(OR(AND(K$5&gt;0,K$5&gt;100),AND(K$5&gt;0,K$5&lt;100)),
VLOOKUP(FLOOR(('Final Term'!K44/K$5)*100,1),new_transmute,4,FALSE),
VLOOKUP('Final Term'!K44,new_transmute,4,FALSE)
),
""
)
)
)
)
)
)
)
)
))</f>
        <v/>
      </c>
      <c r="L44" s="73" t="str">
        <f>IF($B44="","",
IF(L$5="","",
IF('Final Term'!L44="",0,
IF(NOT(ISNUMBER('Final Term'!L44)),"NAN",
IF('Final Term'!L44&lt;0,"NEG",
IF('Final Term'!L44&gt;L$5,"OVER",
IF(AND(L$5&lt;=100,'Final Term'!L44&gt;100),"ERR",
IF(Info!$B$4="Non-board program",
IF(OR(AND(L$5&gt;0,L$5&gt;100),AND(L$5&gt;0,L$5&lt;100)),
VLOOKUP(FLOOR(('Final Term'!L44/L$5)*100,1),new_transmute,2,FALSE),
VLOOKUP('Final Term'!L44,new_transmute,2,FALSE)
),
IF(Info!$B$4="Board program",
IF(OR(AND(L$5&gt;0,L$5&gt;100),AND(L$5&gt;0,L$5&lt;100)),
VLOOKUP(FLOOR(('Final Term'!L44/L$5)*100,1),new_transmute,3,FALSE),
VLOOKUP('Final Term'!L44,new_transmute,3,FALSE)
),
IF(Info!$B$4="Board program (Medicine)",
IF(OR(AND(L$5&gt;0,L$5&gt;100),AND(L$5&gt;0,L$5&lt;100)),
VLOOKUP(FLOOR(('Final Term'!L44/L$5)*100,1),new_transmute,4,FALSE),
VLOOKUP('Final Term'!L44,new_transmute,4,FALSE)
),
""
)
)
)
)
)
)
)
)
))</f>
        <v/>
      </c>
      <c r="M44" s="111" t="str">
        <f t="shared" si="2"/>
        <v/>
      </c>
      <c r="N44" s="73" t="str">
        <f>IF($B44="","",
IF(N$5="","",
IF('Final Term'!N44="",0,
IF(NOT(ISNUMBER('Final Term'!N44)),"NAN",
IF('Final Term'!N44&lt;0,"NEG",
IF('Final Term'!N44&gt;N$5,"OVER",
IF(AND(N$5&lt;=100,'Final Term'!N44&gt;100),"ERR",
IF(Info!$B$4="Non-board program",
IF(OR(AND(N$5&gt;0,N$5&gt;100),AND(N$5&gt;0,N$5&lt;100)),
VLOOKUP(FLOOR(('Final Term'!N44/N$5)*100,1),new_transmute,2,FALSE),
VLOOKUP('Final Term'!N44,new_transmute,2,FALSE)
),
IF(Info!$B$4="Board program",
IF(OR(AND(N$5&gt;0,N$5&gt;100),AND(N$5&gt;0,N$5&lt;100)),
VLOOKUP(FLOOR(('Final Term'!N44/N$5)*100,1),new_transmute,3,FALSE),
VLOOKUP('Final Term'!N44,new_transmute,3,FALSE)
),
IF(Info!$B$4="Board program (Medicine)",
IF(OR(AND(N$5&gt;0,N$5&gt;100),AND(N$5&gt;0,N$5&lt;100)),
VLOOKUP(FLOOR(('Final Term'!N44/N$5)*100,1),new_transmute,4,FALSE),
VLOOKUP('Final Term'!N44,new_transmute,4,FALSE)
),
""
)
)
)
)
)
)
)
)
))</f>
        <v/>
      </c>
      <c r="O44" s="73" t="str">
        <f>IF($B44="","",
IF(O$5="","",
IF('Final Term'!O44="",0,
IF(NOT(ISNUMBER('Final Term'!O44)),"NAN",
IF('Final Term'!O44&lt;0,"NEG",
IF('Final Term'!O44&gt;O$5,"OVER",
IF(AND(O$5&lt;=100,'Final Term'!O44&gt;100),"ERR",
IF(Info!$B$4="Non-board program",
IF(OR(AND(O$5&gt;0,O$5&gt;100),AND(O$5&gt;0,O$5&lt;100)),
VLOOKUP(FLOOR(('Final Term'!O44/O$5)*100,1),new_transmute,2,FALSE),
VLOOKUP('Final Term'!O44,new_transmute,2,FALSE)
),
IF(Info!$B$4="Board program",
IF(OR(AND(O$5&gt;0,O$5&gt;100),AND(O$5&gt;0,O$5&lt;100)),
VLOOKUP(FLOOR(('Final Term'!O44/O$5)*100,1),new_transmute,3,FALSE),
VLOOKUP('Final Term'!O44,new_transmute,3,FALSE)
),
IF(Info!$B$4="Board program (Medicine)",
IF(OR(AND(O$5&gt;0,O$5&gt;100),AND(O$5&gt;0,O$5&lt;100)),
VLOOKUP(FLOOR(('Final Term'!O44/O$5)*100,1),new_transmute,4,FALSE),
VLOOKUP('Final Term'!O44,new_transmute,4,FALSE)
),
""
)
)
)
)
)
)
)
)
))</f>
        <v/>
      </c>
      <c r="P44" s="73" t="str">
        <f>IF($B44="","",
IF(P$5="","",
IF('Final Term'!P44="",0,
IF(NOT(ISNUMBER('Final Term'!P44)),"NAN",
IF('Final Term'!P44&lt;0,"NEG",
IF('Final Term'!P44&gt;P$5,"OVER",
IF(AND(P$5&lt;=100,'Final Term'!P44&gt;100),"ERR",
IF(Info!$B$4="Non-board program",
IF(OR(AND(P$5&gt;0,P$5&gt;100),AND(P$5&gt;0,P$5&lt;100)),
VLOOKUP(FLOOR(('Final Term'!P44/P$5)*100,1),new_transmute,2,FALSE),
VLOOKUP('Final Term'!P44,new_transmute,2,FALSE)
),
IF(Info!$B$4="Board program",
IF(OR(AND(P$5&gt;0,P$5&gt;100),AND(P$5&gt;0,P$5&lt;100)),
VLOOKUP(FLOOR(('Final Term'!P44/P$5)*100,1),new_transmute,3,FALSE),
VLOOKUP('Final Term'!P44,new_transmute,3,FALSE)
),
IF(Info!$B$4="Board program (Medicine)",
IF(OR(AND(P$5&gt;0,P$5&gt;100),AND(P$5&gt;0,P$5&lt;100)),
VLOOKUP(FLOOR(('Final Term'!P44/P$5)*100,1),new_transmute,4,FALSE),
VLOOKUP('Final Term'!P44,new_transmute,4,FALSE)
),
""
)
)
)
)
)
)
)
)
))</f>
        <v/>
      </c>
      <c r="Q44" s="73" t="str">
        <f>IF($B44="","",
IF(Q$5="","",
IF('Final Term'!Q44="",0,
IF(NOT(ISNUMBER('Final Term'!Q44)),"NAN",
IF('Final Term'!Q44&lt;0,"NEG",
IF('Final Term'!Q44&gt;Q$5,"OVER",
IF(AND(Q$5&lt;=100,'Final Term'!Q44&gt;100),"ERR",
IF(Info!$B$4="Non-board program",
IF(OR(AND(Q$5&gt;0,Q$5&gt;100),AND(Q$5&gt;0,Q$5&lt;100)),
VLOOKUP(FLOOR(('Final Term'!Q44/Q$5)*100,1),new_transmute,2,FALSE),
VLOOKUP('Final Term'!Q44,new_transmute,2,FALSE)
),
IF(Info!$B$4="Board program",
IF(OR(AND(Q$5&gt;0,Q$5&gt;100),AND(Q$5&gt;0,Q$5&lt;100)),
VLOOKUP(FLOOR(('Final Term'!Q44/Q$5)*100,1),new_transmute,3,FALSE),
VLOOKUP('Final Term'!Q44,new_transmute,3,FALSE)
),
IF(Info!$B$4="Board program (Medicine)",
IF(OR(AND(Q$5&gt;0,Q$5&gt;100),AND(Q$5&gt;0,Q$5&lt;100)),
VLOOKUP(FLOOR(('Final Term'!Q44/Q$5)*100,1),new_transmute,4,FALSE),
VLOOKUP('Final Term'!Q44,new_transmute,4,FALSE)
),
""
)
)
)
)
)
)
)
)
))</f>
        <v/>
      </c>
      <c r="R44" s="73" t="str">
        <f>IF($B44="","",
IF(R$5="","",
IF('Final Term'!R44="",0,
IF(NOT(ISNUMBER('Final Term'!R44)),"NAN",
IF('Final Term'!R44&lt;0,"NEG",
IF('Final Term'!R44&gt;R$5,"OVER",
IF(AND(R$5&lt;=100,'Final Term'!R44&gt;100),"ERR",
IF(Info!$B$4="Non-board program",
IF(OR(AND(R$5&gt;0,R$5&gt;100),AND(R$5&gt;0,R$5&lt;100)),
VLOOKUP(FLOOR(('Final Term'!R44/R$5)*100,1),new_transmute,2,FALSE),
VLOOKUP('Final Term'!R44,new_transmute,2,FALSE)
),
IF(Info!$B$4="Board program",
IF(OR(AND(R$5&gt;0,R$5&gt;100),AND(R$5&gt;0,R$5&lt;100)),
VLOOKUP(FLOOR(('Final Term'!R44/R$5)*100,1),new_transmute,3,FALSE),
VLOOKUP('Final Term'!R44,new_transmute,3,FALSE)
),
IF(Info!$B$4="Board program (Medicine)",
IF(OR(AND(R$5&gt;0,R$5&gt;100),AND(R$5&gt;0,R$5&lt;100)),
VLOOKUP(FLOOR(('Final Term'!R44/R$5)*100,1),new_transmute,4,FALSE),
VLOOKUP('Final Term'!R44,new_transmute,4,FALSE)
),
""
)
)
)
)
)
)
)
)
))</f>
        <v/>
      </c>
      <c r="S44" s="115" t="str">
        <f t="shared" si="3"/>
        <v/>
      </c>
      <c r="T44" s="73" t="str">
        <f>IF($B44="","",
IF(T$5="","",
IF('Final Term'!T44="",0,
IF(NOT(ISNUMBER('Final Term'!T44)),"NAN",
IF('Final Term'!T44&lt;0,"NEG",
IF('Final Term'!T44&gt;T$5,"OVER",
IF(AND(T$5&lt;=100,'Final Term'!T44&gt;100),"ERR",
IF(Info!$B$4="Non-board program",
IF(OR(AND(T$5&gt;0,T$5&gt;100),AND(T$5&gt;0,T$5&lt;100)),
VLOOKUP(FLOOR(('Final Term'!T44/T$5)*100,1),new_transmute,2,FALSE),
VLOOKUP('Final Term'!T44,new_transmute,2,FALSE)
),
IF(Info!$B$4="Board program",
IF(OR(AND(T$5&gt;0,T$5&gt;100),AND(T$5&gt;0,T$5&lt;100)),
VLOOKUP(FLOOR(('Final Term'!T44/T$5)*100,1),new_transmute,3,FALSE),
VLOOKUP('Final Term'!T44,new_transmute,3,FALSE)
),
IF(Info!$B$4="Board program (Medicine)",
IF(OR(AND(T$5&gt;0,T$5&gt;100),AND(T$5&gt;0,T$5&lt;100)),
VLOOKUP(FLOOR(('Final Term'!T44/T$5)*100,1),new_transmute,4,FALSE),
VLOOKUP('Final Term'!T44,new_transmute,4,FALSE)
),
""
)
)
)
)
)
)
)
)
))</f>
        <v/>
      </c>
      <c r="U44" s="73" t="str">
        <f>IF($B44="","",
IF(U$5="","",
IF('Final Term'!U44="",0,
IF(NOT(ISNUMBER('Final Term'!U44)),"NAN",
IF('Final Term'!U44&lt;0,"NEG",
IF('Final Term'!U44&gt;U$5,"OVER",
IF(AND(U$5&lt;=100,'Final Term'!U44&gt;100),"ERR",
IF(Info!$B$4="Non-board program",
IF(OR(AND(U$5&gt;0,U$5&gt;100),AND(U$5&gt;0,U$5&lt;100)),
VLOOKUP(FLOOR(('Final Term'!U44/U$5)*100,1),new_transmute,2,FALSE),
VLOOKUP('Final Term'!U44,new_transmute,2,FALSE)
),
IF(Info!$B$4="Board program",
IF(OR(AND(U$5&gt;0,U$5&gt;100),AND(U$5&gt;0,U$5&lt;100)),
VLOOKUP(FLOOR(('Final Term'!U44/U$5)*100,1),new_transmute,3,FALSE),
VLOOKUP('Final Term'!U44,new_transmute,3,FALSE)
),
IF(Info!$B$4="Board program (Medicine)",
IF(OR(AND(U$5&gt;0,U$5&gt;100),AND(U$5&gt;0,U$5&lt;100)),
VLOOKUP(FLOOR(('Final Term'!U44/U$5)*100,1),new_transmute,4,FALSE),
VLOOKUP('Final Term'!U44,new_transmute,4,FALSE)
),
""
)
)
)
)
)
)
)
)
))</f>
        <v/>
      </c>
      <c r="V44" s="73" t="str">
        <f>IF($B44="","",
IF(V$5="","",
IF('Final Term'!V44="",0,
IF(NOT(ISNUMBER('Final Term'!V44)),"NAN",
IF('Final Term'!V44&lt;0,"NEG",
IF('Final Term'!V44&gt;V$5,"OVER",
IF(AND(V$5&lt;=100,'Final Term'!V44&gt;100),"ERR",
IF(Info!$B$4="Non-board program",
IF(OR(AND(V$5&gt;0,V$5&gt;100),AND(V$5&gt;0,V$5&lt;100)),
VLOOKUP(FLOOR(('Final Term'!V44/V$5)*100,1),new_transmute,2,FALSE),
VLOOKUP('Final Term'!V44,new_transmute,2,FALSE)
),
IF(Info!$B$4="Board program",
IF(OR(AND(V$5&gt;0,V$5&gt;100),AND(V$5&gt;0,V$5&lt;100)),
VLOOKUP(FLOOR(('Final Term'!V44/V$5)*100,1),new_transmute,3,FALSE),
VLOOKUP('Final Term'!V44,new_transmute,3,FALSE)
),
IF(Info!$B$4="Board program (Medicine)",
IF(OR(AND(V$5&gt;0,V$5&gt;100),AND(V$5&gt;0,V$5&lt;100)),
VLOOKUP(FLOOR(('Final Term'!V44/V$5)*100,1),new_transmute,4,FALSE),
VLOOKUP('Final Term'!V44,new_transmute,4,FALSE)
),
""
)
)
)
)
)
)
)
)
))</f>
        <v/>
      </c>
      <c r="W44" s="73" t="str">
        <f>IF($B44="","",
IF(W$5="","",
IF('Final Term'!W44="",0,
IF(NOT(ISNUMBER('Final Term'!W44)),"NAN",
IF('Final Term'!W44&lt;0,"NEG",
IF('Final Term'!W44&gt;W$5,"OVER",
IF(AND(W$5&lt;=100,'Final Term'!W44&gt;100),"ERR",
IF(Info!$B$4="Non-board program",
IF(OR(AND(W$5&gt;0,W$5&gt;100),AND(W$5&gt;0,W$5&lt;100)),
VLOOKUP(FLOOR(('Final Term'!W44/W$5)*100,1),new_transmute,2,FALSE),
VLOOKUP('Final Term'!W44,new_transmute,2,FALSE)
),
IF(Info!$B$4="Board program",
IF(OR(AND(W$5&gt;0,W$5&gt;100),AND(W$5&gt;0,W$5&lt;100)),
VLOOKUP(FLOOR(('Final Term'!W44/W$5)*100,1),new_transmute,3,FALSE),
VLOOKUP('Final Term'!W44,new_transmute,3,FALSE)
),
IF(Info!$B$4="Board program (Medicine)",
IF(OR(AND(W$5&gt;0,W$5&gt;100),AND(W$5&gt;0,W$5&lt;100)),
VLOOKUP(FLOOR(('Final Term'!W44/W$5)*100,1),new_transmute,4,FALSE),
VLOOKUP('Final Term'!W44,new_transmute,4,FALSE)
),
""
)
)
)
)
)
)
)
)
))</f>
        <v/>
      </c>
      <c r="X44" s="73" t="str">
        <f>IF($B44="","",
IF(X$5="","",
IF('Final Term'!X44="",0,
IF(NOT(ISNUMBER('Final Term'!X44)),"NAN",
IF('Final Term'!X44&lt;0,"NEG",
IF('Final Term'!X44&gt;X$5,"OVER",
IF(AND(X$5&lt;=100,'Final Term'!X44&gt;100),"ERR",
IF(Info!$B$4="Non-board program",
IF(OR(AND(X$5&gt;0,X$5&gt;100),AND(X$5&gt;0,X$5&lt;100)),
VLOOKUP(FLOOR(('Final Term'!X44/X$5)*100,1),new_transmute,2,FALSE),
VLOOKUP('Final Term'!X44,new_transmute,2,FALSE)
),
IF(Info!$B$4="Board program",
IF(OR(AND(X$5&gt;0,X$5&gt;100),AND(X$5&gt;0,X$5&lt;100)),
VLOOKUP(FLOOR(('Final Term'!X44/X$5)*100,1),new_transmute,3,FALSE),
VLOOKUP('Final Term'!X44,new_transmute,3,FALSE)
),
IF(Info!$B$4="Board program (Medicine)",
IF(OR(AND(X$5&gt;0,X$5&gt;100),AND(X$5&gt;0,X$5&lt;100)),
VLOOKUP(FLOOR(('Final Term'!X44/X$5)*100,1),new_transmute,4,FALSE),
VLOOKUP('Final Term'!X44,new_transmute,4,FALSE)
),
""
)
)
)
)
)
)
)
)
))</f>
        <v/>
      </c>
      <c r="Y44" s="112" t="str">
        <f t="shared" si="4"/>
        <v/>
      </c>
      <c r="Z44" s="73" t="str">
        <f>IF($B44="","",
IF(Z$5="","",
IF('Final Term'!Z44="",0,
IF(NOT(ISNUMBER('Final Term'!Z44)),"NAN",
IF('Final Term'!Z44&lt;0,"NEG",
IF('Final Term'!Z44&gt;Z$5,"OVER",
IF(AND(Z$5&lt;=100,'Final Term'!Z44&gt;100),"ERR",
IF(Info!$B$4="Non-board program",
IF(OR(AND(Z$5&gt;0,Z$5&gt;100),AND(Z$5&gt;0,Z$5&lt;100)),
VLOOKUP(FLOOR(('Final Term'!Z44/Z$5)*100,1),new_transmute,2,FALSE),
VLOOKUP('Final Term'!Z44,new_transmute,2,FALSE)
),
IF(Info!$B$4="Board program",
IF(OR(AND(Z$5&gt;0,Z$5&gt;100),AND(Z$5&gt;0,Z$5&lt;100)),
VLOOKUP(FLOOR(('Final Term'!Z44/Z$5)*100,1),new_transmute,3,FALSE),
VLOOKUP('Final Term'!Z44,new_transmute,3,FALSE)
),
IF(Info!$B$4="Board program (Medicine)",
IF(OR(AND(Z$5&gt;0,Z$5&gt;100),AND(Z$5&gt;0,Z$5&lt;100)),
VLOOKUP(FLOOR(('Final Term'!Z44/Z$5)*100,1),new_transmute,4,FALSE),
VLOOKUP('Final Term'!Z44,new_transmute,4,FALSE)
),
""
)
)
)
)
)
)
)
)
))</f>
        <v/>
      </c>
      <c r="AA44" s="73" t="str">
        <f>IF($B44="","",
IF(AA$5="","",
IF('Final Term'!AA44="",0,
IF(NOT(ISNUMBER('Final Term'!AA44)),"NAN",
IF('Final Term'!AA44&lt;0,"NEG",
IF('Final Term'!AA44&gt;AA$5,"OVER",
IF(AND(AA$5&lt;=100,'Final Term'!AA44&gt;100),"ERR",
IF(Info!$B$4="Non-board program",
IF(OR(AND(AA$5&gt;0,AA$5&gt;100),AND(AA$5&gt;0,AA$5&lt;100)),
VLOOKUP(FLOOR(('Final Term'!AA44/AA$5)*100,1),new_transmute,2,FALSE),
VLOOKUP('Final Term'!AA44,new_transmute,2,FALSE)
),
IF(Info!$B$4="Board program",
IF(OR(AND(AA$5&gt;0,AA$5&gt;100),AND(AA$5&gt;0,AA$5&lt;100)),
VLOOKUP(FLOOR(('Final Term'!AA44/AA$5)*100,1),new_transmute,3,FALSE),
VLOOKUP('Final Term'!AA44,new_transmute,3,FALSE)
),
IF(Info!$B$4="Board program (Medicine)",
IF(OR(AND(AA$5&gt;0,AA$5&gt;100),AND(AA$5&gt;0,AA$5&lt;100)),
VLOOKUP(FLOOR(('Final Term'!AA44/AA$5)*100,1),new_transmute,4,FALSE),
VLOOKUP('Final Term'!AA44,new_transmute,4,FALSE)
),
""
)
)
)
)
)
)
)
)
))</f>
        <v/>
      </c>
      <c r="AB44" s="73" t="str">
        <f>IF($B44="","",
IF(AB$5="","",
IF('Final Term'!AB44="",0,
IF(NOT(ISNUMBER('Final Term'!AB44)),"NAN",
IF('Final Term'!AB44&lt;0,"NEG",
IF('Final Term'!AB44&gt;AB$5,"OVER",
IF(AND(AB$5&lt;=100,'Final Term'!AB44&gt;100),"ERR",
IF(Info!$B$4="Non-board program",
IF(OR(AND(AB$5&gt;0,AB$5&gt;100),AND(AB$5&gt;0,AB$5&lt;100)),
VLOOKUP(FLOOR(('Final Term'!AB44/AB$5)*100,1),new_transmute,2,FALSE),
VLOOKUP('Final Term'!AB44,new_transmute,2,FALSE)
),
IF(Info!$B$4="Board program",
IF(OR(AND(AB$5&gt;0,AB$5&gt;100),AND(AB$5&gt;0,AB$5&lt;100)),
VLOOKUP(FLOOR(('Final Term'!AB44/AB$5)*100,1),new_transmute,3,FALSE),
VLOOKUP('Final Term'!AB44,new_transmute,3,FALSE)
),
IF(Info!$B$4="Board program (Medicine)",
IF(OR(AND(AB$5&gt;0,AB$5&gt;100),AND(AB$5&gt;0,AB$5&lt;100)),
VLOOKUP(FLOOR(('Final Term'!AB44/AB$5)*100,1),new_transmute,4,FALSE),
VLOOKUP('Final Term'!AB44,new_transmute,4,FALSE)
),
""
)
)
)
)
)
)
)
)
))</f>
        <v/>
      </c>
      <c r="AC44" s="73" t="str">
        <f>IF($B44="","",
IF(AC$5="","",
IF('Final Term'!AC44="",0,
IF(NOT(ISNUMBER('Final Term'!AC44)),"NAN",
IF('Final Term'!AC44&lt;0,"NEG",
IF('Final Term'!AC44&gt;AC$5,"OVER",
IF(AND(AC$5&lt;=100,'Final Term'!AC44&gt;100),"ERR",
IF(Info!$B$4="Non-board program",
IF(OR(AND(AC$5&gt;0,AC$5&gt;100),AND(AC$5&gt;0,AC$5&lt;100)),
VLOOKUP(FLOOR(('Final Term'!AC44/AC$5)*100,1),new_transmute,2,FALSE),
VLOOKUP('Final Term'!AC44,new_transmute,2,FALSE)
),
IF(Info!$B$4="Board program",
IF(OR(AND(AC$5&gt;0,AC$5&gt;100),AND(AC$5&gt;0,AC$5&lt;100)),
VLOOKUP(FLOOR(('Final Term'!AC44/AC$5)*100,1),new_transmute,3,FALSE),
VLOOKUP('Final Term'!AC44,new_transmute,3,FALSE)
),
IF(Info!$B$4="Board program (Medicine)",
IF(OR(AND(AC$5&gt;0,AC$5&gt;100),AND(AC$5&gt;0,AC$5&lt;100)),
VLOOKUP(FLOOR(('Final Term'!AC44/AC$5)*100,1),new_transmute,4,FALSE),
VLOOKUP('Final Term'!AC44,new_transmute,4,FALSE)
),
""
)
)
)
)
)
)
)
)
))</f>
        <v/>
      </c>
      <c r="AD44" s="73" t="str">
        <f>IF($B44="","",
IF(AD$5="","",
IF('Final Term'!AD44="",0,
IF(NOT(ISNUMBER('Final Term'!AD44)),"NAN",
IF('Final Term'!AD44&lt;0,"NEG",
IF('Final Term'!AD44&gt;AD$5,"OVER",
IF(AND(AD$5&lt;=100,'Final Term'!AD44&gt;100),"ERR",
IF(Info!$B$4="Non-board program",
IF(OR(AND(AD$5&gt;0,AD$5&gt;100),AND(AD$5&gt;0,AD$5&lt;100)),
VLOOKUP(FLOOR(('Final Term'!AD44/AD$5)*100,1),new_transmute,2,FALSE),
VLOOKUP('Final Term'!AD44,new_transmute,2,FALSE)
),
IF(Info!$B$4="Board program",
IF(OR(AND(AD$5&gt;0,AD$5&gt;100),AND(AD$5&gt;0,AD$5&lt;100)),
VLOOKUP(FLOOR(('Final Term'!AD44/AD$5)*100,1),new_transmute,3,FALSE),
VLOOKUP('Final Term'!AD44,new_transmute,3,FALSE)
),
IF(Info!$B$4="Board program (Medicine)",
IF(OR(AND(AD$5&gt;0,AD$5&gt;100),AND(AD$5&gt;0,AD$5&lt;100)),
VLOOKUP(FLOOR(('Final Term'!AD44/AD$5)*100,1),new_transmute,4,FALSE),
VLOOKUP('Final Term'!AD44,new_transmute,4,FALSE)
),
""
)
)
)
)
)
)
)
)
))</f>
        <v/>
      </c>
      <c r="AE44" s="58" t="str">
        <f t="shared" si="5"/>
        <v/>
      </c>
      <c r="AF44" s="73" t="str">
        <f>IF($B44="","",
IF(AF$5="","",
IF('Final Term'!AF44="",0,
IF(NOT(ISNUMBER('Final Term'!AF44)),"NAN",
IF('Final Term'!AF44&lt;0,"NEG",
IF('Final Term'!AF44&gt;AF$5,"OVER",
IF(AND(AF$5&lt;=100,'Final Term'!AF44&gt;100),"ERR",
IF(Info!$B$4="Non-board program",
IF(OR(AND(AF$5&gt;0,AF$5&gt;100),AND(AF$5&gt;0,AF$5&lt;100)),
VLOOKUP(FLOOR(('Final Term'!AF44/AF$5)*100,1),new_transmute,2,FALSE),
VLOOKUP('Final Term'!AF44,new_transmute,2,FALSE)
),
IF(Info!$B$4="Board program",
IF(OR(AND(AF$5&gt;0,AF$5&gt;100),AND(AF$5&gt;0,AF$5&lt;100)),
VLOOKUP(FLOOR(('Final Term'!AF44/AF$5)*100,1),new_transmute,3,FALSE),
VLOOKUP('Final Term'!AF44,new_transmute,3,FALSE)
),
IF(Info!$B$4="Board program (Medicine)",
IF(OR(AND(AF$5&gt;0,AF$5&gt;100),AND(AF$5&gt;0,AF$5&lt;100)),
VLOOKUP(FLOOR(('Final Term'!AF44/AF$5)*100,1),new_transmute,4,FALSE),
VLOOKUP('Final Term'!AF44,new_transmute,4,FALSE)
),
""
)
)
)
)
)
)
)
)
))</f>
        <v/>
      </c>
      <c r="AG44" s="73" t="str">
        <f>IF($B44="","",
IF(AG$5="","",
IF('Final Term'!AG44="",0,
IF(NOT(ISNUMBER('Final Term'!AG44)),"NAN",
IF('Final Term'!AG44&lt;0,"NEG",
IF('Final Term'!AG44&gt;AG$5,"OVER",
IF(AND(AG$5&lt;=100,'Final Term'!AG44&gt;100),"ERR",
IF(Info!$B$4="Non-board program",
IF(OR(AND(AG$5&gt;0,AG$5&gt;100),AND(AG$5&gt;0,AG$5&lt;100)),
VLOOKUP(FLOOR(('Final Term'!AG44/AG$5)*100,1),new_transmute,2,FALSE),
VLOOKUP('Final Term'!AG44,new_transmute,2,FALSE)
),
IF(Info!$B$4="Board program",
IF(OR(AND(AG$5&gt;0,AG$5&gt;100),AND(AG$5&gt;0,AG$5&lt;100)),
VLOOKUP(FLOOR(('Final Term'!AG44/AG$5)*100,1),new_transmute,3,FALSE),
VLOOKUP('Final Term'!AG44,new_transmute,3,FALSE)
),
IF(Info!$B$4="Board program (Medicine)",
IF(OR(AND(AG$5&gt;0,AG$5&gt;100),AND(AG$5&gt;0,AG$5&lt;100)),
VLOOKUP(FLOOR(('Final Term'!AG44/AG$5)*100,1),new_transmute,4,FALSE),
VLOOKUP('Final Term'!AG44,new_transmute,4,FALSE)
),
""
)
)
)
)
)
)
)
)
))</f>
        <v/>
      </c>
      <c r="AH44" s="73" t="str">
        <f>IF($B44="","",
IF(AH$5="","",
IF('Final Term'!AH44="",0,
IF(NOT(ISNUMBER('Final Term'!AH44)),"NAN",
IF('Final Term'!AH44&lt;0,"NEG",
IF('Final Term'!AH44&gt;AH$5,"OVER",
IF(AND(AH$5&lt;=100,'Final Term'!AH44&gt;100),"ERR",
IF(Info!$B$4="Non-board program",
IF(OR(AND(AH$5&gt;0,AH$5&gt;100),AND(AH$5&gt;0,AH$5&lt;100)),
VLOOKUP(FLOOR(('Final Term'!AH44/AH$5)*100,1),new_transmute,2,FALSE),
VLOOKUP('Final Term'!AH44,new_transmute,2,FALSE)
),
IF(Info!$B$4="Board program",
IF(OR(AND(AH$5&gt;0,AH$5&gt;100),AND(AH$5&gt;0,AH$5&lt;100)),
VLOOKUP(FLOOR(('Final Term'!AH44/AH$5)*100,1),new_transmute,3,FALSE),
VLOOKUP('Final Term'!AH44,new_transmute,3,FALSE)
),
IF(Info!$B$4="Board program (Medicine)",
IF(OR(AND(AH$5&gt;0,AH$5&gt;100),AND(AH$5&gt;0,AH$5&lt;100)),
VLOOKUP(FLOOR(('Final Term'!AH44/AH$5)*100,1),new_transmute,4,FALSE),
VLOOKUP('Final Term'!AH44,new_transmute,4,FALSE)
),
""
)
)
)
)
)
)
)
)
))</f>
        <v/>
      </c>
      <c r="AI44" s="73" t="str">
        <f>IF($B44="","",
IF(AI$5="","",
IF('Final Term'!AI44="",0,
IF(NOT(ISNUMBER('Final Term'!AI44)),"NAN",
IF('Final Term'!AI44&lt;0,"NEG",
IF('Final Term'!AI44&gt;AI$5,"OVER",
IF(AND(AI$5&lt;=100,'Final Term'!AI44&gt;100),"ERR",
IF(Info!$B$4="Non-board program",
IF(OR(AND(AI$5&gt;0,AI$5&gt;100),AND(AI$5&gt;0,AI$5&lt;100)),
VLOOKUP(FLOOR(('Final Term'!AI44/AI$5)*100,1),new_transmute,2,FALSE),
VLOOKUP('Final Term'!AI44,new_transmute,2,FALSE)
),
IF(Info!$B$4="Board program",
IF(OR(AND(AI$5&gt;0,AI$5&gt;100),AND(AI$5&gt;0,AI$5&lt;100)),
VLOOKUP(FLOOR(('Final Term'!AI44/AI$5)*100,1),new_transmute,3,FALSE),
VLOOKUP('Final Term'!AI44,new_transmute,3,FALSE)
),
IF(Info!$B$4="Board program (Medicine)",
IF(OR(AND(AI$5&gt;0,AI$5&gt;100),AND(AI$5&gt;0,AI$5&lt;100)),
VLOOKUP(FLOOR(('Final Term'!AI44/AI$5)*100,1),new_transmute,4,FALSE),
VLOOKUP('Final Term'!AI44,new_transmute,4,FALSE)
),
""
)
)
)
)
)
)
)
)
))</f>
        <v/>
      </c>
      <c r="AJ44" s="73" t="str">
        <f>IF($B44="","",
IF(AJ$5="","",
IF('Final Term'!AJ44="",0,
IF(NOT(ISNUMBER('Final Term'!AJ44)),"NAN",
IF('Final Term'!AJ44&lt;0,"NEG",
IF('Final Term'!AJ44&gt;AJ$5,"OVER",
IF(AND(AJ$5&lt;=100,'Final Term'!AJ44&gt;100),"ERR",
IF(Info!$B$4="Non-board program",
IF(OR(AND(AJ$5&gt;0,AJ$5&gt;100),AND(AJ$5&gt;0,AJ$5&lt;100)),
VLOOKUP(FLOOR(('Final Term'!AJ44/AJ$5)*100,1),new_transmute,2,FALSE),
VLOOKUP('Final Term'!AJ44,new_transmute,2,FALSE)
),
IF(Info!$B$4="Board program",
IF(OR(AND(AJ$5&gt;0,AJ$5&gt;100),AND(AJ$5&gt;0,AJ$5&lt;100)),
VLOOKUP(FLOOR(('Final Term'!AJ44/AJ$5)*100,1),new_transmute,3,FALSE),
VLOOKUP('Final Term'!AJ44,new_transmute,3,FALSE)
),
IF(Info!$B$4="Board program (Medicine)",
IF(OR(AND(AJ$5&gt;0,AJ$5&gt;100),AND(AJ$5&gt;0,AJ$5&lt;100)),
VLOOKUP(FLOOR(('Final Term'!AJ44/AJ$5)*100,1),new_transmute,4,FALSE),
VLOOKUP('Final Term'!AJ44,new_transmute,4,FALSE)
),
""
)
)
)
)
)
)
)
)
))</f>
        <v/>
      </c>
      <c r="AK44" s="59" t="str">
        <f t="shared" si="6"/>
        <v/>
      </c>
      <c r="AL44" s="60" t="str">
        <f>IF(B44="", "",
    IF(OR(M44="OVER", S44="OVER", Y44="OVER", AE44="OVER", AK44="OVER"),
        "OVER",
        IF(Info!$B$4="Non-board program",
            VLOOKUP(IFERROR(FLOOR(SUM((M44*$M$4), (S44*$S$4), (Y44*$Y$4), (AE44*$AE$4), (AK44*$AK$4)) * (100 / 60), 1), 0), new_transmute, 2, FALSE),
            IF(Info!$B$4="Board program",
                VLOOKUP(IFERROR(FLOOR(SUM((M44*$M$4), (S44*$S$4), (Y44*$Y$4), (AE44*$AE$4), (AK44*$AK$4)) * (100 / 60), 1), 0), new_transmute, 3, FALSE),
                IF(Info!$B$4="Board program (Medicine)",
                    VLOOKUP(IFERROR(FLOOR(SUM((M44*$M$4), (S44*$S$4), (Y44*$Y$4), (AE44*$AE$4), (AK44*$AK$4)) * (100 / 60), 1), 0), new_transmute, 4, FALSE),
                    ""
                )
            )
        )
    )
)</f>
        <v/>
      </c>
      <c r="AM44" s="73" t="str">
        <f>IF($B44="","",
IF(AM$5="","",
IF('Final Term'!AM44="",0,
IF(NOT(ISNUMBER('Final Term'!AM44)),"NAN",
IF('Final Term'!AM44&lt;0,"NEG",
IF('Final Term'!AM44&gt;AM$5,"OVER",
IF(AND(AM$5&lt;=100,'Final Term'!AM44&gt;100),"ERR",
IF(Info!$B$4="Non-board program",
IF(OR(AND(AM$5&gt;0,AM$5&gt;100),AND(AM$5&gt;0,AM$5&lt;100)),
VLOOKUP(FLOOR(('Final Term'!AM44/AM$5)*100,1),new_transmute,2,FALSE),
VLOOKUP('Final Term'!AM44,new_transmute,2,FALSE)
),
IF(Info!$B$4="Board program",
IF(OR(AND(AM$5&gt;0,AM$5&gt;100),AND(AM$5&gt;0,AM$5&lt;100)),
VLOOKUP(FLOOR(('Final Term'!AM44/AM$5)*100,1),new_transmute,3,FALSE),
VLOOKUP('Final Term'!AM44,new_transmute,3,FALSE)
),
IF(Info!$B$4="Board program (Medicine)",
IF(OR(AND(AM$5&gt;0,AM$5&gt;100),AND(AM$5&gt;0,AM$5&lt;100)),
VLOOKUP(FLOOR(('Final Term'!AM44/AM$5)*100,1),new_transmute,4,FALSE),
VLOOKUP('Final Term'!AM44,new_transmute,4,FALSE)
),
""
)
)
)
)
)
)
)
)
))</f>
        <v/>
      </c>
      <c r="AN44" s="73" t="str">
        <f>IF($B44="","",
IF(AN$5="","",
IF('Final Term'!AN44="",0,
IF(NOT(ISNUMBER('Final Term'!AN44)),"NAN",
IF('Final Term'!AN44&lt;0,"NEG",
IF('Final Term'!AN44&gt;AN$5,"OVER",
IF(AND(AN$5&lt;=100,'Final Term'!AN44&gt;100),"ERR",
IF(Info!$B$4="Non-board program",
IF(OR(AND(AN$5&gt;0,AN$5&gt;100),AND(AN$5&gt;0,AN$5&lt;100)),
VLOOKUP(FLOOR(('Final Term'!AN44/AN$5)*100,1),new_transmute,2,FALSE),
VLOOKUP('Final Term'!AN44,new_transmute,2,FALSE)
),
IF(Info!$B$4="Board program",
IF(OR(AND(AN$5&gt;0,AN$5&gt;100),AND(AN$5&gt;0,AN$5&lt;100)),
VLOOKUP(FLOOR(('Final Term'!AN44/AN$5)*100,1),new_transmute,3,FALSE),
VLOOKUP('Final Term'!AN44,new_transmute,3,FALSE)
),
IF(Info!$B$4="Board program (Medicine)",
IF(OR(AND(AN$5&gt;0,AN$5&gt;100),AND(AN$5&gt;0,AN$5&lt;100)),
VLOOKUP(FLOOR(('Final Term'!AN44/AN$5)*100,1),new_transmute,4,FALSE),
VLOOKUP('Final Term'!AN44,new_transmute,4,FALSE)
),
""
)
)
)
)
)
)
)
)
))</f>
        <v/>
      </c>
      <c r="AO44" s="73" t="str">
        <f>IF($B44="","",
IF(AO$5="","",
IF('Final Term'!AO44="",0,
IF(NOT(ISNUMBER('Final Term'!AO44)),"NAN",
IF('Final Term'!AO44&lt;0,"NEG",
IF('Final Term'!AO44&gt;AO$5,"OVER",
IF(AND(AO$5&lt;=100,'Final Term'!AO44&gt;100),"ERR",
IF(Info!$B$4="Non-board program",
IF(OR(AND(AO$5&gt;0,AO$5&gt;100),AND(AO$5&gt;0,AO$5&lt;100)),
VLOOKUP(FLOOR(('Final Term'!AO44/AO$5)*100,1),new_transmute,2,FALSE),
VLOOKUP('Final Term'!AO44,new_transmute,2,FALSE)
),
IF(Info!$B$4="Board program",
IF(OR(AND(AO$5&gt;0,AO$5&gt;100),AND(AO$5&gt;0,AO$5&lt;100)),
VLOOKUP(FLOOR(('Final Term'!AO44/AO$5)*100,1),new_transmute,3,FALSE),
VLOOKUP('Final Term'!AO44,new_transmute,3,FALSE)
),
IF(Info!$B$4="Board program (Medicine)",
IF(OR(AND(AO$5&gt;0,AO$5&gt;100),AND(AO$5&gt;0,AO$5&lt;100)),
VLOOKUP(FLOOR(('Final Term'!AO44/AO$5)*100,1),new_transmute,4,FALSE),
VLOOKUP('Final Term'!AO44,new_transmute,4,FALSE)
),
""
)
)
)
)
)
)
)
)
))</f>
        <v/>
      </c>
      <c r="AP44" s="73" t="str">
        <f>IF($B44="","",
IF(AP$5="","",
IF('Final Term'!AP44="",0,
IF(NOT(ISNUMBER('Final Term'!AP44)),"NAN",
IF('Final Term'!AP44&lt;0,"NEG",
IF('Final Term'!AP44&gt;AP$5,"OVER",
IF(AND(AP$5&lt;=100,'Final Term'!AP44&gt;100),"ERR",
IF(Info!$B$4="Non-board program",
IF(OR(AND(AP$5&gt;0,AP$5&gt;100),AND(AP$5&gt;0,AP$5&lt;100)),
VLOOKUP(FLOOR(('Final Term'!AP44/AP$5)*100,1),new_transmute,2,FALSE),
VLOOKUP('Final Term'!AP44,new_transmute,2,FALSE)
),
IF(Info!$B$4="Board program",
IF(OR(AND(AP$5&gt;0,AP$5&gt;100),AND(AP$5&gt;0,AP$5&lt;100)),
VLOOKUP(FLOOR(('Final Term'!AP44/AP$5)*100,1),new_transmute,3,FALSE),
VLOOKUP('Final Term'!AP44,new_transmute,3,FALSE)
),
IF(Info!$B$4="Board program (Medicine)",
IF(OR(AND(AP$5&gt;0,AP$5&gt;100),AND(AP$5&gt;0,AP$5&lt;100)),
VLOOKUP(FLOOR(('Final Term'!AP44/AP$5)*100,1),new_transmute,4,FALSE),
VLOOKUP('Final Term'!AP44,new_transmute,4,FALSE)
),
""
)
)
)
)
)
)
)
)
))</f>
        <v/>
      </c>
      <c r="AQ44" s="61" t="str">
        <f t="shared" si="7"/>
        <v/>
      </c>
      <c r="AR44" s="48" t="str">
        <f>IF('Final Term'!AR44="","",'Final Term'!AR44)</f>
        <v/>
      </c>
      <c r="AS44" s="165" t="str">
        <f t="shared" si="8"/>
        <v/>
      </c>
      <c r="AT44" s="14" t="str">
        <f t="shared" si="9"/>
        <v/>
      </c>
      <c r="AU44" s="13" t="str">
        <f>IF(B44="","",VLOOKUP(AT44,'New Grade Equivalent'!$B$3:$C$47,2,FALSE))</f>
        <v/>
      </c>
    </row>
    <row r="45" spans="1:47" x14ac:dyDescent="0.25">
      <c r="A45" s="8">
        <v>40</v>
      </c>
      <c r="B45" s="2" t="str">
        <f>IF('Student List'!C49="","",UPPER(LEFT('Student List'!C49,FIND(",",'Student List'!C49)-1)))</f>
        <v/>
      </c>
      <c r="C45" s="12" t="str">
        <f>IF('Student List'!C49="","",PROPER(MID('Student List'!C49, FIND(",", 'Student List'!C49) + 2, LEN('Student List'!C49) - FIND(",", 'Student List'!C49) - 1)))</f>
        <v/>
      </c>
      <c r="D45" s="127" t="str">
        <f>IF('Final Term'!D45="","",'Final Term'!D45)</f>
        <v/>
      </c>
      <c r="E45" s="8" t="str">
        <f>IF(MidCom!E45="FA", "FA",
    IF(MidCom!E45="DRP", "DRP",
        IF(MidCom!E45="WF", "WF",
            IF(D45="Yes", "INC",
               IF((SUM('MT Attendance'!AW43) / 3 + SUM('MT Attendance'!AY43) + SUM('FT Attendance'!AW43) / 3 + SUM('FT Attendance'!AY43)) &gt;= 0.2 * (SUMPRODUCT(--(ISTEXT('MT Attendance'!$C$2:$AU$2))) + SUMPRODUCT(--(ISTEXT('FT Attendance'!$C$2:$AU$2)))), "FA",
                   MidCom!E45
                )
            )
        )
    )
)</f>
        <v/>
      </c>
      <c r="F45" s="73" t="str">
        <f>IF($B45="","",
IF(F$5="","",
IF('Final Term'!F45="",0,
IF(NOT(ISNUMBER('Final Term'!F45)),"NAN",
IF('Final Term'!F45&lt;0,"NEG",
IF('Final Term'!F45&gt;F$5,"OVER",
IF(AND(F$5&lt;=100,'Final Term'!F45&gt;100),"ERR",
IF(Info!$B$4="Non-board program",
IF(OR(AND(F$5&gt;0,F$5&gt;100),AND(F$5&gt;0,F$5&lt;100)),
VLOOKUP(FLOOR(('Final Term'!F45/F$5)*100,1),new_transmute,2,FALSE),
VLOOKUP('Final Term'!F45,new_transmute,2,FALSE)
),
IF(Info!$B$4="Board program",
IF(OR(AND(F$5&gt;0,F$5&gt;100),AND(F$5&gt;0,F$5&lt;100)),
VLOOKUP(FLOOR(('Final Term'!F45/F$5)*100,1),new_transmute,3,FALSE),
VLOOKUP('Final Term'!F45,new_transmute,3,FALSE)
),
IF(Info!$B$4="Board program (Medicine)",
IF(OR(AND(F$5&gt;0,F$5&gt;100),AND(F$5&gt;0,F$5&lt;100)),
VLOOKUP(FLOOR(('Final Term'!F45/F$5)*100,1),new_transmute,4,FALSE),
VLOOKUP('Final Term'!F45,new_transmute,4,FALSE)
),
""
)
)
)
)
)
)
)
)
))</f>
        <v/>
      </c>
      <c r="G45" s="57" t="str">
        <f t="shared" si="1"/>
        <v/>
      </c>
      <c r="H45" s="73" t="str">
        <f>IF($B45="","",
IF(H$5="","",
IF('Final Term'!H45="",0,
IF(NOT(ISNUMBER('Final Term'!H45)),"NAN",
IF('Final Term'!H45&lt;0,"NEG",
IF('Final Term'!H45&gt;H$5,"OVER",
IF(AND(H$5&lt;=100,'Final Term'!H45&gt;100),"ERR",
IF(Info!$B$4="Non-board program",
IF(OR(AND(H$5&gt;0,H$5&gt;100),AND(H$5&gt;0,H$5&lt;100)),
VLOOKUP(FLOOR(('Final Term'!H45/H$5)*100,1),new_transmute,2,FALSE),
VLOOKUP('Final Term'!H45,new_transmute,2,FALSE)
),
IF(Info!$B$4="Board program",
IF(OR(AND(H$5&gt;0,H$5&gt;100),AND(H$5&gt;0,H$5&lt;100)),
VLOOKUP(FLOOR(('Final Term'!H45/H$5)*100,1),new_transmute,3,FALSE),
VLOOKUP('Final Term'!H45,new_transmute,3,FALSE)
),
IF(Info!$B$4="Board program (Medicine)",
IF(OR(AND(H$5&gt;0,H$5&gt;100),AND(H$5&gt;0,H$5&lt;100)),
VLOOKUP(FLOOR(('Final Term'!H45/H$5)*100,1),new_transmute,4,FALSE),
VLOOKUP('Final Term'!H45,new_transmute,4,FALSE)
),
""
)
)
)
)
)
)
)
)
))</f>
        <v/>
      </c>
      <c r="I45" s="73" t="str">
        <f>IF($B45="","",
IF(I$5="","",
IF('Final Term'!I45="",0,
IF(NOT(ISNUMBER('Final Term'!I45)),"NAN",
IF('Final Term'!I45&lt;0,"NEG",
IF('Final Term'!I45&gt;I$5,"OVER",
IF(AND(I$5&lt;=100,'Final Term'!I45&gt;100),"ERR",
IF(Info!$B$4="Non-board program",
IF(OR(AND(I$5&gt;0,I$5&gt;100),AND(I$5&gt;0,I$5&lt;100)),
VLOOKUP(FLOOR(('Final Term'!I45/I$5)*100,1),new_transmute,2,FALSE),
VLOOKUP('Final Term'!I45,new_transmute,2,FALSE)
),
IF(Info!$B$4="Board program",
IF(OR(AND(I$5&gt;0,I$5&gt;100),AND(I$5&gt;0,I$5&lt;100)),
VLOOKUP(FLOOR(('Final Term'!I45/I$5)*100,1),new_transmute,3,FALSE),
VLOOKUP('Final Term'!I45,new_transmute,3,FALSE)
),
IF(Info!$B$4="Board program (Medicine)",
IF(OR(AND(I$5&gt;0,I$5&gt;100),AND(I$5&gt;0,I$5&lt;100)),
VLOOKUP(FLOOR(('Final Term'!I45/I$5)*100,1),new_transmute,4,FALSE),
VLOOKUP('Final Term'!I45,new_transmute,4,FALSE)
),
""
)
)
)
)
)
)
)
)
))</f>
        <v/>
      </c>
      <c r="J45" s="73" t="str">
        <f>IF($B45="","",
IF(J$5="","",
IF('Final Term'!J45="",0,
IF(NOT(ISNUMBER('Final Term'!J45)),"NAN",
IF('Final Term'!J45&lt;0,"NEG",
IF('Final Term'!J45&gt;J$5,"OVER",
IF(AND(J$5&lt;=100,'Final Term'!J45&gt;100),"ERR",
IF(Info!$B$4="Non-board program",
IF(OR(AND(J$5&gt;0,J$5&gt;100),AND(J$5&gt;0,J$5&lt;100)),
VLOOKUP(FLOOR(('Final Term'!J45/J$5)*100,1),new_transmute,2,FALSE),
VLOOKUP('Final Term'!J45,new_transmute,2,FALSE)
),
IF(Info!$B$4="Board program",
IF(OR(AND(J$5&gt;0,J$5&gt;100),AND(J$5&gt;0,J$5&lt;100)),
VLOOKUP(FLOOR(('Final Term'!J45/J$5)*100,1),new_transmute,3,FALSE),
VLOOKUP('Final Term'!J45,new_transmute,3,FALSE)
),
IF(Info!$B$4="Board program (Medicine)",
IF(OR(AND(J$5&gt;0,J$5&gt;100),AND(J$5&gt;0,J$5&lt;100)),
VLOOKUP(FLOOR(('Final Term'!J45/J$5)*100,1),new_transmute,4,FALSE),
VLOOKUP('Final Term'!J45,new_transmute,4,FALSE)
),
""
)
)
)
)
)
)
)
)
))</f>
        <v/>
      </c>
      <c r="K45" s="73" t="str">
        <f>IF($B45="","",
IF(K$5="","",
IF('Final Term'!K45="",0,
IF(NOT(ISNUMBER('Final Term'!K45)),"NAN",
IF('Final Term'!K45&lt;0,"NEG",
IF('Final Term'!K45&gt;K$5,"OVER",
IF(AND(K$5&lt;=100,'Final Term'!K45&gt;100),"ERR",
IF(Info!$B$4="Non-board program",
IF(OR(AND(K$5&gt;0,K$5&gt;100),AND(K$5&gt;0,K$5&lt;100)),
VLOOKUP(FLOOR(('Final Term'!K45/K$5)*100,1),new_transmute,2,FALSE),
VLOOKUP('Final Term'!K45,new_transmute,2,FALSE)
),
IF(Info!$B$4="Board program",
IF(OR(AND(K$5&gt;0,K$5&gt;100),AND(K$5&gt;0,K$5&lt;100)),
VLOOKUP(FLOOR(('Final Term'!K45/K$5)*100,1),new_transmute,3,FALSE),
VLOOKUP('Final Term'!K45,new_transmute,3,FALSE)
),
IF(Info!$B$4="Board program (Medicine)",
IF(OR(AND(K$5&gt;0,K$5&gt;100),AND(K$5&gt;0,K$5&lt;100)),
VLOOKUP(FLOOR(('Final Term'!K45/K$5)*100,1),new_transmute,4,FALSE),
VLOOKUP('Final Term'!K45,new_transmute,4,FALSE)
),
""
)
)
)
)
)
)
)
)
))</f>
        <v/>
      </c>
      <c r="L45" s="73" t="str">
        <f>IF($B45="","",
IF(L$5="","",
IF('Final Term'!L45="",0,
IF(NOT(ISNUMBER('Final Term'!L45)),"NAN",
IF('Final Term'!L45&lt;0,"NEG",
IF('Final Term'!L45&gt;L$5,"OVER",
IF(AND(L$5&lt;=100,'Final Term'!L45&gt;100),"ERR",
IF(Info!$B$4="Non-board program",
IF(OR(AND(L$5&gt;0,L$5&gt;100),AND(L$5&gt;0,L$5&lt;100)),
VLOOKUP(FLOOR(('Final Term'!L45/L$5)*100,1),new_transmute,2,FALSE),
VLOOKUP('Final Term'!L45,new_transmute,2,FALSE)
),
IF(Info!$B$4="Board program",
IF(OR(AND(L$5&gt;0,L$5&gt;100),AND(L$5&gt;0,L$5&lt;100)),
VLOOKUP(FLOOR(('Final Term'!L45/L$5)*100,1),new_transmute,3,FALSE),
VLOOKUP('Final Term'!L45,new_transmute,3,FALSE)
),
IF(Info!$B$4="Board program (Medicine)",
IF(OR(AND(L$5&gt;0,L$5&gt;100),AND(L$5&gt;0,L$5&lt;100)),
VLOOKUP(FLOOR(('Final Term'!L45/L$5)*100,1),new_transmute,4,FALSE),
VLOOKUP('Final Term'!L45,new_transmute,4,FALSE)
),
""
)
)
)
)
)
)
)
)
))</f>
        <v/>
      </c>
      <c r="M45" s="111" t="str">
        <f t="shared" si="2"/>
        <v/>
      </c>
      <c r="N45" s="73" t="str">
        <f>IF($B45="","",
IF(N$5="","",
IF('Final Term'!N45="",0,
IF(NOT(ISNUMBER('Final Term'!N45)),"NAN",
IF('Final Term'!N45&lt;0,"NEG",
IF('Final Term'!N45&gt;N$5,"OVER",
IF(AND(N$5&lt;=100,'Final Term'!N45&gt;100),"ERR",
IF(Info!$B$4="Non-board program",
IF(OR(AND(N$5&gt;0,N$5&gt;100),AND(N$5&gt;0,N$5&lt;100)),
VLOOKUP(FLOOR(('Final Term'!N45/N$5)*100,1),new_transmute,2,FALSE),
VLOOKUP('Final Term'!N45,new_transmute,2,FALSE)
),
IF(Info!$B$4="Board program",
IF(OR(AND(N$5&gt;0,N$5&gt;100),AND(N$5&gt;0,N$5&lt;100)),
VLOOKUP(FLOOR(('Final Term'!N45/N$5)*100,1),new_transmute,3,FALSE),
VLOOKUP('Final Term'!N45,new_transmute,3,FALSE)
),
IF(Info!$B$4="Board program (Medicine)",
IF(OR(AND(N$5&gt;0,N$5&gt;100),AND(N$5&gt;0,N$5&lt;100)),
VLOOKUP(FLOOR(('Final Term'!N45/N$5)*100,1),new_transmute,4,FALSE),
VLOOKUP('Final Term'!N45,new_transmute,4,FALSE)
),
""
)
)
)
)
)
)
)
)
))</f>
        <v/>
      </c>
      <c r="O45" s="73" t="str">
        <f>IF($B45="","",
IF(O$5="","",
IF('Final Term'!O45="",0,
IF(NOT(ISNUMBER('Final Term'!O45)),"NAN",
IF('Final Term'!O45&lt;0,"NEG",
IF('Final Term'!O45&gt;O$5,"OVER",
IF(AND(O$5&lt;=100,'Final Term'!O45&gt;100),"ERR",
IF(Info!$B$4="Non-board program",
IF(OR(AND(O$5&gt;0,O$5&gt;100),AND(O$5&gt;0,O$5&lt;100)),
VLOOKUP(FLOOR(('Final Term'!O45/O$5)*100,1),new_transmute,2,FALSE),
VLOOKUP('Final Term'!O45,new_transmute,2,FALSE)
),
IF(Info!$B$4="Board program",
IF(OR(AND(O$5&gt;0,O$5&gt;100),AND(O$5&gt;0,O$5&lt;100)),
VLOOKUP(FLOOR(('Final Term'!O45/O$5)*100,1),new_transmute,3,FALSE),
VLOOKUP('Final Term'!O45,new_transmute,3,FALSE)
),
IF(Info!$B$4="Board program (Medicine)",
IF(OR(AND(O$5&gt;0,O$5&gt;100),AND(O$5&gt;0,O$5&lt;100)),
VLOOKUP(FLOOR(('Final Term'!O45/O$5)*100,1),new_transmute,4,FALSE),
VLOOKUP('Final Term'!O45,new_transmute,4,FALSE)
),
""
)
)
)
)
)
)
)
)
))</f>
        <v/>
      </c>
      <c r="P45" s="73" t="str">
        <f>IF($B45="","",
IF(P$5="","",
IF('Final Term'!P45="",0,
IF(NOT(ISNUMBER('Final Term'!P45)),"NAN",
IF('Final Term'!P45&lt;0,"NEG",
IF('Final Term'!P45&gt;P$5,"OVER",
IF(AND(P$5&lt;=100,'Final Term'!P45&gt;100),"ERR",
IF(Info!$B$4="Non-board program",
IF(OR(AND(P$5&gt;0,P$5&gt;100),AND(P$5&gt;0,P$5&lt;100)),
VLOOKUP(FLOOR(('Final Term'!P45/P$5)*100,1),new_transmute,2,FALSE),
VLOOKUP('Final Term'!P45,new_transmute,2,FALSE)
),
IF(Info!$B$4="Board program",
IF(OR(AND(P$5&gt;0,P$5&gt;100),AND(P$5&gt;0,P$5&lt;100)),
VLOOKUP(FLOOR(('Final Term'!P45/P$5)*100,1),new_transmute,3,FALSE),
VLOOKUP('Final Term'!P45,new_transmute,3,FALSE)
),
IF(Info!$B$4="Board program (Medicine)",
IF(OR(AND(P$5&gt;0,P$5&gt;100),AND(P$5&gt;0,P$5&lt;100)),
VLOOKUP(FLOOR(('Final Term'!P45/P$5)*100,1),new_transmute,4,FALSE),
VLOOKUP('Final Term'!P45,new_transmute,4,FALSE)
),
""
)
)
)
)
)
)
)
)
))</f>
        <v/>
      </c>
      <c r="Q45" s="73" t="str">
        <f>IF($B45="","",
IF(Q$5="","",
IF('Final Term'!Q45="",0,
IF(NOT(ISNUMBER('Final Term'!Q45)),"NAN",
IF('Final Term'!Q45&lt;0,"NEG",
IF('Final Term'!Q45&gt;Q$5,"OVER",
IF(AND(Q$5&lt;=100,'Final Term'!Q45&gt;100),"ERR",
IF(Info!$B$4="Non-board program",
IF(OR(AND(Q$5&gt;0,Q$5&gt;100),AND(Q$5&gt;0,Q$5&lt;100)),
VLOOKUP(FLOOR(('Final Term'!Q45/Q$5)*100,1),new_transmute,2,FALSE),
VLOOKUP('Final Term'!Q45,new_transmute,2,FALSE)
),
IF(Info!$B$4="Board program",
IF(OR(AND(Q$5&gt;0,Q$5&gt;100),AND(Q$5&gt;0,Q$5&lt;100)),
VLOOKUP(FLOOR(('Final Term'!Q45/Q$5)*100,1),new_transmute,3,FALSE),
VLOOKUP('Final Term'!Q45,new_transmute,3,FALSE)
),
IF(Info!$B$4="Board program (Medicine)",
IF(OR(AND(Q$5&gt;0,Q$5&gt;100),AND(Q$5&gt;0,Q$5&lt;100)),
VLOOKUP(FLOOR(('Final Term'!Q45/Q$5)*100,1),new_transmute,4,FALSE),
VLOOKUP('Final Term'!Q45,new_transmute,4,FALSE)
),
""
)
)
)
)
)
)
)
)
))</f>
        <v/>
      </c>
      <c r="R45" s="73" t="str">
        <f>IF($B45="","",
IF(R$5="","",
IF('Final Term'!R45="",0,
IF(NOT(ISNUMBER('Final Term'!R45)),"NAN",
IF('Final Term'!R45&lt;0,"NEG",
IF('Final Term'!R45&gt;R$5,"OVER",
IF(AND(R$5&lt;=100,'Final Term'!R45&gt;100),"ERR",
IF(Info!$B$4="Non-board program",
IF(OR(AND(R$5&gt;0,R$5&gt;100),AND(R$5&gt;0,R$5&lt;100)),
VLOOKUP(FLOOR(('Final Term'!R45/R$5)*100,1),new_transmute,2,FALSE),
VLOOKUP('Final Term'!R45,new_transmute,2,FALSE)
),
IF(Info!$B$4="Board program",
IF(OR(AND(R$5&gt;0,R$5&gt;100),AND(R$5&gt;0,R$5&lt;100)),
VLOOKUP(FLOOR(('Final Term'!R45/R$5)*100,1),new_transmute,3,FALSE),
VLOOKUP('Final Term'!R45,new_transmute,3,FALSE)
),
IF(Info!$B$4="Board program (Medicine)",
IF(OR(AND(R$5&gt;0,R$5&gt;100),AND(R$5&gt;0,R$5&lt;100)),
VLOOKUP(FLOOR(('Final Term'!R45/R$5)*100,1),new_transmute,4,FALSE),
VLOOKUP('Final Term'!R45,new_transmute,4,FALSE)
),
""
)
)
)
)
)
)
)
)
))</f>
        <v/>
      </c>
      <c r="S45" s="115" t="str">
        <f t="shared" si="3"/>
        <v/>
      </c>
      <c r="T45" s="73" t="str">
        <f>IF($B45="","",
IF(T$5="","",
IF('Final Term'!T45="",0,
IF(NOT(ISNUMBER('Final Term'!T45)),"NAN",
IF('Final Term'!T45&lt;0,"NEG",
IF('Final Term'!T45&gt;T$5,"OVER",
IF(AND(T$5&lt;=100,'Final Term'!T45&gt;100),"ERR",
IF(Info!$B$4="Non-board program",
IF(OR(AND(T$5&gt;0,T$5&gt;100),AND(T$5&gt;0,T$5&lt;100)),
VLOOKUP(FLOOR(('Final Term'!T45/T$5)*100,1),new_transmute,2,FALSE),
VLOOKUP('Final Term'!T45,new_transmute,2,FALSE)
),
IF(Info!$B$4="Board program",
IF(OR(AND(T$5&gt;0,T$5&gt;100),AND(T$5&gt;0,T$5&lt;100)),
VLOOKUP(FLOOR(('Final Term'!T45/T$5)*100,1),new_transmute,3,FALSE),
VLOOKUP('Final Term'!T45,new_transmute,3,FALSE)
),
IF(Info!$B$4="Board program (Medicine)",
IF(OR(AND(T$5&gt;0,T$5&gt;100),AND(T$5&gt;0,T$5&lt;100)),
VLOOKUP(FLOOR(('Final Term'!T45/T$5)*100,1),new_transmute,4,FALSE),
VLOOKUP('Final Term'!T45,new_transmute,4,FALSE)
),
""
)
)
)
)
)
)
)
)
))</f>
        <v/>
      </c>
      <c r="U45" s="73" t="str">
        <f>IF($B45="","",
IF(U$5="","",
IF('Final Term'!U45="",0,
IF(NOT(ISNUMBER('Final Term'!U45)),"NAN",
IF('Final Term'!U45&lt;0,"NEG",
IF('Final Term'!U45&gt;U$5,"OVER",
IF(AND(U$5&lt;=100,'Final Term'!U45&gt;100),"ERR",
IF(Info!$B$4="Non-board program",
IF(OR(AND(U$5&gt;0,U$5&gt;100),AND(U$5&gt;0,U$5&lt;100)),
VLOOKUP(FLOOR(('Final Term'!U45/U$5)*100,1),new_transmute,2,FALSE),
VLOOKUP('Final Term'!U45,new_transmute,2,FALSE)
),
IF(Info!$B$4="Board program",
IF(OR(AND(U$5&gt;0,U$5&gt;100),AND(U$5&gt;0,U$5&lt;100)),
VLOOKUP(FLOOR(('Final Term'!U45/U$5)*100,1),new_transmute,3,FALSE),
VLOOKUP('Final Term'!U45,new_transmute,3,FALSE)
),
IF(Info!$B$4="Board program (Medicine)",
IF(OR(AND(U$5&gt;0,U$5&gt;100),AND(U$5&gt;0,U$5&lt;100)),
VLOOKUP(FLOOR(('Final Term'!U45/U$5)*100,1),new_transmute,4,FALSE),
VLOOKUP('Final Term'!U45,new_transmute,4,FALSE)
),
""
)
)
)
)
)
)
)
)
))</f>
        <v/>
      </c>
      <c r="V45" s="73" t="str">
        <f>IF($B45="","",
IF(V$5="","",
IF('Final Term'!V45="",0,
IF(NOT(ISNUMBER('Final Term'!V45)),"NAN",
IF('Final Term'!V45&lt;0,"NEG",
IF('Final Term'!V45&gt;V$5,"OVER",
IF(AND(V$5&lt;=100,'Final Term'!V45&gt;100),"ERR",
IF(Info!$B$4="Non-board program",
IF(OR(AND(V$5&gt;0,V$5&gt;100),AND(V$5&gt;0,V$5&lt;100)),
VLOOKUP(FLOOR(('Final Term'!V45/V$5)*100,1),new_transmute,2,FALSE),
VLOOKUP('Final Term'!V45,new_transmute,2,FALSE)
),
IF(Info!$B$4="Board program",
IF(OR(AND(V$5&gt;0,V$5&gt;100),AND(V$5&gt;0,V$5&lt;100)),
VLOOKUP(FLOOR(('Final Term'!V45/V$5)*100,1),new_transmute,3,FALSE),
VLOOKUP('Final Term'!V45,new_transmute,3,FALSE)
),
IF(Info!$B$4="Board program (Medicine)",
IF(OR(AND(V$5&gt;0,V$5&gt;100),AND(V$5&gt;0,V$5&lt;100)),
VLOOKUP(FLOOR(('Final Term'!V45/V$5)*100,1),new_transmute,4,FALSE),
VLOOKUP('Final Term'!V45,new_transmute,4,FALSE)
),
""
)
)
)
)
)
)
)
)
))</f>
        <v/>
      </c>
      <c r="W45" s="73" t="str">
        <f>IF($B45="","",
IF(W$5="","",
IF('Final Term'!W45="",0,
IF(NOT(ISNUMBER('Final Term'!W45)),"NAN",
IF('Final Term'!W45&lt;0,"NEG",
IF('Final Term'!W45&gt;W$5,"OVER",
IF(AND(W$5&lt;=100,'Final Term'!W45&gt;100),"ERR",
IF(Info!$B$4="Non-board program",
IF(OR(AND(W$5&gt;0,W$5&gt;100),AND(W$5&gt;0,W$5&lt;100)),
VLOOKUP(FLOOR(('Final Term'!W45/W$5)*100,1),new_transmute,2,FALSE),
VLOOKUP('Final Term'!W45,new_transmute,2,FALSE)
),
IF(Info!$B$4="Board program",
IF(OR(AND(W$5&gt;0,W$5&gt;100),AND(W$5&gt;0,W$5&lt;100)),
VLOOKUP(FLOOR(('Final Term'!W45/W$5)*100,1),new_transmute,3,FALSE),
VLOOKUP('Final Term'!W45,new_transmute,3,FALSE)
),
IF(Info!$B$4="Board program (Medicine)",
IF(OR(AND(W$5&gt;0,W$5&gt;100),AND(W$5&gt;0,W$5&lt;100)),
VLOOKUP(FLOOR(('Final Term'!W45/W$5)*100,1),new_transmute,4,FALSE),
VLOOKUP('Final Term'!W45,new_transmute,4,FALSE)
),
""
)
)
)
)
)
)
)
)
))</f>
        <v/>
      </c>
      <c r="X45" s="73" t="str">
        <f>IF($B45="","",
IF(X$5="","",
IF('Final Term'!X45="",0,
IF(NOT(ISNUMBER('Final Term'!X45)),"NAN",
IF('Final Term'!X45&lt;0,"NEG",
IF('Final Term'!X45&gt;X$5,"OVER",
IF(AND(X$5&lt;=100,'Final Term'!X45&gt;100),"ERR",
IF(Info!$B$4="Non-board program",
IF(OR(AND(X$5&gt;0,X$5&gt;100),AND(X$5&gt;0,X$5&lt;100)),
VLOOKUP(FLOOR(('Final Term'!X45/X$5)*100,1),new_transmute,2,FALSE),
VLOOKUP('Final Term'!X45,new_transmute,2,FALSE)
),
IF(Info!$B$4="Board program",
IF(OR(AND(X$5&gt;0,X$5&gt;100),AND(X$5&gt;0,X$5&lt;100)),
VLOOKUP(FLOOR(('Final Term'!X45/X$5)*100,1),new_transmute,3,FALSE),
VLOOKUP('Final Term'!X45,new_transmute,3,FALSE)
),
IF(Info!$B$4="Board program (Medicine)",
IF(OR(AND(X$5&gt;0,X$5&gt;100),AND(X$5&gt;0,X$5&lt;100)),
VLOOKUP(FLOOR(('Final Term'!X45/X$5)*100,1),new_transmute,4,FALSE),
VLOOKUP('Final Term'!X45,new_transmute,4,FALSE)
),
""
)
)
)
)
)
)
)
)
))</f>
        <v/>
      </c>
      <c r="Y45" s="112" t="str">
        <f t="shared" si="4"/>
        <v/>
      </c>
      <c r="Z45" s="73" t="str">
        <f>IF($B45="","",
IF(Z$5="","",
IF('Final Term'!Z45="",0,
IF(NOT(ISNUMBER('Final Term'!Z45)),"NAN",
IF('Final Term'!Z45&lt;0,"NEG",
IF('Final Term'!Z45&gt;Z$5,"OVER",
IF(AND(Z$5&lt;=100,'Final Term'!Z45&gt;100),"ERR",
IF(Info!$B$4="Non-board program",
IF(OR(AND(Z$5&gt;0,Z$5&gt;100),AND(Z$5&gt;0,Z$5&lt;100)),
VLOOKUP(FLOOR(('Final Term'!Z45/Z$5)*100,1),new_transmute,2,FALSE),
VLOOKUP('Final Term'!Z45,new_transmute,2,FALSE)
),
IF(Info!$B$4="Board program",
IF(OR(AND(Z$5&gt;0,Z$5&gt;100),AND(Z$5&gt;0,Z$5&lt;100)),
VLOOKUP(FLOOR(('Final Term'!Z45/Z$5)*100,1),new_transmute,3,FALSE),
VLOOKUP('Final Term'!Z45,new_transmute,3,FALSE)
),
IF(Info!$B$4="Board program (Medicine)",
IF(OR(AND(Z$5&gt;0,Z$5&gt;100),AND(Z$5&gt;0,Z$5&lt;100)),
VLOOKUP(FLOOR(('Final Term'!Z45/Z$5)*100,1),new_transmute,4,FALSE),
VLOOKUP('Final Term'!Z45,new_transmute,4,FALSE)
),
""
)
)
)
)
)
)
)
)
))</f>
        <v/>
      </c>
      <c r="AA45" s="73" t="str">
        <f>IF($B45="","",
IF(AA$5="","",
IF('Final Term'!AA45="",0,
IF(NOT(ISNUMBER('Final Term'!AA45)),"NAN",
IF('Final Term'!AA45&lt;0,"NEG",
IF('Final Term'!AA45&gt;AA$5,"OVER",
IF(AND(AA$5&lt;=100,'Final Term'!AA45&gt;100),"ERR",
IF(Info!$B$4="Non-board program",
IF(OR(AND(AA$5&gt;0,AA$5&gt;100),AND(AA$5&gt;0,AA$5&lt;100)),
VLOOKUP(FLOOR(('Final Term'!AA45/AA$5)*100,1),new_transmute,2,FALSE),
VLOOKUP('Final Term'!AA45,new_transmute,2,FALSE)
),
IF(Info!$B$4="Board program",
IF(OR(AND(AA$5&gt;0,AA$5&gt;100),AND(AA$5&gt;0,AA$5&lt;100)),
VLOOKUP(FLOOR(('Final Term'!AA45/AA$5)*100,1),new_transmute,3,FALSE),
VLOOKUP('Final Term'!AA45,new_transmute,3,FALSE)
),
IF(Info!$B$4="Board program (Medicine)",
IF(OR(AND(AA$5&gt;0,AA$5&gt;100),AND(AA$5&gt;0,AA$5&lt;100)),
VLOOKUP(FLOOR(('Final Term'!AA45/AA$5)*100,1),new_transmute,4,FALSE),
VLOOKUP('Final Term'!AA45,new_transmute,4,FALSE)
),
""
)
)
)
)
)
)
)
)
))</f>
        <v/>
      </c>
      <c r="AB45" s="73" t="str">
        <f>IF($B45="","",
IF(AB$5="","",
IF('Final Term'!AB45="",0,
IF(NOT(ISNUMBER('Final Term'!AB45)),"NAN",
IF('Final Term'!AB45&lt;0,"NEG",
IF('Final Term'!AB45&gt;AB$5,"OVER",
IF(AND(AB$5&lt;=100,'Final Term'!AB45&gt;100),"ERR",
IF(Info!$B$4="Non-board program",
IF(OR(AND(AB$5&gt;0,AB$5&gt;100),AND(AB$5&gt;0,AB$5&lt;100)),
VLOOKUP(FLOOR(('Final Term'!AB45/AB$5)*100,1),new_transmute,2,FALSE),
VLOOKUP('Final Term'!AB45,new_transmute,2,FALSE)
),
IF(Info!$B$4="Board program",
IF(OR(AND(AB$5&gt;0,AB$5&gt;100),AND(AB$5&gt;0,AB$5&lt;100)),
VLOOKUP(FLOOR(('Final Term'!AB45/AB$5)*100,1),new_transmute,3,FALSE),
VLOOKUP('Final Term'!AB45,new_transmute,3,FALSE)
),
IF(Info!$B$4="Board program (Medicine)",
IF(OR(AND(AB$5&gt;0,AB$5&gt;100),AND(AB$5&gt;0,AB$5&lt;100)),
VLOOKUP(FLOOR(('Final Term'!AB45/AB$5)*100,1),new_transmute,4,FALSE),
VLOOKUP('Final Term'!AB45,new_transmute,4,FALSE)
),
""
)
)
)
)
)
)
)
)
))</f>
        <v/>
      </c>
      <c r="AC45" s="73" t="str">
        <f>IF($B45="","",
IF(AC$5="","",
IF('Final Term'!AC45="",0,
IF(NOT(ISNUMBER('Final Term'!AC45)),"NAN",
IF('Final Term'!AC45&lt;0,"NEG",
IF('Final Term'!AC45&gt;AC$5,"OVER",
IF(AND(AC$5&lt;=100,'Final Term'!AC45&gt;100),"ERR",
IF(Info!$B$4="Non-board program",
IF(OR(AND(AC$5&gt;0,AC$5&gt;100),AND(AC$5&gt;0,AC$5&lt;100)),
VLOOKUP(FLOOR(('Final Term'!AC45/AC$5)*100,1),new_transmute,2,FALSE),
VLOOKUP('Final Term'!AC45,new_transmute,2,FALSE)
),
IF(Info!$B$4="Board program",
IF(OR(AND(AC$5&gt;0,AC$5&gt;100),AND(AC$5&gt;0,AC$5&lt;100)),
VLOOKUP(FLOOR(('Final Term'!AC45/AC$5)*100,1),new_transmute,3,FALSE),
VLOOKUP('Final Term'!AC45,new_transmute,3,FALSE)
),
IF(Info!$B$4="Board program (Medicine)",
IF(OR(AND(AC$5&gt;0,AC$5&gt;100),AND(AC$5&gt;0,AC$5&lt;100)),
VLOOKUP(FLOOR(('Final Term'!AC45/AC$5)*100,1),new_transmute,4,FALSE),
VLOOKUP('Final Term'!AC45,new_transmute,4,FALSE)
),
""
)
)
)
)
)
)
)
)
))</f>
        <v/>
      </c>
      <c r="AD45" s="73" t="str">
        <f>IF($B45="","",
IF(AD$5="","",
IF('Final Term'!AD45="",0,
IF(NOT(ISNUMBER('Final Term'!AD45)),"NAN",
IF('Final Term'!AD45&lt;0,"NEG",
IF('Final Term'!AD45&gt;AD$5,"OVER",
IF(AND(AD$5&lt;=100,'Final Term'!AD45&gt;100),"ERR",
IF(Info!$B$4="Non-board program",
IF(OR(AND(AD$5&gt;0,AD$5&gt;100),AND(AD$5&gt;0,AD$5&lt;100)),
VLOOKUP(FLOOR(('Final Term'!AD45/AD$5)*100,1),new_transmute,2,FALSE),
VLOOKUP('Final Term'!AD45,new_transmute,2,FALSE)
),
IF(Info!$B$4="Board program",
IF(OR(AND(AD$5&gt;0,AD$5&gt;100),AND(AD$5&gt;0,AD$5&lt;100)),
VLOOKUP(FLOOR(('Final Term'!AD45/AD$5)*100,1),new_transmute,3,FALSE),
VLOOKUP('Final Term'!AD45,new_transmute,3,FALSE)
),
IF(Info!$B$4="Board program (Medicine)",
IF(OR(AND(AD$5&gt;0,AD$5&gt;100),AND(AD$5&gt;0,AD$5&lt;100)),
VLOOKUP(FLOOR(('Final Term'!AD45/AD$5)*100,1),new_transmute,4,FALSE),
VLOOKUP('Final Term'!AD45,new_transmute,4,FALSE)
),
""
)
)
)
)
)
)
)
)
))</f>
        <v/>
      </c>
      <c r="AE45" s="58" t="str">
        <f t="shared" si="5"/>
        <v/>
      </c>
      <c r="AF45" s="73" t="str">
        <f>IF($B45="","",
IF(AF$5="","",
IF('Final Term'!AF45="",0,
IF(NOT(ISNUMBER('Final Term'!AF45)),"NAN",
IF('Final Term'!AF45&lt;0,"NEG",
IF('Final Term'!AF45&gt;AF$5,"OVER",
IF(AND(AF$5&lt;=100,'Final Term'!AF45&gt;100),"ERR",
IF(Info!$B$4="Non-board program",
IF(OR(AND(AF$5&gt;0,AF$5&gt;100),AND(AF$5&gt;0,AF$5&lt;100)),
VLOOKUP(FLOOR(('Final Term'!AF45/AF$5)*100,1),new_transmute,2,FALSE),
VLOOKUP('Final Term'!AF45,new_transmute,2,FALSE)
),
IF(Info!$B$4="Board program",
IF(OR(AND(AF$5&gt;0,AF$5&gt;100),AND(AF$5&gt;0,AF$5&lt;100)),
VLOOKUP(FLOOR(('Final Term'!AF45/AF$5)*100,1),new_transmute,3,FALSE),
VLOOKUP('Final Term'!AF45,new_transmute,3,FALSE)
),
IF(Info!$B$4="Board program (Medicine)",
IF(OR(AND(AF$5&gt;0,AF$5&gt;100),AND(AF$5&gt;0,AF$5&lt;100)),
VLOOKUP(FLOOR(('Final Term'!AF45/AF$5)*100,1),new_transmute,4,FALSE),
VLOOKUP('Final Term'!AF45,new_transmute,4,FALSE)
),
""
)
)
)
)
)
)
)
)
))</f>
        <v/>
      </c>
      <c r="AG45" s="73" t="str">
        <f>IF($B45="","",
IF(AG$5="","",
IF('Final Term'!AG45="",0,
IF(NOT(ISNUMBER('Final Term'!AG45)),"NAN",
IF('Final Term'!AG45&lt;0,"NEG",
IF('Final Term'!AG45&gt;AG$5,"OVER",
IF(AND(AG$5&lt;=100,'Final Term'!AG45&gt;100),"ERR",
IF(Info!$B$4="Non-board program",
IF(OR(AND(AG$5&gt;0,AG$5&gt;100),AND(AG$5&gt;0,AG$5&lt;100)),
VLOOKUP(FLOOR(('Final Term'!AG45/AG$5)*100,1),new_transmute,2,FALSE),
VLOOKUP('Final Term'!AG45,new_transmute,2,FALSE)
),
IF(Info!$B$4="Board program",
IF(OR(AND(AG$5&gt;0,AG$5&gt;100),AND(AG$5&gt;0,AG$5&lt;100)),
VLOOKUP(FLOOR(('Final Term'!AG45/AG$5)*100,1),new_transmute,3,FALSE),
VLOOKUP('Final Term'!AG45,new_transmute,3,FALSE)
),
IF(Info!$B$4="Board program (Medicine)",
IF(OR(AND(AG$5&gt;0,AG$5&gt;100),AND(AG$5&gt;0,AG$5&lt;100)),
VLOOKUP(FLOOR(('Final Term'!AG45/AG$5)*100,1),new_transmute,4,FALSE),
VLOOKUP('Final Term'!AG45,new_transmute,4,FALSE)
),
""
)
)
)
)
)
)
)
)
))</f>
        <v/>
      </c>
      <c r="AH45" s="73" t="str">
        <f>IF($B45="","",
IF(AH$5="","",
IF('Final Term'!AH45="",0,
IF(NOT(ISNUMBER('Final Term'!AH45)),"NAN",
IF('Final Term'!AH45&lt;0,"NEG",
IF('Final Term'!AH45&gt;AH$5,"OVER",
IF(AND(AH$5&lt;=100,'Final Term'!AH45&gt;100),"ERR",
IF(Info!$B$4="Non-board program",
IF(OR(AND(AH$5&gt;0,AH$5&gt;100),AND(AH$5&gt;0,AH$5&lt;100)),
VLOOKUP(FLOOR(('Final Term'!AH45/AH$5)*100,1),new_transmute,2,FALSE),
VLOOKUP('Final Term'!AH45,new_transmute,2,FALSE)
),
IF(Info!$B$4="Board program",
IF(OR(AND(AH$5&gt;0,AH$5&gt;100),AND(AH$5&gt;0,AH$5&lt;100)),
VLOOKUP(FLOOR(('Final Term'!AH45/AH$5)*100,1),new_transmute,3,FALSE),
VLOOKUP('Final Term'!AH45,new_transmute,3,FALSE)
),
IF(Info!$B$4="Board program (Medicine)",
IF(OR(AND(AH$5&gt;0,AH$5&gt;100),AND(AH$5&gt;0,AH$5&lt;100)),
VLOOKUP(FLOOR(('Final Term'!AH45/AH$5)*100,1),new_transmute,4,FALSE),
VLOOKUP('Final Term'!AH45,new_transmute,4,FALSE)
),
""
)
)
)
)
)
)
)
)
))</f>
        <v/>
      </c>
      <c r="AI45" s="73" t="str">
        <f>IF($B45="","",
IF(AI$5="","",
IF('Final Term'!AI45="",0,
IF(NOT(ISNUMBER('Final Term'!AI45)),"NAN",
IF('Final Term'!AI45&lt;0,"NEG",
IF('Final Term'!AI45&gt;AI$5,"OVER",
IF(AND(AI$5&lt;=100,'Final Term'!AI45&gt;100),"ERR",
IF(Info!$B$4="Non-board program",
IF(OR(AND(AI$5&gt;0,AI$5&gt;100),AND(AI$5&gt;0,AI$5&lt;100)),
VLOOKUP(FLOOR(('Final Term'!AI45/AI$5)*100,1),new_transmute,2,FALSE),
VLOOKUP('Final Term'!AI45,new_transmute,2,FALSE)
),
IF(Info!$B$4="Board program",
IF(OR(AND(AI$5&gt;0,AI$5&gt;100),AND(AI$5&gt;0,AI$5&lt;100)),
VLOOKUP(FLOOR(('Final Term'!AI45/AI$5)*100,1),new_transmute,3,FALSE),
VLOOKUP('Final Term'!AI45,new_transmute,3,FALSE)
),
IF(Info!$B$4="Board program (Medicine)",
IF(OR(AND(AI$5&gt;0,AI$5&gt;100),AND(AI$5&gt;0,AI$5&lt;100)),
VLOOKUP(FLOOR(('Final Term'!AI45/AI$5)*100,1),new_transmute,4,FALSE),
VLOOKUP('Final Term'!AI45,new_transmute,4,FALSE)
),
""
)
)
)
)
)
)
)
)
))</f>
        <v/>
      </c>
      <c r="AJ45" s="73" t="str">
        <f>IF($B45="","",
IF(AJ$5="","",
IF('Final Term'!AJ45="",0,
IF(NOT(ISNUMBER('Final Term'!AJ45)),"NAN",
IF('Final Term'!AJ45&lt;0,"NEG",
IF('Final Term'!AJ45&gt;AJ$5,"OVER",
IF(AND(AJ$5&lt;=100,'Final Term'!AJ45&gt;100),"ERR",
IF(Info!$B$4="Non-board program",
IF(OR(AND(AJ$5&gt;0,AJ$5&gt;100),AND(AJ$5&gt;0,AJ$5&lt;100)),
VLOOKUP(FLOOR(('Final Term'!AJ45/AJ$5)*100,1),new_transmute,2,FALSE),
VLOOKUP('Final Term'!AJ45,new_transmute,2,FALSE)
),
IF(Info!$B$4="Board program",
IF(OR(AND(AJ$5&gt;0,AJ$5&gt;100),AND(AJ$5&gt;0,AJ$5&lt;100)),
VLOOKUP(FLOOR(('Final Term'!AJ45/AJ$5)*100,1),new_transmute,3,FALSE),
VLOOKUP('Final Term'!AJ45,new_transmute,3,FALSE)
),
IF(Info!$B$4="Board program (Medicine)",
IF(OR(AND(AJ$5&gt;0,AJ$5&gt;100),AND(AJ$5&gt;0,AJ$5&lt;100)),
VLOOKUP(FLOOR(('Final Term'!AJ45/AJ$5)*100,1),new_transmute,4,FALSE),
VLOOKUP('Final Term'!AJ45,new_transmute,4,FALSE)
),
""
)
)
)
)
)
)
)
)
))</f>
        <v/>
      </c>
      <c r="AK45" s="59" t="str">
        <f t="shared" si="6"/>
        <v/>
      </c>
      <c r="AL45" s="60" t="str">
        <f>IF(B45="", "",
    IF(OR(M45="OVER", S45="OVER", Y45="OVER", AE45="OVER", AK45="OVER"),
        "OVER",
        IF(Info!$B$4="Non-board program",
            VLOOKUP(IFERROR(FLOOR(SUM((M45*$M$4), (S45*$S$4), (Y45*$Y$4), (AE45*$AE$4), (AK45*$AK$4)) * (100 / 60), 1), 0), new_transmute, 2, FALSE),
            IF(Info!$B$4="Board program",
                VLOOKUP(IFERROR(FLOOR(SUM((M45*$M$4), (S45*$S$4), (Y45*$Y$4), (AE45*$AE$4), (AK45*$AK$4)) * (100 / 60), 1), 0), new_transmute, 3, FALSE),
                IF(Info!$B$4="Board program (Medicine)",
                    VLOOKUP(IFERROR(FLOOR(SUM((M45*$M$4), (S45*$S$4), (Y45*$Y$4), (AE45*$AE$4), (AK45*$AK$4)) * (100 / 60), 1), 0), new_transmute, 4, FALSE),
                    ""
                )
            )
        )
    )
)</f>
        <v/>
      </c>
      <c r="AM45" s="73" t="str">
        <f>IF($B45="","",
IF(AM$5="","",
IF('Final Term'!AM45="",0,
IF(NOT(ISNUMBER('Final Term'!AM45)),"NAN",
IF('Final Term'!AM45&lt;0,"NEG",
IF('Final Term'!AM45&gt;AM$5,"OVER",
IF(AND(AM$5&lt;=100,'Final Term'!AM45&gt;100),"ERR",
IF(Info!$B$4="Non-board program",
IF(OR(AND(AM$5&gt;0,AM$5&gt;100),AND(AM$5&gt;0,AM$5&lt;100)),
VLOOKUP(FLOOR(('Final Term'!AM45/AM$5)*100,1),new_transmute,2,FALSE),
VLOOKUP('Final Term'!AM45,new_transmute,2,FALSE)
),
IF(Info!$B$4="Board program",
IF(OR(AND(AM$5&gt;0,AM$5&gt;100),AND(AM$5&gt;0,AM$5&lt;100)),
VLOOKUP(FLOOR(('Final Term'!AM45/AM$5)*100,1),new_transmute,3,FALSE),
VLOOKUP('Final Term'!AM45,new_transmute,3,FALSE)
),
IF(Info!$B$4="Board program (Medicine)",
IF(OR(AND(AM$5&gt;0,AM$5&gt;100),AND(AM$5&gt;0,AM$5&lt;100)),
VLOOKUP(FLOOR(('Final Term'!AM45/AM$5)*100,1),new_transmute,4,FALSE),
VLOOKUP('Final Term'!AM45,new_transmute,4,FALSE)
),
""
)
)
)
)
)
)
)
)
))</f>
        <v/>
      </c>
      <c r="AN45" s="73" t="str">
        <f>IF($B45="","",
IF(AN$5="","",
IF('Final Term'!AN45="",0,
IF(NOT(ISNUMBER('Final Term'!AN45)),"NAN",
IF('Final Term'!AN45&lt;0,"NEG",
IF('Final Term'!AN45&gt;AN$5,"OVER",
IF(AND(AN$5&lt;=100,'Final Term'!AN45&gt;100),"ERR",
IF(Info!$B$4="Non-board program",
IF(OR(AND(AN$5&gt;0,AN$5&gt;100),AND(AN$5&gt;0,AN$5&lt;100)),
VLOOKUP(FLOOR(('Final Term'!AN45/AN$5)*100,1),new_transmute,2,FALSE),
VLOOKUP('Final Term'!AN45,new_transmute,2,FALSE)
),
IF(Info!$B$4="Board program",
IF(OR(AND(AN$5&gt;0,AN$5&gt;100),AND(AN$5&gt;0,AN$5&lt;100)),
VLOOKUP(FLOOR(('Final Term'!AN45/AN$5)*100,1),new_transmute,3,FALSE),
VLOOKUP('Final Term'!AN45,new_transmute,3,FALSE)
),
IF(Info!$B$4="Board program (Medicine)",
IF(OR(AND(AN$5&gt;0,AN$5&gt;100),AND(AN$5&gt;0,AN$5&lt;100)),
VLOOKUP(FLOOR(('Final Term'!AN45/AN$5)*100,1),new_transmute,4,FALSE),
VLOOKUP('Final Term'!AN45,new_transmute,4,FALSE)
),
""
)
)
)
)
)
)
)
)
))</f>
        <v/>
      </c>
      <c r="AO45" s="73" t="str">
        <f>IF($B45="","",
IF(AO$5="","",
IF('Final Term'!AO45="",0,
IF(NOT(ISNUMBER('Final Term'!AO45)),"NAN",
IF('Final Term'!AO45&lt;0,"NEG",
IF('Final Term'!AO45&gt;AO$5,"OVER",
IF(AND(AO$5&lt;=100,'Final Term'!AO45&gt;100),"ERR",
IF(Info!$B$4="Non-board program",
IF(OR(AND(AO$5&gt;0,AO$5&gt;100),AND(AO$5&gt;0,AO$5&lt;100)),
VLOOKUP(FLOOR(('Final Term'!AO45/AO$5)*100,1),new_transmute,2,FALSE),
VLOOKUP('Final Term'!AO45,new_transmute,2,FALSE)
),
IF(Info!$B$4="Board program",
IF(OR(AND(AO$5&gt;0,AO$5&gt;100),AND(AO$5&gt;0,AO$5&lt;100)),
VLOOKUP(FLOOR(('Final Term'!AO45/AO$5)*100,1),new_transmute,3,FALSE),
VLOOKUP('Final Term'!AO45,new_transmute,3,FALSE)
),
IF(Info!$B$4="Board program (Medicine)",
IF(OR(AND(AO$5&gt;0,AO$5&gt;100),AND(AO$5&gt;0,AO$5&lt;100)),
VLOOKUP(FLOOR(('Final Term'!AO45/AO$5)*100,1),new_transmute,4,FALSE),
VLOOKUP('Final Term'!AO45,new_transmute,4,FALSE)
),
""
)
)
)
)
)
)
)
)
))</f>
        <v/>
      </c>
      <c r="AP45" s="73" t="str">
        <f>IF($B45="","",
IF(AP$5="","",
IF('Final Term'!AP45="",0,
IF(NOT(ISNUMBER('Final Term'!AP45)),"NAN",
IF('Final Term'!AP45&lt;0,"NEG",
IF('Final Term'!AP45&gt;AP$5,"OVER",
IF(AND(AP$5&lt;=100,'Final Term'!AP45&gt;100),"ERR",
IF(Info!$B$4="Non-board program",
IF(OR(AND(AP$5&gt;0,AP$5&gt;100),AND(AP$5&gt;0,AP$5&lt;100)),
VLOOKUP(FLOOR(('Final Term'!AP45/AP$5)*100,1),new_transmute,2,FALSE),
VLOOKUP('Final Term'!AP45,new_transmute,2,FALSE)
),
IF(Info!$B$4="Board program",
IF(OR(AND(AP$5&gt;0,AP$5&gt;100),AND(AP$5&gt;0,AP$5&lt;100)),
VLOOKUP(FLOOR(('Final Term'!AP45/AP$5)*100,1),new_transmute,3,FALSE),
VLOOKUP('Final Term'!AP45,new_transmute,3,FALSE)
),
IF(Info!$B$4="Board program (Medicine)",
IF(OR(AND(AP$5&gt;0,AP$5&gt;100),AND(AP$5&gt;0,AP$5&lt;100)),
VLOOKUP(FLOOR(('Final Term'!AP45/AP$5)*100,1),new_transmute,4,FALSE),
VLOOKUP('Final Term'!AP45,new_transmute,4,FALSE)
),
""
)
)
)
)
)
)
)
)
))</f>
        <v/>
      </c>
      <c r="AQ45" s="61" t="str">
        <f t="shared" si="7"/>
        <v/>
      </c>
      <c r="AR45" s="48" t="str">
        <f>IF('Final Term'!AR45="","",'Final Term'!AR45)</f>
        <v/>
      </c>
      <c r="AS45" s="165" t="str">
        <f t="shared" si="8"/>
        <v/>
      </c>
      <c r="AT45" s="14" t="str">
        <f t="shared" si="9"/>
        <v/>
      </c>
      <c r="AU45" s="13" t="str">
        <f>IF(B45="","",VLOOKUP(AT45,'New Grade Equivalent'!$B$3:$C$47,2,FALSE))</f>
        <v/>
      </c>
    </row>
    <row r="46" spans="1:47" x14ac:dyDescent="0.25">
      <c r="A46" s="8">
        <v>41</v>
      </c>
      <c r="B46" s="2" t="str">
        <f>IF('Student List'!C50="","",UPPER(LEFT('Student List'!C50,FIND(",",'Student List'!C50)-1)))</f>
        <v/>
      </c>
      <c r="C46" s="12" t="str">
        <f>IF('Student List'!C50="","",PROPER(MID('Student List'!C50, FIND(",", 'Student List'!C50) + 2, LEN('Student List'!C50) - FIND(",", 'Student List'!C50) - 1)))</f>
        <v/>
      </c>
      <c r="D46" s="127" t="str">
        <f>IF('Final Term'!D46="","",'Final Term'!D46)</f>
        <v/>
      </c>
      <c r="E46" s="8" t="str">
        <f>IF(MidCom!E46="FA", "FA",
    IF(MidCom!E46="DRP", "DRP",
        IF(MidCom!E46="WF", "WF",
            IF(D46="Yes", "INC",
               IF((SUM('MT Attendance'!AW44) / 3 + SUM('MT Attendance'!AY44) + SUM('FT Attendance'!AW44) / 3 + SUM('FT Attendance'!AY44)) &gt;= 0.2 * (SUMPRODUCT(--(ISTEXT('MT Attendance'!$C$2:$AU$2))) + SUMPRODUCT(--(ISTEXT('FT Attendance'!$C$2:$AU$2)))), "FA",
                   MidCom!E46
                )
            )
        )
    )
)</f>
        <v/>
      </c>
      <c r="F46" s="73" t="str">
        <f>IF($B46="","",
IF(F$5="","",
IF('Final Term'!F46="",0,
IF(NOT(ISNUMBER('Final Term'!F46)),"NAN",
IF('Final Term'!F46&lt;0,"NEG",
IF('Final Term'!F46&gt;F$5,"OVER",
IF(AND(F$5&lt;=100,'Final Term'!F46&gt;100),"ERR",
IF(Info!$B$4="Non-board program",
IF(OR(AND(F$5&gt;0,F$5&gt;100),AND(F$5&gt;0,F$5&lt;100)),
VLOOKUP(FLOOR(('Final Term'!F46/F$5)*100,1),new_transmute,2,FALSE),
VLOOKUP('Final Term'!F46,new_transmute,2,FALSE)
),
IF(Info!$B$4="Board program",
IF(OR(AND(F$5&gt;0,F$5&gt;100),AND(F$5&gt;0,F$5&lt;100)),
VLOOKUP(FLOOR(('Final Term'!F46/F$5)*100,1),new_transmute,3,FALSE),
VLOOKUP('Final Term'!F46,new_transmute,3,FALSE)
),
IF(Info!$B$4="Board program (Medicine)",
IF(OR(AND(F$5&gt;0,F$5&gt;100),AND(F$5&gt;0,F$5&lt;100)),
VLOOKUP(FLOOR(('Final Term'!F46/F$5)*100,1),new_transmute,4,FALSE),
VLOOKUP('Final Term'!F46,new_transmute,4,FALSE)
),
""
)
)
)
)
)
)
)
)
))</f>
        <v/>
      </c>
      <c r="G46" s="57" t="str">
        <f t="shared" si="1"/>
        <v/>
      </c>
      <c r="H46" s="73" t="str">
        <f>IF($B46="","",
IF(H$5="","",
IF('Final Term'!H46="",0,
IF(NOT(ISNUMBER('Final Term'!H46)),"NAN",
IF('Final Term'!H46&lt;0,"NEG",
IF('Final Term'!H46&gt;H$5,"OVER",
IF(AND(H$5&lt;=100,'Final Term'!H46&gt;100),"ERR",
IF(Info!$B$4="Non-board program",
IF(OR(AND(H$5&gt;0,H$5&gt;100),AND(H$5&gt;0,H$5&lt;100)),
VLOOKUP(FLOOR(('Final Term'!H46/H$5)*100,1),new_transmute,2,FALSE),
VLOOKUP('Final Term'!H46,new_transmute,2,FALSE)
),
IF(Info!$B$4="Board program",
IF(OR(AND(H$5&gt;0,H$5&gt;100),AND(H$5&gt;0,H$5&lt;100)),
VLOOKUP(FLOOR(('Final Term'!H46/H$5)*100,1),new_transmute,3,FALSE),
VLOOKUP('Final Term'!H46,new_transmute,3,FALSE)
),
IF(Info!$B$4="Board program (Medicine)",
IF(OR(AND(H$5&gt;0,H$5&gt;100),AND(H$5&gt;0,H$5&lt;100)),
VLOOKUP(FLOOR(('Final Term'!H46/H$5)*100,1),new_transmute,4,FALSE),
VLOOKUP('Final Term'!H46,new_transmute,4,FALSE)
),
""
)
)
)
)
)
)
)
)
))</f>
        <v/>
      </c>
      <c r="I46" s="73" t="str">
        <f>IF($B46="","",
IF(I$5="","",
IF('Final Term'!I46="",0,
IF(NOT(ISNUMBER('Final Term'!I46)),"NAN",
IF('Final Term'!I46&lt;0,"NEG",
IF('Final Term'!I46&gt;I$5,"OVER",
IF(AND(I$5&lt;=100,'Final Term'!I46&gt;100),"ERR",
IF(Info!$B$4="Non-board program",
IF(OR(AND(I$5&gt;0,I$5&gt;100),AND(I$5&gt;0,I$5&lt;100)),
VLOOKUP(FLOOR(('Final Term'!I46/I$5)*100,1),new_transmute,2,FALSE),
VLOOKUP('Final Term'!I46,new_transmute,2,FALSE)
),
IF(Info!$B$4="Board program",
IF(OR(AND(I$5&gt;0,I$5&gt;100),AND(I$5&gt;0,I$5&lt;100)),
VLOOKUP(FLOOR(('Final Term'!I46/I$5)*100,1),new_transmute,3,FALSE),
VLOOKUP('Final Term'!I46,new_transmute,3,FALSE)
),
IF(Info!$B$4="Board program (Medicine)",
IF(OR(AND(I$5&gt;0,I$5&gt;100),AND(I$5&gt;0,I$5&lt;100)),
VLOOKUP(FLOOR(('Final Term'!I46/I$5)*100,1),new_transmute,4,FALSE),
VLOOKUP('Final Term'!I46,new_transmute,4,FALSE)
),
""
)
)
)
)
)
)
)
)
))</f>
        <v/>
      </c>
      <c r="J46" s="73" t="str">
        <f>IF($B46="","",
IF(J$5="","",
IF('Final Term'!J46="",0,
IF(NOT(ISNUMBER('Final Term'!J46)),"NAN",
IF('Final Term'!J46&lt;0,"NEG",
IF('Final Term'!J46&gt;J$5,"OVER",
IF(AND(J$5&lt;=100,'Final Term'!J46&gt;100),"ERR",
IF(Info!$B$4="Non-board program",
IF(OR(AND(J$5&gt;0,J$5&gt;100),AND(J$5&gt;0,J$5&lt;100)),
VLOOKUP(FLOOR(('Final Term'!J46/J$5)*100,1),new_transmute,2,FALSE),
VLOOKUP('Final Term'!J46,new_transmute,2,FALSE)
),
IF(Info!$B$4="Board program",
IF(OR(AND(J$5&gt;0,J$5&gt;100),AND(J$5&gt;0,J$5&lt;100)),
VLOOKUP(FLOOR(('Final Term'!J46/J$5)*100,1),new_transmute,3,FALSE),
VLOOKUP('Final Term'!J46,new_transmute,3,FALSE)
),
IF(Info!$B$4="Board program (Medicine)",
IF(OR(AND(J$5&gt;0,J$5&gt;100),AND(J$5&gt;0,J$5&lt;100)),
VLOOKUP(FLOOR(('Final Term'!J46/J$5)*100,1),new_transmute,4,FALSE),
VLOOKUP('Final Term'!J46,new_transmute,4,FALSE)
),
""
)
)
)
)
)
)
)
)
))</f>
        <v/>
      </c>
      <c r="K46" s="73" t="str">
        <f>IF($B46="","",
IF(K$5="","",
IF('Final Term'!K46="",0,
IF(NOT(ISNUMBER('Final Term'!K46)),"NAN",
IF('Final Term'!K46&lt;0,"NEG",
IF('Final Term'!K46&gt;K$5,"OVER",
IF(AND(K$5&lt;=100,'Final Term'!K46&gt;100),"ERR",
IF(Info!$B$4="Non-board program",
IF(OR(AND(K$5&gt;0,K$5&gt;100),AND(K$5&gt;0,K$5&lt;100)),
VLOOKUP(FLOOR(('Final Term'!K46/K$5)*100,1),new_transmute,2,FALSE),
VLOOKUP('Final Term'!K46,new_transmute,2,FALSE)
),
IF(Info!$B$4="Board program",
IF(OR(AND(K$5&gt;0,K$5&gt;100),AND(K$5&gt;0,K$5&lt;100)),
VLOOKUP(FLOOR(('Final Term'!K46/K$5)*100,1),new_transmute,3,FALSE),
VLOOKUP('Final Term'!K46,new_transmute,3,FALSE)
),
IF(Info!$B$4="Board program (Medicine)",
IF(OR(AND(K$5&gt;0,K$5&gt;100),AND(K$5&gt;0,K$5&lt;100)),
VLOOKUP(FLOOR(('Final Term'!K46/K$5)*100,1),new_transmute,4,FALSE),
VLOOKUP('Final Term'!K46,new_transmute,4,FALSE)
),
""
)
)
)
)
)
)
)
)
))</f>
        <v/>
      </c>
      <c r="L46" s="73" t="str">
        <f>IF($B46="","",
IF(L$5="","",
IF('Final Term'!L46="",0,
IF(NOT(ISNUMBER('Final Term'!L46)),"NAN",
IF('Final Term'!L46&lt;0,"NEG",
IF('Final Term'!L46&gt;L$5,"OVER",
IF(AND(L$5&lt;=100,'Final Term'!L46&gt;100),"ERR",
IF(Info!$B$4="Non-board program",
IF(OR(AND(L$5&gt;0,L$5&gt;100),AND(L$5&gt;0,L$5&lt;100)),
VLOOKUP(FLOOR(('Final Term'!L46/L$5)*100,1),new_transmute,2,FALSE),
VLOOKUP('Final Term'!L46,new_transmute,2,FALSE)
),
IF(Info!$B$4="Board program",
IF(OR(AND(L$5&gt;0,L$5&gt;100),AND(L$5&gt;0,L$5&lt;100)),
VLOOKUP(FLOOR(('Final Term'!L46/L$5)*100,1),new_transmute,3,FALSE),
VLOOKUP('Final Term'!L46,new_transmute,3,FALSE)
),
IF(Info!$B$4="Board program (Medicine)",
IF(OR(AND(L$5&gt;0,L$5&gt;100),AND(L$5&gt;0,L$5&lt;100)),
VLOOKUP(FLOOR(('Final Term'!L46/L$5)*100,1),new_transmute,4,FALSE),
VLOOKUP('Final Term'!L46,new_transmute,4,FALSE)
),
""
)
)
)
)
)
)
)
)
))</f>
        <v/>
      </c>
      <c r="M46" s="111" t="str">
        <f t="shared" si="2"/>
        <v/>
      </c>
      <c r="N46" s="73" t="str">
        <f>IF($B46="","",
IF(N$5="","",
IF('Final Term'!N46="",0,
IF(NOT(ISNUMBER('Final Term'!N46)),"NAN",
IF('Final Term'!N46&lt;0,"NEG",
IF('Final Term'!N46&gt;N$5,"OVER",
IF(AND(N$5&lt;=100,'Final Term'!N46&gt;100),"ERR",
IF(Info!$B$4="Non-board program",
IF(OR(AND(N$5&gt;0,N$5&gt;100),AND(N$5&gt;0,N$5&lt;100)),
VLOOKUP(FLOOR(('Final Term'!N46/N$5)*100,1),new_transmute,2,FALSE),
VLOOKUP('Final Term'!N46,new_transmute,2,FALSE)
),
IF(Info!$B$4="Board program",
IF(OR(AND(N$5&gt;0,N$5&gt;100),AND(N$5&gt;0,N$5&lt;100)),
VLOOKUP(FLOOR(('Final Term'!N46/N$5)*100,1),new_transmute,3,FALSE),
VLOOKUP('Final Term'!N46,new_transmute,3,FALSE)
),
IF(Info!$B$4="Board program (Medicine)",
IF(OR(AND(N$5&gt;0,N$5&gt;100),AND(N$5&gt;0,N$5&lt;100)),
VLOOKUP(FLOOR(('Final Term'!N46/N$5)*100,1),new_transmute,4,FALSE),
VLOOKUP('Final Term'!N46,new_transmute,4,FALSE)
),
""
)
)
)
)
)
)
)
)
))</f>
        <v/>
      </c>
      <c r="O46" s="73" t="str">
        <f>IF($B46="","",
IF(O$5="","",
IF('Final Term'!O46="",0,
IF(NOT(ISNUMBER('Final Term'!O46)),"NAN",
IF('Final Term'!O46&lt;0,"NEG",
IF('Final Term'!O46&gt;O$5,"OVER",
IF(AND(O$5&lt;=100,'Final Term'!O46&gt;100),"ERR",
IF(Info!$B$4="Non-board program",
IF(OR(AND(O$5&gt;0,O$5&gt;100),AND(O$5&gt;0,O$5&lt;100)),
VLOOKUP(FLOOR(('Final Term'!O46/O$5)*100,1),new_transmute,2,FALSE),
VLOOKUP('Final Term'!O46,new_transmute,2,FALSE)
),
IF(Info!$B$4="Board program",
IF(OR(AND(O$5&gt;0,O$5&gt;100),AND(O$5&gt;0,O$5&lt;100)),
VLOOKUP(FLOOR(('Final Term'!O46/O$5)*100,1),new_transmute,3,FALSE),
VLOOKUP('Final Term'!O46,new_transmute,3,FALSE)
),
IF(Info!$B$4="Board program (Medicine)",
IF(OR(AND(O$5&gt;0,O$5&gt;100),AND(O$5&gt;0,O$5&lt;100)),
VLOOKUP(FLOOR(('Final Term'!O46/O$5)*100,1),new_transmute,4,FALSE),
VLOOKUP('Final Term'!O46,new_transmute,4,FALSE)
),
""
)
)
)
)
)
)
)
)
))</f>
        <v/>
      </c>
      <c r="P46" s="73" t="str">
        <f>IF($B46="","",
IF(P$5="","",
IF('Final Term'!P46="",0,
IF(NOT(ISNUMBER('Final Term'!P46)),"NAN",
IF('Final Term'!P46&lt;0,"NEG",
IF('Final Term'!P46&gt;P$5,"OVER",
IF(AND(P$5&lt;=100,'Final Term'!P46&gt;100),"ERR",
IF(Info!$B$4="Non-board program",
IF(OR(AND(P$5&gt;0,P$5&gt;100),AND(P$5&gt;0,P$5&lt;100)),
VLOOKUP(FLOOR(('Final Term'!P46/P$5)*100,1),new_transmute,2,FALSE),
VLOOKUP('Final Term'!P46,new_transmute,2,FALSE)
),
IF(Info!$B$4="Board program",
IF(OR(AND(P$5&gt;0,P$5&gt;100),AND(P$5&gt;0,P$5&lt;100)),
VLOOKUP(FLOOR(('Final Term'!P46/P$5)*100,1),new_transmute,3,FALSE),
VLOOKUP('Final Term'!P46,new_transmute,3,FALSE)
),
IF(Info!$B$4="Board program (Medicine)",
IF(OR(AND(P$5&gt;0,P$5&gt;100),AND(P$5&gt;0,P$5&lt;100)),
VLOOKUP(FLOOR(('Final Term'!P46/P$5)*100,1),new_transmute,4,FALSE),
VLOOKUP('Final Term'!P46,new_transmute,4,FALSE)
),
""
)
)
)
)
)
)
)
)
))</f>
        <v/>
      </c>
      <c r="Q46" s="73" t="str">
        <f>IF($B46="","",
IF(Q$5="","",
IF('Final Term'!Q46="",0,
IF(NOT(ISNUMBER('Final Term'!Q46)),"NAN",
IF('Final Term'!Q46&lt;0,"NEG",
IF('Final Term'!Q46&gt;Q$5,"OVER",
IF(AND(Q$5&lt;=100,'Final Term'!Q46&gt;100),"ERR",
IF(Info!$B$4="Non-board program",
IF(OR(AND(Q$5&gt;0,Q$5&gt;100),AND(Q$5&gt;0,Q$5&lt;100)),
VLOOKUP(FLOOR(('Final Term'!Q46/Q$5)*100,1),new_transmute,2,FALSE),
VLOOKUP('Final Term'!Q46,new_transmute,2,FALSE)
),
IF(Info!$B$4="Board program",
IF(OR(AND(Q$5&gt;0,Q$5&gt;100),AND(Q$5&gt;0,Q$5&lt;100)),
VLOOKUP(FLOOR(('Final Term'!Q46/Q$5)*100,1),new_transmute,3,FALSE),
VLOOKUP('Final Term'!Q46,new_transmute,3,FALSE)
),
IF(Info!$B$4="Board program (Medicine)",
IF(OR(AND(Q$5&gt;0,Q$5&gt;100),AND(Q$5&gt;0,Q$5&lt;100)),
VLOOKUP(FLOOR(('Final Term'!Q46/Q$5)*100,1),new_transmute,4,FALSE),
VLOOKUP('Final Term'!Q46,new_transmute,4,FALSE)
),
""
)
)
)
)
)
)
)
)
))</f>
        <v/>
      </c>
      <c r="R46" s="73" t="str">
        <f>IF($B46="","",
IF(R$5="","",
IF('Final Term'!R46="",0,
IF(NOT(ISNUMBER('Final Term'!R46)),"NAN",
IF('Final Term'!R46&lt;0,"NEG",
IF('Final Term'!R46&gt;R$5,"OVER",
IF(AND(R$5&lt;=100,'Final Term'!R46&gt;100),"ERR",
IF(Info!$B$4="Non-board program",
IF(OR(AND(R$5&gt;0,R$5&gt;100),AND(R$5&gt;0,R$5&lt;100)),
VLOOKUP(FLOOR(('Final Term'!R46/R$5)*100,1),new_transmute,2,FALSE),
VLOOKUP('Final Term'!R46,new_transmute,2,FALSE)
),
IF(Info!$B$4="Board program",
IF(OR(AND(R$5&gt;0,R$5&gt;100),AND(R$5&gt;0,R$5&lt;100)),
VLOOKUP(FLOOR(('Final Term'!R46/R$5)*100,1),new_transmute,3,FALSE),
VLOOKUP('Final Term'!R46,new_transmute,3,FALSE)
),
IF(Info!$B$4="Board program (Medicine)",
IF(OR(AND(R$5&gt;0,R$5&gt;100),AND(R$5&gt;0,R$5&lt;100)),
VLOOKUP(FLOOR(('Final Term'!R46/R$5)*100,1),new_transmute,4,FALSE),
VLOOKUP('Final Term'!R46,new_transmute,4,FALSE)
),
""
)
)
)
)
)
)
)
)
))</f>
        <v/>
      </c>
      <c r="S46" s="115" t="str">
        <f t="shared" si="3"/>
        <v/>
      </c>
      <c r="T46" s="73" t="str">
        <f>IF($B46="","",
IF(T$5="","",
IF('Final Term'!T46="",0,
IF(NOT(ISNUMBER('Final Term'!T46)),"NAN",
IF('Final Term'!T46&lt;0,"NEG",
IF('Final Term'!T46&gt;T$5,"OVER",
IF(AND(T$5&lt;=100,'Final Term'!T46&gt;100),"ERR",
IF(Info!$B$4="Non-board program",
IF(OR(AND(T$5&gt;0,T$5&gt;100),AND(T$5&gt;0,T$5&lt;100)),
VLOOKUP(FLOOR(('Final Term'!T46/T$5)*100,1),new_transmute,2,FALSE),
VLOOKUP('Final Term'!T46,new_transmute,2,FALSE)
),
IF(Info!$B$4="Board program",
IF(OR(AND(T$5&gt;0,T$5&gt;100),AND(T$5&gt;0,T$5&lt;100)),
VLOOKUP(FLOOR(('Final Term'!T46/T$5)*100,1),new_transmute,3,FALSE),
VLOOKUP('Final Term'!T46,new_transmute,3,FALSE)
),
IF(Info!$B$4="Board program (Medicine)",
IF(OR(AND(T$5&gt;0,T$5&gt;100),AND(T$5&gt;0,T$5&lt;100)),
VLOOKUP(FLOOR(('Final Term'!T46/T$5)*100,1),new_transmute,4,FALSE),
VLOOKUP('Final Term'!T46,new_transmute,4,FALSE)
),
""
)
)
)
)
)
)
)
)
))</f>
        <v/>
      </c>
      <c r="U46" s="73" t="str">
        <f>IF($B46="","",
IF(U$5="","",
IF('Final Term'!U46="",0,
IF(NOT(ISNUMBER('Final Term'!U46)),"NAN",
IF('Final Term'!U46&lt;0,"NEG",
IF('Final Term'!U46&gt;U$5,"OVER",
IF(AND(U$5&lt;=100,'Final Term'!U46&gt;100),"ERR",
IF(Info!$B$4="Non-board program",
IF(OR(AND(U$5&gt;0,U$5&gt;100),AND(U$5&gt;0,U$5&lt;100)),
VLOOKUP(FLOOR(('Final Term'!U46/U$5)*100,1),new_transmute,2,FALSE),
VLOOKUP('Final Term'!U46,new_transmute,2,FALSE)
),
IF(Info!$B$4="Board program",
IF(OR(AND(U$5&gt;0,U$5&gt;100),AND(U$5&gt;0,U$5&lt;100)),
VLOOKUP(FLOOR(('Final Term'!U46/U$5)*100,1),new_transmute,3,FALSE),
VLOOKUP('Final Term'!U46,new_transmute,3,FALSE)
),
IF(Info!$B$4="Board program (Medicine)",
IF(OR(AND(U$5&gt;0,U$5&gt;100),AND(U$5&gt;0,U$5&lt;100)),
VLOOKUP(FLOOR(('Final Term'!U46/U$5)*100,1),new_transmute,4,FALSE),
VLOOKUP('Final Term'!U46,new_transmute,4,FALSE)
),
""
)
)
)
)
)
)
)
)
))</f>
        <v/>
      </c>
      <c r="V46" s="73" t="str">
        <f>IF($B46="","",
IF(V$5="","",
IF('Final Term'!V46="",0,
IF(NOT(ISNUMBER('Final Term'!V46)),"NAN",
IF('Final Term'!V46&lt;0,"NEG",
IF('Final Term'!V46&gt;V$5,"OVER",
IF(AND(V$5&lt;=100,'Final Term'!V46&gt;100),"ERR",
IF(Info!$B$4="Non-board program",
IF(OR(AND(V$5&gt;0,V$5&gt;100),AND(V$5&gt;0,V$5&lt;100)),
VLOOKUP(FLOOR(('Final Term'!V46/V$5)*100,1),new_transmute,2,FALSE),
VLOOKUP('Final Term'!V46,new_transmute,2,FALSE)
),
IF(Info!$B$4="Board program",
IF(OR(AND(V$5&gt;0,V$5&gt;100),AND(V$5&gt;0,V$5&lt;100)),
VLOOKUP(FLOOR(('Final Term'!V46/V$5)*100,1),new_transmute,3,FALSE),
VLOOKUP('Final Term'!V46,new_transmute,3,FALSE)
),
IF(Info!$B$4="Board program (Medicine)",
IF(OR(AND(V$5&gt;0,V$5&gt;100),AND(V$5&gt;0,V$5&lt;100)),
VLOOKUP(FLOOR(('Final Term'!V46/V$5)*100,1),new_transmute,4,FALSE),
VLOOKUP('Final Term'!V46,new_transmute,4,FALSE)
),
""
)
)
)
)
)
)
)
)
))</f>
        <v/>
      </c>
      <c r="W46" s="73" t="str">
        <f>IF($B46="","",
IF(W$5="","",
IF('Final Term'!W46="",0,
IF(NOT(ISNUMBER('Final Term'!W46)),"NAN",
IF('Final Term'!W46&lt;0,"NEG",
IF('Final Term'!W46&gt;W$5,"OVER",
IF(AND(W$5&lt;=100,'Final Term'!W46&gt;100),"ERR",
IF(Info!$B$4="Non-board program",
IF(OR(AND(W$5&gt;0,W$5&gt;100),AND(W$5&gt;0,W$5&lt;100)),
VLOOKUP(FLOOR(('Final Term'!W46/W$5)*100,1),new_transmute,2,FALSE),
VLOOKUP('Final Term'!W46,new_transmute,2,FALSE)
),
IF(Info!$B$4="Board program",
IF(OR(AND(W$5&gt;0,W$5&gt;100),AND(W$5&gt;0,W$5&lt;100)),
VLOOKUP(FLOOR(('Final Term'!W46/W$5)*100,1),new_transmute,3,FALSE),
VLOOKUP('Final Term'!W46,new_transmute,3,FALSE)
),
IF(Info!$B$4="Board program (Medicine)",
IF(OR(AND(W$5&gt;0,W$5&gt;100),AND(W$5&gt;0,W$5&lt;100)),
VLOOKUP(FLOOR(('Final Term'!W46/W$5)*100,1),new_transmute,4,FALSE),
VLOOKUP('Final Term'!W46,new_transmute,4,FALSE)
),
""
)
)
)
)
)
)
)
)
))</f>
        <v/>
      </c>
      <c r="X46" s="73" t="str">
        <f>IF($B46="","",
IF(X$5="","",
IF('Final Term'!X46="",0,
IF(NOT(ISNUMBER('Final Term'!X46)),"NAN",
IF('Final Term'!X46&lt;0,"NEG",
IF('Final Term'!X46&gt;X$5,"OVER",
IF(AND(X$5&lt;=100,'Final Term'!X46&gt;100),"ERR",
IF(Info!$B$4="Non-board program",
IF(OR(AND(X$5&gt;0,X$5&gt;100),AND(X$5&gt;0,X$5&lt;100)),
VLOOKUP(FLOOR(('Final Term'!X46/X$5)*100,1),new_transmute,2,FALSE),
VLOOKUP('Final Term'!X46,new_transmute,2,FALSE)
),
IF(Info!$B$4="Board program",
IF(OR(AND(X$5&gt;0,X$5&gt;100),AND(X$5&gt;0,X$5&lt;100)),
VLOOKUP(FLOOR(('Final Term'!X46/X$5)*100,1),new_transmute,3,FALSE),
VLOOKUP('Final Term'!X46,new_transmute,3,FALSE)
),
IF(Info!$B$4="Board program (Medicine)",
IF(OR(AND(X$5&gt;0,X$5&gt;100),AND(X$5&gt;0,X$5&lt;100)),
VLOOKUP(FLOOR(('Final Term'!X46/X$5)*100,1),new_transmute,4,FALSE),
VLOOKUP('Final Term'!X46,new_transmute,4,FALSE)
),
""
)
)
)
)
)
)
)
)
))</f>
        <v/>
      </c>
      <c r="Y46" s="112" t="str">
        <f t="shared" si="4"/>
        <v/>
      </c>
      <c r="Z46" s="73" t="str">
        <f>IF($B46="","",
IF(Z$5="","",
IF('Final Term'!Z46="",0,
IF(NOT(ISNUMBER('Final Term'!Z46)),"NAN",
IF('Final Term'!Z46&lt;0,"NEG",
IF('Final Term'!Z46&gt;Z$5,"OVER",
IF(AND(Z$5&lt;=100,'Final Term'!Z46&gt;100),"ERR",
IF(Info!$B$4="Non-board program",
IF(OR(AND(Z$5&gt;0,Z$5&gt;100),AND(Z$5&gt;0,Z$5&lt;100)),
VLOOKUP(FLOOR(('Final Term'!Z46/Z$5)*100,1),new_transmute,2,FALSE),
VLOOKUP('Final Term'!Z46,new_transmute,2,FALSE)
),
IF(Info!$B$4="Board program",
IF(OR(AND(Z$5&gt;0,Z$5&gt;100),AND(Z$5&gt;0,Z$5&lt;100)),
VLOOKUP(FLOOR(('Final Term'!Z46/Z$5)*100,1),new_transmute,3,FALSE),
VLOOKUP('Final Term'!Z46,new_transmute,3,FALSE)
),
IF(Info!$B$4="Board program (Medicine)",
IF(OR(AND(Z$5&gt;0,Z$5&gt;100),AND(Z$5&gt;0,Z$5&lt;100)),
VLOOKUP(FLOOR(('Final Term'!Z46/Z$5)*100,1),new_transmute,4,FALSE),
VLOOKUP('Final Term'!Z46,new_transmute,4,FALSE)
),
""
)
)
)
)
)
)
)
)
))</f>
        <v/>
      </c>
      <c r="AA46" s="73" t="str">
        <f>IF($B46="","",
IF(AA$5="","",
IF('Final Term'!AA46="",0,
IF(NOT(ISNUMBER('Final Term'!AA46)),"NAN",
IF('Final Term'!AA46&lt;0,"NEG",
IF('Final Term'!AA46&gt;AA$5,"OVER",
IF(AND(AA$5&lt;=100,'Final Term'!AA46&gt;100),"ERR",
IF(Info!$B$4="Non-board program",
IF(OR(AND(AA$5&gt;0,AA$5&gt;100),AND(AA$5&gt;0,AA$5&lt;100)),
VLOOKUP(FLOOR(('Final Term'!AA46/AA$5)*100,1),new_transmute,2,FALSE),
VLOOKUP('Final Term'!AA46,new_transmute,2,FALSE)
),
IF(Info!$B$4="Board program",
IF(OR(AND(AA$5&gt;0,AA$5&gt;100),AND(AA$5&gt;0,AA$5&lt;100)),
VLOOKUP(FLOOR(('Final Term'!AA46/AA$5)*100,1),new_transmute,3,FALSE),
VLOOKUP('Final Term'!AA46,new_transmute,3,FALSE)
),
IF(Info!$B$4="Board program (Medicine)",
IF(OR(AND(AA$5&gt;0,AA$5&gt;100),AND(AA$5&gt;0,AA$5&lt;100)),
VLOOKUP(FLOOR(('Final Term'!AA46/AA$5)*100,1),new_transmute,4,FALSE),
VLOOKUP('Final Term'!AA46,new_transmute,4,FALSE)
),
""
)
)
)
)
)
)
)
)
))</f>
        <v/>
      </c>
      <c r="AB46" s="73" t="str">
        <f>IF($B46="","",
IF(AB$5="","",
IF('Final Term'!AB46="",0,
IF(NOT(ISNUMBER('Final Term'!AB46)),"NAN",
IF('Final Term'!AB46&lt;0,"NEG",
IF('Final Term'!AB46&gt;AB$5,"OVER",
IF(AND(AB$5&lt;=100,'Final Term'!AB46&gt;100),"ERR",
IF(Info!$B$4="Non-board program",
IF(OR(AND(AB$5&gt;0,AB$5&gt;100),AND(AB$5&gt;0,AB$5&lt;100)),
VLOOKUP(FLOOR(('Final Term'!AB46/AB$5)*100,1),new_transmute,2,FALSE),
VLOOKUP('Final Term'!AB46,new_transmute,2,FALSE)
),
IF(Info!$B$4="Board program",
IF(OR(AND(AB$5&gt;0,AB$5&gt;100),AND(AB$5&gt;0,AB$5&lt;100)),
VLOOKUP(FLOOR(('Final Term'!AB46/AB$5)*100,1),new_transmute,3,FALSE),
VLOOKUP('Final Term'!AB46,new_transmute,3,FALSE)
),
IF(Info!$B$4="Board program (Medicine)",
IF(OR(AND(AB$5&gt;0,AB$5&gt;100),AND(AB$5&gt;0,AB$5&lt;100)),
VLOOKUP(FLOOR(('Final Term'!AB46/AB$5)*100,1),new_transmute,4,FALSE),
VLOOKUP('Final Term'!AB46,new_transmute,4,FALSE)
),
""
)
)
)
)
)
)
)
)
))</f>
        <v/>
      </c>
      <c r="AC46" s="73" t="str">
        <f>IF($B46="","",
IF(AC$5="","",
IF('Final Term'!AC46="",0,
IF(NOT(ISNUMBER('Final Term'!AC46)),"NAN",
IF('Final Term'!AC46&lt;0,"NEG",
IF('Final Term'!AC46&gt;AC$5,"OVER",
IF(AND(AC$5&lt;=100,'Final Term'!AC46&gt;100),"ERR",
IF(Info!$B$4="Non-board program",
IF(OR(AND(AC$5&gt;0,AC$5&gt;100),AND(AC$5&gt;0,AC$5&lt;100)),
VLOOKUP(FLOOR(('Final Term'!AC46/AC$5)*100,1),new_transmute,2,FALSE),
VLOOKUP('Final Term'!AC46,new_transmute,2,FALSE)
),
IF(Info!$B$4="Board program",
IF(OR(AND(AC$5&gt;0,AC$5&gt;100),AND(AC$5&gt;0,AC$5&lt;100)),
VLOOKUP(FLOOR(('Final Term'!AC46/AC$5)*100,1),new_transmute,3,FALSE),
VLOOKUP('Final Term'!AC46,new_transmute,3,FALSE)
),
IF(Info!$B$4="Board program (Medicine)",
IF(OR(AND(AC$5&gt;0,AC$5&gt;100),AND(AC$5&gt;0,AC$5&lt;100)),
VLOOKUP(FLOOR(('Final Term'!AC46/AC$5)*100,1),new_transmute,4,FALSE),
VLOOKUP('Final Term'!AC46,new_transmute,4,FALSE)
),
""
)
)
)
)
)
)
)
)
))</f>
        <v/>
      </c>
      <c r="AD46" s="73" t="str">
        <f>IF($B46="","",
IF(AD$5="","",
IF('Final Term'!AD46="",0,
IF(NOT(ISNUMBER('Final Term'!AD46)),"NAN",
IF('Final Term'!AD46&lt;0,"NEG",
IF('Final Term'!AD46&gt;AD$5,"OVER",
IF(AND(AD$5&lt;=100,'Final Term'!AD46&gt;100),"ERR",
IF(Info!$B$4="Non-board program",
IF(OR(AND(AD$5&gt;0,AD$5&gt;100),AND(AD$5&gt;0,AD$5&lt;100)),
VLOOKUP(FLOOR(('Final Term'!AD46/AD$5)*100,1),new_transmute,2,FALSE),
VLOOKUP('Final Term'!AD46,new_transmute,2,FALSE)
),
IF(Info!$B$4="Board program",
IF(OR(AND(AD$5&gt;0,AD$5&gt;100),AND(AD$5&gt;0,AD$5&lt;100)),
VLOOKUP(FLOOR(('Final Term'!AD46/AD$5)*100,1),new_transmute,3,FALSE),
VLOOKUP('Final Term'!AD46,new_transmute,3,FALSE)
),
IF(Info!$B$4="Board program (Medicine)",
IF(OR(AND(AD$5&gt;0,AD$5&gt;100),AND(AD$5&gt;0,AD$5&lt;100)),
VLOOKUP(FLOOR(('Final Term'!AD46/AD$5)*100,1),new_transmute,4,FALSE),
VLOOKUP('Final Term'!AD46,new_transmute,4,FALSE)
),
""
)
)
)
)
)
)
)
)
))</f>
        <v/>
      </c>
      <c r="AE46" s="58" t="str">
        <f t="shared" si="5"/>
        <v/>
      </c>
      <c r="AF46" s="73" t="str">
        <f>IF($B46="","",
IF(AF$5="","",
IF('Final Term'!AF46="",0,
IF(NOT(ISNUMBER('Final Term'!AF46)),"NAN",
IF('Final Term'!AF46&lt;0,"NEG",
IF('Final Term'!AF46&gt;AF$5,"OVER",
IF(AND(AF$5&lt;=100,'Final Term'!AF46&gt;100),"ERR",
IF(Info!$B$4="Non-board program",
IF(OR(AND(AF$5&gt;0,AF$5&gt;100),AND(AF$5&gt;0,AF$5&lt;100)),
VLOOKUP(FLOOR(('Final Term'!AF46/AF$5)*100,1),new_transmute,2,FALSE),
VLOOKUP('Final Term'!AF46,new_transmute,2,FALSE)
),
IF(Info!$B$4="Board program",
IF(OR(AND(AF$5&gt;0,AF$5&gt;100),AND(AF$5&gt;0,AF$5&lt;100)),
VLOOKUP(FLOOR(('Final Term'!AF46/AF$5)*100,1),new_transmute,3,FALSE),
VLOOKUP('Final Term'!AF46,new_transmute,3,FALSE)
),
IF(Info!$B$4="Board program (Medicine)",
IF(OR(AND(AF$5&gt;0,AF$5&gt;100),AND(AF$5&gt;0,AF$5&lt;100)),
VLOOKUP(FLOOR(('Final Term'!AF46/AF$5)*100,1),new_transmute,4,FALSE),
VLOOKUP('Final Term'!AF46,new_transmute,4,FALSE)
),
""
)
)
)
)
)
)
)
)
))</f>
        <v/>
      </c>
      <c r="AG46" s="73" t="str">
        <f>IF($B46="","",
IF(AG$5="","",
IF('Final Term'!AG46="",0,
IF(NOT(ISNUMBER('Final Term'!AG46)),"NAN",
IF('Final Term'!AG46&lt;0,"NEG",
IF('Final Term'!AG46&gt;AG$5,"OVER",
IF(AND(AG$5&lt;=100,'Final Term'!AG46&gt;100),"ERR",
IF(Info!$B$4="Non-board program",
IF(OR(AND(AG$5&gt;0,AG$5&gt;100),AND(AG$5&gt;0,AG$5&lt;100)),
VLOOKUP(FLOOR(('Final Term'!AG46/AG$5)*100,1),new_transmute,2,FALSE),
VLOOKUP('Final Term'!AG46,new_transmute,2,FALSE)
),
IF(Info!$B$4="Board program",
IF(OR(AND(AG$5&gt;0,AG$5&gt;100),AND(AG$5&gt;0,AG$5&lt;100)),
VLOOKUP(FLOOR(('Final Term'!AG46/AG$5)*100,1),new_transmute,3,FALSE),
VLOOKUP('Final Term'!AG46,new_transmute,3,FALSE)
),
IF(Info!$B$4="Board program (Medicine)",
IF(OR(AND(AG$5&gt;0,AG$5&gt;100),AND(AG$5&gt;0,AG$5&lt;100)),
VLOOKUP(FLOOR(('Final Term'!AG46/AG$5)*100,1),new_transmute,4,FALSE),
VLOOKUP('Final Term'!AG46,new_transmute,4,FALSE)
),
""
)
)
)
)
)
)
)
)
))</f>
        <v/>
      </c>
      <c r="AH46" s="73" t="str">
        <f>IF($B46="","",
IF(AH$5="","",
IF('Final Term'!AH46="",0,
IF(NOT(ISNUMBER('Final Term'!AH46)),"NAN",
IF('Final Term'!AH46&lt;0,"NEG",
IF('Final Term'!AH46&gt;AH$5,"OVER",
IF(AND(AH$5&lt;=100,'Final Term'!AH46&gt;100),"ERR",
IF(Info!$B$4="Non-board program",
IF(OR(AND(AH$5&gt;0,AH$5&gt;100),AND(AH$5&gt;0,AH$5&lt;100)),
VLOOKUP(FLOOR(('Final Term'!AH46/AH$5)*100,1),new_transmute,2,FALSE),
VLOOKUP('Final Term'!AH46,new_transmute,2,FALSE)
),
IF(Info!$B$4="Board program",
IF(OR(AND(AH$5&gt;0,AH$5&gt;100),AND(AH$5&gt;0,AH$5&lt;100)),
VLOOKUP(FLOOR(('Final Term'!AH46/AH$5)*100,1),new_transmute,3,FALSE),
VLOOKUP('Final Term'!AH46,new_transmute,3,FALSE)
),
IF(Info!$B$4="Board program (Medicine)",
IF(OR(AND(AH$5&gt;0,AH$5&gt;100),AND(AH$5&gt;0,AH$5&lt;100)),
VLOOKUP(FLOOR(('Final Term'!AH46/AH$5)*100,1),new_transmute,4,FALSE),
VLOOKUP('Final Term'!AH46,new_transmute,4,FALSE)
),
""
)
)
)
)
)
)
)
)
))</f>
        <v/>
      </c>
      <c r="AI46" s="73" t="str">
        <f>IF($B46="","",
IF(AI$5="","",
IF('Final Term'!AI46="",0,
IF(NOT(ISNUMBER('Final Term'!AI46)),"NAN",
IF('Final Term'!AI46&lt;0,"NEG",
IF('Final Term'!AI46&gt;AI$5,"OVER",
IF(AND(AI$5&lt;=100,'Final Term'!AI46&gt;100),"ERR",
IF(Info!$B$4="Non-board program",
IF(OR(AND(AI$5&gt;0,AI$5&gt;100),AND(AI$5&gt;0,AI$5&lt;100)),
VLOOKUP(FLOOR(('Final Term'!AI46/AI$5)*100,1),new_transmute,2,FALSE),
VLOOKUP('Final Term'!AI46,new_transmute,2,FALSE)
),
IF(Info!$B$4="Board program",
IF(OR(AND(AI$5&gt;0,AI$5&gt;100),AND(AI$5&gt;0,AI$5&lt;100)),
VLOOKUP(FLOOR(('Final Term'!AI46/AI$5)*100,1),new_transmute,3,FALSE),
VLOOKUP('Final Term'!AI46,new_transmute,3,FALSE)
),
IF(Info!$B$4="Board program (Medicine)",
IF(OR(AND(AI$5&gt;0,AI$5&gt;100),AND(AI$5&gt;0,AI$5&lt;100)),
VLOOKUP(FLOOR(('Final Term'!AI46/AI$5)*100,1),new_transmute,4,FALSE),
VLOOKUP('Final Term'!AI46,new_transmute,4,FALSE)
),
""
)
)
)
)
)
)
)
)
))</f>
        <v/>
      </c>
      <c r="AJ46" s="73" t="str">
        <f>IF($B46="","",
IF(AJ$5="","",
IF('Final Term'!AJ46="",0,
IF(NOT(ISNUMBER('Final Term'!AJ46)),"NAN",
IF('Final Term'!AJ46&lt;0,"NEG",
IF('Final Term'!AJ46&gt;AJ$5,"OVER",
IF(AND(AJ$5&lt;=100,'Final Term'!AJ46&gt;100),"ERR",
IF(Info!$B$4="Non-board program",
IF(OR(AND(AJ$5&gt;0,AJ$5&gt;100),AND(AJ$5&gt;0,AJ$5&lt;100)),
VLOOKUP(FLOOR(('Final Term'!AJ46/AJ$5)*100,1),new_transmute,2,FALSE),
VLOOKUP('Final Term'!AJ46,new_transmute,2,FALSE)
),
IF(Info!$B$4="Board program",
IF(OR(AND(AJ$5&gt;0,AJ$5&gt;100),AND(AJ$5&gt;0,AJ$5&lt;100)),
VLOOKUP(FLOOR(('Final Term'!AJ46/AJ$5)*100,1),new_transmute,3,FALSE),
VLOOKUP('Final Term'!AJ46,new_transmute,3,FALSE)
),
IF(Info!$B$4="Board program (Medicine)",
IF(OR(AND(AJ$5&gt;0,AJ$5&gt;100),AND(AJ$5&gt;0,AJ$5&lt;100)),
VLOOKUP(FLOOR(('Final Term'!AJ46/AJ$5)*100,1),new_transmute,4,FALSE),
VLOOKUP('Final Term'!AJ46,new_transmute,4,FALSE)
),
""
)
)
)
)
)
)
)
)
))</f>
        <v/>
      </c>
      <c r="AK46" s="59" t="str">
        <f t="shared" si="6"/>
        <v/>
      </c>
      <c r="AL46" s="60" t="str">
        <f>IF(B46="", "",
    IF(OR(M46="OVER", S46="OVER", Y46="OVER", AE46="OVER", AK46="OVER"),
        "OVER",
        IF(Info!$B$4="Non-board program",
            VLOOKUP(IFERROR(FLOOR(SUM((M46*$M$4), (S46*$S$4), (Y46*$Y$4), (AE46*$AE$4), (AK46*$AK$4)) * (100 / 60), 1), 0), new_transmute, 2, FALSE),
            IF(Info!$B$4="Board program",
                VLOOKUP(IFERROR(FLOOR(SUM((M46*$M$4), (S46*$S$4), (Y46*$Y$4), (AE46*$AE$4), (AK46*$AK$4)) * (100 / 60), 1), 0), new_transmute, 3, FALSE),
                IF(Info!$B$4="Board program (Medicine)",
                    VLOOKUP(IFERROR(FLOOR(SUM((M46*$M$4), (S46*$S$4), (Y46*$Y$4), (AE46*$AE$4), (AK46*$AK$4)) * (100 / 60), 1), 0), new_transmute, 4, FALSE),
                    ""
                )
            )
        )
    )
)</f>
        <v/>
      </c>
      <c r="AM46" s="73" t="str">
        <f>IF($B46="","",
IF(AM$5="","",
IF('Final Term'!AM46="",0,
IF(NOT(ISNUMBER('Final Term'!AM46)),"NAN",
IF('Final Term'!AM46&lt;0,"NEG",
IF('Final Term'!AM46&gt;AM$5,"OVER",
IF(AND(AM$5&lt;=100,'Final Term'!AM46&gt;100),"ERR",
IF(Info!$B$4="Non-board program",
IF(OR(AND(AM$5&gt;0,AM$5&gt;100),AND(AM$5&gt;0,AM$5&lt;100)),
VLOOKUP(FLOOR(('Final Term'!AM46/AM$5)*100,1),new_transmute,2,FALSE),
VLOOKUP('Final Term'!AM46,new_transmute,2,FALSE)
),
IF(Info!$B$4="Board program",
IF(OR(AND(AM$5&gt;0,AM$5&gt;100),AND(AM$5&gt;0,AM$5&lt;100)),
VLOOKUP(FLOOR(('Final Term'!AM46/AM$5)*100,1),new_transmute,3,FALSE),
VLOOKUP('Final Term'!AM46,new_transmute,3,FALSE)
),
IF(Info!$B$4="Board program (Medicine)",
IF(OR(AND(AM$5&gt;0,AM$5&gt;100),AND(AM$5&gt;0,AM$5&lt;100)),
VLOOKUP(FLOOR(('Final Term'!AM46/AM$5)*100,1),new_transmute,4,FALSE),
VLOOKUP('Final Term'!AM46,new_transmute,4,FALSE)
),
""
)
)
)
)
)
)
)
)
))</f>
        <v/>
      </c>
      <c r="AN46" s="73" t="str">
        <f>IF($B46="","",
IF(AN$5="","",
IF('Final Term'!AN46="",0,
IF(NOT(ISNUMBER('Final Term'!AN46)),"NAN",
IF('Final Term'!AN46&lt;0,"NEG",
IF('Final Term'!AN46&gt;AN$5,"OVER",
IF(AND(AN$5&lt;=100,'Final Term'!AN46&gt;100),"ERR",
IF(Info!$B$4="Non-board program",
IF(OR(AND(AN$5&gt;0,AN$5&gt;100),AND(AN$5&gt;0,AN$5&lt;100)),
VLOOKUP(FLOOR(('Final Term'!AN46/AN$5)*100,1),new_transmute,2,FALSE),
VLOOKUP('Final Term'!AN46,new_transmute,2,FALSE)
),
IF(Info!$B$4="Board program",
IF(OR(AND(AN$5&gt;0,AN$5&gt;100),AND(AN$5&gt;0,AN$5&lt;100)),
VLOOKUP(FLOOR(('Final Term'!AN46/AN$5)*100,1),new_transmute,3,FALSE),
VLOOKUP('Final Term'!AN46,new_transmute,3,FALSE)
),
IF(Info!$B$4="Board program (Medicine)",
IF(OR(AND(AN$5&gt;0,AN$5&gt;100),AND(AN$5&gt;0,AN$5&lt;100)),
VLOOKUP(FLOOR(('Final Term'!AN46/AN$5)*100,1),new_transmute,4,FALSE),
VLOOKUP('Final Term'!AN46,new_transmute,4,FALSE)
),
""
)
)
)
)
)
)
)
)
))</f>
        <v/>
      </c>
      <c r="AO46" s="73" t="str">
        <f>IF($B46="","",
IF(AO$5="","",
IF('Final Term'!AO46="",0,
IF(NOT(ISNUMBER('Final Term'!AO46)),"NAN",
IF('Final Term'!AO46&lt;0,"NEG",
IF('Final Term'!AO46&gt;AO$5,"OVER",
IF(AND(AO$5&lt;=100,'Final Term'!AO46&gt;100),"ERR",
IF(Info!$B$4="Non-board program",
IF(OR(AND(AO$5&gt;0,AO$5&gt;100),AND(AO$5&gt;0,AO$5&lt;100)),
VLOOKUP(FLOOR(('Final Term'!AO46/AO$5)*100,1),new_transmute,2,FALSE),
VLOOKUP('Final Term'!AO46,new_transmute,2,FALSE)
),
IF(Info!$B$4="Board program",
IF(OR(AND(AO$5&gt;0,AO$5&gt;100),AND(AO$5&gt;0,AO$5&lt;100)),
VLOOKUP(FLOOR(('Final Term'!AO46/AO$5)*100,1),new_transmute,3,FALSE),
VLOOKUP('Final Term'!AO46,new_transmute,3,FALSE)
),
IF(Info!$B$4="Board program (Medicine)",
IF(OR(AND(AO$5&gt;0,AO$5&gt;100),AND(AO$5&gt;0,AO$5&lt;100)),
VLOOKUP(FLOOR(('Final Term'!AO46/AO$5)*100,1),new_transmute,4,FALSE),
VLOOKUP('Final Term'!AO46,new_transmute,4,FALSE)
),
""
)
)
)
)
)
)
)
)
))</f>
        <v/>
      </c>
      <c r="AP46" s="73" t="str">
        <f>IF($B46="","",
IF(AP$5="","",
IF('Final Term'!AP46="",0,
IF(NOT(ISNUMBER('Final Term'!AP46)),"NAN",
IF('Final Term'!AP46&lt;0,"NEG",
IF('Final Term'!AP46&gt;AP$5,"OVER",
IF(AND(AP$5&lt;=100,'Final Term'!AP46&gt;100),"ERR",
IF(Info!$B$4="Non-board program",
IF(OR(AND(AP$5&gt;0,AP$5&gt;100),AND(AP$5&gt;0,AP$5&lt;100)),
VLOOKUP(FLOOR(('Final Term'!AP46/AP$5)*100,1),new_transmute,2,FALSE),
VLOOKUP('Final Term'!AP46,new_transmute,2,FALSE)
),
IF(Info!$B$4="Board program",
IF(OR(AND(AP$5&gt;0,AP$5&gt;100),AND(AP$5&gt;0,AP$5&lt;100)),
VLOOKUP(FLOOR(('Final Term'!AP46/AP$5)*100,1),new_transmute,3,FALSE),
VLOOKUP('Final Term'!AP46,new_transmute,3,FALSE)
),
IF(Info!$B$4="Board program (Medicine)",
IF(OR(AND(AP$5&gt;0,AP$5&gt;100),AND(AP$5&gt;0,AP$5&lt;100)),
VLOOKUP(FLOOR(('Final Term'!AP46/AP$5)*100,1),new_transmute,4,FALSE),
VLOOKUP('Final Term'!AP46,new_transmute,4,FALSE)
),
""
)
)
)
)
)
)
)
)
))</f>
        <v/>
      </c>
      <c r="AQ46" s="61" t="str">
        <f t="shared" si="7"/>
        <v/>
      </c>
      <c r="AR46" s="48" t="str">
        <f>IF('Final Term'!AR46="","",'Final Term'!AR46)</f>
        <v/>
      </c>
      <c r="AS46" s="165" t="str">
        <f t="shared" si="8"/>
        <v/>
      </c>
      <c r="AT46" s="14" t="str">
        <f t="shared" si="9"/>
        <v/>
      </c>
      <c r="AU46" s="13" t="str">
        <f>IF(B46="","",VLOOKUP(AT46,'New Grade Equivalent'!$B$3:$C$47,2,FALSE))</f>
        <v/>
      </c>
    </row>
    <row r="47" spans="1:47" x14ac:dyDescent="0.25">
      <c r="A47" s="8">
        <v>42</v>
      </c>
      <c r="B47" s="2" t="str">
        <f>IF('Student List'!C51="","",UPPER(LEFT('Student List'!C51,FIND(",",'Student List'!C51)-1)))</f>
        <v/>
      </c>
      <c r="C47" s="12" t="str">
        <f>IF('Student List'!C51="","",PROPER(MID('Student List'!C51, FIND(",", 'Student List'!C51) + 2, LEN('Student List'!C51) - FIND(",", 'Student List'!C51) - 1)))</f>
        <v/>
      </c>
      <c r="D47" s="127" t="str">
        <f>IF('Final Term'!D47="","",'Final Term'!D47)</f>
        <v/>
      </c>
      <c r="E47" s="8" t="str">
        <f>IF(MidCom!E47="FA", "FA",
    IF(MidCom!E47="DRP", "DRP",
        IF(MidCom!E47="WF", "WF",
            IF(D47="Yes", "INC",
               IF((SUM('MT Attendance'!AW45) / 3 + SUM('MT Attendance'!AY45) + SUM('FT Attendance'!AW45) / 3 + SUM('FT Attendance'!AY45)) &gt;= 0.2 * (SUMPRODUCT(--(ISTEXT('MT Attendance'!$C$2:$AU$2))) + SUMPRODUCT(--(ISTEXT('FT Attendance'!$C$2:$AU$2)))), "FA",
                   MidCom!E47
                )
            )
        )
    )
)</f>
        <v/>
      </c>
      <c r="F47" s="73" t="str">
        <f>IF($B47="","",
IF(F$5="","",
IF('Final Term'!F47="",0,
IF(NOT(ISNUMBER('Final Term'!F47)),"NAN",
IF('Final Term'!F47&lt;0,"NEG",
IF('Final Term'!F47&gt;F$5,"OVER",
IF(AND(F$5&lt;=100,'Final Term'!F47&gt;100),"ERR",
IF(Info!$B$4="Non-board program",
IF(OR(AND(F$5&gt;0,F$5&gt;100),AND(F$5&gt;0,F$5&lt;100)),
VLOOKUP(FLOOR(('Final Term'!F47/F$5)*100,1),new_transmute,2,FALSE),
VLOOKUP('Final Term'!F47,new_transmute,2,FALSE)
),
IF(Info!$B$4="Board program",
IF(OR(AND(F$5&gt;0,F$5&gt;100),AND(F$5&gt;0,F$5&lt;100)),
VLOOKUP(FLOOR(('Final Term'!F47/F$5)*100,1),new_transmute,3,FALSE),
VLOOKUP('Final Term'!F47,new_transmute,3,FALSE)
),
IF(Info!$B$4="Board program (Medicine)",
IF(OR(AND(F$5&gt;0,F$5&gt;100),AND(F$5&gt;0,F$5&lt;100)),
VLOOKUP(FLOOR(('Final Term'!F47/F$5)*100,1),new_transmute,4,FALSE),
VLOOKUP('Final Term'!F47,new_transmute,4,FALSE)
),
""
)
)
)
)
)
)
)
)
))</f>
        <v/>
      </c>
      <c r="G47" s="57" t="str">
        <f t="shared" si="1"/>
        <v/>
      </c>
      <c r="H47" s="73" t="str">
        <f>IF($B47="","",
IF(H$5="","",
IF('Final Term'!H47="",0,
IF(NOT(ISNUMBER('Final Term'!H47)),"NAN",
IF('Final Term'!H47&lt;0,"NEG",
IF('Final Term'!H47&gt;H$5,"OVER",
IF(AND(H$5&lt;=100,'Final Term'!H47&gt;100),"ERR",
IF(Info!$B$4="Non-board program",
IF(OR(AND(H$5&gt;0,H$5&gt;100),AND(H$5&gt;0,H$5&lt;100)),
VLOOKUP(FLOOR(('Final Term'!H47/H$5)*100,1),new_transmute,2,FALSE),
VLOOKUP('Final Term'!H47,new_transmute,2,FALSE)
),
IF(Info!$B$4="Board program",
IF(OR(AND(H$5&gt;0,H$5&gt;100),AND(H$5&gt;0,H$5&lt;100)),
VLOOKUP(FLOOR(('Final Term'!H47/H$5)*100,1),new_transmute,3,FALSE),
VLOOKUP('Final Term'!H47,new_transmute,3,FALSE)
),
IF(Info!$B$4="Board program (Medicine)",
IF(OR(AND(H$5&gt;0,H$5&gt;100),AND(H$5&gt;0,H$5&lt;100)),
VLOOKUP(FLOOR(('Final Term'!H47/H$5)*100,1),new_transmute,4,FALSE),
VLOOKUP('Final Term'!H47,new_transmute,4,FALSE)
),
""
)
)
)
)
)
)
)
)
))</f>
        <v/>
      </c>
      <c r="I47" s="73" t="str">
        <f>IF($B47="","",
IF(I$5="","",
IF('Final Term'!I47="",0,
IF(NOT(ISNUMBER('Final Term'!I47)),"NAN",
IF('Final Term'!I47&lt;0,"NEG",
IF('Final Term'!I47&gt;I$5,"OVER",
IF(AND(I$5&lt;=100,'Final Term'!I47&gt;100),"ERR",
IF(Info!$B$4="Non-board program",
IF(OR(AND(I$5&gt;0,I$5&gt;100),AND(I$5&gt;0,I$5&lt;100)),
VLOOKUP(FLOOR(('Final Term'!I47/I$5)*100,1),new_transmute,2,FALSE),
VLOOKUP('Final Term'!I47,new_transmute,2,FALSE)
),
IF(Info!$B$4="Board program",
IF(OR(AND(I$5&gt;0,I$5&gt;100),AND(I$5&gt;0,I$5&lt;100)),
VLOOKUP(FLOOR(('Final Term'!I47/I$5)*100,1),new_transmute,3,FALSE),
VLOOKUP('Final Term'!I47,new_transmute,3,FALSE)
),
IF(Info!$B$4="Board program (Medicine)",
IF(OR(AND(I$5&gt;0,I$5&gt;100),AND(I$5&gt;0,I$5&lt;100)),
VLOOKUP(FLOOR(('Final Term'!I47/I$5)*100,1),new_transmute,4,FALSE),
VLOOKUP('Final Term'!I47,new_transmute,4,FALSE)
),
""
)
)
)
)
)
)
)
)
))</f>
        <v/>
      </c>
      <c r="J47" s="73" t="str">
        <f>IF($B47="","",
IF(J$5="","",
IF('Final Term'!J47="",0,
IF(NOT(ISNUMBER('Final Term'!J47)),"NAN",
IF('Final Term'!J47&lt;0,"NEG",
IF('Final Term'!J47&gt;J$5,"OVER",
IF(AND(J$5&lt;=100,'Final Term'!J47&gt;100),"ERR",
IF(Info!$B$4="Non-board program",
IF(OR(AND(J$5&gt;0,J$5&gt;100),AND(J$5&gt;0,J$5&lt;100)),
VLOOKUP(FLOOR(('Final Term'!J47/J$5)*100,1),new_transmute,2,FALSE),
VLOOKUP('Final Term'!J47,new_transmute,2,FALSE)
),
IF(Info!$B$4="Board program",
IF(OR(AND(J$5&gt;0,J$5&gt;100),AND(J$5&gt;0,J$5&lt;100)),
VLOOKUP(FLOOR(('Final Term'!J47/J$5)*100,1),new_transmute,3,FALSE),
VLOOKUP('Final Term'!J47,new_transmute,3,FALSE)
),
IF(Info!$B$4="Board program (Medicine)",
IF(OR(AND(J$5&gt;0,J$5&gt;100),AND(J$5&gt;0,J$5&lt;100)),
VLOOKUP(FLOOR(('Final Term'!J47/J$5)*100,1),new_transmute,4,FALSE),
VLOOKUP('Final Term'!J47,new_transmute,4,FALSE)
),
""
)
)
)
)
)
)
)
)
))</f>
        <v/>
      </c>
      <c r="K47" s="73" t="str">
        <f>IF($B47="","",
IF(K$5="","",
IF('Final Term'!K47="",0,
IF(NOT(ISNUMBER('Final Term'!K47)),"NAN",
IF('Final Term'!K47&lt;0,"NEG",
IF('Final Term'!K47&gt;K$5,"OVER",
IF(AND(K$5&lt;=100,'Final Term'!K47&gt;100),"ERR",
IF(Info!$B$4="Non-board program",
IF(OR(AND(K$5&gt;0,K$5&gt;100),AND(K$5&gt;0,K$5&lt;100)),
VLOOKUP(FLOOR(('Final Term'!K47/K$5)*100,1),new_transmute,2,FALSE),
VLOOKUP('Final Term'!K47,new_transmute,2,FALSE)
),
IF(Info!$B$4="Board program",
IF(OR(AND(K$5&gt;0,K$5&gt;100),AND(K$5&gt;0,K$5&lt;100)),
VLOOKUP(FLOOR(('Final Term'!K47/K$5)*100,1),new_transmute,3,FALSE),
VLOOKUP('Final Term'!K47,new_transmute,3,FALSE)
),
IF(Info!$B$4="Board program (Medicine)",
IF(OR(AND(K$5&gt;0,K$5&gt;100),AND(K$5&gt;0,K$5&lt;100)),
VLOOKUP(FLOOR(('Final Term'!K47/K$5)*100,1),new_transmute,4,FALSE),
VLOOKUP('Final Term'!K47,new_transmute,4,FALSE)
),
""
)
)
)
)
)
)
)
)
))</f>
        <v/>
      </c>
      <c r="L47" s="73" t="str">
        <f>IF($B47="","",
IF(L$5="","",
IF('Final Term'!L47="",0,
IF(NOT(ISNUMBER('Final Term'!L47)),"NAN",
IF('Final Term'!L47&lt;0,"NEG",
IF('Final Term'!L47&gt;L$5,"OVER",
IF(AND(L$5&lt;=100,'Final Term'!L47&gt;100),"ERR",
IF(Info!$B$4="Non-board program",
IF(OR(AND(L$5&gt;0,L$5&gt;100),AND(L$5&gt;0,L$5&lt;100)),
VLOOKUP(FLOOR(('Final Term'!L47/L$5)*100,1),new_transmute,2,FALSE),
VLOOKUP('Final Term'!L47,new_transmute,2,FALSE)
),
IF(Info!$B$4="Board program",
IF(OR(AND(L$5&gt;0,L$5&gt;100),AND(L$5&gt;0,L$5&lt;100)),
VLOOKUP(FLOOR(('Final Term'!L47/L$5)*100,1),new_transmute,3,FALSE),
VLOOKUP('Final Term'!L47,new_transmute,3,FALSE)
),
IF(Info!$B$4="Board program (Medicine)",
IF(OR(AND(L$5&gt;0,L$5&gt;100),AND(L$5&gt;0,L$5&lt;100)),
VLOOKUP(FLOOR(('Final Term'!L47/L$5)*100,1),new_transmute,4,FALSE),
VLOOKUP('Final Term'!L47,new_transmute,4,FALSE)
),
""
)
)
)
)
)
)
)
)
))</f>
        <v/>
      </c>
      <c r="M47" s="111" t="str">
        <f t="shared" si="2"/>
        <v/>
      </c>
      <c r="N47" s="73" t="str">
        <f>IF($B47="","",
IF(N$5="","",
IF('Final Term'!N47="",0,
IF(NOT(ISNUMBER('Final Term'!N47)),"NAN",
IF('Final Term'!N47&lt;0,"NEG",
IF('Final Term'!N47&gt;N$5,"OVER",
IF(AND(N$5&lt;=100,'Final Term'!N47&gt;100),"ERR",
IF(Info!$B$4="Non-board program",
IF(OR(AND(N$5&gt;0,N$5&gt;100),AND(N$5&gt;0,N$5&lt;100)),
VLOOKUP(FLOOR(('Final Term'!N47/N$5)*100,1),new_transmute,2,FALSE),
VLOOKUP('Final Term'!N47,new_transmute,2,FALSE)
),
IF(Info!$B$4="Board program",
IF(OR(AND(N$5&gt;0,N$5&gt;100),AND(N$5&gt;0,N$5&lt;100)),
VLOOKUP(FLOOR(('Final Term'!N47/N$5)*100,1),new_transmute,3,FALSE),
VLOOKUP('Final Term'!N47,new_transmute,3,FALSE)
),
IF(Info!$B$4="Board program (Medicine)",
IF(OR(AND(N$5&gt;0,N$5&gt;100),AND(N$5&gt;0,N$5&lt;100)),
VLOOKUP(FLOOR(('Final Term'!N47/N$5)*100,1),new_transmute,4,FALSE),
VLOOKUP('Final Term'!N47,new_transmute,4,FALSE)
),
""
)
)
)
)
)
)
)
)
))</f>
        <v/>
      </c>
      <c r="O47" s="73" t="str">
        <f>IF($B47="","",
IF(O$5="","",
IF('Final Term'!O47="",0,
IF(NOT(ISNUMBER('Final Term'!O47)),"NAN",
IF('Final Term'!O47&lt;0,"NEG",
IF('Final Term'!O47&gt;O$5,"OVER",
IF(AND(O$5&lt;=100,'Final Term'!O47&gt;100),"ERR",
IF(Info!$B$4="Non-board program",
IF(OR(AND(O$5&gt;0,O$5&gt;100),AND(O$5&gt;0,O$5&lt;100)),
VLOOKUP(FLOOR(('Final Term'!O47/O$5)*100,1),new_transmute,2,FALSE),
VLOOKUP('Final Term'!O47,new_transmute,2,FALSE)
),
IF(Info!$B$4="Board program",
IF(OR(AND(O$5&gt;0,O$5&gt;100),AND(O$5&gt;0,O$5&lt;100)),
VLOOKUP(FLOOR(('Final Term'!O47/O$5)*100,1),new_transmute,3,FALSE),
VLOOKUP('Final Term'!O47,new_transmute,3,FALSE)
),
IF(Info!$B$4="Board program (Medicine)",
IF(OR(AND(O$5&gt;0,O$5&gt;100),AND(O$5&gt;0,O$5&lt;100)),
VLOOKUP(FLOOR(('Final Term'!O47/O$5)*100,1),new_transmute,4,FALSE),
VLOOKUP('Final Term'!O47,new_transmute,4,FALSE)
),
""
)
)
)
)
)
)
)
)
))</f>
        <v/>
      </c>
      <c r="P47" s="73" t="str">
        <f>IF($B47="","",
IF(P$5="","",
IF('Final Term'!P47="",0,
IF(NOT(ISNUMBER('Final Term'!P47)),"NAN",
IF('Final Term'!P47&lt;0,"NEG",
IF('Final Term'!P47&gt;P$5,"OVER",
IF(AND(P$5&lt;=100,'Final Term'!P47&gt;100),"ERR",
IF(Info!$B$4="Non-board program",
IF(OR(AND(P$5&gt;0,P$5&gt;100),AND(P$5&gt;0,P$5&lt;100)),
VLOOKUP(FLOOR(('Final Term'!P47/P$5)*100,1),new_transmute,2,FALSE),
VLOOKUP('Final Term'!P47,new_transmute,2,FALSE)
),
IF(Info!$B$4="Board program",
IF(OR(AND(P$5&gt;0,P$5&gt;100),AND(P$5&gt;0,P$5&lt;100)),
VLOOKUP(FLOOR(('Final Term'!P47/P$5)*100,1),new_transmute,3,FALSE),
VLOOKUP('Final Term'!P47,new_transmute,3,FALSE)
),
IF(Info!$B$4="Board program (Medicine)",
IF(OR(AND(P$5&gt;0,P$5&gt;100),AND(P$5&gt;0,P$5&lt;100)),
VLOOKUP(FLOOR(('Final Term'!P47/P$5)*100,1),new_transmute,4,FALSE),
VLOOKUP('Final Term'!P47,new_transmute,4,FALSE)
),
""
)
)
)
)
)
)
)
)
))</f>
        <v/>
      </c>
      <c r="Q47" s="73" t="str">
        <f>IF($B47="","",
IF(Q$5="","",
IF('Final Term'!Q47="",0,
IF(NOT(ISNUMBER('Final Term'!Q47)),"NAN",
IF('Final Term'!Q47&lt;0,"NEG",
IF('Final Term'!Q47&gt;Q$5,"OVER",
IF(AND(Q$5&lt;=100,'Final Term'!Q47&gt;100),"ERR",
IF(Info!$B$4="Non-board program",
IF(OR(AND(Q$5&gt;0,Q$5&gt;100),AND(Q$5&gt;0,Q$5&lt;100)),
VLOOKUP(FLOOR(('Final Term'!Q47/Q$5)*100,1),new_transmute,2,FALSE),
VLOOKUP('Final Term'!Q47,new_transmute,2,FALSE)
),
IF(Info!$B$4="Board program",
IF(OR(AND(Q$5&gt;0,Q$5&gt;100),AND(Q$5&gt;0,Q$5&lt;100)),
VLOOKUP(FLOOR(('Final Term'!Q47/Q$5)*100,1),new_transmute,3,FALSE),
VLOOKUP('Final Term'!Q47,new_transmute,3,FALSE)
),
IF(Info!$B$4="Board program (Medicine)",
IF(OR(AND(Q$5&gt;0,Q$5&gt;100),AND(Q$5&gt;0,Q$5&lt;100)),
VLOOKUP(FLOOR(('Final Term'!Q47/Q$5)*100,1),new_transmute,4,FALSE),
VLOOKUP('Final Term'!Q47,new_transmute,4,FALSE)
),
""
)
)
)
)
)
)
)
)
))</f>
        <v/>
      </c>
      <c r="R47" s="73" t="str">
        <f>IF($B47="","",
IF(R$5="","",
IF('Final Term'!R47="",0,
IF(NOT(ISNUMBER('Final Term'!R47)),"NAN",
IF('Final Term'!R47&lt;0,"NEG",
IF('Final Term'!R47&gt;R$5,"OVER",
IF(AND(R$5&lt;=100,'Final Term'!R47&gt;100),"ERR",
IF(Info!$B$4="Non-board program",
IF(OR(AND(R$5&gt;0,R$5&gt;100),AND(R$5&gt;0,R$5&lt;100)),
VLOOKUP(FLOOR(('Final Term'!R47/R$5)*100,1),new_transmute,2,FALSE),
VLOOKUP('Final Term'!R47,new_transmute,2,FALSE)
),
IF(Info!$B$4="Board program",
IF(OR(AND(R$5&gt;0,R$5&gt;100),AND(R$5&gt;0,R$5&lt;100)),
VLOOKUP(FLOOR(('Final Term'!R47/R$5)*100,1),new_transmute,3,FALSE),
VLOOKUP('Final Term'!R47,new_transmute,3,FALSE)
),
IF(Info!$B$4="Board program (Medicine)",
IF(OR(AND(R$5&gt;0,R$5&gt;100),AND(R$5&gt;0,R$5&lt;100)),
VLOOKUP(FLOOR(('Final Term'!R47/R$5)*100,1),new_transmute,4,FALSE),
VLOOKUP('Final Term'!R47,new_transmute,4,FALSE)
),
""
)
)
)
)
)
)
)
)
))</f>
        <v/>
      </c>
      <c r="S47" s="115" t="str">
        <f t="shared" si="3"/>
        <v/>
      </c>
      <c r="T47" s="73" t="str">
        <f>IF($B47="","",
IF(T$5="","",
IF('Final Term'!T47="",0,
IF(NOT(ISNUMBER('Final Term'!T47)),"NAN",
IF('Final Term'!T47&lt;0,"NEG",
IF('Final Term'!T47&gt;T$5,"OVER",
IF(AND(T$5&lt;=100,'Final Term'!T47&gt;100),"ERR",
IF(Info!$B$4="Non-board program",
IF(OR(AND(T$5&gt;0,T$5&gt;100),AND(T$5&gt;0,T$5&lt;100)),
VLOOKUP(FLOOR(('Final Term'!T47/T$5)*100,1),new_transmute,2,FALSE),
VLOOKUP('Final Term'!T47,new_transmute,2,FALSE)
),
IF(Info!$B$4="Board program",
IF(OR(AND(T$5&gt;0,T$5&gt;100),AND(T$5&gt;0,T$5&lt;100)),
VLOOKUP(FLOOR(('Final Term'!T47/T$5)*100,1),new_transmute,3,FALSE),
VLOOKUP('Final Term'!T47,new_transmute,3,FALSE)
),
IF(Info!$B$4="Board program (Medicine)",
IF(OR(AND(T$5&gt;0,T$5&gt;100),AND(T$5&gt;0,T$5&lt;100)),
VLOOKUP(FLOOR(('Final Term'!T47/T$5)*100,1),new_transmute,4,FALSE),
VLOOKUP('Final Term'!T47,new_transmute,4,FALSE)
),
""
)
)
)
)
)
)
)
)
))</f>
        <v/>
      </c>
      <c r="U47" s="73" t="str">
        <f>IF($B47="","",
IF(U$5="","",
IF('Final Term'!U47="",0,
IF(NOT(ISNUMBER('Final Term'!U47)),"NAN",
IF('Final Term'!U47&lt;0,"NEG",
IF('Final Term'!U47&gt;U$5,"OVER",
IF(AND(U$5&lt;=100,'Final Term'!U47&gt;100),"ERR",
IF(Info!$B$4="Non-board program",
IF(OR(AND(U$5&gt;0,U$5&gt;100),AND(U$5&gt;0,U$5&lt;100)),
VLOOKUP(FLOOR(('Final Term'!U47/U$5)*100,1),new_transmute,2,FALSE),
VLOOKUP('Final Term'!U47,new_transmute,2,FALSE)
),
IF(Info!$B$4="Board program",
IF(OR(AND(U$5&gt;0,U$5&gt;100),AND(U$5&gt;0,U$5&lt;100)),
VLOOKUP(FLOOR(('Final Term'!U47/U$5)*100,1),new_transmute,3,FALSE),
VLOOKUP('Final Term'!U47,new_transmute,3,FALSE)
),
IF(Info!$B$4="Board program (Medicine)",
IF(OR(AND(U$5&gt;0,U$5&gt;100),AND(U$5&gt;0,U$5&lt;100)),
VLOOKUP(FLOOR(('Final Term'!U47/U$5)*100,1),new_transmute,4,FALSE),
VLOOKUP('Final Term'!U47,new_transmute,4,FALSE)
),
""
)
)
)
)
)
)
)
)
))</f>
        <v/>
      </c>
      <c r="V47" s="73" t="str">
        <f>IF($B47="","",
IF(V$5="","",
IF('Final Term'!V47="",0,
IF(NOT(ISNUMBER('Final Term'!V47)),"NAN",
IF('Final Term'!V47&lt;0,"NEG",
IF('Final Term'!V47&gt;V$5,"OVER",
IF(AND(V$5&lt;=100,'Final Term'!V47&gt;100),"ERR",
IF(Info!$B$4="Non-board program",
IF(OR(AND(V$5&gt;0,V$5&gt;100),AND(V$5&gt;0,V$5&lt;100)),
VLOOKUP(FLOOR(('Final Term'!V47/V$5)*100,1),new_transmute,2,FALSE),
VLOOKUP('Final Term'!V47,new_transmute,2,FALSE)
),
IF(Info!$B$4="Board program",
IF(OR(AND(V$5&gt;0,V$5&gt;100),AND(V$5&gt;0,V$5&lt;100)),
VLOOKUP(FLOOR(('Final Term'!V47/V$5)*100,1),new_transmute,3,FALSE),
VLOOKUP('Final Term'!V47,new_transmute,3,FALSE)
),
IF(Info!$B$4="Board program (Medicine)",
IF(OR(AND(V$5&gt;0,V$5&gt;100),AND(V$5&gt;0,V$5&lt;100)),
VLOOKUP(FLOOR(('Final Term'!V47/V$5)*100,1),new_transmute,4,FALSE),
VLOOKUP('Final Term'!V47,new_transmute,4,FALSE)
),
""
)
)
)
)
)
)
)
)
))</f>
        <v/>
      </c>
      <c r="W47" s="73" t="str">
        <f>IF($B47="","",
IF(W$5="","",
IF('Final Term'!W47="",0,
IF(NOT(ISNUMBER('Final Term'!W47)),"NAN",
IF('Final Term'!W47&lt;0,"NEG",
IF('Final Term'!W47&gt;W$5,"OVER",
IF(AND(W$5&lt;=100,'Final Term'!W47&gt;100),"ERR",
IF(Info!$B$4="Non-board program",
IF(OR(AND(W$5&gt;0,W$5&gt;100),AND(W$5&gt;0,W$5&lt;100)),
VLOOKUP(FLOOR(('Final Term'!W47/W$5)*100,1),new_transmute,2,FALSE),
VLOOKUP('Final Term'!W47,new_transmute,2,FALSE)
),
IF(Info!$B$4="Board program",
IF(OR(AND(W$5&gt;0,W$5&gt;100),AND(W$5&gt;0,W$5&lt;100)),
VLOOKUP(FLOOR(('Final Term'!W47/W$5)*100,1),new_transmute,3,FALSE),
VLOOKUP('Final Term'!W47,new_transmute,3,FALSE)
),
IF(Info!$B$4="Board program (Medicine)",
IF(OR(AND(W$5&gt;0,W$5&gt;100),AND(W$5&gt;0,W$5&lt;100)),
VLOOKUP(FLOOR(('Final Term'!W47/W$5)*100,1),new_transmute,4,FALSE),
VLOOKUP('Final Term'!W47,new_transmute,4,FALSE)
),
""
)
)
)
)
)
)
)
)
))</f>
        <v/>
      </c>
      <c r="X47" s="73" t="str">
        <f>IF($B47="","",
IF(X$5="","",
IF('Final Term'!X47="",0,
IF(NOT(ISNUMBER('Final Term'!X47)),"NAN",
IF('Final Term'!X47&lt;0,"NEG",
IF('Final Term'!X47&gt;X$5,"OVER",
IF(AND(X$5&lt;=100,'Final Term'!X47&gt;100),"ERR",
IF(Info!$B$4="Non-board program",
IF(OR(AND(X$5&gt;0,X$5&gt;100),AND(X$5&gt;0,X$5&lt;100)),
VLOOKUP(FLOOR(('Final Term'!X47/X$5)*100,1),new_transmute,2,FALSE),
VLOOKUP('Final Term'!X47,new_transmute,2,FALSE)
),
IF(Info!$B$4="Board program",
IF(OR(AND(X$5&gt;0,X$5&gt;100),AND(X$5&gt;0,X$5&lt;100)),
VLOOKUP(FLOOR(('Final Term'!X47/X$5)*100,1),new_transmute,3,FALSE),
VLOOKUP('Final Term'!X47,new_transmute,3,FALSE)
),
IF(Info!$B$4="Board program (Medicine)",
IF(OR(AND(X$5&gt;0,X$5&gt;100),AND(X$5&gt;0,X$5&lt;100)),
VLOOKUP(FLOOR(('Final Term'!X47/X$5)*100,1),new_transmute,4,FALSE),
VLOOKUP('Final Term'!X47,new_transmute,4,FALSE)
),
""
)
)
)
)
)
)
)
)
))</f>
        <v/>
      </c>
      <c r="Y47" s="112" t="str">
        <f t="shared" si="4"/>
        <v/>
      </c>
      <c r="Z47" s="73" t="str">
        <f>IF($B47="","",
IF(Z$5="","",
IF('Final Term'!Z47="",0,
IF(NOT(ISNUMBER('Final Term'!Z47)),"NAN",
IF('Final Term'!Z47&lt;0,"NEG",
IF('Final Term'!Z47&gt;Z$5,"OVER",
IF(AND(Z$5&lt;=100,'Final Term'!Z47&gt;100),"ERR",
IF(Info!$B$4="Non-board program",
IF(OR(AND(Z$5&gt;0,Z$5&gt;100),AND(Z$5&gt;0,Z$5&lt;100)),
VLOOKUP(FLOOR(('Final Term'!Z47/Z$5)*100,1),new_transmute,2,FALSE),
VLOOKUP('Final Term'!Z47,new_transmute,2,FALSE)
),
IF(Info!$B$4="Board program",
IF(OR(AND(Z$5&gt;0,Z$5&gt;100),AND(Z$5&gt;0,Z$5&lt;100)),
VLOOKUP(FLOOR(('Final Term'!Z47/Z$5)*100,1),new_transmute,3,FALSE),
VLOOKUP('Final Term'!Z47,new_transmute,3,FALSE)
),
IF(Info!$B$4="Board program (Medicine)",
IF(OR(AND(Z$5&gt;0,Z$5&gt;100),AND(Z$5&gt;0,Z$5&lt;100)),
VLOOKUP(FLOOR(('Final Term'!Z47/Z$5)*100,1),new_transmute,4,FALSE),
VLOOKUP('Final Term'!Z47,new_transmute,4,FALSE)
),
""
)
)
)
)
)
)
)
)
))</f>
        <v/>
      </c>
      <c r="AA47" s="73" t="str">
        <f>IF($B47="","",
IF(AA$5="","",
IF('Final Term'!AA47="",0,
IF(NOT(ISNUMBER('Final Term'!AA47)),"NAN",
IF('Final Term'!AA47&lt;0,"NEG",
IF('Final Term'!AA47&gt;AA$5,"OVER",
IF(AND(AA$5&lt;=100,'Final Term'!AA47&gt;100),"ERR",
IF(Info!$B$4="Non-board program",
IF(OR(AND(AA$5&gt;0,AA$5&gt;100),AND(AA$5&gt;0,AA$5&lt;100)),
VLOOKUP(FLOOR(('Final Term'!AA47/AA$5)*100,1),new_transmute,2,FALSE),
VLOOKUP('Final Term'!AA47,new_transmute,2,FALSE)
),
IF(Info!$B$4="Board program",
IF(OR(AND(AA$5&gt;0,AA$5&gt;100),AND(AA$5&gt;0,AA$5&lt;100)),
VLOOKUP(FLOOR(('Final Term'!AA47/AA$5)*100,1),new_transmute,3,FALSE),
VLOOKUP('Final Term'!AA47,new_transmute,3,FALSE)
),
IF(Info!$B$4="Board program (Medicine)",
IF(OR(AND(AA$5&gt;0,AA$5&gt;100),AND(AA$5&gt;0,AA$5&lt;100)),
VLOOKUP(FLOOR(('Final Term'!AA47/AA$5)*100,1),new_transmute,4,FALSE),
VLOOKUP('Final Term'!AA47,new_transmute,4,FALSE)
),
""
)
)
)
)
)
)
)
)
))</f>
        <v/>
      </c>
      <c r="AB47" s="73" t="str">
        <f>IF($B47="","",
IF(AB$5="","",
IF('Final Term'!AB47="",0,
IF(NOT(ISNUMBER('Final Term'!AB47)),"NAN",
IF('Final Term'!AB47&lt;0,"NEG",
IF('Final Term'!AB47&gt;AB$5,"OVER",
IF(AND(AB$5&lt;=100,'Final Term'!AB47&gt;100),"ERR",
IF(Info!$B$4="Non-board program",
IF(OR(AND(AB$5&gt;0,AB$5&gt;100),AND(AB$5&gt;0,AB$5&lt;100)),
VLOOKUP(FLOOR(('Final Term'!AB47/AB$5)*100,1),new_transmute,2,FALSE),
VLOOKUP('Final Term'!AB47,new_transmute,2,FALSE)
),
IF(Info!$B$4="Board program",
IF(OR(AND(AB$5&gt;0,AB$5&gt;100),AND(AB$5&gt;0,AB$5&lt;100)),
VLOOKUP(FLOOR(('Final Term'!AB47/AB$5)*100,1),new_transmute,3,FALSE),
VLOOKUP('Final Term'!AB47,new_transmute,3,FALSE)
),
IF(Info!$B$4="Board program (Medicine)",
IF(OR(AND(AB$5&gt;0,AB$5&gt;100),AND(AB$5&gt;0,AB$5&lt;100)),
VLOOKUP(FLOOR(('Final Term'!AB47/AB$5)*100,1),new_transmute,4,FALSE),
VLOOKUP('Final Term'!AB47,new_transmute,4,FALSE)
),
""
)
)
)
)
)
)
)
)
))</f>
        <v/>
      </c>
      <c r="AC47" s="73" t="str">
        <f>IF($B47="","",
IF(AC$5="","",
IF('Final Term'!AC47="",0,
IF(NOT(ISNUMBER('Final Term'!AC47)),"NAN",
IF('Final Term'!AC47&lt;0,"NEG",
IF('Final Term'!AC47&gt;AC$5,"OVER",
IF(AND(AC$5&lt;=100,'Final Term'!AC47&gt;100),"ERR",
IF(Info!$B$4="Non-board program",
IF(OR(AND(AC$5&gt;0,AC$5&gt;100),AND(AC$5&gt;0,AC$5&lt;100)),
VLOOKUP(FLOOR(('Final Term'!AC47/AC$5)*100,1),new_transmute,2,FALSE),
VLOOKUP('Final Term'!AC47,new_transmute,2,FALSE)
),
IF(Info!$B$4="Board program",
IF(OR(AND(AC$5&gt;0,AC$5&gt;100),AND(AC$5&gt;0,AC$5&lt;100)),
VLOOKUP(FLOOR(('Final Term'!AC47/AC$5)*100,1),new_transmute,3,FALSE),
VLOOKUP('Final Term'!AC47,new_transmute,3,FALSE)
),
IF(Info!$B$4="Board program (Medicine)",
IF(OR(AND(AC$5&gt;0,AC$5&gt;100),AND(AC$5&gt;0,AC$5&lt;100)),
VLOOKUP(FLOOR(('Final Term'!AC47/AC$5)*100,1),new_transmute,4,FALSE),
VLOOKUP('Final Term'!AC47,new_transmute,4,FALSE)
),
""
)
)
)
)
)
)
)
)
))</f>
        <v/>
      </c>
      <c r="AD47" s="73" t="str">
        <f>IF($B47="","",
IF(AD$5="","",
IF('Final Term'!AD47="",0,
IF(NOT(ISNUMBER('Final Term'!AD47)),"NAN",
IF('Final Term'!AD47&lt;0,"NEG",
IF('Final Term'!AD47&gt;AD$5,"OVER",
IF(AND(AD$5&lt;=100,'Final Term'!AD47&gt;100),"ERR",
IF(Info!$B$4="Non-board program",
IF(OR(AND(AD$5&gt;0,AD$5&gt;100),AND(AD$5&gt;0,AD$5&lt;100)),
VLOOKUP(FLOOR(('Final Term'!AD47/AD$5)*100,1),new_transmute,2,FALSE),
VLOOKUP('Final Term'!AD47,new_transmute,2,FALSE)
),
IF(Info!$B$4="Board program",
IF(OR(AND(AD$5&gt;0,AD$5&gt;100),AND(AD$5&gt;0,AD$5&lt;100)),
VLOOKUP(FLOOR(('Final Term'!AD47/AD$5)*100,1),new_transmute,3,FALSE),
VLOOKUP('Final Term'!AD47,new_transmute,3,FALSE)
),
IF(Info!$B$4="Board program (Medicine)",
IF(OR(AND(AD$5&gt;0,AD$5&gt;100),AND(AD$5&gt;0,AD$5&lt;100)),
VLOOKUP(FLOOR(('Final Term'!AD47/AD$5)*100,1),new_transmute,4,FALSE),
VLOOKUP('Final Term'!AD47,new_transmute,4,FALSE)
),
""
)
)
)
)
)
)
)
)
))</f>
        <v/>
      </c>
      <c r="AE47" s="58" t="str">
        <f t="shared" si="5"/>
        <v/>
      </c>
      <c r="AF47" s="73" t="str">
        <f>IF($B47="","",
IF(AF$5="","",
IF('Final Term'!AF47="",0,
IF(NOT(ISNUMBER('Final Term'!AF47)),"NAN",
IF('Final Term'!AF47&lt;0,"NEG",
IF('Final Term'!AF47&gt;AF$5,"OVER",
IF(AND(AF$5&lt;=100,'Final Term'!AF47&gt;100),"ERR",
IF(Info!$B$4="Non-board program",
IF(OR(AND(AF$5&gt;0,AF$5&gt;100),AND(AF$5&gt;0,AF$5&lt;100)),
VLOOKUP(FLOOR(('Final Term'!AF47/AF$5)*100,1),new_transmute,2,FALSE),
VLOOKUP('Final Term'!AF47,new_transmute,2,FALSE)
),
IF(Info!$B$4="Board program",
IF(OR(AND(AF$5&gt;0,AF$5&gt;100),AND(AF$5&gt;0,AF$5&lt;100)),
VLOOKUP(FLOOR(('Final Term'!AF47/AF$5)*100,1),new_transmute,3,FALSE),
VLOOKUP('Final Term'!AF47,new_transmute,3,FALSE)
),
IF(Info!$B$4="Board program (Medicine)",
IF(OR(AND(AF$5&gt;0,AF$5&gt;100),AND(AF$5&gt;0,AF$5&lt;100)),
VLOOKUP(FLOOR(('Final Term'!AF47/AF$5)*100,1),new_transmute,4,FALSE),
VLOOKUP('Final Term'!AF47,new_transmute,4,FALSE)
),
""
)
)
)
)
)
)
)
)
))</f>
        <v/>
      </c>
      <c r="AG47" s="73" t="str">
        <f>IF($B47="","",
IF(AG$5="","",
IF('Final Term'!AG47="",0,
IF(NOT(ISNUMBER('Final Term'!AG47)),"NAN",
IF('Final Term'!AG47&lt;0,"NEG",
IF('Final Term'!AG47&gt;AG$5,"OVER",
IF(AND(AG$5&lt;=100,'Final Term'!AG47&gt;100),"ERR",
IF(Info!$B$4="Non-board program",
IF(OR(AND(AG$5&gt;0,AG$5&gt;100),AND(AG$5&gt;0,AG$5&lt;100)),
VLOOKUP(FLOOR(('Final Term'!AG47/AG$5)*100,1),new_transmute,2,FALSE),
VLOOKUP('Final Term'!AG47,new_transmute,2,FALSE)
),
IF(Info!$B$4="Board program",
IF(OR(AND(AG$5&gt;0,AG$5&gt;100),AND(AG$5&gt;0,AG$5&lt;100)),
VLOOKUP(FLOOR(('Final Term'!AG47/AG$5)*100,1),new_transmute,3,FALSE),
VLOOKUP('Final Term'!AG47,new_transmute,3,FALSE)
),
IF(Info!$B$4="Board program (Medicine)",
IF(OR(AND(AG$5&gt;0,AG$5&gt;100),AND(AG$5&gt;0,AG$5&lt;100)),
VLOOKUP(FLOOR(('Final Term'!AG47/AG$5)*100,1),new_transmute,4,FALSE),
VLOOKUP('Final Term'!AG47,new_transmute,4,FALSE)
),
""
)
)
)
)
)
)
)
)
))</f>
        <v/>
      </c>
      <c r="AH47" s="73" t="str">
        <f>IF($B47="","",
IF(AH$5="","",
IF('Final Term'!AH47="",0,
IF(NOT(ISNUMBER('Final Term'!AH47)),"NAN",
IF('Final Term'!AH47&lt;0,"NEG",
IF('Final Term'!AH47&gt;AH$5,"OVER",
IF(AND(AH$5&lt;=100,'Final Term'!AH47&gt;100),"ERR",
IF(Info!$B$4="Non-board program",
IF(OR(AND(AH$5&gt;0,AH$5&gt;100),AND(AH$5&gt;0,AH$5&lt;100)),
VLOOKUP(FLOOR(('Final Term'!AH47/AH$5)*100,1),new_transmute,2,FALSE),
VLOOKUP('Final Term'!AH47,new_transmute,2,FALSE)
),
IF(Info!$B$4="Board program",
IF(OR(AND(AH$5&gt;0,AH$5&gt;100),AND(AH$5&gt;0,AH$5&lt;100)),
VLOOKUP(FLOOR(('Final Term'!AH47/AH$5)*100,1),new_transmute,3,FALSE),
VLOOKUP('Final Term'!AH47,new_transmute,3,FALSE)
),
IF(Info!$B$4="Board program (Medicine)",
IF(OR(AND(AH$5&gt;0,AH$5&gt;100),AND(AH$5&gt;0,AH$5&lt;100)),
VLOOKUP(FLOOR(('Final Term'!AH47/AH$5)*100,1),new_transmute,4,FALSE),
VLOOKUP('Final Term'!AH47,new_transmute,4,FALSE)
),
""
)
)
)
)
)
)
)
)
))</f>
        <v/>
      </c>
      <c r="AI47" s="73" t="str">
        <f>IF($B47="","",
IF(AI$5="","",
IF('Final Term'!AI47="",0,
IF(NOT(ISNUMBER('Final Term'!AI47)),"NAN",
IF('Final Term'!AI47&lt;0,"NEG",
IF('Final Term'!AI47&gt;AI$5,"OVER",
IF(AND(AI$5&lt;=100,'Final Term'!AI47&gt;100),"ERR",
IF(Info!$B$4="Non-board program",
IF(OR(AND(AI$5&gt;0,AI$5&gt;100),AND(AI$5&gt;0,AI$5&lt;100)),
VLOOKUP(FLOOR(('Final Term'!AI47/AI$5)*100,1),new_transmute,2,FALSE),
VLOOKUP('Final Term'!AI47,new_transmute,2,FALSE)
),
IF(Info!$B$4="Board program",
IF(OR(AND(AI$5&gt;0,AI$5&gt;100),AND(AI$5&gt;0,AI$5&lt;100)),
VLOOKUP(FLOOR(('Final Term'!AI47/AI$5)*100,1),new_transmute,3,FALSE),
VLOOKUP('Final Term'!AI47,new_transmute,3,FALSE)
),
IF(Info!$B$4="Board program (Medicine)",
IF(OR(AND(AI$5&gt;0,AI$5&gt;100),AND(AI$5&gt;0,AI$5&lt;100)),
VLOOKUP(FLOOR(('Final Term'!AI47/AI$5)*100,1),new_transmute,4,FALSE),
VLOOKUP('Final Term'!AI47,new_transmute,4,FALSE)
),
""
)
)
)
)
)
)
)
)
))</f>
        <v/>
      </c>
      <c r="AJ47" s="73" t="str">
        <f>IF($B47="","",
IF(AJ$5="","",
IF('Final Term'!AJ47="",0,
IF(NOT(ISNUMBER('Final Term'!AJ47)),"NAN",
IF('Final Term'!AJ47&lt;0,"NEG",
IF('Final Term'!AJ47&gt;AJ$5,"OVER",
IF(AND(AJ$5&lt;=100,'Final Term'!AJ47&gt;100),"ERR",
IF(Info!$B$4="Non-board program",
IF(OR(AND(AJ$5&gt;0,AJ$5&gt;100),AND(AJ$5&gt;0,AJ$5&lt;100)),
VLOOKUP(FLOOR(('Final Term'!AJ47/AJ$5)*100,1),new_transmute,2,FALSE),
VLOOKUP('Final Term'!AJ47,new_transmute,2,FALSE)
),
IF(Info!$B$4="Board program",
IF(OR(AND(AJ$5&gt;0,AJ$5&gt;100),AND(AJ$5&gt;0,AJ$5&lt;100)),
VLOOKUP(FLOOR(('Final Term'!AJ47/AJ$5)*100,1),new_transmute,3,FALSE),
VLOOKUP('Final Term'!AJ47,new_transmute,3,FALSE)
),
IF(Info!$B$4="Board program (Medicine)",
IF(OR(AND(AJ$5&gt;0,AJ$5&gt;100),AND(AJ$5&gt;0,AJ$5&lt;100)),
VLOOKUP(FLOOR(('Final Term'!AJ47/AJ$5)*100,1),new_transmute,4,FALSE),
VLOOKUP('Final Term'!AJ47,new_transmute,4,FALSE)
),
""
)
)
)
)
)
)
)
)
))</f>
        <v/>
      </c>
      <c r="AK47" s="59" t="str">
        <f t="shared" si="6"/>
        <v/>
      </c>
      <c r="AL47" s="60" t="str">
        <f>IF(B47="", "",
    IF(OR(M47="OVER", S47="OVER", Y47="OVER", AE47="OVER", AK47="OVER"),
        "OVER",
        IF(Info!$B$4="Non-board program",
            VLOOKUP(IFERROR(FLOOR(SUM((M47*$M$4), (S47*$S$4), (Y47*$Y$4), (AE47*$AE$4), (AK47*$AK$4)) * (100 / 60), 1), 0), new_transmute, 2, FALSE),
            IF(Info!$B$4="Board program",
                VLOOKUP(IFERROR(FLOOR(SUM((M47*$M$4), (S47*$S$4), (Y47*$Y$4), (AE47*$AE$4), (AK47*$AK$4)) * (100 / 60), 1), 0), new_transmute, 3, FALSE),
                IF(Info!$B$4="Board program (Medicine)",
                    VLOOKUP(IFERROR(FLOOR(SUM((M47*$M$4), (S47*$S$4), (Y47*$Y$4), (AE47*$AE$4), (AK47*$AK$4)) * (100 / 60), 1), 0), new_transmute, 4, FALSE),
                    ""
                )
            )
        )
    )
)</f>
        <v/>
      </c>
      <c r="AM47" s="73" t="str">
        <f>IF($B47="","",
IF(AM$5="","",
IF('Final Term'!AM47="",0,
IF(NOT(ISNUMBER('Final Term'!AM47)),"NAN",
IF('Final Term'!AM47&lt;0,"NEG",
IF('Final Term'!AM47&gt;AM$5,"OVER",
IF(AND(AM$5&lt;=100,'Final Term'!AM47&gt;100),"ERR",
IF(Info!$B$4="Non-board program",
IF(OR(AND(AM$5&gt;0,AM$5&gt;100),AND(AM$5&gt;0,AM$5&lt;100)),
VLOOKUP(FLOOR(('Final Term'!AM47/AM$5)*100,1),new_transmute,2,FALSE),
VLOOKUP('Final Term'!AM47,new_transmute,2,FALSE)
),
IF(Info!$B$4="Board program",
IF(OR(AND(AM$5&gt;0,AM$5&gt;100),AND(AM$5&gt;0,AM$5&lt;100)),
VLOOKUP(FLOOR(('Final Term'!AM47/AM$5)*100,1),new_transmute,3,FALSE),
VLOOKUP('Final Term'!AM47,new_transmute,3,FALSE)
),
IF(Info!$B$4="Board program (Medicine)",
IF(OR(AND(AM$5&gt;0,AM$5&gt;100),AND(AM$5&gt;0,AM$5&lt;100)),
VLOOKUP(FLOOR(('Final Term'!AM47/AM$5)*100,1),new_transmute,4,FALSE),
VLOOKUP('Final Term'!AM47,new_transmute,4,FALSE)
),
""
)
)
)
)
)
)
)
)
))</f>
        <v/>
      </c>
      <c r="AN47" s="73" t="str">
        <f>IF($B47="","",
IF(AN$5="","",
IF('Final Term'!AN47="",0,
IF(NOT(ISNUMBER('Final Term'!AN47)),"NAN",
IF('Final Term'!AN47&lt;0,"NEG",
IF('Final Term'!AN47&gt;AN$5,"OVER",
IF(AND(AN$5&lt;=100,'Final Term'!AN47&gt;100),"ERR",
IF(Info!$B$4="Non-board program",
IF(OR(AND(AN$5&gt;0,AN$5&gt;100),AND(AN$5&gt;0,AN$5&lt;100)),
VLOOKUP(FLOOR(('Final Term'!AN47/AN$5)*100,1),new_transmute,2,FALSE),
VLOOKUP('Final Term'!AN47,new_transmute,2,FALSE)
),
IF(Info!$B$4="Board program",
IF(OR(AND(AN$5&gt;0,AN$5&gt;100),AND(AN$5&gt;0,AN$5&lt;100)),
VLOOKUP(FLOOR(('Final Term'!AN47/AN$5)*100,1),new_transmute,3,FALSE),
VLOOKUP('Final Term'!AN47,new_transmute,3,FALSE)
),
IF(Info!$B$4="Board program (Medicine)",
IF(OR(AND(AN$5&gt;0,AN$5&gt;100),AND(AN$5&gt;0,AN$5&lt;100)),
VLOOKUP(FLOOR(('Final Term'!AN47/AN$5)*100,1),new_transmute,4,FALSE),
VLOOKUP('Final Term'!AN47,new_transmute,4,FALSE)
),
""
)
)
)
)
)
)
)
)
))</f>
        <v/>
      </c>
      <c r="AO47" s="73" t="str">
        <f>IF($B47="","",
IF(AO$5="","",
IF('Final Term'!AO47="",0,
IF(NOT(ISNUMBER('Final Term'!AO47)),"NAN",
IF('Final Term'!AO47&lt;0,"NEG",
IF('Final Term'!AO47&gt;AO$5,"OVER",
IF(AND(AO$5&lt;=100,'Final Term'!AO47&gt;100),"ERR",
IF(Info!$B$4="Non-board program",
IF(OR(AND(AO$5&gt;0,AO$5&gt;100),AND(AO$5&gt;0,AO$5&lt;100)),
VLOOKUP(FLOOR(('Final Term'!AO47/AO$5)*100,1),new_transmute,2,FALSE),
VLOOKUP('Final Term'!AO47,new_transmute,2,FALSE)
),
IF(Info!$B$4="Board program",
IF(OR(AND(AO$5&gt;0,AO$5&gt;100),AND(AO$5&gt;0,AO$5&lt;100)),
VLOOKUP(FLOOR(('Final Term'!AO47/AO$5)*100,1),new_transmute,3,FALSE),
VLOOKUP('Final Term'!AO47,new_transmute,3,FALSE)
),
IF(Info!$B$4="Board program (Medicine)",
IF(OR(AND(AO$5&gt;0,AO$5&gt;100),AND(AO$5&gt;0,AO$5&lt;100)),
VLOOKUP(FLOOR(('Final Term'!AO47/AO$5)*100,1),new_transmute,4,FALSE),
VLOOKUP('Final Term'!AO47,new_transmute,4,FALSE)
),
""
)
)
)
)
)
)
)
)
))</f>
        <v/>
      </c>
      <c r="AP47" s="73" t="str">
        <f>IF($B47="","",
IF(AP$5="","",
IF('Final Term'!AP47="",0,
IF(NOT(ISNUMBER('Final Term'!AP47)),"NAN",
IF('Final Term'!AP47&lt;0,"NEG",
IF('Final Term'!AP47&gt;AP$5,"OVER",
IF(AND(AP$5&lt;=100,'Final Term'!AP47&gt;100),"ERR",
IF(Info!$B$4="Non-board program",
IF(OR(AND(AP$5&gt;0,AP$5&gt;100),AND(AP$5&gt;0,AP$5&lt;100)),
VLOOKUP(FLOOR(('Final Term'!AP47/AP$5)*100,1),new_transmute,2,FALSE),
VLOOKUP('Final Term'!AP47,new_transmute,2,FALSE)
),
IF(Info!$B$4="Board program",
IF(OR(AND(AP$5&gt;0,AP$5&gt;100),AND(AP$5&gt;0,AP$5&lt;100)),
VLOOKUP(FLOOR(('Final Term'!AP47/AP$5)*100,1),new_transmute,3,FALSE),
VLOOKUP('Final Term'!AP47,new_transmute,3,FALSE)
),
IF(Info!$B$4="Board program (Medicine)",
IF(OR(AND(AP$5&gt;0,AP$5&gt;100),AND(AP$5&gt;0,AP$5&lt;100)),
VLOOKUP(FLOOR(('Final Term'!AP47/AP$5)*100,1),new_transmute,4,FALSE),
VLOOKUP('Final Term'!AP47,new_transmute,4,FALSE)
),
""
)
)
)
)
)
)
)
)
))</f>
        <v/>
      </c>
      <c r="AQ47" s="61" t="str">
        <f t="shared" si="7"/>
        <v/>
      </c>
      <c r="AR47" s="48" t="str">
        <f>IF('Final Term'!AR47="","",'Final Term'!AR47)</f>
        <v/>
      </c>
      <c r="AS47" s="165" t="str">
        <f t="shared" si="8"/>
        <v/>
      </c>
      <c r="AT47" s="14" t="str">
        <f t="shared" si="9"/>
        <v/>
      </c>
      <c r="AU47" s="13" t="str">
        <f>IF(B47="","",VLOOKUP(AT47,'New Grade Equivalent'!$B$3:$C$47,2,FALSE))</f>
        <v/>
      </c>
    </row>
    <row r="48" spans="1:47" x14ac:dyDescent="0.25">
      <c r="A48" s="8">
        <v>43</v>
      </c>
      <c r="B48" s="2" t="str">
        <f>IF('Student List'!C52="","",UPPER(LEFT('Student List'!C52,FIND(",",'Student List'!C52)-1)))</f>
        <v/>
      </c>
      <c r="C48" s="12" t="str">
        <f>IF('Student List'!C52="","",PROPER(MID('Student List'!C52, FIND(",", 'Student List'!C52) + 2, LEN('Student List'!C52) - FIND(",", 'Student List'!C52) - 1)))</f>
        <v/>
      </c>
      <c r="D48" s="127" t="str">
        <f>IF('Final Term'!D48="","",'Final Term'!D48)</f>
        <v/>
      </c>
      <c r="E48" s="8" t="str">
        <f>IF(MidCom!E48="FA", "FA",
    IF(MidCom!E48="DRP", "DRP",
        IF(MidCom!E48="WF", "WF",
            IF(D48="Yes", "INC",
               IF((SUM('MT Attendance'!AW46) / 3 + SUM('MT Attendance'!AY46) + SUM('FT Attendance'!AW46) / 3 + SUM('FT Attendance'!AY46)) &gt;= 0.2 * (SUMPRODUCT(--(ISTEXT('MT Attendance'!$C$2:$AU$2))) + SUMPRODUCT(--(ISTEXT('FT Attendance'!$C$2:$AU$2)))), "FA",
                   MidCom!E48
                )
            )
        )
    )
)</f>
        <v/>
      </c>
      <c r="F48" s="73" t="str">
        <f>IF($B48="","",
IF(F$5="","",
IF('Final Term'!F48="",0,
IF(NOT(ISNUMBER('Final Term'!F48)),"NAN",
IF('Final Term'!F48&lt;0,"NEG",
IF('Final Term'!F48&gt;F$5,"OVER",
IF(AND(F$5&lt;=100,'Final Term'!F48&gt;100),"ERR",
IF(Info!$B$4="Non-board program",
IF(OR(AND(F$5&gt;0,F$5&gt;100),AND(F$5&gt;0,F$5&lt;100)),
VLOOKUP(FLOOR(('Final Term'!F48/F$5)*100,1),new_transmute,2,FALSE),
VLOOKUP('Final Term'!F48,new_transmute,2,FALSE)
),
IF(Info!$B$4="Board program",
IF(OR(AND(F$5&gt;0,F$5&gt;100),AND(F$5&gt;0,F$5&lt;100)),
VLOOKUP(FLOOR(('Final Term'!F48/F$5)*100,1),new_transmute,3,FALSE),
VLOOKUP('Final Term'!F48,new_transmute,3,FALSE)
),
IF(Info!$B$4="Board program (Medicine)",
IF(OR(AND(F$5&gt;0,F$5&gt;100),AND(F$5&gt;0,F$5&lt;100)),
VLOOKUP(FLOOR(('Final Term'!F48/F$5)*100,1),new_transmute,4,FALSE),
VLOOKUP('Final Term'!F48,new_transmute,4,FALSE)
),
""
)
)
)
)
)
)
)
)
))</f>
        <v/>
      </c>
      <c r="G48" s="57" t="str">
        <f t="shared" si="1"/>
        <v/>
      </c>
      <c r="H48" s="73" t="str">
        <f>IF($B48="","",
IF(H$5="","",
IF('Final Term'!H48="",0,
IF(NOT(ISNUMBER('Final Term'!H48)),"NAN",
IF('Final Term'!H48&lt;0,"NEG",
IF('Final Term'!H48&gt;H$5,"OVER",
IF(AND(H$5&lt;=100,'Final Term'!H48&gt;100),"ERR",
IF(Info!$B$4="Non-board program",
IF(OR(AND(H$5&gt;0,H$5&gt;100),AND(H$5&gt;0,H$5&lt;100)),
VLOOKUP(FLOOR(('Final Term'!H48/H$5)*100,1),new_transmute,2,FALSE),
VLOOKUP('Final Term'!H48,new_transmute,2,FALSE)
),
IF(Info!$B$4="Board program",
IF(OR(AND(H$5&gt;0,H$5&gt;100),AND(H$5&gt;0,H$5&lt;100)),
VLOOKUP(FLOOR(('Final Term'!H48/H$5)*100,1),new_transmute,3,FALSE),
VLOOKUP('Final Term'!H48,new_transmute,3,FALSE)
),
IF(Info!$B$4="Board program (Medicine)",
IF(OR(AND(H$5&gt;0,H$5&gt;100),AND(H$5&gt;0,H$5&lt;100)),
VLOOKUP(FLOOR(('Final Term'!H48/H$5)*100,1),new_transmute,4,FALSE),
VLOOKUP('Final Term'!H48,new_transmute,4,FALSE)
),
""
)
)
)
)
)
)
)
)
))</f>
        <v/>
      </c>
      <c r="I48" s="73" t="str">
        <f>IF($B48="","",
IF(I$5="","",
IF('Final Term'!I48="",0,
IF(NOT(ISNUMBER('Final Term'!I48)),"NAN",
IF('Final Term'!I48&lt;0,"NEG",
IF('Final Term'!I48&gt;I$5,"OVER",
IF(AND(I$5&lt;=100,'Final Term'!I48&gt;100),"ERR",
IF(Info!$B$4="Non-board program",
IF(OR(AND(I$5&gt;0,I$5&gt;100),AND(I$5&gt;0,I$5&lt;100)),
VLOOKUP(FLOOR(('Final Term'!I48/I$5)*100,1),new_transmute,2,FALSE),
VLOOKUP('Final Term'!I48,new_transmute,2,FALSE)
),
IF(Info!$B$4="Board program",
IF(OR(AND(I$5&gt;0,I$5&gt;100),AND(I$5&gt;0,I$5&lt;100)),
VLOOKUP(FLOOR(('Final Term'!I48/I$5)*100,1),new_transmute,3,FALSE),
VLOOKUP('Final Term'!I48,new_transmute,3,FALSE)
),
IF(Info!$B$4="Board program (Medicine)",
IF(OR(AND(I$5&gt;0,I$5&gt;100),AND(I$5&gt;0,I$5&lt;100)),
VLOOKUP(FLOOR(('Final Term'!I48/I$5)*100,1),new_transmute,4,FALSE),
VLOOKUP('Final Term'!I48,new_transmute,4,FALSE)
),
""
)
)
)
)
)
)
)
)
))</f>
        <v/>
      </c>
      <c r="J48" s="73" t="str">
        <f>IF($B48="","",
IF(J$5="","",
IF('Final Term'!J48="",0,
IF(NOT(ISNUMBER('Final Term'!J48)),"NAN",
IF('Final Term'!J48&lt;0,"NEG",
IF('Final Term'!J48&gt;J$5,"OVER",
IF(AND(J$5&lt;=100,'Final Term'!J48&gt;100),"ERR",
IF(Info!$B$4="Non-board program",
IF(OR(AND(J$5&gt;0,J$5&gt;100),AND(J$5&gt;0,J$5&lt;100)),
VLOOKUP(FLOOR(('Final Term'!J48/J$5)*100,1),new_transmute,2,FALSE),
VLOOKUP('Final Term'!J48,new_transmute,2,FALSE)
),
IF(Info!$B$4="Board program",
IF(OR(AND(J$5&gt;0,J$5&gt;100),AND(J$5&gt;0,J$5&lt;100)),
VLOOKUP(FLOOR(('Final Term'!J48/J$5)*100,1),new_transmute,3,FALSE),
VLOOKUP('Final Term'!J48,new_transmute,3,FALSE)
),
IF(Info!$B$4="Board program (Medicine)",
IF(OR(AND(J$5&gt;0,J$5&gt;100),AND(J$5&gt;0,J$5&lt;100)),
VLOOKUP(FLOOR(('Final Term'!J48/J$5)*100,1),new_transmute,4,FALSE),
VLOOKUP('Final Term'!J48,new_transmute,4,FALSE)
),
""
)
)
)
)
)
)
)
)
))</f>
        <v/>
      </c>
      <c r="K48" s="73" t="str">
        <f>IF($B48="","",
IF(K$5="","",
IF('Final Term'!K48="",0,
IF(NOT(ISNUMBER('Final Term'!K48)),"NAN",
IF('Final Term'!K48&lt;0,"NEG",
IF('Final Term'!K48&gt;K$5,"OVER",
IF(AND(K$5&lt;=100,'Final Term'!K48&gt;100),"ERR",
IF(Info!$B$4="Non-board program",
IF(OR(AND(K$5&gt;0,K$5&gt;100),AND(K$5&gt;0,K$5&lt;100)),
VLOOKUP(FLOOR(('Final Term'!K48/K$5)*100,1),new_transmute,2,FALSE),
VLOOKUP('Final Term'!K48,new_transmute,2,FALSE)
),
IF(Info!$B$4="Board program",
IF(OR(AND(K$5&gt;0,K$5&gt;100),AND(K$5&gt;0,K$5&lt;100)),
VLOOKUP(FLOOR(('Final Term'!K48/K$5)*100,1),new_transmute,3,FALSE),
VLOOKUP('Final Term'!K48,new_transmute,3,FALSE)
),
IF(Info!$B$4="Board program (Medicine)",
IF(OR(AND(K$5&gt;0,K$5&gt;100),AND(K$5&gt;0,K$5&lt;100)),
VLOOKUP(FLOOR(('Final Term'!K48/K$5)*100,1),new_transmute,4,FALSE),
VLOOKUP('Final Term'!K48,new_transmute,4,FALSE)
),
""
)
)
)
)
)
)
)
)
))</f>
        <v/>
      </c>
      <c r="L48" s="73" t="str">
        <f>IF($B48="","",
IF(L$5="","",
IF('Final Term'!L48="",0,
IF(NOT(ISNUMBER('Final Term'!L48)),"NAN",
IF('Final Term'!L48&lt;0,"NEG",
IF('Final Term'!L48&gt;L$5,"OVER",
IF(AND(L$5&lt;=100,'Final Term'!L48&gt;100),"ERR",
IF(Info!$B$4="Non-board program",
IF(OR(AND(L$5&gt;0,L$5&gt;100),AND(L$5&gt;0,L$5&lt;100)),
VLOOKUP(FLOOR(('Final Term'!L48/L$5)*100,1),new_transmute,2,FALSE),
VLOOKUP('Final Term'!L48,new_transmute,2,FALSE)
),
IF(Info!$B$4="Board program",
IF(OR(AND(L$5&gt;0,L$5&gt;100),AND(L$5&gt;0,L$5&lt;100)),
VLOOKUP(FLOOR(('Final Term'!L48/L$5)*100,1),new_transmute,3,FALSE),
VLOOKUP('Final Term'!L48,new_transmute,3,FALSE)
),
IF(Info!$B$4="Board program (Medicine)",
IF(OR(AND(L$5&gt;0,L$5&gt;100),AND(L$5&gt;0,L$5&lt;100)),
VLOOKUP(FLOOR(('Final Term'!L48/L$5)*100,1),new_transmute,4,FALSE),
VLOOKUP('Final Term'!L48,new_transmute,4,FALSE)
),
""
)
)
)
)
)
)
)
)
))</f>
        <v/>
      </c>
      <c r="M48" s="111" t="str">
        <f t="shared" si="2"/>
        <v/>
      </c>
      <c r="N48" s="73" t="str">
        <f>IF($B48="","",
IF(N$5="","",
IF('Final Term'!N48="",0,
IF(NOT(ISNUMBER('Final Term'!N48)),"NAN",
IF('Final Term'!N48&lt;0,"NEG",
IF('Final Term'!N48&gt;N$5,"OVER",
IF(AND(N$5&lt;=100,'Final Term'!N48&gt;100),"ERR",
IF(Info!$B$4="Non-board program",
IF(OR(AND(N$5&gt;0,N$5&gt;100),AND(N$5&gt;0,N$5&lt;100)),
VLOOKUP(FLOOR(('Final Term'!N48/N$5)*100,1),new_transmute,2,FALSE),
VLOOKUP('Final Term'!N48,new_transmute,2,FALSE)
),
IF(Info!$B$4="Board program",
IF(OR(AND(N$5&gt;0,N$5&gt;100),AND(N$5&gt;0,N$5&lt;100)),
VLOOKUP(FLOOR(('Final Term'!N48/N$5)*100,1),new_transmute,3,FALSE),
VLOOKUP('Final Term'!N48,new_transmute,3,FALSE)
),
IF(Info!$B$4="Board program (Medicine)",
IF(OR(AND(N$5&gt;0,N$5&gt;100),AND(N$5&gt;0,N$5&lt;100)),
VLOOKUP(FLOOR(('Final Term'!N48/N$5)*100,1),new_transmute,4,FALSE),
VLOOKUP('Final Term'!N48,new_transmute,4,FALSE)
),
""
)
)
)
)
)
)
)
)
))</f>
        <v/>
      </c>
      <c r="O48" s="73" t="str">
        <f>IF($B48="","",
IF(O$5="","",
IF('Final Term'!O48="",0,
IF(NOT(ISNUMBER('Final Term'!O48)),"NAN",
IF('Final Term'!O48&lt;0,"NEG",
IF('Final Term'!O48&gt;O$5,"OVER",
IF(AND(O$5&lt;=100,'Final Term'!O48&gt;100),"ERR",
IF(Info!$B$4="Non-board program",
IF(OR(AND(O$5&gt;0,O$5&gt;100),AND(O$5&gt;0,O$5&lt;100)),
VLOOKUP(FLOOR(('Final Term'!O48/O$5)*100,1),new_transmute,2,FALSE),
VLOOKUP('Final Term'!O48,new_transmute,2,FALSE)
),
IF(Info!$B$4="Board program",
IF(OR(AND(O$5&gt;0,O$5&gt;100),AND(O$5&gt;0,O$5&lt;100)),
VLOOKUP(FLOOR(('Final Term'!O48/O$5)*100,1),new_transmute,3,FALSE),
VLOOKUP('Final Term'!O48,new_transmute,3,FALSE)
),
IF(Info!$B$4="Board program (Medicine)",
IF(OR(AND(O$5&gt;0,O$5&gt;100),AND(O$5&gt;0,O$5&lt;100)),
VLOOKUP(FLOOR(('Final Term'!O48/O$5)*100,1),new_transmute,4,FALSE),
VLOOKUP('Final Term'!O48,new_transmute,4,FALSE)
),
""
)
)
)
)
)
)
)
)
))</f>
        <v/>
      </c>
      <c r="P48" s="73" t="str">
        <f>IF($B48="","",
IF(P$5="","",
IF('Final Term'!P48="",0,
IF(NOT(ISNUMBER('Final Term'!P48)),"NAN",
IF('Final Term'!P48&lt;0,"NEG",
IF('Final Term'!P48&gt;P$5,"OVER",
IF(AND(P$5&lt;=100,'Final Term'!P48&gt;100),"ERR",
IF(Info!$B$4="Non-board program",
IF(OR(AND(P$5&gt;0,P$5&gt;100),AND(P$5&gt;0,P$5&lt;100)),
VLOOKUP(FLOOR(('Final Term'!P48/P$5)*100,1),new_transmute,2,FALSE),
VLOOKUP('Final Term'!P48,new_transmute,2,FALSE)
),
IF(Info!$B$4="Board program",
IF(OR(AND(P$5&gt;0,P$5&gt;100),AND(P$5&gt;0,P$5&lt;100)),
VLOOKUP(FLOOR(('Final Term'!P48/P$5)*100,1),new_transmute,3,FALSE),
VLOOKUP('Final Term'!P48,new_transmute,3,FALSE)
),
IF(Info!$B$4="Board program (Medicine)",
IF(OR(AND(P$5&gt;0,P$5&gt;100),AND(P$5&gt;0,P$5&lt;100)),
VLOOKUP(FLOOR(('Final Term'!P48/P$5)*100,1),new_transmute,4,FALSE),
VLOOKUP('Final Term'!P48,new_transmute,4,FALSE)
),
""
)
)
)
)
)
)
)
)
))</f>
        <v/>
      </c>
      <c r="Q48" s="73" t="str">
        <f>IF($B48="","",
IF(Q$5="","",
IF('Final Term'!Q48="",0,
IF(NOT(ISNUMBER('Final Term'!Q48)),"NAN",
IF('Final Term'!Q48&lt;0,"NEG",
IF('Final Term'!Q48&gt;Q$5,"OVER",
IF(AND(Q$5&lt;=100,'Final Term'!Q48&gt;100),"ERR",
IF(Info!$B$4="Non-board program",
IF(OR(AND(Q$5&gt;0,Q$5&gt;100),AND(Q$5&gt;0,Q$5&lt;100)),
VLOOKUP(FLOOR(('Final Term'!Q48/Q$5)*100,1),new_transmute,2,FALSE),
VLOOKUP('Final Term'!Q48,new_transmute,2,FALSE)
),
IF(Info!$B$4="Board program",
IF(OR(AND(Q$5&gt;0,Q$5&gt;100),AND(Q$5&gt;0,Q$5&lt;100)),
VLOOKUP(FLOOR(('Final Term'!Q48/Q$5)*100,1),new_transmute,3,FALSE),
VLOOKUP('Final Term'!Q48,new_transmute,3,FALSE)
),
IF(Info!$B$4="Board program (Medicine)",
IF(OR(AND(Q$5&gt;0,Q$5&gt;100),AND(Q$5&gt;0,Q$5&lt;100)),
VLOOKUP(FLOOR(('Final Term'!Q48/Q$5)*100,1),new_transmute,4,FALSE),
VLOOKUP('Final Term'!Q48,new_transmute,4,FALSE)
),
""
)
)
)
)
)
)
)
)
))</f>
        <v/>
      </c>
      <c r="R48" s="73" t="str">
        <f>IF($B48="","",
IF(R$5="","",
IF('Final Term'!R48="",0,
IF(NOT(ISNUMBER('Final Term'!R48)),"NAN",
IF('Final Term'!R48&lt;0,"NEG",
IF('Final Term'!R48&gt;R$5,"OVER",
IF(AND(R$5&lt;=100,'Final Term'!R48&gt;100),"ERR",
IF(Info!$B$4="Non-board program",
IF(OR(AND(R$5&gt;0,R$5&gt;100),AND(R$5&gt;0,R$5&lt;100)),
VLOOKUP(FLOOR(('Final Term'!R48/R$5)*100,1),new_transmute,2,FALSE),
VLOOKUP('Final Term'!R48,new_transmute,2,FALSE)
),
IF(Info!$B$4="Board program",
IF(OR(AND(R$5&gt;0,R$5&gt;100),AND(R$5&gt;0,R$5&lt;100)),
VLOOKUP(FLOOR(('Final Term'!R48/R$5)*100,1),new_transmute,3,FALSE),
VLOOKUP('Final Term'!R48,new_transmute,3,FALSE)
),
IF(Info!$B$4="Board program (Medicine)",
IF(OR(AND(R$5&gt;0,R$5&gt;100),AND(R$5&gt;0,R$5&lt;100)),
VLOOKUP(FLOOR(('Final Term'!R48/R$5)*100,1),new_transmute,4,FALSE),
VLOOKUP('Final Term'!R48,new_transmute,4,FALSE)
),
""
)
)
)
)
)
)
)
)
))</f>
        <v/>
      </c>
      <c r="S48" s="115" t="str">
        <f t="shared" si="3"/>
        <v/>
      </c>
      <c r="T48" s="73" t="str">
        <f>IF($B48="","",
IF(T$5="","",
IF('Final Term'!T48="",0,
IF(NOT(ISNUMBER('Final Term'!T48)),"NAN",
IF('Final Term'!T48&lt;0,"NEG",
IF('Final Term'!T48&gt;T$5,"OVER",
IF(AND(T$5&lt;=100,'Final Term'!T48&gt;100),"ERR",
IF(Info!$B$4="Non-board program",
IF(OR(AND(T$5&gt;0,T$5&gt;100),AND(T$5&gt;0,T$5&lt;100)),
VLOOKUP(FLOOR(('Final Term'!T48/T$5)*100,1),new_transmute,2,FALSE),
VLOOKUP('Final Term'!T48,new_transmute,2,FALSE)
),
IF(Info!$B$4="Board program",
IF(OR(AND(T$5&gt;0,T$5&gt;100),AND(T$5&gt;0,T$5&lt;100)),
VLOOKUP(FLOOR(('Final Term'!T48/T$5)*100,1),new_transmute,3,FALSE),
VLOOKUP('Final Term'!T48,new_transmute,3,FALSE)
),
IF(Info!$B$4="Board program (Medicine)",
IF(OR(AND(T$5&gt;0,T$5&gt;100),AND(T$5&gt;0,T$5&lt;100)),
VLOOKUP(FLOOR(('Final Term'!T48/T$5)*100,1),new_transmute,4,FALSE),
VLOOKUP('Final Term'!T48,new_transmute,4,FALSE)
),
""
)
)
)
)
)
)
)
)
))</f>
        <v/>
      </c>
      <c r="U48" s="73" t="str">
        <f>IF($B48="","",
IF(U$5="","",
IF('Final Term'!U48="",0,
IF(NOT(ISNUMBER('Final Term'!U48)),"NAN",
IF('Final Term'!U48&lt;0,"NEG",
IF('Final Term'!U48&gt;U$5,"OVER",
IF(AND(U$5&lt;=100,'Final Term'!U48&gt;100),"ERR",
IF(Info!$B$4="Non-board program",
IF(OR(AND(U$5&gt;0,U$5&gt;100),AND(U$5&gt;0,U$5&lt;100)),
VLOOKUP(FLOOR(('Final Term'!U48/U$5)*100,1),new_transmute,2,FALSE),
VLOOKUP('Final Term'!U48,new_transmute,2,FALSE)
),
IF(Info!$B$4="Board program",
IF(OR(AND(U$5&gt;0,U$5&gt;100),AND(U$5&gt;0,U$5&lt;100)),
VLOOKUP(FLOOR(('Final Term'!U48/U$5)*100,1),new_transmute,3,FALSE),
VLOOKUP('Final Term'!U48,new_transmute,3,FALSE)
),
IF(Info!$B$4="Board program (Medicine)",
IF(OR(AND(U$5&gt;0,U$5&gt;100),AND(U$5&gt;0,U$5&lt;100)),
VLOOKUP(FLOOR(('Final Term'!U48/U$5)*100,1),new_transmute,4,FALSE),
VLOOKUP('Final Term'!U48,new_transmute,4,FALSE)
),
""
)
)
)
)
)
)
)
)
))</f>
        <v/>
      </c>
      <c r="V48" s="73" t="str">
        <f>IF($B48="","",
IF(V$5="","",
IF('Final Term'!V48="",0,
IF(NOT(ISNUMBER('Final Term'!V48)),"NAN",
IF('Final Term'!V48&lt;0,"NEG",
IF('Final Term'!V48&gt;V$5,"OVER",
IF(AND(V$5&lt;=100,'Final Term'!V48&gt;100),"ERR",
IF(Info!$B$4="Non-board program",
IF(OR(AND(V$5&gt;0,V$5&gt;100),AND(V$5&gt;0,V$5&lt;100)),
VLOOKUP(FLOOR(('Final Term'!V48/V$5)*100,1),new_transmute,2,FALSE),
VLOOKUP('Final Term'!V48,new_transmute,2,FALSE)
),
IF(Info!$B$4="Board program",
IF(OR(AND(V$5&gt;0,V$5&gt;100),AND(V$5&gt;0,V$5&lt;100)),
VLOOKUP(FLOOR(('Final Term'!V48/V$5)*100,1),new_transmute,3,FALSE),
VLOOKUP('Final Term'!V48,new_transmute,3,FALSE)
),
IF(Info!$B$4="Board program (Medicine)",
IF(OR(AND(V$5&gt;0,V$5&gt;100),AND(V$5&gt;0,V$5&lt;100)),
VLOOKUP(FLOOR(('Final Term'!V48/V$5)*100,1),new_transmute,4,FALSE),
VLOOKUP('Final Term'!V48,new_transmute,4,FALSE)
),
""
)
)
)
)
)
)
)
)
))</f>
        <v/>
      </c>
      <c r="W48" s="73" t="str">
        <f>IF($B48="","",
IF(W$5="","",
IF('Final Term'!W48="",0,
IF(NOT(ISNUMBER('Final Term'!W48)),"NAN",
IF('Final Term'!W48&lt;0,"NEG",
IF('Final Term'!W48&gt;W$5,"OVER",
IF(AND(W$5&lt;=100,'Final Term'!W48&gt;100),"ERR",
IF(Info!$B$4="Non-board program",
IF(OR(AND(W$5&gt;0,W$5&gt;100),AND(W$5&gt;0,W$5&lt;100)),
VLOOKUP(FLOOR(('Final Term'!W48/W$5)*100,1),new_transmute,2,FALSE),
VLOOKUP('Final Term'!W48,new_transmute,2,FALSE)
),
IF(Info!$B$4="Board program",
IF(OR(AND(W$5&gt;0,W$5&gt;100),AND(W$5&gt;0,W$5&lt;100)),
VLOOKUP(FLOOR(('Final Term'!W48/W$5)*100,1),new_transmute,3,FALSE),
VLOOKUP('Final Term'!W48,new_transmute,3,FALSE)
),
IF(Info!$B$4="Board program (Medicine)",
IF(OR(AND(W$5&gt;0,W$5&gt;100),AND(W$5&gt;0,W$5&lt;100)),
VLOOKUP(FLOOR(('Final Term'!W48/W$5)*100,1),new_transmute,4,FALSE),
VLOOKUP('Final Term'!W48,new_transmute,4,FALSE)
),
""
)
)
)
)
)
)
)
)
))</f>
        <v/>
      </c>
      <c r="X48" s="73" t="str">
        <f>IF($B48="","",
IF(X$5="","",
IF('Final Term'!X48="",0,
IF(NOT(ISNUMBER('Final Term'!X48)),"NAN",
IF('Final Term'!X48&lt;0,"NEG",
IF('Final Term'!X48&gt;X$5,"OVER",
IF(AND(X$5&lt;=100,'Final Term'!X48&gt;100),"ERR",
IF(Info!$B$4="Non-board program",
IF(OR(AND(X$5&gt;0,X$5&gt;100),AND(X$5&gt;0,X$5&lt;100)),
VLOOKUP(FLOOR(('Final Term'!X48/X$5)*100,1),new_transmute,2,FALSE),
VLOOKUP('Final Term'!X48,new_transmute,2,FALSE)
),
IF(Info!$B$4="Board program",
IF(OR(AND(X$5&gt;0,X$5&gt;100),AND(X$5&gt;0,X$5&lt;100)),
VLOOKUP(FLOOR(('Final Term'!X48/X$5)*100,1),new_transmute,3,FALSE),
VLOOKUP('Final Term'!X48,new_transmute,3,FALSE)
),
IF(Info!$B$4="Board program (Medicine)",
IF(OR(AND(X$5&gt;0,X$5&gt;100),AND(X$5&gt;0,X$5&lt;100)),
VLOOKUP(FLOOR(('Final Term'!X48/X$5)*100,1),new_transmute,4,FALSE),
VLOOKUP('Final Term'!X48,new_transmute,4,FALSE)
),
""
)
)
)
)
)
)
)
)
))</f>
        <v/>
      </c>
      <c r="Y48" s="112" t="str">
        <f t="shared" si="4"/>
        <v/>
      </c>
      <c r="Z48" s="73" t="str">
        <f>IF($B48="","",
IF(Z$5="","",
IF('Final Term'!Z48="",0,
IF(NOT(ISNUMBER('Final Term'!Z48)),"NAN",
IF('Final Term'!Z48&lt;0,"NEG",
IF('Final Term'!Z48&gt;Z$5,"OVER",
IF(AND(Z$5&lt;=100,'Final Term'!Z48&gt;100),"ERR",
IF(Info!$B$4="Non-board program",
IF(OR(AND(Z$5&gt;0,Z$5&gt;100),AND(Z$5&gt;0,Z$5&lt;100)),
VLOOKUP(FLOOR(('Final Term'!Z48/Z$5)*100,1),new_transmute,2,FALSE),
VLOOKUP('Final Term'!Z48,new_transmute,2,FALSE)
),
IF(Info!$B$4="Board program",
IF(OR(AND(Z$5&gt;0,Z$5&gt;100),AND(Z$5&gt;0,Z$5&lt;100)),
VLOOKUP(FLOOR(('Final Term'!Z48/Z$5)*100,1),new_transmute,3,FALSE),
VLOOKUP('Final Term'!Z48,new_transmute,3,FALSE)
),
IF(Info!$B$4="Board program (Medicine)",
IF(OR(AND(Z$5&gt;0,Z$5&gt;100),AND(Z$5&gt;0,Z$5&lt;100)),
VLOOKUP(FLOOR(('Final Term'!Z48/Z$5)*100,1),new_transmute,4,FALSE),
VLOOKUP('Final Term'!Z48,new_transmute,4,FALSE)
),
""
)
)
)
)
)
)
)
)
))</f>
        <v/>
      </c>
      <c r="AA48" s="73" t="str">
        <f>IF($B48="","",
IF(AA$5="","",
IF('Final Term'!AA48="",0,
IF(NOT(ISNUMBER('Final Term'!AA48)),"NAN",
IF('Final Term'!AA48&lt;0,"NEG",
IF('Final Term'!AA48&gt;AA$5,"OVER",
IF(AND(AA$5&lt;=100,'Final Term'!AA48&gt;100),"ERR",
IF(Info!$B$4="Non-board program",
IF(OR(AND(AA$5&gt;0,AA$5&gt;100),AND(AA$5&gt;0,AA$5&lt;100)),
VLOOKUP(FLOOR(('Final Term'!AA48/AA$5)*100,1),new_transmute,2,FALSE),
VLOOKUP('Final Term'!AA48,new_transmute,2,FALSE)
),
IF(Info!$B$4="Board program",
IF(OR(AND(AA$5&gt;0,AA$5&gt;100),AND(AA$5&gt;0,AA$5&lt;100)),
VLOOKUP(FLOOR(('Final Term'!AA48/AA$5)*100,1),new_transmute,3,FALSE),
VLOOKUP('Final Term'!AA48,new_transmute,3,FALSE)
),
IF(Info!$B$4="Board program (Medicine)",
IF(OR(AND(AA$5&gt;0,AA$5&gt;100),AND(AA$5&gt;0,AA$5&lt;100)),
VLOOKUP(FLOOR(('Final Term'!AA48/AA$5)*100,1),new_transmute,4,FALSE),
VLOOKUP('Final Term'!AA48,new_transmute,4,FALSE)
),
""
)
)
)
)
)
)
)
)
))</f>
        <v/>
      </c>
      <c r="AB48" s="73" t="str">
        <f>IF($B48="","",
IF(AB$5="","",
IF('Final Term'!AB48="",0,
IF(NOT(ISNUMBER('Final Term'!AB48)),"NAN",
IF('Final Term'!AB48&lt;0,"NEG",
IF('Final Term'!AB48&gt;AB$5,"OVER",
IF(AND(AB$5&lt;=100,'Final Term'!AB48&gt;100),"ERR",
IF(Info!$B$4="Non-board program",
IF(OR(AND(AB$5&gt;0,AB$5&gt;100),AND(AB$5&gt;0,AB$5&lt;100)),
VLOOKUP(FLOOR(('Final Term'!AB48/AB$5)*100,1),new_transmute,2,FALSE),
VLOOKUP('Final Term'!AB48,new_transmute,2,FALSE)
),
IF(Info!$B$4="Board program",
IF(OR(AND(AB$5&gt;0,AB$5&gt;100),AND(AB$5&gt;0,AB$5&lt;100)),
VLOOKUP(FLOOR(('Final Term'!AB48/AB$5)*100,1),new_transmute,3,FALSE),
VLOOKUP('Final Term'!AB48,new_transmute,3,FALSE)
),
IF(Info!$B$4="Board program (Medicine)",
IF(OR(AND(AB$5&gt;0,AB$5&gt;100),AND(AB$5&gt;0,AB$5&lt;100)),
VLOOKUP(FLOOR(('Final Term'!AB48/AB$5)*100,1),new_transmute,4,FALSE),
VLOOKUP('Final Term'!AB48,new_transmute,4,FALSE)
),
""
)
)
)
)
)
)
)
)
))</f>
        <v/>
      </c>
      <c r="AC48" s="73" t="str">
        <f>IF($B48="","",
IF(AC$5="","",
IF('Final Term'!AC48="",0,
IF(NOT(ISNUMBER('Final Term'!AC48)),"NAN",
IF('Final Term'!AC48&lt;0,"NEG",
IF('Final Term'!AC48&gt;AC$5,"OVER",
IF(AND(AC$5&lt;=100,'Final Term'!AC48&gt;100),"ERR",
IF(Info!$B$4="Non-board program",
IF(OR(AND(AC$5&gt;0,AC$5&gt;100),AND(AC$5&gt;0,AC$5&lt;100)),
VLOOKUP(FLOOR(('Final Term'!AC48/AC$5)*100,1),new_transmute,2,FALSE),
VLOOKUP('Final Term'!AC48,new_transmute,2,FALSE)
),
IF(Info!$B$4="Board program",
IF(OR(AND(AC$5&gt;0,AC$5&gt;100),AND(AC$5&gt;0,AC$5&lt;100)),
VLOOKUP(FLOOR(('Final Term'!AC48/AC$5)*100,1),new_transmute,3,FALSE),
VLOOKUP('Final Term'!AC48,new_transmute,3,FALSE)
),
IF(Info!$B$4="Board program (Medicine)",
IF(OR(AND(AC$5&gt;0,AC$5&gt;100),AND(AC$5&gt;0,AC$5&lt;100)),
VLOOKUP(FLOOR(('Final Term'!AC48/AC$5)*100,1),new_transmute,4,FALSE),
VLOOKUP('Final Term'!AC48,new_transmute,4,FALSE)
),
""
)
)
)
)
)
)
)
)
))</f>
        <v/>
      </c>
      <c r="AD48" s="73" t="str">
        <f>IF($B48="","",
IF(AD$5="","",
IF('Final Term'!AD48="",0,
IF(NOT(ISNUMBER('Final Term'!AD48)),"NAN",
IF('Final Term'!AD48&lt;0,"NEG",
IF('Final Term'!AD48&gt;AD$5,"OVER",
IF(AND(AD$5&lt;=100,'Final Term'!AD48&gt;100),"ERR",
IF(Info!$B$4="Non-board program",
IF(OR(AND(AD$5&gt;0,AD$5&gt;100),AND(AD$5&gt;0,AD$5&lt;100)),
VLOOKUP(FLOOR(('Final Term'!AD48/AD$5)*100,1),new_transmute,2,FALSE),
VLOOKUP('Final Term'!AD48,new_transmute,2,FALSE)
),
IF(Info!$B$4="Board program",
IF(OR(AND(AD$5&gt;0,AD$5&gt;100),AND(AD$5&gt;0,AD$5&lt;100)),
VLOOKUP(FLOOR(('Final Term'!AD48/AD$5)*100,1),new_transmute,3,FALSE),
VLOOKUP('Final Term'!AD48,new_transmute,3,FALSE)
),
IF(Info!$B$4="Board program (Medicine)",
IF(OR(AND(AD$5&gt;0,AD$5&gt;100),AND(AD$5&gt;0,AD$5&lt;100)),
VLOOKUP(FLOOR(('Final Term'!AD48/AD$5)*100,1),new_transmute,4,FALSE),
VLOOKUP('Final Term'!AD48,new_transmute,4,FALSE)
),
""
)
)
)
)
)
)
)
)
))</f>
        <v/>
      </c>
      <c r="AE48" s="58" t="str">
        <f t="shared" si="5"/>
        <v/>
      </c>
      <c r="AF48" s="73" t="str">
        <f>IF($B48="","",
IF(AF$5="","",
IF('Final Term'!AF48="",0,
IF(NOT(ISNUMBER('Final Term'!AF48)),"NAN",
IF('Final Term'!AF48&lt;0,"NEG",
IF('Final Term'!AF48&gt;AF$5,"OVER",
IF(AND(AF$5&lt;=100,'Final Term'!AF48&gt;100),"ERR",
IF(Info!$B$4="Non-board program",
IF(OR(AND(AF$5&gt;0,AF$5&gt;100),AND(AF$5&gt;0,AF$5&lt;100)),
VLOOKUP(FLOOR(('Final Term'!AF48/AF$5)*100,1),new_transmute,2,FALSE),
VLOOKUP('Final Term'!AF48,new_transmute,2,FALSE)
),
IF(Info!$B$4="Board program",
IF(OR(AND(AF$5&gt;0,AF$5&gt;100),AND(AF$5&gt;0,AF$5&lt;100)),
VLOOKUP(FLOOR(('Final Term'!AF48/AF$5)*100,1),new_transmute,3,FALSE),
VLOOKUP('Final Term'!AF48,new_transmute,3,FALSE)
),
IF(Info!$B$4="Board program (Medicine)",
IF(OR(AND(AF$5&gt;0,AF$5&gt;100),AND(AF$5&gt;0,AF$5&lt;100)),
VLOOKUP(FLOOR(('Final Term'!AF48/AF$5)*100,1),new_transmute,4,FALSE),
VLOOKUP('Final Term'!AF48,new_transmute,4,FALSE)
),
""
)
)
)
)
)
)
)
)
))</f>
        <v/>
      </c>
      <c r="AG48" s="73" t="str">
        <f>IF($B48="","",
IF(AG$5="","",
IF('Final Term'!AG48="",0,
IF(NOT(ISNUMBER('Final Term'!AG48)),"NAN",
IF('Final Term'!AG48&lt;0,"NEG",
IF('Final Term'!AG48&gt;AG$5,"OVER",
IF(AND(AG$5&lt;=100,'Final Term'!AG48&gt;100),"ERR",
IF(Info!$B$4="Non-board program",
IF(OR(AND(AG$5&gt;0,AG$5&gt;100),AND(AG$5&gt;0,AG$5&lt;100)),
VLOOKUP(FLOOR(('Final Term'!AG48/AG$5)*100,1),new_transmute,2,FALSE),
VLOOKUP('Final Term'!AG48,new_transmute,2,FALSE)
),
IF(Info!$B$4="Board program",
IF(OR(AND(AG$5&gt;0,AG$5&gt;100),AND(AG$5&gt;0,AG$5&lt;100)),
VLOOKUP(FLOOR(('Final Term'!AG48/AG$5)*100,1),new_transmute,3,FALSE),
VLOOKUP('Final Term'!AG48,new_transmute,3,FALSE)
),
IF(Info!$B$4="Board program (Medicine)",
IF(OR(AND(AG$5&gt;0,AG$5&gt;100),AND(AG$5&gt;0,AG$5&lt;100)),
VLOOKUP(FLOOR(('Final Term'!AG48/AG$5)*100,1),new_transmute,4,FALSE),
VLOOKUP('Final Term'!AG48,new_transmute,4,FALSE)
),
""
)
)
)
)
)
)
)
)
))</f>
        <v/>
      </c>
      <c r="AH48" s="73" t="str">
        <f>IF($B48="","",
IF(AH$5="","",
IF('Final Term'!AH48="",0,
IF(NOT(ISNUMBER('Final Term'!AH48)),"NAN",
IF('Final Term'!AH48&lt;0,"NEG",
IF('Final Term'!AH48&gt;AH$5,"OVER",
IF(AND(AH$5&lt;=100,'Final Term'!AH48&gt;100),"ERR",
IF(Info!$B$4="Non-board program",
IF(OR(AND(AH$5&gt;0,AH$5&gt;100),AND(AH$5&gt;0,AH$5&lt;100)),
VLOOKUP(FLOOR(('Final Term'!AH48/AH$5)*100,1),new_transmute,2,FALSE),
VLOOKUP('Final Term'!AH48,new_transmute,2,FALSE)
),
IF(Info!$B$4="Board program",
IF(OR(AND(AH$5&gt;0,AH$5&gt;100),AND(AH$5&gt;0,AH$5&lt;100)),
VLOOKUP(FLOOR(('Final Term'!AH48/AH$5)*100,1),new_transmute,3,FALSE),
VLOOKUP('Final Term'!AH48,new_transmute,3,FALSE)
),
IF(Info!$B$4="Board program (Medicine)",
IF(OR(AND(AH$5&gt;0,AH$5&gt;100),AND(AH$5&gt;0,AH$5&lt;100)),
VLOOKUP(FLOOR(('Final Term'!AH48/AH$5)*100,1),new_transmute,4,FALSE),
VLOOKUP('Final Term'!AH48,new_transmute,4,FALSE)
),
""
)
)
)
)
)
)
)
)
))</f>
        <v/>
      </c>
      <c r="AI48" s="73" t="str">
        <f>IF($B48="","",
IF(AI$5="","",
IF('Final Term'!AI48="",0,
IF(NOT(ISNUMBER('Final Term'!AI48)),"NAN",
IF('Final Term'!AI48&lt;0,"NEG",
IF('Final Term'!AI48&gt;AI$5,"OVER",
IF(AND(AI$5&lt;=100,'Final Term'!AI48&gt;100),"ERR",
IF(Info!$B$4="Non-board program",
IF(OR(AND(AI$5&gt;0,AI$5&gt;100),AND(AI$5&gt;0,AI$5&lt;100)),
VLOOKUP(FLOOR(('Final Term'!AI48/AI$5)*100,1),new_transmute,2,FALSE),
VLOOKUP('Final Term'!AI48,new_transmute,2,FALSE)
),
IF(Info!$B$4="Board program",
IF(OR(AND(AI$5&gt;0,AI$5&gt;100),AND(AI$5&gt;0,AI$5&lt;100)),
VLOOKUP(FLOOR(('Final Term'!AI48/AI$5)*100,1),new_transmute,3,FALSE),
VLOOKUP('Final Term'!AI48,new_transmute,3,FALSE)
),
IF(Info!$B$4="Board program (Medicine)",
IF(OR(AND(AI$5&gt;0,AI$5&gt;100),AND(AI$5&gt;0,AI$5&lt;100)),
VLOOKUP(FLOOR(('Final Term'!AI48/AI$5)*100,1),new_transmute,4,FALSE),
VLOOKUP('Final Term'!AI48,new_transmute,4,FALSE)
),
""
)
)
)
)
)
)
)
)
))</f>
        <v/>
      </c>
      <c r="AJ48" s="73" t="str">
        <f>IF($B48="","",
IF(AJ$5="","",
IF('Final Term'!AJ48="",0,
IF(NOT(ISNUMBER('Final Term'!AJ48)),"NAN",
IF('Final Term'!AJ48&lt;0,"NEG",
IF('Final Term'!AJ48&gt;AJ$5,"OVER",
IF(AND(AJ$5&lt;=100,'Final Term'!AJ48&gt;100),"ERR",
IF(Info!$B$4="Non-board program",
IF(OR(AND(AJ$5&gt;0,AJ$5&gt;100),AND(AJ$5&gt;0,AJ$5&lt;100)),
VLOOKUP(FLOOR(('Final Term'!AJ48/AJ$5)*100,1),new_transmute,2,FALSE),
VLOOKUP('Final Term'!AJ48,new_transmute,2,FALSE)
),
IF(Info!$B$4="Board program",
IF(OR(AND(AJ$5&gt;0,AJ$5&gt;100),AND(AJ$5&gt;0,AJ$5&lt;100)),
VLOOKUP(FLOOR(('Final Term'!AJ48/AJ$5)*100,1),new_transmute,3,FALSE),
VLOOKUP('Final Term'!AJ48,new_transmute,3,FALSE)
),
IF(Info!$B$4="Board program (Medicine)",
IF(OR(AND(AJ$5&gt;0,AJ$5&gt;100),AND(AJ$5&gt;0,AJ$5&lt;100)),
VLOOKUP(FLOOR(('Final Term'!AJ48/AJ$5)*100,1),new_transmute,4,FALSE),
VLOOKUP('Final Term'!AJ48,new_transmute,4,FALSE)
),
""
)
)
)
)
)
)
)
)
))</f>
        <v/>
      </c>
      <c r="AK48" s="59" t="str">
        <f t="shared" si="6"/>
        <v/>
      </c>
      <c r="AL48" s="60" t="str">
        <f>IF(B48="", "",
    IF(OR(M48="OVER", S48="OVER", Y48="OVER", AE48="OVER", AK48="OVER"),
        "OVER",
        IF(Info!$B$4="Non-board program",
            VLOOKUP(IFERROR(FLOOR(SUM((M48*$M$4), (S48*$S$4), (Y48*$Y$4), (AE48*$AE$4), (AK48*$AK$4)) * (100 / 60), 1), 0), new_transmute, 2, FALSE),
            IF(Info!$B$4="Board program",
                VLOOKUP(IFERROR(FLOOR(SUM((M48*$M$4), (S48*$S$4), (Y48*$Y$4), (AE48*$AE$4), (AK48*$AK$4)) * (100 / 60), 1), 0), new_transmute, 3, FALSE),
                IF(Info!$B$4="Board program (Medicine)",
                    VLOOKUP(IFERROR(FLOOR(SUM((M48*$M$4), (S48*$S$4), (Y48*$Y$4), (AE48*$AE$4), (AK48*$AK$4)) * (100 / 60), 1), 0), new_transmute, 4, FALSE),
                    ""
                )
            )
        )
    )
)</f>
        <v/>
      </c>
      <c r="AM48" s="73" t="str">
        <f>IF($B48="","",
IF(AM$5="","",
IF('Final Term'!AM48="",0,
IF(NOT(ISNUMBER('Final Term'!AM48)),"NAN",
IF('Final Term'!AM48&lt;0,"NEG",
IF('Final Term'!AM48&gt;AM$5,"OVER",
IF(AND(AM$5&lt;=100,'Final Term'!AM48&gt;100),"ERR",
IF(Info!$B$4="Non-board program",
IF(OR(AND(AM$5&gt;0,AM$5&gt;100),AND(AM$5&gt;0,AM$5&lt;100)),
VLOOKUP(FLOOR(('Final Term'!AM48/AM$5)*100,1),new_transmute,2,FALSE),
VLOOKUP('Final Term'!AM48,new_transmute,2,FALSE)
),
IF(Info!$B$4="Board program",
IF(OR(AND(AM$5&gt;0,AM$5&gt;100),AND(AM$5&gt;0,AM$5&lt;100)),
VLOOKUP(FLOOR(('Final Term'!AM48/AM$5)*100,1),new_transmute,3,FALSE),
VLOOKUP('Final Term'!AM48,new_transmute,3,FALSE)
),
IF(Info!$B$4="Board program (Medicine)",
IF(OR(AND(AM$5&gt;0,AM$5&gt;100),AND(AM$5&gt;0,AM$5&lt;100)),
VLOOKUP(FLOOR(('Final Term'!AM48/AM$5)*100,1),new_transmute,4,FALSE),
VLOOKUP('Final Term'!AM48,new_transmute,4,FALSE)
),
""
)
)
)
)
)
)
)
)
))</f>
        <v/>
      </c>
      <c r="AN48" s="73" t="str">
        <f>IF($B48="","",
IF(AN$5="","",
IF('Final Term'!AN48="",0,
IF(NOT(ISNUMBER('Final Term'!AN48)),"NAN",
IF('Final Term'!AN48&lt;0,"NEG",
IF('Final Term'!AN48&gt;AN$5,"OVER",
IF(AND(AN$5&lt;=100,'Final Term'!AN48&gt;100),"ERR",
IF(Info!$B$4="Non-board program",
IF(OR(AND(AN$5&gt;0,AN$5&gt;100),AND(AN$5&gt;0,AN$5&lt;100)),
VLOOKUP(FLOOR(('Final Term'!AN48/AN$5)*100,1),new_transmute,2,FALSE),
VLOOKUP('Final Term'!AN48,new_transmute,2,FALSE)
),
IF(Info!$B$4="Board program",
IF(OR(AND(AN$5&gt;0,AN$5&gt;100),AND(AN$5&gt;0,AN$5&lt;100)),
VLOOKUP(FLOOR(('Final Term'!AN48/AN$5)*100,1),new_transmute,3,FALSE),
VLOOKUP('Final Term'!AN48,new_transmute,3,FALSE)
),
IF(Info!$B$4="Board program (Medicine)",
IF(OR(AND(AN$5&gt;0,AN$5&gt;100),AND(AN$5&gt;0,AN$5&lt;100)),
VLOOKUP(FLOOR(('Final Term'!AN48/AN$5)*100,1),new_transmute,4,FALSE),
VLOOKUP('Final Term'!AN48,new_transmute,4,FALSE)
),
""
)
)
)
)
)
)
)
)
))</f>
        <v/>
      </c>
      <c r="AO48" s="73" t="str">
        <f>IF($B48="","",
IF(AO$5="","",
IF('Final Term'!AO48="",0,
IF(NOT(ISNUMBER('Final Term'!AO48)),"NAN",
IF('Final Term'!AO48&lt;0,"NEG",
IF('Final Term'!AO48&gt;AO$5,"OVER",
IF(AND(AO$5&lt;=100,'Final Term'!AO48&gt;100),"ERR",
IF(Info!$B$4="Non-board program",
IF(OR(AND(AO$5&gt;0,AO$5&gt;100),AND(AO$5&gt;0,AO$5&lt;100)),
VLOOKUP(FLOOR(('Final Term'!AO48/AO$5)*100,1),new_transmute,2,FALSE),
VLOOKUP('Final Term'!AO48,new_transmute,2,FALSE)
),
IF(Info!$B$4="Board program",
IF(OR(AND(AO$5&gt;0,AO$5&gt;100),AND(AO$5&gt;0,AO$5&lt;100)),
VLOOKUP(FLOOR(('Final Term'!AO48/AO$5)*100,1),new_transmute,3,FALSE),
VLOOKUP('Final Term'!AO48,new_transmute,3,FALSE)
),
IF(Info!$B$4="Board program (Medicine)",
IF(OR(AND(AO$5&gt;0,AO$5&gt;100),AND(AO$5&gt;0,AO$5&lt;100)),
VLOOKUP(FLOOR(('Final Term'!AO48/AO$5)*100,1),new_transmute,4,FALSE),
VLOOKUP('Final Term'!AO48,new_transmute,4,FALSE)
),
""
)
)
)
)
)
)
)
)
))</f>
        <v/>
      </c>
      <c r="AP48" s="73" t="str">
        <f>IF($B48="","",
IF(AP$5="","",
IF('Final Term'!AP48="",0,
IF(NOT(ISNUMBER('Final Term'!AP48)),"NAN",
IF('Final Term'!AP48&lt;0,"NEG",
IF('Final Term'!AP48&gt;AP$5,"OVER",
IF(AND(AP$5&lt;=100,'Final Term'!AP48&gt;100),"ERR",
IF(Info!$B$4="Non-board program",
IF(OR(AND(AP$5&gt;0,AP$5&gt;100),AND(AP$5&gt;0,AP$5&lt;100)),
VLOOKUP(FLOOR(('Final Term'!AP48/AP$5)*100,1),new_transmute,2,FALSE),
VLOOKUP('Final Term'!AP48,new_transmute,2,FALSE)
),
IF(Info!$B$4="Board program",
IF(OR(AND(AP$5&gt;0,AP$5&gt;100),AND(AP$5&gt;0,AP$5&lt;100)),
VLOOKUP(FLOOR(('Final Term'!AP48/AP$5)*100,1),new_transmute,3,FALSE),
VLOOKUP('Final Term'!AP48,new_transmute,3,FALSE)
),
IF(Info!$B$4="Board program (Medicine)",
IF(OR(AND(AP$5&gt;0,AP$5&gt;100),AND(AP$5&gt;0,AP$5&lt;100)),
VLOOKUP(FLOOR(('Final Term'!AP48/AP$5)*100,1),new_transmute,4,FALSE),
VLOOKUP('Final Term'!AP48,new_transmute,4,FALSE)
),
""
)
)
)
)
)
)
)
)
))</f>
        <v/>
      </c>
      <c r="AQ48" s="61" t="str">
        <f t="shared" si="7"/>
        <v/>
      </c>
      <c r="AR48" s="48" t="str">
        <f>IF('Final Term'!AR48="","",'Final Term'!AR48)</f>
        <v/>
      </c>
      <c r="AS48" s="165" t="str">
        <f t="shared" si="8"/>
        <v/>
      </c>
      <c r="AT48" s="14" t="str">
        <f t="shared" si="9"/>
        <v/>
      </c>
      <c r="AU48" s="13" t="str">
        <f>IF(B48="","",VLOOKUP(AT48,'New Grade Equivalent'!$B$3:$C$47,2,FALSE))</f>
        <v/>
      </c>
    </row>
    <row r="49" spans="1:47" x14ac:dyDescent="0.25">
      <c r="A49" s="8">
        <v>44</v>
      </c>
      <c r="B49" s="2" t="str">
        <f>IF('Student List'!C53="","",UPPER(LEFT('Student List'!C53,FIND(",",'Student List'!C53)-1)))</f>
        <v/>
      </c>
      <c r="C49" s="12" t="str">
        <f>IF('Student List'!C53="","",PROPER(MID('Student List'!C53, FIND(",", 'Student List'!C53) + 2, LEN('Student List'!C53) - FIND(",", 'Student List'!C53) - 1)))</f>
        <v/>
      </c>
      <c r="D49" s="127" t="str">
        <f>IF('Final Term'!D49="","",'Final Term'!D49)</f>
        <v/>
      </c>
      <c r="E49" s="8" t="str">
        <f>IF(MidCom!E49="FA", "FA",
    IF(MidCom!E49="DRP", "DRP",
        IF(MidCom!E49="WF", "WF",
            IF(D49="Yes", "INC",
               IF((SUM('MT Attendance'!AW47) / 3 + SUM('MT Attendance'!AY47) + SUM('FT Attendance'!AW47) / 3 + SUM('FT Attendance'!AY47)) &gt;= 0.2 * (SUMPRODUCT(--(ISTEXT('MT Attendance'!$C$2:$AU$2))) + SUMPRODUCT(--(ISTEXT('FT Attendance'!$C$2:$AU$2)))), "FA",
                   MidCom!E49
                )
            )
        )
    )
)</f>
        <v/>
      </c>
      <c r="F49" s="73" t="str">
        <f>IF($B49="","",
IF(F$5="","",
IF('Final Term'!F49="",0,
IF(NOT(ISNUMBER('Final Term'!F49)),"NAN",
IF('Final Term'!F49&lt;0,"NEG",
IF('Final Term'!F49&gt;F$5,"OVER",
IF(AND(F$5&lt;=100,'Final Term'!F49&gt;100),"ERR",
IF(Info!$B$4="Non-board program",
IF(OR(AND(F$5&gt;0,F$5&gt;100),AND(F$5&gt;0,F$5&lt;100)),
VLOOKUP(FLOOR(('Final Term'!F49/F$5)*100,1),new_transmute,2,FALSE),
VLOOKUP('Final Term'!F49,new_transmute,2,FALSE)
),
IF(Info!$B$4="Board program",
IF(OR(AND(F$5&gt;0,F$5&gt;100),AND(F$5&gt;0,F$5&lt;100)),
VLOOKUP(FLOOR(('Final Term'!F49/F$5)*100,1),new_transmute,3,FALSE),
VLOOKUP('Final Term'!F49,new_transmute,3,FALSE)
),
IF(Info!$B$4="Board program (Medicine)",
IF(OR(AND(F$5&gt;0,F$5&gt;100),AND(F$5&gt;0,F$5&lt;100)),
VLOOKUP(FLOOR(('Final Term'!F49/F$5)*100,1),new_transmute,4,FALSE),
VLOOKUP('Final Term'!F49,new_transmute,4,FALSE)
),
""
)
)
)
)
)
)
)
)
))</f>
        <v/>
      </c>
      <c r="G49" s="57" t="str">
        <f t="shared" si="1"/>
        <v/>
      </c>
      <c r="H49" s="73" t="str">
        <f>IF($B49="","",
IF(H$5="","",
IF('Final Term'!H49="",0,
IF(NOT(ISNUMBER('Final Term'!H49)),"NAN",
IF('Final Term'!H49&lt;0,"NEG",
IF('Final Term'!H49&gt;H$5,"OVER",
IF(AND(H$5&lt;=100,'Final Term'!H49&gt;100),"ERR",
IF(Info!$B$4="Non-board program",
IF(OR(AND(H$5&gt;0,H$5&gt;100),AND(H$5&gt;0,H$5&lt;100)),
VLOOKUP(FLOOR(('Final Term'!H49/H$5)*100,1),new_transmute,2,FALSE),
VLOOKUP('Final Term'!H49,new_transmute,2,FALSE)
),
IF(Info!$B$4="Board program",
IF(OR(AND(H$5&gt;0,H$5&gt;100),AND(H$5&gt;0,H$5&lt;100)),
VLOOKUP(FLOOR(('Final Term'!H49/H$5)*100,1),new_transmute,3,FALSE),
VLOOKUP('Final Term'!H49,new_transmute,3,FALSE)
),
IF(Info!$B$4="Board program (Medicine)",
IF(OR(AND(H$5&gt;0,H$5&gt;100),AND(H$5&gt;0,H$5&lt;100)),
VLOOKUP(FLOOR(('Final Term'!H49/H$5)*100,1),new_transmute,4,FALSE),
VLOOKUP('Final Term'!H49,new_transmute,4,FALSE)
),
""
)
)
)
)
)
)
)
)
))</f>
        <v/>
      </c>
      <c r="I49" s="73" t="str">
        <f>IF($B49="","",
IF(I$5="","",
IF('Final Term'!I49="",0,
IF(NOT(ISNUMBER('Final Term'!I49)),"NAN",
IF('Final Term'!I49&lt;0,"NEG",
IF('Final Term'!I49&gt;I$5,"OVER",
IF(AND(I$5&lt;=100,'Final Term'!I49&gt;100),"ERR",
IF(Info!$B$4="Non-board program",
IF(OR(AND(I$5&gt;0,I$5&gt;100),AND(I$5&gt;0,I$5&lt;100)),
VLOOKUP(FLOOR(('Final Term'!I49/I$5)*100,1),new_transmute,2,FALSE),
VLOOKUP('Final Term'!I49,new_transmute,2,FALSE)
),
IF(Info!$B$4="Board program",
IF(OR(AND(I$5&gt;0,I$5&gt;100),AND(I$5&gt;0,I$5&lt;100)),
VLOOKUP(FLOOR(('Final Term'!I49/I$5)*100,1),new_transmute,3,FALSE),
VLOOKUP('Final Term'!I49,new_transmute,3,FALSE)
),
IF(Info!$B$4="Board program (Medicine)",
IF(OR(AND(I$5&gt;0,I$5&gt;100),AND(I$5&gt;0,I$5&lt;100)),
VLOOKUP(FLOOR(('Final Term'!I49/I$5)*100,1),new_transmute,4,FALSE),
VLOOKUP('Final Term'!I49,new_transmute,4,FALSE)
),
""
)
)
)
)
)
)
)
)
))</f>
        <v/>
      </c>
      <c r="J49" s="73" t="str">
        <f>IF($B49="","",
IF(J$5="","",
IF('Final Term'!J49="",0,
IF(NOT(ISNUMBER('Final Term'!J49)),"NAN",
IF('Final Term'!J49&lt;0,"NEG",
IF('Final Term'!J49&gt;J$5,"OVER",
IF(AND(J$5&lt;=100,'Final Term'!J49&gt;100),"ERR",
IF(Info!$B$4="Non-board program",
IF(OR(AND(J$5&gt;0,J$5&gt;100),AND(J$5&gt;0,J$5&lt;100)),
VLOOKUP(FLOOR(('Final Term'!J49/J$5)*100,1),new_transmute,2,FALSE),
VLOOKUP('Final Term'!J49,new_transmute,2,FALSE)
),
IF(Info!$B$4="Board program",
IF(OR(AND(J$5&gt;0,J$5&gt;100),AND(J$5&gt;0,J$5&lt;100)),
VLOOKUP(FLOOR(('Final Term'!J49/J$5)*100,1),new_transmute,3,FALSE),
VLOOKUP('Final Term'!J49,new_transmute,3,FALSE)
),
IF(Info!$B$4="Board program (Medicine)",
IF(OR(AND(J$5&gt;0,J$5&gt;100),AND(J$5&gt;0,J$5&lt;100)),
VLOOKUP(FLOOR(('Final Term'!J49/J$5)*100,1),new_transmute,4,FALSE),
VLOOKUP('Final Term'!J49,new_transmute,4,FALSE)
),
""
)
)
)
)
)
)
)
)
))</f>
        <v/>
      </c>
      <c r="K49" s="73" t="str">
        <f>IF($B49="","",
IF(K$5="","",
IF('Final Term'!K49="",0,
IF(NOT(ISNUMBER('Final Term'!K49)),"NAN",
IF('Final Term'!K49&lt;0,"NEG",
IF('Final Term'!K49&gt;K$5,"OVER",
IF(AND(K$5&lt;=100,'Final Term'!K49&gt;100),"ERR",
IF(Info!$B$4="Non-board program",
IF(OR(AND(K$5&gt;0,K$5&gt;100),AND(K$5&gt;0,K$5&lt;100)),
VLOOKUP(FLOOR(('Final Term'!K49/K$5)*100,1),new_transmute,2,FALSE),
VLOOKUP('Final Term'!K49,new_transmute,2,FALSE)
),
IF(Info!$B$4="Board program",
IF(OR(AND(K$5&gt;0,K$5&gt;100),AND(K$5&gt;0,K$5&lt;100)),
VLOOKUP(FLOOR(('Final Term'!K49/K$5)*100,1),new_transmute,3,FALSE),
VLOOKUP('Final Term'!K49,new_transmute,3,FALSE)
),
IF(Info!$B$4="Board program (Medicine)",
IF(OR(AND(K$5&gt;0,K$5&gt;100),AND(K$5&gt;0,K$5&lt;100)),
VLOOKUP(FLOOR(('Final Term'!K49/K$5)*100,1),new_transmute,4,FALSE),
VLOOKUP('Final Term'!K49,new_transmute,4,FALSE)
),
""
)
)
)
)
)
)
)
)
))</f>
        <v/>
      </c>
      <c r="L49" s="73" t="str">
        <f>IF($B49="","",
IF(L$5="","",
IF('Final Term'!L49="",0,
IF(NOT(ISNUMBER('Final Term'!L49)),"NAN",
IF('Final Term'!L49&lt;0,"NEG",
IF('Final Term'!L49&gt;L$5,"OVER",
IF(AND(L$5&lt;=100,'Final Term'!L49&gt;100),"ERR",
IF(Info!$B$4="Non-board program",
IF(OR(AND(L$5&gt;0,L$5&gt;100),AND(L$5&gt;0,L$5&lt;100)),
VLOOKUP(FLOOR(('Final Term'!L49/L$5)*100,1),new_transmute,2,FALSE),
VLOOKUP('Final Term'!L49,new_transmute,2,FALSE)
),
IF(Info!$B$4="Board program",
IF(OR(AND(L$5&gt;0,L$5&gt;100),AND(L$5&gt;0,L$5&lt;100)),
VLOOKUP(FLOOR(('Final Term'!L49/L$5)*100,1),new_transmute,3,FALSE),
VLOOKUP('Final Term'!L49,new_transmute,3,FALSE)
),
IF(Info!$B$4="Board program (Medicine)",
IF(OR(AND(L$5&gt;0,L$5&gt;100),AND(L$5&gt;0,L$5&lt;100)),
VLOOKUP(FLOOR(('Final Term'!L49/L$5)*100,1),new_transmute,4,FALSE),
VLOOKUP('Final Term'!L49,new_transmute,4,FALSE)
),
""
)
)
)
)
)
)
)
)
))</f>
        <v/>
      </c>
      <c r="M49" s="111" t="str">
        <f t="shared" si="2"/>
        <v/>
      </c>
      <c r="N49" s="73" t="str">
        <f>IF($B49="","",
IF(N$5="","",
IF('Final Term'!N49="",0,
IF(NOT(ISNUMBER('Final Term'!N49)),"NAN",
IF('Final Term'!N49&lt;0,"NEG",
IF('Final Term'!N49&gt;N$5,"OVER",
IF(AND(N$5&lt;=100,'Final Term'!N49&gt;100),"ERR",
IF(Info!$B$4="Non-board program",
IF(OR(AND(N$5&gt;0,N$5&gt;100),AND(N$5&gt;0,N$5&lt;100)),
VLOOKUP(FLOOR(('Final Term'!N49/N$5)*100,1),new_transmute,2,FALSE),
VLOOKUP('Final Term'!N49,new_transmute,2,FALSE)
),
IF(Info!$B$4="Board program",
IF(OR(AND(N$5&gt;0,N$5&gt;100),AND(N$5&gt;0,N$5&lt;100)),
VLOOKUP(FLOOR(('Final Term'!N49/N$5)*100,1),new_transmute,3,FALSE),
VLOOKUP('Final Term'!N49,new_transmute,3,FALSE)
),
IF(Info!$B$4="Board program (Medicine)",
IF(OR(AND(N$5&gt;0,N$5&gt;100),AND(N$5&gt;0,N$5&lt;100)),
VLOOKUP(FLOOR(('Final Term'!N49/N$5)*100,1),new_transmute,4,FALSE),
VLOOKUP('Final Term'!N49,new_transmute,4,FALSE)
),
""
)
)
)
)
)
)
)
)
))</f>
        <v/>
      </c>
      <c r="O49" s="73" t="str">
        <f>IF($B49="","",
IF(O$5="","",
IF('Final Term'!O49="",0,
IF(NOT(ISNUMBER('Final Term'!O49)),"NAN",
IF('Final Term'!O49&lt;0,"NEG",
IF('Final Term'!O49&gt;O$5,"OVER",
IF(AND(O$5&lt;=100,'Final Term'!O49&gt;100),"ERR",
IF(Info!$B$4="Non-board program",
IF(OR(AND(O$5&gt;0,O$5&gt;100),AND(O$5&gt;0,O$5&lt;100)),
VLOOKUP(FLOOR(('Final Term'!O49/O$5)*100,1),new_transmute,2,FALSE),
VLOOKUP('Final Term'!O49,new_transmute,2,FALSE)
),
IF(Info!$B$4="Board program",
IF(OR(AND(O$5&gt;0,O$5&gt;100),AND(O$5&gt;0,O$5&lt;100)),
VLOOKUP(FLOOR(('Final Term'!O49/O$5)*100,1),new_transmute,3,FALSE),
VLOOKUP('Final Term'!O49,new_transmute,3,FALSE)
),
IF(Info!$B$4="Board program (Medicine)",
IF(OR(AND(O$5&gt;0,O$5&gt;100),AND(O$5&gt;0,O$5&lt;100)),
VLOOKUP(FLOOR(('Final Term'!O49/O$5)*100,1),new_transmute,4,FALSE),
VLOOKUP('Final Term'!O49,new_transmute,4,FALSE)
),
""
)
)
)
)
)
)
)
)
))</f>
        <v/>
      </c>
      <c r="P49" s="73" t="str">
        <f>IF($B49="","",
IF(P$5="","",
IF('Final Term'!P49="",0,
IF(NOT(ISNUMBER('Final Term'!P49)),"NAN",
IF('Final Term'!P49&lt;0,"NEG",
IF('Final Term'!P49&gt;P$5,"OVER",
IF(AND(P$5&lt;=100,'Final Term'!P49&gt;100),"ERR",
IF(Info!$B$4="Non-board program",
IF(OR(AND(P$5&gt;0,P$5&gt;100),AND(P$5&gt;0,P$5&lt;100)),
VLOOKUP(FLOOR(('Final Term'!P49/P$5)*100,1),new_transmute,2,FALSE),
VLOOKUP('Final Term'!P49,new_transmute,2,FALSE)
),
IF(Info!$B$4="Board program",
IF(OR(AND(P$5&gt;0,P$5&gt;100),AND(P$5&gt;0,P$5&lt;100)),
VLOOKUP(FLOOR(('Final Term'!P49/P$5)*100,1),new_transmute,3,FALSE),
VLOOKUP('Final Term'!P49,new_transmute,3,FALSE)
),
IF(Info!$B$4="Board program (Medicine)",
IF(OR(AND(P$5&gt;0,P$5&gt;100),AND(P$5&gt;0,P$5&lt;100)),
VLOOKUP(FLOOR(('Final Term'!P49/P$5)*100,1),new_transmute,4,FALSE),
VLOOKUP('Final Term'!P49,new_transmute,4,FALSE)
),
""
)
)
)
)
)
)
)
)
))</f>
        <v/>
      </c>
      <c r="Q49" s="73" t="str">
        <f>IF($B49="","",
IF(Q$5="","",
IF('Final Term'!Q49="",0,
IF(NOT(ISNUMBER('Final Term'!Q49)),"NAN",
IF('Final Term'!Q49&lt;0,"NEG",
IF('Final Term'!Q49&gt;Q$5,"OVER",
IF(AND(Q$5&lt;=100,'Final Term'!Q49&gt;100),"ERR",
IF(Info!$B$4="Non-board program",
IF(OR(AND(Q$5&gt;0,Q$5&gt;100),AND(Q$5&gt;0,Q$5&lt;100)),
VLOOKUP(FLOOR(('Final Term'!Q49/Q$5)*100,1),new_transmute,2,FALSE),
VLOOKUP('Final Term'!Q49,new_transmute,2,FALSE)
),
IF(Info!$B$4="Board program",
IF(OR(AND(Q$5&gt;0,Q$5&gt;100),AND(Q$5&gt;0,Q$5&lt;100)),
VLOOKUP(FLOOR(('Final Term'!Q49/Q$5)*100,1),new_transmute,3,FALSE),
VLOOKUP('Final Term'!Q49,new_transmute,3,FALSE)
),
IF(Info!$B$4="Board program (Medicine)",
IF(OR(AND(Q$5&gt;0,Q$5&gt;100),AND(Q$5&gt;0,Q$5&lt;100)),
VLOOKUP(FLOOR(('Final Term'!Q49/Q$5)*100,1),new_transmute,4,FALSE),
VLOOKUP('Final Term'!Q49,new_transmute,4,FALSE)
),
""
)
)
)
)
)
)
)
)
))</f>
        <v/>
      </c>
      <c r="R49" s="73" t="str">
        <f>IF($B49="","",
IF(R$5="","",
IF('Final Term'!R49="",0,
IF(NOT(ISNUMBER('Final Term'!R49)),"NAN",
IF('Final Term'!R49&lt;0,"NEG",
IF('Final Term'!R49&gt;R$5,"OVER",
IF(AND(R$5&lt;=100,'Final Term'!R49&gt;100),"ERR",
IF(Info!$B$4="Non-board program",
IF(OR(AND(R$5&gt;0,R$5&gt;100),AND(R$5&gt;0,R$5&lt;100)),
VLOOKUP(FLOOR(('Final Term'!R49/R$5)*100,1),new_transmute,2,FALSE),
VLOOKUP('Final Term'!R49,new_transmute,2,FALSE)
),
IF(Info!$B$4="Board program",
IF(OR(AND(R$5&gt;0,R$5&gt;100),AND(R$5&gt;0,R$5&lt;100)),
VLOOKUP(FLOOR(('Final Term'!R49/R$5)*100,1),new_transmute,3,FALSE),
VLOOKUP('Final Term'!R49,new_transmute,3,FALSE)
),
IF(Info!$B$4="Board program (Medicine)",
IF(OR(AND(R$5&gt;0,R$5&gt;100),AND(R$5&gt;0,R$5&lt;100)),
VLOOKUP(FLOOR(('Final Term'!R49/R$5)*100,1),new_transmute,4,FALSE),
VLOOKUP('Final Term'!R49,new_transmute,4,FALSE)
),
""
)
)
)
)
)
)
)
)
))</f>
        <v/>
      </c>
      <c r="S49" s="115" t="str">
        <f t="shared" si="3"/>
        <v/>
      </c>
      <c r="T49" s="73" t="str">
        <f>IF($B49="","",
IF(T$5="","",
IF('Final Term'!T49="",0,
IF(NOT(ISNUMBER('Final Term'!T49)),"NAN",
IF('Final Term'!T49&lt;0,"NEG",
IF('Final Term'!T49&gt;T$5,"OVER",
IF(AND(T$5&lt;=100,'Final Term'!T49&gt;100),"ERR",
IF(Info!$B$4="Non-board program",
IF(OR(AND(T$5&gt;0,T$5&gt;100),AND(T$5&gt;0,T$5&lt;100)),
VLOOKUP(FLOOR(('Final Term'!T49/T$5)*100,1),new_transmute,2,FALSE),
VLOOKUP('Final Term'!T49,new_transmute,2,FALSE)
),
IF(Info!$B$4="Board program",
IF(OR(AND(T$5&gt;0,T$5&gt;100),AND(T$5&gt;0,T$5&lt;100)),
VLOOKUP(FLOOR(('Final Term'!T49/T$5)*100,1),new_transmute,3,FALSE),
VLOOKUP('Final Term'!T49,new_transmute,3,FALSE)
),
IF(Info!$B$4="Board program (Medicine)",
IF(OR(AND(T$5&gt;0,T$5&gt;100),AND(T$5&gt;0,T$5&lt;100)),
VLOOKUP(FLOOR(('Final Term'!T49/T$5)*100,1),new_transmute,4,FALSE),
VLOOKUP('Final Term'!T49,new_transmute,4,FALSE)
),
""
)
)
)
)
)
)
)
)
))</f>
        <v/>
      </c>
      <c r="U49" s="73" t="str">
        <f>IF($B49="","",
IF(U$5="","",
IF('Final Term'!U49="",0,
IF(NOT(ISNUMBER('Final Term'!U49)),"NAN",
IF('Final Term'!U49&lt;0,"NEG",
IF('Final Term'!U49&gt;U$5,"OVER",
IF(AND(U$5&lt;=100,'Final Term'!U49&gt;100),"ERR",
IF(Info!$B$4="Non-board program",
IF(OR(AND(U$5&gt;0,U$5&gt;100),AND(U$5&gt;0,U$5&lt;100)),
VLOOKUP(FLOOR(('Final Term'!U49/U$5)*100,1),new_transmute,2,FALSE),
VLOOKUP('Final Term'!U49,new_transmute,2,FALSE)
),
IF(Info!$B$4="Board program",
IF(OR(AND(U$5&gt;0,U$5&gt;100),AND(U$5&gt;0,U$5&lt;100)),
VLOOKUP(FLOOR(('Final Term'!U49/U$5)*100,1),new_transmute,3,FALSE),
VLOOKUP('Final Term'!U49,new_transmute,3,FALSE)
),
IF(Info!$B$4="Board program (Medicine)",
IF(OR(AND(U$5&gt;0,U$5&gt;100),AND(U$5&gt;0,U$5&lt;100)),
VLOOKUP(FLOOR(('Final Term'!U49/U$5)*100,1),new_transmute,4,FALSE),
VLOOKUP('Final Term'!U49,new_transmute,4,FALSE)
),
""
)
)
)
)
)
)
)
)
))</f>
        <v/>
      </c>
      <c r="V49" s="73" t="str">
        <f>IF($B49="","",
IF(V$5="","",
IF('Final Term'!V49="",0,
IF(NOT(ISNUMBER('Final Term'!V49)),"NAN",
IF('Final Term'!V49&lt;0,"NEG",
IF('Final Term'!V49&gt;V$5,"OVER",
IF(AND(V$5&lt;=100,'Final Term'!V49&gt;100),"ERR",
IF(Info!$B$4="Non-board program",
IF(OR(AND(V$5&gt;0,V$5&gt;100),AND(V$5&gt;0,V$5&lt;100)),
VLOOKUP(FLOOR(('Final Term'!V49/V$5)*100,1),new_transmute,2,FALSE),
VLOOKUP('Final Term'!V49,new_transmute,2,FALSE)
),
IF(Info!$B$4="Board program",
IF(OR(AND(V$5&gt;0,V$5&gt;100),AND(V$5&gt;0,V$5&lt;100)),
VLOOKUP(FLOOR(('Final Term'!V49/V$5)*100,1),new_transmute,3,FALSE),
VLOOKUP('Final Term'!V49,new_transmute,3,FALSE)
),
IF(Info!$B$4="Board program (Medicine)",
IF(OR(AND(V$5&gt;0,V$5&gt;100),AND(V$5&gt;0,V$5&lt;100)),
VLOOKUP(FLOOR(('Final Term'!V49/V$5)*100,1),new_transmute,4,FALSE),
VLOOKUP('Final Term'!V49,new_transmute,4,FALSE)
),
""
)
)
)
)
)
)
)
)
))</f>
        <v/>
      </c>
      <c r="W49" s="73" t="str">
        <f>IF($B49="","",
IF(W$5="","",
IF('Final Term'!W49="",0,
IF(NOT(ISNUMBER('Final Term'!W49)),"NAN",
IF('Final Term'!W49&lt;0,"NEG",
IF('Final Term'!W49&gt;W$5,"OVER",
IF(AND(W$5&lt;=100,'Final Term'!W49&gt;100),"ERR",
IF(Info!$B$4="Non-board program",
IF(OR(AND(W$5&gt;0,W$5&gt;100),AND(W$5&gt;0,W$5&lt;100)),
VLOOKUP(FLOOR(('Final Term'!W49/W$5)*100,1),new_transmute,2,FALSE),
VLOOKUP('Final Term'!W49,new_transmute,2,FALSE)
),
IF(Info!$B$4="Board program",
IF(OR(AND(W$5&gt;0,W$5&gt;100),AND(W$5&gt;0,W$5&lt;100)),
VLOOKUP(FLOOR(('Final Term'!W49/W$5)*100,1),new_transmute,3,FALSE),
VLOOKUP('Final Term'!W49,new_transmute,3,FALSE)
),
IF(Info!$B$4="Board program (Medicine)",
IF(OR(AND(W$5&gt;0,W$5&gt;100),AND(W$5&gt;0,W$5&lt;100)),
VLOOKUP(FLOOR(('Final Term'!W49/W$5)*100,1),new_transmute,4,FALSE),
VLOOKUP('Final Term'!W49,new_transmute,4,FALSE)
),
""
)
)
)
)
)
)
)
)
))</f>
        <v/>
      </c>
      <c r="X49" s="73" t="str">
        <f>IF($B49="","",
IF(X$5="","",
IF('Final Term'!X49="",0,
IF(NOT(ISNUMBER('Final Term'!X49)),"NAN",
IF('Final Term'!X49&lt;0,"NEG",
IF('Final Term'!X49&gt;X$5,"OVER",
IF(AND(X$5&lt;=100,'Final Term'!X49&gt;100),"ERR",
IF(Info!$B$4="Non-board program",
IF(OR(AND(X$5&gt;0,X$5&gt;100),AND(X$5&gt;0,X$5&lt;100)),
VLOOKUP(FLOOR(('Final Term'!X49/X$5)*100,1),new_transmute,2,FALSE),
VLOOKUP('Final Term'!X49,new_transmute,2,FALSE)
),
IF(Info!$B$4="Board program",
IF(OR(AND(X$5&gt;0,X$5&gt;100),AND(X$5&gt;0,X$5&lt;100)),
VLOOKUP(FLOOR(('Final Term'!X49/X$5)*100,1),new_transmute,3,FALSE),
VLOOKUP('Final Term'!X49,new_transmute,3,FALSE)
),
IF(Info!$B$4="Board program (Medicine)",
IF(OR(AND(X$5&gt;0,X$5&gt;100),AND(X$5&gt;0,X$5&lt;100)),
VLOOKUP(FLOOR(('Final Term'!X49/X$5)*100,1),new_transmute,4,FALSE),
VLOOKUP('Final Term'!X49,new_transmute,4,FALSE)
),
""
)
)
)
)
)
)
)
)
))</f>
        <v/>
      </c>
      <c r="Y49" s="112" t="str">
        <f t="shared" si="4"/>
        <v/>
      </c>
      <c r="Z49" s="73" t="str">
        <f>IF($B49="","",
IF(Z$5="","",
IF('Final Term'!Z49="",0,
IF(NOT(ISNUMBER('Final Term'!Z49)),"NAN",
IF('Final Term'!Z49&lt;0,"NEG",
IF('Final Term'!Z49&gt;Z$5,"OVER",
IF(AND(Z$5&lt;=100,'Final Term'!Z49&gt;100),"ERR",
IF(Info!$B$4="Non-board program",
IF(OR(AND(Z$5&gt;0,Z$5&gt;100),AND(Z$5&gt;0,Z$5&lt;100)),
VLOOKUP(FLOOR(('Final Term'!Z49/Z$5)*100,1),new_transmute,2,FALSE),
VLOOKUP('Final Term'!Z49,new_transmute,2,FALSE)
),
IF(Info!$B$4="Board program",
IF(OR(AND(Z$5&gt;0,Z$5&gt;100),AND(Z$5&gt;0,Z$5&lt;100)),
VLOOKUP(FLOOR(('Final Term'!Z49/Z$5)*100,1),new_transmute,3,FALSE),
VLOOKUP('Final Term'!Z49,new_transmute,3,FALSE)
),
IF(Info!$B$4="Board program (Medicine)",
IF(OR(AND(Z$5&gt;0,Z$5&gt;100),AND(Z$5&gt;0,Z$5&lt;100)),
VLOOKUP(FLOOR(('Final Term'!Z49/Z$5)*100,1),new_transmute,4,FALSE),
VLOOKUP('Final Term'!Z49,new_transmute,4,FALSE)
),
""
)
)
)
)
)
)
)
)
))</f>
        <v/>
      </c>
      <c r="AA49" s="73" t="str">
        <f>IF($B49="","",
IF(AA$5="","",
IF('Final Term'!AA49="",0,
IF(NOT(ISNUMBER('Final Term'!AA49)),"NAN",
IF('Final Term'!AA49&lt;0,"NEG",
IF('Final Term'!AA49&gt;AA$5,"OVER",
IF(AND(AA$5&lt;=100,'Final Term'!AA49&gt;100),"ERR",
IF(Info!$B$4="Non-board program",
IF(OR(AND(AA$5&gt;0,AA$5&gt;100),AND(AA$5&gt;0,AA$5&lt;100)),
VLOOKUP(FLOOR(('Final Term'!AA49/AA$5)*100,1),new_transmute,2,FALSE),
VLOOKUP('Final Term'!AA49,new_transmute,2,FALSE)
),
IF(Info!$B$4="Board program",
IF(OR(AND(AA$5&gt;0,AA$5&gt;100),AND(AA$5&gt;0,AA$5&lt;100)),
VLOOKUP(FLOOR(('Final Term'!AA49/AA$5)*100,1),new_transmute,3,FALSE),
VLOOKUP('Final Term'!AA49,new_transmute,3,FALSE)
),
IF(Info!$B$4="Board program (Medicine)",
IF(OR(AND(AA$5&gt;0,AA$5&gt;100),AND(AA$5&gt;0,AA$5&lt;100)),
VLOOKUP(FLOOR(('Final Term'!AA49/AA$5)*100,1),new_transmute,4,FALSE),
VLOOKUP('Final Term'!AA49,new_transmute,4,FALSE)
),
""
)
)
)
)
)
)
)
)
))</f>
        <v/>
      </c>
      <c r="AB49" s="73" t="str">
        <f>IF($B49="","",
IF(AB$5="","",
IF('Final Term'!AB49="",0,
IF(NOT(ISNUMBER('Final Term'!AB49)),"NAN",
IF('Final Term'!AB49&lt;0,"NEG",
IF('Final Term'!AB49&gt;AB$5,"OVER",
IF(AND(AB$5&lt;=100,'Final Term'!AB49&gt;100),"ERR",
IF(Info!$B$4="Non-board program",
IF(OR(AND(AB$5&gt;0,AB$5&gt;100),AND(AB$5&gt;0,AB$5&lt;100)),
VLOOKUP(FLOOR(('Final Term'!AB49/AB$5)*100,1),new_transmute,2,FALSE),
VLOOKUP('Final Term'!AB49,new_transmute,2,FALSE)
),
IF(Info!$B$4="Board program",
IF(OR(AND(AB$5&gt;0,AB$5&gt;100),AND(AB$5&gt;0,AB$5&lt;100)),
VLOOKUP(FLOOR(('Final Term'!AB49/AB$5)*100,1),new_transmute,3,FALSE),
VLOOKUP('Final Term'!AB49,new_transmute,3,FALSE)
),
IF(Info!$B$4="Board program (Medicine)",
IF(OR(AND(AB$5&gt;0,AB$5&gt;100),AND(AB$5&gt;0,AB$5&lt;100)),
VLOOKUP(FLOOR(('Final Term'!AB49/AB$5)*100,1),new_transmute,4,FALSE),
VLOOKUP('Final Term'!AB49,new_transmute,4,FALSE)
),
""
)
)
)
)
)
)
)
)
))</f>
        <v/>
      </c>
      <c r="AC49" s="73" t="str">
        <f>IF($B49="","",
IF(AC$5="","",
IF('Final Term'!AC49="",0,
IF(NOT(ISNUMBER('Final Term'!AC49)),"NAN",
IF('Final Term'!AC49&lt;0,"NEG",
IF('Final Term'!AC49&gt;AC$5,"OVER",
IF(AND(AC$5&lt;=100,'Final Term'!AC49&gt;100),"ERR",
IF(Info!$B$4="Non-board program",
IF(OR(AND(AC$5&gt;0,AC$5&gt;100),AND(AC$5&gt;0,AC$5&lt;100)),
VLOOKUP(FLOOR(('Final Term'!AC49/AC$5)*100,1),new_transmute,2,FALSE),
VLOOKUP('Final Term'!AC49,new_transmute,2,FALSE)
),
IF(Info!$B$4="Board program",
IF(OR(AND(AC$5&gt;0,AC$5&gt;100),AND(AC$5&gt;0,AC$5&lt;100)),
VLOOKUP(FLOOR(('Final Term'!AC49/AC$5)*100,1),new_transmute,3,FALSE),
VLOOKUP('Final Term'!AC49,new_transmute,3,FALSE)
),
IF(Info!$B$4="Board program (Medicine)",
IF(OR(AND(AC$5&gt;0,AC$5&gt;100),AND(AC$5&gt;0,AC$5&lt;100)),
VLOOKUP(FLOOR(('Final Term'!AC49/AC$5)*100,1),new_transmute,4,FALSE),
VLOOKUP('Final Term'!AC49,new_transmute,4,FALSE)
),
""
)
)
)
)
)
)
)
)
))</f>
        <v/>
      </c>
      <c r="AD49" s="73" t="str">
        <f>IF($B49="","",
IF(AD$5="","",
IF('Final Term'!AD49="",0,
IF(NOT(ISNUMBER('Final Term'!AD49)),"NAN",
IF('Final Term'!AD49&lt;0,"NEG",
IF('Final Term'!AD49&gt;AD$5,"OVER",
IF(AND(AD$5&lt;=100,'Final Term'!AD49&gt;100),"ERR",
IF(Info!$B$4="Non-board program",
IF(OR(AND(AD$5&gt;0,AD$5&gt;100),AND(AD$5&gt;0,AD$5&lt;100)),
VLOOKUP(FLOOR(('Final Term'!AD49/AD$5)*100,1),new_transmute,2,FALSE),
VLOOKUP('Final Term'!AD49,new_transmute,2,FALSE)
),
IF(Info!$B$4="Board program",
IF(OR(AND(AD$5&gt;0,AD$5&gt;100),AND(AD$5&gt;0,AD$5&lt;100)),
VLOOKUP(FLOOR(('Final Term'!AD49/AD$5)*100,1),new_transmute,3,FALSE),
VLOOKUP('Final Term'!AD49,new_transmute,3,FALSE)
),
IF(Info!$B$4="Board program (Medicine)",
IF(OR(AND(AD$5&gt;0,AD$5&gt;100),AND(AD$5&gt;0,AD$5&lt;100)),
VLOOKUP(FLOOR(('Final Term'!AD49/AD$5)*100,1),new_transmute,4,FALSE),
VLOOKUP('Final Term'!AD49,new_transmute,4,FALSE)
),
""
)
)
)
)
)
)
)
)
))</f>
        <v/>
      </c>
      <c r="AE49" s="58" t="str">
        <f t="shared" si="5"/>
        <v/>
      </c>
      <c r="AF49" s="73" t="str">
        <f>IF($B49="","",
IF(AF$5="","",
IF('Final Term'!AF49="",0,
IF(NOT(ISNUMBER('Final Term'!AF49)),"NAN",
IF('Final Term'!AF49&lt;0,"NEG",
IF('Final Term'!AF49&gt;AF$5,"OVER",
IF(AND(AF$5&lt;=100,'Final Term'!AF49&gt;100),"ERR",
IF(Info!$B$4="Non-board program",
IF(OR(AND(AF$5&gt;0,AF$5&gt;100),AND(AF$5&gt;0,AF$5&lt;100)),
VLOOKUP(FLOOR(('Final Term'!AF49/AF$5)*100,1),new_transmute,2,FALSE),
VLOOKUP('Final Term'!AF49,new_transmute,2,FALSE)
),
IF(Info!$B$4="Board program",
IF(OR(AND(AF$5&gt;0,AF$5&gt;100),AND(AF$5&gt;0,AF$5&lt;100)),
VLOOKUP(FLOOR(('Final Term'!AF49/AF$5)*100,1),new_transmute,3,FALSE),
VLOOKUP('Final Term'!AF49,new_transmute,3,FALSE)
),
IF(Info!$B$4="Board program (Medicine)",
IF(OR(AND(AF$5&gt;0,AF$5&gt;100),AND(AF$5&gt;0,AF$5&lt;100)),
VLOOKUP(FLOOR(('Final Term'!AF49/AF$5)*100,1),new_transmute,4,FALSE),
VLOOKUP('Final Term'!AF49,new_transmute,4,FALSE)
),
""
)
)
)
)
)
)
)
)
))</f>
        <v/>
      </c>
      <c r="AG49" s="73" t="str">
        <f>IF($B49="","",
IF(AG$5="","",
IF('Final Term'!AG49="",0,
IF(NOT(ISNUMBER('Final Term'!AG49)),"NAN",
IF('Final Term'!AG49&lt;0,"NEG",
IF('Final Term'!AG49&gt;AG$5,"OVER",
IF(AND(AG$5&lt;=100,'Final Term'!AG49&gt;100),"ERR",
IF(Info!$B$4="Non-board program",
IF(OR(AND(AG$5&gt;0,AG$5&gt;100),AND(AG$5&gt;0,AG$5&lt;100)),
VLOOKUP(FLOOR(('Final Term'!AG49/AG$5)*100,1),new_transmute,2,FALSE),
VLOOKUP('Final Term'!AG49,new_transmute,2,FALSE)
),
IF(Info!$B$4="Board program",
IF(OR(AND(AG$5&gt;0,AG$5&gt;100),AND(AG$5&gt;0,AG$5&lt;100)),
VLOOKUP(FLOOR(('Final Term'!AG49/AG$5)*100,1),new_transmute,3,FALSE),
VLOOKUP('Final Term'!AG49,new_transmute,3,FALSE)
),
IF(Info!$B$4="Board program (Medicine)",
IF(OR(AND(AG$5&gt;0,AG$5&gt;100),AND(AG$5&gt;0,AG$5&lt;100)),
VLOOKUP(FLOOR(('Final Term'!AG49/AG$5)*100,1),new_transmute,4,FALSE),
VLOOKUP('Final Term'!AG49,new_transmute,4,FALSE)
),
""
)
)
)
)
)
)
)
)
))</f>
        <v/>
      </c>
      <c r="AH49" s="73" t="str">
        <f>IF($B49="","",
IF(AH$5="","",
IF('Final Term'!AH49="",0,
IF(NOT(ISNUMBER('Final Term'!AH49)),"NAN",
IF('Final Term'!AH49&lt;0,"NEG",
IF('Final Term'!AH49&gt;AH$5,"OVER",
IF(AND(AH$5&lt;=100,'Final Term'!AH49&gt;100),"ERR",
IF(Info!$B$4="Non-board program",
IF(OR(AND(AH$5&gt;0,AH$5&gt;100),AND(AH$5&gt;0,AH$5&lt;100)),
VLOOKUP(FLOOR(('Final Term'!AH49/AH$5)*100,1),new_transmute,2,FALSE),
VLOOKUP('Final Term'!AH49,new_transmute,2,FALSE)
),
IF(Info!$B$4="Board program",
IF(OR(AND(AH$5&gt;0,AH$5&gt;100),AND(AH$5&gt;0,AH$5&lt;100)),
VLOOKUP(FLOOR(('Final Term'!AH49/AH$5)*100,1),new_transmute,3,FALSE),
VLOOKUP('Final Term'!AH49,new_transmute,3,FALSE)
),
IF(Info!$B$4="Board program (Medicine)",
IF(OR(AND(AH$5&gt;0,AH$5&gt;100),AND(AH$5&gt;0,AH$5&lt;100)),
VLOOKUP(FLOOR(('Final Term'!AH49/AH$5)*100,1),new_transmute,4,FALSE),
VLOOKUP('Final Term'!AH49,new_transmute,4,FALSE)
),
""
)
)
)
)
)
)
)
)
))</f>
        <v/>
      </c>
      <c r="AI49" s="73" t="str">
        <f>IF($B49="","",
IF(AI$5="","",
IF('Final Term'!AI49="",0,
IF(NOT(ISNUMBER('Final Term'!AI49)),"NAN",
IF('Final Term'!AI49&lt;0,"NEG",
IF('Final Term'!AI49&gt;AI$5,"OVER",
IF(AND(AI$5&lt;=100,'Final Term'!AI49&gt;100),"ERR",
IF(Info!$B$4="Non-board program",
IF(OR(AND(AI$5&gt;0,AI$5&gt;100),AND(AI$5&gt;0,AI$5&lt;100)),
VLOOKUP(FLOOR(('Final Term'!AI49/AI$5)*100,1),new_transmute,2,FALSE),
VLOOKUP('Final Term'!AI49,new_transmute,2,FALSE)
),
IF(Info!$B$4="Board program",
IF(OR(AND(AI$5&gt;0,AI$5&gt;100),AND(AI$5&gt;0,AI$5&lt;100)),
VLOOKUP(FLOOR(('Final Term'!AI49/AI$5)*100,1),new_transmute,3,FALSE),
VLOOKUP('Final Term'!AI49,new_transmute,3,FALSE)
),
IF(Info!$B$4="Board program (Medicine)",
IF(OR(AND(AI$5&gt;0,AI$5&gt;100),AND(AI$5&gt;0,AI$5&lt;100)),
VLOOKUP(FLOOR(('Final Term'!AI49/AI$5)*100,1),new_transmute,4,FALSE),
VLOOKUP('Final Term'!AI49,new_transmute,4,FALSE)
),
""
)
)
)
)
)
)
)
)
))</f>
        <v/>
      </c>
      <c r="AJ49" s="73" t="str">
        <f>IF($B49="","",
IF(AJ$5="","",
IF('Final Term'!AJ49="",0,
IF(NOT(ISNUMBER('Final Term'!AJ49)),"NAN",
IF('Final Term'!AJ49&lt;0,"NEG",
IF('Final Term'!AJ49&gt;AJ$5,"OVER",
IF(AND(AJ$5&lt;=100,'Final Term'!AJ49&gt;100),"ERR",
IF(Info!$B$4="Non-board program",
IF(OR(AND(AJ$5&gt;0,AJ$5&gt;100),AND(AJ$5&gt;0,AJ$5&lt;100)),
VLOOKUP(FLOOR(('Final Term'!AJ49/AJ$5)*100,1),new_transmute,2,FALSE),
VLOOKUP('Final Term'!AJ49,new_transmute,2,FALSE)
),
IF(Info!$B$4="Board program",
IF(OR(AND(AJ$5&gt;0,AJ$5&gt;100),AND(AJ$5&gt;0,AJ$5&lt;100)),
VLOOKUP(FLOOR(('Final Term'!AJ49/AJ$5)*100,1),new_transmute,3,FALSE),
VLOOKUP('Final Term'!AJ49,new_transmute,3,FALSE)
),
IF(Info!$B$4="Board program (Medicine)",
IF(OR(AND(AJ$5&gt;0,AJ$5&gt;100),AND(AJ$5&gt;0,AJ$5&lt;100)),
VLOOKUP(FLOOR(('Final Term'!AJ49/AJ$5)*100,1),new_transmute,4,FALSE),
VLOOKUP('Final Term'!AJ49,new_transmute,4,FALSE)
),
""
)
)
)
)
)
)
)
)
))</f>
        <v/>
      </c>
      <c r="AK49" s="59" t="str">
        <f t="shared" si="6"/>
        <v/>
      </c>
      <c r="AL49" s="60" t="str">
        <f>IF(B49="", "",
    IF(OR(M49="OVER", S49="OVER", Y49="OVER", AE49="OVER", AK49="OVER"),
        "OVER",
        IF(Info!$B$4="Non-board program",
            VLOOKUP(IFERROR(FLOOR(SUM((M49*$M$4), (S49*$S$4), (Y49*$Y$4), (AE49*$AE$4), (AK49*$AK$4)) * (100 / 60), 1), 0), new_transmute, 2, FALSE),
            IF(Info!$B$4="Board program",
                VLOOKUP(IFERROR(FLOOR(SUM((M49*$M$4), (S49*$S$4), (Y49*$Y$4), (AE49*$AE$4), (AK49*$AK$4)) * (100 / 60), 1), 0), new_transmute, 3, FALSE),
                IF(Info!$B$4="Board program (Medicine)",
                    VLOOKUP(IFERROR(FLOOR(SUM((M49*$M$4), (S49*$S$4), (Y49*$Y$4), (AE49*$AE$4), (AK49*$AK$4)) * (100 / 60), 1), 0), new_transmute, 4, FALSE),
                    ""
                )
            )
        )
    )
)</f>
        <v/>
      </c>
      <c r="AM49" s="73" t="str">
        <f>IF($B49="","",
IF(AM$5="","",
IF('Final Term'!AM49="",0,
IF(NOT(ISNUMBER('Final Term'!AM49)),"NAN",
IF('Final Term'!AM49&lt;0,"NEG",
IF('Final Term'!AM49&gt;AM$5,"OVER",
IF(AND(AM$5&lt;=100,'Final Term'!AM49&gt;100),"ERR",
IF(Info!$B$4="Non-board program",
IF(OR(AND(AM$5&gt;0,AM$5&gt;100),AND(AM$5&gt;0,AM$5&lt;100)),
VLOOKUP(FLOOR(('Final Term'!AM49/AM$5)*100,1),new_transmute,2,FALSE),
VLOOKUP('Final Term'!AM49,new_transmute,2,FALSE)
),
IF(Info!$B$4="Board program",
IF(OR(AND(AM$5&gt;0,AM$5&gt;100),AND(AM$5&gt;0,AM$5&lt;100)),
VLOOKUP(FLOOR(('Final Term'!AM49/AM$5)*100,1),new_transmute,3,FALSE),
VLOOKUP('Final Term'!AM49,new_transmute,3,FALSE)
),
IF(Info!$B$4="Board program (Medicine)",
IF(OR(AND(AM$5&gt;0,AM$5&gt;100),AND(AM$5&gt;0,AM$5&lt;100)),
VLOOKUP(FLOOR(('Final Term'!AM49/AM$5)*100,1),new_transmute,4,FALSE),
VLOOKUP('Final Term'!AM49,new_transmute,4,FALSE)
),
""
)
)
)
)
)
)
)
)
))</f>
        <v/>
      </c>
      <c r="AN49" s="73" t="str">
        <f>IF($B49="","",
IF(AN$5="","",
IF('Final Term'!AN49="",0,
IF(NOT(ISNUMBER('Final Term'!AN49)),"NAN",
IF('Final Term'!AN49&lt;0,"NEG",
IF('Final Term'!AN49&gt;AN$5,"OVER",
IF(AND(AN$5&lt;=100,'Final Term'!AN49&gt;100),"ERR",
IF(Info!$B$4="Non-board program",
IF(OR(AND(AN$5&gt;0,AN$5&gt;100),AND(AN$5&gt;0,AN$5&lt;100)),
VLOOKUP(FLOOR(('Final Term'!AN49/AN$5)*100,1),new_transmute,2,FALSE),
VLOOKUP('Final Term'!AN49,new_transmute,2,FALSE)
),
IF(Info!$B$4="Board program",
IF(OR(AND(AN$5&gt;0,AN$5&gt;100),AND(AN$5&gt;0,AN$5&lt;100)),
VLOOKUP(FLOOR(('Final Term'!AN49/AN$5)*100,1),new_transmute,3,FALSE),
VLOOKUP('Final Term'!AN49,new_transmute,3,FALSE)
),
IF(Info!$B$4="Board program (Medicine)",
IF(OR(AND(AN$5&gt;0,AN$5&gt;100),AND(AN$5&gt;0,AN$5&lt;100)),
VLOOKUP(FLOOR(('Final Term'!AN49/AN$5)*100,1),new_transmute,4,FALSE),
VLOOKUP('Final Term'!AN49,new_transmute,4,FALSE)
),
""
)
)
)
)
)
)
)
)
))</f>
        <v/>
      </c>
      <c r="AO49" s="73" t="str">
        <f>IF($B49="","",
IF(AO$5="","",
IF('Final Term'!AO49="",0,
IF(NOT(ISNUMBER('Final Term'!AO49)),"NAN",
IF('Final Term'!AO49&lt;0,"NEG",
IF('Final Term'!AO49&gt;AO$5,"OVER",
IF(AND(AO$5&lt;=100,'Final Term'!AO49&gt;100),"ERR",
IF(Info!$B$4="Non-board program",
IF(OR(AND(AO$5&gt;0,AO$5&gt;100),AND(AO$5&gt;0,AO$5&lt;100)),
VLOOKUP(FLOOR(('Final Term'!AO49/AO$5)*100,1),new_transmute,2,FALSE),
VLOOKUP('Final Term'!AO49,new_transmute,2,FALSE)
),
IF(Info!$B$4="Board program",
IF(OR(AND(AO$5&gt;0,AO$5&gt;100),AND(AO$5&gt;0,AO$5&lt;100)),
VLOOKUP(FLOOR(('Final Term'!AO49/AO$5)*100,1),new_transmute,3,FALSE),
VLOOKUP('Final Term'!AO49,new_transmute,3,FALSE)
),
IF(Info!$B$4="Board program (Medicine)",
IF(OR(AND(AO$5&gt;0,AO$5&gt;100),AND(AO$5&gt;0,AO$5&lt;100)),
VLOOKUP(FLOOR(('Final Term'!AO49/AO$5)*100,1),new_transmute,4,FALSE),
VLOOKUP('Final Term'!AO49,new_transmute,4,FALSE)
),
""
)
)
)
)
)
)
)
)
))</f>
        <v/>
      </c>
      <c r="AP49" s="73" t="str">
        <f>IF($B49="","",
IF(AP$5="","",
IF('Final Term'!AP49="",0,
IF(NOT(ISNUMBER('Final Term'!AP49)),"NAN",
IF('Final Term'!AP49&lt;0,"NEG",
IF('Final Term'!AP49&gt;AP$5,"OVER",
IF(AND(AP$5&lt;=100,'Final Term'!AP49&gt;100),"ERR",
IF(Info!$B$4="Non-board program",
IF(OR(AND(AP$5&gt;0,AP$5&gt;100),AND(AP$5&gt;0,AP$5&lt;100)),
VLOOKUP(FLOOR(('Final Term'!AP49/AP$5)*100,1),new_transmute,2,FALSE),
VLOOKUP('Final Term'!AP49,new_transmute,2,FALSE)
),
IF(Info!$B$4="Board program",
IF(OR(AND(AP$5&gt;0,AP$5&gt;100),AND(AP$5&gt;0,AP$5&lt;100)),
VLOOKUP(FLOOR(('Final Term'!AP49/AP$5)*100,1),new_transmute,3,FALSE),
VLOOKUP('Final Term'!AP49,new_transmute,3,FALSE)
),
IF(Info!$B$4="Board program (Medicine)",
IF(OR(AND(AP$5&gt;0,AP$5&gt;100),AND(AP$5&gt;0,AP$5&lt;100)),
VLOOKUP(FLOOR(('Final Term'!AP49/AP$5)*100,1),new_transmute,4,FALSE),
VLOOKUP('Final Term'!AP49,new_transmute,4,FALSE)
),
""
)
)
)
)
)
)
)
)
))</f>
        <v/>
      </c>
      <c r="AQ49" s="61" t="str">
        <f t="shared" si="7"/>
        <v/>
      </c>
      <c r="AR49" s="48" t="str">
        <f>IF('Final Term'!AR49="","",'Final Term'!AR49)</f>
        <v/>
      </c>
      <c r="AS49" s="165" t="str">
        <f t="shared" si="8"/>
        <v/>
      </c>
      <c r="AT49" s="14" t="str">
        <f t="shared" si="9"/>
        <v/>
      </c>
      <c r="AU49" s="13" t="str">
        <f>IF(B49="","",VLOOKUP(AT49,'New Grade Equivalent'!$B$3:$C$47,2,FALSE))</f>
        <v/>
      </c>
    </row>
    <row r="50" spans="1:47" x14ac:dyDescent="0.25">
      <c r="A50" s="8">
        <v>45</v>
      </c>
      <c r="B50" s="2" t="str">
        <f>IF('Student List'!C54="","",UPPER(LEFT('Student List'!C54,FIND(",",'Student List'!C54)-1)))</f>
        <v/>
      </c>
      <c r="C50" s="12" t="str">
        <f>IF('Student List'!C54="","",PROPER(MID('Student List'!C54, FIND(",", 'Student List'!C54) + 2, LEN('Student List'!C54) - FIND(",", 'Student List'!C54) - 1)))</f>
        <v/>
      </c>
      <c r="D50" s="127" t="str">
        <f>IF('Final Term'!D50="","",'Final Term'!D50)</f>
        <v/>
      </c>
      <c r="E50" s="8" t="str">
        <f>IF(MidCom!E50="FA", "FA",
    IF(MidCom!E50="DRP", "DRP",
        IF(MidCom!E50="WF", "WF",
            IF(D50="Yes", "INC",
               IF((SUM('MT Attendance'!AW48) / 3 + SUM('MT Attendance'!AY48) + SUM('FT Attendance'!AW48) / 3 + SUM('FT Attendance'!AY48)) &gt;= 0.2 * (SUMPRODUCT(--(ISTEXT('MT Attendance'!$C$2:$AU$2))) + SUMPRODUCT(--(ISTEXT('FT Attendance'!$C$2:$AU$2)))), "FA",
                   MidCom!E50
                )
            )
        )
    )
)</f>
        <v/>
      </c>
      <c r="F50" s="73" t="str">
        <f>IF($B50="","",
IF(F$5="","",
IF('Final Term'!F50="",0,
IF(NOT(ISNUMBER('Final Term'!F50)),"NAN",
IF('Final Term'!F50&lt;0,"NEG",
IF('Final Term'!F50&gt;F$5,"OVER",
IF(AND(F$5&lt;=100,'Final Term'!F50&gt;100),"ERR",
IF(Info!$B$4="Non-board program",
IF(OR(AND(F$5&gt;0,F$5&gt;100),AND(F$5&gt;0,F$5&lt;100)),
VLOOKUP(FLOOR(('Final Term'!F50/F$5)*100,1),new_transmute,2,FALSE),
VLOOKUP('Final Term'!F50,new_transmute,2,FALSE)
),
IF(Info!$B$4="Board program",
IF(OR(AND(F$5&gt;0,F$5&gt;100),AND(F$5&gt;0,F$5&lt;100)),
VLOOKUP(FLOOR(('Final Term'!F50/F$5)*100,1),new_transmute,3,FALSE),
VLOOKUP('Final Term'!F50,new_transmute,3,FALSE)
),
IF(Info!$B$4="Board program (Medicine)",
IF(OR(AND(F$5&gt;0,F$5&gt;100),AND(F$5&gt;0,F$5&lt;100)),
VLOOKUP(FLOOR(('Final Term'!F50/F$5)*100,1),new_transmute,4,FALSE),
VLOOKUP('Final Term'!F50,new_transmute,4,FALSE)
),
""
)
)
)
)
)
)
)
)
))</f>
        <v/>
      </c>
      <c r="G50" s="57" t="str">
        <f t="shared" si="1"/>
        <v/>
      </c>
      <c r="H50" s="73" t="str">
        <f>IF($B50="","",
IF(H$5="","",
IF('Final Term'!H50="",0,
IF(NOT(ISNUMBER('Final Term'!H50)),"NAN",
IF('Final Term'!H50&lt;0,"NEG",
IF('Final Term'!H50&gt;H$5,"OVER",
IF(AND(H$5&lt;=100,'Final Term'!H50&gt;100),"ERR",
IF(Info!$B$4="Non-board program",
IF(OR(AND(H$5&gt;0,H$5&gt;100),AND(H$5&gt;0,H$5&lt;100)),
VLOOKUP(FLOOR(('Final Term'!H50/H$5)*100,1),new_transmute,2,FALSE),
VLOOKUP('Final Term'!H50,new_transmute,2,FALSE)
),
IF(Info!$B$4="Board program",
IF(OR(AND(H$5&gt;0,H$5&gt;100),AND(H$5&gt;0,H$5&lt;100)),
VLOOKUP(FLOOR(('Final Term'!H50/H$5)*100,1),new_transmute,3,FALSE),
VLOOKUP('Final Term'!H50,new_transmute,3,FALSE)
),
IF(Info!$B$4="Board program (Medicine)",
IF(OR(AND(H$5&gt;0,H$5&gt;100),AND(H$5&gt;0,H$5&lt;100)),
VLOOKUP(FLOOR(('Final Term'!H50/H$5)*100,1),new_transmute,4,FALSE),
VLOOKUP('Final Term'!H50,new_transmute,4,FALSE)
),
""
)
)
)
)
)
)
)
)
))</f>
        <v/>
      </c>
      <c r="I50" s="73" t="str">
        <f>IF($B50="","",
IF(I$5="","",
IF('Final Term'!I50="",0,
IF(NOT(ISNUMBER('Final Term'!I50)),"NAN",
IF('Final Term'!I50&lt;0,"NEG",
IF('Final Term'!I50&gt;I$5,"OVER",
IF(AND(I$5&lt;=100,'Final Term'!I50&gt;100),"ERR",
IF(Info!$B$4="Non-board program",
IF(OR(AND(I$5&gt;0,I$5&gt;100),AND(I$5&gt;0,I$5&lt;100)),
VLOOKUP(FLOOR(('Final Term'!I50/I$5)*100,1),new_transmute,2,FALSE),
VLOOKUP('Final Term'!I50,new_transmute,2,FALSE)
),
IF(Info!$B$4="Board program",
IF(OR(AND(I$5&gt;0,I$5&gt;100),AND(I$5&gt;0,I$5&lt;100)),
VLOOKUP(FLOOR(('Final Term'!I50/I$5)*100,1),new_transmute,3,FALSE),
VLOOKUP('Final Term'!I50,new_transmute,3,FALSE)
),
IF(Info!$B$4="Board program (Medicine)",
IF(OR(AND(I$5&gt;0,I$5&gt;100),AND(I$5&gt;0,I$5&lt;100)),
VLOOKUP(FLOOR(('Final Term'!I50/I$5)*100,1),new_transmute,4,FALSE),
VLOOKUP('Final Term'!I50,new_transmute,4,FALSE)
),
""
)
)
)
)
)
)
)
)
))</f>
        <v/>
      </c>
      <c r="J50" s="73" t="str">
        <f>IF($B50="","",
IF(J$5="","",
IF('Final Term'!J50="",0,
IF(NOT(ISNUMBER('Final Term'!J50)),"NAN",
IF('Final Term'!J50&lt;0,"NEG",
IF('Final Term'!J50&gt;J$5,"OVER",
IF(AND(J$5&lt;=100,'Final Term'!J50&gt;100),"ERR",
IF(Info!$B$4="Non-board program",
IF(OR(AND(J$5&gt;0,J$5&gt;100),AND(J$5&gt;0,J$5&lt;100)),
VLOOKUP(FLOOR(('Final Term'!J50/J$5)*100,1),new_transmute,2,FALSE),
VLOOKUP('Final Term'!J50,new_transmute,2,FALSE)
),
IF(Info!$B$4="Board program",
IF(OR(AND(J$5&gt;0,J$5&gt;100),AND(J$5&gt;0,J$5&lt;100)),
VLOOKUP(FLOOR(('Final Term'!J50/J$5)*100,1),new_transmute,3,FALSE),
VLOOKUP('Final Term'!J50,new_transmute,3,FALSE)
),
IF(Info!$B$4="Board program (Medicine)",
IF(OR(AND(J$5&gt;0,J$5&gt;100),AND(J$5&gt;0,J$5&lt;100)),
VLOOKUP(FLOOR(('Final Term'!J50/J$5)*100,1),new_transmute,4,FALSE),
VLOOKUP('Final Term'!J50,new_transmute,4,FALSE)
),
""
)
)
)
)
)
)
)
)
))</f>
        <v/>
      </c>
      <c r="K50" s="73" t="str">
        <f>IF($B50="","",
IF(K$5="","",
IF('Final Term'!K50="",0,
IF(NOT(ISNUMBER('Final Term'!K50)),"NAN",
IF('Final Term'!K50&lt;0,"NEG",
IF('Final Term'!K50&gt;K$5,"OVER",
IF(AND(K$5&lt;=100,'Final Term'!K50&gt;100),"ERR",
IF(Info!$B$4="Non-board program",
IF(OR(AND(K$5&gt;0,K$5&gt;100),AND(K$5&gt;0,K$5&lt;100)),
VLOOKUP(FLOOR(('Final Term'!K50/K$5)*100,1),new_transmute,2,FALSE),
VLOOKUP('Final Term'!K50,new_transmute,2,FALSE)
),
IF(Info!$B$4="Board program",
IF(OR(AND(K$5&gt;0,K$5&gt;100),AND(K$5&gt;0,K$5&lt;100)),
VLOOKUP(FLOOR(('Final Term'!K50/K$5)*100,1),new_transmute,3,FALSE),
VLOOKUP('Final Term'!K50,new_transmute,3,FALSE)
),
IF(Info!$B$4="Board program (Medicine)",
IF(OR(AND(K$5&gt;0,K$5&gt;100),AND(K$5&gt;0,K$5&lt;100)),
VLOOKUP(FLOOR(('Final Term'!K50/K$5)*100,1),new_transmute,4,FALSE),
VLOOKUP('Final Term'!K50,new_transmute,4,FALSE)
),
""
)
)
)
)
)
)
)
)
))</f>
        <v/>
      </c>
      <c r="L50" s="73" t="str">
        <f>IF($B50="","",
IF(L$5="","",
IF('Final Term'!L50="",0,
IF(NOT(ISNUMBER('Final Term'!L50)),"NAN",
IF('Final Term'!L50&lt;0,"NEG",
IF('Final Term'!L50&gt;L$5,"OVER",
IF(AND(L$5&lt;=100,'Final Term'!L50&gt;100),"ERR",
IF(Info!$B$4="Non-board program",
IF(OR(AND(L$5&gt;0,L$5&gt;100),AND(L$5&gt;0,L$5&lt;100)),
VLOOKUP(FLOOR(('Final Term'!L50/L$5)*100,1),new_transmute,2,FALSE),
VLOOKUP('Final Term'!L50,new_transmute,2,FALSE)
),
IF(Info!$B$4="Board program",
IF(OR(AND(L$5&gt;0,L$5&gt;100),AND(L$5&gt;0,L$5&lt;100)),
VLOOKUP(FLOOR(('Final Term'!L50/L$5)*100,1),new_transmute,3,FALSE),
VLOOKUP('Final Term'!L50,new_transmute,3,FALSE)
),
IF(Info!$B$4="Board program (Medicine)",
IF(OR(AND(L$5&gt;0,L$5&gt;100),AND(L$5&gt;0,L$5&lt;100)),
VLOOKUP(FLOOR(('Final Term'!L50/L$5)*100,1),new_transmute,4,FALSE),
VLOOKUP('Final Term'!L50,new_transmute,4,FALSE)
),
""
)
)
)
)
)
)
)
)
))</f>
        <v/>
      </c>
      <c r="M50" s="111" t="str">
        <f t="shared" si="2"/>
        <v/>
      </c>
      <c r="N50" s="73" t="str">
        <f>IF($B50="","",
IF(N$5="","",
IF('Final Term'!N50="",0,
IF(NOT(ISNUMBER('Final Term'!N50)),"NAN",
IF('Final Term'!N50&lt;0,"NEG",
IF('Final Term'!N50&gt;N$5,"OVER",
IF(AND(N$5&lt;=100,'Final Term'!N50&gt;100),"ERR",
IF(Info!$B$4="Non-board program",
IF(OR(AND(N$5&gt;0,N$5&gt;100),AND(N$5&gt;0,N$5&lt;100)),
VLOOKUP(FLOOR(('Final Term'!N50/N$5)*100,1),new_transmute,2,FALSE),
VLOOKUP('Final Term'!N50,new_transmute,2,FALSE)
),
IF(Info!$B$4="Board program",
IF(OR(AND(N$5&gt;0,N$5&gt;100),AND(N$5&gt;0,N$5&lt;100)),
VLOOKUP(FLOOR(('Final Term'!N50/N$5)*100,1),new_transmute,3,FALSE),
VLOOKUP('Final Term'!N50,new_transmute,3,FALSE)
),
IF(Info!$B$4="Board program (Medicine)",
IF(OR(AND(N$5&gt;0,N$5&gt;100),AND(N$5&gt;0,N$5&lt;100)),
VLOOKUP(FLOOR(('Final Term'!N50/N$5)*100,1),new_transmute,4,FALSE),
VLOOKUP('Final Term'!N50,new_transmute,4,FALSE)
),
""
)
)
)
)
)
)
)
)
))</f>
        <v/>
      </c>
      <c r="O50" s="73" t="str">
        <f>IF($B50="","",
IF(O$5="","",
IF('Final Term'!O50="",0,
IF(NOT(ISNUMBER('Final Term'!O50)),"NAN",
IF('Final Term'!O50&lt;0,"NEG",
IF('Final Term'!O50&gt;O$5,"OVER",
IF(AND(O$5&lt;=100,'Final Term'!O50&gt;100),"ERR",
IF(Info!$B$4="Non-board program",
IF(OR(AND(O$5&gt;0,O$5&gt;100),AND(O$5&gt;0,O$5&lt;100)),
VLOOKUP(FLOOR(('Final Term'!O50/O$5)*100,1),new_transmute,2,FALSE),
VLOOKUP('Final Term'!O50,new_transmute,2,FALSE)
),
IF(Info!$B$4="Board program",
IF(OR(AND(O$5&gt;0,O$5&gt;100),AND(O$5&gt;0,O$5&lt;100)),
VLOOKUP(FLOOR(('Final Term'!O50/O$5)*100,1),new_transmute,3,FALSE),
VLOOKUP('Final Term'!O50,new_transmute,3,FALSE)
),
IF(Info!$B$4="Board program (Medicine)",
IF(OR(AND(O$5&gt;0,O$5&gt;100),AND(O$5&gt;0,O$5&lt;100)),
VLOOKUP(FLOOR(('Final Term'!O50/O$5)*100,1),new_transmute,4,FALSE),
VLOOKUP('Final Term'!O50,new_transmute,4,FALSE)
),
""
)
)
)
)
)
)
)
)
))</f>
        <v/>
      </c>
      <c r="P50" s="73" t="str">
        <f>IF($B50="","",
IF(P$5="","",
IF('Final Term'!P50="",0,
IF(NOT(ISNUMBER('Final Term'!P50)),"NAN",
IF('Final Term'!P50&lt;0,"NEG",
IF('Final Term'!P50&gt;P$5,"OVER",
IF(AND(P$5&lt;=100,'Final Term'!P50&gt;100),"ERR",
IF(Info!$B$4="Non-board program",
IF(OR(AND(P$5&gt;0,P$5&gt;100),AND(P$5&gt;0,P$5&lt;100)),
VLOOKUP(FLOOR(('Final Term'!P50/P$5)*100,1),new_transmute,2,FALSE),
VLOOKUP('Final Term'!P50,new_transmute,2,FALSE)
),
IF(Info!$B$4="Board program",
IF(OR(AND(P$5&gt;0,P$5&gt;100),AND(P$5&gt;0,P$5&lt;100)),
VLOOKUP(FLOOR(('Final Term'!P50/P$5)*100,1),new_transmute,3,FALSE),
VLOOKUP('Final Term'!P50,new_transmute,3,FALSE)
),
IF(Info!$B$4="Board program (Medicine)",
IF(OR(AND(P$5&gt;0,P$5&gt;100),AND(P$5&gt;0,P$5&lt;100)),
VLOOKUP(FLOOR(('Final Term'!P50/P$5)*100,1),new_transmute,4,FALSE),
VLOOKUP('Final Term'!P50,new_transmute,4,FALSE)
),
""
)
)
)
)
)
)
)
)
))</f>
        <v/>
      </c>
      <c r="Q50" s="73" t="str">
        <f>IF($B50="","",
IF(Q$5="","",
IF('Final Term'!Q50="",0,
IF(NOT(ISNUMBER('Final Term'!Q50)),"NAN",
IF('Final Term'!Q50&lt;0,"NEG",
IF('Final Term'!Q50&gt;Q$5,"OVER",
IF(AND(Q$5&lt;=100,'Final Term'!Q50&gt;100),"ERR",
IF(Info!$B$4="Non-board program",
IF(OR(AND(Q$5&gt;0,Q$5&gt;100),AND(Q$5&gt;0,Q$5&lt;100)),
VLOOKUP(FLOOR(('Final Term'!Q50/Q$5)*100,1),new_transmute,2,FALSE),
VLOOKUP('Final Term'!Q50,new_transmute,2,FALSE)
),
IF(Info!$B$4="Board program",
IF(OR(AND(Q$5&gt;0,Q$5&gt;100),AND(Q$5&gt;0,Q$5&lt;100)),
VLOOKUP(FLOOR(('Final Term'!Q50/Q$5)*100,1),new_transmute,3,FALSE),
VLOOKUP('Final Term'!Q50,new_transmute,3,FALSE)
),
IF(Info!$B$4="Board program (Medicine)",
IF(OR(AND(Q$5&gt;0,Q$5&gt;100),AND(Q$5&gt;0,Q$5&lt;100)),
VLOOKUP(FLOOR(('Final Term'!Q50/Q$5)*100,1),new_transmute,4,FALSE),
VLOOKUP('Final Term'!Q50,new_transmute,4,FALSE)
),
""
)
)
)
)
)
)
)
)
))</f>
        <v/>
      </c>
      <c r="R50" s="73" t="str">
        <f>IF($B50="","",
IF(R$5="","",
IF('Final Term'!R50="",0,
IF(NOT(ISNUMBER('Final Term'!R50)),"NAN",
IF('Final Term'!R50&lt;0,"NEG",
IF('Final Term'!R50&gt;R$5,"OVER",
IF(AND(R$5&lt;=100,'Final Term'!R50&gt;100),"ERR",
IF(Info!$B$4="Non-board program",
IF(OR(AND(R$5&gt;0,R$5&gt;100),AND(R$5&gt;0,R$5&lt;100)),
VLOOKUP(FLOOR(('Final Term'!R50/R$5)*100,1),new_transmute,2,FALSE),
VLOOKUP('Final Term'!R50,new_transmute,2,FALSE)
),
IF(Info!$B$4="Board program",
IF(OR(AND(R$5&gt;0,R$5&gt;100),AND(R$5&gt;0,R$5&lt;100)),
VLOOKUP(FLOOR(('Final Term'!R50/R$5)*100,1),new_transmute,3,FALSE),
VLOOKUP('Final Term'!R50,new_transmute,3,FALSE)
),
IF(Info!$B$4="Board program (Medicine)",
IF(OR(AND(R$5&gt;0,R$5&gt;100),AND(R$5&gt;0,R$5&lt;100)),
VLOOKUP(FLOOR(('Final Term'!R50/R$5)*100,1),new_transmute,4,FALSE),
VLOOKUP('Final Term'!R50,new_transmute,4,FALSE)
),
""
)
)
)
)
)
)
)
)
))</f>
        <v/>
      </c>
      <c r="S50" s="115" t="str">
        <f t="shared" si="3"/>
        <v/>
      </c>
      <c r="T50" s="73" t="str">
        <f>IF($B50="","",
IF(T$5="","",
IF('Final Term'!T50="",0,
IF(NOT(ISNUMBER('Final Term'!T50)),"NAN",
IF('Final Term'!T50&lt;0,"NEG",
IF('Final Term'!T50&gt;T$5,"OVER",
IF(AND(T$5&lt;=100,'Final Term'!T50&gt;100),"ERR",
IF(Info!$B$4="Non-board program",
IF(OR(AND(T$5&gt;0,T$5&gt;100),AND(T$5&gt;0,T$5&lt;100)),
VLOOKUP(FLOOR(('Final Term'!T50/T$5)*100,1),new_transmute,2,FALSE),
VLOOKUP('Final Term'!T50,new_transmute,2,FALSE)
),
IF(Info!$B$4="Board program",
IF(OR(AND(T$5&gt;0,T$5&gt;100),AND(T$5&gt;0,T$5&lt;100)),
VLOOKUP(FLOOR(('Final Term'!T50/T$5)*100,1),new_transmute,3,FALSE),
VLOOKUP('Final Term'!T50,new_transmute,3,FALSE)
),
IF(Info!$B$4="Board program (Medicine)",
IF(OR(AND(T$5&gt;0,T$5&gt;100),AND(T$5&gt;0,T$5&lt;100)),
VLOOKUP(FLOOR(('Final Term'!T50/T$5)*100,1),new_transmute,4,FALSE),
VLOOKUP('Final Term'!T50,new_transmute,4,FALSE)
),
""
)
)
)
)
)
)
)
)
))</f>
        <v/>
      </c>
      <c r="U50" s="73" t="str">
        <f>IF($B50="","",
IF(U$5="","",
IF('Final Term'!U50="",0,
IF(NOT(ISNUMBER('Final Term'!U50)),"NAN",
IF('Final Term'!U50&lt;0,"NEG",
IF('Final Term'!U50&gt;U$5,"OVER",
IF(AND(U$5&lt;=100,'Final Term'!U50&gt;100),"ERR",
IF(Info!$B$4="Non-board program",
IF(OR(AND(U$5&gt;0,U$5&gt;100),AND(U$5&gt;0,U$5&lt;100)),
VLOOKUP(FLOOR(('Final Term'!U50/U$5)*100,1),new_transmute,2,FALSE),
VLOOKUP('Final Term'!U50,new_transmute,2,FALSE)
),
IF(Info!$B$4="Board program",
IF(OR(AND(U$5&gt;0,U$5&gt;100),AND(U$5&gt;0,U$5&lt;100)),
VLOOKUP(FLOOR(('Final Term'!U50/U$5)*100,1),new_transmute,3,FALSE),
VLOOKUP('Final Term'!U50,new_transmute,3,FALSE)
),
IF(Info!$B$4="Board program (Medicine)",
IF(OR(AND(U$5&gt;0,U$5&gt;100),AND(U$5&gt;0,U$5&lt;100)),
VLOOKUP(FLOOR(('Final Term'!U50/U$5)*100,1),new_transmute,4,FALSE),
VLOOKUP('Final Term'!U50,new_transmute,4,FALSE)
),
""
)
)
)
)
)
)
)
)
))</f>
        <v/>
      </c>
      <c r="V50" s="73" t="str">
        <f>IF($B50="","",
IF(V$5="","",
IF('Final Term'!V50="",0,
IF(NOT(ISNUMBER('Final Term'!V50)),"NAN",
IF('Final Term'!V50&lt;0,"NEG",
IF('Final Term'!V50&gt;V$5,"OVER",
IF(AND(V$5&lt;=100,'Final Term'!V50&gt;100),"ERR",
IF(Info!$B$4="Non-board program",
IF(OR(AND(V$5&gt;0,V$5&gt;100),AND(V$5&gt;0,V$5&lt;100)),
VLOOKUP(FLOOR(('Final Term'!V50/V$5)*100,1),new_transmute,2,FALSE),
VLOOKUP('Final Term'!V50,new_transmute,2,FALSE)
),
IF(Info!$B$4="Board program",
IF(OR(AND(V$5&gt;0,V$5&gt;100),AND(V$5&gt;0,V$5&lt;100)),
VLOOKUP(FLOOR(('Final Term'!V50/V$5)*100,1),new_transmute,3,FALSE),
VLOOKUP('Final Term'!V50,new_transmute,3,FALSE)
),
IF(Info!$B$4="Board program (Medicine)",
IF(OR(AND(V$5&gt;0,V$5&gt;100),AND(V$5&gt;0,V$5&lt;100)),
VLOOKUP(FLOOR(('Final Term'!V50/V$5)*100,1),new_transmute,4,FALSE),
VLOOKUP('Final Term'!V50,new_transmute,4,FALSE)
),
""
)
)
)
)
)
)
)
)
))</f>
        <v/>
      </c>
      <c r="W50" s="73" t="str">
        <f>IF($B50="","",
IF(W$5="","",
IF('Final Term'!W50="",0,
IF(NOT(ISNUMBER('Final Term'!W50)),"NAN",
IF('Final Term'!W50&lt;0,"NEG",
IF('Final Term'!W50&gt;W$5,"OVER",
IF(AND(W$5&lt;=100,'Final Term'!W50&gt;100),"ERR",
IF(Info!$B$4="Non-board program",
IF(OR(AND(W$5&gt;0,W$5&gt;100),AND(W$5&gt;0,W$5&lt;100)),
VLOOKUP(FLOOR(('Final Term'!W50/W$5)*100,1),new_transmute,2,FALSE),
VLOOKUP('Final Term'!W50,new_transmute,2,FALSE)
),
IF(Info!$B$4="Board program",
IF(OR(AND(W$5&gt;0,W$5&gt;100),AND(W$5&gt;0,W$5&lt;100)),
VLOOKUP(FLOOR(('Final Term'!W50/W$5)*100,1),new_transmute,3,FALSE),
VLOOKUP('Final Term'!W50,new_transmute,3,FALSE)
),
IF(Info!$B$4="Board program (Medicine)",
IF(OR(AND(W$5&gt;0,W$5&gt;100),AND(W$5&gt;0,W$5&lt;100)),
VLOOKUP(FLOOR(('Final Term'!W50/W$5)*100,1),new_transmute,4,FALSE),
VLOOKUP('Final Term'!W50,new_transmute,4,FALSE)
),
""
)
)
)
)
)
)
)
)
))</f>
        <v/>
      </c>
      <c r="X50" s="73" t="str">
        <f>IF($B50="","",
IF(X$5="","",
IF('Final Term'!X50="",0,
IF(NOT(ISNUMBER('Final Term'!X50)),"NAN",
IF('Final Term'!X50&lt;0,"NEG",
IF('Final Term'!X50&gt;X$5,"OVER",
IF(AND(X$5&lt;=100,'Final Term'!X50&gt;100),"ERR",
IF(Info!$B$4="Non-board program",
IF(OR(AND(X$5&gt;0,X$5&gt;100),AND(X$5&gt;0,X$5&lt;100)),
VLOOKUP(FLOOR(('Final Term'!X50/X$5)*100,1),new_transmute,2,FALSE),
VLOOKUP('Final Term'!X50,new_transmute,2,FALSE)
),
IF(Info!$B$4="Board program",
IF(OR(AND(X$5&gt;0,X$5&gt;100),AND(X$5&gt;0,X$5&lt;100)),
VLOOKUP(FLOOR(('Final Term'!X50/X$5)*100,1),new_transmute,3,FALSE),
VLOOKUP('Final Term'!X50,new_transmute,3,FALSE)
),
IF(Info!$B$4="Board program (Medicine)",
IF(OR(AND(X$5&gt;0,X$5&gt;100),AND(X$5&gt;0,X$5&lt;100)),
VLOOKUP(FLOOR(('Final Term'!X50/X$5)*100,1),new_transmute,4,FALSE),
VLOOKUP('Final Term'!X50,new_transmute,4,FALSE)
),
""
)
)
)
)
)
)
)
)
))</f>
        <v/>
      </c>
      <c r="Y50" s="112" t="str">
        <f t="shared" si="4"/>
        <v/>
      </c>
      <c r="Z50" s="73" t="str">
        <f>IF($B50="","",
IF(Z$5="","",
IF('Final Term'!Z50="",0,
IF(NOT(ISNUMBER('Final Term'!Z50)),"NAN",
IF('Final Term'!Z50&lt;0,"NEG",
IF('Final Term'!Z50&gt;Z$5,"OVER",
IF(AND(Z$5&lt;=100,'Final Term'!Z50&gt;100),"ERR",
IF(Info!$B$4="Non-board program",
IF(OR(AND(Z$5&gt;0,Z$5&gt;100),AND(Z$5&gt;0,Z$5&lt;100)),
VLOOKUP(FLOOR(('Final Term'!Z50/Z$5)*100,1),new_transmute,2,FALSE),
VLOOKUP('Final Term'!Z50,new_transmute,2,FALSE)
),
IF(Info!$B$4="Board program",
IF(OR(AND(Z$5&gt;0,Z$5&gt;100),AND(Z$5&gt;0,Z$5&lt;100)),
VLOOKUP(FLOOR(('Final Term'!Z50/Z$5)*100,1),new_transmute,3,FALSE),
VLOOKUP('Final Term'!Z50,new_transmute,3,FALSE)
),
IF(Info!$B$4="Board program (Medicine)",
IF(OR(AND(Z$5&gt;0,Z$5&gt;100),AND(Z$5&gt;0,Z$5&lt;100)),
VLOOKUP(FLOOR(('Final Term'!Z50/Z$5)*100,1),new_transmute,4,FALSE),
VLOOKUP('Final Term'!Z50,new_transmute,4,FALSE)
),
""
)
)
)
)
)
)
)
)
))</f>
        <v/>
      </c>
      <c r="AA50" s="73" t="str">
        <f>IF($B50="","",
IF(AA$5="","",
IF('Final Term'!AA50="",0,
IF(NOT(ISNUMBER('Final Term'!AA50)),"NAN",
IF('Final Term'!AA50&lt;0,"NEG",
IF('Final Term'!AA50&gt;AA$5,"OVER",
IF(AND(AA$5&lt;=100,'Final Term'!AA50&gt;100),"ERR",
IF(Info!$B$4="Non-board program",
IF(OR(AND(AA$5&gt;0,AA$5&gt;100),AND(AA$5&gt;0,AA$5&lt;100)),
VLOOKUP(FLOOR(('Final Term'!AA50/AA$5)*100,1),new_transmute,2,FALSE),
VLOOKUP('Final Term'!AA50,new_transmute,2,FALSE)
),
IF(Info!$B$4="Board program",
IF(OR(AND(AA$5&gt;0,AA$5&gt;100),AND(AA$5&gt;0,AA$5&lt;100)),
VLOOKUP(FLOOR(('Final Term'!AA50/AA$5)*100,1),new_transmute,3,FALSE),
VLOOKUP('Final Term'!AA50,new_transmute,3,FALSE)
),
IF(Info!$B$4="Board program (Medicine)",
IF(OR(AND(AA$5&gt;0,AA$5&gt;100),AND(AA$5&gt;0,AA$5&lt;100)),
VLOOKUP(FLOOR(('Final Term'!AA50/AA$5)*100,1),new_transmute,4,FALSE),
VLOOKUP('Final Term'!AA50,new_transmute,4,FALSE)
),
""
)
)
)
)
)
)
)
)
))</f>
        <v/>
      </c>
      <c r="AB50" s="73" t="str">
        <f>IF($B50="","",
IF(AB$5="","",
IF('Final Term'!AB50="",0,
IF(NOT(ISNUMBER('Final Term'!AB50)),"NAN",
IF('Final Term'!AB50&lt;0,"NEG",
IF('Final Term'!AB50&gt;AB$5,"OVER",
IF(AND(AB$5&lt;=100,'Final Term'!AB50&gt;100),"ERR",
IF(Info!$B$4="Non-board program",
IF(OR(AND(AB$5&gt;0,AB$5&gt;100),AND(AB$5&gt;0,AB$5&lt;100)),
VLOOKUP(FLOOR(('Final Term'!AB50/AB$5)*100,1),new_transmute,2,FALSE),
VLOOKUP('Final Term'!AB50,new_transmute,2,FALSE)
),
IF(Info!$B$4="Board program",
IF(OR(AND(AB$5&gt;0,AB$5&gt;100),AND(AB$5&gt;0,AB$5&lt;100)),
VLOOKUP(FLOOR(('Final Term'!AB50/AB$5)*100,1),new_transmute,3,FALSE),
VLOOKUP('Final Term'!AB50,new_transmute,3,FALSE)
),
IF(Info!$B$4="Board program (Medicine)",
IF(OR(AND(AB$5&gt;0,AB$5&gt;100),AND(AB$5&gt;0,AB$5&lt;100)),
VLOOKUP(FLOOR(('Final Term'!AB50/AB$5)*100,1),new_transmute,4,FALSE),
VLOOKUP('Final Term'!AB50,new_transmute,4,FALSE)
),
""
)
)
)
)
)
)
)
)
))</f>
        <v/>
      </c>
      <c r="AC50" s="73" t="str">
        <f>IF($B50="","",
IF(AC$5="","",
IF('Final Term'!AC50="",0,
IF(NOT(ISNUMBER('Final Term'!AC50)),"NAN",
IF('Final Term'!AC50&lt;0,"NEG",
IF('Final Term'!AC50&gt;AC$5,"OVER",
IF(AND(AC$5&lt;=100,'Final Term'!AC50&gt;100),"ERR",
IF(Info!$B$4="Non-board program",
IF(OR(AND(AC$5&gt;0,AC$5&gt;100),AND(AC$5&gt;0,AC$5&lt;100)),
VLOOKUP(FLOOR(('Final Term'!AC50/AC$5)*100,1),new_transmute,2,FALSE),
VLOOKUP('Final Term'!AC50,new_transmute,2,FALSE)
),
IF(Info!$B$4="Board program",
IF(OR(AND(AC$5&gt;0,AC$5&gt;100),AND(AC$5&gt;0,AC$5&lt;100)),
VLOOKUP(FLOOR(('Final Term'!AC50/AC$5)*100,1),new_transmute,3,FALSE),
VLOOKUP('Final Term'!AC50,new_transmute,3,FALSE)
),
IF(Info!$B$4="Board program (Medicine)",
IF(OR(AND(AC$5&gt;0,AC$5&gt;100),AND(AC$5&gt;0,AC$5&lt;100)),
VLOOKUP(FLOOR(('Final Term'!AC50/AC$5)*100,1),new_transmute,4,FALSE),
VLOOKUP('Final Term'!AC50,new_transmute,4,FALSE)
),
""
)
)
)
)
)
)
)
)
))</f>
        <v/>
      </c>
      <c r="AD50" s="73" t="str">
        <f>IF($B50="","",
IF(AD$5="","",
IF('Final Term'!AD50="",0,
IF(NOT(ISNUMBER('Final Term'!AD50)),"NAN",
IF('Final Term'!AD50&lt;0,"NEG",
IF('Final Term'!AD50&gt;AD$5,"OVER",
IF(AND(AD$5&lt;=100,'Final Term'!AD50&gt;100),"ERR",
IF(Info!$B$4="Non-board program",
IF(OR(AND(AD$5&gt;0,AD$5&gt;100),AND(AD$5&gt;0,AD$5&lt;100)),
VLOOKUP(FLOOR(('Final Term'!AD50/AD$5)*100,1),new_transmute,2,FALSE),
VLOOKUP('Final Term'!AD50,new_transmute,2,FALSE)
),
IF(Info!$B$4="Board program",
IF(OR(AND(AD$5&gt;0,AD$5&gt;100),AND(AD$5&gt;0,AD$5&lt;100)),
VLOOKUP(FLOOR(('Final Term'!AD50/AD$5)*100,1),new_transmute,3,FALSE),
VLOOKUP('Final Term'!AD50,new_transmute,3,FALSE)
),
IF(Info!$B$4="Board program (Medicine)",
IF(OR(AND(AD$5&gt;0,AD$5&gt;100),AND(AD$5&gt;0,AD$5&lt;100)),
VLOOKUP(FLOOR(('Final Term'!AD50/AD$5)*100,1),new_transmute,4,FALSE),
VLOOKUP('Final Term'!AD50,new_transmute,4,FALSE)
),
""
)
)
)
)
)
)
)
)
))</f>
        <v/>
      </c>
      <c r="AE50" s="58" t="str">
        <f t="shared" si="5"/>
        <v/>
      </c>
      <c r="AF50" s="73" t="str">
        <f>IF($B50="","",
IF(AF$5="","",
IF('Final Term'!AF50="",0,
IF(NOT(ISNUMBER('Final Term'!AF50)),"NAN",
IF('Final Term'!AF50&lt;0,"NEG",
IF('Final Term'!AF50&gt;AF$5,"OVER",
IF(AND(AF$5&lt;=100,'Final Term'!AF50&gt;100),"ERR",
IF(Info!$B$4="Non-board program",
IF(OR(AND(AF$5&gt;0,AF$5&gt;100),AND(AF$5&gt;0,AF$5&lt;100)),
VLOOKUP(FLOOR(('Final Term'!AF50/AF$5)*100,1),new_transmute,2,FALSE),
VLOOKUP('Final Term'!AF50,new_transmute,2,FALSE)
),
IF(Info!$B$4="Board program",
IF(OR(AND(AF$5&gt;0,AF$5&gt;100),AND(AF$5&gt;0,AF$5&lt;100)),
VLOOKUP(FLOOR(('Final Term'!AF50/AF$5)*100,1),new_transmute,3,FALSE),
VLOOKUP('Final Term'!AF50,new_transmute,3,FALSE)
),
IF(Info!$B$4="Board program (Medicine)",
IF(OR(AND(AF$5&gt;0,AF$5&gt;100),AND(AF$5&gt;0,AF$5&lt;100)),
VLOOKUP(FLOOR(('Final Term'!AF50/AF$5)*100,1),new_transmute,4,FALSE),
VLOOKUP('Final Term'!AF50,new_transmute,4,FALSE)
),
""
)
)
)
)
)
)
)
)
))</f>
        <v/>
      </c>
      <c r="AG50" s="73" t="str">
        <f>IF($B50="","",
IF(AG$5="","",
IF('Final Term'!AG50="",0,
IF(NOT(ISNUMBER('Final Term'!AG50)),"NAN",
IF('Final Term'!AG50&lt;0,"NEG",
IF('Final Term'!AG50&gt;AG$5,"OVER",
IF(AND(AG$5&lt;=100,'Final Term'!AG50&gt;100),"ERR",
IF(Info!$B$4="Non-board program",
IF(OR(AND(AG$5&gt;0,AG$5&gt;100),AND(AG$5&gt;0,AG$5&lt;100)),
VLOOKUP(FLOOR(('Final Term'!AG50/AG$5)*100,1),new_transmute,2,FALSE),
VLOOKUP('Final Term'!AG50,new_transmute,2,FALSE)
),
IF(Info!$B$4="Board program",
IF(OR(AND(AG$5&gt;0,AG$5&gt;100),AND(AG$5&gt;0,AG$5&lt;100)),
VLOOKUP(FLOOR(('Final Term'!AG50/AG$5)*100,1),new_transmute,3,FALSE),
VLOOKUP('Final Term'!AG50,new_transmute,3,FALSE)
),
IF(Info!$B$4="Board program (Medicine)",
IF(OR(AND(AG$5&gt;0,AG$5&gt;100),AND(AG$5&gt;0,AG$5&lt;100)),
VLOOKUP(FLOOR(('Final Term'!AG50/AG$5)*100,1),new_transmute,4,FALSE),
VLOOKUP('Final Term'!AG50,new_transmute,4,FALSE)
),
""
)
)
)
)
)
)
)
)
))</f>
        <v/>
      </c>
      <c r="AH50" s="73" t="str">
        <f>IF($B50="","",
IF(AH$5="","",
IF('Final Term'!AH50="",0,
IF(NOT(ISNUMBER('Final Term'!AH50)),"NAN",
IF('Final Term'!AH50&lt;0,"NEG",
IF('Final Term'!AH50&gt;AH$5,"OVER",
IF(AND(AH$5&lt;=100,'Final Term'!AH50&gt;100),"ERR",
IF(Info!$B$4="Non-board program",
IF(OR(AND(AH$5&gt;0,AH$5&gt;100),AND(AH$5&gt;0,AH$5&lt;100)),
VLOOKUP(FLOOR(('Final Term'!AH50/AH$5)*100,1),new_transmute,2,FALSE),
VLOOKUP('Final Term'!AH50,new_transmute,2,FALSE)
),
IF(Info!$B$4="Board program",
IF(OR(AND(AH$5&gt;0,AH$5&gt;100),AND(AH$5&gt;0,AH$5&lt;100)),
VLOOKUP(FLOOR(('Final Term'!AH50/AH$5)*100,1),new_transmute,3,FALSE),
VLOOKUP('Final Term'!AH50,new_transmute,3,FALSE)
),
IF(Info!$B$4="Board program (Medicine)",
IF(OR(AND(AH$5&gt;0,AH$5&gt;100),AND(AH$5&gt;0,AH$5&lt;100)),
VLOOKUP(FLOOR(('Final Term'!AH50/AH$5)*100,1),new_transmute,4,FALSE),
VLOOKUP('Final Term'!AH50,new_transmute,4,FALSE)
),
""
)
)
)
)
)
)
)
)
))</f>
        <v/>
      </c>
      <c r="AI50" s="73" t="str">
        <f>IF($B50="","",
IF(AI$5="","",
IF('Final Term'!AI50="",0,
IF(NOT(ISNUMBER('Final Term'!AI50)),"NAN",
IF('Final Term'!AI50&lt;0,"NEG",
IF('Final Term'!AI50&gt;AI$5,"OVER",
IF(AND(AI$5&lt;=100,'Final Term'!AI50&gt;100),"ERR",
IF(Info!$B$4="Non-board program",
IF(OR(AND(AI$5&gt;0,AI$5&gt;100),AND(AI$5&gt;0,AI$5&lt;100)),
VLOOKUP(FLOOR(('Final Term'!AI50/AI$5)*100,1),new_transmute,2,FALSE),
VLOOKUP('Final Term'!AI50,new_transmute,2,FALSE)
),
IF(Info!$B$4="Board program",
IF(OR(AND(AI$5&gt;0,AI$5&gt;100),AND(AI$5&gt;0,AI$5&lt;100)),
VLOOKUP(FLOOR(('Final Term'!AI50/AI$5)*100,1),new_transmute,3,FALSE),
VLOOKUP('Final Term'!AI50,new_transmute,3,FALSE)
),
IF(Info!$B$4="Board program (Medicine)",
IF(OR(AND(AI$5&gt;0,AI$5&gt;100),AND(AI$5&gt;0,AI$5&lt;100)),
VLOOKUP(FLOOR(('Final Term'!AI50/AI$5)*100,1),new_transmute,4,FALSE),
VLOOKUP('Final Term'!AI50,new_transmute,4,FALSE)
),
""
)
)
)
)
)
)
)
)
))</f>
        <v/>
      </c>
      <c r="AJ50" s="73" t="str">
        <f>IF($B50="","",
IF(AJ$5="","",
IF('Final Term'!AJ50="",0,
IF(NOT(ISNUMBER('Final Term'!AJ50)),"NAN",
IF('Final Term'!AJ50&lt;0,"NEG",
IF('Final Term'!AJ50&gt;AJ$5,"OVER",
IF(AND(AJ$5&lt;=100,'Final Term'!AJ50&gt;100),"ERR",
IF(Info!$B$4="Non-board program",
IF(OR(AND(AJ$5&gt;0,AJ$5&gt;100),AND(AJ$5&gt;0,AJ$5&lt;100)),
VLOOKUP(FLOOR(('Final Term'!AJ50/AJ$5)*100,1),new_transmute,2,FALSE),
VLOOKUP('Final Term'!AJ50,new_transmute,2,FALSE)
),
IF(Info!$B$4="Board program",
IF(OR(AND(AJ$5&gt;0,AJ$5&gt;100),AND(AJ$5&gt;0,AJ$5&lt;100)),
VLOOKUP(FLOOR(('Final Term'!AJ50/AJ$5)*100,1),new_transmute,3,FALSE),
VLOOKUP('Final Term'!AJ50,new_transmute,3,FALSE)
),
IF(Info!$B$4="Board program (Medicine)",
IF(OR(AND(AJ$5&gt;0,AJ$5&gt;100),AND(AJ$5&gt;0,AJ$5&lt;100)),
VLOOKUP(FLOOR(('Final Term'!AJ50/AJ$5)*100,1),new_transmute,4,FALSE),
VLOOKUP('Final Term'!AJ50,new_transmute,4,FALSE)
),
""
)
)
)
)
)
)
)
)
))</f>
        <v/>
      </c>
      <c r="AK50" s="59" t="str">
        <f t="shared" si="6"/>
        <v/>
      </c>
      <c r="AL50" s="60" t="str">
        <f>IF(B50="", "",
    IF(OR(M50="OVER", S50="OVER", Y50="OVER", AE50="OVER", AK50="OVER"),
        "OVER",
        IF(Info!$B$4="Non-board program",
            VLOOKUP(IFERROR(FLOOR(SUM((M50*$M$4), (S50*$S$4), (Y50*$Y$4), (AE50*$AE$4), (AK50*$AK$4)) * (100 / 60), 1), 0), new_transmute, 2, FALSE),
            IF(Info!$B$4="Board program",
                VLOOKUP(IFERROR(FLOOR(SUM((M50*$M$4), (S50*$S$4), (Y50*$Y$4), (AE50*$AE$4), (AK50*$AK$4)) * (100 / 60), 1), 0), new_transmute, 3, FALSE),
                IF(Info!$B$4="Board program (Medicine)",
                    VLOOKUP(IFERROR(FLOOR(SUM((M50*$M$4), (S50*$S$4), (Y50*$Y$4), (AE50*$AE$4), (AK50*$AK$4)) * (100 / 60), 1), 0), new_transmute, 4, FALSE),
                    ""
                )
            )
        )
    )
)</f>
        <v/>
      </c>
      <c r="AM50" s="73" t="str">
        <f>IF($B50="","",
IF(AM$5="","",
IF('Final Term'!AM50="",0,
IF(NOT(ISNUMBER('Final Term'!AM50)),"NAN",
IF('Final Term'!AM50&lt;0,"NEG",
IF('Final Term'!AM50&gt;AM$5,"OVER",
IF(AND(AM$5&lt;=100,'Final Term'!AM50&gt;100),"ERR",
IF(Info!$B$4="Non-board program",
IF(OR(AND(AM$5&gt;0,AM$5&gt;100),AND(AM$5&gt;0,AM$5&lt;100)),
VLOOKUP(FLOOR(('Final Term'!AM50/AM$5)*100,1),new_transmute,2,FALSE),
VLOOKUP('Final Term'!AM50,new_transmute,2,FALSE)
),
IF(Info!$B$4="Board program",
IF(OR(AND(AM$5&gt;0,AM$5&gt;100),AND(AM$5&gt;0,AM$5&lt;100)),
VLOOKUP(FLOOR(('Final Term'!AM50/AM$5)*100,1),new_transmute,3,FALSE),
VLOOKUP('Final Term'!AM50,new_transmute,3,FALSE)
),
IF(Info!$B$4="Board program (Medicine)",
IF(OR(AND(AM$5&gt;0,AM$5&gt;100),AND(AM$5&gt;0,AM$5&lt;100)),
VLOOKUP(FLOOR(('Final Term'!AM50/AM$5)*100,1),new_transmute,4,FALSE),
VLOOKUP('Final Term'!AM50,new_transmute,4,FALSE)
),
""
)
)
)
)
)
)
)
)
))</f>
        <v/>
      </c>
      <c r="AN50" s="73" t="str">
        <f>IF($B50="","",
IF(AN$5="","",
IF('Final Term'!AN50="",0,
IF(NOT(ISNUMBER('Final Term'!AN50)),"NAN",
IF('Final Term'!AN50&lt;0,"NEG",
IF('Final Term'!AN50&gt;AN$5,"OVER",
IF(AND(AN$5&lt;=100,'Final Term'!AN50&gt;100),"ERR",
IF(Info!$B$4="Non-board program",
IF(OR(AND(AN$5&gt;0,AN$5&gt;100),AND(AN$5&gt;0,AN$5&lt;100)),
VLOOKUP(FLOOR(('Final Term'!AN50/AN$5)*100,1),new_transmute,2,FALSE),
VLOOKUP('Final Term'!AN50,new_transmute,2,FALSE)
),
IF(Info!$B$4="Board program",
IF(OR(AND(AN$5&gt;0,AN$5&gt;100),AND(AN$5&gt;0,AN$5&lt;100)),
VLOOKUP(FLOOR(('Final Term'!AN50/AN$5)*100,1),new_transmute,3,FALSE),
VLOOKUP('Final Term'!AN50,new_transmute,3,FALSE)
),
IF(Info!$B$4="Board program (Medicine)",
IF(OR(AND(AN$5&gt;0,AN$5&gt;100),AND(AN$5&gt;0,AN$5&lt;100)),
VLOOKUP(FLOOR(('Final Term'!AN50/AN$5)*100,1),new_transmute,4,FALSE),
VLOOKUP('Final Term'!AN50,new_transmute,4,FALSE)
),
""
)
)
)
)
)
)
)
)
))</f>
        <v/>
      </c>
      <c r="AO50" s="73" t="str">
        <f>IF($B50="","",
IF(AO$5="","",
IF('Final Term'!AO50="",0,
IF(NOT(ISNUMBER('Final Term'!AO50)),"NAN",
IF('Final Term'!AO50&lt;0,"NEG",
IF('Final Term'!AO50&gt;AO$5,"OVER",
IF(AND(AO$5&lt;=100,'Final Term'!AO50&gt;100),"ERR",
IF(Info!$B$4="Non-board program",
IF(OR(AND(AO$5&gt;0,AO$5&gt;100),AND(AO$5&gt;0,AO$5&lt;100)),
VLOOKUP(FLOOR(('Final Term'!AO50/AO$5)*100,1),new_transmute,2,FALSE),
VLOOKUP('Final Term'!AO50,new_transmute,2,FALSE)
),
IF(Info!$B$4="Board program",
IF(OR(AND(AO$5&gt;0,AO$5&gt;100),AND(AO$5&gt;0,AO$5&lt;100)),
VLOOKUP(FLOOR(('Final Term'!AO50/AO$5)*100,1),new_transmute,3,FALSE),
VLOOKUP('Final Term'!AO50,new_transmute,3,FALSE)
),
IF(Info!$B$4="Board program (Medicine)",
IF(OR(AND(AO$5&gt;0,AO$5&gt;100),AND(AO$5&gt;0,AO$5&lt;100)),
VLOOKUP(FLOOR(('Final Term'!AO50/AO$5)*100,1),new_transmute,4,FALSE),
VLOOKUP('Final Term'!AO50,new_transmute,4,FALSE)
),
""
)
)
)
)
)
)
)
)
))</f>
        <v/>
      </c>
      <c r="AP50" s="73" t="str">
        <f>IF($B50="","",
IF(AP$5="","",
IF('Final Term'!AP50="",0,
IF(NOT(ISNUMBER('Final Term'!AP50)),"NAN",
IF('Final Term'!AP50&lt;0,"NEG",
IF('Final Term'!AP50&gt;AP$5,"OVER",
IF(AND(AP$5&lt;=100,'Final Term'!AP50&gt;100),"ERR",
IF(Info!$B$4="Non-board program",
IF(OR(AND(AP$5&gt;0,AP$5&gt;100),AND(AP$5&gt;0,AP$5&lt;100)),
VLOOKUP(FLOOR(('Final Term'!AP50/AP$5)*100,1),new_transmute,2,FALSE),
VLOOKUP('Final Term'!AP50,new_transmute,2,FALSE)
),
IF(Info!$B$4="Board program",
IF(OR(AND(AP$5&gt;0,AP$5&gt;100),AND(AP$5&gt;0,AP$5&lt;100)),
VLOOKUP(FLOOR(('Final Term'!AP50/AP$5)*100,1),new_transmute,3,FALSE),
VLOOKUP('Final Term'!AP50,new_transmute,3,FALSE)
),
IF(Info!$B$4="Board program (Medicine)",
IF(OR(AND(AP$5&gt;0,AP$5&gt;100),AND(AP$5&gt;0,AP$5&lt;100)),
VLOOKUP(FLOOR(('Final Term'!AP50/AP$5)*100,1),new_transmute,4,FALSE),
VLOOKUP('Final Term'!AP50,new_transmute,4,FALSE)
),
""
)
)
)
)
)
)
)
)
))</f>
        <v/>
      </c>
      <c r="AQ50" s="61" t="str">
        <f t="shared" si="7"/>
        <v/>
      </c>
      <c r="AR50" s="48" t="str">
        <f>IF('Final Term'!AR50="","",'Final Term'!AR50)</f>
        <v/>
      </c>
      <c r="AS50" s="165" t="str">
        <f t="shared" si="8"/>
        <v/>
      </c>
      <c r="AT50" s="14" t="str">
        <f t="shared" si="9"/>
        <v/>
      </c>
      <c r="AU50" s="13" t="str">
        <f>IF(B50="","",VLOOKUP(AT50,'New Grade Equivalent'!$B$3:$C$47,2,FALSE))</f>
        <v/>
      </c>
    </row>
    <row r="51" spans="1:47" x14ac:dyDescent="0.25">
      <c r="A51" s="8">
        <v>46</v>
      </c>
      <c r="B51" s="2" t="str">
        <f>IF('Student List'!C55="","",UPPER(LEFT('Student List'!C55,FIND(",",'Student List'!C55)-1)))</f>
        <v/>
      </c>
      <c r="C51" s="12" t="str">
        <f>IF('Student List'!C55="","",PROPER(MID('Student List'!C55, FIND(",", 'Student List'!C55) + 2, LEN('Student List'!C55) - FIND(",", 'Student List'!C55) - 1)))</f>
        <v/>
      </c>
      <c r="D51" s="127" t="str">
        <f>IF('Final Term'!D51="","",'Final Term'!D51)</f>
        <v/>
      </c>
      <c r="E51" s="8" t="str">
        <f>IF(MidCom!E51="FA", "FA",
    IF(MidCom!E51="DRP", "DRP",
        IF(MidCom!E51="WF", "WF",
            IF(D51="Yes", "INC",
               IF((SUM('MT Attendance'!AW49) / 3 + SUM('MT Attendance'!AY49) + SUM('FT Attendance'!AW49) / 3 + SUM('FT Attendance'!AY49)) &gt;= 0.2 * (SUMPRODUCT(--(ISTEXT('MT Attendance'!$C$2:$AU$2))) + SUMPRODUCT(--(ISTEXT('FT Attendance'!$C$2:$AU$2)))), "FA",
                   MidCom!E51
                )
            )
        )
    )
)</f>
        <v/>
      </c>
      <c r="F51" s="73" t="str">
        <f>IF($B51="","",
IF(F$5="","",
IF('Final Term'!F51="",0,
IF(NOT(ISNUMBER('Final Term'!F51)),"NAN",
IF('Final Term'!F51&lt;0,"NEG",
IF('Final Term'!F51&gt;F$5,"OVER",
IF(AND(F$5&lt;=100,'Final Term'!F51&gt;100),"ERR",
IF(Info!$B$4="Non-board program",
IF(OR(AND(F$5&gt;0,F$5&gt;100),AND(F$5&gt;0,F$5&lt;100)),
VLOOKUP(FLOOR(('Final Term'!F51/F$5)*100,1),new_transmute,2,FALSE),
VLOOKUP('Final Term'!F51,new_transmute,2,FALSE)
),
IF(Info!$B$4="Board program",
IF(OR(AND(F$5&gt;0,F$5&gt;100),AND(F$5&gt;0,F$5&lt;100)),
VLOOKUP(FLOOR(('Final Term'!F51/F$5)*100,1),new_transmute,3,FALSE),
VLOOKUP('Final Term'!F51,new_transmute,3,FALSE)
),
IF(Info!$B$4="Board program (Medicine)",
IF(OR(AND(F$5&gt;0,F$5&gt;100),AND(F$5&gt;0,F$5&lt;100)),
VLOOKUP(FLOOR(('Final Term'!F51/F$5)*100,1),new_transmute,4,FALSE),
VLOOKUP('Final Term'!F51,new_transmute,4,FALSE)
),
""
)
)
)
)
)
)
)
)
))</f>
        <v/>
      </c>
      <c r="G51" s="57" t="str">
        <f t="shared" si="1"/>
        <v/>
      </c>
      <c r="H51" s="73" t="str">
        <f>IF($B51="","",
IF(H$5="","",
IF('Final Term'!H51="",0,
IF(NOT(ISNUMBER('Final Term'!H51)),"NAN",
IF('Final Term'!H51&lt;0,"NEG",
IF('Final Term'!H51&gt;H$5,"OVER",
IF(AND(H$5&lt;=100,'Final Term'!H51&gt;100),"ERR",
IF(Info!$B$4="Non-board program",
IF(OR(AND(H$5&gt;0,H$5&gt;100),AND(H$5&gt;0,H$5&lt;100)),
VLOOKUP(FLOOR(('Final Term'!H51/H$5)*100,1),new_transmute,2,FALSE),
VLOOKUP('Final Term'!H51,new_transmute,2,FALSE)
),
IF(Info!$B$4="Board program",
IF(OR(AND(H$5&gt;0,H$5&gt;100),AND(H$5&gt;0,H$5&lt;100)),
VLOOKUP(FLOOR(('Final Term'!H51/H$5)*100,1),new_transmute,3,FALSE),
VLOOKUP('Final Term'!H51,new_transmute,3,FALSE)
),
IF(Info!$B$4="Board program (Medicine)",
IF(OR(AND(H$5&gt;0,H$5&gt;100),AND(H$5&gt;0,H$5&lt;100)),
VLOOKUP(FLOOR(('Final Term'!H51/H$5)*100,1),new_transmute,4,FALSE),
VLOOKUP('Final Term'!H51,new_transmute,4,FALSE)
),
""
)
)
)
)
)
)
)
)
))</f>
        <v/>
      </c>
      <c r="I51" s="73" t="str">
        <f>IF($B51="","",
IF(I$5="","",
IF('Final Term'!I51="",0,
IF(NOT(ISNUMBER('Final Term'!I51)),"NAN",
IF('Final Term'!I51&lt;0,"NEG",
IF('Final Term'!I51&gt;I$5,"OVER",
IF(AND(I$5&lt;=100,'Final Term'!I51&gt;100),"ERR",
IF(Info!$B$4="Non-board program",
IF(OR(AND(I$5&gt;0,I$5&gt;100),AND(I$5&gt;0,I$5&lt;100)),
VLOOKUP(FLOOR(('Final Term'!I51/I$5)*100,1),new_transmute,2,FALSE),
VLOOKUP('Final Term'!I51,new_transmute,2,FALSE)
),
IF(Info!$B$4="Board program",
IF(OR(AND(I$5&gt;0,I$5&gt;100),AND(I$5&gt;0,I$5&lt;100)),
VLOOKUP(FLOOR(('Final Term'!I51/I$5)*100,1),new_transmute,3,FALSE),
VLOOKUP('Final Term'!I51,new_transmute,3,FALSE)
),
IF(Info!$B$4="Board program (Medicine)",
IF(OR(AND(I$5&gt;0,I$5&gt;100),AND(I$5&gt;0,I$5&lt;100)),
VLOOKUP(FLOOR(('Final Term'!I51/I$5)*100,1),new_transmute,4,FALSE),
VLOOKUP('Final Term'!I51,new_transmute,4,FALSE)
),
""
)
)
)
)
)
)
)
)
))</f>
        <v/>
      </c>
      <c r="J51" s="73" t="str">
        <f>IF($B51="","",
IF(J$5="","",
IF('Final Term'!J51="",0,
IF(NOT(ISNUMBER('Final Term'!J51)),"NAN",
IF('Final Term'!J51&lt;0,"NEG",
IF('Final Term'!J51&gt;J$5,"OVER",
IF(AND(J$5&lt;=100,'Final Term'!J51&gt;100),"ERR",
IF(Info!$B$4="Non-board program",
IF(OR(AND(J$5&gt;0,J$5&gt;100),AND(J$5&gt;0,J$5&lt;100)),
VLOOKUP(FLOOR(('Final Term'!J51/J$5)*100,1),new_transmute,2,FALSE),
VLOOKUP('Final Term'!J51,new_transmute,2,FALSE)
),
IF(Info!$B$4="Board program",
IF(OR(AND(J$5&gt;0,J$5&gt;100),AND(J$5&gt;0,J$5&lt;100)),
VLOOKUP(FLOOR(('Final Term'!J51/J$5)*100,1),new_transmute,3,FALSE),
VLOOKUP('Final Term'!J51,new_transmute,3,FALSE)
),
IF(Info!$B$4="Board program (Medicine)",
IF(OR(AND(J$5&gt;0,J$5&gt;100),AND(J$5&gt;0,J$5&lt;100)),
VLOOKUP(FLOOR(('Final Term'!J51/J$5)*100,1),new_transmute,4,FALSE),
VLOOKUP('Final Term'!J51,new_transmute,4,FALSE)
),
""
)
)
)
)
)
)
)
)
))</f>
        <v/>
      </c>
      <c r="K51" s="73" t="str">
        <f>IF($B51="","",
IF(K$5="","",
IF('Final Term'!K51="",0,
IF(NOT(ISNUMBER('Final Term'!K51)),"NAN",
IF('Final Term'!K51&lt;0,"NEG",
IF('Final Term'!K51&gt;K$5,"OVER",
IF(AND(K$5&lt;=100,'Final Term'!K51&gt;100),"ERR",
IF(Info!$B$4="Non-board program",
IF(OR(AND(K$5&gt;0,K$5&gt;100),AND(K$5&gt;0,K$5&lt;100)),
VLOOKUP(FLOOR(('Final Term'!K51/K$5)*100,1),new_transmute,2,FALSE),
VLOOKUP('Final Term'!K51,new_transmute,2,FALSE)
),
IF(Info!$B$4="Board program",
IF(OR(AND(K$5&gt;0,K$5&gt;100),AND(K$5&gt;0,K$5&lt;100)),
VLOOKUP(FLOOR(('Final Term'!K51/K$5)*100,1),new_transmute,3,FALSE),
VLOOKUP('Final Term'!K51,new_transmute,3,FALSE)
),
IF(Info!$B$4="Board program (Medicine)",
IF(OR(AND(K$5&gt;0,K$5&gt;100),AND(K$5&gt;0,K$5&lt;100)),
VLOOKUP(FLOOR(('Final Term'!K51/K$5)*100,1),new_transmute,4,FALSE),
VLOOKUP('Final Term'!K51,new_transmute,4,FALSE)
),
""
)
)
)
)
)
)
)
)
))</f>
        <v/>
      </c>
      <c r="L51" s="73" t="str">
        <f>IF($B51="","",
IF(L$5="","",
IF('Final Term'!L51="",0,
IF(NOT(ISNUMBER('Final Term'!L51)),"NAN",
IF('Final Term'!L51&lt;0,"NEG",
IF('Final Term'!L51&gt;L$5,"OVER",
IF(AND(L$5&lt;=100,'Final Term'!L51&gt;100),"ERR",
IF(Info!$B$4="Non-board program",
IF(OR(AND(L$5&gt;0,L$5&gt;100),AND(L$5&gt;0,L$5&lt;100)),
VLOOKUP(FLOOR(('Final Term'!L51/L$5)*100,1),new_transmute,2,FALSE),
VLOOKUP('Final Term'!L51,new_transmute,2,FALSE)
),
IF(Info!$B$4="Board program",
IF(OR(AND(L$5&gt;0,L$5&gt;100),AND(L$5&gt;0,L$5&lt;100)),
VLOOKUP(FLOOR(('Final Term'!L51/L$5)*100,1),new_transmute,3,FALSE),
VLOOKUP('Final Term'!L51,new_transmute,3,FALSE)
),
IF(Info!$B$4="Board program (Medicine)",
IF(OR(AND(L$5&gt;0,L$5&gt;100),AND(L$5&gt;0,L$5&lt;100)),
VLOOKUP(FLOOR(('Final Term'!L51/L$5)*100,1),new_transmute,4,FALSE),
VLOOKUP('Final Term'!L51,new_transmute,4,FALSE)
),
""
)
)
)
)
)
)
)
)
))</f>
        <v/>
      </c>
      <c r="M51" s="111" t="str">
        <f t="shared" si="2"/>
        <v/>
      </c>
      <c r="N51" s="73" t="str">
        <f>IF($B51="","",
IF(N$5="","",
IF('Final Term'!N51="",0,
IF(NOT(ISNUMBER('Final Term'!N51)),"NAN",
IF('Final Term'!N51&lt;0,"NEG",
IF('Final Term'!N51&gt;N$5,"OVER",
IF(AND(N$5&lt;=100,'Final Term'!N51&gt;100),"ERR",
IF(Info!$B$4="Non-board program",
IF(OR(AND(N$5&gt;0,N$5&gt;100),AND(N$5&gt;0,N$5&lt;100)),
VLOOKUP(FLOOR(('Final Term'!N51/N$5)*100,1),new_transmute,2,FALSE),
VLOOKUP('Final Term'!N51,new_transmute,2,FALSE)
),
IF(Info!$B$4="Board program",
IF(OR(AND(N$5&gt;0,N$5&gt;100),AND(N$5&gt;0,N$5&lt;100)),
VLOOKUP(FLOOR(('Final Term'!N51/N$5)*100,1),new_transmute,3,FALSE),
VLOOKUP('Final Term'!N51,new_transmute,3,FALSE)
),
IF(Info!$B$4="Board program (Medicine)",
IF(OR(AND(N$5&gt;0,N$5&gt;100),AND(N$5&gt;0,N$5&lt;100)),
VLOOKUP(FLOOR(('Final Term'!N51/N$5)*100,1),new_transmute,4,FALSE),
VLOOKUP('Final Term'!N51,new_transmute,4,FALSE)
),
""
)
)
)
)
)
)
)
)
))</f>
        <v/>
      </c>
      <c r="O51" s="73" t="str">
        <f>IF($B51="","",
IF(O$5="","",
IF('Final Term'!O51="",0,
IF(NOT(ISNUMBER('Final Term'!O51)),"NAN",
IF('Final Term'!O51&lt;0,"NEG",
IF('Final Term'!O51&gt;O$5,"OVER",
IF(AND(O$5&lt;=100,'Final Term'!O51&gt;100),"ERR",
IF(Info!$B$4="Non-board program",
IF(OR(AND(O$5&gt;0,O$5&gt;100),AND(O$5&gt;0,O$5&lt;100)),
VLOOKUP(FLOOR(('Final Term'!O51/O$5)*100,1),new_transmute,2,FALSE),
VLOOKUP('Final Term'!O51,new_transmute,2,FALSE)
),
IF(Info!$B$4="Board program",
IF(OR(AND(O$5&gt;0,O$5&gt;100),AND(O$5&gt;0,O$5&lt;100)),
VLOOKUP(FLOOR(('Final Term'!O51/O$5)*100,1),new_transmute,3,FALSE),
VLOOKUP('Final Term'!O51,new_transmute,3,FALSE)
),
IF(Info!$B$4="Board program (Medicine)",
IF(OR(AND(O$5&gt;0,O$5&gt;100),AND(O$5&gt;0,O$5&lt;100)),
VLOOKUP(FLOOR(('Final Term'!O51/O$5)*100,1),new_transmute,4,FALSE),
VLOOKUP('Final Term'!O51,new_transmute,4,FALSE)
),
""
)
)
)
)
)
)
)
)
))</f>
        <v/>
      </c>
      <c r="P51" s="73" t="str">
        <f>IF($B51="","",
IF(P$5="","",
IF('Final Term'!P51="",0,
IF(NOT(ISNUMBER('Final Term'!P51)),"NAN",
IF('Final Term'!P51&lt;0,"NEG",
IF('Final Term'!P51&gt;P$5,"OVER",
IF(AND(P$5&lt;=100,'Final Term'!P51&gt;100),"ERR",
IF(Info!$B$4="Non-board program",
IF(OR(AND(P$5&gt;0,P$5&gt;100),AND(P$5&gt;0,P$5&lt;100)),
VLOOKUP(FLOOR(('Final Term'!P51/P$5)*100,1),new_transmute,2,FALSE),
VLOOKUP('Final Term'!P51,new_transmute,2,FALSE)
),
IF(Info!$B$4="Board program",
IF(OR(AND(P$5&gt;0,P$5&gt;100),AND(P$5&gt;0,P$5&lt;100)),
VLOOKUP(FLOOR(('Final Term'!P51/P$5)*100,1),new_transmute,3,FALSE),
VLOOKUP('Final Term'!P51,new_transmute,3,FALSE)
),
IF(Info!$B$4="Board program (Medicine)",
IF(OR(AND(P$5&gt;0,P$5&gt;100),AND(P$5&gt;0,P$5&lt;100)),
VLOOKUP(FLOOR(('Final Term'!P51/P$5)*100,1),new_transmute,4,FALSE),
VLOOKUP('Final Term'!P51,new_transmute,4,FALSE)
),
""
)
)
)
)
)
)
)
)
))</f>
        <v/>
      </c>
      <c r="Q51" s="73" t="str">
        <f>IF($B51="","",
IF(Q$5="","",
IF('Final Term'!Q51="",0,
IF(NOT(ISNUMBER('Final Term'!Q51)),"NAN",
IF('Final Term'!Q51&lt;0,"NEG",
IF('Final Term'!Q51&gt;Q$5,"OVER",
IF(AND(Q$5&lt;=100,'Final Term'!Q51&gt;100),"ERR",
IF(Info!$B$4="Non-board program",
IF(OR(AND(Q$5&gt;0,Q$5&gt;100),AND(Q$5&gt;0,Q$5&lt;100)),
VLOOKUP(FLOOR(('Final Term'!Q51/Q$5)*100,1),new_transmute,2,FALSE),
VLOOKUP('Final Term'!Q51,new_transmute,2,FALSE)
),
IF(Info!$B$4="Board program",
IF(OR(AND(Q$5&gt;0,Q$5&gt;100),AND(Q$5&gt;0,Q$5&lt;100)),
VLOOKUP(FLOOR(('Final Term'!Q51/Q$5)*100,1),new_transmute,3,FALSE),
VLOOKUP('Final Term'!Q51,new_transmute,3,FALSE)
),
IF(Info!$B$4="Board program (Medicine)",
IF(OR(AND(Q$5&gt;0,Q$5&gt;100),AND(Q$5&gt;0,Q$5&lt;100)),
VLOOKUP(FLOOR(('Final Term'!Q51/Q$5)*100,1),new_transmute,4,FALSE),
VLOOKUP('Final Term'!Q51,new_transmute,4,FALSE)
),
""
)
)
)
)
)
)
)
)
))</f>
        <v/>
      </c>
      <c r="R51" s="73" t="str">
        <f>IF($B51="","",
IF(R$5="","",
IF('Final Term'!R51="",0,
IF(NOT(ISNUMBER('Final Term'!R51)),"NAN",
IF('Final Term'!R51&lt;0,"NEG",
IF('Final Term'!R51&gt;R$5,"OVER",
IF(AND(R$5&lt;=100,'Final Term'!R51&gt;100),"ERR",
IF(Info!$B$4="Non-board program",
IF(OR(AND(R$5&gt;0,R$5&gt;100),AND(R$5&gt;0,R$5&lt;100)),
VLOOKUP(FLOOR(('Final Term'!R51/R$5)*100,1),new_transmute,2,FALSE),
VLOOKUP('Final Term'!R51,new_transmute,2,FALSE)
),
IF(Info!$B$4="Board program",
IF(OR(AND(R$5&gt;0,R$5&gt;100),AND(R$5&gt;0,R$5&lt;100)),
VLOOKUP(FLOOR(('Final Term'!R51/R$5)*100,1),new_transmute,3,FALSE),
VLOOKUP('Final Term'!R51,new_transmute,3,FALSE)
),
IF(Info!$B$4="Board program (Medicine)",
IF(OR(AND(R$5&gt;0,R$5&gt;100),AND(R$5&gt;0,R$5&lt;100)),
VLOOKUP(FLOOR(('Final Term'!R51/R$5)*100,1),new_transmute,4,FALSE),
VLOOKUP('Final Term'!R51,new_transmute,4,FALSE)
),
""
)
)
)
)
)
)
)
)
))</f>
        <v/>
      </c>
      <c r="S51" s="115" t="str">
        <f t="shared" si="3"/>
        <v/>
      </c>
      <c r="T51" s="73" t="str">
        <f>IF($B51="","",
IF(T$5="","",
IF('Final Term'!T51="",0,
IF(NOT(ISNUMBER('Final Term'!T51)),"NAN",
IF('Final Term'!T51&lt;0,"NEG",
IF('Final Term'!T51&gt;T$5,"OVER",
IF(AND(T$5&lt;=100,'Final Term'!T51&gt;100),"ERR",
IF(Info!$B$4="Non-board program",
IF(OR(AND(T$5&gt;0,T$5&gt;100),AND(T$5&gt;0,T$5&lt;100)),
VLOOKUP(FLOOR(('Final Term'!T51/T$5)*100,1),new_transmute,2,FALSE),
VLOOKUP('Final Term'!T51,new_transmute,2,FALSE)
),
IF(Info!$B$4="Board program",
IF(OR(AND(T$5&gt;0,T$5&gt;100),AND(T$5&gt;0,T$5&lt;100)),
VLOOKUP(FLOOR(('Final Term'!T51/T$5)*100,1),new_transmute,3,FALSE),
VLOOKUP('Final Term'!T51,new_transmute,3,FALSE)
),
IF(Info!$B$4="Board program (Medicine)",
IF(OR(AND(T$5&gt;0,T$5&gt;100),AND(T$5&gt;0,T$5&lt;100)),
VLOOKUP(FLOOR(('Final Term'!T51/T$5)*100,1),new_transmute,4,FALSE),
VLOOKUP('Final Term'!T51,new_transmute,4,FALSE)
),
""
)
)
)
)
)
)
)
)
))</f>
        <v/>
      </c>
      <c r="U51" s="73" t="str">
        <f>IF($B51="","",
IF(U$5="","",
IF('Final Term'!U51="",0,
IF(NOT(ISNUMBER('Final Term'!U51)),"NAN",
IF('Final Term'!U51&lt;0,"NEG",
IF('Final Term'!U51&gt;U$5,"OVER",
IF(AND(U$5&lt;=100,'Final Term'!U51&gt;100),"ERR",
IF(Info!$B$4="Non-board program",
IF(OR(AND(U$5&gt;0,U$5&gt;100),AND(U$5&gt;0,U$5&lt;100)),
VLOOKUP(FLOOR(('Final Term'!U51/U$5)*100,1),new_transmute,2,FALSE),
VLOOKUP('Final Term'!U51,new_transmute,2,FALSE)
),
IF(Info!$B$4="Board program",
IF(OR(AND(U$5&gt;0,U$5&gt;100),AND(U$5&gt;0,U$5&lt;100)),
VLOOKUP(FLOOR(('Final Term'!U51/U$5)*100,1),new_transmute,3,FALSE),
VLOOKUP('Final Term'!U51,new_transmute,3,FALSE)
),
IF(Info!$B$4="Board program (Medicine)",
IF(OR(AND(U$5&gt;0,U$5&gt;100),AND(U$5&gt;0,U$5&lt;100)),
VLOOKUP(FLOOR(('Final Term'!U51/U$5)*100,1),new_transmute,4,FALSE),
VLOOKUP('Final Term'!U51,new_transmute,4,FALSE)
),
""
)
)
)
)
)
)
)
)
))</f>
        <v/>
      </c>
      <c r="V51" s="73" t="str">
        <f>IF($B51="","",
IF(V$5="","",
IF('Final Term'!V51="",0,
IF(NOT(ISNUMBER('Final Term'!V51)),"NAN",
IF('Final Term'!V51&lt;0,"NEG",
IF('Final Term'!V51&gt;V$5,"OVER",
IF(AND(V$5&lt;=100,'Final Term'!V51&gt;100),"ERR",
IF(Info!$B$4="Non-board program",
IF(OR(AND(V$5&gt;0,V$5&gt;100),AND(V$5&gt;0,V$5&lt;100)),
VLOOKUP(FLOOR(('Final Term'!V51/V$5)*100,1),new_transmute,2,FALSE),
VLOOKUP('Final Term'!V51,new_transmute,2,FALSE)
),
IF(Info!$B$4="Board program",
IF(OR(AND(V$5&gt;0,V$5&gt;100),AND(V$5&gt;0,V$5&lt;100)),
VLOOKUP(FLOOR(('Final Term'!V51/V$5)*100,1),new_transmute,3,FALSE),
VLOOKUP('Final Term'!V51,new_transmute,3,FALSE)
),
IF(Info!$B$4="Board program (Medicine)",
IF(OR(AND(V$5&gt;0,V$5&gt;100),AND(V$5&gt;0,V$5&lt;100)),
VLOOKUP(FLOOR(('Final Term'!V51/V$5)*100,1),new_transmute,4,FALSE),
VLOOKUP('Final Term'!V51,new_transmute,4,FALSE)
),
""
)
)
)
)
)
)
)
)
))</f>
        <v/>
      </c>
      <c r="W51" s="73" t="str">
        <f>IF($B51="","",
IF(W$5="","",
IF('Final Term'!W51="",0,
IF(NOT(ISNUMBER('Final Term'!W51)),"NAN",
IF('Final Term'!W51&lt;0,"NEG",
IF('Final Term'!W51&gt;W$5,"OVER",
IF(AND(W$5&lt;=100,'Final Term'!W51&gt;100),"ERR",
IF(Info!$B$4="Non-board program",
IF(OR(AND(W$5&gt;0,W$5&gt;100),AND(W$5&gt;0,W$5&lt;100)),
VLOOKUP(FLOOR(('Final Term'!W51/W$5)*100,1),new_transmute,2,FALSE),
VLOOKUP('Final Term'!W51,new_transmute,2,FALSE)
),
IF(Info!$B$4="Board program",
IF(OR(AND(W$5&gt;0,W$5&gt;100),AND(W$5&gt;0,W$5&lt;100)),
VLOOKUP(FLOOR(('Final Term'!W51/W$5)*100,1),new_transmute,3,FALSE),
VLOOKUP('Final Term'!W51,new_transmute,3,FALSE)
),
IF(Info!$B$4="Board program (Medicine)",
IF(OR(AND(W$5&gt;0,W$5&gt;100),AND(W$5&gt;0,W$5&lt;100)),
VLOOKUP(FLOOR(('Final Term'!W51/W$5)*100,1),new_transmute,4,FALSE),
VLOOKUP('Final Term'!W51,new_transmute,4,FALSE)
),
""
)
)
)
)
)
)
)
)
))</f>
        <v/>
      </c>
      <c r="X51" s="73" t="str">
        <f>IF($B51="","",
IF(X$5="","",
IF('Final Term'!X51="",0,
IF(NOT(ISNUMBER('Final Term'!X51)),"NAN",
IF('Final Term'!X51&lt;0,"NEG",
IF('Final Term'!X51&gt;X$5,"OVER",
IF(AND(X$5&lt;=100,'Final Term'!X51&gt;100),"ERR",
IF(Info!$B$4="Non-board program",
IF(OR(AND(X$5&gt;0,X$5&gt;100),AND(X$5&gt;0,X$5&lt;100)),
VLOOKUP(FLOOR(('Final Term'!X51/X$5)*100,1),new_transmute,2,FALSE),
VLOOKUP('Final Term'!X51,new_transmute,2,FALSE)
),
IF(Info!$B$4="Board program",
IF(OR(AND(X$5&gt;0,X$5&gt;100),AND(X$5&gt;0,X$5&lt;100)),
VLOOKUP(FLOOR(('Final Term'!X51/X$5)*100,1),new_transmute,3,FALSE),
VLOOKUP('Final Term'!X51,new_transmute,3,FALSE)
),
IF(Info!$B$4="Board program (Medicine)",
IF(OR(AND(X$5&gt;0,X$5&gt;100),AND(X$5&gt;0,X$5&lt;100)),
VLOOKUP(FLOOR(('Final Term'!X51/X$5)*100,1),new_transmute,4,FALSE),
VLOOKUP('Final Term'!X51,new_transmute,4,FALSE)
),
""
)
)
)
)
)
)
)
)
))</f>
        <v/>
      </c>
      <c r="Y51" s="112" t="str">
        <f t="shared" si="4"/>
        <v/>
      </c>
      <c r="Z51" s="73" t="str">
        <f>IF($B51="","",
IF(Z$5="","",
IF('Final Term'!Z51="",0,
IF(NOT(ISNUMBER('Final Term'!Z51)),"NAN",
IF('Final Term'!Z51&lt;0,"NEG",
IF('Final Term'!Z51&gt;Z$5,"OVER",
IF(AND(Z$5&lt;=100,'Final Term'!Z51&gt;100),"ERR",
IF(Info!$B$4="Non-board program",
IF(OR(AND(Z$5&gt;0,Z$5&gt;100),AND(Z$5&gt;0,Z$5&lt;100)),
VLOOKUP(FLOOR(('Final Term'!Z51/Z$5)*100,1),new_transmute,2,FALSE),
VLOOKUP('Final Term'!Z51,new_transmute,2,FALSE)
),
IF(Info!$B$4="Board program",
IF(OR(AND(Z$5&gt;0,Z$5&gt;100),AND(Z$5&gt;0,Z$5&lt;100)),
VLOOKUP(FLOOR(('Final Term'!Z51/Z$5)*100,1),new_transmute,3,FALSE),
VLOOKUP('Final Term'!Z51,new_transmute,3,FALSE)
),
IF(Info!$B$4="Board program (Medicine)",
IF(OR(AND(Z$5&gt;0,Z$5&gt;100),AND(Z$5&gt;0,Z$5&lt;100)),
VLOOKUP(FLOOR(('Final Term'!Z51/Z$5)*100,1),new_transmute,4,FALSE),
VLOOKUP('Final Term'!Z51,new_transmute,4,FALSE)
),
""
)
)
)
)
)
)
)
)
))</f>
        <v/>
      </c>
      <c r="AA51" s="73" t="str">
        <f>IF($B51="","",
IF(AA$5="","",
IF('Final Term'!AA51="",0,
IF(NOT(ISNUMBER('Final Term'!AA51)),"NAN",
IF('Final Term'!AA51&lt;0,"NEG",
IF('Final Term'!AA51&gt;AA$5,"OVER",
IF(AND(AA$5&lt;=100,'Final Term'!AA51&gt;100),"ERR",
IF(Info!$B$4="Non-board program",
IF(OR(AND(AA$5&gt;0,AA$5&gt;100),AND(AA$5&gt;0,AA$5&lt;100)),
VLOOKUP(FLOOR(('Final Term'!AA51/AA$5)*100,1),new_transmute,2,FALSE),
VLOOKUP('Final Term'!AA51,new_transmute,2,FALSE)
),
IF(Info!$B$4="Board program",
IF(OR(AND(AA$5&gt;0,AA$5&gt;100),AND(AA$5&gt;0,AA$5&lt;100)),
VLOOKUP(FLOOR(('Final Term'!AA51/AA$5)*100,1),new_transmute,3,FALSE),
VLOOKUP('Final Term'!AA51,new_transmute,3,FALSE)
),
IF(Info!$B$4="Board program (Medicine)",
IF(OR(AND(AA$5&gt;0,AA$5&gt;100),AND(AA$5&gt;0,AA$5&lt;100)),
VLOOKUP(FLOOR(('Final Term'!AA51/AA$5)*100,1),new_transmute,4,FALSE),
VLOOKUP('Final Term'!AA51,new_transmute,4,FALSE)
),
""
)
)
)
)
)
)
)
)
))</f>
        <v/>
      </c>
      <c r="AB51" s="73" t="str">
        <f>IF($B51="","",
IF(AB$5="","",
IF('Final Term'!AB51="",0,
IF(NOT(ISNUMBER('Final Term'!AB51)),"NAN",
IF('Final Term'!AB51&lt;0,"NEG",
IF('Final Term'!AB51&gt;AB$5,"OVER",
IF(AND(AB$5&lt;=100,'Final Term'!AB51&gt;100),"ERR",
IF(Info!$B$4="Non-board program",
IF(OR(AND(AB$5&gt;0,AB$5&gt;100),AND(AB$5&gt;0,AB$5&lt;100)),
VLOOKUP(FLOOR(('Final Term'!AB51/AB$5)*100,1),new_transmute,2,FALSE),
VLOOKUP('Final Term'!AB51,new_transmute,2,FALSE)
),
IF(Info!$B$4="Board program",
IF(OR(AND(AB$5&gt;0,AB$5&gt;100),AND(AB$5&gt;0,AB$5&lt;100)),
VLOOKUP(FLOOR(('Final Term'!AB51/AB$5)*100,1),new_transmute,3,FALSE),
VLOOKUP('Final Term'!AB51,new_transmute,3,FALSE)
),
IF(Info!$B$4="Board program (Medicine)",
IF(OR(AND(AB$5&gt;0,AB$5&gt;100),AND(AB$5&gt;0,AB$5&lt;100)),
VLOOKUP(FLOOR(('Final Term'!AB51/AB$5)*100,1),new_transmute,4,FALSE),
VLOOKUP('Final Term'!AB51,new_transmute,4,FALSE)
),
""
)
)
)
)
)
)
)
)
))</f>
        <v/>
      </c>
      <c r="AC51" s="73" t="str">
        <f>IF($B51="","",
IF(AC$5="","",
IF('Final Term'!AC51="",0,
IF(NOT(ISNUMBER('Final Term'!AC51)),"NAN",
IF('Final Term'!AC51&lt;0,"NEG",
IF('Final Term'!AC51&gt;AC$5,"OVER",
IF(AND(AC$5&lt;=100,'Final Term'!AC51&gt;100),"ERR",
IF(Info!$B$4="Non-board program",
IF(OR(AND(AC$5&gt;0,AC$5&gt;100),AND(AC$5&gt;0,AC$5&lt;100)),
VLOOKUP(FLOOR(('Final Term'!AC51/AC$5)*100,1),new_transmute,2,FALSE),
VLOOKUP('Final Term'!AC51,new_transmute,2,FALSE)
),
IF(Info!$B$4="Board program",
IF(OR(AND(AC$5&gt;0,AC$5&gt;100),AND(AC$5&gt;0,AC$5&lt;100)),
VLOOKUP(FLOOR(('Final Term'!AC51/AC$5)*100,1),new_transmute,3,FALSE),
VLOOKUP('Final Term'!AC51,new_transmute,3,FALSE)
),
IF(Info!$B$4="Board program (Medicine)",
IF(OR(AND(AC$5&gt;0,AC$5&gt;100),AND(AC$5&gt;0,AC$5&lt;100)),
VLOOKUP(FLOOR(('Final Term'!AC51/AC$5)*100,1),new_transmute,4,FALSE),
VLOOKUP('Final Term'!AC51,new_transmute,4,FALSE)
),
""
)
)
)
)
)
)
)
)
))</f>
        <v/>
      </c>
      <c r="AD51" s="73" t="str">
        <f>IF($B51="","",
IF(AD$5="","",
IF('Final Term'!AD51="",0,
IF(NOT(ISNUMBER('Final Term'!AD51)),"NAN",
IF('Final Term'!AD51&lt;0,"NEG",
IF('Final Term'!AD51&gt;AD$5,"OVER",
IF(AND(AD$5&lt;=100,'Final Term'!AD51&gt;100),"ERR",
IF(Info!$B$4="Non-board program",
IF(OR(AND(AD$5&gt;0,AD$5&gt;100),AND(AD$5&gt;0,AD$5&lt;100)),
VLOOKUP(FLOOR(('Final Term'!AD51/AD$5)*100,1),new_transmute,2,FALSE),
VLOOKUP('Final Term'!AD51,new_transmute,2,FALSE)
),
IF(Info!$B$4="Board program",
IF(OR(AND(AD$5&gt;0,AD$5&gt;100),AND(AD$5&gt;0,AD$5&lt;100)),
VLOOKUP(FLOOR(('Final Term'!AD51/AD$5)*100,1),new_transmute,3,FALSE),
VLOOKUP('Final Term'!AD51,new_transmute,3,FALSE)
),
IF(Info!$B$4="Board program (Medicine)",
IF(OR(AND(AD$5&gt;0,AD$5&gt;100),AND(AD$5&gt;0,AD$5&lt;100)),
VLOOKUP(FLOOR(('Final Term'!AD51/AD$5)*100,1),new_transmute,4,FALSE),
VLOOKUP('Final Term'!AD51,new_transmute,4,FALSE)
),
""
)
)
)
)
)
)
)
)
))</f>
        <v/>
      </c>
      <c r="AE51" s="58" t="str">
        <f t="shared" si="5"/>
        <v/>
      </c>
      <c r="AF51" s="73" t="str">
        <f>IF($B51="","",
IF(AF$5="","",
IF('Final Term'!AF51="",0,
IF(NOT(ISNUMBER('Final Term'!AF51)),"NAN",
IF('Final Term'!AF51&lt;0,"NEG",
IF('Final Term'!AF51&gt;AF$5,"OVER",
IF(AND(AF$5&lt;=100,'Final Term'!AF51&gt;100),"ERR",
IF(Info!$B$4="Non-board program",
IF(OR(AND(AF$5&gt;0,AF$5&gt;100),AND(AF$5&gt;0,AF$5&lt;100)),
VLOOKUP(FLOOR(('Final Term'!AF51/AF$5)*100,1),new_transmute,2,FALSE),
VLOOKUP('Final Term'!AF51,new_transmute,2,FALSE)
),
IF(Info!$B$4="Board program",
IF(OR(AND(AF$5&gt;0,AF$5&gt;100),AND(AF$5&gt;0,AF$5&lt;100)),
VLOOKUP(FLOOR(('Final Term'!AF51/AF$5)*100,1),new_transmute,3,FALSE),
VLOOKUP('Final Term'!AF51,new_transmute,3,FALSE)
),
IF(Info!$B$4="Board program (Medicine)",
IF(OR(AND(AF$5&gt;0,AF$5&gt;100),AND(AF$5&gt;0,AF$5&lt;100)),
VLOOKUP(FLOOR(('Final Term'!AF51/AF$5)*100,1),new_transmute,4,FALSE),
VLOOKUP('Final Term'!AF51,new_transmute,4,FALSE)
),
""
)
)
)
)
)
)
)
)
))</f>
        <v/>
      </c>
      <c r="AG51" s="73" t="str">
        <f>IF($B51="","",
IF(AG$5="","",
IF('Final Term'!AG51="",0,
IF(NOT(ISNUMBER('Final Term'!AG51)),"NAN",
IF('Final Term'!AG51&lt;0,"NEG",
IF('Final Term'!AG51&gt;AG$5,"OVER",
IF(AND(AG$5&lt;=100,'Final Term'!AG51&gt;100),"ERR",
IF(Info!$B$4="Non-board program",
IF(OR(AND(AG$5&gt;0,AG$5&gt;100),AND(AG$5&gt;0,AG$5&lt;100)),
VLOOKUP(FLOOR(('Final Term'!AG51/AG$5)*100,1),new_transmute,2,FALSE),
VLOOKUP('Final Term'!AG51,new_transmute,2,FALSE)
),
IF(Info!$B$4="Board program",
IF(OR(AND(AG$5&gt;0,AG$5&gt;100),AND(AG$5&gt;0,AG$5&lt;100)),
VLOOKUP(FLOOR(('Final Term'!AG51/AG$5)*100,1),new_transmute,3,FALSE),
VLOOKUP('Final Term'!AG51,new_transmute,3,FALSE)
),
IF(Info!$B$4="Board program (Medicine)",
IF(OR(AND(AG$5&gt;0,AG$5&gt;100),AND(AG$5&gt;0,AG$5&lt;100)),
VLOOKUP(FLOOR(('Final Term'!AG51/AG$5)*100,1),new_transmute,4,FALSE),
VLOOKUP('Final Term'!AG51,new_transmute,4,FALSE)
),
""
)
)
)
)
)
)
)
)
))</f>
        <v/>
      </c>
      <c r="AH51" s="73" t="str">
        <f>IF($B51="","",
IF(AH$5="","",
IF('Final Term'!AH51="",0,
IF(NOT(ISNUMBER('Final Term'!AH51)),"NAN",
IF('Final Term'!AH51&lt;0,"NEG",
IF('Final Term'!AH51&gt;AH$5,"OVER",
IF(AND(AH$5&lt;=100,'Final Term'!AH51&gt;100),"ERR",
IF(Info!$B$4="Non-board program",
IF(OR(AND(AH$5&gt;0,AH$5&gt;100),AND(AH$5&gt;0,AH$5&lt;100)),
VLOOKUP(FLOOR(('Final Term'!AH51/AH$5)*100,1),new_transmute,2,FALSE),
VLOOKUP('Final Term'!AH51,new_transmute,2,FALSE)
),
IF(Info!$B$4="Board program",
IF(OR(AND(AH$5&gt;0,AH$5&gt;100),AND(AH$5&gt;0,AH$5&lt;100)),
VLOOKUP(FLOOR(('Final Term'!AH51/AH$5)*100,1),new_transmute,3,FALSE),
VLOOKUP('Final Term'!AH51,new_transmute,3,FALSE)
),
IF(Info!$B$4="Board program (Medicine)",
IF(OR(AND(AH$5&gt;0,AH$5&gt;100),AND(AH$5&gt;0,AH$5&lt;100)),
VLOOKUP(FLOOR(('Final Term'!AH51/AH$5)*100,1),new_transmute,4,FALSE),
VLOOKUP('Final Term'!AH51,new_transmute,4,FALSE)
),
""
)
)
)
)
)
)
)
)
))</f>
        <v/>
      </c>
      <c r="AI51" s="73" t="str">
        <f>IF($B51="","",
IF(AI$5="","",
IF('Final Term'!AI51="",0,
IF(NOT(ISNUMBER('Final Term'!AI51)),"NAN",
IF('Final Term'!AI51&lt;0,"NEG",
IF('Final Term'!AI51&gt;AI$5,"OVER",
IF(AND(AI$5&lt;=100,'Final Term'!AI51&gt;100),"ERR",
IF(Info!$B$4="Non-board program",
IF(OR(AND(AI$5&gt;0,AI$5&gt;100),AND(AI$5&gt;0,AI$5&lt;100)),
VLOOKUP(FLOOR(('Final Term'!AI51/AI$5)*100,1),new_transmute,2,FALSE),
VLOOKUP('Final Term'!AI51,new_transmute,2,FALSE)
),
IF(Info!$B$4="Board program",
IF(OR(AND(AI$5&gt;0,AI$5&gt;100),AND(AI$5&gt;0,AI$5&lt;100)),
VLOOKUP(FLOOR(('Final Term'!AI51/AI$5)*100,1),new_transmute,3,FALSE),
VLOOKUP('Final Term'!AI51,new_transmute,3,FALSE)
),
IF(Info!$B$4="Board program (Medicine)",
IF(OR(AND(AI$5&gt;0,AI$5&gt;100),AND(AI$5&gt;0,AI$5&lt;100)),
VLOOKUP(FLOOR(('Final Term'!AI51/AI$5)*100,1),new_transmute,4,FALSE),
VLOOKUP('Final Term'!AI51,new_transmute,4,FALSE)
),
""
)
)
)
)
)
)
)
)
))</f>
        <v/>
      </c>
      <c r="AJ51" s="73" t="str">
        <f>IF($B51="","",
IF(AJ$5="","",
IF('Final Term'!AJ51="",0,
IF(NOT(ISNUMBER('Final Term'!AJ51)),"NAN",
IF('Final Term'!AJ51&lt;0,"NEG",
IF('Final Term'!AJ51&gt;AJ$5,"OVER",
IF(AND(AJ$5&lt;=100,'Final Term'!AJ51&gt;100),"ERR",
IF(Info!$B$4="Non-board program",
IF(OR(AND(AJ$5&gt;0,AJ$5&gt;100),AND(AJ$5&gt;0,AJ$5&lt;100)),
VLOOKUP(FLOOR(('Final Term'!AJ51/AJ$5)*100,1),new_transmute,2,FALSE),
VLOOKUP('Final Term'!AJ51,new_transmute,2,FALSE)
),
IF(Info!$B$4="Board program",
IF(OR(AND(AJ$5&gt;0,AJ$5&gt;100),AND(AJ$5&gt;0,AJ$5&lt;100)),
VLOOKUP(FLOOR(('Final Term'!AJ51/AJ$5)*100,1),new_transmute,3,FALSE),
VLOOKUP('Final Term'!AJ51,new_transmute,3,FALSE)
),
IF(Info!$B$4="Board program (Medicine)",
IF(OR(AND(AJ$5&gt;0,AJ$5&gt;100),AND(AJ$5&gt;0,AJ$5&lt;100)),
VLOOKUP(FLOOR(('Final Term'!AJ51/AJ$5)*100,1),new_transmute,4,FALSE),
VLOOKUP('Final Term'!AJ51,new_transmute,4,FALSE)
),
""
)
)
)
)
)
)
)
)
))</f>
        <v/>
      </c>
      <c r="AK51" s="59" t="str">
        <f t="shared" si="6"/>
        <v/>
      </c>
      <c r="AL51" s="60" t="str">
        <f>IF(B51="", "",
    IF(OR(M51="OVER", S51="OVER", Y51="OVER", AE51="OVER", AK51="OVER"),
        "OVER",
        IF(Info!$B$4="Non-board program",
            VLOOKUP(IFERROR(FLOOR(SUM((M51*$M$4), (S51*$S$4), (Y51*$Y$4), (AE51*$AE$4), (AK51*$AK$4)) * (100 / 60), 1), 0), new_transmute, 2, FALSE),
            IF(Info!$B$4="Board program",
                VLOOKUP(IFERROR(FLOOR(SUM((M51*$M$4), (S51*$S$4), (Y51*$Y$4), (AE51*$AE$4), (AK51*$AK$4)) * (100 / 60), 1), 0), new_transmute, 3, FALSE),
                IF(Info!$B$4="Board program (Medicine)",
                    VLOOKUP(IFERROR(FLOOR(SUM((M51*$M$4), (S51*$S$4), (Y51*$Y$4), (AE51*$AE$4), (AK51*$AK$4)) * (100 / 60), 1), 0), new_transmute, 4, FALSE),
                    ""
                )
            )
        )
    )
)</f>
        <v/>
      </c>
      <c r="AM51" s="73" t="str">
        <f>IF($B51="","",
IF(AM$5="","",
IF('Final Term'!AM51="",0,
IF(NOT(ISNUMBER('Final Term'!AM51)),"NAN",
IF('Final Term'!AM51&lt;0,"NEG",
IF('Final Term'!AM51&gt;AM$5,"OVER",
IF(AND(AM$5&lt;=100,'Final Term'!AM51&gt;100),"ERR",
IF(Info!$B$4="Non-board program",
IF(OR(AND(AM$5&gt;0,AM$5&gt;100),AND(AM$5&gt;0,AM$5&lt;100)),
VLOOKUP(FLOOR(('Final Term'!AM51/AM$5)*100,1),new_transmute,2,FALSE),
VLOOKUP('Final Term'!AM51,new_transmute,2,FALSE)
),
IF(Info!$B$4="Board program",
IF(OR(AND(AM$5&gt;0,AM$5&gt;100),AND(AM$5&gt;0,AM$5&lt;100)),
VLOOKUP(FLOOR(('Final Term'!AM51/AM$5)*100,1),new_transmute,3,FALSE),
VLOOKUP('Final Term'!AM51,new_transmute,3,FALSE)
),
IF(Info!$B$4="Board program (Medicine)",
IF(OR(AND(AM$5&gt;0,AM$5&gt;100),AND(AM$5&gt;0,AM$5&lt;100)),
VLOOKUP(FLOOR(('Final Term'!AM51/AM$5)*100,1),new_transmute,4,FALSE),
VLOOKUP('Final Term'!AM51,new_transmute,4,FALSE)
),
""
)
)
)
)
)
)
)
)
))</f>
        <v/>
      </c>
      <c r="AN51" s="73" t="str">
        <f>IF($B51="","",
IF(AN$5="","",
IF('Final Term'!AN51="",0,
IF(NOT(ISNUMBER('Final Term'!AN51)),"NAN",
IF('Final Term'!AN51&lt;0,"NEG",
IF('Final Term'!AN51&gt;AN$5,"OVER",
IF(AND(AN$5&lt;=100,'Final Term'!AN51&gt;100),"ERR",
IF(Info!$B$4="Non-board program",
IF(OR(AND(AN$5&gt;0,AN$5&gt;100),AND(AN$5&gt;0,AN$5&lt;100)),
VLOOKUP(FLOOR(('Final Term'!AN51/AN$5)*100,1),new_transmute,2,FALSE),
VLOOKUP('Final Term'!AN51,new_transmute,2,FALSE)
),
IF(Info!$B$4="Board program",
IF(OR(AND(AN$5&gt;0,AN$5&gt;100),AND(AN$5&gt;0,AN$5&lt;100)),
VLOOKUP(FLOOR(('Final Term'!AN51/AN$5)*100,1),new_transmute,3,FALSE),
VLOOKUP('Final Term'!AN51,new_transmute,3,FALSE)
),
IF(Info!$B$4="Board program (Medicine)",
IF(OR(AND(AN$5&gt;0,AN$5&gt;100),AND(AN$5&gt;0,AN$5&lt;100)),
VLOOKUP(FLOOR(('Final Term'!AN51/AN$5)*100,1),new_transmute,4,FALSE),
VLOOKUP('Final Term'!AN51,new_transmute,4,FALSE)
),
""
)
)
)
)
)
)
)
)
))</f>
        <v/>
      </c>
      <c r="AO51" s="73" t="str">
        <f>IF($B51="","",
IF(AO$5="","",
IF('Final Term'!AO51="",0,
IF(NOT(ISNUMBER('Final Term'!AO51)),"NAN",
IF('Final Term'!AO51&lt;0,"NEG",
IF('Final Term'!AO51&gt;AO$5,"OVER",
IF(AND(AO$5&lt;=100,'Final Term'!AO51&gt;100),"ERR",
IF(Info!$B$4="Non-board program",
IF(OR(AND(AO$5&gt;0,AO$5&gt;100),AND(AO$5&gt;0,AO$5&lt;100)),
VLOOKUP(FLOOR(('Final Term'!AO51/AO$5)*100,1),new_transmute,2,FALSE),
VLOOKUP('Final Term'!AO51,new_transmute,2,FALSE)
),
IF(Info!$B$4="Board program",
IF(OR(AND(AO$5&gt;0,AO$5&gt;100),AND(AO$5&gt;0,AO$5&lt;100)),
VLOOKUP(FLOOR(('Final Term'!AO51/AO$5)*100,1),new_transmute,3,FALSE),
VLOOKUP('Final Term'!AO51,new_transmute,3,FALSE)
),
IF(Info!$B$4="Board program (Medicine)",
IF(OR(AND(AO$5&gt;0,AO$5&gt;100),AND(AO$5&gt;0,AO$5&lt;100)),
VLOOKUP(FLOOR(('Final Term'!AO51/AO$5)*100,1),new_transmute,4,FALSE),
VLOOKUP('Final Term'!AO51,new_transmute,4,FALSE)
),
""
)
)
)
)
)
)
)
)
))</f>
        <v/>
      </c>
      <c r="AP51" s="73" t="str">
        <f>IF($B51="","",
IF(AP$5="","",
IF('Final Term'!AP51="",0,
IF(NOT(ISNUMBER('Final Term'!AP51)),"NAN",
IF('Final Term'!AP51&lt;0,"NEG",
IF('Final Term'!AP51&gt;AP$5,"OVER",
IF(AND(AP$5&lt;=100,'Final Term'!AP51&gt;100),"ERR",
IF(Info!$B$4="Non-board program",
IF(OR(AND(AP$5&gt;0,AP$5&gt;100),AND(AP$5&gt;0,AP$5&lt;100)),
VLOOKUP(FLOOR(('Final Term'!AP51/AP$5)*100,1),new_transmute,2,FALSE),
VLOOKUP('Final Term'!AP51,new_transmute,2,FALSE)
),
IF(Info!$B$4="Board program",
IF(OR(AND(AP$5&gt;0,AP$5&gt;100),AND(AP$5&gt;0,AP$5&lt;100)),
VLOOKUP(FLOOR(('Final Term'!AP51/AP$5)*100,1),new_transmute,3,FALSE),
VLOOKUP('Final Term'!AP51,new_transmute,3,FALSE)
),
IF(Info!$B$4="Board program (Medicine)",
IF(OR(AND(AP$5&gt;0,AP$5&gt;100),AND(AP$5&gt;0,AP$5&lt;100)),
VLOOKUP(FLOOR(('Final Term'!AP51/AP$5)*100,1),new_transmute,4,FALSE),
VLOOKUP('Final Term'!AP51,new_transmute,4,FALSE)
),
""
)
)
)
)
)
)
)
)
))</f>
        <v/>
      </c>
      <c r="AQ51" s="61" t="str">
        <f t="shared" si="7"/>
        <v/>
      </c>
      <c r="AR51" s="48" t="str">
        <f>IF('Final Term'!AR51="","",'Final Term'!AR51)</f>
        <v/>
      </c>
      <c r="AS51" s="165" t="str">
        <f t="shared" si="8"/>
        <v/>
      </c>
      <c r="AT51" s="14" t="str">
        <f t="shared" si="9"/>
        <v/>
      </c>
      <c r="AU51" s="13" t="str">
        <f>IF(B51="","",VLOOKUP(AT51,'New Grade Equivalent'!$B$3:$C$47,2,FALSE))</f>
        <v/>
      </c>
    </row>
    <row r="52" spans="1:47" x14ac:dyDescent="0.25">
      <c r="A52" s="8">
        <v>47</v>
      </c>
      <c r="B52" s="2" t="str">
        <f>IF('Student List'!C56="","",UPPER(LEFT('Student List'!C56,FIND(",",'Student List'!C56)-1)))</f>
        <v/>
      </c>
      <c r="C52" s="12" t="str">
        <f>IF('Student List'!C56="","",PROPER(MID('Student List'!C56, FIND(",", 'Student List'!C56) + 2, LEN('Student List'!C56) - FIND(",", 'Student List'!C56) - 1)))</f>
        <v/>
      </c>
      <c r="D52" s="127" t="str">
        <f>IF('Final Term'!D52="","",'Final Term'!D52)</f>
        <v/>
      </c>
      <c r="E52" s="8" t="str">
        <f>IF(MidCom!E52="FA", "FA",
    IF(MidCom!E52="DRP", "DRP",
        IF(MidCom!E52="WF", "WF",
            IF(D52="Yes", "INC",
               IF((SUM('MT Attendance'!AW50) / 3 + SUM('MT Attendance'!AY50) + SUM('FT Attendance'!AW50) / 3 + SUM('FT Attendance'!AY50)) &gt;= 0.2 * (SUMPRODUCT(--(ISTEXT('MT Attendance'!$C$2:$AU$2))) + SUMPRODUCT(--(ISTEXT('FT Attendance'!$C$2:$AU$2)))), "FA",
                   MidCom!E52
                )
            )
        )
    )
)</f>
        <v/>
      </c>
      <c r="F52" s="73" t="str">
        <f>IF($B52="","",
IF(F$5="","",
IF('Final Term'!F52="",0,
IF(NOT(ISNUMBER('Final Term'!F52)),"NAN",
IF('Final Term'!F52&lt;0,"NEG",
IF('Final Term'!F52&gt;F$5,"OVER",
IF(AND(F$5&lt;=100,'Final Term'!F52&gt;100),"ERR",
IF(Info!$B$4="Non-board program",
IF(OR(AND(F$5&gt;0,F$5&gt;100),AND(F$5&gt;0,F$5&lt;100)),
VLOOKUP(FLOOR(('Final Term'!F52/F$5)*100,1),new_transmute,2,FALSE),
VLOOKUP('Final Term'!F52,new_transmute,2,FALSE)
),
IF(Info!$B$4="Board program",
IF(OR(AND(F$5&gt;0,F$5&gt;100),AND(F$5&gt;0,F$5&lt;100)),
VLOOKUP(FLOOR(('Final Term'!F52/F$5)*100,1),new_transmute,3,FALSE),
VLOOKUP('Final Term'!F52,new_transmute,3,FALSE)
),
IF(Info!$B$4="Board program (Medicine)",
IF(OR(AND(F$5&gt;0,F$5&gt;100),AND(F$5&gt;0,F$5&lt;100)),
VLOOKUP(FLOOR(('Final Term'!F52/F$5)*100,1),new_transmute,4,FALSE),
VLOOKUP('Final Term'!F52,new_transmute,4,FALSE)
),
""
)
)
)
)
)
)
)
)
))</f>
        <v/>
      </c>
      <c r="G52" s="57" t="str">
        <f t="shared" si="1"/>
        <v/>
      </c>
      <c r="H52" s="73" t="str">
        <f>IF($B52="","",
IF(H$5="","",
IF('Final Term'!H52="",0,
IF(NOT(ISNUMBER('Final Term'!H52)),"NAN",
IF('Final Term'!H52&lt;0,"NEG",
IF('Final Term'!H52&gt;H$5,"OVER",
IF(AND(H$5&lt;=100,'Final Term'!H52&gt;100),"ERR",
IF(Info!$B$4="Non-board program",
IF(OR(AND(H$5&gt;0,H$5&gt;100),AND(H$5&gt;0,H$5&lt;100)),
VLOOKUP(FLOOR(('Final Term'!H52/H$5)*100,1),new_transmute,2,FALSE),
VLOOKUP('Final Term'!H52,new_transmute,2,FALSE)
),
IF(Info!$B$4="Board program",
IF(OR(AND(H$5&gt;0,H$5&gt;100),AND(H$5&gt;0,H$5&lt;100)),
VLOOKUP(FLOOR(('Final Term'!H52/H$5)*100,1),new_transmute,3,FALSE),
VLOOKUP('Final Term'!H52,new_transmute,3,FALSE)
),
IF(Info!$B$4="Board program (Medicine)",
IF(OR(AND(H$5&gt;0,H$5&gt;100),AND(H$5&gt;0,H$5&lt;100)),
VLOOKUP(FLOOR(('Final Term'!H52/H$5)*100,1),new_transmute,4,FALSE),
VLOOKUP('Final Term'!H52,new_transmute,4,FALSE)
),
""
)
)
)
)
)
)
)
)
))</f>
        <v/>
      </c>
      <c r="I52" s="73" t="str">
        <f>IF($B52="","",
IF(I$5="","",
IF('Final Term'!I52="",0,
IF(NOT(ISNUMBER('Final Term'!I52)),"NAN",
IF('Final Term'!I52&lt;0,"NEG",
IF('Final Term'!I52&gt;I$5,"OVER",
IF(AND(I$5&lt;=100,'Final Term'!I52&gt;100),"ERR",
IF(Info!$B$4="Non-board program",
IF(OR(AND(I$5&gt;0,I$5&gt;100),AND(I$5&gt;0,I$5&lt;100)),
VLOOKUP(FLOOR(('Final Term'!I52/I$5)*100,1),new_transmute,2,FALSE),
VLOOKUP('Final Term'!I52,new_transmute,2,FALSE)
),
IF(Info!$B$4="Board program",
IF(OR(AND(I$5&gt;0,I$5&gt;100),AND(I$5&gt;0,I$5&lt;100)),
VLOOKUP(FLOOR(('Final Term'!I52/I$5)*100,1),new_transmute,3,FALSE),
VLOOKUP('Final Term'!I52,new_transmute,3,FALSE)
),
IF(Info!$B$4="Board program (Medicine)",
IF(OR(AND(I$5&gt;0,I$5&gt;100),AND(I$5&gt;0,I$5&lt;100)),
VLOOKUP(FLOOR(('Final Term'!I52/I$5)*100,1),new_transmute,4,FALSE),
VLOOKUP('Final Term'!I52,new_transmute,4,FALSE)
),
""
)
)
)
)
)
)
)
)
))</f>
        <v/>
      </c>
      <c r="J52" s="73" t="str">
        <f>IF($B52="","",
IF(J$5="","",
IF('Final Term'!J52="",0,
IF(NOT(ISNUMBER('Final Term'!J52)),"NAN",
IF('Final Term'!J52&lt;0,"NEG",
IF('Final Term'!J52&gt;J$5,"OVER",
IF(AND(J$5&lt;=100,'Final Term'!J52&gt;100),"ERR",
IF(Info!$B$4="Non-board program",
IF(OR(AND(J$5&gt;0,J$5&gt;100),AND(J$5&gt;0,J$5&lt;100)),
VLOOKUP(FLOOR(('Final Term'!J52/J$5)*100,1),new_transmute,2,FALSE),
VLOOKUP('Final Term'!J52,new_transmute,2,FALSE)
),
IF(Info!$B$4="Board program",
IF(OR(AND(J$5&gt;0,J$5&gt;100),AND(J$5&gt;0,J$5&lt;100)),
VLOOKUP(FLOOR(('Final Term'!J52/J$5)*100,1),new_transmute,3,FALSE),
VLOOKUP('Final Term'!J52,new_transmute,3,FALSE)
),
IF(Info!$B$4="Board program (Medicine)",
IF(OR(AND(J$5&gt;0,J$5&gt;100),AND(J$5&gt;0,J$5&lt;100)),
VLOOKUP(FLOOR(('Final Term'!J52/J$5)*100,1),new_transmute,4,FALSE),
VLOOKUP('Final Term'!J52,new_transmute,4,FALSE)
),
""
)
)
)
)
)
)
)
)
))</f>
        <v/>
      </c>
      <c r="K52" s="73" t="str">
        <f>IF($B52="","",
IF(K$5="","",
IF('Final Term'!K52="",0,
IF(NOT(ISNUMBER('Final Term'!K52)),"NAN",
IF('Final Term'!K52&lt;0,"NEG",
IF('Final Term'!K52&gt;K$5,"OVER",
IF(AND(K$5&lt;=100,'Final Term'!K52&gt;100),"ERR",
IF(Info!$B$4="Non-board program",
IF(OR(AND(K$5&gt;0,K$5&gt;100),AND(K$5&gt;0,K$5&lt;100)),
VLOOKUP(FLOOR(('Final Term'!K52/K$5)*100,1),new_transmute,2,FALSE),
VLOOKUP('Final Term'!K52,new_transmute,2,FALSE)
),
IF(Info!$B$4="Board program",
IF(OR(AND(K$5&gt;0,K$5&gt;100),AND(K$5&gt;0,K$5&lt;100)),
VLOOKUP(FLOOR(('Final Term'!K52/K$5)*100,1),new_transmute,3,FALSE),
VLOOKUP('Final Term'!K52,new_transmute,3,FALSE)
),
IF(Info!$B$4="Board program (Medicine)",
IF(OR(AND(K$5&gt;0,K$5&gt;100),AND(K$5&gt;0,K$5&lt;100)),
VLOOKUP(FLOOR(('Final Term'!K52/K$5)*100,1),new_transmute,4,FALSE),
VLOOKUP('Final Term'!K52,new_transmute,4,FALSE)
),
""
)
)
)
)
)
)
)
)
))</f>
        <v/>
      </c>
      <c r="L52" s="73" t="str">
        <f>IF($B52="","",
IF(L$5="","",
IF('Final Term'!L52="",0,
IF(NOT(ISNUMBER('Final Term'!L52)),"NAN",
IF('Final Term'!L52&lt;0,"NEG",
IF('Final Term'!L52&gt;L$5,"OVER",
IF(AND(L$5&lt;=100,'Final Term'!L52&gt;100),"ERR",
IF(Info!$B$4="Non-board program",
IF(OR(AND(L$5&gt;0,L$5&gt;100),AND(L$5&gt;0,L$5&lt;100)),
VLOOKUP(FLOOR(('Final Term'!L52/L$5)*100,1),new_transmute,2,FALSE),
VLOOKUP('Final Term'!L52,new_transmute,2,FALSE)
),
IF(Info!$B$4="Board program",
IF(OR(AND(L$5&gt;0,L$5&gt;100),AND(L$5&gt;0,L$5&lt;100)),
VLOOKUP(FLOOR(('Final Term'!L52/L$5)*100,1),new_transmute,3,FALSE),
VLOOKUP('Final Term'!L52,new_transmute,3,FALSE)
),
IF(Info!$B$4="Board program (Medicine)",
IF(OR(AND(L$5&gt;0,L$5&gt;100),AND(L$5&gt;0,L$5&lt;100)),
VLOOKUP(FLOOR(('Final Term'!L52/L$5)*100,1),new_transmute,4,FALSE),
VLOOKUP('Final Term'!L52,new_transmute,4,FALSE)
),
""
)
)
)
)
)
)
)
)
))</f>
        <v/>
      </c>
      <c r="M52" s="111" t="str">
        <f t="shared" si="2"/>
        <v/>
      </c>
      <c r="N52" s="73" t="str">
        <f>IF($B52="","",
IF(N$5="","",
IF('Final Term'!N52="",0,
IF(NOT(ISNUMBER('Final Term'!N52)),"NAN",
IF('Final Term'!N52&lt;0,"NEG",
IF('Final Term'!N52&gt;N$5,"OVER",
IF(AND(N$5&lt;=100,'Final Term'!N52&gt;100),"ERR",
IF(Info!$B$4="Non-board program",
IF(OR(AND(N$5&gt;0,N$5&gt;100),AND(N$5&gt;0,N$5&lt;100)),
VLOOKUP(FLOOR(('Final Term'!N52/N$5)*100,1),new_transmute,2,FALSE),
VLOOKUP('Final Term'!N52,new_transmute,2,FALSE)
),
IF(Info!$B$4="Board program",
IF(OR(AND(N$5&gt;0,N$5&gt;100),AND(N$5&gt;0,N$5&lt;100)),
VLOOKUP(FLOOR(('Final Term'!N52/N$5)*100,1),new_transmute,3,FALSE),
VLOOKUP('Final Term'!N52,new_transmute,3,FALSE)
),
IF(Info!$B$4="Board program (Medicine)",
IF(OR(AND(N$5&gt;0,N$5&gt;100),AND(N$5&gt;0,N$5&lt;100)),
VLOOKUP(FLOOR(('Final Term'!N52/N$5)*100,1),new_transmute,4,FALSE),
VLOOKUP('Final Term'!N52,new_transmute,4,FALSE)
),
""
)
)
)
)
)
)
)
)
))</f>
        <v/>
      </c>
      <c r="O52" s="73" t="str">
        <f>IF($B52="","",
IF(O$5="","",
IF('Final Term'!O52="",0,
IF(NOT(ISNUMBER('Final Term'!O52)),"NAN",
IF('Final Term'!O52&lt;0,"NEG",
IF('Final Term'!O52&gt;O$5,"OVER",
IF(AND(O$5&lt;=100,'Final Term'!O52&gt;100),"ERR",
IF(Info!$B$4="Non-board program",
IF(OR(AND(O$5&gt;0,O$5&gt;100),AND(O$5&gt;0,O$5&lt;100)),
VLOOKUP(FLOOR(('Final Term'!O52/O$5)*100,1),new_transmute,2,FALSE),
VLOOKUP('Final Term'!O52,new_transmute,2,FALSE)
),
IF(Info!$B$4="Board program",
IF(OR(AND(O$5&gt;0,O$5&gt;100),AND(O$5&gt;0,O$5&lt;100)),
VLOOKUP(FLOOR(('Final Term'!O52/O$5)*100,1),new_transmute,3,FALSE),
VLOOKUP('Final Term'!O52,new_transmute,3,FALSE)
),
IF(Info!$B$4="Board program (Medicine)",
IF(OR(AND(O$5&gt;0,O$5&gt;100),AND(O$5&gt;0,O$5&lt;100)),
VLOOKUP(FLOOR(('Final Term'!O52/O$5)*100,1),new_transmute,4,FALSE),
VLOOKUP('Final Term'!O52,new_transmute,4,FALSE)
),
""
)
)
)
)
)
)
)
)
))</f>
        <v/>
      </c>
      <c r="P52" s="73" t="str">
        <f>IF($B52="","",
IF(P$5="","",
IF('Final Term'!P52="",0,
IF(NOT(ISNUMBER('Final Term'!P52)),"NAN",
IF('Final Term'!P52&lt;0,"NEG",
IF('Final Term'!P52&gt;P$5,"OVER",
IF(AND(P$5&lt;=100,'Final Term'!P52&gt;100),"ERR",
IF(Info!$B$4="Non-board program",
IF(OR(AND(P$5&gt;0,P$5&gt;100),AND(P$5&gt;0,P$5&lt;100)),
VLOOKUP(FLOOR(('Final Term'!P52/P$5)*100,1),new_transmute,2,FALSE),
VLOOKUP('Final Term'!P52,new_transmute,2,FALSE)
),
IF(Info!$B$4="Board program",
IF(OR(AND(P$5&gt;0,P$5&gt;100),AND(P$5&gt;0,P$5&lt;100)),
VLOOKUP(FLOOR(('Final Term'!P52/P$5)*100,1),new_transmute,3,FALSE),
VLOOKUP('Final Term'!P52,new_transmute,3,FALSE)
),
IF(Info!$B$4="Board program (Medicine)",
IF(OR(AND(P$5&gt;0,P$5&gt;100),AND(P$5&gt;0,P$5&lt;100)),
VLOOKUP(FLOOR(('Final Term'!P52/P$5)*100,1),new_transmute,4,FALSE),
VLOOKUP('Final Term'!P52,new_transmute,4,FALSE)
),
""
)
)
)
)
)
)
)
)
))</f>
        <v/>
      </c>
      <c r="Q52" s="73" t="str">
        <f>IF($B52="","",
IF(Q$5="","",
IF('Final Term'!Q52="",0,
IF(NOT(ISNUMBER('Final Term'!Q52)),"NAN",
IF('Final Term'!Q52&lt;0,"NEG",
IF('Final Term'!Q52&gt;Q$5,"OVER",
IF(AND(Q$5&lt;=100,'Final Term'!Q52&gt;100),"ERR",
IF(Info!$B$4="Non-board program",
IF(OR(AND(Q$5&gt;0,Q$5&gt;100),AND(Q$5&gt;0,Q$5&lt;100)),
VLOOKUP(FLOOR(('Final Term'!Q52/Q$5)*100,1),new_transmute,2,FALSE),
VLOOKUP('Final Term'!Q52,new_transmute,2,FALSE)
),
IF(Info!$B$4="Board program",
IF(OR(AND(Q$5&gt;0,Q$5&gt;100),AND(Q$5&gt;0,Q$5&lt;100)),
VLOOKUP(FLOOR(('Final Term'!Q52/Q$5)*100,1),new_transmute,3,FALSE),
VLOOKUP('Final Term'!Q52,new_transmute,3,FALSE)
),
IF(Info!$B$4="Board program (Medicine)",
IF(OR(AND(Q$5&gt;0,Q$5&gt;100),AND(Q$5&gt;0,Q$5&lt;100)),
VLOOKUP(FLOOR(('Final Term'!Q52/Q$5)*100,1),new_transmute,4,FALSE),
VLOOKUP('Final Term'!Q52,new_transmute,4,FALSE)
),
""
)
)
)
)
)
)
)
)
))</f>
        <v/>
      </c>
      <c r="R52" s="73" t="str">
        <f>IF($B52="","",
IF(R$5="","",
IF('Final Term'!R52="",0,
IF(NOT(ISNUMBER('Final Term'!R52)),"NAN",
IF('Final Term'!R52&lt;0,"NEG",
IF('Final Term'!R52&gt;R$5,"OVER",
IF(AND(R$5&lt;=100,'Final Term'!R52&gt;100),"ERR",
IF(Info!$B$4="Non-board program",
IF(OR(AND(R$5&gt;0,R$5&gt;100),AND(R$5&gt;0,R$5&lt;100)),
VLOOKUP(FLOOR(('Final Term'!R52/R$5)*100,1),new_transmute,2,FALSE),
VLOOKUP('Final Term'!R52,new_transmute,2,FALSE)
),
IF(Info!$B$4="Board program",
IF(OR(AND(R$5&gt;0,R$5&gt;100),AND(R$5&gt;0,R$5&lt;100)),
VLOOKUP(FLOOR(('Final Term'!R52/R$5)*100,1),new_transmute,3,FALSE),
VLOOKUP('Final Term'!R52,new_transmute,3,FALSE)
),
IF(Info!$B$4="Board program (Medicine)",
IF(OR(AND(R$5&gt;0,R$5&gt;100),AND(R$5&gt;0,R$5&lt;100)),
VLOOKUP(FLOOR(('Final Term'!R52/R$5)*100,1),new_transmute,4,FALSE),
VLOOKUP('Final Term'!R52,new_transmute,4,FALSE)
),
""
)
)
)
)
)
)
)
)
))</f>
        <v/>
      </c>
      <c r="S52" s="115" t="str">
        <f t="shared" si="3"/>
        <v/>
      </c>
      <c r="T52" s="73" t="str">
        <f>IF($B52="","",
IF(T$5="","",
IF('Final Term'!T52="",0,
IF(NOT(ISNUMBER('Final Term'!T52)),"NAN",
IF('Final Term'!T52&lt;0,"NEG",
IF('Final Term'!T52&gt;T$5,"OVER",
IF(AND(T$5&lt;=100,'Final Term'!T52&gt;100),"ERR",
IF(Info!$B$4="Non-board program",
IF(OR(AND(T$5&gt;0,T$5&gt;100),AND(T$5&gt;0,T$5&lt;100)),
VLOOKUP(FLOOR(('Final Term'!T52/T$5)*100,1),new_transmute,2,FALSE),
VLOOKUP('Final Term'!T52,new_transmute,2,FALSE)
),
IF(Info!$B$4="Board program",
IF(OR(AND(T$5&gt;0,T$5&gt;100),AND(T$5&gt;0,T$5&lt;100)),
VLOOKUP(FLOOR(('Final Term'!T52/T$5)*100,1),new_transmute,3,FALSE),
VLOOKUP('Final Term'!T52,new_transmute,3,FALSE)
),
IF(Info!$B$4="Board program (Medicine)",
IF(OR(AND(T$5&gt;0,T$5&gt;100),AND(T$5&gt;0,T$5&lt;100)),
VLOOKUP(FLOOR(('Final Term'!T52/T$5)*100,1),new_transmute,4,FALSE),
VLOOKUP('Final Term'!T52,new_transmute,4,FALSE)
),
""
)
)
)
)
)
)
)
)
))</f>
        <v/>
      </c>
      <c r="U52" s="73" t="str">
        <f>IF($B52="","",
IF(U$5="","",
IF('Final Term'!U52="",0,
IF(NOT(ISNUMBER('Final Term'!U52)),"NAN",
IF('Final Term'!U52&lt;0,"NEG",
IF('Final Term'!U52&gt;U$5,"OVER",
IF(AND(U$5&lt;=100,'Final Term'!U52&gt;100),"ERR",
IF(Info!$B$4="Non-board program",
IF(OR(AND(U$5&gt;0,U$5&gt;100),AND(U$5&gt;0,U$5&lt;100)),
VLOOKUP(FLOOR(('Final Term'!U52/U$5)*100,1),new_transmute,2,FALSE),
VLOOKUP('Final Term'!U52,new_transmute,2,FALSE)
),
IF(Info!$B$4="Board program",
IF(OR(AND(U$5&gt;0,U$5&gt;100),AND(U$5&gt;0,U$5&lt;100)),
VLOOKUP(FLOOR(('Final Term'!U52/U$5)*100,1),new_transmute,3,FALSE),
VLOOKUP('Final Term'!U52,new_transmute,3,FALSE)
),
IF(Info!$B$4="Board program (Medicine)",
IF(OR(AND(U$5&gt;0,U$5&gt;100),AND(U$5&gt;0,U$5&lt;100)),
VLOOKUP(FLOOR(('Final Term'!U52/U$5)*100,1),new_transmute,4,FALSE),
VLOOKUP('Final Term'!U52,new_transmute,4,FALSE)
),
""
)
)
)
)
)
)
)
)
))</f>
        <v/>
      </c>
      <c r="V52" s="73" t="str">
        <f>IF($B52="","",
IF(V$5="","",
IF('Final Term'!V52="",0,
IF(NOT(ISNUMBER('Final Term'!V52)),"NAN",
IF('Final Term'!V52&lt;0,"NEG",
IF('Final Term'!V52&gt;V$5,"OVER",
IF(AND(V$5&lt;=100,'Final Term'!V52&gt;100),"ERR",
IF(Info!$B$4="Non-board program",
IF(OR(AND(V$5&gt;0,V$5&gt;100),AND(V$5&gt;0,V$5&lt;100)),
VLOOKUP(FLOOR(('Final Term'!V52/V$5)*100,1),new_transmute,2,FALSE),
VLOOKUP('Final Term'!V52,new_transmute,2,FALSE)
),
IF(Info!$B$4="Board program",
IF(OR(AND(V$5&gt;0,V$5&gt;100),AND(V$5&gt;0,V$5&lt;100)),
VLOOKUP(FLOOR(('Final Term'!V52/V$5)*100,1),new_transmute,3,FALSE),
VLOOKUP('Final Term'!V52,new_transmute,3,FALSE)
),
IF(Info!$B$4="Board program (Medicine)",
IF(OR(AND(V$5&gt;0,V$5&gt;100),AND(V$5&gt;0,V$5&lt;100)),
VLOOKUP(FLOOR(('Final Term'!V52/V$5)*100,1),new_transmute,4,FALSE),
VLOOKUP('Final Term'!V52,new_transmute,4,FALSE)
),
""
)
)
)
)
)
)
)
)
))</f>
        <v/>
      </c>
      <c r="W52" s="73" t="str">
        <f>IF($B52="","",
IF(W$5="","",
IF('Final Term'!W52="",0,
IF(NOT(ISNUMBER('Final Term'!W52)),"NAN",
IF('Final Term'!W52&lt;0,"NEG",
IF('Final Term'!W52&gt;W$5,"OVER",
IF(AND(W$5&lt;=100,'Final Term'!W52&gt;100),"ERR",
IF(Info!$B$4="Non-board program",
IF(OR(AND(W$5&gt;0,W$5&gt;100),AND(W$5&gt;0,W$5&lt;100)),
VLOOKUP(FLOOR(('Final Term'!W52/W$5)*100,1),new_transmute,2,FALSE),
VLOOKUP('Final Term'!W52,new_transmute,2,FALSE)
),
IF(Info!$B$4="Board program",
IF(OR(AND(W$5&gt;0,W$5&gt;100),AND(W$5&gt;0,W$5&lt;100)),
VLOOKUP(FLOOR(('Final Term'!W52/W$5)*100,1),new_transmute,3,FALSE),
VLOOKUP('Final Term'!W52,new_transmute,3,FALSE)
),
IF(Info!$B$4="Board program (Medicine)",
IF(OR(AND(W$5&gt;0,W$5&gt;100),AND(W$5&gt;0,W$5&lt;100)),
VLOOKUP(FLOOR(('Final Term'!W52/W$5)*100,1),new_transmute,4,FALSE),
VLOOKUP('Final Term'!W52,new_transmute,4,FALSE)
),
""
)
)
)
)
)
)
)
)
))</f>
        <v/>
      </c>
      <c r="X52" s="73" t="str">
        <f>IF($B52="","",
IF(X$5="","",
IF('Final Term'!X52="",0,
IF(NOT(ISNUMBER('Final Term'!X52)),"NAN",
IF('Final Term'!X52&lt;0,"NEG",
IF('Final Term'!X52&gt;X$5,"OVER",
IF(AND(X$5&lt;=100,'Final Term'!X52&gt;100),"ERR",
IF(Info!$B$4="Non-board program",
IF(OR(AND(X$5&gt;0,X$5&gt;100),AND(X$5&gt;0,X$5&lt;100)),
VLOOKUP(FLOOR(('Final Term'!X52/X$5)*100,1),new_transmute,2,FALSE),
VLOOKUP('Final Term'!X52,new_transmute,2,FALSE)
),
IF(Info!$B$4="Board program",
IF(OR(AND(X$5&gt;0,X$5&gt;100),AND(X$5&gt;0,X$5&lt;100)),
VLOOKUP(FLOOR(('Final Term'!X52/X$5)*100,1),new_transmute,3,FALSE),
VLOOKUP('Final Term'!X52,new_transmute,3,FALSE)
),
IF(Info!$B$4="Board program (Medicine)",
IF(OR(AND(X$5&gt;0,X$5&gt;100),AND(X$5&gt;0,X$5&lt;100)),
VLOOKUP(FLOOR(('Final Term'!X52/X$5)*100,1),new_transmute,4,FALSE),
VLOOKUP('Final Term'!X52,new_transmute,4,FALSE)
),
""
)
)
)
)
)
)
)
)
))</f>
        <v/>
      </c>
      <c r="Y52" s="112" t="str">
        <f t="shared" si="4"/>
        <v/>
      </c>
      <c r="Z52" s="73" t="str">
        <f>IF($B52="","",
IF(Z$5="","",
IF('Final Term'!Z52="",0,
IF(NOT(ISNUMBER('Final Term'!Z52)),"NAN",
IF('Final Term'!Z52&lt;0,"NEG",
IF('Final Term'!Z52&gt;Z$5,"OVER",
IF(AND(Z$5&lt;=100,'Final Term'!Z52&gt;100),"ERR",
IF(Info!$B$4="Non-board program",
IF(OR(AND(Z$5&gt;0,Z$5&gt;100),AND(Z$5&gt;0,Z$5&lt;100)),
VLOOKUP(FLOOR(('Final Term'!Z52/Z$5)*100,1),new_transmute,2,FALSE),
VLOOKUP('Final Term'!Z52,new_transmute,2,FALSE)
),
IF(Info!$B$4="Board program",
IF(OR(AND(Z$5&gt;0,Z$5&gt;100),AND(Z$5&gt;0,Z$5&lt;100)),
VLOOKUP(FLOOR(('Final Term'!Z52/Z$5)*100,1),new_transmute,3,FALSE),
VLOOKUP('Final Term'!Z52,new_transmute,3,FALSE)
),
IF(Info!$B$4="Board program (Medicine)",
IF(OR(AND(Z$5&gt;0,Z$5&gt;100),AND(Z$5&gt;0,Z$5&lt;100)),
VLOOKUP(FLOOR(('Final Term'!Z52/Z$5)*100,1),new_transmute,4,FALSE),
VLOOKUP('Final Term'!Z52,new_transmute,4,FALSE)
),
""
)
)
)
)
)
)
)
)
))</f>
        <v/>
      </c>
      <c r="AA52" s="73" t="str">
        <f>IF($B52="","",
IF(AA$5="","",
IF('Final Term'!AA52="",0,
IF(NOT(ISNUMBER('Final Term'!AA52)),"NAN",
IF('Final Term'!AA52&lt;0,"NEG",
IF('Final Term'!AA52&gt;AA$5,"OVER",
IF(AND(AA$5&lt;=100,'Final Term'!AA52&gt;100),"ERR",
IF(Info!$B$4="Non-board program",
IF(OR(AND(AA$5&gt;0,AA$5&gt;100),AND(AA$5&gt;0,AA$5&lt;100)),
VLOOKUP(FLOOR(('Final Term'!AA52/AA$5)*100,1),new_transmute,2,FALSE),
VLOOKUP('Final Term'!AA52,new_transmute,2,FALSE)
),
IF(Info!$B$4="Board program",
IF(OR(AND(AA$5&gt;0,AA$5&gt;100),AND(AA$5&gt;0,AA$5&lt;100)),
VLOOKUP(FLOOR(('Final Term'!AA52/AA$5)*100,1),new_transmute,3,FALSE),
VLOOKUP('Final Term'!AA52,new_transmute,3,FALSE)
),
IF(Info!$B$4="Board program (Medicine)",
IF(OR(AND(AA$5&gt;0,AA$5&gt;100),AND(AA$5&gt;0,AA$5&lt;100)),
VLOOKUP(FLOOR(('Final Term'!AA52/AA$5)*100,1),new_transmute,4,FALSE),
VLOOKUP('Final Term'!AA52,new_transmute,4,FALSE)
),
""
)
)
)
)
)
)
)
)
))</f>
        <v/>
      </c>
      <c r="AB52" s="73" t="str">
        <f>IF($B52="","",
IF(AB$5="","",
IF('Final Term'!AB52="",0,
IF(NOT(ISNUMBER('Final Term'!AB52)),"NAN",
IF('Final Term'!AB52&lt;0,"NEG",
IF('Final Term'!AB52&gt;AB$5,"OVER",
IF(AND(AB$5&lt;=100,'Final Term'!AB52&gt;100),"ERR",
IF(Info!$B$4="Non-board program",
IF(OR(AND(AB$5&gt;0,AB$5&gt;100),AND(AB$5&gt;0,AB$5&lt;100)),
VLOOKUP(FLOOR(('Final Term'!AB52/AB$5)*100,1),new_transmute,2,FALSE),
VLOOKUP('Final Term'!AB52,new_transmute,2,FALSE)
),
IF(Info!$B$4="Board program",
IF(OR(AND(AB$5&gt;0,AB$5&gt;100),AND(AB$5&gt;0,AB$5&lt;100)),
VLOOKUP(FLOOR(('Final Term'!AB52/AB$5)*100,1),new_transmute,3,FALSE),
VLOOKUP('Final Term'!AB52,new_transmute,3,FALSE)
),
IF(Info!$B$4="Board program (Medicine)",
IF(OR(AND(AB$5&gt;0,AB$5&gt;100),AND(AB$5&gt;0,AB$5&lt;100)),
VLOOKUP(FLOOR(('Final Term'!AB52/AB$5)*100,1),new_transmute,4,FALSE),
VLOOKUP('Final Term'!AB52,new_transmute,4,FALSE)
),
""
)
)
)
)
)
)
)
)
))</f>
        <v/>
      </c>
      <c r="AC52" s="73" t="str">
        <f>IF($B52="","",
IF(AC$5="","",
IF('Final Term'!AC52="",0,
IF(NOT(ISNUMBER('Final Term'!AC52)),"NAN",
IF('Final Term'!AC52&lt;0,"NEG",
IF('Final Term'!AC52&gt;AC$5,"OVER",
IF(AND(AC$5&lt;=100,'Final Term'!AC52&gt;100),"ERR",
IF(Info!$B$4="Non-board program",
IF(OR(AND(AC$5&gt;0,AC$5&gt;100),AND(AC$5&gt;0,AC$5&lt;100)),
VLOOKUP(FLOOR(('Final Term'!AC52/AC$5)*100,1),new_transmute,2,FALSE),
VLOOKUP('Final Term'!AC52,new_transmute,2,FALSE)
),
IF(Info!$B$4="Board program",
IF(OR(AND(AC$5&gt;0,AC$5&gt;100),AND(AC$5&gt;0,AC$5&lt;100)),
VLOOKUP(FLOOR(('Final Term'!AC52/AC$5)*100,1),new_transmute,3,FALSE),
VLOOKUP('Final Term'!AC52,new_transmute,3,FALSE)
),
IF(Info!$B$4="Board program (Medicine)",
IF(OR(AND(AC$5&gt;0,AC$5&gt;100),AND(AC$5&gt;0,AC$5&lt;100)),
VLOOKUP(FLOOR(('Final Term'!AC52/AC$5)*100,1),new_transmute,4,FALSE),
VLOOKUP('Final Term'!AC52,new_transmute,4,FALSE)
),
""
)
)
)
)
)
)
)
)
))</f>
        <v/>
      </c>
      <c r="AD52" s="73" t="str">
        <f>IF($B52="","",
IF(AD$5="","",
IF('Final Term'!AD52="",0,
IF(NOT(ISNUMBER('Final Term'!AD52)),"NAN",
IF('Final Term'!AD52&lt;0,"NEG",
IF('Final Term'!AD52&gt;AD$5,"OVER",
IF(AND(AD$5&lt;=100,'Final Term'!AD52&gt;100),"ERR",
IF(Info!$B$4="Non-board program",
IF(OR(AND(AD$5&gt;0,AD$5&gt;100),AND(AD$5&gt;0,AD$5&lt;100)),
VLOOKUP(FLOOR(('Final Term'!AD52/AD$5)*100,1),new_transmute,2,FALSE),
VLOOKUP('Final Term'!AD52,new_transmute,2,FALSE)
),
IF(Info!$B$4="Board program",
IF(OR(AND(AD$5&gt;0,AD$5&gt;100),AND(AD$5&gt;0,AD$5&lt;100)),
VLOOKUP(FLOOR(('Final Term'!AD52/AD$5)*100,1),new_transmute,3,FALSE),
VLOOKUP('Final Term'!AD52,new_transmute,3,FALSE)
),
IF(Info!$B$4="Board program (Medicine)",
IF(OR(AND(AD$5&gt;0,AD$5&gt;100),AND(AD$5&gt;0,AD$5&lt;100)),
VLOOKUP(FLOOR(('Final Term'!AD52/AD$5)*100,1),new_transmute,4,FALSE),
VLOOKUP('Final Term'!AD52,new_transmute,4,FALSE)
),
""
)
)
)
)
)
)
)
)
))</f>
        <v/>
      </c>
      <c r="AE52" s="58" t="str">
        <f t="shared" si="5"/>
        <v/>
      </c>
      <c r="AF52" s="73" t="str">
        <f>IF($B52="","",
IF(AF$5="","",
IF('Final Term'!AF52="",0,
IF(NOT(ISNUMBER('Final Term'!AF52)),"NAN",
IF('Final Term'!AF52&lt;0,"NEG",
IF('Final Term'!AF52&gt;AF$5,"OVER",
IF(AND(AF$5&lt;=100,'Final Term'!AF52&gt;100),"ERR",
IF(Info!$B$4="Non-board program",
IF(OR(AND(AF$5&gt;0,AF$5&gt;100),AND(AF$5&gt;0,AF$5&lt;100)),
VLOOKUP(FLOOR(('Final Term'!AF52/AF$5)*100,1),new_transmute,2,FALSE),
VLOOKUP('Final Term'!AF52,new_transmute,2,FALSE)
),
IF(Info!$B$4="Board program",
IF(OR(AND(AF$5&gt;0,AF$5&gt;100),AND(AF$5&gt;0,AF$5&lt;100)),
VLOOKUP(FLOOR(('Final Term'!AF52/AF$5)*100,1),new_transmute,3,FALSE),
VLOOKUP('Final Term'!AF52,new_transmute,3,FALSE)
),
IF(Info!$B$4="Board program (Medicine)",
IF(OR(AND(AF$5&gt;0,AF$5&gt;100),AND(AF$5&gt;0,AF$5&lt;100)),
VLOOKUP(FLOOR(('Final Term'!AF52/AF$5)*100,1),new_transmute,4,FALSE),
VLOOKUP('Final Term'!AF52,new_transmute,4,FALSE)
),
""
)
)
)
)
)
)
)
)
))</f>
        <v/>
      </c>
      <c r="AG52" s="73" t="str">
        <f>IF($B52="","",
IF(AG$5="","",
IF('Final Term'!AG52="",0,
IF(NOT(ISNUMBER('Final Term'!AG52)),"NAN",
IF('Final Term'!AG52&lt;0,"NEG",
IF('Final Term'!AG52&gt;AG$5,"OVER",
IF(AND(AG$5&lt;=100,'Final Term'!AG52&gt;100),"ERR",
IF(Info!$B$4="Non-board program",
IF(OR(AND(AG$5&gt;0,AG$5&gt;100),AND(AG$5&gt;0,AG$5&lt;100)),
VLOOKUP(FLOOR(('Final Term'!AG52/AG$5)*100,1),new_transmute,2,FALSE),
VLOOKUP('Final Term'!AG52,new_transmute,2,FALSE)
),
IF(Info!$B$4="Board program",
IF(OR(AND(AG$5&gt;0,AG$5&gt;100),AND(AG$5&gt;0,AG$5&lt;100)),
VLOOKUP(FLOOR(('Final Term'!AG52/AG$5)*100,1),new_transmute,3,FALSE),
VLOOKUP('Final Term'!AG52,new_transmute,3,FALSE)
),
IF(Info!$B$4="Board program (Medicine)",
IF(OR(AND(AG$5&gt;0,AG$5&gt;100),AND(AG$5&gt;0,AG$5&lt;100)),
VLOOKUP(FLOOR(('Final Term'!AG52/AG$5)*100,1),new_transmute,4,FALSE),
VLOOKUP('Final Term'!AG52,new_transmute,4,FALSE)
),
""
)
)
)
)
)
)
)
)
))</f>
        <v/>
      </c>
      <c r="AH52" s="73" t="str">
        <f>IF($B52="","",
IF(AH$5="","",
IF('Final Term'!AH52="",0,
IF(NOT(ISNUMBER('Final Term'!AH52)),"NAN",
IF('Final Term'!AH52&lt;0,"NEG",
IF('Final Term'!AH52&gt;AH$5,"OVER",
IF(AND(AH$5&lt;=100,'Final Term'!AH52&gt;100),"ERR",
IF(Info!$B$4="Non-board program",
IF(OR(AND(AH$5&gt;0,AH$5&gt;100),AND(AH$5&gt;0,AH$5&lt;100)),
VLOOKUP(FLOOR(('Final Term'!AH52/AH$5)*100,1),new_transmute,2,FALSE),
VLOOKUP('Final Term'!AH52,new_transmute,2,FALSE)
),
IF(Info!$B$4="Board program",
IF(OR(AND(AH$5&gt;0,AH$5&gt;100),AND(AH$5&gt;0,AH$5&lt;100)),
VLOOKUP(FLOOR(('Final Term'!AH52/AH$5)*100,1),new_transmute,3,FALSE),
VLOOKUP('Final Term'!AH52,new_transmute,3,FALSE)
),
IF(Info!$B$4="Board program (Medicine)",
IF(OR(AND(AH$5&gt;0,AH$5&gt;100),AND(AH$5&gt;0,AH$5&lt;100)),
VLOOKUP(FLOOR(('Final Term'!AH52/AH$5)*100,1),new_transmute,4,FALSE),
VLOOKUP('Final Term'!AH52,new_transmute,4,FALSE)
),
""
)
)
)
)
)
)
)
)
))</f>
        <v/>
      </c>
      <c r="AI52" s="73" t="str">
        <f>IF($B52="","",
IF(AI$5="","",
IF('Final Term'!AI52="",0,
IF(NOT(ISNUMBER('Final Term'!AI52)),"NAN",
IF('Final Term'!AI52&lt;0,"NEG",
IF('Final Term'!AI52&gt;AI$5,"OVER",
IF(AND(AI$5&lt;=100,'Final Term'!AI52&gt;100),"ERR",
IF(Info!$B$4="Non-board program",
IF(OR(AND(AI$5&gt;0,AI$5&gt;100),AND(AI$5&gt;0,AI$5&lt;100)),
VLOOKUP(FLOOR(('Final Term'!AI52/AI$5)*100,1),new_transmute,2,FALSE),
VLOOKUP('Final Term'!AI52,new_transmute,2,FALSE)
),
IF(Info!$B$4="Board program",
IF(OR(AND(AI$5&gt;0,AI$5&gt;100),AND(AI$5&gt;0,AI$5&lt;100)),
VLOOKUP(FLOOR(('Final Term'!AI52/AI$5)*100,1),new_transmute,3,FALSE),
VLOOKUP('Final Term'!AI52,new_transmute,3,FALSE)
),
IF(Info!$B$4="Board program (Medicine)",
IF(OR(AND(AI$5&gt;0,AI$5&gt;100),AND(AI$5&gt;0,AI$5&lt;100)),
VLOOKUP(FLOOR(('Final Term'!AI52/AI$5)*100,1),new_transmute,4,FALSE),
VLOOKUP('Final Term'!AI52,new_transmute,4,FALSE)
),
""
)
)
)
)
)
)
)
)
))</f>
        <v/>
      </c>
      <c r="AJ52" s="73" t="str">
        <f>IF($B52="","",
IF(AJ$5="","",
IF('Final Term'!AJ52="",0,
IF(NOT(ISNUMBER('Final Term'!AJ52)),"NAN",
IF('Final Term'!AJ52&lt;0,"NEG",
IF('Final Term'!AJ52&gt;AJ$5,"OVER",
IF(AND(AJ$5&lt;=100,'Final Term'!AJ52&gt;100),"ERR",
IF(Info!$B$4="Non-board program",
IF(OR(AND(AJ$5&gt;0,AJ$5&gt;100),AND(AJ$5&gt;0,AJ$5&lt;100)),
VLOOKUP(FLOOR(('Final Term'!AJ52/AJ$5)*100,1),new_transmute,2,FALSE),
VLOOKUP('Final Term'!AJ52,new_transmute,2,FALSE)
),
IF(Info!$B$4="Board program",
IF(OR(AND(AJ$5&gt;0,AJ$5&gt;100),AND(AJ$5&gt;0,AJ$5&lt;100)),
VLOOKUP(FLOOR(('Final Term'!AJ52/AJ$5)*100,1),new_transmute,3,FALSE),
VLOOKUP('Final Term'!AJ52,new_transmute,3,FALSE)
),
IF(Info!$B$4="Board program (Medicine)",
IF(OR(AND(AJ$5&gt;0,AJ$5&gt;100),AND(AJ$5&gt;0,AJ$5&lt;100)),
VLOOKUP(FLOOR(('Final Term'!AJ52/AJ$5)*100,1),new_transmute,4,FALSE),
VLOOKUP('Final Term'!AJ52,new_transmute,4,FALSE)
),
""
)
)
)
)
)
)
)
)
))</f>
        <v/>
      </c>
      <c r="AK52" s="59" t="str">
        <f t="shared" si="6"/>
        <v/>
      </c>
      <c r="AL52" s="60" t="str">
        <f>IF(B52="", "",
    IF(OR(M52="OVER", S52="OVER", Y52="OVER", AE52="OVER", AK52="OVER"),
        "OVER",
        IF(Info!$B$4="Non-board program",
            VLOOKUP(IFERROR(FLOOR(SUM((M52*$M$4), (S52*$S$4), (Y52*$Y$4), (AE52*$AE$4), (AK52*$AK$4)) * (100 / 60), 1), 0), new_transmute, 2, FALSE),
            IF(Info!$B$4="Board program",
                VLOOKUP(IFERROR(FLOOR(SUM((M52*$M$4), (S52*$S$4), (Y52*$Y$4), (AE52*$AE$4), (AK52*$AK$4)) * (100 / 60), 1), 0), new_transmute, 3, FALSE),
                IF(Info!$B$4="Board program (Medicine)",
                    VLOOKUP(IFERROR(FLOOR(SUM((M52*$M$4), (S52*$S$4), (Y52*$Y$4), (AE52*$AE$4), (AK52*$AK$4)) * (100 / 60), 1), 0), new_transmute, 4, FALSE),
                    ""
                )
            )
        )
    )
)</f>
        <v/>
      </c>
      <c r="AM52" s="73" t="str">
        <f>IF($B52="","",
IF(AM$5="","",
IF('Final Term'!AM52="",0,
IF(NOT(ISNUMBER('Final Term'!AM52)),"NAN",
IF('Final Term'!AM52&lt;0,"NEG",
IF('Final Term'!AM52&gt;AM$5,"OVER",
IF(AND(AM$5&lt;=100,'Final Term'!AM52&gt;100),"ERR",
IF(Info!$B$4="Non-board program",
IF(OR(AND(AM$5&gt;0,AM$5&gt;100),AND(AM$5&gt;0,AM$5&lt;100)),
VLOOKUP(FLOOR(('Final Term'!AM52/AM$5)*100,1),new_transmute,2,FALSE),
VLOOKUP('Final Term'!AM52,new_transmute,2,FALSE)
),
IF(Info!$B$4="Board program",
IF(OR(AND(AM$5&gt;0,AM$5&gt;100),AND(AM$5&gt;0,AM$5&lt;100)),
VLOOKUP(FLOOR(('Final Term'!AM52/AM$5)*100,1),new_transmute,3,FALSE),
VLOOKUP('Final Term'!AM52,new_transmute,3,FALSE)
),
IF(Info!$B$4="Board program (Medicine)",
IF(OR(AND(AM$5&gt;0,AM$5&gt;100),AND(AM$5&gt;0,AM$5&lt;100)),
VLOOKUP(FLOOR(('Final Term'!AM52/AM$5)*100,1),new_transmute,4,FALSE),
VLOOKUP('Final Term'!AM52,new_transmute,4,FALSE)
),
""
)
)
)
)
)
)
)
)
))</f>
        <v/>
      </c>
      <c r="AN52" s="73" t="str">
        <f>IF($B52="","",
IF(AN$5="","",
IF('Final Term'!AN52="",0,
IF(NOT(ISNUMBER('Final Term'!AN52)),"NAN",
IF('Final Term'!AN52&lt;0,"NEG",
IF('Final Term'!AN52&gt;AN$5,"OVER",
IF(AND(AN$5&lt;=100,'Final Term'!AN52&gt;100),"ERR",
IF(Info!$B$4="Non-board program",
IF(OR(AND(AN$5&gt;0,AN$5&gt;100),AND(AN$5&gt;0,AN$5&lt;100)),
VLOOKUP(FLOOR(('Final Term'!AN52/AN$5)*100,1),new_transmute,2,FALSE),
VLOOKUP('Final Term'!AN52,new_transmute,2,FALSE)
),
IF(Info!$B$4="Board program",
IF(OR(AND(AN$5&gt;0,AN$5&gt;100),AND(AN$5&gt;0,AN$5&lt;100)),
VLOOKUP(FLOOR(('Final Term'!AN52/AN$5)*100,1),new_transmute,3,FALSE),
VLOOKUP('Final Term'!AN52,new_transmute,3,FALSE)
),
IF(Info!$B$4="Board program (Medicine)",
IF(OR(AND(AN$5&gt;0,AN$5&gt;100),AND(AN$5&gt;0,AN$5&lt;100)),
VLOOKUP(FLOOR(('Final Term'!AN52/AN$5)*100,1),new_transmute,4,FALSE),
VLOOKUP('Final Term'!AN52,new_transmute,4,FALSE)
),
""
)
)
)
)
)
)
)
)
))</f>
        <v/>
      </c>
      <c r="AO52" s="73" t="str">
        <f>IF($B52="","",
IF(AO$5="","",
IF('Final Term'!AO52="",0,
IF(NOT(ISNUMBER('Final Term'!AO52)),"NAN",
IF('Final Term'!AO52&lt;0,"NEG",
IF('Final Term'!AO52&gt;AO$5,"OVER",
IF(AND(AO$5&lt;=100,'Final Term'!AO52&gt;100),"ERR",
IF(Info!$B$4="Non-board program",
IF(OR(AND(AO$5&gt;0,AO$5&gt;100),AND(AO$5&gt;0,AO$5&lt;100)),
VLOOKUP(FLOOR(('Final Term'!AO52/AO$5)*100,1),new_transmute,2,FALSE),
VLOOKUP('Final Term'!AO52,new_transmute,2,FALSE)
),
IF(Info!$B$4="Board program",
IF(OR(AND(AO$5&gt;0,AO$5&gt;100),AND(AO$5&gt;0,AO$5&lt;100)),
VLOOKUP(FLOOR(('Final Term'!AO52/AO$5)*100,1),new_transmute,3,FALSE),
VLOOKUP('Final Term'!AO52,new_transmute,3,FALSE)
),
IF(Info!$B$4="Board program (Medicine)",
IF(OR(AND(AO$5&gt;0,AO$5&gt;100),AND(AO$5&gt;0,AO$5&lt;100)),
VLOOKUP(FLOOR(('Final Term'!AO52/AO$5)*100,1),new_transmute,4,FALSE),
VLOOKUP('Final Term'!AO52,new_transmute,4,FALSE)
),
""
)
)
)
)
)
)
)
)
))</f>
        <v/>
      </c>
      <c r="AP52" s="73" t="str">
        <f>IF($B52="","",
IF(AP$5="","",
IF('Final Term'!AP52="",0,
IF(NOT(ISNUMBER('Final Term'!AP52)),"NAN",
IF('Final Term'!AP52&lt;0,"NEG",
IF('Final Term'!AP52&gt;AP$5,"OVER",
IF(AND(AP$5&lt;=100,'Final Term'!AP52&gt;100),"ERR",
IF(Info!$B$4="Non-board program",
IF(OR(AND(AP$5&gt;0,AP$5&gt;100),AND(AP$5&gt;0,AP$5&lt;100)),
VLOOKUP(FLOOR(('Final Term'!AP52/AP$5)*100,1),new_transmute,2,FALSE),
VLOOKUP('Final Term'!AP52,new_transmute,2,FALSE)
),
IF(Info!$B$4="Board program",
IF(OR(AND(AP$5&gt;0,AP$5&gt;100),AND(AP$5&gt;0,AP$5&lt;100)),
VLOOKUP(FLOOR(('Final Term'!AP52/AP$5)*100,1),new_transmute,3,FALSE),
VLOOKUP('Final Term'!AP52,new_transmute,3,FALSE)
),
IF(Info!$B$4="Board program (Medicine)",
IF(OR(AND(AP$5&gt;0,AP$5&gt;100),AND(AP$5&gt;0,AP$5&lt;100)),
VLOOKUP(FLOOR(('Final Term'!AP52/AP$5)*100,1),new_transmute,4,FALSE),
VLOOKUP('Final Term'!AP52,new_transmute,4,FALSE)
),
""
)
)
)
)
)
)
)
)
))</f>
        <v/>
      </c>
      <c r="AQ52" s="61" t="str">
        <f t="shared" si="7"/>
        <v/>
      </c>
      <c r="AR52" s="48" t="str">
        <f>IF('Final Term'!AR52="","",'Final Term'!AR52)</f>
        <v/>
      </c>
      <c r="AS52" s="165" t="str">
        <f t="shared" si="8"/>
        <v/>
      </c>
      <c r="AT52" s="14" t="str">
        <f t="shared" si="9"/>
        <v/>
      </c>
      <c r="AU52" s="13" t="str">
        <f>IF(B52="","",VLOOKUP(AT52,'New Grade Equivalent'!$B$3:$C$47,2,FALSE))</f>
        <v/>
      </c>
    </row>
    <row r="53" spans="1:47" x14ac:dyDescent="0.25">
      <c r="A53" s="8">
        <v>48</v>
      </c>
      <c r="B53" s="2" t="str">
        <f>IF('Student List'!C57="","",UPPER(LEFT('Student List'!C57,FIND(",",'Student List'!C57)-1)))</f>
        <v/>
      </c>
      <c r="C53" s="12" t="str">
        <f>IF('Student List'!C57="","",PROPER(MID('Student List'!C57, FIND(",", 'Student List'!C57) + 2, LEN('Student List'!C57) - FIND(",", 'Student List'!C57) - 1)))</f>
        <v/>
      </c>
      <c r="D53" s="127" t="str">
        <f>IF('Final Term'!D53="","",'Final Term'!D53)</f>
        <v/>
      </c>
      <c r="E53" s="8" t="str">
        <f>IF(MidCom!E53="FA", "FA",
    IF(MidCom!E53="DRP", "DRP",
        IF(MidCom!E53="WF", "WF",
            IF(D53="Yes", "INC",
               IF((SUM('MT Attendance'!AW51) / 3 + SUM('MT Attendance'!AY51) + SUM('FT Attendance'!AW51) / 3 + SUM('FT Attendance'!AY51)) &gt;= 0.2 * (SUMPRODUCT(--(ISTEXT('MT Attendance'!$C$2:$AU$2))) + SUMPRODUCT(--(ISTEXT('FT Attendance'!$C$2:$AU$2)))), "FA",
                   MidCom!E53
                )
            )
        )
    )
)</f>
        <v/>
      </c>
      <c r="F53" s="73" t="str">
        <f>IF($B53="","",
IF(F$5="","",
IF('Final Term'!F53="",0,
IF(NOT(ISNUMBER('Final Term'!F53)),"NAN",
IF('Final Term'!F53&lt;0,"NEG",
IF('Final Term'!F53&gt;F$5,"OVER",
IF(AND(F$5&lt;=100,'Final Term'!F53&gt;100),"ERR",
IF(Info!$B$4="Non-board program",
IF(OR(AND(F$5&gt;0,F$5&gt;100),AND(F$5&gt;0,F$5&lt;100)),
VLOOKUP(FLOOR(('Final Term'!F53/F$5)*100,1),new_transmute,2,FALSE),
VLOOKUP('Final Term'!F53,new_transmute,2,FALSE)
),
IF(Info!$B$4="Board program",
IF(OR(AND(F$5&gt;0,F$5&gt;100),AND(F$5&gt;0,F$5&lt;100)),
VLOOKUP(FLOOR(('Final Term'!F53/F$5)*100,1),new_transmute,3,FALSE),
VLOOKUP('Final Term'!F53,new_transmute,3,FALSE)
),
IF(Info!$B$4="Board program (Medicine)",
IF(OR(AND(F$5&gt;0,F$5&gt;100),AND(F$5&gt;0,F$5&lt;100)),
VLOOKUP(FLOOR(('Final Term'!F53/F$5)*100,1),new_transmute,4,FALSE),
VLOOKUP('Final Term'!F53,new_transmute,4,FALSE)
),
""
)
)
)
)
)
)
)
)
))</f>
        <v/>
      </c>
      <c r="G53" s="57" t="str">
        <f t="shared" si="1"/>
        <v/>
      </c>
      <c r="H53" s="73" t="str">
        <f>IF($B53="","",
IF(H$5="","",
IF('Final Term'!H53="",0,
IF(NOT(ISNUMBER('Final Term'!H53)),"NAN",
IF('Final Term'!H53&lt;0,"NEG",
IF('Final Term'!H53&gt;H$5,"OVER",
IF(AND(H$5&lt;=100,'Final Term'!H53&gt;100),"ERR",
IF(Info!$B$4="Non-board program",
IF(OR(AND(H$5&gt;0,H$5&gt;100),AND(H$5&gt;0,H$5&lt;100)),
VLOOKUP(FLOOR(('Final Term'!H53/H$5)*100,1),new_transmute,2,FALSE),
VLOOKUP('Final Term'!H53,new_transmute,2,FALSE)
),
IF(Info!$B$4="Board program",
IF(OR(AND(H$5&gt;0,H$5&gt;100),AND(H$5&gt;0,H$5&lt;100)),
VLOOKUP(FLOOR(('Final Term'!H53/H$5)*100,1),new_transmute,3,FALSE),
VLOOKUP('Final Term'!H53,new_transmute,3,FALSE)
),
IF(Info!$B$4="Board program (Medicine)",
IF(OR(AND(H$5&gt;0,H$5&gt;100),AND(H$5&gt;0,H$5&lt;100)),
VLOOKUP(FLOOR(('Final Term'!H53/H$5)*100,1),new_transmute,4,FALSE),
VLOOKUP('Final Term'!H53,new_transmute,4,FALSE)
),
""
)
)
)
)
)
)
)
)
))</f>
        <v/>
      </c>
      <c r="I53" s="73" t="str">
        <f>IF($B53="","",
IF(I$5="","",
IF('Final Term'!I53="",0,
IF(NOT(ISNUMBER('Final Term'!I53)),"NAN",
IF('Final Term'!I53&lt;0,"NEG",
IF('Final Term'!I53&gt;I$5,"OVER",
IF(AND(I$5&lt;=100,'Final Term'!I53&gt;100),"ERR",
IF(Info!$B$4="Non-board program",
IF(OR(AND(I$5&gt;0,I$5&gt;100),AND(I$5&gt;0,I$5&lt;100)),
VLOOKUP(FLOOR(('Final Term'!I53/I$5)*100,1),new_transmute,2,FALSE),
VLOOKUP('Final Term'!I53,new_transmute,2,FALSE)
),
IF(Info!$B$4="Board program",
IF(OR(AND(I$5&gt;0,I$5&gt;100),AND(I$5&gt;0,I$5&lt;100)),
VLOOKUP(FLOOR(('Final Term'!I53/I$5)*100,1),new_transmute,3,FALSE),
VLOOKUP('Final Term'!I53,new_transmute,3,FALSE)
),
IF(Info!$B$4="Board program (Medicine)",
IF(OR(AND(I$5&gt;0,I$5&gt;100),AND(I$5&gt;0,I$5&lt;100)),
VLOOKUP(FLOOR(('Final Term'!I53/I$5)*100,1),new_transmute,4,FALSE),
VLOOKUP('Final Term'!I53,new_transmute,4,FALSE)
),
""
)
)
)
)
)
)
)
)
))</f>
        <v/>
      </c>
      <c r="J53" s="73" t="str">
        <f>IF($B53="","",
IF(J$5="","",
IF('Final Term'!J53="",0,
IF(NOT(ISNUMBER('Final Term'!J53)),"NAN",
IF('Final Term'!J53&lt;0,"NEG",
IF('Final Term'!J53&gt;J$5,"OVER",
IF(AND(J$5&lt;=100,'Final Term'!J53&gt;100),"ERR",
IF(Info!$B$4="Non-board program",
IF(OR(AND(J$5&gt;0,J$5&gt;100),AND(J$5&gt;0,J$5&lt;100)),
VLOOKUP(FLOOR(('Final Term'!J53/J$5)*100,1),new_transmute,2,FALSE),
VLOOKUP('Final Term'!J53,new_transmute,2,FALSE)
),
IF(Info!$B$4="Board program",
IF(OR(AND(J$5&gt;0,J$5&gt;100),AND(J$5&gt;0,J$5&lt;100)),
VLOOKUP(FLOOR(('Final Term'!J53/J$5)*100,1),new_transmute,3,FALSE),
VLOOKUP('Final Term'!J53,new_transmute,3,FALSE)
),
IF(Info!$B$4="Board program (Medicine)",
IF(OR(AND(J$5&gt;0,J$5&gt;100),AND(J$5&gt;0,J$5&lt;100)),
VLOOKUP(FLOOR(('Final Term'!J53/J$5)*100,1),new_transmute,4,FALSE),
VLOOKUP('Final Term'!J53,new_transmute,4,FALSE)
),
""
)
)
)
)
)
)
)
)
))</f>
        <v/>
      </c>
      <c r="K53" s="73" t="str">
        <f>IF($B53="","",
IF(K$5="","",
IF('Final Term'!K53="",0,
IF(NOT(ISNUMBER('Final Term'!K53)),"NAN",
IF('Final Term'!K53&lt;0,"NEG",
IF('Final Term'!K53&gt;K$5,"OVER",
IF(AND(K$5&lt;=100,'Final Term'!K53&gt;100),"ERR",
IF(Info!$B$4="Non-board program",
IF(OR(AND(K$5&gt;0,K$5&gt;100),AND(K$5&gt;0,K$5&lt;100)),
VLOOKUP(FLOOR(('Final Term'!K53/K$5)*100,1),new_transmute,2,FALSE),
VLOOKUP('Final Term'!K53,new_transmute,2,FALSE)
),
IF(Info!$B$4="Board program",
IF(OR(AND(K$5&gt;0,K$5&gt;100),AND(K$5&gt;0,K$5&lt;100)),
VLOOKUP(FLOOR(('Final Term'!K53/K$5)*100,1),new_transmute,3,FALSE),
VLOOKUP('Final Term'!K53,new_transmute,3,FALSE)
),
IF(Info!$B$4="Board program (Medicine)",
IF(OR(AND(K$5&gt;0,K$5&gt;100),AND(K$5&gt;0,K$5&lt;100)),
VLOOKUP(FLOOR(('Final Term'!K53/K$5)*100,1),new_transmute,4,FALSE),
VLOOKUP('Final Term'!K53,new_transmute,4,FALSE)
),
""
)
)
)
)
)
)
)
)
))</f>
        <v/>
      </c>
      <c r="L53" s="73" t="str">
        <f>IF($B53="","",
IF(L$5="","",
IF('Final Term'!L53="",0,
IF(NOT(ISNUMBER('Final Term'!L53)),"NAN",
IF('Final Term'!L53&lt;0,"NEG",
IF('Final Term'!L53&gt;L$5,"OVER",
IF(AND(L$5&lt;=100,'Final Term'!L53&gt;100),"ERR",
IF(Info!$B$4="Non-board program",
IF(OR(AND(L$5&gt;0,L$5&gt;100),AND(L$5&gt;0,L$5&lt;100)),
VLOOKUP(FLOOR(('Final Term'!L53/L$5)*100,1),new_transmute,2,FALSE),
VLOOKUP('Final Term'!L53,new_transmute,2,FALSE)
),
IF(Info!$B$4="Board program",
IF(OR(AND(L$5&gt;0,L$5&gt;100),AND(L$5&gt;0,L$5&lt;100)),
VLOOKUP(FLOOR(('Final Term'!L53/L$5)*100,1),new_transmute,3,FALSE),
VLOOKUP('Final Term'!L53,new_transmute,3,FALSE)
),
IF(Info!$B$4="Board program (Medicine)",
IF(OR(AND(L$5&gt;0,L$5&gt;100),AND(L$5&gt;0,L$5&lt;100)),
VLOOKUP(FLOOR(('Final Term'!L53/L$5)*100,1),new_transmute,4,FALSE),
VLOOKUP('Final Term'!L53,new_transmute,4,FALSE)
),
""
)
)
)
)
)
)
)
)
))</f>
        <v/>
      </c>
      <c r="M53" s="111" t="str">
        <f t="shared" si="2"/>
        <v/>
      </c>
      <c r="N53" s="73" t="str">
        <f>IF($B53="","",
IF(N$5="","",
IF('Final Term'!N53="",0,
IF(NOT(ISNUMBER('Final Term'!N53)),"NAN",
IF('Final Term'!N53&lt;0,"NEG",
IF('Final Term'!N53&gt;N$5,"OVER",
IF(AND(N$5&lt;=100,'Final Term'!N53&gt;100),"ERR",
IF(Info!$B$4="Non-board program",
IF(OR(AND(N$5&gt;0,N$5&gt;100),AND(N$5&gt;0,N$5&lt;100)),
VLOOKUP(FLOOR(('Final Term'!N53/N$5)*100,1),new_transmute,2,FALSE),
VLOOKUP('Final Term'!N53,new_transmute,2,FALSE)
),
IF(Info!$B$4="Board program",
IF(OR(AND(N$5&gt;0,N$5&gt;100),AND(N$5&gt;0,N$5&lt;100)),
VLOOKUP(FLOOR(('Final Term'!N53/N$5)*100,1),new_transmute,3,FALSE),
VLOOKUP('Final Term'!N53,new_transmute,3,FALSE)
),
IF(Info!$B$4="Board program (Medicine)",
IF(OR(AND(N$5&gt;0,N$5&gt;100),AND(N$5&gt;0,N$5&lt;100)),
VLOOKUP(FLOOR(('Final Term'!N53/N$5)*100,1),new_transmute,4,FALSE),
VLOOKUP('Final Term'!N53,new_transmute,4,FALSE)
),
""
)
)
)
)
)
)
)
)
))</f>
        <v/>
      </c>
      <c r="O53" s="73" t="str">
        <f>IF($B53="","",
IF(O$5="","",
IF('Final Term'!O53="",0,
IF(NOT(ISNUMBER('Final Term'!O53)),"NAN",
IF('Final Term'!O53&lt;0,"NEG",
IF('Final Term'!O53&gt;O$5,"OVER",
IF(AND(O$5&lt;=100,'Final Term'!O53&gt;100),"ERR",
IF(Info!$B$4="Non-board program",
IF(OR(AND(O$5&gt;0,O$5&gt;100),AND(O$5&gt;0,O$5&lt;100)),
VLOOKUP(FLOOR(('Final Term'!O53/O$5)*100,1),new_transmute,2,FALSE),
VLOOKUP('Final Term'!O53,new_transmute,2,FALSE)
),
IF(Info!$B$4="Board program",
IF(OR(AND(O$5&gt;0,O$5&gt;100),AND(O$5&gt;0,O$5&lt;100)),
VLOOKUP(FLOOR(('Final Term'!O53/O$5)*100,1),new_transmute,3,FALSE),
VLOOKUP('Final Term'!O53,new_transmute,3,FALSE)
),
IF(Info!$B$4="Board program (Medicine)",
IF(OR(AND(O$5&gt;0,O$5&gt;100),AND(O$5&gt;0,O$5&lt;100)),
VLOOKUP(FLOOR(('Final Term'!O53/O$5)*100,1),new_transmute,4,FALSE),
VLOOKUP('Final Term'!O53,new_transmute,4,FALSE)
),
""
)
)
)
)
)
)
)
)
))</f>
        <v/>
      </c>
      <c r="P53" s="73" t="str">
        <f>IF($B53="","",
IF(P$5="","",
IF('Final Term'!P53="",0,
IF(NOT(ISNUMBER('Final Term'!P53)),"NAN",
IF('Final Term'!P53&lt;0,"NEG",
IF('Final Term'!P53&gt;P$5,"OVER",
IF(AND(P$5&lt;=100,'Final Term'!P53&gt;100),"ERR",
IF(Info!$B$4="Non-board program",
IF(OR(AND(P$5&gt;0,P$5&gt;100),AND(P$5&gt;0,P$5&lt;100)),
VLOOKUP(FLOOR(('Final Term'!P53/P$5)*100,1),new_transmute,2,FALSE),
VLOOKUP('Final Term'!P53,new_transmute,2,FALSE)
),
IF(Info!$B$4="Board program",
IF(OR(AND(P$5&gt;0,P$5&gt;100),AND(P$5&gt;0,P$5&lt;100)),
VLOOKUP(FLOOR(('Final Term'!P53/P$5)*100,1),new_transmute,3,FALSE),
VLOOKUP('Final Term'!P53,new_transmute,3,FALSE)
),
IF(Info!$B$4="Board program (Medicine)",
IF(OR(AND(P$5&gt;0,P$5&gt;100),AND(P$5&gt;0,P$5&lt;100)),
VLOOKUP(FLOOR(('Final Term'!P53/P$5)*100,1),new_transmute,4,FALSE),
VLOOKUP('Final Term'!P53,new_transmute,4,FALSE)
),
""
)
)
)
)
)
)
)
)
))</f>
        <v/>
      </c>
      <c r="Q53" s="73" t="str">
        <f>IF($B53="","",
IF(Q$5="","",
IF('Final Term'!Q53="",0,
IF(NOT(ISNUMBER('Final Term'!Q53)),"NAN",
IF('Final Term'!Q53&lt;0,"NEG",
IF('Final Term'!Q53&gt;Q$5,"OVER",
IF(AND(Q$5&lt;=100,'Final Term'!Q53&gt;100),"ERR",
IF(Info!$B$4="Non-board program",
IF(OR(AND(Q$5&gt;0,Q$5&gt;100),AND(Q$5&gt;0,Q$5&lt;100)),
VLOOKUP(FLOOR(('Final Term'!Q53/Q$5)*100,1),new_transmute,2,FALSE),
VLOOKUP('Final Term'!Q53,new_transmute,2,FALSE)
),
IF(Info!$B$4="Board program",
IF(OR(AND(Q$5&gt;0,Q$5&gt;100),AND(Q$5&gt;0,Q$5&lt;100)),
VLOOKUP(FLOOR(('Final Term'!Q53/Q$5)*100,1),new_transmute,3,FALSE),
VLOOKUP('Final Term'!Q53,new_transmute,3,FALSE)
),
IF(Info!$B$4="Board program (Medicine)",
IF(OR(AND(Q$5&gt;0,Q$5&gt;100),AND(Q$5&gt;0,Q$5&lt;100)),
VLOOKUP(FLOOR(('Final Term'!Q53/Q$5)*100,1),new_transmute,4,FALSE),
VLOOKUP('Final Term'!Q53,new_transmute,4,FALSE)
),
""
)
)
)
)
)
)
)
)
))</f>
        <v/>
      </c>
      <c r="R53" s="73" t="str">
        <f>IF($B53="","",
IF(R$5="","",
IF('Final Term'!R53="",0,
IF(NOT(ISNUMBER('Final Term'!R53)),"NAN",
IF('Final Term'!R53&lt;0,"NEG",
IF('Final Term'!R53&gt;R$5,"OVER",
IF(AND(R$5&lt;=100,'Final Term'!R53&gt;100),"ERR",
IF(Info!$B$4="Non-board program",
IF(OR(AND(R$5&gt;0,R$5&gt;100),AND(R$5&gt;0,R$5&lt;100)),
VLOOKUP(FLOOR(('Final Term'!R53/R$5)*100,1),new_transmute,2,FALSE),
VLOOKUP('Final Term'!R53,new_transmute,2,FALSE)
),
IF(Info!$B$4="Board program",
IF(OR(AND(R$5&gt;0,R$5&gt;100),AND(R$5&gt;0,R$5&lt;100)),
VLOOKUP(FLOOR(('Final Term'!R53/R$5)*100,1),new_transmute,3,FALSE),
VLOOKUP('Final Term'!R53,new_transmute,3,FALSE)
),
IF(Info!$B$4="Board program (Medicine)",
IF(OR(AND(R$5&gt;0,R$5&gt;100),AND(R$5&gt;0,R$5&lt;100)),
VLOOKUP(FLOOR(('Final Term'!R53/R$5)*100,1),new_transmute,4,FALSE),
VLOOKUP('Final Term'!R53,new_transmute,4,FALSE)
),
""
)
)
)
)
)
)
)
)
))</f>
        <v/>
      </c>
      <c r="S53" s="115" t="str">
        <f t="shared" si="3"/>
        <v/>
      </c>
      <c r="T53" s="73" t="str">
        <f>IF($B53="","",
IF(T$5="","",
IF('Final Term'!T53="",0,
IF(NOT(ISNUMBER('Final Term'!T53)),"NAN",
IF('Final Term'!T53&lt;0,"NEG",
IF('Final Term'!T53&gt;T$5,"OVER",
IF(AND(T$5&lt;=100,'Final Term'!T53&gt;100),"ERR",
IF(Info!$B$4="Non-board program",
IF(OR(AND(T$5&gt;0,T$5&gt;100),AND(T$5&gt;0,T$5&lt;100)),
VLOOKUP(FLOOR(('Final Term'!T53/T$5)*100,1),new_transmute,2,FALSE),
VLOOKUP('Final Term'!T53,new_transmute,2,FALSE)
),
IF(Info!$B$4="Board program",
IF(OR(AND(T$5&gt;0,T$5&gt;100),AND(T$5&gt;0,T$5&lt;100)),
VLOOKUP(FLOOR(('Final Term'!T53/T$5)*100,1),new_transmute,3,FALSE),
VLOOKUP('Final Term'!T53,new_transmute,3,FALSE)
),
IF(Info!$B$4="Board program (Medicine)",
IF(OR(AND(T$5&gt;0,T$5&gt;100),AND(T$5&gt;0,T$5&lt;100)),
VLOOKUP(FLOOR(('Final Term'!T53/T$5)*100,1),new_transmute,4,FALSE),
VLOOKUP('Final Term'!T53,new_transmute,4,FALSE)
),
""
)
)
)
)
)
)
)
)
))</f>
        <v/>
      </c>
      <c r="U53" s="73" t="str">
        <f>IF($B53="","",
IF(U$5="","",
IF('Final Term'!U53="",0,
IF(NOT(ISNUMBER('Final Term'!U53)),"NAN",
IF('Final Term'!U53&lt;0,"NEG",
IF('Final Term'!U53&gt;U$5,"OVER",
IF(AND(U$5&lt;=100,'Final Term'!U53&gt;100),"ERR",
IF(Info!$B$4="Non-board program",
IF(OR(AND(U$5&gt;0,U$5&gt;100),AND(U$5&gt;0,U$5&lt;100)),
VLOOKUP(FLOOR(('Final Term'!U53/U$5)*100,1),new_transmute,2,FALSE),
VLOOKUP('Final Term'!U53,new_transmute,2,FALSE)
),
IF(Info!$B$4="Board program",
IF(OR(AND(U$5&gt;0,U$5&gt;100),AND(U$5&gt;0,U$5&lt;100)),
VLOOKUP(FLOOR(('Final Term'!U53/U$5)*100,1),new_transmute,3,FALSE),
VLOOKUP('Final Term'!U53,new_transmute,3,FALSE)
),
IF(Info!$B$4="Board program (Medicine)",
IF(OR(AND(U$5&gt;0,U$5&gt;100),AND(U$5&gt;0,U$5&lt;100)),
VLOOKUP(FLOOR(('Final Term'!U53/U$5)*100,1),new_transmute,4,FALSE),
VLOOKUP('Final Term'!U53,new_transmute,4,FALSE)
),
""
)
)
)
)
)
)
)
)
))</f>
        <v/>
      </c>
      <c r="V53" s="73" t="str">
        <f>IF($B53="","",
IF(V$5="","",
IF('Final Term'!V53="",0,
IF(NOT(ISNUMBER('Final Term'!V53)),"NAN",
IF('Final Term'!V53&lt;0,"NEG",
IF('Final Term'!V53&gt;V$5,"OVER",
IF(AND(V$5&lt;=100,'Final Term'!V53&gt;100),"ERR",
IF(Info!$B$4="Non-board program",
IF(OR(AND(V$5&gt;0,V$5&gt;100),AND(V$5&gt;0,V$5&lt;100)),
VLOOKUP(FLOOR(('Final Term'!V53/V$5)*100,1),new_transmute,2,FALSE),
VLOOKUP('Final Term'!V53,new_transmute,2,FALSE)
),
IF(Info!$B$4="Board program",
IF(OR(AND(V$5&gt;0,V$5&gt;100),AND(V$5&gt;0,V$5&lt;100)),
VLOOKUP(FLOOR(('Final Term'!V53/V$5)*100,1),new_transmute,3,FALSE),
VLOOKUP('Final Term'!V53,new_transmute,3,FALSE)
),
IF(Info!$B$4="Board program (Medicine)",
IF(OR(AND(V$5&gt;0,V$5&gt;100),AND(V$5&gt;0,V$5&lt;100)),
VLOOKUP(FLOOR(('Final Term'!V53/V$5)*100,1),new_transmute,4,FALSE),
VLOOKUP('Final Term'!V53,new_transmute,4,FALSE)
),
""
)
)
)
)
)
)
)
)
))</f>
        <v/>
      </c>
      <c r="W53" s="73" t="str">
        <f>IF($B53="","",
IF(W$5="","",
IF('Final Term'!W53="",0,
IF(NOT(ISNUMBER('Final Term'!W53)),"NAN",
IF('Final Term'!W53&lt;0,"NEG",
IF('Final Term'!W53&gt;W$5,"OVER",
IF(AND(W$5&lt;=100,'Final Term'!W53&gt;100),"ERR",
IF(Info!$B$4="Non-board program",
IF(OR(AND(W$5&gt;0,W$5&gt;100),AND(W$5&gt;0,W$5&lt;100)),
VLOOKUP(FLOOR(('Final Term'!W53/W$5)*100,1),new_transmute,2,FALSE),
VLOOKUP('Final Term'!W53,new_transmute,2,FALSE)
),
IF(Info!$B$4="Board program",
IF(OR(AND(W$5&gt;0,W$5&gt;100),AND(W$5&gt;0,W$5&lt;100)),
VLOOKUP(FLOOR(('Final Term'!W53/W$5)*100,1),new_transmute,3,FALSE),
VLOOKUP('Final Term'!W53,new_transmute,3,FALSE)
),
IF(Info!$B$4="Board program (Medicine)",
IF(OR(AND(W$5&gt;0,W$5&gt;100),AND(W$5&gt;0,W$5&lt;100)),
VLOOKUP(FLOOR(('Final Term'!W53/W$5)*100,1),new_transmute,4,FALSE),
VLOOKUP('Final Term'!W53,new_transmute,4,FALSE)
),
""
)
)
)
)
)
)
)
)
))</f>
        <v/>
      </c>
      <c r="X53" s="73" t="str">
        <f>IF($B53="","",
IF(X$5="","",
IF('Final Term'!X53="",0,
IF(NOT(ISNUMBER('Final Term'!X53)),"NAN",
IF('Final Term'!X53&lt;0,"NEG",
IF('Final Term'!X53&gt;X$5,"OVER",
IF(AND(X$5&lt;=100,'Final Term'!X53&gt;100),"ERR",
IF(Info!$B$4="Non-board program",
IF(OR(AND(X$5&gt;0,X$5&gt;100),AND(X$5&gt;0,X$5&lt;100)),
VLOOKUP(FLOOR(('Final Term'!X53/X$5)*100,1),new_transmute,2,FALSE),
VLOOKUP('Final Term'!X53,new_transmute,2,FALSE)
),
IF(Info!$B$4="Board program",
IF(OR(AND(X$5&gt;0,X$5&gt;100),AND(X$5&gt;0,X$5&lt;100)),
VLOOKUP(FLOOR(('Final Term'!X53/X$5)*100,1),new_transmute,3,FALSE),
VLOOKUP('Final Term'!X53,new_transmute,3,FALSE)
),
IF(Info!$B$4="Board program (Medicine)",
IF(OR(AND(X$5&gt;0,X$5&gt;100),AND(X$5&gt;0,X$5&lt;100)),
VLOOKUP(FLOOR(('Final Term'!X53/X$5)*100,1),new_transmute,4,FALSE),
VLOOKUP('Final Term'!X53,new_transmute,4,FALSE)
),
""
)
)
)
)
)
)
)
)
))</f>
        <v/>
      </c>
      <c r="Y53" s="112" t="str">
        <f t="shared" si="4"/>
        <v/>
      </c>
      <c r="Z53" s="73" t="str">
        <f>IF($B53="","",
IF(Z$5="","",
IF('Final Term'!Z53="",0,
IF(NOT(ISNUMBER('Final Term'!Z53)),"NAN",
IF('Final Term'!Z53&lt;0,"NEG",
IF('Final Term'!Z53&gt;Z$5,"OVER",
IF(AND(Z$5&lt;=100,'Final Term'!Z53&gt;100),"ERR",
IF(Info!$B$4="Non-board program",
IF(OR(AND(Z$5&gt;0,Z$5&gt;100),AND(Z$5&gt;0,Z$5&lt;100)),
VLOOKUP(FLOOR(('Final Term'!Z53/Z$5)*100,1),new_transmute,2,FALSE),
VLOOKUP('Final Term'!Z53,new_transmute,2,FALSE)
),
IF(Info!$B$4="Board program",
IF(OR(AND(Z$5&gt;0,Z$5&gt;100),AND(Z$5&gt;0,Z$5&lt;100)),
VLOOKUP(FLOOR(('Final Term'!Z53/Z$5)*100,1),new_transmute,3,FALSE),
VLOOKUP('Final Term'!Z53,new_transmute,3,FALSE)
),
IF(Info!$B$4="Board program (Medicine)",
IF(OR(AND(Z$5&gt;0,Z$5&gt;100),AND(Z$5&gt;0,Z$5&lt;100)),
VLOOKUP(FLOOR(('Final Term'!Z53/Z$5)*100,1),new_transmute,4,FALSE),
VLOOKUP('Final Term'!Z53,new_transmute,4,FALSE)
),
""
)
)
)
)
)
)
)
)
))</f>
        <v/>
      </c>
      <c r="AA53" s="73" t="str">
        <f>IF($B53="","",
IF(AA$5="","",
IF('Final Term'!AA53="",0,
IF(NOT(ISNUMBER('Final Term'!AA53)),"NAN",
IF('Final Term'!AA53&lt;0,"NEG",
IF('Final Term'!AA53&gt;AA$5,"OVER",
IF(AND(AA$5&lt;=100,'Final Term'!AA53&gt;100),"ERR",
IF(Info!$B$4="Non-board program",
IF(OR(AND(AA$5&gt;0,AA$5&gt;100),AND(AA$5&gt;0,AA$5&lt;100)),
VLOOKUP(FLOOR(('Final Term'!AA53/AA$5)*100,1),new_transmute,2,FALSE),
VLOOKUP('Final Term'!AA53,new_transmute,2,FALSE)
),
IF(Info!$B$4="Board program",
IF(OR(AND(AA$5&gt;0,AA$5&gt;100),AND(AA$5&gt;0,AA$5&lt;100)),
VLOOKUP(FLOOR(('Final Term'!AA53/AA$5)*100,1),new_transmute,3,FALSE),
VLOOKUP('Final Term'!AA53,new_transmute,3,FALSE)
),
IF(Info!$B$4="Board program (Medicine)",
IF(OR(AND(AA$5&gt;0,AA$5&gt;100),AND(AA$5&gt;0,AA$5&lt;100)),
VLOOKUP(FLOOR(('Final Term'!AA53/AA$5)*100,1),new_transmute,4,FALSE),
VLOOKUP('Final Term'!AA53,new_transmute,4,FALSE)
),
""
)
)
)
)
)
)
)
)
))</f>
        <v/>
      </c>
      <c r="AB53" s="73" t="str">
        <f>IF($B53="","",
IF(AB$5="","",
IF('Final Term'!AB53="",0,
IF(NOT(ISNUMBER('Final Term'!AB53)),"NAN",
IF('Final Term'!AB53&lt;0,"NEG",
IF('Final Term'!AB53&gt;AB$5,"OVER",
IF(AND(AB$5&lt;=100,'Final Term'!AB53&gt;100),"ERR",
IF(Info!$B$4="Non-board program",
IF(OR(AND(AB$5&gt;0,AB$5&gt;100),AND(AB$5&gt;0,AB$5&lt;100)),
VLOOKUP(FLOOR(('Final Term'!AB53/AB$5)*100,1),new_transmute,2,FALSE),
VLOOKUP('Final Term'!AB53,new_transmute,2,FALSE)
),
IF(Info!$B$4="Board program",
IF(OR(AND(AB$5&gt;0,AB$5&gt;100),AND(AB$5&gt;0,AB$5&lt;100)),
VLOOKUP(FLOOR(('Final Term'!AB53/AB$5)*100,1),new_transmute,3,FALSE),
VLOOKUP('Final Term'!AB53,new_transmute,3,FALSE)
),
IF(Info!$B$4="Board program (Medicine)",
IF(OR(AND(AB$5&gt;0,AB$5&gt;100),AND(AB$5&gt;0,AB$5&lt;100)),
VLOOKUP(FLOOR(('Final Term'!AB53/AB$5)*100,1),new_transmute,4,FALSE),
VLOOKUP('Final Term'!AB53,new_transmute,4,FALSE)
),
""
)
)
)
)
)
)
)
)
))</f>
        <v/>
      </c>
      <c r="AC53" s="73" t="str">
        <f>IF($B53="","",
IF(AC$5="","",
IF('Final Term'!AC53="",0,
IF(NOT(ISNUMBER('Final Term'!AC53)),"NAN",
IF('Final Term'!AC53&lt;0,"NEG",
IF('Final Term'!AC53&gt;AC$5,"OVER",
IF(AND(AC$5&lt;=100,'Final Term'!AC53&gt;100),"ERR",
IF(Info!$B$4="Non-board program",
IF(OR(AND(AC$5&gt;0,AC$5&gt;100),AND(AC$5&gt;0,AC$5&lt;100)),
VLOOKUP(FLOOR(('Final Term'!AC53/AC$5)*100,1),new_transmute,2,FALSE),
VLOOKUP('Final Term'!AC53,new_transmute,2,FALSE)
),
IF(Info!$B$4="Board program",
IF(OR(AND(AC$5&gt;0,AC$5&gt;100),AND(AC$5&gt;0,AC$5&lt;100)),
VLOOKUP(FLOOR(('Final Term'!AC53/AC$5)*100,1),new_transmute,3,FALSE),
VLOOKUP('Final Term'!AC53,new_transmute,3,FALSE)
),
IF(Info!$B$4="Board program (Medicine)",
IF(OR(AND(AC$5&gt;0,AC$5&gt;100),AND(AC$5&gt;0,AC$5&lt;100)),
VLOOKUP(FLOOR(('Final Term'!AC53/AC$5)*100,1),new_transmute,4,FALSE),
VLOOKUP('Final Term'!AC53,new_transmute,4,FALSE)
),
""
)
)
)
)
)
)
)
)
))</f>
        <v/>
      </c>
      <c r="AD53" s="73" t="str">
        <f>IF($B53="","",
IF(AD$5="","",
IF('Final Term'!AD53="",0,
IF(NOT(ISNUMBER('Final Term'!AD53)),"NAN",
IF('Final Term'!AD53&lt;0,"NEG",
IF('Final Term'!AD53&gt;AD$5,"OVER",
IF(AND(AD$5&lt;=100,'Final Term'!AD53&gt;100),"ERR",
IF(Info!$B$4="Non-board program",
IF(OR(AND(AD$5&gt;0,AD$5&gt;100),AND(AD$5&gt;0,AD$5&lt;100)),
VLOOKUP(FLOOR(('Final Term'!AD53/AD$5)*100,1),new_transmute,2,FALSE),
VLOOKUP('Final Term'!AD53,new_transmute,2,FALSE)
),
IF(Info!$B$4="Board program",
IF(OR(AND(AD$5&gt;0,AD$5&gt;100),AND(AD$5&gt;0,AD$5&lt;100)),
VLOOKUP(FLOOR(('Final Term'!AD53/AD$5)*100,1),new_transmute,3,FALSE),
VLOOKUP('Final Term'!AD53,new_transmute,3,FALSE)
),
IF(Info!$B$4="Board program (Medicine)",
IF(OR(AND(AD$5&gt;0,AD$5&gt;100),AND(AD$5&gt;0,AD$5&lt;100)),
VLOOKUP(FLOOR(('Final Term'!AD53/AD$5)*100,1),new_transmute,4,FALSE),
VLOOKUP('Final Term'!AD53,new_transmute,4,FALSE)
),
""
)
)
)
)
)
)
)
)
))</f>
        <v/>
      </c>
      <c r="AE53" s="58" t="str">
        <f t="shared" si="5"/>
        <v/>
      </c>
      <c r="AF53" s="73" t="str">
        <f>IF($B53="","",
IF(AF$5="","",
IF('Final Term'!AF53="",0,
IF(NOT(ISNUMBER('Final Term'!AF53)),"NAN",
IF('Final Term'!AF53&lt;0,"NEG",
IF('Final Term'!AF53&gt;AF$5,"OVER",
IF(AND(AF$5&lt;=100,'Final Term'!AF53&gt;100),"ERR",
IF(Info!$B$4="Non-board program",
IF(OR(AND(AF$5&gt;0,AF$5&gt;100),AND(AF$5&gt;0,AF$5&lt;100)),
VLOOKUP(FLOOR(('Final Term'!AF53/AF$5)*100,1),new_transmute,2,FALSE),
VLOOKUP('Final Term'!AF53,new_transmute,2,FALSE)
),
IF(Info!$B$4="Board program",
IF(OR(AND(AF$5&gt;0,AF$5&gt;100),AND(AF$5&gt;0,AF$5&lt;100)),
VLOOKUP(FLOOR(('Final Term'!AF53/AF$5)*100,1),new_transmute,3,FALSE),
VLOOKUP('Final Term'!AF53,new_transmute,3,FALSE)
),
IF(Info!$B$4="Board program (Medicine)",
IF(OR(AND(AF$5&gt;0,AF$5&gt;100),AND(AF$5&gt;0,AF$5&lt;100)),
VLOOKUP(FLOOR(('Final Term'!AF53/AF$5)*100,1),new_transmute,4,FALSE),
VLOOKUP('Final Term'!AF53,new_transmute,4,FALSE)
),
""
)
)
)
)
)
)
)
)
))</f>
        <v/>
      </c>
      <c r="AG53" s="73" t="str">
        <f>IF($B53="","",
IF(AG$5="","",
IF('Final Term'!AG53="",0,
IF(NOT(ISNUMBER('Final Term'!AG53)),"NAN",
IF('Final Term'!AG53&lt;0,"NEG",
IF('Final Term'!AG53&gt;AG$5,"OVER",
IF(AND(AG$5&lt;=100,'Final Term'!AG53&gt;100),"ERR",
IF(Info!$B$4="Non-board program",
IF(OR(AND(AG$5&gt;0,AG$5&gt;100),AND(AG$5&gt;0,AG$5&lt;100)),
VLOOKUP(FLOOR(('Final Term'!AG53/AG$5)*100,1),new_transmute,2,FALSE),
VLOOKUP('Final Term'!AG53,new_transmute,2,FALSE)
),
IF(Info!$B$4="Board program",
IF(OR(AND(AG$5&gt;0,AG$5&gt;100),AND(AG$5&gt;0,AG$5&lt;100)),
VLOOKUP(FLOOR(('Final Term'!AG53/AG$5)*100,1),new_transmute,3,FALSE),
VLOOKUP('Final Term'!AG53,new_transmute,3,FALSE)
),
IF(Info!$B$4="Board program (Medicine)",
IF(OR(AND(AG$5&gt;0,AG$5&gt;100),AND(AG$5&gt;0,AG$5&lt;100)),
VLOOKUP(FLOOR(('Final Term'!AG53/AG$5)*100,1),new_transmute,4,FALSE),
VLOOKUP('Final Term'!AG53,new_transmute,4,FALSE)
),
""
)
)
)
)
)
)
)
)
))</f>
        <v/>
      </c>
      <c r="AH53" s="73" t="str">
        <f>IF($B53="","",
IF(AH$5="","",
IF('Final Term'!AH53="",0,
IF(NOT(ISNUMBER('Final Term'!AH53)),"NAN",
IF('Final Term'!AH53&lt;0,"NEG",
IF('Final Term'!AH53&gt;AH$5,"OVER",
IF(AND(AH$5&lt;=100,'Final Term'!AH53&gt;100),"ERR",
IF(Info!$B$4="Non-board program",
IF(OR(AND(AH$5&gt;0,AH$5&gt;100),AND(AH$5&gt;0,AH$5&lt;100)),
VLOOKUP(FLOOR(('Final Term'!AH53/AH$5)*100,1),new_transmute,2,FALSE),
VLOOKUP('Final Term'!AH53,new_transmute,2,FALSE)
),
IF(Info!$B$4="Board program",
IF(OR(AND(AH$5&gt;0,AH$5&gt;100),AND(AH$5&gt;0,AH$5&lt;100)),
VLOOKUP(FLOOR(('Final Term'!AH53/AH$5)*100,1),new_transmute,3,FALSE),
VLOOKUP('Final Term'!AH53,new_transmute,3,FALSE)
),
IF(Info!$B$4="Board program (Medicine)",
IF(OR(AND(AH$5&gt;0,AH$5&gt;100),AND(AH$5&gt;0,AH$5&lt;100)),
VLOOKUP(FLOOR(('Final Term'!AH53/AH$5)*100,1),new_transmute,4,FALSE),
VLOOKUP('Final Term'!AH53,new_transmute,4,FALSE)
),
""
)
)
)
)
)
)
)
)
))</f>
        <v/>
      </c>
      <c r="AI53" s="73" t="str">
        <f>IF($B53="","",
IF(AI$5="","",
IF('Final Term'!AI53="",0,
IF(NOT(ISNUMBER('Final Term'!AI53)),"NAN",
IF('Final Term'!AI53&lt;0,"NEG",
IF('Final Term'!AI53&gt;AI$5,"OVER",
IF(AND(AI$5&lt;=100,'Final Term'!AI53&gt;100),"ERR",
IF(Info!$B$4="Non-board program",
IF(OR(AND(AI$5&gt;0,AI$5&gt;100),AND(AI$5&gt;0,AI$5&lt;100)),
VLOOKUP(FLOOR(('Final Term'!AI53/AI$5)*100,1),new_transmute,2,FALSE),
VLOOKUP('Final Term'!AI53,new_transmute,2,FALSE)
),
IF(Info!$B$4="Board program",
IF(OR(AND(AI$5&gt;0,AI$5&gt;100),AND(AI$5&gt;0,AI$5&lt;100)),
VLOOKUP(FLOOR(('Final Term'!AI53/AI$5)*100,1),new_transmute,3,FALSE),
VLOOKUP('Final Term'!AI53,new_transmute,3,FALSE)
),
IF(Info!$B$4="Board program (Medicine)",
IF(OR(AND(AI$5&gt;0,AI$5&gt;100),AND(AI$5&gt;0,AI$5&lt;100)),
VLOOKUP(FLOOR(('Final Term'!AI53/AI$5)*100,1),new_transmute,4,FALSE),
VLOOKUP('Final Term'!AI53,new_transmute,4,FALSE)
),
""
)
)
)
)
)
)
)
)
))</f>
        <v/>
      </c>
      <c r="AJ53" s="73" t="str">
        <f>IF($B53="","",
IF(AJ$5="","",
IF('Final Term'!AJ53="",0,
IF(NOT(ISNUMBER('Final Term'!AJ53)),"NAN",
IF('Final Term'!AJ53&lt;0,"NEG",
IF('Final Term'!AJ53&gt;AJ$5,"OVER",
IF(AND(AJ$5&lt;=100,'Final Term'!AJ53&gt;100),"ERR",
IF(Info!$B$4="Non-board program",
IF(OR(AND(AJ$5&gt;0,AJ$5&gt;100),AND(AJ$5&gt;0,AJ$5&lt;100)),
VLOOKUP(FLOOR(('Final Term'!AJ53/AJ$5)*100,1),new_transmute,2,FALSE),
VLOOKUP('Final Term'!AJ53,new_transmute,2,FALSE)
),
IF(Info!$B$4="Board program",
IF(OR(AND(AJ$5&gt;0,AJ$5&gt;100),AND(AJ$5&gt;0,AJ$5&lt;100)),
VLOOKUP(FLOOR(('Final Term'!AJ53/AJ$5)*100,1),new_transmute,3,FALSE),
VLOOKUP('Final Term'!AJ53,new_transmute,3,FALSE)
),
IF(Info!$B$4="Board program (Medicine)",
IF(OR(AND(AJ$5&gt;0,AJ$5&gt;100),AND(AJ$5&gt;0,AJ$5&lt;100)),
VLOOKUP(FLOOR(('Final Term'!AJ53/AJ$5)*100,1),new_transmute,4,FALSE),
VLOOKUP('Final Term'!AJ53,new_transmute,4,FALSE)
),
""
)
)
)
)
)
)
)
)
))</f>
        <v/>
      </c>
      <c r="AK53" s="59" t="str">
        <f t="shared" si="6"/>
        <v/>
      </c>
      <c r="AL53" s="60" t="str">
        <f>IF(B53="", "",
    IF(OR(M53="OVER", S53="OVER", Y53="OVER", AE53="OVER", AK53="OVER"),
        "OVER",
        IF(Info!$B$4="Non-board program",
            VLOOKUP(IFERROR(FLOOR(SUM((M53*$M$4), (S53*$S$4), (Y53*$Y$4), (AE53*$AE$4), (AK53*$AK$4)) * (100 / 60), 1), 0), new_transmute, 2, FALSE),
            IF(Info!$B$4="Board program",
                VLOOKUP(IFERROR(FLOOR(SUM((M53*$M$4), (S53*$S$4), (Y53*$Y$4), (AE53*$AE$4), (AK53*$AK$4)) * (100 / 60), 1), 0), new_transmute, 3, FALSE),
                IF(Info!$B$4="Board program (Medicine)",
                    VLOOKUP(IFERROR(FLOOR(SUM((M53*$M$4), (S53*$S$4), (Y53*$Y$4), (AE53*$AE$4), (AK53*$AK$4)) * (100 / 60), 1), 0), new_transmute, 4, FALSE),
                    ""
                )
            )
        )
    )
)</f>
        <v/>
      </c>
      <c r="AM53" s="73" t="str">
        <f>IF($B53="","",
IF(AM$5="","",
IF('Final Term'!AM53="",0,
IF(NOT(ISNUMBER('Final Term'!AM53)),"NAN",
IF('Final Term'!AM53&lt;0,"NEG",
IF('Final Term'!AM53&gt;AM$5,"OVER",
IF(AND(AM$5&lt;=100,'Final Term'!AM53&gt;100),"ERR",
IF(Info!$B$4="Non-board program",
IF(OR(AND(AM$5&gt;0,AM$5&gt;100),AND(AM$5&gt;0,AM$5&lt;100)),
VLOOKUP(FLOOR(('Final Term'!AM53/AM$5)*100,1),new_transmute,2,FALSE),
VLOOKUP('Final Term'!AM53,new_transmute,2,FALSE)
),
IF(Info!$B$4="Board program",
IF(OR(AND(AM$5&gt;0,AM$5&gt;100),AND(AM$5&gt;0,AM$5&lt;100)),
VLOOKUP(FLOOR(('Final Term'!AM53/AM$5)*100,1),new_transmute,3,FALSE),
VLOOKUP('Final Term'!AM53,new_transmute,3,FALSE)
),
IF(Info!$B$4="Board program (Medicine)",
IF(OR(AND(AM$5&gt;0,AM$5&gt;100),AND(AM$5&gt;0,AM$5&lt;100)),
VLOOKUP(FLOOR(('Final Term'!AM53/AM$5)*100,1),new_transmute,4,FALSE),
VLOOKUP('Final Term'!AM53,new_transmute,4,FALSE)
),
""
)
)
)
)
)
)
)
)
))</f>
        <v/>
      </c>
      <c r="AN53" s="73" t="str">
        <f>IF($B53="","",
IF(AN$5="","",
IF('Final Term'!AN53="",0,
IF(NOT(ISNUMBER('Final Term'!AN53)),"NAN",
IF('Final Term'!AN53&lt;0,"NEG",
IF('Final Term'!AN53&gt;AN$5,"OVER",
IF(AND(AN$5&lt;=100,'Final Term'!AN53&gt;100),"ERR",
IF(Info!$B$4="Non-board program",
IF(OR(AND(AN$5&gt;0,AN$5&gt;100),AND(AN$5&gt;0,AN$5&lt;100)),
VLOOKUP(FLOOR(('Final Term'!AN53/AN$5)*100,1),new_transmute,2,FALSE),
VLOOKUP('Final Term'!AN53,new_transmute,2,FALSE)
),
IF(Info!$B$4="Board program",
IF(OR(AND(AN$5&gt;0,AN$5&gt;100),AND(AN$5&gt;0,AN$5&lt;100)),
VLOOKUP(FLOOR(('Final Term'!AN53/AN$5)*100,1),new_transmute,3,FALSE),
VLOOKUP('Final Term'!AN53,new_transmute,3,FALSE)
),
IF(Info!$B$4="Board program (Medicine)",
IF(OR(AND(AN$5&gt;0,AN$5&gt;100),AND(AN$5&gt;0,AN$5&lt;100)),
VLOOKUP(FLOOR(('Final Term'!AN53/AN$5)*100,1),new_transmute,4,FALSE),
VLOOKUP('Final Term'!AN53,new_transmute,4,FALSE)
),
""
)
)
)
)
)
)
)
)
))</f>
        <v/>
      </c>
      <c r="AO53" s="73" t="str">
        <f>IF($B53="","",
IF(AO$5="","",
IF('Final Term'!AO53="",0,
IF(NOT(ISNUMBER('Final Term'!AO53)),"NAN",
IF('Final Term'!AO53&lt;0,"NEG",
IF('Final Term'!AO53&gt;AO$5,"OVER",
IF(AND(AO$5&lt;=100,'Final Term'!AO53&gt;100),"ERR",
IF(Info!$B$4="Non-board program",
IF(OR(AND(AO$5&gt;0,AO$5&gt;100),AND(AO$5&gt;0,AO$5&lt;100)),
VLOOKUP(FLOOR(('Final Term'!AO53/AO$5)*100,1),new_transmute,2,FALSE),
VLOOKUP('Final Term'!AO53,new_transmute,2,FALSE)
),
IF(Info!$B$4="Board program",
IF(OR(AND(AO$5&gt;0,AO$5&gt;100),AND(AO$5&gt;0,AO$5&lt;100)),
VLOOKUP(FLOOR(('Final Term'!AO53/AO$5)*100,1),new_transmute,3,FALSE),
VLOOKUP('Final Term'!AO53,new_transmute,3,FALSE)
),
IF(Info!$B$4="Board program (Medicine)",
IF(OR(AND(AO$5&gt;0,AO$5&gt;100),AND(AO$5&gt;0,AO$5&lt;100)),
VLOOKUP(FLOOR(('Final Term'!AO53/AO$5)*100,1),new_transmute,4,FALSE),
VLOOKUP('Final Term'!AO53,new_transmute,4,FALSE)
),
""
)
)
)
)
)
)
)
)
))</f>
        <v/>
      </c>
      <c r="AP53" s="73" t="str">
        <f>IF($B53="","",
IF(AP$5="","",
IF('Final Term'!AP53="",0,
IF(NOT(ISNUMBER('Final Term'!AP53)),"NAN",
IF('Final Term'!AP53&lt;0,"NEG",
IF('Final Term'!AP53&gt;AP$5,"OVER",
IF(AND(AP$5&lt;=100,'Final Term'!AP53&gt;100),"ERR",
IF(Info!$B$4="Non-board program",
IF(OR(AND(AP$5&gt;0,AP$5&gt;100),AND(AP$5&gt;0,AP$5&lt;100)),
VLOOKUP(FLOOR(('Final Term'!AP53/AP$5)*100,1),new_transmute,2,FALSE),
VLOOKUP('Final Term'!AP53,new_transmute,2,FALSE)
),
IF(Info!$B$4="Board program",
IF(OR(AND(AP$5&gt;0,AP$5&gt;100),AND(AP$5&gt;0,AP$5&lt;100)),
VLOOKUP(FLOOR(('Final Term'!AP53/AP$5)*100,1),new_transmute,3,FALSE),
VLOOKUP('Final Term'!AP53,new_transmute,3,FALSE)
),
IF(Info!$B$4="Board program (Medicine)",
IF(OR(AND(AP$5&gt;0,AP$5&gt;100),AND(AP$5&gt;0,AP$5&lt;100)),
VLOOKUP(FLOOR(('Final Term'!AP53/AP$5)*100,1),new_transmute,4,FALSE),
VLOOKUP('Final Term'!AP53,new_transmute,4,FALSE)
),
""
)
)
)
)
)
)
)
)
))</f>
        <v/>
      </c>
      <c r="AQ53" s="61" t="str">
        <f t="shared" si="7"/>
        <v/>
      </c>
      <c r="AR53" s="48" t="str">
        <f>IF('Final Term'!AR53="","",'Final Term'!AR53)</f>
        <v/>
      </c>
      <c r="AS53" s="165" t="str">
        <f t="shared" si="8"/>
        <v/>
      </c>
      <c r="AT53" s="14" t="str">
        <f t="shared" si="9"/>
        <v/>
      </c>
      <c r="AU53" s="13" t="str">
        <f>IF(B53="","",VLOOKUP(AT53,'New Grade Equivalent'!$B$3:$C$47,2,FALSE))</f>
        <v/>
      </c>
    </row>
    <row r="54" spans="1:47" x14ac:dyDescent="0.25">
      <c r="A54" s="8">
        <v>49</v>
      </c>
      <c r="B54" s="2" t="str">
        <f>IF('Student List'!C58="","",UPPER(LEFT('Student List'!C58,FIND(",",'Student List'!C58)-1)))</f>
        <v/>
      </c>
      <c r="C54" s="12" t="str">
        <f>IF('Student List'!C58="","",PROPER(MID('Student List'!C58, FIND(",", 'Student List'!C58) + 2, LEN('Student List'!C58) - FIND(",", 'Student List'!C58) - 1)))</f>
        <v/>
      </c>
      <c r="D54" s="127" t="str">
        <f>IF('Final Term'!D54="","",'Final Term'!D54)</f>
        <v/>
      </c>
      <c r="E54" s="8" t="str">
        <f>IF(MidCom!E54="FA", "FA",
    IF(MidCom!E54="DRP", "DRP",
        IF(MidCom!E54="WF", "WF",
            IF(D54="Yes", "INC",
               IF((SUM('MT Attendance'!AW52) / 3 + SUM('MT Attendance'!AY52) + SUM('FT Attendance'!AW52) / 3 + SUM('FT Attendance'!AY52)) &gt;= 0.2 * (SUMPRODUCT(--(ISTEXT('MT Attendance'!$C$2:$AU$2))) + SUMPRODUCT(--(ISTEXT('FT Attendance'!$C$2:$AU$2)))), "FA",
                   MidCom!E54
                )
            )
        )
    )
)</f>
        <v/>
      </c>
      <c r="F54" s="73" t="str">
        <f>IF($B54="","",
IF(F$5="","",
IF('Final Term'!F54="",0,
IF(NOT(ISNUMBER('Final Term'!F54)),"NAN",
IF('Final Term'!F54&lt;0,"NEG",
IF('Final Term'!F54&gt;F$5,"OVER",
IF(AND(F$5&lt;=100,'Final Term'!F54&gt;100),"ERR",
IF(Info!$B$4="Non-board program",
IF(OR(AND(F$5&gt;0,F$5&gt;100),AND(F$5&gt;0,F$5&lt;100)),
VLOOKUP(FLOOR(('Final Term'!F54/F$5)*100,1),new_transmute,2,FALSE),
VLOOKUP('Final Term'!F54,new_transmute,2,FALSE)
),
IF(Info!$B$4="Board program",
IF(OR(AND(F$5&gt;0,F$5&gt;100),AND(F$5&gt;0,F$5&lt;100)),
VLOOKUP(FLOOR(('Final Term'!F54/F$5)*100,1),new_transmute,3,FALSE),
VLOOKUP('Final Term'!F54,new_transmute,3,FALSE)
),
IF(Info!$B$4="Board program (Medicine)",
IF(OR(AND(F$5&gt;0,F$5&gt;100),AND(F$5&gt;0,F$5&lt;100)),
VLOOKUP(FLOOR(('Final Term'!F54/F$5)*100,1),new_transmute,4,FALSE),
VLOOKUP('Final Term'!F54,new_transmute,4,FALSE)
),
""
)
)
)
)
)
)
)
)
))</f>
        <v/>
      </c>
      <c r="G54" s="57" t="str">
        <f t="shared" si="1"/>
        <v/>
      </c>
      <c r="H54" s="73" t="str">
        <f>IF($B54="","",
IF(H$5="","",
IF('Final Term'!H54="",0,
IF(NOT(ISNUMBER('Final Term'!H54)),"NAN",
IF('Final Term'!H54&lt;0,"NEG",
IF('Final Term'!H54&gt;H$5,"OVER",
IF(AND(H$5&lt;=100,'Final Term'!H54&gt;100),"ERR",
IF(Info!$B$4="Non-board program",
IF(OR(AND(H$5&gt;0,H$5&gt;100),AND(H$5&gt;0,H$5&lt;100)),
VLOOKUP(FLOOR(('Final Term'!H54/H$5)*100,1),new_transmute,2,FALSE),
VLOOKUP('Final Term'!H54,new_transmute,2,FALSE)
),
IF(Info!$B$4="Board program",
IF(OR(AND(H$5&gt;0,H$5&gt;100),AND(H$5&gt;0,H$5&lt;100)),
VLOOKUP(FLOOR(('Final Term'!H54/H$5)*100,1),new_transmute,3,FALSE),
VLOOKUP('Final Term'!H54,new_transmute,3,FALSE)
),
IF(Info!$B$4="Board program (Medicine)",
IF(OR(AND(H$5&gt;0,H$5&gt;100),AND(H$5&gt;0,H$5&lt;100)),
VLOOKUP(FLOOR(('Final Term'!H54/H$5)*100,1),new_transmute,4,FALSE),
VLOOKUP('Final Term'!H54,new_transmute,4,FALSE)
),
""
)
)
)
)
)
)
)
)
))</f>
        <v/>
      </c>
      <c r="I54" s="73" t="str">
        <f>IF($B54="","",
IF(I$5="","",
IF('Final Term'!I54="",0,
IF(NOT(ISNUMBER('Final Term'!I54)),"NAN",
IF('Final Term'!I54&lt;0,"NEG",
IF('Final Term'!I54&gt;I$5,"OVER",
IF(AND(I$5&lt;=100,'Final Term'!I54&gt;100),"ERR",
IF(Info!$B$4="Non-board program",
IF(OR(AND(I$5&gt;0,I$5&gt;100),AND(I$5&gt;0,I$5&lt;100)),
VLOOKUP(FLOOR(('Final Term'!I54/I$5)*100,1),new_transmute,2,FALSE),
VLOOKUP('Final Term'!I54,new_transmute,2,FALSE)
),
IF(Info!$B$4="Board program",
IF(OR(AND(I$5&gt;0,I$5&gt;100),AND(I$5&gt;0,I$5&lt;100)),
VLOOKUP(FLOOR(('Final Term'!I54/I$5)*100,1),new_transmute,3,FALSE),
VLOOKUP('Final Term'!I54,new_transmute,3,FALSE)
),
IF(Info!$B$4="Board program (Medicine)",
IF(OR(AND(I$5&gt;0,I$5&gt;100),AND(I$5&gt;0,I$5&lt;100)),
VLOOKUP(FLOOR(('Final Term'!I54/I$5)*100,1),new_transmute,4,FALSE),
VLOOKUP('Final Term'!I54,new_transmute,4,FALSE)
),
""
)
)
)
)
)
)
)
)
))</f>
        <v/>
      </c>
      <c r="J54" s="73" t="str">
        <f>IF($B54="","",
IF(J$5="","",
IF('Final Term'!J54="",0,
IF(NOT(ISNUMBER('Final Term'!J54)),"NAN",
IF('Final Term'!J54&lt;0,"NEG",
IF('Final Term'!J54&gt;J$5,"OVER",
IF(AND(J$5&lt;=100,'Final Term'!J54&gt;100),"ERR",
IF(Info!$B$4="Non-board program",
IF(OR(AND(J$5&gt;0,J$5&gt;100),AND(J$5&gt;0,J$5&lt;100)),
VLOOKUP(FLOOR(('Final Term'!J54/J$5)*100,1),new_transmute,2,FALSE),
VLOOKUP('Final Term'!J54,new_transmute,2,FALSE)
),
IF(Info!$B$4="Board program",
IF(OR(AND(J$5&gt;0,J$5&gt;100),AND(J$5&gt;0,J$5&lt;100)),
VLOOKUP(FLOOR(('Final Term'!J54/J$5)*100,1),new_transmute,3,FALSE),
VLOOKUP('Final Term'!J54,new_transmute,3,FALSE)
),
IF(Info!$B$4="Board program (Medicine)",
IF(OR(AND(J$5&gt;0,J$5&gt;100),AND(J$5&gt;0,J$5&lt;100)),
VLOOKUP(FLOOR(('Final Term'!J54/J$5)*100,1),new_transmute,4,FALSE),
VLOOKUP('Final Term'!J54,new_transmute,4,FALSE)
),
""
)
)
)
)
)
)
)
)
))</f>
        <v/>
      </c>
      <c r="K54" s="73" t="str">
        <f>IF($B54="","",
IF(K$5="","",
IF('Final Term'!K54="",0,
IF(NOT(ISNUMBER('Final Term'!K54)),"NAN",
IF('Final Term'!K54&lt;0,"NEG",
IF('Final Term'!K54&gt;K$5,"OVER",
IF(AND(K$5&lt;=100,'Final Term'!K54&gt;100),"ERR",
IF(Info!$B$4="Non-board program",
IF(OR(AND(K$5&gt;0,K$5&gt;100),AND(K$5&gt;0,K$5&lt;100)),
VLOOKUP(FLOOR(('Final Term'!K54/K$5)*100,1),new_transmute,2,FALSE),
VLOOKUP('Final Term'!K54,new_transmute,2,FALSE)
),
IF(Info!$B$4="Board program",
IF(OR(AND(K$5&gt;0,K$5&gt;100),AND(K$5&gt;0,K$5&lt;100)),
VLOOKUP(FLOOR(('Final Term'!K54/K$5)*100,1),new_transmute,3,FALSE),
VLOOKUP('Final Term'!K54,new_transmute,3,FALSE)
),
IF(Info!$B$4="Board program (Medicine)",
IF(OR(AND(K$5&gt;0,K$5&gt;100),AND(K$5&gt;0,K$5&lt;100)),
VLOOKUP(FLOOR(('Final Term'!K54/K$5)*100,1),new_transmute,4,FALSE),
VLOOKUP('Final Term'!K54,new_transmute,4,FALSE)
),
""
)
)
)
)
)
)
)
)
))</f>
        <v/>
      </c>
      <c r="L54" s="73" t="str">
        <f>IF($B54="","",
IF(L$5="","",
IF('Final Term'!L54="",0,
IF(NOT(ISNUMBER('Final Term'!L54)),"NAN",
IF('Final Term'!L54&lt;0,"NEG",
IF('Final Term'!L54&gt;L$5,"OVER",
IF(AND(L$5&lt;=100,'Final Term'!L54&gt;100),"ERR",
IF(Info!$B$4="Non-board program",
IF(OR(AND(L$5&gt;0,L$5&gt;100),AND(L$5&gt;0,L$5&lt;100)),
VLOOKUP(FLOOR(('Final Term'!L54/L$5)*100,1),new_transmute,2,FALSE),
VLOOKUP('Final Term'!L54,new_transmute,2,FALSE)
),
IF(Info!$B$4="Board program",
IF(OR(AND(L$5&gt;0,L$5&gt;100),AND(L$5&gt;0,L$5&lt;100)),
VLOOKUP(FLOOR(('Final Term'!L54/L$5)*100,1),new_transmute,3,FALSE),
VLOOKUP('Final Term'!L54,new_transmute,3,FALSE)
),
IF(Info!$B$4="Board program (Medicine)",
IF(OR(AND(L$5&gt;0,L$5&gt;100),AND(L$5&gt;0,L$5&lt;100)),
VLOOKUP(FLOOR(('Final Term'!L54/L$5)*100,1),new_transmute,4,FALSE),
VLOOKUP('Final Term'!L54,new_transmute,4,FALSE)
),
""
)
)
)
)
)
)
)
)
))</f>
        <v/>
      </c>
      <c r="M54" s="111" t="str">
        <f t="shared" si="2"/>
        <v/>
      </c>
      <c r="N54" s="73" t="str">
        <f>IF($B54="","",
IF(N$5="","",
IF('Final Term'!N54="",0,
IF(NOT(ISNUMBER('Final Term'!N54)),"NAN",
IF('Final Term'!N54&lt;0,"NEG",
IF('Final Term'!N54&gt;N$5,"OVER",
IF(AND(N$5&lt;=100,'Final Term'!N54&gt;100),"ERR",
IF(Info!$B$4="Non-board program",
IF(OR(AND(N$5&gt;0,N$5&gt;100),AND(N$5&gt;0,N$5&lt;100)),
VLOOKUP(FLOOR(('Final Term'!N54/N$5)*100,1),new_transmute,2,FALSE),
VLOOKUP('Final Term'!N54,new_transmute,2,FALSE)
),
IF(Info!$B$4="Board program",
IF(OR(AND(N$5&gt;0,N$5&gt;100),AND(N$5&gt;0,N$5&lt;100)),
VLOOKUP(FLOOR(('Final Term'!N54/N$5)*100,1),new_transmute,3,FALSE),
VLOOKUP('Final Term'!N54,new_transmute,3,FALSE)
),
IF(Info!$B$4="Board program (Medicine)",
IF(OR(AND(N$5&gt;0,N$5&gt;100),AND(N$5&gt;0,N$5&lt;100)),
VLOOKUP(FLOOR(('Final Term'!N54/N$5)*100,1),new_transmute,4,FALSE),
VLOOKUP('Final Term'!N54,new_transmute,4,FALSE)
),
""
)
)
)
)
)
)
)
)
))</f>
        <v/>
      </c>
      <c r="O54" s="73" t="str">
        <f>IF($B54="","",
IF(O$5="","",
IF('Final Term'!O54="",0,
IF(NOT(ISNUMBER('Final Term'!O54)),"NAN",
IF('Final Term'!O54&lt;0,"NEG",
IF('Final Term'!O54&gt;O$5,"OVER",
IF(AND(O$5&lt;=100,'Final Term'!O54&gt;100),"ERR",
IF(Info!$B$4="Non-board program",
IF(OR(AND(O$5&gt;0,O$5&gt;100),AND(O$5&gt;0,O$5&lt;100)),
VLOOKUP(FLOOR(('Final Term'!O54/O$5)*100,1),new_transmute,2,FALSE),
VLOOKUP('Final Term'!O54,new_transmute,2,FALSE)
),
IF(Info!$B$4="Board program",
IF(OR(AND(O$5&gt;0,O$5&gt;100),AND(O$5&gt;0,O$5&lt;100)),
VLOOKUP(FLOOR(('Final Term'!O54/O$5)*100,1),new_transmute,3,FALSE),
VLOOKUP('Final Term'!O54,new_transmute,3,FALSE)
),
IF(Info!$B$4="Board program (Medicine)",
IF(OR(AND(O$5&gt;0,O$5&gt;100),AND(O$5&gt;0,O$5&lt;100)),
VLOOKUP(FLOOR(('Final Term'!O54/O$5)*100,1),new_transmute,4,FALSE),
VLOOKUP('Final Term'!O54,new_transmute,4,FALSE)
),
""
)
)
)
)
)
)
)
)
))</f>
        <v/>
      </c>
      <c r="P54" s="73" t="str">
        <f>IF($B54="","",
IF(P$5="","",
IF('Final Term'!P54="",0,
IF(NOT(ISNUMBER('Final Term'!P54)),"NAN",
IF('Final Term'!P54&lt;0,"NEG",
IF('Final Term'!P54&gt;P$5,"OVER",
IF(AND(P$5&lt;=100,'Final Term'!P54&gt;100),"ERR",
IF(Info!$B$4="Non-board program",
IF(OR(AND(P$5&gt;0,P$5&gt;100),AND(P$5&gt;0,P$5&lt;100)),
VLOOKUP(FLOOR(('Final Term'!P54/P$5)*100,1),new_transmute,2,FALSE),
VLOOKUP('Final Term'!P54,new_transmute,2,FALSE)
),
IF(Info!$B$4="Board program",
IF(OR(AND(P$5&gt;0,P$5&gt;100),AND(P$5&gt;0,P$5&lt;100)),
VLOOKUP(FLOOR(('Final Term'!P54/P$5)*100,1),new_transmute,3,FALSE),
VLOOKUP('Final Term'!P54,new_transmute,3,FALSE)
),
IF(Info!$B$4="Board program (Medicine)",
IF(OR(AND(P$5&gt;0,P$5&gt;100),AND(P$5&gt;0,P$5&lt;100)),
VLOOKUP(FLOOR(('Final Term'!P54/P$5)*100,1),new_transmute,4,FALSE),
VLOOKUP('Final Term'!P54,new_transmute,4,FALSE)
),
""
)
)
)
)
)
)
)
)
))</f>
        <v/>
      </c>
      <c r="Q54" s="73" t="str">
        <f>IF($B54="","",
IF(Q$5="","",
IF('Final Term'!Q54="",0,
IF(NOT(ISNUMBER('Final Term'!Q54)),"NAN",
IF('Final Term'!Q54&lt;0,"NEG",
IF('Final Term'!Q54&gt;Q$5,"OVER",
IF(AND(Q$5&lt;=100,'Final Term'!Q54&gt;100),"ERR",
IF(Info!$B$4="Non-board program",
IF(OR(AND(Q$5&gt;0,Q$5&gt;100),AND(Q$5&gt;0,Q$5&lt;100)),
VLOOKUP(FLOOR(('Final Term'!Q54/Q$5)*100,1),new_transmute,2,FALSE),
VLOOKUP('Final Term'!Q54,new_transmute,2,FALSE)
),
IF(Info!$B$4="Board program",
IF(OR(AND(Q$5&gt;0,Q$5&gt;100),AND(Q$5&gt;0,Q$5&lt;100)),
VLOOKUP(FLOOR(('Final Term'!Q54/Q$5)*100,1),new_transmute,3,FALSE),
VLOOKUP('Final Term'!Q54,new_transmute,3,FALSE)
),
IF(Info!$B$4="Board program (Medicine)",
IF(OR(AND(Q$5&gt;0,Q$5&gt;100),AND(Q$5&gt;0,Q$5&lt;100)),
VLOOKUP(FLOOR(('Final Term'!Q54/Q$5)*100,1),new_transmute,4,FALSE),
VLOOKUP('Final Term'!Q54,new_transmute,4,FALSE)
),
""
)
)
)
)
)
)
)
)
))</f>
        <v/>
      </c>
      <c r="R54" s="73" t="str">
        <f>IF($B54="","",
IF(R$5="","",
IF('Final Term'!R54="",0,
IF(NOT(ISNUMBER('Final Term'!R54)),"NAN",
IF('Final Term'!R54&lt;0,"NEG",
IF('Final Term'!R54&gt;R$5,"OVER",
IF(AND(R$5&lt;=100,'Final Term'!R54&gt;100),"ERR",
IF(Info!$B$4="Non-board program",
IF(OR(AND(R$5&gt;0,R$5&gt;100),AND(R$5&gt;0,R$5&lt;100)),
VLOOKUP(FLOOR(('Final Term'!R54/R$5)*100,1),new_transmute,2,FALSE),
VLOOKUP('Final Term'!R54,new_transmute,2,FALSE)
),
IF(Info!$B$4="Board program",
IF(OR(AND(R$5&gt;0,R$5&gt;100),AND(R$5&gt;0,R$5&lt;100)),
VLOOKUP(FLOOR(('Final Term'!R54/R$5)*100,1),new_transmute,3,FALSE),
VLOOKUP('Final Term'!R54,new_transmute,3,FALSE)
),
IF(Info!$B$4="Board program (Medicine)",
IF(OR(AND(R$5&gt;0,R$5&gt;100),AND(R$5&gt;0,R$5&lt;100)),
VLOOKUP(FLOOR(('Final Term'!R54/R$5)*100,1),new_transmute,4,FALSE),
VLOOKUP('Final Term'!R54,new_transmute,4,FALSE)
),
""
)
)
)
)
)
)
)
)
))</f>
        <v/>
      </c>
      <c r="S54" s="115" t="str">
        <f t="shared" si="3"/>
        <v/>
      </c>
      <c r="T54" s="73" t="str">
        <f>IF($B54="","",
IF(T$5="","",
IF('Final Term'!T54="",0,
IF(NOT(ISNUMBER('Final Term'!T54)),"NAN",
IF('Final Term'!T54&lt;0,"NEG",
IF('Final Term'!T54&gt;T$5,"OVER",
IF(AND(T$5&lt;=100,'Final Term'!T54&gt;100),"ERR",
IF(Info!$B$4="Non-board program",
IF(OR(AND(T$5&gt;0,T$5&gt;100),AND(T$5&gt;0,T$5&lt;100)),
VLOOKUP(FLOOR(('Final Term'!T54/T$5)*100,1),new_transmute,2,FALSE),
VLOOKUP('Final Term'!T54,new_transmute,2,FALSE)
),
IF(Info!$B$4="Board program",
IF(OR(AND(T$5&gt;0,T$5&gt;100),AND(T$5&gt;0,T$5&lt;100)),
VLOOKUP(FLOOR(('Final Term'!T54/T$5)*100,1),new_transmute,3,FALSE),
VLOOKUP('Final Term'!T54,new_transmute,3,FALSE)
),
IF(Info!$B$4="Board program (Medicine)",
IF(OR(AND(T$5&gt;0,T$5&gt;100),AND(T$5&gt;0,T$5&lt;100)),
VLOOKUP(FLOOR(('Final Term'!T54/T$5)*100,1),new_transmute,4,FALSE),
VLOOKUP('Final Term'!T54,new_transmute,4,FALSE)
),
""
)
)
)
)
)
)
)
)
))</f>
        <v/>
      </c>
      <c r="U54" s="73" t="str">
        <f>IF($B54="","",
IF(U$5="","",
IF('Final Term'!U54="",0,
IF(NOT(ISNUMBER('Final Term'!U54)),"NAN",
IF('Final Term'!U54&lt;0,"NEG",
IF('Final Term'!U54&gt;U$5,"OVER",
IF(AND(U$5&lt;=100,'Final Term'!U54&gt;100),"ERR",
IF(Info!$B$4="Non-board program",
IF(OR(AND(U$5&gt;0,U$5&gt;100),AND(U$5&gt;0,U$5&lt;100)),
VLOOKUP(FLOOR(('Final Term'!U54/U$5)*100,1),new_transmute,2,FALSE),
VLOOKUP('Final Term'!U54,new_transmute,2,FALSE)
),
IF(Info!$B$4="Board program",
IF(OR(AND(U$5&gt;0,U$5&gt;100),AND(U$5&gt;0,U$5&lt;100)),
VLOOKUP(FLOOR(('Final Term'!U54/U$5)*100,1),new_transmute,3,FALSE),
VLOOKUP('Final Term'!U54,new_transmute,3,FALSE)
),
IF(Info!$B$4="Board program (Medicine)",
IF(OR(AND(U$5&gt;0,U$5&gt;100),AND(U$5&gt;0,U$5&lt;100)),
VLOOKUP(FLOOR(('Final Term'!U54/U$5)*100,1),new_transmute,4,FALSE),
VLOOKUP('Final Term'!U54,new_transmute,4,FALSE)
),
""
)
)
)
)
)
)
)
)
))</f>
        <v/>
      </c>
      <c r="V54" s="73" t="str">
        <f>IF($B54="","",
IF(V$5="","",
IF('Final Term'!V54="",0,
IF(NOT(ISNUMBER('Final Term'!V54)),"NAN",
IF('Final Term'!V54&lt;0,"NEG",
IF('Final Term'!V54&gt;V$5,"OVER",
IF(AND(V$5&lt;=100,'Final Term'!V54&gt;100),"ERR",
IF(Info!$B$4="Non-board program",
IF(OR(AND(V$5&gt;0,V$5&gt;100),AND(V$5&gt;0,V$5&lt;100)),
VLOOKUP(FLOOR(('Final Term'!V54/V$5)*100,1),new_transmute,2,FALSE),
VLOOKUP('Final Term'!V54,new_transmute,2,FALSE)
),
IF(Info!$B$4="Board program",
IF(OR(AND(V$5&gt;0,V$5&gt;100),AND(V$5&gt;0,V$5&lt;100)),
VLOOKUP(FLOOR(('Final Term'!V54/V$5)*100,1),new_transmute,3,FALSE),
VLOOKUP('Final Term'!V54,new_transmute,3,FALSE)
),
IF(Info!$B$4="Board program (Medicine)",
IF(OR(AND(V$5&gt;0,V$5&gt;100),AND(V$5&gt;0,V$5&lt;100)),
VLOOKUP(FLOOR(('Final Term'!V54/V$5)*100,1),new_transmute,4,FALSE),
VLOOKUP('Final Term'!V54,new_transmute,4,FALSE)
),
""
)
)
)
)
)
)
)
)
))</f>
        <v/>
      </c>
      <c r="W54" s="73" t="str">
        <f>IF($B54="","",
IF(W$5="","",
IF('Final Term'!W54="",0,
IF(NOT(ISNUMBER('Final Term'!W54)),"NAN",
IF('Final Term'!W54&lt;0,"NEG",
IF('Final Term'!W54&gt;W$5,"OVER",
IF(AND(W$5&lt;=100,'Final Term'!W54&gt;100),"ERR",
IF(Info!$B$4="Non-board program",
IF(OR(AND(W$5&gt;0,W$5&gt;100),AND(W$5&gt;0,W$5&lt;100)),
VLOOKUP(FLOOR(('Final Term'!W54/W$5)*100,1),new_transmute,2,FALSE),
VLOOKUP('Final Term'!W54,new_transmute,2,FALSE)
),
IF(Info!$B$4="Board program",
IF(OR(AND(W$5&gt;0,W$5&gt;100),AND(W$5&gt;0,W$5&lt;100)),
VLOOKUP(FLOOR(('Final Term'!W54/W$5)*100,1),new_transmute,3,FALSE),
VLOOKUP('Final Term'!W54,new_transmute,3,FALSE)
),
IF(Info!$B$4="Board program (Medicine)",
IF(OR(AND(W$5&gt;0,W$5&gt;100),AND(W$5&gt;0,W$5&lt;100)),
VLOOKUP(FLOOR(('Final Term'!W54/W$5)*100,1),new_transmute,4,FALSE),
VLOOKUP('Final Term'!W54,new_transmute,4,FALSE)
),
""
)
)
)
)
)
)
)
)
))</f>
        <v/>
      </c>
      <c r="X54" s="73" t="str">
        <f>IF($B54="","",
IF(X$5="","",
IF('Final Term'!X54="",0,
IF(NOT(ISNUMBER('Final Term'!X54)),"NAN",
IF('Final Term'!X54&lt;0,"NEG",
IF('Final Term'!X54&gt;X$5,"OVER",
IF(AND(X$5&lt;=100,'Final Term'!X54&gt;100),"ERR",
IF(Info!$B$4="Non-board program",
IF(OR(AND(X$5&gt;0,X$5&gt;100),AND(X$5&gt;0,X$5&lt;100)),
VLOOKUP(FLOOR(('Final Term'!X54/X$5)*100,1),new_transmute,2,FALSE),
VLOOKUP('Final Term'!X54,new_transmute,2,FALSE)
),
IF(Info!$B$4="Board program",
IF(OR(AND(X$5&gt;0,X$5&gt;100),AND(X$5&gt;0,X$5&lt;100)),
VLOOKUP(FLOOR(('Final Term'!X54/X$5)*100,1),new_transmute,3,FALSE),
VLOOKUP('Final Term'!X54,new_transmute,3,FALSE)
),
IF(Info!$B$4="Board program (Medicine)",
IF(OR(AND(X$5&gt;0,X$5&gt;100),AND(X$5&gt;0,X$5&lt;100)),
VLOOKUP(FLOOR(('Final Term'!X54/X$5)*100,1),new_transmute,4,FALSE),
VLOOKUP('Final Term'!X54,new_transmute,4,FALSE)
),
""
)
)
)
)
)
)
)
)
))</f>
        <v/>
      </c>
      <c r="Y54" s="112" t="str">
        <f t="shared" si="4"/>
        <v/>
      </c>
      <c r="Z54" s="73" t="str">
        <f>IF($B54="","",
IF(Z$5="","",
IF('Final Term'!Z54="",0,
IF(NOT(ISNUMBER('Final Term'!Z54)),"NAN",
IF('Final Term'!Z54&lt;0,"NEG",
IF('Final Term'!Z54&gt;Z$5,"OVER",
IF(AND(Z$5&lt;=100,'Final Term'!Z54&gt;100),"ERR",
IF(Info!$B$4="Non-board program",
IF(OR(AND(Z$5&gt;0,Z$5&gt;100),AND(Z$5&gt;0,Z$5&lt;100)),
VLOOKUP(FLOOR(('Final Term'!Z54/Z$5)*100,1),new_transmute,2,FALSE),
VLOOKUP('Final Term'!Z54,new_transmute,2,FALSE)
),
IF(Info!$B$4="Board program",
IF(OR(AND(Z$5&gt;0,Z$5&gt;100),AND(Z$5&gt;0,Z$5&lt;100)),
VLOOKUP(FLOOR(('Final Term'!Z54/Z$5)*100,1),new_transmute,3,FALSE),
VLOOKUP('Final Term'!Z54,new_transmute,3,FALSE)
),
IF(Info!$B$4="Board program (Medicine)",
IF(OR(AND(Z$5&gt;0,Z$5&gt;100),AND(Z$5&gt;0,Z$5&lt;100)),
VLOOKUP(FLOOR(('Final Term'!Z54/Z$5)*100,1),new_transmute,4,FALSE),
VLOOKUP('Final Term'!Z54,new_transmute,4,FALSE)
),
""
)
)
)
)
)
)
)
)
))</f>
        <v/>
      </c>
      <c r="AA54" s="73" t="str">
        <f>IF($B54="","",
IF(AA$5="","",
IF('Final Term'!AA54="",0,
IF(NOT(ISNUMBER('Final Term'!AA54)),"NAN",
IF('Final Term'!AA54&lt;0,"NEG",
IF('Final Term'!AA54&gt;AA$5,"OVER",
IF(AND(AA$5&lt;=100,'Final Term'!AA54&gt;100),"ERR",
IF(Info!$B$4="Non-board program",
IF(OR(AND(AA$5&gt;0,AA$5&gt;100),AND(AA$5&gt;0,AA$5&lt;100)),
VLOOKUP(FLOOR(('Final Term'!AA54/AA$5)*100,1),new_transmute,2,FALSE),
VLOOKUP('Final Term'!AA54,new_transmute,2,FALSE)
),
IF(Info!$B$4="Board program",
IF(OR(AND(AA$5&gt;0,AA$5&gt;100),AND(AA$5&gt;0,AA$5&lt;100)),
VLOOKUP(FLOOR(('Final Term'!AA54/AA$5)*100,1),new_transmute,3,FALSE),
VLOOKUP('Final Term'!AA54,new_transmute,3,FALSE)
),
IF(Info!$B$4="Board program (Medicine)",
IF(OR(AND(AA$5&gt;0,AA$5&gt;100),AND(AA$5&gt;0,AA$5&lt;100)),
VLOOKUP(FLOOR(('Final Term'!AA54/AA$5)*100,1),new_transmute,4,FALSE),
VLOOKUP('Final Term'!AA54,new_transmute,4,FALSE)
),
""
)
)
)
)
)
)
)
)
))</f>
        <v/>
      </c>
      <c r="AB54" s="73" t="str">
        <f>IF($B54="","",
IF(AB$5="","",
IF('Final Term'!AB54="",0,
IF(NOT(ISNUMBER('Final Term'!AB54)),"NAN",
IF('Final Term'!AB54&lt;0,"NEG",
IF('Final Term'!AB54&gt;AB$5,"OVER",
IF(AND(AB$5&lt;=100,'Final Term'!AB54&gt;100),"ERR",
IF(Info!$B$4="Non-board program",
IF(OR(AND(AB$5&gt;0,AB$5&gt;100),AND(AB$5&gt;0,AB$5&lt;100)),
VLOOKUP(FLOOR(('Final Term'!AB54/AB$5)*100,1),new_transmute,2,FALSE),
VLOOKUP('Final Term'!AB54,new_transmute,2,FALSE)
),
IF(Info!$B$4="Board program",
IF(OR(AND(AB$5&gt;0,AB$5&gt;100),AND(AB$5&gt;0,AB$5&lt;100)),
VLOOKUP(FLOOR(('Final Term'!AB54/AB$5)*100,1),new_transmute,3,FALSE),
VLOOKUP('Final Term'!AB54,new_transmute,3,FALSE)
),
IF(Info!$B$4="Board program (Medicine)",
IF(OR(AND(AB$5&gt;0,AB$5&gt;100),AND(AB$5&gt;0,AB$5&lt;100)),
VLOOKUP(FLOOR(('Final Term'!AB54/AB$5)*100,1),new_transmute,4,FALSE),
VLOOKUP('Final Term'!AB54,new_transmute,4,FALSE)
),
""
)
)
)
)
)
)
)
)
))</f>
        <v/>
      </c>
      <c r="AC54" s="73" t="str">
        <f>IF($B54="","",
IF(AC$5="","",
IF('Final Term'!AC54="",0,
IF(NOT(ISNUMBER('Final Term'!AC54)),"NAN",
IF('Final Term'!AC54&lt;0,"NEG",
IF('Final Term'!AC54&gt;AC$5,"OVER",
IF(AND(AC$5&lt;=100,'Final Term'!AC54&gt;100),"ERR",
IF(Info!$B$4="Non-board program",
IF(OR(AND(AC$5&gt;0,AC$5&gt;100),AND(AC$5&gt;0,AC$5&lt;100)),
VLOOKUP(FLOOR(('Final Term'!AC54/AC$5)*100,1),new_transmute,2,FALSE),
VLOOKUP('Final Term'!AC54,new_transmute,2,FALSE)
),
IF(Info!$B$4="Board program",
IF(OR(AND(AC$5&gt;0,AC$5&gt;100),AND(AC$5&gt;0,AC$5&lt;100)),
VLOOKUP(FLOOR(('Final Term'!AC54/AC$5)*100,1),new_transmute,3,FALSE),
VLOOKUP('Final Term'!AC54,new_transmute,3,FALSE)
),
IF(Info!$B$4="Board program (Medicine)",
IF(OR(AND(AC$5&gt;0,AC$5&gt;100),AND(AC$5&gt;0,AC$5&lt;100)),
VLOOKUP(FLOOR(('Final Term'!AC54/AC$5)*100,1),new_transmute,4,FALSE),
VLOOKUP('Final Term'!AC54,new_transmute,4,FALSE)
),
""
)
)
)
)
)
)
)
)
))</f>
        <v/>
      </c>
      <c r="AD54" s="73" t="str">
        <f>IF($B54="","",
IF(AD$5="","",
IF('Final Term'!AD54="",0,
IF(NOT(ISNUMBER('Final Term'!AD54)),"NAN",
IF('Final Term'!AD54&lt;0,"NEG",
IF('Final Term'!AD54&gt;AD$5,"OVER",
IF(AND(AD$5&lt;=100,'Final Term'!AD54&gt;100),"ERR",
IF(Info!$B$4="Non-board program",
IF(OR(AND(AD$5&gt;0,AD$5&gt;100),AND(AD$5&gt;0,AD$5&lt;100)),
VLOOKUP(FLOOR(('Final Term'!AD54/AD$5)*100,1),new_transmute,2,FALSE),
VLOOKUP('Final Term'!AD54,new_transmute,2,FALSE)
),
IF(Info!$B$4="Board program",
IF(OR(AND(AD$5&gt;0,AD$5&gt;100),AND(AD$5&gt;0,AD$5&lt;100)),
VLOOKUP(FLOOR(('Final Term'!AD54/AD$5)*100,1),new_transmute,3,FALSE),
VLOOKUP('Final Term'!AD54,new_transmute,3,FALSE)
),
IF(Info!$B$4="Board program (Medicine)",
IF(OR(AND(AD$5&gt;0,AD$5&gt;100),AND(AD$5&gt;0,AD$5&lt;100)),
VLOOKUP(FLOOR(('Final Term'!AD54/AD$5)*100,1),new_transmute,4,FALSE),
VLOOKUP('Final Term'!AD54,new_transmute,4,FALSE)
),
""
)
)
)
)
)
)
)
)
))</f>
        <v/>
      </c>
      <c r="AE54" s="58" t="str">
        <f t="shared" si="5"/>
        <v/>
      </c>
      <c r="AF54" s="73" t="str">
        <f>IF($B54="","",
IF(AF$5="","",
IF('Final Term'!AF54="",0,
IF(NOT(ISNUMBER('Final Term'!AF54)),"NAN",
IF('Final Term'!AF54&lt;0,"NEG",
IF('Final Term'!AF54&gt;AF$5,"OVER",
IF(AND(AF$5&lt;=100,'Final Term'!AF54&gt;100),"ERR",
IF(Info!$B$4="Non-board program",
IF(OR(AND(AF$5&gt;0,AF$5&gt;100),AND(AF$5&gt;0,AF$5&lt;100)),
VLOOKUP(FLOOR(('Final Term'!AF54/AF$5)*100,1),new_transmute,2,FALSE),
VLOOKUP('Final Term'!AF54,new_transmute,2,FALSE)
),
IF(Info!$B$4="Board program",
IF(OR(AND(AF$5&gt;0,AF$5&gt;100),AND(AF$5&gt;0,AF$5&lt;100)),
VLOOKUP(FLOOR(('Final Term'!AF54/AF$5)*100,1),new_transmute,3,FALSE),
VLOOKUP('Final Term'!AF54,new_transmute,3,FALSE)
),
IF(Info!$B$4="Board program (Medicine)",
IF(OR(AND(AF$5&gt;0,AF$5&gt;100),AND(AF$5&gt;0,AF$5&lt;100)),
VLOOKUP(FLOOR(('Final Term'!AF54/AF$5)*100,1),new_transmute,4,FALSE),
VLOOKUP('Final Term'!AF54,new_transmute,4,FALSE)
),
""
)
)
)
)
)
)
)
)
))</f>
        <v/>
      </c>
      <c r="AG54" s="73" t="str">
        <f>IF($B54="","",
IF(AG$5="","",
IF('Final Term'!AG54="",0,
IF(NOT(ISNUMBER('Final Term'!AG54)),"NAN",
IF('Final Term'!AG54&lt;0,"NEG",
IF('Final Term'!AG54&gt;AG$5,"OVER",
IF(AND(AG$5&lt;=100,'Final Term'!AG54&gt;100),"ERR",
IF(Info!$B$4="Non-board program",
IF(OR(AND(AG$5&gt;0,AG$5&gt;100),AND(AG$5&gt;0,AG$5&lt;100)),
VLOOKUP(FLOOR(('Final Term'!AG54/AG$5)*100,1),new_transmute,2,FALSE),
VLOOKUP('Final Term'!AG54,new_transmute,2,FALSE)
),
IF(Info!$B$4="Board program",
IF(OR(AND(AG$5&gt;0,AG$5&gt;100),AND(AG$5&gt;0,AG$5&lt;100)),
VLOOKUP(FLOOR(('Final Term'!AG54/AG$5)*100,1),new_transmute,3,FALSE),
VLOOKUP('Final Term'!AG54,new_transmute,3,FALSE)
),
IF(Info!$B$4="Board program (Medicine)",
IF(OR(AND(AG$5&gt;0,AG$5&gt;100),AND(AG$5&gt;0,AG$5&lt;100)),
VLOOKUP(FLOOR(('Final Term'!AG54/AG$5)*100,1),new_transmute,4,FALSE),
VLOOKUP('Final Term'!AG54,new_transmute,4,FALSE)
),
""
)
)
)
)
)
)
)
)
))</f>
        <v/>
      </c>
      <c r="AH54" s="73" t="str">
        <f>IF($B54="","",
IF(AH$5="","",
IF('Final Term'!AH54="",0,
IF(NOT(ISNUMBER('Final Term'!AH54)),"NAN",
IF('Final Term'!AH54&lt;0,"NEG",
IF('Final Term'!AH54&gt;AH$5,"OVER",
IF(AND(AH$5&lt;=100,'Final Term'!AH54&gt;100),"ERR",
IF(Info!$B$4="Non-board program",
IF(OR(AND(AH$5&gt;0,AH$5&gt;100),AND(AH$5&gt;0,AH$5&lt;100)),
VLOOKUP(FLOOR(('Final Term'!AH54/AH$5)*100,1),new_transmute,2,FALSE),
VLOOKUP('Final Term'!AH54,new_transmute,2,FALSE)
),
IF(Info!$B$4="Board program",
IF(OR(AND(AH$5&gt;0,AH$5&gt;100),AND(AH$5&gt;0,AH$5&lt;100)),
VLOOKUP(FLOOR(('Final Term'!AH54/AH$5)*100,1),new_transmute,3,FALSE),
VLOOKUP('Final Term'!AH54,new_transmute,3,FALSE)
),
IF(Info!$B$4="Board program (Medicine)",
IF(OR(AND(AH$5&gt;0,AH$5&gt;100),AND(AH$5&gt;0,AH$5&lt;100)),
VLOOKUP(FLOOR(('Final Term'!AH54/AH$5)*100,1),new_transmute,4,FALSE),
VLOOKUP('Final Term'!AH54,new_transmute,4,FALSE)
),
""
)
)
)
)
)
)
)
)
))</f>
        <v/>
      </c>
      <c r="AI54" s="73" t="str">
        <f>IF($B54="","",
IF(AI$5="","",
IF('Final Term'!AI54="",0,
IF(NOT(ISNUMBER('Final Term'!AI54)),"NAN",
IF('Final Term'!AI54&lt;0,"NEG",
IF('Final Term'!AI54&gt;AI$5,"OVER",
IF(AND(AI$5&lt;=100,'Final Term'!AI54&gt;100),"ERR",
IF(Info!$B$4="Non-board program",
IF(OR(AND(AI$5&gt;0,AI$5&gt;100),AND(AI$5&gt;0,AI$5&lt;100)),
VLOOKUP(FLOOR(('Final Term'!AI54/AI$5)*100,1),new_transmute,2,FALSE),
VLOOKUP('Final Term'!AI54,new_transmute,2,FALSE)
),
IF(Info!$B$4="Board program",
IF(OR(AND(AI$5&gt;0,AI$5&gt;100),AND(AI$5&gt;0,AI$5&lt;100)),
VLOOKUP(FLOOR(('Final Term'!AI54/AI$5)*100,1),new_transmute,3,FALSE),
VLOOKUP('Final Term'!AI54,new_transmute,3,FALSE)
),
IF(Info!$B$4="Board program (Medicine)",
IF(OR(AND(AI$5&gt;0,AI$5&gt;100),AND(AI$5&gt;0,AI$5&lt;100)),
VLOOKUP(FLOOR(('Final Term'!AI54/AI$5)*100,1),new_transmute,4,FALSE),
VLOOKUP('Final Term'!AI54,new_transmute,4,FALSE)
),
""
)
)
)
)
)
)
)
)
))</f>
        <v/>
      </c>
      <c r="AJ54" s="73" t="str">
        <f>IF($B54="","",
IF(AJ$5="","",
IF('Final Term'!AJ54="",0,
IF(NOT(ISNUMBER('Final Term'!AJ54)),"NAN",
IF('Final Term'!AJ54&lt;0,"NEG",
IF('Final Term'!AJ54&gt;AJ$5,"OVER",
IF(AND(AJ$5&lt;=100,'Final Term'!AJ54&gt;100),"ERR",
IF(Info!$B$4="Non-board program",
IF(OR(AND(AJ$5&gt;0,AJ$5&gt;100),AND(AJ$5&gt;0,AJ$5&lt;100)),
VLOOKUP(FLOOR(('Final Term'!AJ54/AJ$5)*100,1),new_transmute,2,FALSE),
VLOOKUP('Final Term'!AJ54,new_transmute,2,FALSE)
),
IF(Info!$B$4="Board program",
IF(OR(AND(AJ$5&gt;0,AJ$5&gt;100),AND(AJ$5&gt;0,AJ$5&lt;100)),
VLOOKUP(FLOOR(('Final Term'!AJ54/AJ$5)*100,1),new_transmute,3,FALSE),
VLOOKUP('Final Term'!AJ54,new_transmute,3,FALSE)
),
IF(Info!$B$4="Board program (Medicine)",
IF(OR(AND(AJ$5&gt;0,AJ$5&gt;100),AND(AJ$5&gt;0,AJ$5&lt;100)),
VLOOKUP(FLOOR(('Final Term'!AJ54/AJ$5)*100,1),new_transmute,4,FALSE),
VLOOKUP('Final Term'!AJ54,new_transmute,4,FALSE)
),
""
)
)
)
)
)
)
)
)
))</f>
        <v/>
      </c>
      <c r="AK54" s="59" t="str">
        <f t="shared" si="6"/>
        <v/>
      </c>
      <c r="AL54" s="60" t="str">
        <f>IF(B54="", "",
    IF(OR(M54="OVER", S54="OVER", Y54="OVER", AE54="OVER", AK54="OVER"),
        "OVER",
        IF(Info!$B$4="Non-board program",
            VLOOKUP(IFERROR(FLOOR(SUM((M54*$M$4), (S54*$S$4), (Y54*$Y$4), (AE54*$AE$4), (AK54*$AK$4)) * (100 / 60), 1), 0), new_transmute, 2, FALSE),
            IF(Info!$B$4="Board program",
                VLOOKUP(IFERROR(FLOOR(SUM((M54*$M$4), (S54*$S$4), (Y54*$Y$4), (AE54*$AE$4), (AK54*$AK$4)) * (100 / 60), 1), 0), new_transmute, 3, FALSE),
                IF(Info!$B$4="Board program (Medicine)",
                    VLOOKUP(IFERROR(FLOOR(SUM((M54*$M$4), (S54*$S$4), (Y54*$Y$4), (AE54*$AE$4), (AK54*$AK$4)) * (100 / 60), 1), 0), new_transmute, 4, FALSE),
                    ""
                )
            )
        )
    )
)</f>
        <v/>
      </c>
      <c r="AM54" s="73" t="str">
        <f>IF($B54="","",
IF(AM$5="","",
IF('Final Term'!AM54="",0,
IF(NOT(ISNUMBER('Final Term'!AM54)),"NAN",
IF('Final Term'!AM54&lt;0,"NEG",
IF('Final Term'!AM54&gt;AM$5,"OVER",
IF(AND(AM$5&lt;=100,'Final Term'!AM54&gt;100),"ERR",
IF(Info!$B$4="Non-board program",
IF(OR(AND(AM$5&gt;0,AM$5&gt;100),AND(AM$5&gt;0,AM$5&lt;100)),
VLOOKUP(FLOOR(('Final Term'!AM54/AM$5)*100,1),new_transmute,2,FALSE),
VLOOKUP('Final Term'!AM54,new_transmute,2,FALSE)
),
IF(Info!$B$4="Board program",
IF(OR(AND(AM$5&gt;0,AM$5&gt;100),AND(AM$5&gt;0,AM$5&lt;100)),
VLOOKUP(FLOOR(('Final Term'!AM54/AM$5)*100,1),new_transmute,3,FALSE),
VLOOKUP('Final Term'!AM54,new_transmute,3,FALSE)
),
IF(Info!$B$4="Board program (Medicine)",
IF(OR(AND(AM$5&gt;0,AM$5&gt;100),AND(AM$5&gt;0,AM$5&lt;100)),
VLOOKUP(FLOOR(('Final Term'!AM54/AM$5)*100,1),new_transmute,4,FALSE),
VLOOKUP('Final Term'!AM54,new_transmute,4,FALSE)
),
""
)
)
)
)
)
)
)
)
))</f>
        <v/>
      </c>
      <c r="AN54" s="73" t="str">
        <f>IF($B54="","",
IF(AN$5="","",
IF('Final Term'!AN54="",0,
IF(NOT(ISNUMBER('Final Term'!AN54)),"NAN",
IF('Final Term'!AN54&lt;0,"NEG",
IF('Final Term'!AN54&gt;AN$5,"OVER",
IF(AND(AN$5&lt;=100,'Final Term'!AN54&gt;100),"ERR",
IF(Info!$B$4="Non-board program",
IF(OR(AND(AN$5&gt;0,AN$5&gt;100),AND(AN$5&gt;0,AN$5&lt;100)),
VLOOKUP(FLOOR(('Final Term'!AN54/AN$5)*100,1),new_transmute,2,FALSE),
VLOOKUP('Final Term'!AN54,new_transmute,2,FALSE)
),
IF(Info!$B$4="Board program",
IF(OR(AND(AN$5&gt;0,AN$5&gt;100),AND(AN$5&gt;0,AN$5&lt;100)),
VLOOKUP(FLOOR(('Final Term'!AN54/AN$5)*100,1),new_transmute,3,FALSE),
VLOOKUP('Final Term'!AN54,new_transmute,3,FALSE)
),
IF(Info!$B$4="Board program (Medicine)",
IF(OR(AND(AN$5&gt;0,AN$5&gt;100),AND(AN$5&gt;0,AN$5&lt;100)),
VLOOKUP(FLOOR(('Final Term'!AN54/AN$5)*100,1),new_transmute,4,FALSE),
VLOOKUP('Final Term'!AN54,new_transmute,4,FALSE)
),
""
)
)
)
)
)
)
)
)
))</f>
        <v/>
      </c>
      <c r="AO54" s="73" t="str">
        <f>IF($B54="","",
IF(AO$5="","",
IF('Final Term'!AO54="",0,
IF(NOT(ISNUMBER('Final Term'!AO54)),"NAN",
IF('Final Term'!AO54&lt;0,"NEG",
IF('Final Term'!AO54&gt;AO$5,"OVER",
IF(AND(AO$5&lt;=100,'Final Term'!AO54&gt;100),"ERR",
IF(Info!$B$4="Non-board program",
IF(OR(AND(AO$5&gt;0,AO$5&gt;100),AND(AO$5&gt;0,AO$5&lt;100)),
VLOOKUP(FLOOR(('Final Term'!AO54/AO$5)*100,1),new_transmute,2,FALSE),
VLOOKUP('Final Term'!AO54,new_transmute,2,FALSE)
),
IF(Info!$B$4="Board program",
IF(OR(AND(AO$5&gt;0,AO$5&gt;100),AND(AO$5&gt;0,AO$5&lt;100)),
VLOOKUP(FLOOR(('Final Term'!AO54/AO$5)*100,1),new_transmute,3,FALSE),
VLOOKUP('Final Term'!AO54,new_transmute,3,FALSE)
),
IF(Info!$B$4="Board program (Medicine)",
IF(OR(AND(AO$5&gt;0,AO$5&gt;100),AND(AO$5&gt;0,AO$5&lt;100)),
VLOOKUP(FLOOR(('Final Term'!AO54/AO$5)*100,1),new_transmute,4,FALSE),
VLOOKUP('Final Term'!AO54,new_transmute,4,FALSE)
),
""
)
)
)
)
)
)
)
)
))</f>
        <v/>
      </c>
      <c r="AP54" s="73" t="str">
        <f>IF($B54="","",
IF(AP$5="","",
IF('Final Term'!AP54="",0,
IF(NOT(ISNUMBER('Final Term'!AP54)),"NAN",
IF('Final Term'!AP54&lt;0,"NEG",
IF('Final Term'!AP54&gt;AP$5,"OVER",
IF(AND(AP$5&lt;=100,'Final Term'!AP54&gt;100),"ERR",
IF(Info!$B$4="Non-board program",
IF(OR(AND(AP$5&gt;0,AP$5&gt;100),AND(AP$5&gt;0,AP$5&lt;100)),
VLOOKUP(FLOOR(('Final Term'!AP54/AP$5)*100,1),new_transmute,2,FALSE),
VLOOKUP('Final Term'!AP54,new_transmute,2,FALSE)
),
IF(Info!$B$4="Board program",
IF(OR(AND(AP$5&gt;0,AP$5&gt;100),AND(AP$5&gt;0,AP$5&lt;100)),
VLOOKUP(FLOOR(('Final Term'!AP54/AP$5)*100,1),new_transmute,3,FALSE),
VLOOKUP('Final Term'!AP54,new_transmute,3,FALSE)
),
IF(Info!$B$4="Board program (Medicine)",
IF(OR(AND(AP$5&gt;0,AP$5&gt;100),AND(AP$5&gt;0,AP$5&lt;100)),
VLOOKUP(FLOOR(('Final Term'!AP54/AP$5)*100,1),new_transmute,4,FALSE),
VLOOKUP('Final Term'!AP54,new_transmute,4,FALSE)
),
""
)
)
)
)
)
)
)
)
))</f>
        <v/>
      </c>
      <c r="AQ54" s="61" t="str">
        <f t="shared" si="7"/>
        <v/>
      </c>
      <c r="AR54" s="48" t="str">
        <f>IF('Final Term'!AR54="","",'Final Term'!AR54)</f>
        <v/>
      </c>
      <c r="AS54" s="165" t="str">
        <f t="shared" si="8"/>
        <v/>
      </c>
      <c r="AT54" s="14" t="str">
        <f t="shared" si="9"/>
        <v/>
      </c>
      <c r="AU54" s="13" t="str">
        <f>IF(B54="","",VLOOKUP(AT54,'New Grade Equivalent'!$B$3:$C$47,2,FALSE))</f>
        <v/>
      </c>
    </row>
    <row r="55" spans="1:47" x14ac:dyDescent="0.25">
      <c r="A55" s="8">
        <v>50</v>
      </c>
      <c r="B55" s="2" t="str">
        <f>IF('Student List'!C59="","",UPPER(LEFT('Student List'!C59,FIND(",",'Student List'!C59)-1)))</f>
        <v/>
      </c>
      <c r="C55" s="12" t="str">
        <f>IF('Student List'!C59="","",PROPER(MID('Student List'!C59, FIND(",", 'Student List'!C59) + 2, LEN('Student List'!C59) - FIND(",", 'Student List'!C59) - 1)))</f>
        <v/>
      </c>
      <c r="D55" s="127" t="str">
        <f>IF('Final Term'!D55="","",'Final Term'!D55)</f>
        <v/>
      </c>
      <c r="E55" s="8" t="str">
        <f>IF(MidCom!E55="FA", "FA",
    IF(MidCom!E55="DRP", "DRP",
        IF(MidCom!E55="WF", "WF",
            IF(D55="Yes", "INC",
               IF((SUM('MT Attendance'!AW53) / 3 + SUM('MT Attendance'!AY53) + SUM('FT Attendance'!AW53) / 3 + SUM('FT Attendance'!AY53)) &gt;= 0.2 * (SUMPRODUCT(--(ISTEXT('MT Attendance'!$C$2:$AU$2))) + SUMPRODUCT(--(ISTEXT('FT Attendance'!$C$2:$AU$2)))), "FA",
                   MidCom!E55
                )
            )
        )
    )
)</f>
        <v/>
      </c>
      <c r="F55" s="73" t="str">
        <f>IF($B55="","",
IF(F$5="","",
IF('Final Term'!F55="",0,
IF(NOT(ISNUMBER('Final Term'!F55)),"NAN",
IF('Final Term'!F55&lt;0,"NEG",
IF('Final Term'!F55&gt;F$5,"OVER",
IF(AND(F$5&lt;=100,'Final Term'!F55&gt;100),"ERR",
IF(Info!$B$4="Non-board program",
IF(OR(AND(F$5&gt;0,F$5&gt;100),AND(F$5&gt;0,F$5&lt;100)),
VLOOKUP(FLOOR(('Final Term'!F55/F$5)*100,1),new_transmute,2,FALSE),
VLOOKUP('Final Term'!F55,new_transmute,2,FALSE)
),
IF(Info!$B$4="Board program",
IF(OR(AND(F$5&gt;0,F$5&gt;100),AND(F$5&gt;0,F$5&lt;100)),
VLOOKUP(FLOOR(('Final Term'!F55/F$5)*100,1),new_transmute,3,FALSE),
VLOOKUP('Final Term'!F55,new_transmute,3,FALSE)
),
IF(Info!$B$4="Board program (Medicine)",
IF(OR(AND(F$5&gt;0,F$5&gt;100),AND(F$5&gt;0,F$5&lt;100)),
VLOOKUP(FLOOR(('Final Term'!F55/F$5)*100,1),new_transmute,4,FALSE),
VLOOKUP('Final Term'!F55,new_transmute,4,FALSE)
),
""
)
)
)
)
)
)
)
)
))</f>
        <v/>
      </c>
      <c r="G55" s="57" t="str">
        <f t="shared" si="1"/>
        <v/>
      </c>
      <c r="H55" s="73" t="str">
        <f>IF($B55="","",
IF(H$5="","",
IF('Final Term'!H55="",0,
IF(NOT(ISNUMBER('Final Term'!H55)),"NAN",
IF('Final Term'!H55&lt;0,"NEG",
IF('Final Term'!H55&gt;H$5,"OVER",
IF(AND(H$5&lt;=100,'Final Term'!H55&gt;100),"ERR",
IF(Info!$B$4="Non-board program",
IF(OR(AND(H$5&gt;0,H$5&gt;100),AND(H$5&gt;0,H$5&lt;100)),
VLOOKUP(FLOOR(('Final Term'!H55/H$5)*100,1),new_transmute,2,FALSE),
VLOOKUP('Final Term'!H55,new_transmute,2,FALSE)
),
IF(Info!$B$4="Board program",
IF(OR(AND(H$5&gt;0,H$5&gt;100),AND(H$5&gt;0,H$5&lt;100)),
VLOOKUP(FLOOR(('Final Term'!H55/H$5)*100,1),new_transmute,3,FALSE),
VLOOKUP('Final Term'!H55,new_transmute,3,FALSE)
),
IF(Info!$B$4="Board program (Medicine)",
IF(OR(AND(H$5&gt;0,H$5&gt;100),AND(H$5&gt;0,H$5&lt;100)),
VLOOKUP(FLOOR(('Final Term'!H55/H$5)*100,1),new_transmute,4,FALSE),
VLOOKUP('Final Term'!H55,new_transmute,4,FALSE)
),
""
)
)
)
)
)
)
)
)
))</f>
        <v/>
      </c>
      <c r="I55" s="73" t="str">
        <f>IF($B55="","",
IF(I$5="","",
IF('Final Term'!I55="",0,
IF(NOT(ISNUMBER('Final Term'!I55)),"NAN",
IF('Final Term'!I55&lt;0,"NEG",
IF('Final Term'!I55&gt;I$5,"OVER",
IF(AND(I$5&lt;=100,'Final Term'!I55&gt;100),"ERR",
IF(Info!$B$4="Non-board program",
IF(OR(AND(I$5&gt;0,I$5&gt;100),AND(I$5&gt;0,I$5&lt;100)),
VLOOKUP(FLOOR(('Final Term'!I55/I$5)*100,1),new_transmute,2,FALSE),
VLOOKUP('Final Term'!I55,new_transmute,2,FALSE)
),
IF(Info!$B$4="Board program",
IF(OR(AND(I$5&gt;0,I$5&gt;100),AND(I$5&gt;0,I$5&lt;100)),
VLOOKUP(FLOOR(('Final Term'!I55/I$5)*100,1),new_transmute,3,FALSE),
VLOOKUP('Final Term'!I55,new_transmute,3,FALSE)
),
IF(Info!$B$4="Board program (Medicine)",
IF(OR(AND(I$5&gt;0,I$5&gt;100),AND(I$5&gt;0,I$5&lt;100)),
VLOOKUP(FLOOR(('Final Term'!I55/I$5)*100,1),new_transmute,4,FALSE),
VLOOKUP('Final Term'!I55,new_transmute,4,FALSE)
),
""
)
)
)
)
)
)
)
)
))</f>
        <v/>
      </c>
      <c r="J55" s="73" t="str">
        <f>IF($B55="","",
IF(J$5="","",
IF('Final Term'!J55="",0,
IF(NOT(ISNUMBER('Final Term'!J55)),"NAN",
IF('Final Term'!J55&lt;0,"NEG",
IF('Final Term'!J55&gt;J$5,"OVER",
IF(AND(J$5&lt;=100,'Final Term'!J55&gt;100),"ERR",
IF(Info!$B$4="Non-board program",
IF(OR(AND(J$5&gt;0,J$5&gt;100),AND(J$5&gt;0,J$5&lt;100)),
VLOOKUP(FLOOR(('Final Term'!J55/J$5)*100,1),new_transmute,2,FALSE),
VLOOKUP('Final Term'!J55,new_transmute,2,FALSE)
),
IF(Info!$B$4="Board program",
IF(OR(AND(J$5&gt;0,J$5&gt;100),AND(J$5&gt;0,J$5&lt;100)),
VLOOKUP(FLOOR(('Final Term'!J55/J$5)*100,1),new_transmute,3,FALSE),
VLOOKUP('Final Term'!J55,new_transmute,3,FALSE)
),
IF(Info!$B$4="Board program (Medicine)",
IF(OR(AND(J$5&gt;0,J$5&gt;100),AND(J$5&gt;0,J$5&lt;100)),
VLOOKUP(FLOOR(('Final Term'!J55/J$5)*100,1),new_transmute,4,FALSE),
VLOOKUP('Final Term'!J55,new_transmute,4,FALSE)
),
""
)
)
)
)
)
)
)
)
))</f>
        <v/>
      </c>
      <c r="K55" s="73" t="str">
        <f>IF($B55="","",
IF(K$5="","",
IF('Final Term'!K55="",0,
IF(NOT(ISNUMBER('Final Term'!K55)),"NAN",
IF('Final Term'!K55&lt;0,"NEG",
IF('Final Term'!K55&gt;K$5,"OVER",
IF(AND(K$5&lt;=100,'Final Term'!K55&gt;100),"ERR",
IF(Info!$B$4="Non-board program",
IF(OR(AND(K$5&gt;0,K$5&gt;100),AND(K$5&gt;0,K$5&lt;100)),
VLOOKUP(FLOOR(('Final Term'!K55/K$5)*100,1),new_transmute,2,FALSE),
VLOOKUP('Final Term'!K55,new_transmute,2,FALSE)
),
IF(Info!$B$4="Board program",
IF(OR(AND(K$5&gt;0,K$5&gt;100),AND(K$5&gt;0,K$5&lt;100)),
VLOOKUP(FLOOR(('Final Term'!K55/K$5)*100,1),new_transmute,3,FALSE),
VLOOKUP('Final Term'!K55,new_transmute,3,FALSE)
),
IF(Info!$B$4="Board program (Medicine)",
IF(OR(AND(K$5&gt;0,K$5&gt;100),AND(K$5&gt;0,K$5&lt;100)),
VLOOKUP(FLOOR(('Final Term'!K55/K$5)*100,1),new_transmute,4,FALSE),
VLOOKUP('Final Term'!K55,new_transmute,4,FALSE)
),
""
)
)
)
)
)
)
)
)
))</f>
        <v/>
      </c>
      <c r="L55" s="73" t="str">
        <f>IF($B55="","",
IF(L$5="","",
IF('Final Term'!L55="",0,
IF(NOT(ISNUMBER('Final Term'!L55)),"NAN",
IF('Final Term'!L55&lt;0,"NEG",
IF('Final Term'!L55&gt;L$5,"OVER",
IF(AND(L$5&lt;=100,'Final Term'!L55&gt;100),"ERR",
IF(Info!$B$4="Non-board program",
IF(OR(AND(L$5&gt;0,L$5&gt;100),AND(L$5&gt;0,L$5&lt;100)),
VLOOKUP(FLOOR(('Final Term'!L55/L$5)*100,1),new_transmute,2,FALSE),
VLOOKUP('Final Term'!L55,new_transmute,2,FALSE)
),
IF(Info!$B$4="Board program",
IF(OR(AND(L$5&gt;0,L$5&gt;100),AND(L$5&gt;0,L$5&lt;100)),
VLOOKUP(FLOOR(('Final Term'!L55/L$5)*100,1),new_transmute,3,FALSE),
VLOOKUP('Final Term'!L55,new_transmute,3,FALSE)
),
IF(Info!$B$4="Board program (Medicine)",
IF(OR(AND(L$5&gt;0,L$5&gt;100),AND(L$5&gt;0,L$5&lt;100)),
VLOOKUP(FLOOR(('Final Term'!L55/L$5)*100,1),new_transmute,4,FALSE),
VLOOKUP('Final Term'!L55,new_transmute,4,FALSE)
),
""
)
)
)
)
)
)
)
)
))</f>
        <v/>
      </c>
      <c r="M55" s="111" t="str">
        <f t="shared" si="2"/>
        <v/>
      </c>
      <c r="N55" s="73" t="str">
        <f>IF($B55="","",
IF(N$5="","",
IF('Final Term'!N55="",0,
IF(NOT(ISNUMBER('Final Term'!N55)),"NAN",
IF('Final Term'!N55&lt;0,"NEG",
IF('Final Term'!N55&gt;N$5,"OVER",
IF(AND(N$5&lt;=100,'Final Term'!N55&gt;100),"ERR",
IF(Info!$B$4="Non-board program",
IF(OR(AND(N$5&gt;0,N$5&gt;100),AND(N$5&gt;0,N$5&lt;100)),
VLOOKUP(FLOOR(('Final Term'!N55/N$5)*100,1),new_transmute,2,FALSE),
VLOOKUP('Final Term'!N55,new_transmute,2,FALSE)
),
IF(Info!$B$4="Board program",
IF(OR(AND(N$5&gt;0,N$5&gt;100),AND(N$5&gt;0,N$5&lt;100)),
VLOOKUP(FLOOR(('Final Term'!N55/N$5)*100,1),new_transmute,3,FALSE),
VLOOKUP('Final Term'!N55,new_transmute,3,FALSE)
),
IF(Info!$B$4="Board program (Medicine)",
IF(OR(AND(N$5&gt;0,N$5&gt;100),AND(N$5&gt;0,N$5&lt;100)),
VLOOKUP(FLOOR(('Final Term'!N55/N$5)*100,1),new_transmute,4,FALSE),
VLOOKUP('Final Term'!N55,new_transmute,4,FALSE)
),
""
)
)
)
)
)
)
)
)
))</f>
        <v/>
      </c>
      <c r="O55" s="73" t="str">
        <f>IF($B55="","",
IF(O$5="","",
IF('Final Term'!O55="",0,
IF(NOT(ISNUMBER('Final Term'!O55)),"NAN",
IF('Final Term'!O55&lt;0,"NEG",
IF('Final Term'!O55&gt;O$5,"OVER",
IF(AND(O$5&lt;=100,'Final Term'!O55&gt;100),"ERR",
IF(Info!$B$4="Non-board program",
IF(OR(AND(O$5&gt;0,O$5&gt;100),AND(O$5&gt;0,O$5&lt;100)),
VLOOKUP(FLOOR(('Final Term'!O55/O$5)*100,1),new_transmute,2,FALSE),
VLOOKUP('Final Term'!O55,new_transmute,2,FALSE)
),
IF(Info!$B$4="Board program",
IF(OR(AND(O$5&gt;0,O$5&gt;100),AND(O$5&gt;0,O$5&lt;100)),
VLOOKUP(FLOOR(('Final Term'!O55/O$5)*100,1),new_transmute,3,FALSE),
VLOOKUP('Final Term'!O55,new_transmute,3,FALSE)
),
IF(Info!$B$4="Board program (Medicine)",
IF(OR(AND(O$5&gt;0,O$5&gt;100),AND(O$5&gt;0,O$5&lt;100)),
VLOOKUP(FLOOR(('Final Term'!O55/O$5)*100,1),new_transmute,4,FALSE),
VLOOKUP('Final Term'!O55,new_transmute,4,FALSE)
),
""
)
)
)
)
)
)
)
)
))</f>
        <v/>
      </c>
      <c r="P55" s="73" t="str">
        <f>IF($B55="","",
IF(P$5="","",
IF('Final Term'!P55="",0,
IF(NOT(ISNUMBER('Final Term'!P55)),"NAN",
IF('Final Term'!P55&lt;0,"NEG",
IF('Final Term'!P55&gt;P$5,"OVER",
IF(AND(P$5&lt;=100,'Final Term'!P55&gt;100),"ERR",
IF(Info!$B$4="Non-board program",
IF(OR(AND(P$5&gt;0,P$5&gt;100),AND(P$5&gt;0,P$5&lt;100)),
VLOOKUP(FLOOR(('Final Term'!P55/P$5)*100,1),new_transmute,2,FALSE),
VLOOKUP('Final Term'!P55,new_transmute,2,FALSE)
),
IF(Info!$B$4="Board program",
IF(OR(AND(P$5&gt;0,P$5&gt;100),AND(P$5&gt;0,P$5&lt;100)),
VLOOKUP(FLOOR(('Final Term'!P55/P$5)*100,1),new_transmute,3,FALSE),
VLOOKUP('Final Term'!P55,new_transmute,3,FALSE)
),
IF(Info!$B$4="Board program (Medicine)",
IF(OR(AND(P$5&gt;0,P$5&gt;100),AND(P$5&gt;0,P$5&lt;100)),
VLOOKUP(FLOOR(('Final Term'!P55/P$5)*100,1),new_transmute,4,FALSE),
VLOOKUP('Final Term'!P55,new_transmute,4,FALSE)
),
""
)
)
)
)
)
)
)
)
))</f>
        <v/>
      </c>
      <c r="Q55" s="73" t="str">
        <f>IF($B55="","",
IF(Q$5="","",
IF('Final Term'!Q55="",0,
IF(NOT(ISNUMBER('Final Term'!Q55)),"NAN",
IF('Final Term'!Q55&lt;0,"NEG",
IF('Final Term'!Q55&gt;Q$5,"OVER",
IF(AND(Q$5&lt;=100,'Final Term'!Q55&gt;100),"ERR",
IF(Info!$B$4="Non-board program",
IF(OR(AND(Q$5&gt;0,Q$5&gt;100),AND(Q$5&gt;0,Q$5&lt;100)),
VLOOKUP(FLOOR(('Final Term'!Q55/Q$5)*100,1),new_transmute,2,FALSE),
VLOOKUP('Final Term'!Q55,new_transmute,2,FALSE)
),
IF(Info!$B$4="Board program",
IF(OR(AND(Q$5&gt;0,Q$5&gt;100),AND(Q$5&gt;0,Q$5&lt;100)),
VLOOKUP(FLOOR(('Final Term'!Q55/Q$5)*100,1),new_transmute,3,FALSE),
VLOOKUP('Final Term'!Q55,new_transmute,3,FALSE)
),
IF(Info!$B$4="Board program (Medicine)",
IF(OR(AND(Q$5&gt;0,Q$5&gt;100),AND(Q$5&gt;0,Q$5&lt;100)),
VLOOKUP(FLOOR(('Final Term'!Q55/Q$5)*100,1),new_transmute,4,FALSE),
VLOOKUP('Final Term'!Q55,new_transmute,4,FALSE)
),
""
)
)
)
)
)
)
)
)
))</f>
        <v/>
      </c>
      <c r="R55" s="73" t="str">
        <f>IF($B55="","",
IF(R$5="","",
IF('Final Term'!R55="",0,
IF(NOT(ISNUMBER('Final Term'!R55)),"NAN",
IF('Final Term'!R55&lt;0,"NEG",
IF('Final Term'!R55&gt;R$5,"OVER",
IF(AND(R$5&lt;=100,'Final Term'!R55&gt;100),"ERR",
IF(Info!$B$4="Non-board program",
IF(OR(AND(R$5&gt;0,R$5&gt;100),AND(R$5&gt;0,R$5&lt;100)),
VLOOKUP(FLOOR(('Final Term'!R55/R$5)*100,1),new_transmute,2,FALSE),
VLOOKUP('Final Term'!R55,new_transmute,2,FALSE)
),
IF(Info!$B$4="Board program",
IF(OR(AND(R$5&gt;0,R$5&gt;100),AND(R$5&gt;0,R$5&lt;100)),
VLOOKUP(FLOOR(('Final Term'!R55/R$5)*100,1),new_transmute,3,FALSE),
VLOOKUP('Final Term'!R55,new_transmute,3,FALSE)
),
IF(Info!$B$4="Board program (Medicine)",
IF(OR(AND(R$5&gt;0,R$5&gt;100),AND(R$5&gt;0,R$5&lt;100)),
VLOOKUP(FLOOR(('Final Term'!R55/R$5)*100,1),new_transmute,4,FALSE),
VLOOKUP('Final Term'!R55,new_transmute,4,FALSE)
),
""
)
)
)
)
)
)
)
)
))</f>
        <v/>
      </c>
      <c r="S55" s="115" t="str">
        <f t="shared" si="3"/>
        <v/>
      </c>
      <c r="T55" s="73" t="str">
        <f>IF($B55="","",
IF(T$5="","",
IF('Final Term'!T55="",0,
IF(NOT(ISNUMBER('Final Term'!T55)),"NAN",
IF('Final Term'!T55&lt;0,"NEG",
IF('Final Term'!T55&gt;T$5,"OVER",
IF(AND(T$5&lt;=100,'Final Term'!T55&gt;100),"ERR",
IF(Info!$B$4="Non-board program",
IF(OR(AND(T$5&gt;0,T$5&gt;100),AND(T$5&gt;0,T$5&lt;100)),
VLOOKUP(FLOOR(('Final Term'!T55/T$5)*100,1),new_transmute,2,FALSE),
VLOOKUP('Final Term'!T55,new_transmute,2,FALSE)
),
IF(Info!$B$4="Board program",
IF(OR(AND(T$5&gt;0,T$5&gt;100),AND(T$5&gt;0,T$5&lt;100)),
VLOOKUP(FLOOR(('Final Term'!T55/T$5)*100,1),new_transmute,3,FALSE),
VLOOKUP('Final Term'!T55,new_transmute,3,FALSE)
),
IF(Info!$B$4="Board program (Medicine)",
IF(OR(AND(T$5&gt;0,T$5&gt;100),AND(T$5&gt;0,T$5&lt;100)),
VLOOKUP(FLOOR(('Final Term'!T55/T$5)*100,1),new_transmute,4,FALSE),
VLOOKUP('Final Term'!T55,new_transmute,4,FALSE)
),
""
)
)
)
)
)
)
)
)
))</f>
        <v/>
      </c>
      <c r="U55" s="73" t="str">
        <f>IF($B55="","",
IF(U$5="","",
IF('Final Term'!U55="",0,
IF(NOT(ISNUMBER('Final Term'!U55)),"NAN",
IF('Final Term'!U55&lt;0,"NEG",
IF('Final Term'!U55&gt;U$5,"OVER",
IF(AND(U$5&lt;=100,'Final Term'!U55&gt;100),"ERR",
IF(Info!$B$4="Non-board program",
IF(OR(AND(U$5&gt;0,U$5&gt;100),AND(U$5&gt;0,U$5&lt;100)),
VLOOKUP(FLOOR(('Final Term'!U55/U$5)*100,1),new_transmute,2,FALSE),
VLOOKUP('Final Term'!U55,new_transmute,2,FALSE)
),
IF(Info!$B$4="Board program",
IF(OR(AND(U$5&gt;0,U$5&gt;100),AND(U$5&gt;0,U$5&lt;100)),
VLOOKUP(FLOOR(('Final Term'!U55/U$5)*100,1),new_transmute,3,FALSE),
VLOOKUP('Final Term'!U55,new_transmute,3,FALSE)
),
IF(Info!$B$4="Board program (Medicine)",
IF(OR(AND(U$5&gt;0,U$5&gt;100),AND(U$5&gt;0,U$5&lt;100)),
VLOOKUP(FLOOR(('Final Term'!U55/U$5)*100,1),new_transmute,4,FALSE),
VLOOKUP('Final Term'!U55,new_transmute,4,FALSE)
),
""
)
)
)
)
)
)
)
)
))</f>
        <v/>
      </c>
      <c r="V55" s="73" t="str">
        <f>IF($B55="","",
IF(V$5="","",
IF('Final Term'!V55="",0,
IF(NOT(ISNUMBER('Final Term'!V55)),"NAN",
IF('Final Term'!V55&lt;0,"NEG",
IF('Final Term'!V55&gt;V$5,"OVER",
IF(AND(V$5&lt;=100,'Final Term'!V55&gt;100),"ERR",
IF(Info!$B$4="Non-board program",
IF(OR(AND(V$5&gt;0,V$5&gt;100),AND(V$5&gt;0,V$5&lt;100)),
VLOOKUP(FLOOR(('Final Term'!V55/V$5)*100,1),new_transmute,2,FALSE),
VLOOKUP('Final Term'!V55,new_transmute,2,FALSE)
),
IF(Info!$B$4="Board program",
IF(OR(AND(V$5&gt;0,V$5&gt;100),AND(V$5&gt;0,V$5&lt;100)),
VLOOKUP(FLOOR(('Final Term'!V55/V$5)*100,1),new_transmute,3,FALSE),
VLOOKUP('Final Term'!V55,new_transmute,3,FALSE)
),
IF(Info!$B$4="Board program (Medicine)",
IF(OR(AND(V$5&gt;0,V$5&gt;100),AND(V$5&gt;0,V$5&lt;100)),
VLOOKUP(FLOOR(('Final Term'!V55/V$5)*100,1),new_transmute,4,FALSE),
VLOOKUP('Final Term'!V55,new_transmute,4,FALSE)
),
""
)
)
)
)
)
)
)
)
))</f>
        <v/>
      </c>
      <c r="W55" s="73" t="str">
        <f>IF($B55="","",
IF(W$5="","",
IF('Final Term'!W55="",0,
IF(NOT(ISNUMBER('Final Term'!W55)),"NAN",
IF('Final Term'!W55&lt;0,"NEG",
IF('Final Term'!W55&gt;W$5,"OVER",
IF(AND(W$5&lt;=100,'Final Term'!W55&gt;100),"ERR",
IF(Info!$B$4="Non-board program",
IF(OR(AND(W$5&gt;0,W$5&gt;100),AND(W$5&gt;0,W$5&lt;100)),
VLOOKUP(FLOOR(('Final Term'!W55/W$5)*100,1),new_transmute,2,FALSE),
VLOOKUP('Final Term'!W55,new_transmute,2,FALSE)
),
IF(Info!$B$4="Board program",
IF(OR(AND(W$5&gt;0,W$5&gt;100),AND(W$5&gt;0,W$5&lt;100)),
VLOOKUP(FLOOR(('Final Term'!W55/W$5)*100,1),new_transmute,3,FALSE),
VLOOKUP('Final Term'!W55,new_transmute,3,FALSE)
),
IF(Info!$B$4="Board program (Medicine)",
IF(OR(AND(W$5&gt;0,W$5&gt;100),AND(W$5&gt;0,W$5&lt;100)),
VLOOKUP(FLOOR(('Final Term'!W55/W$5)*100,1),new_transmute,4,FALSE),
VLOOKUP('Final Term'!W55,new_transmute,4,FALSE)
),
""
)
)
)
)
)
)
)
)
))</f>
        <v/>
      </c>
      <c r="X55" s="73" t="str">
        <f>IF($B55="","",
IF(X$5="","",
IF('Final Term'!X55="",0,
IF(NOT(ISNUMBER('Final Term'!X55)),"NAN",
IF('Final Term'!X55&lt;0,"NEG",
IF('Final Term'!X55&gt;X$5,"OVER",
IF(AND(X$5&lt;=100,'Final Term'!X55&gt;100),"ERR",
IF(Info!$B$4="Non-board program",
IF(OR(AND(X$5&gt;0,X$5&gt;100),AND(X$5&gt;0,X$5&lt;100)),
VLOOKUP(FLOOR(('Final Term'!X55/X$5)*100,1),new_transmute,2,FALSE),
VLOOKUP('Final Term'!X55,new_transmute,2,FALSE)
),
IF(Info!$B$4="Board program",
IF(OR(AND(X$5&gt;0,X$5&gt;100),AND(X$5&gt;0,X$5&lt;100)),
VLOOKUP(FLOOR(('Final Term'!X55/X$5)*100,1),new_transmute,3,FALSE),
VLOOKUP('Final Term'!X55,new_transmute,3,FALSE)
),
IF(Info!$B$4="Board program (Medicine)",
IF(OR(AND(X$5&gt;0,X$5&gt;100),AND(X$5&gt;0,X$5&lt;100)),
VLOOKUP(FLOOR(('Final Term'!X55/X$5)*100,1),new_transmute,4,FALSE),
VLOOKUP('Final Term'!X55,new_transmute,4,FALSE)
),
""
)
)
)
)
)
)
)
)
))</f>
        <v/>
      </c>
      <c r="Y55" s="112" t="str">
        <f t="shared" si="4"/>
        <v/>
      </c>
      <c r="Z55" s="73" t="str">
        <f>IF($B55="","",
IF(Z$5="","",
IF('Final Term'!Z55="",0,
IF(NOT(ISNUMBER('Final Term'!Z55)),"NAN",
IF('Final Term'!Z55&lt;0,"NEG",
IF('Final Term'!Z55&gt;Z$5,"OVER",
IF(AND(Z$5&lt;=100,'Final Term'!Z55&gt;100),"ERR",
IF(Info!$B$4="Non-board program",
IF(OR(AND(Z$5&gt;0,Z$5&gt;100),AND(Z$5&gt;0,Z$5&lt;100)),
VLOOKUP(FLOOR(('Final Term'!Z55/Z$5)*100,1),new_transmute,2,FALSE),
VLOOKUP('Final Term'!Z55,new_transmute,2,FALSE)
),
IF(Info!$B$4="Board program",
IF(OR(AND(Z$5&gt;0,Z$5&gt;100),AND(Z$5&gt;0,Z$5&lt;100)),
VLOOKUP(FLOOR(('Final Term'!Z55/Z$5)*100,1),new_transmute,3,FALSE),
VLOOKUP('Final Term'!Z55,new_transmute,3,FALSE)
),
IF(Info!$B$4="Board program (Medicine)",
IF(OR(AND(Z$5&gt;0,Z$5&gt;100),AND(Z$5&gt;0,Z$5&lt;100)),
VLOOKUP(FLOOR(('Final Term'!Z55/Z$5)*100,1),new_transmute,4,FALSE),
VLOOKUP('Final Term'!Z55,new_transmute,4,FALSE)
),
""
)
)
)
)
)
)
)
)
))</f>
        <v/>
      </c>
      <c r="AA55" s="73" t="str">
        <f>IF($B55="","",
IF(AA$5="","",
IF('Final Term'!AA55="",0,
IF(NOT(ISNUMBER('Final Term'!AA55)),"NAN",
IF('Final Term'!AA55&lt;0,"NEG",
IF('Final Term'!AA55&gt;AA$5,"OVER",
IF(AND(AA$5&lt;=100,'Final Term'!AA55&gt;100),"ERR",
IF(Info!$B$4="Non-board program",
IF(OR(AND(AA$5&gt;0,AA$5&gt;100),AND(AA$5&gt;0,AA$5&lt;100)),
VLOOKUP(FLOOR(('Final Term'!AA55/AA$5)*100,1),new_transmute,2,FALSE),
VLOOKUP('Final Term'!AA55,new_transmute,2,FALSE)
),
IF(Info!$B$4="Board program",
IF(OR(AND(AA$5&gt;0,AA$5&gt;100),AND(AA$5&gt;0,AA$5&lt;100)),
VLOOKUP(FLOOR(('Final Term'!AA55/AA$5)*100,1),new_transmute,3,FALSE),
VLOOKUP('Final Term'!AA55,new_transmute,3,FALSE)
),
IF(Info!$B$4="Board program (Medicine)",
IF(OR(AND(AA$5&gt;0,AA$5&gt;100),AND(AA$5&gt;0,AA$5&lt;100)),
VLOOKUP(FLOOR(('Final Term'!AA55/AA$5)*100,1),new_transmute,4,FALSE),
VLOOKUP('Final Term'!AA55,new_transmute,4,FALSE)
),
""
)
)
)
)
)
)
)
)
))</f>
        <v/>
      </c>
      <c r="AB55" s="73" t="str">
        <f>IF($B55="","",
IF(AB$5="","",
IF('Final Term'!AB55="",0,
IF(NOT(ISNUMBER('Final Term'!AB55)),"NAN",
IF('Final Term'!AB55&lt;0,"NEG",
IF('Final Term'!AB55&gt;AB$5,"OVER",
IF(AND(AB$5&lt;=100,'Final Term'!AB55&gt;100),"ERR",
IF(Info!$B$4="Non-board program",
IF(OR(AND(AB$5&gt;0,AB$5&gt;100),AND(AB$5&gt;0,AB$5&lt;100)),
VLOOKUP(FLOOR(('Final Term'!AB55/AB$5)*100,1),new_transmute,2,FALSE),
VLOOKUP('Final Term'!AB55,new_transmute,2,FALSE)
),
IF(Info!$B$4="Board program",
IF(OR(AND(AB$5&gt;0,AB$5&gt;100),AND(AB$5&gt;0,AB$5&lt;100)),
VLOOKUP(FLOOR(('Final Term'!AB55/AB$5)*100,1),new_transmute,3,FALSE),
VLOOKUP('Final Term'!AB55,new_transmute,3,FALSE)
),
IF(Info!$B$4="Board program (Medicine)",
IF(OR(AND(AB$5&gt;0,AB$5&gt;100),AND(AB$5&gt;0,AB$5&lt;100)),
VLOOKUP(FLOOR(('Final Term'!AB55/AB$5)*100,1),new_transmute,4,FALSE),
VLOOKUP('Final Term'!AB55,new_transmute,4,FALSE)
),
""
)
)
)
)
)
)
)
)
))</f>
        <v/>
      </c>
      <c r="AC55" s="73" t="str">
        <f>IF($B55="","",
IF(AC$5="","",
IF('Final Term'!AC55="",0,
IF(NOT(ISNUMBER('Final Term'!AC55)),"NAN",
IF('Final Term'!AC55&lt;0,"NEG",
IF('Final Term'!AC55&gt;AC$5,"OVER",
IF(AND(AC$5&lt;=100,'Final Term'!AC55&gt;100),"ERR",
IF(Info!$B$4="Non-board program",
IF(OR(AND(AC$5&gt;0,AC$5&gt;100),AND(AC$5&gt;0,AC$5&lt;100)),
VLOOKUP(FLOOR(('Final Term'!AC55/AC$5)*100,1),new_transmute,2,FALSE),
VLOOKUP('Final Term'!AC55,new_transmute,2,FALSE)
),
IF(Info!$B$4="Board program",
IF(OR(AND(AC$5&gt;0,AC$5&gt;100),AND(AC$5&gt;0,AC$5&lt;100)),
VLOOKUP(FLOOR(('Final Term'!AC55/AC$5)*100,1),new_transmute,3,FALSE),
VLOOKUP('Final Term'!AC55,new_transmute,3,FALSE)
),
IF(Info!$B$4="Board program (Medicine)",
IF(OR(AND(AC$5&gt;0,AC$5&gt;100),AND(AC$5&gt;0,AC$5&lt;100)),
VLOOKUP(FLOOR(('Final Term'!AC55/AC$5)*100,1),new_transmute,4,FALSE),
VLOOKUP('Final Term'!AC55,new_transmute,4,FALSE)
),
""
)
)
)
)
)
)
)
)
))</f>
        <v/>
      </c>
      <c r="AD55" s="73" t="str">
        <f>IF($B55="","",
IF(AD$5="","",
IF('Final Term'!AD55="",0,
IF(NOT(ISNUMBER('Final Term'!AD55)),"NAN",
IF('Final Term'!AD55&lt;0,"NEG",
IF('Final Term'!AD55&gt;AD$5,"OVER",
IF(AND(AD$5&lt;=100,'Final Term'!AD55&gt;100),"ERR",
IF(Info!$B$4="Non-board program",
IF(OR(AND(AD$5&gt;0,AD$5&gt;100),AND(AD$5&gt;0,AD$5&lt;100)),
VLOOKUP(FLOOR(('Final Term'!AD55/AD$5)*100,1),new_transmute,2,FALSE),
VLOOKUP('Final Term'!AD55,new_transmute,2,FALSE)
),
IF(Info!$B$4="Board program",
IF(OR(AND(AD$5&gt;0,AD$5&gt;100),AND(AD$5&gt;0,AD$5&lt;100)),
VLOOKUP(FLOOR(('Final Term'!AD55/AD$5)*100,1),new_transmute,3,FALSE),
VLOOKUP('Final Term'!AD55,new_transmute,3,FALSE)
),
IF(Info!$B$4="Board program (Medicine)",
IF(OR(AND(AD$5&gt;0,AD$5&gt;100),AND(AD$5&gt;0,AD$5&lt;100)),
VLOOKUP(FLOOR(('Final Term'!AD55/AD$5)*100,1),new_transmute,4,FALSE),
VLOOKUP('Final Term'!AD55,new_transmute,4,FALSE)
),
""
)
)
)
)
)
)
)
)
))</f>
        <v/>
      </c>
      <c r="AE55" s="58" t="str">
        <f t="shared" si="5"/>
        <v/>
      </c>
      <c r="AF55" s="73" t="str">
        <f>IF($B55="","",
IF(AF$5="","",
IF('Final Term'!AF55="",0,
IF(NOT(ISNUMBER('Final Term'!AF55)),"NAN",
IF('Final Term'!AF55&lt;0,"NEG",
IF('Final Term'!AF55&gt;AF$5,"OVER",
IF(AND(AF$5&lt;=100,'Final Term'!AF55&gt;100),"ERR",
IF(Info!$B$4="Non-board program",
IF(OR(AND(AF$5&gt;0,AF$5&gt;100),AND(AF$5&gt;0,AF$5&lt;100)),
VLOOKUP(FLOOR(('Final Term'!AF55/AF$5)*100,1),new_transmute,2,FALSE),
VLOOKUP('Final Term'!AF55,new_transmute,2,FALSE)
),
IF(Info!$B$4="Board program",
IF(OR(AND(AF$5&gt;0,AF$5&gt;100),AND(AF$5&gt;0,AF$5&lt;100)),
VLOOKUP(FLOOR(('Final Term'!AF55/AF$5)*100,1),new_transmute,3,FALSE),
VLOOKUP('Final Term'!AF55,new_transmute,3,FALSE)
),
IF(Info!$B$4="Board program (Medicine)",
IF(OR(AND(AF$5&gt;0,AF$5&gt;100),AND(AF$5&gt;0,AF$5&lt;100)),
VLOOKUP(FLOOR(('Final Term'!AF55/AF$5)*100,1),new_transmute,4,FALSE),
VLOOKUP('Final Term'!AF55,new_transmute,4,FALSE)
),
""
)
)
)
)
)
)
)
)
))</f>
        <v/>
      </c>
      <c r="AG55" s="73" t="str">
        <f>IF($B55="","",
IF(AG$5="","",
IF('Final Term'!AG55="",0,
IF(NOT(ISNUMBER('Final Term'!AG55)),"NAN",
IF('Final Term'!AG55&lt;0,"NEG",
IF('Final Term'!AG55&gt;AG$5,"OVER",
IF(AND(AG$5&lt;=100,'Final Term'!AG55&gt;100),"ERR",
IF(Info!$B$4="Non-board program",
IF(OR(AND(AG$5&gt;0,AG$5&gt;100),AND(AG$5&gt;0,AG$5&lt;100)),
VLOOKUP(FLOOR(('Final Term'!AG55/AG$5)*100,1),new_transmute,2,FALSE),
VLOOKUP('Final Term'!AG55,new_transmute,2,FALSE)
),
IF(Info!$B$4="Board program",
IF(OR(AND(AG$5&gt;0,AG$5&gt;100),AND(AG$5&gt;0,AG$5&lt;100)),
VLOOKUP(FLOOR(('Final Term'!AG55/AG$5)*100,1),new_transmute,3,FALSE),
VLOOKUP('Final Term'!AG55,new_transmute,3,FALSE)
),
IF(Info!$B$4="Board program (Medicine)",
IF(OR(AND(AG$5&gt;0,AG$5&gt;100),AND(AG$5&gt;0,AG$5&lt;100)),
VLOOKUP(FLOOR(('Final Term'!AG55/AG$5)*100,1),new_transmute,4,FALSE),
VLOOKUP('Final Term'!AG55,new_transmute,4,FALSE)
),
""
)
)
)
)
)
)
)
)
))</f>
        <v/>
      </c>
      <c r="AH55" s="73" t="str">
        <f>IF($B55="","",
IF(AH$5="","",
IF('Final Term'!AH55="",0,
IF(NOT(ISNUMBER('Final Term'!AH55)),"NAN",
IF('Final Term'!AH55&lt;0,"NEG",
IF('Final Term'!AH55&gt;AH$5,"OVER",
IF(AND(AH$5&lt;=100,'Final Term'!AH55&gt;100),"ERR",
IF(Info!$B$4="Non-board program",
IF(OR(AND(AH$5&gt;0,AH$5&gt;100),AND(AH$5&gt;0,AH$5&lt;100)),
VLOOKUP(FLOOR(('Final Term'!AH55/AH$5)*100,1),new_transmute,2,FALSE),
VLOOKUP('Final Term'!AH55,new_transmute,2,FALSE)
),
IF(Info!$B$4="Board program",
IF(OR(AND(AH$5&gt;0,AH$5&gt;100),AND(AH$5&gt;0,AH$5&lt;100)),
VLOOKUP(FLOOR(('Final Term'!AH55/AH$5)*100,1),new_transmute,3,FALSE),
VLOOKUP('Final Term'!AH55,new_transmute,3,FALSE)
),
IF(Info!$B$4="Board program (Medicine)",
IF(OR(AND(AH$5&gt;0,AH$5&gt;100),AND(AH$5&gt;0,AH$5&lt;100)),
VLOOKUP(FLOOR(('Final Term'!AH55/AH$5)*100,1),new_transmute,4,FALSE),
VLOOKUP('Final Term'!AH55,new_transmute,4,FALSE)
),
""
)
)
)
)
)
)
)
)
))</f>
        <v/>
      </c>
      <c r="AI55" s="73" t="str">
        <f>IF($B55="","",
IF(AI$5="","",
IF('Final Term'!AI55="",0,
IF(NOT(ISNUMBER('Final Term'!AI55)),"NAN",
IF('Final Term'!AI55&lt;0,"NEG",
IF('Final Term'!AI55&gt;AI$5,"OVER",
IF(AND(AI$5&lt;=100,'Final Term'!AI55&gt;100),"ERR",
IF(Info!$B$4="Non-board program",
IF(OR(AND(AI$5&gt;0,AI$5&gt;100),AND(AI$5&gt;0,AI$5&lt;100)),
VLOOKUP(FLOOR(('Final Term'!AI55/AI$5)*100,1),new_transmute,2,FALSE),
VLOOKUP('Final Term'!AI55,new_transmute,2,FALSE)
),
IF(Info!$B$4="Board program",
IF(OR(AND(AI$5&gt;0,AI$5&gt;100),AND(AI$5&gt;0,AI$5&lt;100)),
VLOOKUP(FLOOR(('Final Term'!AI55/AI$5)*100,1),new_transmute,3,FALSE),
VLOOKUP('Final Term'!AI55,new_transmute,3,FALSE)
),
IF(Info!$B$4="Board program (Medicine)",
IF(OR(AND(AI$5&gt;0,AI$5&gt;100),AND(AI$5&gt;0,AI$5&lt;100)),
VLOOKUP(FLOOR(('Final Term'!AI55/AI$5)*100,1),new_transmute,4,FALSE),
VLOOKUP('Final Term'!AI55,new_transmute,4,FALSE)
),
""
)
)
)
)
)
)
)
)
))</f>
        <v/>
      </c>
      <c r="AJ55" s="73" t="str">
        <f>IF($B55="","",
IF(AJ$5="","",
IF('Final Term'!AJ55="",0,
IF(NOT(ISNUMBER('Final Term'!AJ55)),"NAN",
IF('Final Term'!AJ55&lt;0,"NEG",
IF('Final Term'!AJ55&gt;AJ$5,"OVER",
IF(AND(AJ$5&lt;=100,'Final Term'!AJ55&gt;100),"ERR",
IF(Info!$B$4="Non-board program",
IF(OR(AND(AJ$5&gt;0,AJ$5&gt;100),AND(AJ$5&gt;0,AJ$5&lt;100)),
VLOOKUP(FLOOR(('Final Term'!AJ55/AJ$5)*100,1),new_transmute,2,FALSE),
VLOOKUP('Final Term'!AJ55,new_transmute,2,FALSE)
),
IF(Info!$B$4="Board program",
IF(OR(AND(AJ$5&gt;0,AJ$5&gt;100),AND(AJ$5&gt;0,AJ$5&lt;100)),
VLOOKUP(FLOOR(('Final Term'!AJ55/AJ$5)*100,1),new_transmute,3,FALSE),
VLOOKUP('Final Term'!AJ55,new_transmute,3,FALSE)
),
IF(Info!$B$4="Board program (Medicine)",
IF(OR(AND(AJ$5&gt;0,AJ$5&gt;100),AND(AJ$5&gt;0,AJ$5&lt;100)),
VLOOKUP(FLOOR(('Final Term'!AJ55/AJ$5)*100,1),new_transmute,4,FALSE),
VLOOKUP('Final Term'!AJ55,new_transmute,4,FALSE)
),
""
)
)
)
)
)
)
)
)
))</f>
        <v/>
      </c>
      <c r="AK55" s="59" t="str">
        <f t="shared" si="6"/>
        <v/>
      </c>
      <c r="AL55" s="60" t="str">
        <f>IF(B55="", "",
    IF(OR(M55="OVER", S55="OVER", Y55="OVER", AE55="OVER", AK55="OVER"),
        "OVER",
        IF(Info!$B$4="Non-board program",
            VLOOKUP(IFERROR(FLOOR(SUM((M55*$M$4), (S55*$S$4), (Y55*$Y$4), (AE55*$AE$4), (AK55*$AK$4)) * (100 / 60), 1), 0), new_transmute, 2, FALSE),
            IF(Info!$B$4="Board program",
                VLOOKUP(IFERROR(FLOOR(SUM((M55*$M$4), (S55*$S$4), (Y55*$Y$4), (AE55*$AE$4), (AK55*$AK$4)) * (100 / 60), 1), 0), new_transmute, 3, FALSE),
                IF(Info!$B$4="Board program (Medicine)",
                    VLOOKUP(IFERROR(FLOOR(SUM((M55*$M$4), (S55*$S$4), (Y55*$Y$4), (AE55*$AE$4), (AK55*$AK$4)) * (100 / 60), 1), 0), new_transmute, 4, FALSE),
                    ""
                )
            )
        )
    )
)</f>
        <v/>
      </c>
      <c r="AM55" s="73" t="str">
        <f>IF($B55="","",
IF(AM$5="","",
IF('Final Term'!AM55="",0,
IF(NOT(ISNUMBER('Final Term'!AM55)),"NAN",
IF('Final Term'!AM55&lt;0,"NEG",
IF('Final Term'!AM55&gt;AM$5,"OVER",
IF(AND(AM$5&lt;=100,'Final Term'!AM55&gt;100),"ERR",
IF(Info!$B$4="Non-board program",
IF(OR(AND(AM$5&gt;0,AM$5&gt;100),AND(AM$5&gt;0,AM$5&lt;100)),
VLOOKUP(FLOOR(('Final Term'!AM55/AM$5)*100,1),new_transmute,2,FALSE),
VLOOKUP('Final Term'!AM55,new_transmute,2,FALSE)
),
IF(Info!$B$4="Board program",
IF(OR(AND(AM$5&gt;0,AM$5&gt;100),AND(AM$5&gt;0,AM$5&lt;100)),
VLOOKUP(FLOOR(('Final Term'!AM55/AM$5)*100,1),new_transmute,3,FALSE),
VLOOKUP('Final Term'!AM55,new_transmute,3,FALSE)
),
IF(Info!$B$4="Board program (Medicine)",
IF(OR(AND(AM$5&gt;0,AM$5&gt;100),AND(AM$5&gt;0,AM$5&lt;100)),
VLOOKUP(FLOOR(('Final Term'!AM55/AM$5)*100,1),new_transmute,4,FALSE),
VLOOKUP('Final Term'!AM55,new_transmute,4,FALSE)
),
""
)
)
)
)
)
)
)
)
))</f>
        <v/>
      </c>
      <c r="AN55" s="73" t="str">
        <f>IF($B55="","",
IF(AN$5="","",
IF('Final Term'!AN55="",0,
IF(NOT(ISNUMBER('Final Term'!AN55)),"NAN",
IF('Final Term'!AN55&lt;0,"NEG",
IF('Final Term'!AN55&gt;AN$5,"OVER",
IF(AND(AN$5&lt;=100,'Final Term'!AN55&gt;100),"ERR",
IF(Info!$B$4="Non-board program",
IF(OR(AND(AN$5&gt;0,AN$5&gt;100),AND(AN$5&gt;0,AN$5&lt;100)),
VLOOKUP(FLOOR(('Final Term'!AN55/AN$5)*100,1),new_transmute,2,FALSE),
VLOOKUP('Final Term'!AN55,new_transmute,2,FALSE)
),
IF(Info!$B$4="Board program",
IF(OR(AND(AN$5&gt;0,AN$5&gt;100),AND(AN$5&gt;0,AN$5&lt;100)),
VLOOKUP(FLOOR(('Final Term'!AN55/AN$5)*100,1),new_transmute,3,FALSE),
VLOOKUP('Final Term'!AN55,new_transmute,3,FALSE)
),
IF(Info!$B$4="Board program (Medicine)",
IF(OR(AND(AN$5&gt;0,AN$5&gt;100),AND(AN$5&gt;0,AN$5&lt;100)),
VLOOKUP(FLOOR(('Final Term'!AN55/AN$5)*100,1),new_transmute,4,FALSE),
VLOOKUP('Final Term'!AN55,new_transmute,4,FALSE)
),
""
)
)
)
)
)
)
)
)
))</f>
        <v/>
      </c>
      <c r="AO55" s="73" t="str">
        <f>IF($B55="","",
IF(AO$5="","",
IF('Final Term'!AO55="",0,
IF(NOT(ISNUMBER('Final Term'!AO55)),"NAN",
IF('Final Term'!AO55&lt;0,"NEG",
IF('Final Term'!AO55&gt;AO$5,"OVER",
IF(AND(AO$5&lt;=100,'Final Term'!AO55&gt;100),"ERR",
IF(Info!$B$4="Non-board program",
IF(OR(AND(AO$5&gt;0,AO$5&gt;100),AND(AO$5&gt;0,AO$5&lt;100)),
VLOOKUP(FLOOR(('Final Term'!AO55/AO$5)*100,1),new_transmute,2,FALSE),
VLOOKUP('Final Term'!AO55,new_transmute,2,FALSE)
),
IF(Info!$B$4="Board program",
IF(OR(AND(AO$5&gt;0,AO$5&gt;100),AND(AO$5&gt;0,AO$5&lt;100)),
VLOOKUP(FLOOR(('Final Term'!AO55/AO$5)*100,1),new_transmute,3,FALSE),
VLOOKUP('Final Term'!AO55,new_transmute,3,FALSE)
),
IF(Info!$B$4="Board program (Medicine)",
IF(OR(AND(AO$5&gt;0,AO$5&gt;100),AND(AO$5&gt;0,AO$5&lt;100)),
VLOOKUP(FLOOR(('Final Term'!AO55/AO$5)*100,1),new_transmute,4,FALSE),
VLOOKUP('Final Term'!AO55,new_transmute,4,FALSE)
),
""
)
)
)
)
)
)
)
)
))</f>
        <v/>
      </c>
      <c r="AP55" s="73" t="str">
        <f>IF($B55="","",
IF(AP$5="","",
IF('Final Term'!AP55="",0,
IF(NOT(ISNUMBER('Final Term'!AP55)),"NAN",
IF('Final Term'!AP55&lt;0,"NEG",
IF('Final Term'!AP55&gt;AP$5,"OVER",
IF(AND(AP$5&lt;=100,'Final Term'!AP55&gt;100),"ERR",
IF(Info!$B$4="Non-board program",
IF(OR(AND(AP$5&gt;0,AP$5&gt;100),AND(AP$5&gt;0,AP$5&lt;100)),
VLOOKUP(FLOOR(('Final Term'!AP55/AP$5)*100,1),new_transmute,2,FALSE),
VLOOKUP('Final Term'!AP55,new_transmute,2,FALSE)
),
IF(Info!$B$4="Board program",
IF(OR(AND(AP$5&gt;0,AP$5&gt;100),AND(AP$5&gt;0,AP$5&lt;100)),
VLOOKUP(FLOOR(('Final Term'!AP55/AP$5)*100,1),new_transmute,3,FALSE),
VLOOKUP('Final Term'!AP55,new_transmute,3,FALSE)
),
IF(Info!$B$4="Board program (Medicine)",
IF(OR(AND(AP$5&gt;0,AP$5&gt;100),AND(AP$5&gt;0,AP$5&lt;100)),
VLOOKUP(FLOOR(('Final Term'!AP55/AP$5)*100,1),new_transmute,4,FALSE),
VLOOKUP('Final Term'!AP55,new_transmute,4,FALSE)
),
""
)
)
)
)
)
)
)
)
))</f>
        <v/>
      </c>
      <c r="AQ55" s="61" t="str">
        <f t="shared" si="7"/>
        <v/>
      </c>
      <c r="AR55" s="48" t="str">
        <f>IF('Final Term'!AR55="","",'Final Term'!AR55)</f>
        <v/>
      </c>
      <c r="AS55" s="165" t="str">
        <f t="shared" si="8"/>
        <v/>
      </c>
      <c r="AT55" s="14" t="str">
        <f t="shared" si="9"/>
        <v/>
      </c>
      <c r="AU55" s="13" t="str">
        <f>IF(B55="","",VLOOKUP(AT55,'New Grade Equivalent'!$B$3:$C$47,2,FALSE))</f>
        <v/>
      </c>
    </row>
    <row r="56" spans="1:47" x14ac:dyDescent="0.25">
      <c r="A56" s="8">
        <v>51</v>
      </c>
      <c r="B56" s="2" t="str">
        <f>IF('Student List'!C60="","",UPPER(LEFT('Student List'!C60,FIND(",",'Student List'!C60)-1)))</f>
        <v/>
      </c>
      <c r="C56" s="12" t="str">
        <f>IF('Student List'!C60="","",PROPER(MID('Student List'!C60, FIND(",", 'Student List'!C60) + 2, LEN('Student List'!C60) - FIND(",", 'Student List'!C60) - 1)))</f>
        <v/>
      </c>
      <c r="D56" s="127" t="str">
        <f>IF('Final Term'!D56="","",'Final Term'!D56)</f>
        <v/>
      </c>
      <c r="E56" s="8" t="str">
        <f>IF(MidCom!E56="FA", "FA",
    IF(MidCom!E56="DRP", "DRP",
        IF(MidCom!E56="WF", "WF",
            IF(D56="Yes", "INC",
               IF((SUM('MT Attendance'!AW54) / 3 + SUM('MT Attendance'!AY54) + SUM('FT Attendance'!AW54) / 3 + SUM('FT Attendance'!AY54)) &gt;= 0.2 * (SUMPRODUCT(--(ISTEXT('MT Attendance'!$C$2:$AU$2))) + SUMPRODUCT(--(ISTEXT('FT Attendance'!$C$2:$AU$2)))), "FA",
                   MidCom!E56
                )
            )
        )
    )
)</f>
        <v/>
      </c>
      <c r="F56" s="73" t="str">
        <f>IF($B56="","",
IF(F$5="","",
IF('Final Term'!F56="",0,
IF(NOT(ISNUMBER('Final Term'!F56)),"NAN",
IF('Final Term'!F56&lt;0,"NEG",
IF('Final Term'!F56&gt;F$5,"OVER",
IF(AND(F$5&lt;=100,'Final Term'!F56&gt;100),"ERR",
IF(Info!$B$4="Non-board program",
IF(OR(AND(F$5&gt;0,F$5&gt;100),AND(F$5&gt;0,F$5&lt;100)),
VLOOKUP(FLOOR(('Final Term'!F56/F$5)*100,1),new_transmute,2,FALSE),
VLOOKUP('Final Term'!F56,new_transmute,2,FALSE)
),
IF(Info!$B$4="Board program",
IF(OR(AND(F$5&gt;0,F$5&gt;100),AND(F$5&gt;0,F$5&lt;100)),
VLOOKUP(FLOOR(('Final Term'!F56/F$5)*100,1),new_transmute,3,FALSE),
VLOOKUP('Final Term'!F56,new_transmute,3,FALSE)
),
IF(Info!$B$4="Board program (Medicine)",
IF(OR(AND(F$5&gt;0,F$5&gt;100),AND(F$5&gt;0,F$5&lt;100)),
VLOOKUP(FLOOR(('Final Term'!F56/F$5)*100,1),new_transmute,4,FALSE),
VLOOKUP('Final Term'!F56,new_transmute,4,FALSE)
),
""
)
)
)
)
)
)
)
)
))</f>
        <v/>
      </c>
      <c r="G56" s="57" t="str">
        <f t="shared" si="1"/>
        <v/>
      </c>
      <c r="H56" s="73" t="str">
        <f>IF($B56="","",
IF(H$5="","",
IF('Final Term'!H56="",0,
IF(NOT(ISNUMBER('Final Term'!H56)),"NAN",
IF('Final Term'!H56&lt;0,"NEG",
IF('Final Term'!H56&gt;H$5,"OVER",
IF(AND(H$5&lt;=100,'Final Term'!H56&gt;100),"ERR",
IF(Info!$B$4="Non-board program",
IF(OR(AND(H$5&gt;0,H$5&gt;100),AND(H$5&gt;0,H$5&lt;100)),
VLOOKUP(FLOOR(('Final Term'!H56/H$5)*100,1),new_transmute,2,FALSE),
VLOOKUP('Final Term'!H56,new_transmute,2,FALSE)
),
IF(Info!$B$4="Board program",
IF(OR(AND(H$5&gt;0,H$5&gt;100),AND(H$5&gt;0,H$5&lt;100)),
VLOOKUP(FLOOR(('Final Term'!H56/H$5)*100,1),new_transmute,3,FALSE),
VLOOKUP('Final Term'!H56,new_transmute,3,FALSE)
),
IF(Info!$B$4="Board program (Medicine)",
IF(OR(AND(H$5&gt;0,H$5&gt;100),AND(H$5&gt;0,H$5&lt;100)),
VLOOKUP(FLOOR(('Final Term'!H56/H$5)*100,1),new_transmute,4,FALSE),
VLOOKUP('Final Term'!H56,new_transmute,4,FALSE)
),
""
)
)
)
)
)
)
)
)
))</f>
        <v/>
      </c>
      <c r="I56" s="73" t="str">
        <f>IF($B56="","",
IF(I$5="","",
IF('Final Term'!I56="",0,
IF(NOT(ISNUMBER('Final Term'!I56)),"NAN",
IF('Final Term'!I56&lt;0,"NEG",
IF('Final Term'!I56&gt;I$5,"OVER",
IF(AND(I$5&lt;=100,'Final Term'!I56&gt;100),"ERR",
IF(Info!$B$4="Non-board program",
IF(OR(AND(I$5&gt;0,I$5&gt;100),AND(I$5&gt;0,I$5&lt;100)),
VLOOKUP(FLOOR(('Final Term'!I56/I$5)*100,1),new_transmute,2,FALSE),
VLOOKUP('Final Term'!I56,new_transmute,2,FALSE)
),
IF(Info!$B$4="Board program",
IF(OR(AND(I$5&gt;0,I$5&gt;100),AND(I$5&gt;0,I$5&lt;100)),
VLOOKUP(FLOOR(('Final Term'!I56/I$5)*100,1),new_transmute,3,FALSE),
VLOOKUP('Final Term'!I56,new_transmute,3,FALSE)
),
IF(Info!$B$4="Board program (Medicine)",
IF(OR(AND(I$5&gt;0,I$5&gt;100),AND(I$5&gt;0,I$5&lt;100)),
VLOOKUP(FLOOR(('Final Term'!I56/I$5)*100,1),new_transmute,4,FALSE),
VLOOKUP('Final Term'!I56,new_transmute,4,FALSE)
),
""
)
)
)
)
)
)
)
)
))</f>
        <v/>
      </c>
      <c r="J56" s="73" t="str">
        <f>IF($B56="","",
IF(J$5="","",
IF('Final Term'!J56="",0,
IF(NOT(ISNUMBER('Final Term'!J56)),"NAN",
IF('Final Term'!J56&lt;0,"NEG",
IF('Final Term'!J56&gt;J$5,"OVER",
IF(AND(J$5&lt;=100,'Final Term'!J56&gt;100),"ERR",
IF(Info!$B$4="Non-board program",
IF(OR(AND(J$5&gt;0,J$5&gt;100),AND(J$5&gt;0,J$5&lt;100)),
VLOOKUP(FLOOR(('Final Term'!J56/J$5)*100,1),new_transmute,2,FALSE),
VLOOKUP('Final Term'!J56,new_transmute,2,FALSE)
),
IF(Info!$B$4="Board program",
IF(OR(AND(J$5&gt;0,J$5&gt;100),AND(J$5&gt;0,J$5&lt;100)),
VLOOKUP(FLOOR(('Final Term'!J56/J$5)*100,1),new_transmute,3,FALSE),
VLOOKUP('Final Term'!J56,new_transmute,3,FALSE)
),
IF(Info!$B$4="Board program (Medicine)",
IF(OR(AND(J$5&gt;0,J$5&gt;100),AND(J$5&gt;0,J$5&lt;100)),
VLOOKUP(FLOOR(('Final Term'!J56/J$5)*100,1),new_transmute,4,FALSE),
VLOOKUP('Final Term'!J56,new_transmute,4,FALSE)
),
""
)
)
)
)
)
)
)
)
))</f>
        <v/>
      </c>
      <c r="K56" s="73" t="str">
        <f>IF($B56="","",
IF(K$5="","",
IF('Final Term'!K56="",0,
IF(NOT(ISNUMBER('Final Term'!K56)),"NAN",
IF('Final Term'!K56&lt;0,"NEG",
IF('Final Term'!K56&gt;K$5,"OVER",
IF(AND(K$5&lt;=100,'Final Term'!K56&gt;100),"ERR",
IF(Info!$B$4="Non-board program",
IF(OR(AND(K$5&gt;0,K$5&gt;100),AND(K$5&gt;0,K$5&lt;100)),
VLOOKUP(FLOOR(('Final Term'!K56/K$5)*100,1),new_transmute,2,FALSE),
VLOOKUP('Final Term'!K56,new_transmute,2,FALSE)
),
IF(Info!$B$4="Board program",
IF(OR(AND(K$5&gt;0,K$5&gt;100),AND(K$5&gt;0,K$5&lt;100)),
VLOOKUP(FLOOR(('Final Term'!K56/K$5)*100,1),new_transmute,3,FALSE),
VLOOKUP('Final Term'!K56,new_transmute,3,FALSE)
),
IF(Info!$B$4="Board program (Medicine)",
IF(OR(AND(K$5&gt;0,K$5&gt;100),AND(K$5&gt;0,K$5&lt;100)),
VLOOKUP(FLOOR(('Final Term'!K56/K$5)*100,1),new_transmute,4,FALSE),
VLOOKUP('Final Term'!K56,new_transmute,4,FALSE)
),
""
)
)
)
)
)
)
)
)
))</f>
        <v/>
      </c>
      <c r="L56" s="73" t="str">
        <f>IF($B56="","",
IF(L$5="","",
IF('Final Term'!L56="",0,
IF(NOT(ISNUMBER('Final Term'!L56)),"NAN",
IF('Final Term'!L56&lt;0,"NEG",
IF('Final Term'!L56&gt;L$5,"OVER",
IF(AND(L$5&lt;=100,'Final Term'!L56&gt;100),"ERR",
IF(Info!$B$4="Non-board program",
IF(OR(AND(L$5&gt;0,L$5&gt;100),AND(L$5&gt;0,L$5&lt;100)),
VLOOKUP(FLOOR(('Final Term'!L56/L$5)*100,1),new_transmute,2,FALSE),
VLOOKUP('Final Term'!L56,new_transmute,2,FALSE)
),
IF(Info!$B$4="Board program",
IF(OR(AND(L$5&gt;0,L$5&gt;100),AND(L$5&gt;0,L$5&lt;100)),
VLOOKUP(FLOOR(('Final Term'!L56/L$5)*100,1),new_transmute,3,FALSE),
VLOOKUP('Final Term'!L56,new_transmute,3,FALSE)
),
IF(Info!$B$4="Board program (Medicine)",
IF(OR(AND(L$5&gt;0,L$5&gt;100),AND(L$5&gt;0,L$5&lt;100)),
VLOOKUP(FLOOR(('Final Term'!L56/L$5)*100,1),new_transmute,4,FALSE),
VLOOKUP('Final Term'!L56,new_transmute,4,FALSE)
),
""
)
)
)
)
)
)
)
)
))</f>
        <v/>
      </c>
      <c r="M56" s="111" t="str">
        <f t="shared" si="2"/>
        <v/>
      </c>
      <c r="N56" s="73" t="str">
        <f>IF($B56="","",
IF(N$5="","",
IF('Final Term'!N56="",0,
IF(NOT(ISNUMBER('Final Term'!N56)),"NAN",
IF('Final Term'!N56&lt;0,"NEG",
IF('Final Term'!N56&gt;N$5,"OVER",
IF(AND(N$5&lt;=100,'Final Term'!N56&gt;100),"ERR",
IF(Info!$B$4="Non-board program",
IF(OR(AND(N$5&gt;0,N$5&gt;100),AND(N$5&gt;0,N$5&lt;100)),
VLOOKUP(FLOOR(('Final Term'!N56/N$5)*100,1),new_transmute,2,FALSE),
VLOOKUP('Final Term'!N56,new_transmute,2,FALSE)
),
IF(Info!$B$4="Board program",
IF(OR(AND(N$5&gt;0,N$5&gt;100),AND(N$5&gt;0,N$5&lt;100)),
VLOOKUP(FLOOR(('Final Term'!N56/N$5)*100,1),new_transmute,3,FALSE),
VLOOKUP('Final Term'!N56,new_transmute,3,FALSE)
),
IF(Info!$B$4="Board program (Medicine)",
IF(OR(AND(N$5&gt;0,N$5&gt;100),AND(N$5&gt;0,N$5&lt;100)),
VLOOKUP(FLOOR(('Final Term'!N56/N$5)*100,1),new_transmute,4,FALSE),
VLOOKUP('Final Term'!N56,new_transmute,4,FALSE)
),
""
)
)
)
)
)
)
)
)
))</f>
        <v/>
      </c>
      <c r="O56" s="73" t="str">
        <f>IF($B56="","",
IF(O$5="","",
IF('Final Term'!O56="",0,
IF(NOT(ISNUMBER('Final Term'!O56)),"NAN",
IF('Final Term'!O56&lt;0,"NEG",
IF('Final Term'!O56&gt;O$5,"OVER",
IF(AND(O$5&lt;=100,'Final Term'!O56&gt;100),"ERR",
IF(Info!$B$4="Non-board program",
IF(OR(AND(O$5&gt;0,O$5&gt;100),AND(O$5&gt;0,O$5&lt;100)),
VLOOKUP(FLOOR(('Final Term'!O56/O$5)*100,1),new_transmute,2,FALSE),
VLOOKUP('Final Term'!O56,new_transmute,2,FALSE)
),
IF(Info!$B$4="Board program",
IF(OR(AND(O$5&gt;0,O$5&gt;100),AND(O$5&gt;0,O$5&lt;100)),
VLOOKUP(FLOOR(('Final Term'!O56/O$5)*100,1),new_transmute,3,FALSE),
VLOOKUP('Final Term'!O56,new_transmute,3,FALSE)
),
IF(Info!$B$4="Board program (Medicine)",
IF(OR(AND(O$5&gt;0,O$5&gt;100),AND(O$5&gt;0,O$5&lt;100)),
VLOOKUP(FLOOR(('Final Term'!O56/O$5)*100,1),new_transmute,4,FALSE),
VLOOKUP('Final Term'!O56,new_transmute,4,FALSE)
),
""
)
)
)
)
)
)
)
)
))</f>
        <v/>
      </c>
      <c r="P56" s="73" t="str">
        <f>IF($B56="","",
IF(P$5="","",
IF('Final Term'!P56="",0,
IF(NOT(ISNUMBER('Final Term'!P56)),"NAN",
IF('Final Term'!P56&lt;0,"NEG",
IF('Final Term'!P56&gt;P$5,"OVER",
IF(AND(P$5&lt;=100,'Final Term'!P56&gt;100),"ERR",
IF(Info!$B$4="Non-board program",
IF(OR(AND(P$5&gt;0,P$5&gt;100),AND(P$5&gt;0,P$5&lt;100)),
VLOOKUP(FLOOR(('Final Term'!P56/P$5)*100,1),new_transmute,2,FALSE),
VLOOKUP('Final Term'!P56,new_transmute,2,FALSE)
),
IF(Info!$B$4="Board program",
IF(OR(AND(P$5&gt;0,P$5&gt;100),AND(P$5&gt;0,P$5&lt;100)),
VLOOKUP(FLOOR(('Final Term'!P56/P$5)*100,1),new_transmute,3,FALSE),
VLOOKUP('Final Term'!P56,new_transmute,3,FALSE)
),
IF(Info!$B$4="Board program (Medicine)",
IF(OR(AND(P$5&gt;0,P$5&gt;100),AND(P$5&gt;0,P$5&lt;100)),
VLOOKUP(FLOOR(('Final Term'!P56/P$5)*100,1),new_transmute,4,FALSE),
VLOOKUP('Final Term'!P56,new_transmute,4,FALSE)
),
""
)
)
)
)
)
)
)
)
))</f>
        <v/>
      </c>
      <c r="Q56" s="73" t="str">
        <f>IF($B56="","",
IF(Q$5="","",
IF('Final Term'!Q56="",0,
IF(NOT(ISNUMBER('Final Term'!Q56)),"NAN",
IF('Final Term'!Q56&lt;0,"NEG",
IF('Final Term'!Q56&gt;Q$5,"OVER",
IF(AND(Q$5&lt;=100,'Final Term'!Q56&gt;100),"ERR",
IF(Info!$B$4="Non-board program",
IF(OR(AND(Q$5&gt;0,Q$5&gt;100),AND(Q$5&gt;0,Q$5&lt;100)),
VLOOKUP(FLOOR(('Final Term'!Q56/Q$5)*100,1),new_transmute,2,FALSE),
VLOOKUP('Final Term'!Q56,new_transmute,2,FALSE)
),
IF(Info!$B$4="Board program",
IF(OR(AND(Q$5&gt;0,Q$5&gt;100),AND(Q$5&gt;0,Q$5&lt;100)),
VLOOKUP(FLOOR(('Final Term'!Q56/Q$5)*100,1),new_transmute,3,FALSE),
VLOOKUP('Final Term'!Q56,new_transmute,3,FALSE)
),
IF(Info!$B$4="Board program (Medicine)",
IF(OR(AND(Q$5&gt;0,Q$5&gt;100),AND(Q$5&gt;0,Q$5&lt;100)),
VLOOKUP(FLOOR(('Final Term'!Q56/Q$5)*100,1),new_transmute,4,FALSE),
VLOOKUP('Final Term'!Q56,new_transmute,4,FALSE)
),
""
)
)
)
)
)
)
)
)
))</f>
        <v/>
      </c>
      <c r="R56" s="73" t="str">
        <f>IF($B56="","",
IF(R$5="","",
IF('Final Term'!R56="",0,
IF(NOT(ISNUMBER('Final Term'!R56)),"NAN",
IF('Final Term'!R56&lt;0,"NEG",
IF('Final Term'!R56&gt;R$5,"OVER",
IF(AND(R$5&lt;=100,'Final Term'!R56&gt;100),"ERR",
IF(Info!$B$4="Non-board program",
IF(OR(AND(R$5&gt;0,R$5&gt;100),AND(R$5&gt;0,R$5&lt;100)),
VLOOKUP(FLOOR(('Final Term'!R56/R$5)*100,1),new_transmute,2,FALSE),
VLOOKUP('Final Term'!R56,new_transmute,2,FALSE)
),
IF(Info!$B$4="Board program",
IF(OR(AND(R$5&gt;0,R$5&gt;100),AND(R$5&gt;0,R$5&lt;100)),
VLOOKUP(FLOOR(('Final Term'!R56/R$5)*100,1),new_transmute,3,FALSE),
VLOOKUP('Final Term'!R56,new_transmute,3,FALSE)
),
IF(Info!$B$4="Board program (Medicine)",
IF(OR(AND(R$5&gt;0,R$5&gt;100),AND(R$5&gt;0,R$5&lt;100)),
VLOOKUP(FLOOR(('Final Term'!R56/R$5)*100,1),new_transmute,4,FALSE),
VLOOKUP('Final Term'!R56,new_transmute,4,FALSE)
),
""
)
)
)
)
)
)
)
)
))</f>
        <v/>
      </c>
      <c r="S56" s="115" t="str">
        <f t="shared" si="3"/>
        <v/>
      </c>
      <c r="T56" s="73" t="str">
        <f>IF($B56="","",
IF(T$5="","",
IF('Final Term'!T56="",0,
IF(NOT(ISNUMBER('Final Term'!T56)),"NAN",
IF('Final Term'!T56&lt;0,"NEG",
IF('Final Term'!T56&gt;T$5,"OVER",
IF(AND(T$5&lt;=100,'Final Term'!T56&gt;100),"ERR",
IF(Info!$B$4="Non-board program",
IF(OR(AND(T$5&gt;0,T$5&gt;100),AND(T$5&gt;0,T$5&lt;100)),
VLOOKUP(FLOOR(('Final Term'!T56/T$5)*100,1),new_transmute,2,FALSE),
VLOOKUP('Final Term'!T56,new_transmute,2,FALSE)
),
IF(Info!$B$4="Board program",
IF(OR(AND(T$5&gt;0,T$5&gt;100),AND(T$5&gt;0,T$5&lt;100)),
VLOOKUP(FLOOR(('Final Term'!T56/T$5)*100,1),new_transmute,3,FALSE),
VLOOKUP('Final Term'!T56,new_transmute,3,FALSE)
),
IF(Info!$B$4="Board program (Medicine)",
IF(OR(AND(T$5&gt;0,T$5&gt;100),AND(T$5&gt;0,T$5&lt;100)),
VLOOKUP(FLOOR(('Final Term'!T56/T$5)*100,1),new_transmute,4,FALSE),
VLOOKUP('Final Term'!T56,new_transmute,4,FALSE)
),
""
)
)
)
)
)
)
)
)
))</f>
        <v/>
      </c>
      <c r="U56" s="73" t="str">
        <f>IF($B56="","",
IF(U$5="","",
IF('Final Term'!U56="",0,
IF(NOT(ISNUMBER('Final Term'!U56)),"NAN",
IF('Final Term'!U56&lt;0,"NEG",
IF('Final Term'!U56&gt;U$5,"OVER",
IF(AND(U$5&lt;=100,'Final Term'!U56&gt;100),"ERR",
IF(Info!$B$4="Non-board program",
IF(OR(AND(U$5&gt;0,U$5&gt;100),AND(U$5&gt;0,U$5&lt;100)),
VLOOKUP(FLOOR(('Final Term'!U56/U$5)*100,1),new_transmute,2,FALSE),
VLOOKUP('Final Term'!U56,new_transmute,2,FALSE)
),
IF(Info!$B$4="Board program",
IF(OR(AND(U$5&gt;0,U$5&gt;100),AND(U$5&gt;0,U$5&lt;100)),
VLOOKUP(FLOOR(('Final Term'!U56/U$5)*100,1),new_transmute,3,FALSE),
VLOOKUP('Final Term'!U56,new_transmute,3,FALSE)
),
IF(Info!$B$4="Board program (Medicine)",
IF(OR(AND(U$5&gt;0,U$5&gt;100),AND(U$5&gt;0,U$5&lt;100)),
VLOOKUP(FLOOR(('Final Term'!U56/U$5)*100,1),new_transmute,4,FALSE),
VLOOKUP('Final Term'!U56,new_transmute,4,FALSE)
),
""
)
)
)
)
)
)
)
)
))</f>
        <v/>
      </c>
      <c r="V56" s="73" t="str">
        <f>IF($B56="","",
IF(V$5="","",
IF('Final Term'!V56="",0,
IF(NOT(ISNUMBER('Final Term'!V56)),"NAN",
IF('Final Term'!V56&lt;0,"NEG",
IF('Final Term'!V56&gt;V$5,"OVER",
IF(AND(V$5&lt;=100,'Final Term'!V56&gt;100),"ERR",
IF(Info!$B$4="Non-board program",
IF(OR(AND(V$5&gt;0,V$5&gt;100),AND(V$5&gt;0,V$5&lt;100)),
VLOOKUP(FLOOR(('Final Term'!V56/V$5)*100,1),new_transmute,2,FALSE),
VLOOKUP('Final Term'!V56,new_transmute,2,FALSE)
),
IF(Info!$B$4="Board program",
IF(OR(AND(V$5&gt;0,V$5&gt;100),AND(V$5&gt;0,V$5&lt;100)),
VLOOKUP(FLOOR(('Final Term'!V56/V$5)*100,1),new_transmute,3,FALSE),
VLOOKUP('Final Term'!V56,new_transmute,3,FALSE)
),
IF(Info!$B$4="Board program (Medicine)",
IF(OR(AND(V$5&gt;0,V$5&gt;100),AND(V$5&gt;0,V$5&lt;100)),
VLOOKUP(FLOOR(('Final Term'!V56/V$5)*100,1),new_transmute,4,FALSE),
VLOOKUP('Final Term'!V56,new_transmute,4,FALSE)
),
""
)
)
)
)
)
)
)
)
))</f>
        <v/>
      </c>
      <c r="W56" s="73" t="str">
        <f>IF($B56="","",
IF(W$5="","",
IF('Final Term'!W56="",0,
IF(NOT(ISNUMBER('Final Term'!W56)),"NAN",
IF('Final Term'!W56&lt;0,"NEG",
IF('Final Term'!W56&gt;W$5,"OVER",
IF(AND(W$5&lt;=100,'Final Term'!W56&gt;100),"ERR",
IF(Info!$B$4="Non-board program",
IF(OR(AND(W$5&gt;0,W$5&gt;100),AND(W$5&gt;0,W$5&lt;100)),
VLOOKUP(FLOOR(('Final Term'!W56/W$5)*100,1),new_transmute,2,FALSE),
VLOOKUP('Final Term'!W56,new_transmute,2,FALSE)
),
IF(Info!$B$4="Board program",
IF(OR(AND(W$5&gt;0,W$5&gt;100),AND(W$5&gt;0,W$5&lt;100)),
VLOOKUP(FLOOR(('Final Term'!W56/W$5)*100,1),new_transmute,3,FALSE),
VLOOKUP('Final Term'!W56,new_transmute,3,FALSE)
),
IF(Info!$B$4="Board program (Medicine)",
IF(OR(AND(W$5&gt;0,W$5&gt;100),AND(W$5&gt;0,W$5&lt;100)),
VLOOKUP(FLOOR(('Final Term'!W56/W$5)*100,1),new_transmute,4,FALSE),
VLOOKUP('Final Term'!W56,new_transmute,4,FALSE)
),
""
)
)
)
)
)
)
)
)
))</f>
        <v/>
      </c>
      <c r="X56" s="73" t="str">
        <f>IF($B56="","",
IF(X$5="","",
IF('Final Term'!X56="",0,
IF(NOT(ISNUMBER('Final Term'!X56)),"NAN",
IF('Final Term'!X56&lt;0,"NEG",
IF('Final Term'!X56&gt;X$5,"OVER",
IF(AND(X$5&lt;=100,'Final Term'!X56&gt;100),"ERR",
IF(Info!$B$4="Non-board program",
IF(OR(AND(X$5&gt;0,X$5&gt;100),AND(X$5&gt;0,X$5&lt;100)),
VLOOKUP(FLOOR(('Final Term'!X56/X$5)*100,1),new_transmute,2,FALSE),
VLOOKUP('Final Term'!X56,new_transmute,2,FALSE)
),
IF(Info!$B$4="Board program",
IF(OR(AND(X$5&gt;0,X$5&gt;100),AND(X$5&gt;0,X$5&lt;100)),
VLOOKUP(FLOOR(('Final Term'!X56/X$5)*100,1),new_transmute,3,FALSE),
VLOOKUP('Final Term'!X56,new_transmute,3,FALSE)
),
IF(Info!$B$4="Board program (Medicine)",
IF(OR(AND(X$5&gt;0,X$5&gt;100),AND(X$5&gt;0,X$5&lt;100)),
VLOOKUP(FLOOR(('Final Term'!X56/X$5)*100,1),new_transmute,4,FALSE),
VLOOKUP('Final Term'!X56,new_transmute,4,FALSE)
),
""
)
)
)
)
)
)
)
)
))</f>
        <v/>
      </c>
      <c r="Y56" s="112" t="str">
        <f t="shared" si="4"/>
        <v/>
      </c>
      <c r="Z56" s="73" t="str">
        <f>IF($B56="","",
IF(Z$5="","",
IF('Final Term'!Z56="",0,
IF(NOT(ISNUMBER('Final Term'!Z56)),"NAN",
IF('Final Term'!Z56&lt;0,"NEG",
IF('Final Term'!Z56&gt;Z$5,"OVER",
IF(AND(Z$5&lt;=100,'Final Term'!Z56&gt;100),"ERR",
IF(Info!$B$4="Non-board program",
IF(OR(AND(Z$5&gt;0,Z$5&gt;100),AND(Z$5&gt;0,Z$5&lt;100)),
VLOOKUP(FLOOR(('Final Term'!Z56/Z$5)*100,1),new_transmute,2,FALSE),
VLOOKUP('Final Term'!Z56,new_transmute,2,FALSE)
),
IF(Info!$B$4="Board program",
IF(OR(AND(Z$5&gt;0,Z$5&gt;100),AND(Z$5&gt;0,Z$5&lt;100)),
VLOOKUP(FLOOR(('Final Term'!Z56/Z$5)*100,1),new_transmute,3,FALSE),
VLOOKUP('Final Term'!Z56,new_transmute,3,FALSE)
),
IF(Info!$B$4="Board program (Medicine)",
IF(OR(AND(Z$5&gt;0,Z$5&gt;100),AND(Z$5&gt;0,Z$5&lt;100)),
VLOOKUP(FLOOR(('Final Term'!Z56/Z$5)*100,1),new_transmute,4,FALSE),
VLOOKUP('Final Term'!Z56,new_transmute,4,FALSE)
),
""
)
)
)
)
)
)
)
)
))</f>
        <v/>
      </c>
      <c r="AA56" s="73" t="str">
        <f>IF($B56="","",
IF(AA$5="","",
IF('Final Term'!AA56="",0,
IF(NOT(ISNUMBER('Final Term'!AA56)),"NAN",
IF('Final Term'!AA56&lt;0,"NEG",
IF('Final Term'!AA56&gt;AA$5,"OVER",
IF(AND(AA$5&lt;=100,'Final Term'!AA56&gt;100),"ERR",
IF(Info!$B$4="Non-board program",
IF(OR(AND(AA$5&gt;0,AA$5&gt;100),AND(AA$5&gt;0,AA$5&lt;100)),
VLOOKUP(FLOOR(('Final Term'!AA56/AA$5)*100,1),new_transmute,2,FALSE),
VLOOKUP('Final Term'!AA56,new_transmute,2,FALSE)
),
IF(Info!$B$4="Board program",
IF(OR(AND(AA$5&gt;0,AA$5&gt;100),AND(AA$5&gt;0,AA$5&lt;100)),
VLOOKUP(FLOOR(('Final Term'!AA56/AA$5)*100,1),new_transmute,3,FALSE),
VLOOKUP('Final Term'!AA56,new_transmute,3,FALSE)
),
IF(Info!$B$4="Board program (Medicine)",
IF(OR(AND(AA$5&gt;0,AA$5&gt;100),AND(AA$5&gt;0,AA$5&lt;100)),
VLOOKUP(FLOOR(('Final Term'!AA56/AA$5)*100,1),new_transmute,4,FALSE),
VLOOKUP('Final Term'!AA56,new_transmute,4,FALSE)
),
""
)
)
)
)
)
)
)
)
))</f>
        <v/>
      </c>
      <c r="AB56" s="73" t="str">
        <f>IF($B56="","",
IF(AB$5="","",
IF('Final Term'!AB56="",0,
IF(NOT(ISNUMBER('Final Term'!AB56)),"NAN",
IF('Final Term'!AB56&lt;0,"NEG",
IF('Final Term'!AB56&gt;AB$5,"OVER",
IF(AND(AB$5&lt;=100,'Final Term'!AB56&gt;100),"ERR",
IF(Info!$B$4="Non-board program",
IF(OR(AND(AB$5&gt;0,AB$5&gt;100),AND(AB$5&gt;0,AB$5&lt;100)),
VLOOKUP(FLOOR(('Final Term'!AB56/AB$5)*100,1),new_transmute,2,FALSE),
VLOOKUP('Final Term'!AB56,new_transmute,2,FALSE)
),
IF(Info!$B$4="Board program",
IF(OR(AND(AB$5&gt;0,AB$5&gt;100),AND(AB$5&gt;0,AB$5&lt;100)),
VLOOKUP(FLOOR(('Final Term'!AB56/AB$5)*100,1),new_transmute,3,FALSE),
VLOOKUP('Final Term'!AB56,new_transmute,3,FALSE)
),
IF(Info!$B$4="Board program (Medicine)",
IF(OR(AND(AB$5&gt;0,AB$5&gt;100),AND(AB$5&gt;0,AB$5&lt;100)),
VLOOKUP(FLOOR(('Final Term'!AB56/AB$5)*100,1),new_transmute,4,FALSE),
VLOOKUP('Final Term'!AB56,new_transmute,4,FALSE)
),
""
)
)
)
)
)
)
)
)
))</f>
        <v/>
      </c>
      <c r="AC56" s="73" t="str">
        <f>IF($B56="","",
IF(AC$5="","",
IF('Final Term'!AC56="",0,
IF(NOT(ISNUMBER('Final Term'!AC56)),"NAN",
IF('Final Term'!AC56&lt;0,"NEG",
IF('Final Term'!AC56&gt;AC$5,"OVER",
IF(AND(AC$5&lt;=100,'Final Term'!AC56&gt;100),"ERR",
IF(Info!$B$4="Non-board program",
IF(OR(AND(AC$5&gt;0,AC$5&gt;100),AND(AC$5&gt;0,AC$5&lt;100)),
VLOOKUP(FLOOR(('Final Term'!AC56/AC$5)*100,1),new_transmute,2,FALSE),
VLOOKUP('Final Term'!AC56,new_transmute,2,FALSE)
),
IF(Info!$B$4="Board program",
IF(OR(AND(AC$5&gt;0,AC$5&gt;100),AND(AC$5&gt;0,AC$5&lt;100)),
VLOOKUP(FLOOR(('Final Term'!AC56/AC$5)*100,1),new_transmute,3,FALSE),
VLOOKUP('Final Term'!AC56,new_transmute,3,FALSE)
),
IF(Info!$B$4="Board program (Medicine)",
IF(OR(AND(AC$5&gt;0,AC$5&gt;100),AND(AC$5&gt;0,AC$5&lt;100)),
VLOOKUP(FLOOR(('Final Term'!AC56/AC$5)*100,1),new_transmute,4,FALSE),
VLOOKUP('Final Term'!AC56,new_transmute,4,FALSE)
),
""
)
)
)
)
)
)
)
)
))</f>
        <v/>
      </c>
      <c r="AD56" s="73" t="str">
        <f>IF($B56="","",
IF(AD$5="","",
IF('Final Term'!AD56="",0,
IF(NOT(ISNUMBER('Final Term'!AD56)),"NAN",
IF('Final Term'!AD56&lt;0,"NEG",
IF('Final Term'!AD56&gt;AD$5,"OVER",
IF(AND(AD$5&lt;=100,'Final Term'!AD56&gt;100),"ERR",
IF(Info!$B$4="Non-board program",
IF(OR(AND(AD$5&gt;0,AD$5&gt;100),AND(AD$5&gt;0,AD$5&lt;100)),
VLOOKUP(FLOOR(('Final Term'!AD56/AD$5)*100,1),new_transmute,2,FALSE),
VLOOKUP('Final Term'!AD56,new_transmute,2,FALSE)
),
IF(Info!$B$4="Board program",
IF(OR(AND(AD$5&gt;0,AD$5&gt;100),AND(AD$5&gt;0,AD$5&lt;100)),
VLOOKUP(FLOOR(('Final Term'!AD56/AD$5)*100,1),new_transmute,3,FALSE),
VLOOKUP('Final Term'!AD56,new_transmute,3,FALSE)
),
IF(Info!$B$4="Board program (Medicine)",
IF(OR(AND(AD$5&gt;0,AD$5&gt;100),AND(AD$5&gt;0,AD$5&lt;100)),
VLOOKUP(FLOOR(('Final Term'!AD56/AD$5)*100,1),new_transmute,4,FALSE),
VLOOKUP('Final Term'!AD56,new_transmute,4,FALSE)
),
""
)
)
)
)
)
)
)
)
))</f>
        <v/>
      </c>
      <c r="AE56" s="58" t="str">
        <f t="shared" si="5"/>
        <v/>
      </c>
      <c r="AF56" s="73" t="str">
        <f>IF($B56="","",
IF(AF$5="","",
IF('Final Term'!AF56="",0,
IF(NOT(ISNUMBER('Final Term'!AF56)),"NAN",
IF('Final Term'!AF56&lt;0,"NEG",
IF('Final Term'!AF56&gt;AF$5,"OVER",
IF(AND(AF$5&lt;=100,'Final Term'!AF56&gt;100),"ERR",
IF(Info!$B$4="Non-board program",
IF(OR(AND(AF$5&gt;0,AF$5&gt;100),AND(AF$5&gt;0,AF$5&lt;100)),
VLOOKUP(FLOOR(('Final Term'!AF56/AF$5)*100,1),new_transmute,2,FALSE),
VLOOKUP('Final Term'!AF56,new_transmute,2,FALSE)
),
IF(Info!$B$4="Board program",
IF(OR(AND(AF$5&gt;0,AF$5&gt;100),AND(AF$5&gt;0,AF$5&lt;100)),
VLOOKUP(FLOOR(('Final Term'!AF56/AF$5)*100,1),new_transmute,3,FALSE),
VLOOKUP('Final Term'!AF56,new_transmute,3,FALSE)
),
IF(Info!$B$4="Board program (Medicine)",
IF(OR(AND(AF$5&gt;0,AF$5&gt;100),AND(AF$5&gt;0,AF$5&lt;100)),
VLOOKUP(FLOOR(('Final Term'!AF56/AF$5)*100,1),new_transmute,4,FALSE),
VLOOKUP('Final Term'!AF56,new_transmute,4,FALSE)
),
""
)
)
)
)
)
)
)
)
))</f>
        <v/>
      </c>
      <c r="AG56" s="73" t="str">
        <f>IF($B56="","",
IF(AG$5="","",
IF('Final Term'!AG56="",0,
IF(NOT(ISNUMBER('Final Term'!AG56)),"NAN",
IF('Final Term'!AG56&lt;0,"NEG",
IF('Final Term'!AG56&gt;AG$5,"OVER",
IF(AND(AG$5&lt;=100,'Final Term'!AG56&gt;100),"ERR",
IF(Info!$B$4="Non-board program",
IF(OR(AND(AG$5&gt;0,AG$5&gt;100),AND(AG$5&gt;0,AG$5&lt;100)),
VLOOKUP(FLOOR(('Final Term'!AG56/AG$5)*100,1),new_transmute,2,FALSE),
VLOOKUP('Final Term'!AG56,new_transmute,2,FALSE)
),
IF(Info!$B$4="Board program",
IF(OR(AND(AG$5&gt;0,AG$5&gt;100),AND(AG$5&gt;0,AG$5&lt;100)),
VLOOKUP(FLOOR(('Final Term'!AG56/AG$5)*100,1),new_transmute,3,FALSE),
VLOOKUP('Final Term'!AG56,new_transmute,3,FALSE)
),
IF(Info!$B$4="Board program (Medicine)",
IF(OR(AND(AG$5&gt;0,AG$5&gt;100),AND(AG$5&gt;0,AG$5&lt;100)),
VLOOKUP(FLOOR(('Final Term'!AG56/AG$5)*100,1),new_transmute,4,FALSE),
VLOOKUP('Final Term'!AG56,new_transmute,4,FALSE)
),
""
)
)
)
)
)
)
)
)
))</f>
        <v/>
      </c>
      <c r="AH56" s="73" t="str">
        <f>IF($B56="","",
IF(AH$5="","",
IF('Final Term'!AH56="",0,
IF(NOT(ISNUMBER('Final Term'!AH56)),"NAN",
IF('Final Term'!AH56&lt;0,"NEG",
IF('Final Term'!AH56&gt;AH$5,"OVER",
IF(AND(AH$5&lt;=100,'Final Term'!AH56&gt;100),"ERR",
IF(Info!$B$4="Non-board program",
IF(OR(AND(AH$5&gt;0,AH$5&gt;100),AND(AH$5&gt;0,AH$5&lt;100)),
VLOOKUP(FLOOR(('Final Term'!AH56/AH$5)*100,1),new_transmute,2,FALSE),
VLOOKUP('Final Term'!AH56,new_transmute,2,FALSE)
),
IF(Info!$B$4="Board program",
IF(OR(AND(AH$5&gt;0,AH$5&gt;100),AND(AH$5&gt;0,AH$5&lt;100)),
VLOOKUP(FLOOR(('Final Term'!AH56/AH$5)*100,1),new_transmute,3,FALSE),
VLOOKUP('Final Term'!AH56,new_transmute,3,FALSE)
),
IF(Info!$B$4="Board program (Medicine)",
IF(OR(AND(AH$5&gt;0,AH$5&gt;100),AND(AH$5&gt;0,AH$5&lt;100)),
VLOOKUP(FLOOR(('Final Term'!AH56/AH$5)*100,1),new_transmute,4,FALSE),
VLOOKUP('Final Term'!AH56,new_transmute,4,FALSE)
),
""
)
)
)
)
)
)
)
)
))</f>
        <v/>
      </c>
      <c r="AI56" s="73" t="str">
        <f>IF($B56="","",
IF(AI$5="","",
IF('Final Term'!AI56="",0,
IF(NOT(ISNUMBER('Final Term'!AI56)),"NAN",
IF('Final Term'!AI56&lt;0,"NEG",
IF('Final Term'!AI56&gt;AI$5,"OVER",
IF(AND(AI$5&lt;=100,'Final Term'!AI56&gt;100),"ERR",
IF(Info!$B$4="Non-board program",
IF(OR(AND(AI$5&gt;0,AI$5&gt;100),AND(AI$5&gt;0,AI$5&lt;100)),
VLOOKUP(FLOOR(('Final Term'!AI56/AI$5)*100,1),new_transmute,2,FALSE),
VLOOKUP('Final Term'!AI56,new_transmute,2,FALSE)
),
IF(Info!$B$4="Board program",
IF(OR(AND(AI$5&gt;0,AI$5&gt;100),AND(AI$5&gt;0,AI$5&lt;100)),
VLOOKUP(FLOOR(('Final Term'!AI56/AI$5)*100,1),new_transmute,3,FALSE),
VLOOKUP('Final Term'!AI56,new_transmute,3,FALSE)
),
IF(Info!$B$4="Board program (Medicine)",
IF(OR(AND(AI$5&gt;0,AI$5&gt;100),AND(AI$5&gt;0,AI$5&lt;100)),
VLOOKUP(FLOOR(('Final Term'!AI56/AI$5)*100,1),new_transmute,4,FALSE),
VLOOKUP('Final Term'!AI56,new_transmute,4,FALSE)
),
""
)
)
)
)
)
)
)
)
))</f>
        <v/>
      </c>
      <c r="AJ56" s="73" t="str">
        <f>IF($B56="","",
IF(AJ$5="","",
IF('Final Term'!AJ56="",0,
IF(NOT(ISNUMBER('Final Term'!AJ56)),"NAN",
IF('Final Term'!AJ56&lt;0,"NEG",
IF('Final Term'!AJ56&gt;AJ$5,"OVER",
IF(AND(AJ$5&lt;=100,'Final Term'!AJ56&gt;100),"ERR",
IF(Info!$B$4="Non-board program",
IF(OR(AND(AJ$5&gt;0,AJ$5&gt;100),AND(AJ$5&gt;0,AJ$5&lt;100)),
VLOOKUP(FLOOR(('Final Term'!AJ56/AJ$5)*100,1),new_transmute,2,FALSE),
VLOOKUP('Final Term'!AJ56,new_transmute,2,FALSE)
),
IF(Info!$B$4="Board program",
IF(OR(AND(AJ$5&gt;0,AJ$5&gt;100),AND(AJ$5&gt;0,AJ$5&lt;100)),
VLOOKUP(FLOOR(('Final Term'!AJ56/AJ$5)*100,1),new_transmute,3,FALSE),
VLOOKUP('Final Term'!AJ56,new_transmute,3,FALSE)
),
IF(Info!$B$4="Board program (Medicine)",
IF(OR(AND(AJ$5&gt;0,AJ$5&gt;100),AND(AJ$5&gt;0,AJ$5&lt;100)),
VLOOKUP(FLOOR(('Final Term'!AJ56/AJ$5)*100,1),new_transmute,4,FALSE),
VLOOKUP('Final Term'!AJ56,new_transmute,4,FALSE)
),
""
)
)
)
)
)
)
)
)
))</f>
        <v/>
      </c>
      <c r="AK56" s="59" t="str">
        <f t="shared" si="6"/>
        <v/>
      </c>
      <c r="AL56" s="60" t="str">
        <f>IF(B56="", "",
    IF(OR(M56="OVER", S56="OVER", Y56="OVER", AE56="OVER", AK56="OVER"),
        "OVER",
        IF(Info!$B$4="Non-board program",
            VLOOKUP(IFERROR(FLOOR(SUM((M56*$M$4), (S56*$S$4), (Y56*$Y$4), (AE56*$AE$4), (AK56*$AK$4)) * (100 / 60), 1), 0), new_transmute, 2, FALSE),
            IF(Info!$B$4="Board program",
                VLOOKUP(IFERROR(FLOOR(SUM((M56*$M$4), (S56*$S$4), (Y56*$Y$4), (AE56*$AE$4), (AK56*$AK$4)) * (100 / 60), 1), 0), new_transmute, 3, FALSE),
                IF(Info!$B$4="Board program (Medicine)",
                    VLOOKUP(IFERROR(FLOOR(SUM((M56*$M$4), (S56*$S$4), (Y56*$Y$4), (AE56*$AE$4), (AK56*$AK$4)) * (100 / 60), 1), 0), new_transmute, 4, FALSE),
                    ""
                )
            )
        )
    )
)</f>
        <v/>
      </c>
      <c r="AM56" s="73" t="str">
        <f>IF($B56="","",
IF(AM$5="","",
IF('Final Term'!AM56="",0,
IF(NOT(ISNUMBER('Final Term'!AM56)),"NAN",
IF('Final Term'!AM56&lt;0,"NEG",
IF('Final Term'!AM56&gt;AM$5,"OVER",
IF(AND(AM$5&lt;=100,'Final Term'!AM56&gt;100),"ERR",
IF(Info!$B$4="Non-board program",
IF(OR(AND(AM$5&gt;0,AM$5&gt;100),AND(AM$5&gt;0,AM$5&lt;100)),
VLOOKUP(FLOOR(('Final Term'!AM56/AM$5)*100,1),new_transmute,2,FALSE),
VLOOKUP('Final Term'!AM56,new_transmute,2,FALSE)
),
IF(Info!$B$4="Board program",
IF(OR(AND(AM$5&gt;0,AM$5&gt;100),AND(AM$5&gt;0,AM$5&lt;100)),
VLOOKUP(FLOOR(('Final Term'!AM56/AM$5)*100,1),new_transmute,3,FALSE),
VLOOKUP('Final Term'!AM56,new_transmute,3,FALSE)
),
IF(Info!$B$4="Board program (Medicine)",
IF(OR(AND(AM$5&gt;0,AM$5&gt;100),AND(AM$5&gt;0,AM$5&lt;100)),
VLOOKUP(FLOOR(('Final Term'!AM56/AM$5)*100,1),new_transmute,4,FALSE),
VLOOKUP('Final Term'!AM56,new_transmute,4,FALSE)
),
""
)
)
)
)
)
)
)
)
))</f>
        <v/>
      </c>
      <c r="AN56" s="73" t="str">
        <f>IF($B56="","",
IF(AN$5="","",
IF('Final Term'!AN56="",0,
IF(NOT(ISNUMBER('Final Term'!AN56)),"NAN",
IF('Final Term'!AN56&lt;0,"NEG",
IF('Final Term'!AN56&gt;AN$5,"OVER",
IF(AND(AN$5&lt;=100,'Final Term'!AN56&gt;100),"ERR",
IF(Info!$B$4="Non-board program",
IF(OR(AND(AN$5&gt;0,AN$5&gt;100),AND(AN$5&gt;0,AN$5&lt;100)),
VLOOKUP(FLOOR(('Final Term'!AN56/AN$5)*100,1),new_transmute,2,FALSE),
VLOOKUP('Final Term'!AN56,new_transmute,2,FALSE)
),
IF(Info!$B$4="Board program",
IF(OR(AND(AN$5&gt;0,AN$5&gt;100),AND(AN$5&gt;0,AN$5&lt;100)),
VLOOKUP(FLOOR(('Final Term'!AN56/AN$5)*100,1),new_transmute,3,FALSE),
VLOOKUP('Final Term'!AN56,new_transmute,3,FALSE)
),
IF(Info!$B$4="Board program (Medicine)",
IF(OR(AND(AN$5&gt;0,AN$5&gt;100),AND(AN$5&gt;0,AN$5&lt;100)),
VLOOKUP(FLOOR(('Final Term'!AN56/AN$5)*100,1),new_transmute,4,FALSE),
VLOOKUP('Final Term'!AN56,new_transmute,4,FALSE)
),
""
)
)
)
)
)
)
)
)
))</f>
        <v/>
      </c>
      <c r="AO56" s="73" t="str">
        <f>IF($B56="","",
IF(AO$5="","",
IF('Final Term'!AO56="",0,
IF(NOT(ISNUMBER('Final Term'!AO56)),"NAN",
IF('Final Term'!AO56&lt;0,"NEG",
IF('Final Term'!AO56&gt;AO$5,"OVER",
IF(AND(AO$5&lt;=100,'Final Term'!AO56&gt;100),"ERR",
IF(Info!$B$4="Non-board program",
IF(OR(AND(AO$5&gt;0,AO$5&gt;100),AND(AO$5&gt;0,AO$5&lt;100)),
VLOOKUP(FLOOR(('Final Term'!AO56/AO$5)*100,1),new_transmute,2,FALSE),
VLOOKUP('Final Term'!AO56,new_transmute,2,FALSE)
),
IF(Info!$B$4="Board program",
IF(OR(AND(AO$5&gt;0,AO$5&gt;100),AND(AO$5&gt;0,AO$5&lt;100)),
VLOOKUP(FLOOR(('Final Term'!AO56/AO$5)*100,1),new_transmute,3,FALSE),
VLOOKUP('Final Term'!AO56,new_transmute,3,FALSE)
),
IF(Info!$B$4="Board program (Medicine)",
IF(OR(AND(AO$5&gt;0,AO$5&gt;100),AND(AO$5&gt;0,AO$5&lt;100)),
VLOOKUP(FLOOR(('Final Term'!AO56/AO$5)*100,1),new_transmute,4,FALSE),
VLOOKUP('Final Term'!AO56,new_transmute,4,FALSE)
),
""
)
)
)
)
)
)
)
)
))</f>
        <v/>
      </c>
      <c r="AP56" s="73" t="str">
        <f>IF($B56="","",
IF(AP$5="","",
IF('Final Term'!AP56="",0,
IF(NOT(ISNUMBER('Final Term'!AP56)),"NAN",
IF('Final Term'!AP56&lt;0,"NEG",
IF('Final Term'!AP56&gt;AP$5,"OVER",
IF(AND(AP$5&lt;=100,'Final Term'!AP56&gt;100),"ERR",
IF(Info!$B$4="Non-board program",
IF(OR(AND(AP$5&gt;0,AP$5&gt;100),AND(AP$5&gt;0,AP$5&lt;100)),
VLOOKUP(FLOOR(('Final Term'!AP56/AP$5)*100,1),new_transmute,2,FALSE),
VLOOKUP('Final Term'!AP56,new_transmute,2,FALSE)
),
IF(Info!$B$4="Board program",
IF(OR(AND(AP$5&gt;0,AP$5&gt;100),AND(AP$5&gt;0,AP$5&lt;100)),
VLOOKUP(FLOOR(('Final Term'!AP56/AP$5)*100,1),new_transmute,3,FALSE),
VLOOKUP('Final Term'!AP56,new_transmute,3,FALSE)
),
IF(Info!$B$4="Board program (Medicine)",
IF(OR(AND(AP$5&gt;0,AP$5&gt;100),AND(AP$5&gt;0,AP$5&lt;100)),
VLOOKUP(FLOOR(('Final Term'!AP56/AP$5)*100,1),new_transmute,4,FALSE),
VLOOKUP('Final Term'!AP56,new_transmute,4,FALSE)
),
""
)
)
)
)
)
)
)
)
))</f>
        <v/>
      </c>
      <c r="AQ56" s="61" t="str">
        <f t="shared" si="7"/>
        <v/>
      </c>
      <c r="AR56" s="48" t="str">
        <f>IF('Final Term'!AR56="","",'Final Term'!AR56)</f>
        <v/>
      </c>
      <c r="AS56" s="165" t="str">
        <f t="shared" si="8"/>
        <v/>
      </c>
      <c r="AT56" s="14" t="str">
        <f t="shared" si="9"/>
        <v/>
      </c>
      <c r="AU56" s="13" t="str">
        <f>IF(B56="","",VLOOKUP(AT56,'New Grade Equivalent'!$B$3:$C$47,2,FALSE))</f>
        <v/>
      </c>
    </row>
    <row r="57" spans="1:47" x14ac:dyDescent="0.25">
      <c r="A57" s="8">
        <v>52</v>
      </c>
      <c r="B57" s="2" t="str">
        <f>IF('Student List'!C61="","",UPPER(LEFT('Student List'!C61,FIND(",",'Student List'!C61)-1)))</f>
        <v/>
      </c>
      <c r="C57" s="12" t="str">
        <f>IF('Student List'!C61="","",PROPER(MID('Student List'!C61, FIND(",", 'Student List'!C61) + 2, LEN('Student List'!C61) - FIND(",", 'Student List'!C61) - 1)))</f>
        <v/>
      </c>
      <c r="D57" s="127" t="str">
        <f>IF('Final Term'!D57="","",'Final Term'!D57)</f>
        <v/>
      </c>
      <c r="E57" s="8" t="str">
        <f>IF(MidCom!E57="FA", "FA",
    IF(MidCom!E57="DRP", "DRP",
        IF(MidCom!E57="WF", "WF",
            IF(D57="Yes", "INC",
               IF((SUM('MT Attendance'!AW55) / 3 + SUM('MT Attendance'!AY55) + SUM('FT Attendance'!AW55) / 3 + SUM('FT Attendance'!AY55)) &gt;= 0.2 * (SUMPRODUCT(--(ISTEXT('MT Attendance'!$C$2:$AU$2))) + SUMPRODUCT(--(ISTEXT('FT Attendance'!$C$2:$AU$2)))), "FA",
                   MidCom!E57
                )
            )
        )
    )
)</f>
        <v/>
      </c>
      <c r="F57" s="73" t="str">
        <f>IF($B57="","",
IF(F$5="","",
IF('Final Term'!F57="",0,
IF(NOT(ISNUMBER('Final Term'!F57)),"NAN",
IF('Final Term'!F57&lt;0,"NEG",
IF('Final Term'!F57&gt;F$5,"OVER",
IF(AND(F$5&lt;=100,'Final Term'!F57&gt;100),"ERR",
IF(Info!$B$4="Non-board program",
IF(OR(AND(F$5&gt;0,F$5&gt;100),AND(F$5&gt;0,F$5&lt;100)),
VLOOKUP(FLOOR(('Final Term'!F57/F$5)*100,1),new_transmute,2,FALSE),
VLOOKUP('Final Term'!F57,new_transmute,2,FALSE)
),
IF(Info!$B$4="Board program",
IF(OR(AND(F$5&gt;0,F$5&gt;100),AND(F$5&gt;0,F$5&lt;100)),
VLOOKUP(FLOOR(('Final Term'!F57/F$5)*100,1),new_transmute,3,FALSE),
VLOOKUP('Final Term'!F57,new_transmute,3,FALSE)
),
IF(Info!$B$4="Board program (Medicine)",
IF(OR(AND(F$5&gt;0,F$5&gt;100),AND(F$5&gt;0,F$5&lt;100)),
VLOOKUP(FLOOR(('Final Term'!F57/F$5)*100,1),new_transmute,4,FALSE),
VLOOKUP('Final Term'!F57,new_transmute,4,FALSE)
),
""
)
)
)
)
)
)
)
)
))</f>
        <v/>
      </c>
      <c r="G57" s="57" t="str">
        <f t="shared" si="1"/>
        <v/>
      </c>
      <c r="H57" s="73" t="str">
        <f>IF($B57="","",
IF(H$5="","",
IF('Final Term'!H57="",0,
IF(NOT(ISNUMBER('Final Term'!H57)),"NAN",
IF('Final Term'!H57&lt;0,"NEG",
IF('Final Term'!H57&gt;H$5,"OVER",
IF(AND(H$5&lt;=100,'Final Term'!H57&gt;100),"ERR",
IF(Info!$B$4="Non-board program",
IF(OR(AND(H$5&gt;0,H$5&gt;100),AND(H$5&gt;0,H$5&lt;100)),
VLOOKUP(FLOOR(('Final Term'!H57/H$5)*100,1),new_transmute,2,FALSE),
VLOOKUP('Final Term'!H57,new_transmute,2,FALSE)
),
IF(Info!$B$4="Board program",
IF(OR(AND(H$5&gt;0,H$5&gt;100),AND(H$5&gt;0,H$5&lt;100)),
VLOOKUP(FLOOR(('Final Term'!H57/H$5)*100,1),new_transmute,3,FALSE),
VLOOKUP('Final Term'!H57,new_transmute,3,FALSE)
),
IF(Info!$B$4="Board program (Medicine)",
IF(OR(AND(H$5&gt;0,H$5&gt;100),AND(H$5&gt;0,H$5&lt;100)),
VLOOKUP(FLOOR(('Final Term'!H57/H$5)*100,1),new_transmute,4,FALSE),
VLOOKUP('Final Term'!H57,new_transmute,4,FALSE)
),
""
)
)
)
)
)
)
)
)
))</f>
        <v/>
      </c>
      <c r="I57" s="73" t="str">
        <f>IF($B57="","",
IF(I$5="","",
IF('Final Term'!I57="",0,
IF(NOT(ISNUMBER('Final Term'!I57)),"NAN",
IF('Final Term'!I57&lt;0,"NEG",
IF('Final Term'!I57&gt;I$5,"OVER",
IF(AND(I$5&lt;=100,'Final Term'!I57&gt;100),"ERR",
IF(Info!$B$4="Non-board program",
IF(OR(AND(I$5&gt;0,I$5&gt;100),AND(I$5&gt;0,I$5&lt;100)),
VLOOKUP(FLOOR(('Final Term'!I57/I$5)*100,1),new_transmute,2,FALSE),
VLOOKUP('Final Term'!I57,new_transmute,2,FALSE)
),
IF(Info!$B$4="Board program",
IF(OR(AND(I$5&gt;0,I$5&gt;100),AND(I$5&gt;0,I$5&lt;100)),
VLOOKUP(FLOOR(('Final Term'!I57/I$5)*100,1),new_transmute,3,FALSE),
VLOOKUP('Final Term'!I57,new_transmute,3,FALSE)
),
IF(Info!$B$4="Board program (Medicine)",
IF(OR(AND(I$5&gt;0,I$5&gt;100),AND(I$5&gt;0,I$5&lt;100)),
VLOOKUP(FLOOR(('Final Term'!I57/I$5)*100,1),new_transmute,4,FALSE),
VLOOKUP('Final Term'!I57,new_transmute,4,FALSE)
),
""
)
)
)
)
)
)
)
)
))</f>
        <v/>
      </c>
      <c r="J57" s="73" t="str">
        <f>IF($B57="","",
IF(J$5="","",
IF('Final Term'!J57="",0,
IF(NOT(ISNUMBER('Final Term'!J57)),"NAN",
IF('Final Term'!J57&lt;0,"NEG",
IF('Final Term'!J57&gt;J$5,"OVER",
IF(AND(J$5&lt;=100,'Final Term'!J57&gt;100),"ERR",
IF(Info!$B$4="Non-board program",
IF(OR(AND(J$5&gt;0,J$5&gt;100),AND(J$5&gt;0,J$5&lt;100)),
VLOOKUP(FLOOR(('Final Term'!J57/J$5)*100,1),new_transmute,2,FALSE),
VLOOKUP('Final Term'!J57,new_transmute,2,FALSE)
),
IF(Info!$B$4="Board program",
IF(OR(AND(J$5&gt;0,J$5&gt;100),AND(J$5&gt;0,J$5&lt;100)),
VLOOKUP(FLOOR(('Final Term'!J57/J$5)*100,1),new_transmute,3,FALSE),
VLOOKUP('Final Term'!J57,new_transmute,3,FALSE)
),
IF(Info!$B$4="Board program (Medicine)",
IF(OR(AND(J$5&gt;0,J$5&gt;100),AND(J$5&gt;0,J$5&lt;100)),
VLOOKUP(FLOOR(('Final Term'!J57/J$5)*100,1),new_transmute,4,FALSE),
VLOOKUP('Final Term'!J57,new_transmute,4,FALSE)
),
""
)
)
)
)
)
)
)
)
))</f>
        <v/>
      </c>
      <c r="K57" s="73" t="str">
        <f>IF($B57="","",
IF(K$5="","",
IF('Final Term'!K57="",0,
IF(NOT(ISNUMBER('Final Term'!K57)),"NAN",
IF('Final Term'!K57&lt;0,"NEG",
IF('Final Term'!K57&gt;K$5,"OVER",
IF(AND(K$5&lt;=100,'Final Term'!K57&gt;100),"ERR",
IF(Info!$B$4="Non-board program",
IF(OR(AND(K$5&gt;0,K$5&gt;100),AND(K$5&gt;0,K$5&lt;100)),
VLOOKUP(FLOOR(('Final Term'!K57/K$5)*100,1),new_transmute,2,FALSE),
VLOOKUP('Final Term'!K57,new_transmute,2,FALSE)
),
IF(Info!$B$4="Board program",
IF(OR(AND(K$5&gt;0,K$5&gt;100),AND(K$5&gt;0,K$5&lt;100)),
VLOOKUP(FLOOR(('Final Term'!K57/K$5)*100,1),new_transmute,3,FALSE),
VLOOKUP('Final Term'!K57,new_transmute,3,FALSE)
),
IF(Info!$B$4="Board program (Medicine)",
IF(OR(AND(K$5&gt;0,K$5&gt;100),AND(K$5&gt;0,K$5&lt;100)),
VLOOKUP(FLOOR(('Final Term'!K57/K$5)*100,1),new_transmute,4,FALSE),
VLOOKUP('Final Term'!K57,new_transmute,4,FALSE)
),
""
)
)
)
)
)
)
)
)
))</f>
        <v/>
      </c>
      <c r="L57" s="73" t="str">
        <f>IF($B57="","",
IF(L$5="","",
IF('Final Term'!L57="",0,
IF(NOT(ISNUMBER('Final Term'!L57)),"NAN",
IF('Final Term'!L57&lt;0,"NEG",
IF('Final Term'!L57&gt;L$5,"OVER",
IF(AND(L$5&lt;=100,'Final Term'!L57&gt;100),"ERR",
IF(Info!$B$4="Non-board program",
IF(OR(AND(L$5&gt;0,L$5&gt;100),AND(L$5&gt;0,L$5&lt;100)),
VLOOKUP(FLOOR(('Final Term'!L57/L$5)*100,1),new_transmute,2,FALSE),
VLOOKUP('Final Term'!L57,new_transmute,2,FALSE)
),
IF(Info!$B$4="Board program",
IF(OR(AND(L$5&gt;0,L$5&gt;100),AND(L$5&gt;0,L$5&lt;100)),
VLOOKUP(FLOOR(('Final Term'!L57/L$5)*100,1),new_transmute,3,FALSE),
VLOOKUP('Final Term'!L57,new_transmute,3,FALSE)
),
IF(Info!$B$4="Board program (Medicine)",
IF(OR(AND(L$5&gt;0,L$5&gt;100),AND(L$5&gt;0,L$5&lt;100)),
VLOOKUP(FLOOR(('Final Term'!L57/L$5)*100,1),new_transmute,4,FALSE),
VLOOKUP('Final Term'!L57,new_transmute,4,FALSE)
),
""
)
)
)
)
)
)
)
)
))</f>
        <v/>
      </c>
      <c r="M57" s="111" t="str">
        <f t="shared" si="2"/>
        <v/>
      </c>
      <c r="N57" s="73" t="str">
        <f>IF($B57="","",
IF(N$5="","",
IF('Final Term'!N57="",0,
IF(NOT(ISNUMBER('Final Term'!N57)),"NAN",
IF('Final Term'!N57&lt;0,"NEG",
IF('Final Term'!N57&gt;N$5,"OVER",
IF(AND(N$5&lt;=100,'Final Term'!N57&gt;100),"ERR",
IF(Info!$B$4="Non-board program",
IF(OR(AND(N$5&gt;0,N$5&gt;100),AND(N$5&gt;0,N$5&lt;100)),
VLOOKUP(FLOOR(('Final Term'!N57/N$5)*100,1),new_transmute,2,FALSE),
VLOOKUP('Final Term'!N57,new_transmute,2,FALSE)
),
IF(Info!$B$4="Board program",
IF(OR(AND(N$5&gt;0,N$5&gt;100),AND(N$5&gt;0,N$5&lt;100)),
VLOOKUP(FLOOR(('Final Term'!N57/N$5)*100,1),new_transmute,3,FALSE),
VLOOKUP('Final Term'!N57,new_transmute,3,FALSE)
),
IF(Info!$B$4="Board program (Medicine)",
IF(OR(AND(N$5&gt;0,N$5&gt;100),AND(N$5&gt;0,N$5&lt;100)),
VLOOKUP(FLOOR(('Final Term'!N57/N$5)*100,1),new_transmute,4,FALSE),
VLOOKUP('Final Term'!N57,new_transmute,4,FALSE)
),
""
)
)
)
)
)
)
)
)
))</f>
        <v/>
      </c>
      <c r="O57" s="73" t="str">
        <f>IF($B57="","",
IF(O$5="","",
IF('Final Term'!O57="",0,
IF(NOT(ISNUMBER('Final Term'!O57)),"NAN",
IF('Final Term'!O57&lt;0,"NEG",
IF('Final Term'!O57&gt;O$5,"OVER",
IF(AND(O$5&lt;=100,'Final Term'!O57&gt;100),"ERR",
IF(Info!$B$4="Non-board program",
IF(OR(AND(O$5&gt;0,O$5&gt;100),AND(O$5&gt;0,O$5&lt;100)),
VLOOKUP(FLOOR(('Final Term'!O57/O$5)*100,1),new_transmute,2,FALSE),
VLOOKUP('Final Term'!O57,new_transmute,2,FALSE)
),
IF(Info!$B$4="Board program",
IF(OR(AND(O$5&gt;0,O$5&gt;100),AND(O$5&gt;0,O$5&lt;100)),
VLOOKUP(FLOOR(('Final Term'!O57/O$5)*100,1),new_transmute,3,FALSE),
VLOOKUP('Final Term'!O57,new_transmute,3,FALSE)
),
IF(Info!$B$4="Board program (Medicine)",
IF(OR(AND(O$5&gt;0,O$5&gt;100),AND(O$5&gt;0,O$5&lt;100)),
VLOOKUP(FLOOR(('Final Term'!O57/O$5)*100,1),new_transmute,4,FALSE),
VLOOKUP('Final Term'!O57,new_transmute,4,FALSE)
),
""
)
)
)
)
)
)
)
)
))</f>
        <v/>
      </c>
      <c r="P57" s="73" t="str">
        <f>IF($B57="","",
IF(P$5="","",
IF('Final Term'!P57="",0,
IF(NOT(ISNUMBER('Final Term'!P57)),"NAN",
IF('Final Term'!P57&lt;0,"NEG",
IF('Final Term'!P57&gt;P$5,"OVER",
IF(AND(P$5&lt;=100,'Final Term'!P57&gt;100),"ERR",
IF(Info!$B$4="Non-board program",
IF(OR(AND(P$5&gt;0,P$5&gt;100),AND(P$5&gt;0,P$5&lt;100)),
VLOOKUP(FLOOR(('Final Term'!P57/P$5)*100,1),new_transmute,2,FALSE),
VLOOKUP('Final Term'!P57,new_transmute,2,FALSE)
),
IF(Info!$B$4="Board program",
IF(OR(AND(P$5&gt;0,P$5&gt;100),AND(P$5&gt;0,P$5&lt;100)),
VLOOKUP(FLOOR(('Final Term'!P57/P$5)*100,1),new_transmute,3,FALSE),
VLOOKUP('Final Term'!P57,new_transmute,3,FALSE)
),
IF(Info!$B$4="Board program (Medicine)",
IF(OR(AND(P$5&gt;0,P$5&gt;100),AND(P$5&gt;0,P$5&lt;100)),
VLOOKUP(FLOOR(('Final Term'!P57/P$5)*100,1),new_transmute,4,FALSE),
VLOOKUP('Final Term'!P57,new_transmute,4,FALSE)
),
""
)
)
)
)
)
)
)
)
))</f>
        <v/>
      </c>
      <c r="Q57" s="73" t="str">
        <f>IF($B57="","",
IF(Q$5="","",
IF('Final Term'!Q57="",0,
IF(NOT(ISNUMBER('Final Term'!Q57)),"NAN",
IF('Final Term'!Q57&lt;0,"NEG",
IF('Final Term'!Q57&gt;Q$5,"OVER",
IF(AND(Q$5&lt;=100,'Final Term'!Q57&gt;100),"ERR",
IF(Info!$B$4="Non-board program",
IF(OR(AND(Q$5&gt;0,Q$5&gt;100),AND(Q$5&gt;0,Q$5&lt;100)),
VLOOKUP(FLOOR(('Final Term'!Q57/Q$5)*100,1),new_transmute,2,FALSE),
VLOOKUP('Final Term'!Q57,new_transmute,2,FALSE)
),
IF(Info!$B$4="Board program",
IF(OR(AND(Q$5&gt;0,Q$5&gt;100),AND(Q$5&gt;0,Q$5&lt;100)),
VLOOKUP(FLOOR(('Final Term'!Q57/Q$5)*100,1),new_transmute,3,FALSE),
VLOOKUP('Final Term'!Q57,new_transmute,3,FALSE)
),
IF(Info!$B$4="Board program (Medicine)",
IF(OR(AND(Q$5&gt;0,Q$5&gt;100),AND(Q$5&gt;0,Q$5&lt;100)),
VLOOKUP(FLOOR(('Final Term'!Q57/Q$5)*100,1),new_transmute,4,FALSE),
VLOOKUP('Final Term'!Q57,new_transmute,4,FALSE)
),
""
)
)
)
)
)
)
)
)
))</f>
        <v/>
      </c>
      <c r="R57" s="73" t="str">
        <f>IF($B57="","",
IF(R$5="","",
IF('Final Term'!R57="",0,
IF(NOT(ISNUMBER('Final Term'!R57)),"NAN",
IF('Final Term'!R57&lt;0,"NEG",
IF('Final Term'!R57&gt;R$5,"OVER",
IF(AND(R$5&lt;=100,'Final Term'!R57&gt;100),"ERR",
IF(Info!$B$4="Non-board program",
IF(OR(AND(R$5&gt;0,R$5&gt;100),AND(R$5&gt;0,R$5&lt;100)),
VLOOKUP(FLOOR(('Final Term'!R57/R$5)*100,1),new_transmute,2,FALSE),
VLOOKUP('Final Term'!R57,new_transmute,2,FALSE)
),
IF(Info!$B$4="Board program",
IF(OR(AND(R$5&gt;0,R$5&gt;100),AND(R$5&gt;0,R$5&lt;100)),
VLOOKUP(FLOOR(('Final Term'!R57/R$5)*100,1),new_transmute,3,FALSE),
VLOOKUP('Final Term'!R57,new_transmute,3,FALSE)
),
IF(Info!$B$4="Board program (Medicine)",
IF(OR(AND(R$5&gt;0,R$5&gt;100),AND(R$5&gt;0,R$5&lt;100)),
VLOOKUP(FLOOR(('Final Term'!R57/R$5)*100,1),new_transmute,4,FALSE),
VLOOKUP('Final Term'!R57,new_transmute,4,FALSE)
),
""
)
)
)
)
)
)
)
)
))</f>
        <v/>
      </c>
      <c r="S57" s="115" t="str">
        <f t="shared" si="3"/>
        <v/>
      </c>
      <c r="T57" s="73" t="str">
        <f>IF($B57="","",
IF(T$5="","",
IF('Final Term'!T57="",0,
IF(NOT(ISNUMBER('Final Term'!T57)),"NAN",
IF('Final Term'!T57&lt;0,"NEG",
IF('Final Term'!T57&gt;T$5,"OVER",
IF(AND(T$5&lt;=100,'Final Term'!T57&gt;100),"ERR",
IF(Info!$B$4="Non-board program",
IF(OR(AND(T$5&gt;0,T$5&gt;100),AND(T$5&gt;0,T$5&lt;100)),
VLOOKUP(FLOOR(('Final Term'!T57/T$5)*100,1),new_transmute,2,FALSE),
VLOOKUP('Final Term'!T57,new_transmute,2,FALSE)
),
IF(Info!$B$4="Board program",
IF(OR(AND(T$5&gt;0,T$5&gt;100),AND(T$5&gt;0,T$5&lt;100)),
VLOOKUP(FLOOR(('Final Term'!T57/T$5)*100,1),new_transmute,3,FALSE),
VLOOKUP('Final Term'!T57,new_transmute,3,FALSE)
),
IF(Info!$B$4="Board program (Medicine)",
IF(OR(AND(T$5&gt;0,T$5&gt;100),AND(T$5&gt;0,T$5&lt;100)),
VLOOKUP(FLOOR(('Final Term'!T57/T$5)*100,1),new_transmute,4,FALSE),
VLOOKUP('Final Term'!T57,new_transmute,4,FALSE)
),
""
)
)
)
)
)
)
)
)
))</f>
        <v/>
      </c>
      <c r="U57" s="73" t="str">
        <f>IF($B57="","",
IF(U$5="","",
IF('Final Term'!U57="",0,
IF(NOT(ISNUMBER('Final Term'!U57)),"NAN",
IF('Final Term'!U57&lt;0,"NEG",
IF('Final Term'!U57&gt;U$5,"OVER",
IF(AND(U$5&lt;=100,'Final Term'!U57&gt;100),"ERR",
IF(Info!$B$4="Non-board program",
IF(OR(AND(U$5&gt;0,U$5&gt;100),AND(U$5&gt;0,U$5&lt;100)),
VLOOKUP(FLOOR(('Final Term'!U57/U$5)*100,1),new_transmute,2,FALSE),
VLOOKUP('Final Term'!U57,new_transmute,2,FALSE)
),
IF(Info!$B$4="Board program",
IF(OR(AND(U$5&gt;0,U$5&gt;100),AND(U$5&gt;0,U$5&lt;100)),
VLOOKUP(FLOOR(('Final Term'!U57/U$5)*100,1),new_transmute,3,FALSE),
VLOOKUP('Final Term'!U57,new_transmute,3,FALSE)
),
IF(Info!$B$4="Board program (Medicine)",
IF(OR(AND(U$5&gt;0,U$5&gt;100),AND(U$5&gt;0,U$5&lt;100)),
VLOOKUP(FLOOR(('Final Term'!U57/U$5)*100,1),new_transmute,4,FALSE),
VLOOKUP('Final Term'!U57,new_transmute,4,FALSE)
),
""
)
)
)
)
)
)
)
)
))</f>
        <v/>
      </c>
      <c r="V57" s="73" t="str">
        <f>IF($B57="","",
IF(V$5="","",
IF('Final Term'!V57="",0,
IF(NOT(ISNUMBER('Final Term'!V57)),"NAN",
IF('Final Term'!V57&lt;0,"NEG",
IF('Final Term'!V57&gt;V$5,"OVER",
IF(AND(V$5&lt;=100,'Final Term'!V57&gt;100),"ERR",
IF(Info!$B$4="Non-board program",
IF(OR(AND(V$5&gt;0,V$5&gt;100),AND(V$5&gt;0,V$5&lt;100)),
VLOOKUP(FLOOR(('Final Term'!V57/V$5)*100,1),new_transmute,2,FALSE),
VLOOKUP('Final Term'!V57,new_transmute,2,FALSE)
),
IF(Info!$B$4="Board program",
IF(OR(AND(V$5&gt;0,V$5&gt;100),AND(V$5&gt;0,V$5&lt;100)),
VLOOKUP(FLOOR(('Final Term'!V57/V$5)*100,1),new_transmute,3,FALSE),
VLOOKUP('Final Term'!V57,new_transmute,3,FALSE)
),
IF(Info!$B$4="Board program (Medicine)",
IF(OR(AND(V$5&gt;0,V$5&gt;100),AND(V$5&gt;0,V$5&lt;100)),
VLOOKUP(FLOOR(('Final Term'!V57/V$5)*100,1),new_transmute,4,FALSE),
VLOOKUP('Final Term'!V57,new_transmute,4,FALSE)
),
""
)
)
)
)
)
)
)
)
))</f>
        <v/>
      </c>
      <c r="W57" s="73" t="str">
        <f>IF($B57="","",
IF(W$5="","",
IF('Final Term'!W57="",0,
IF(NOT(ISNUMBER('Final Term'!W57)),"NAN",
IF('Final Term'!W57&lt;0,"NEG",
IF('Final Term'!W57&gt;W$5,"OVER",
IF(AND(W$5&lt;=100,'Final Term'!W57&gt;100),"ERR",
IF(Info!$B$4="Non-board program",
IF(OR(AND(W$5&gt;0,W$5&gt;100),AND(W$5&gt;0,W$5&lt;100)),
VLOOKUP(FLOOR(('Final Term'!W57/W$5)*100,1),new_transmute,2,FALSE),
VLOOKUP('Final Term'!W57,new_transmute,2,FALSE)
),
IF(Info!$B$4="Board program",
IF(OR(AND(W$5&gt;0,W$5&gt;100),AND(W$5&gt;0,W$5&lt;100)),
VLOOKUP(FLOOR(('Final Term'!W57/W$5)*100,1),new_transmute,3,FALSE),
VLOOKUP('Final Term'!W57,new_transmute,3,FALSE)
),
IF(Info!$B$4="Board program (Medicine)",
IF(OR(AND(W$5&gt;0,W$5&gt;100),AND(W$5&gt;0,W$5&lt;100)),
VLOOKUP(FLOOR(('Final Term'!W57/W$5)*100,1),new_transmute,4,FALSE),
VLOOKUP('Final Term'!W57,new_transmute,4,FALSE)
),
""
)
)
)
)
)
)
)
)
))</f>
        <v/>
      </c>
      <c r="X57" s="73" t="str">
        <f>IF($B57="","",
IF(X$5="","",
IF('Final Term'!X57="",0,
IF(NOT(ISNUMBER('Final Term'!X57)),"NAN",
IF('Final Term'!X57&lt;0,"NEG",
IF('Final Term'!X57&gt;X$5,"OVER",
IF(AND(X$5&lt;=100,'Final Term'!X57&gt;100),"ERR",
IF(Info!$B$4="Non-board program",
IF(OR(AND(X$5&gt;0,X$5&gt;100),AND(X$5&gt;0,X$5&lt;100)),
VLOOKUP(FLOOR(('Final Term'!X57/X$5)*100,1),new_transmute,2,FALSE),
VLOOKUP('Final Term'!X57,new_transmute,2,FALSE)
),
IF(Info!$B$4="Board program",
IF(OR(AND(X$5&gt;0,X$5&gt;100),AND(X$5&gt;0,X$5&lt;100)),
VLOOKUP(FLOOR(('Final Term'!X57/X$5)*100,1),new_transmute,3,FALSE),
VLOOKUP('Final Term'!X57,new_transmute,3,FALSE)
),
IF(Info!$B$4="Board program (Medicine)",
IF(OR(AND(X$5&gt;0,X$5&gt;100),AND(X$5&gt;0,X$5&lt;100)),
VLOOKUP(FLOOR(('Final Term'!X57/X$5)*100,1),new_transmute,4,FALSE),
VLOOKUP('Final Term'!X57,new_transmute,4,FALSE)
),
""
)
)
)
)
)
)
)
)
))</f>
        <v/>
      </c>
      <c r="Y57" s="112" t="str">
        <f t="shared" si="4"/>
        <v/>
      </c>
      <c r="Z57" s="73" t="str">
        <f>IF($B57="","",
IF(Z$5="","",
IF('Final Term'!Z57="",0,
IF(NOT(ISNUMBER('Final Term'!Z57)),"NAN",
IF('Final Term'!Z57&lt;0,"NEG",
IF('Final Term'!Z57&gt;Z$5,"OVER",
IF(AND(Z$5&lt;=100,'Final Term'!Z57&gt;100),"ERR",
IF(Info!$B$4="Non-board program",
IF(OR(AND(Z$5&gt;0,Z$5&gt;100),AND(Z$5&gt;0,Z$5&lt;100)),
VLOOKUP(FLOOR(('Final Term'!Z57/Z$5)*100,1),new_transmute,2,FALSE),
VLOOKUP('Final Term'!Z57,new_transmute,2,FALSE)
),
IF(Info!$B$4="Board program",
IF(OR(AND(Z$5&gt;0,Z$5&gt;100),AND(Z$5&gt;0,Z$5&lt;100)),
VLOOKUP(FLOOR(('Final Term'!Z57/Z$5)*100,1),new_transmute,3,FALSE),
VLOOKUP('Final Term'!Z57,new_transmute,3,FALSE)
),
IF(Info!$B$4="Board program (Medicine)",
IF(OR(AND(Z$5&gt;0,Z$5&gt;100),AND(Z$5&gt;0,Z$5&lt;100)),
VLOOKUP(FLOOR(('Final Term'!Z57/Z$5)*100,1),new_transmute,4,FALSE),
VLOOKUP('Final Term'!Z57,new_transmute,4,FALSE)
),
""
)
)
)
)
)
)
)
)
))</f>
        <v/>
      </c>
      <c r="AA57" s="73" t="str">
        <f>IF($B57="","",
IF(AA$5="","",
IF('Final Term'!AA57="",0,
IF(NOT(ISNUMBER('Final Term'!AA57)),"NAN",
IF('Final Term'!AA57&lt;0,"NEG",
IF('Final Term'!AA57&gt;AA$5,"OVER",
IF(AND(AA$5&lt;=100,'Final Term'!AA57&gt;100),"ERR",
IF(Info!$B$4="Non-board program",
IF(OR(AND(AA$5&gt;0,AA$5&gt;100),AND(AA$5&gt;0,AA$5&lt;100)),
VLOOKUP(FLOOR(('Final Term'!AA57/AA$5)*100,1),new_transmute,2,FALSE),
VLOOKUP('Final Term'!AA57,new_transmute,2,FALSE)
),
IF(Info!$B$4="Board program",
IF(OR(AND(AA$5&gt;0,AA$5&gt;100),AND(AA$5&gt;0,AA$5&lt;100)),
VLOOKUP(FLOOR(('Final Term'!AA57/AA$5)*100,1),new_transmute,3,FALSE),
VLOOKUP('Final Term'!AA57,new_transmute,3,FALSE)
),
IF(Info!$B$4="Board program (Medicine)",
IF(OR(AND(AA$5&gt;0,AA$5&gt;100),AND(AA$5&gt;0,AA$5&lt;100)),
VLOOKUP(FLOOR(('Final Term'!AA57/AA$5)*100,1),new_transmute,4,FALSE),
VLOOKUP('Final Term'!AA57,new_transmute,4,FALSE)
),
""
)
)
)
)
)
)
)
)
))</f>
        <v/>
      </c>
      <c r="AB57" s="73" t="str">
        <f>IF($B57="","",
IF(AB$5="","",
IF('Final Term'!AB57="",0,
IF(NOT(ISNUMBER('Final Term'!AB57)),"NAN",
IF('Final Term'!AB57&lt;0,"NEG",
IF('Final Term'!AB57&gt;AB$5,"OVER",
IF(AND(AB$5&lt;=100,'Final Term'!AB57&gt;100),"ERR",
IF(Info!$B$4="Non-board program",
IF(OR(AND(AB$5&gt;0,AB$5&gt;100),AND(AB$5&gt;0,AB$5&lt;100)),
VLOOKUP(FLOOR(('Final Term'!AB57/AB$5)*100,1),new_transmute,2,FALSE),
VLOOKUP('Final Term'!AB57,new_transmute,2,FALSE)
),
IF(Info!$B$4="Board program",
IF(OR(AND(AB$5&gt;0,AB$5&gt;100),AND(AB$5&gt;0,AB$5&lt;100)),
VLOOKUP(FLOOR(('Final Term'!AB57/AB$5)*100,1),new_transmute,3,FALSE),
VLOOKUP('Final Term'!AB57,new_transmute,3,FALSE)
),
IF(Info!$B$4="Board program (Medicine)",
IF(OR(AND(AB$5&gt;0,AB$5&gt;100),AND(AB$5&gt;0,AB$5&lt;100)),
VLOOKUP(FLOOR(('Final Term'!AB57/AB$5)*100,1),new_transmute,4,FALSE),
VLOOKUP('Final Term'!AB57,new_transmute,4,FALSE)
),
""
)
)
)
)
)
)
)
)
))</f>
        <v/>
      </c>
      <c r="AC57" s="73" t="str">
        <f>IF($B57="","",
IF(AC$5="","",
IF('Final Term'!AC57="",0,
IF(NOT(ISNUMBER('Final Term'!AC57)),"NAN",
IF('Final Term'!AC57&lt;0,"NEG",
IF('Final Term'!AC57&gt;AC$5,"OVER",
IF(AND(AC$5&lt;=100,'Final Term'!AC57&gt;100),"ERR",
IF(Info!$B$4="Non-board program",
IF(OR(AND(AC$5&gt;0,AC$5&gt;100),AND(AC$5&gt;0,AC$5&lt;100)),
VLOOKUP(FLOOR(('Final Term'!AC57/AC$5)*100,1),new_transmute,2,FALSE),
VLOOKUP('Final Term'!AC57,new_transmute,2,FALSE)
),
IF(Info!$B$4="Board program",
IF(OR(AND(AC$5&gt;0,AC$5&gt;100),AND(AC$5&gt;0,AC$5&lt;100)),
VLOOKUP(FLOOR(('Final Term'!AC57/AC$5)*100,1),new_transmute,3,FALSE),
VLOOKUP('Final Term'!AC57,new_transmute,3,FALSE)
),
IF(Info!$B$4="Board program (Medicine)",
IF(OR(AND(AC$5&gt;0,AC$5&gt;100),AND(AC$5&gt;0,AC$5&lt;100)),
VLOOKUP(FLOOR(('Final Term'!AC57/AC$5)*100,1),new_transmute,4,FALSE),
VLOOKUP('Final Term'!AC57,new_transmute,4,FALSE)
),
""
)
)
)
)
)
)
)
)
))</f>
        <v/>
      </c>
      <c r="AD57" s="73" t="str">
        <f>IF($B57="","",
IF(AD$5="","",
IF('Final Term'!AD57="",0,
IF(NOT(ISNUMBER('Final Term'!AD57)),"NAN",
IF('Final Term'!AD57&lt;0,"NEG",
IF('Final Term'!AD57&gt;AD$5,"OVER",
IF(AND(AD$5&lt;=100,'Final Term'!AD57&gt;100),"ERR",
IF(Info!$B$4="Non-board program",
IF(OR(AND(AD$5&gt;0,AD$5&gt;100),AND(AD$5&gt;0,AD$5&lt;100)),
VLOOKUP(FLOOR(('Final Term'!AD57/AD$5)*100,1),new_transmute,2,FALSE),
VLOOKUP('Final Term'!AD57,new_transmute,2,FALSE)
),
IF(Info!$B$4="Board program",
IF(OR(AND(AD$5&gt;0,AD$5&gt;100),AND(AD$5&gt;0,AD$5&lt;100)),
VLOOKUP(FLOOR(('Final Term'!AD57/AD$5)*100,1),new_transmute,3,FALSE),
VLOOKUP('Final Term'!AD57,new_transmute,3,FALSE)
),
IF(Info!$B$4="Board program (Medicine)",
IF(OR(AND(AD$5&gt;0,AD$5&gt;100),AND(AD$5&gt;0,AD$5&lt;100)),
VLOOKUP(FLOOR(('Final Term'!AD57/AD$5)*100,1),new_transmute,4,FALSE),
VLOOKUP('Final Term'!AD57,new_transmute,4,FALSE)
),
""
)
)
)
)
)
)
)
)
))</f>
        <v/>
      </c>
      <c r="AE57" s="58" t="str">
        <f t="shared" si="5"/>
        <v/>
      </c>
      <c r="AF57" s="73" t="str">
        <f>IF($B57="","",
IF(AF$5="","",
IF('Final Term'!AF57="",0,
IF(NOT(ISNUMBER('Final Term'!AF57)),"NAN",
IF('Final Term'!AF57&lt;0,"NEG",
IF('Final Term'!AF57&gt;AF$5,"OVER",
IF(AND(AF$5&lt;=100,'Final Term'!AF57&gt;100),"ERR",
IF(Info!$B$4="Non-board program",
IF(OR(AND(AF$5&gt;0,AF$5&gt;100),AND(AF$5&gt;0,AF$5&lt;100)),
VLOOKUP(FLOOR(('Final Term'!AF57/AF$5)*100,1),new_transmute,2,FALSE),
VLOOKUP('Final Term'!AF57,new_transmute,2,FALSE)
),
IF(Info!$B$4="Board program",
IF(OR(AND(AF$5&gt;0,AF$5&gt;100),AND(AF$5&gt;0,AF$5&lt;100)),
VLOOKUP(FLOOR(('Final Term'!AF57/AF$5)*100,1),new_transmute,3,FALSE),
VLOOKUP('Final Term'!AF57,new_transmute,3,FALSE)
),
IF(Info!$B$4="Board program (Medicine)",
IF(OR(AND(AF$5&gt;0,AF$5&gt;100),AND(AF$5&gt;0,AF$5&lt;100)),
VLOOKUP(FLOOR(('Final Term'!AF57/AF$5)*100,1),new_transmute,4,FALSE),
VLOOKUP('Final Term'!AF57,new_transmute,4,FALSE)
),
""
)
)
)
)
)
)
)
)
))</f>
        <v/>
      </c>
      <c r="AG57" s="73" t="str">
        <f>IF($B57="","",
IF(AG$5="","",
IF('Final Term'!AG57="",0,
IF(NOT(ISNUMBER('Final Term'!AG57)),"NAN",
IF('Final Term'!AG57&lt;0,"NEG",
IF('Final Term'!AG57&gt;AG$5,"OVER",
IF(AND(AG$5&lt;=100,'Final Term'!AG57&gt;100),"ERR",
IF(Info!$B$4="Non-board program",
IF(OR(AND(AG$5&gt;0,AG$5&gt;100),AND(AG$5&gt;0,AG$5&lt;100)),
VLOOKUP(FLOOR(('Final Term'!AG57/AG$5)*100,1),new_transmute,2,FALSE),
VLOOKUP('Final Term'!AG57,new_transmute,2,FALSE)
),
IF(Info!$B$4="Board program",
IF(OR(AND(AG$5&gt;0,AG$5&gt;100),AND(AG$5&gt;0,AG$5&lt;100)),
VLOOKUP(FLOOR(('Final Term'!AG57/AG$5)*100,1),new_transmute,3,FALSE),
VLOOKUP('Final Term'!AG57,new_transmute,3,FALSE)
),
IF(Info!$B$4="Board program (Medicine)",
IF(OR(AND(AG$5&gt;0,AG$5&gt;100),AND(AG$5&gt;0,AG$5&lt;100)),
VLOOKUP(FLOOR(('Final Term'!AG57/AG$5)*100,1),new_transmute,4,FALSE),
VLOOKUP('Final Term'!AG57,new_transmute,4,FALSE)
),
""
)
)
)
)
)
)
)
)
))</f>
        <v/>
      </c>
      <c r="AH57" s="73" t="str">
        <f>IF($B57="","",
IF(AH$5="","",
IF('Final Term'!AH57="",0,
IF(NOT(ISNUMBER('Final Term'!AH57)),"NAN",
IF('Final Term'!AH57&lt;0,"NEG",
IF('Final Term'!AH57&gt;AH$5,"OVER",
IF(AND(AH$5&lt;=100,'Final Term'!AH57&gt;100),"ERR",
IF(Info!$B$4="Non-board program",
IF(OR(AND(AH$5&gt;0,AH$5&gt;100),AND(AH$5&gt;0,AH$5&lt;100)),
VLOOKUP(FLOOR(('Final Term'!AH57/AH$5)*100,1),new_transmute,2,FALSE),
VLOOKUP('Final Term'!AH57,new_transmute,2,FALSE)
),
IF(Info!$B$4="Board program",
IF(OR(AND(AH$5&gt;0,AH$5&gt;100),AND(AH$5&gt;0,AH$5&lt;100)),
VLOOKUP(FLOOR(('Final Term'!AH57/AH$5)*100,1),new_transmute,3,FALSE),
VLOOKUP('Final Term'!AH57,new_transmute,3,FALSE)
),
IF(Info!$B$4="Board program (Medicine)",
IF(OR(AND(AH$5&gt;0,AH$5&gt;100),AND(AH$5&gt;0,AH$5&lt;100)),
VLOOKUP(FLOOR(('Final Term'!AH57/AH$5)*100,1),new_transmute,4,FALSE),
VLOOKUP('Final Term'!AH57,new_transmute,4,FALSE)
),
""
)
)
)
)
)
)
)
)
))</f>
        <v/>
      </c>
      <c r="AI57" s="73" t="str">
        <f>IF($B57="","",
IF(AI$5="","",
IF('Final Term'!AI57="",0,
IF(NOT(ISNUMBER('Final Term'!AI57)),"NAN",
IF('Final Term'!AI57&lt;0,"NEG",
IF('Final Term'!AI57&gt;AI$5,"OVER",
IF(AND(AI$5&lt;=100,'Final Term'!AI57&gt;100),"ERR",
IF(Info!$B$4="Non-board program",
IF(OR(AND(AI$5&gt;0,AI$5&gt;100),AND(AI$5&gt;0,AI$5&lt;100)),
VLOOKUP(FLOOR(('Final Term'!AI57/AI$5)*100,1),new_transmute,2,FALSE),
VLOOKUP('Final Term'!AI57,new_transmute,2,FALSE)
),
IF(Info!$B$4="Board program",
IF(OR(AND(AI$5&gt;0,AI$5&gt;100),AND(AI$5&gt;0,AI$5&lt;100)),
VLOOKUP(FLOOR(('Final Term'!AI57/AI$5)*100,1),new_transmute,3,FALSE),
VLOOKUP('Final Term'!AI57,new_transmute,3,FALSE)
),
IF(Info!$B$4="Board program (Medicine)",
IF(OR(AND(AI$5&gt;0,AI$5&gt;100),AND(AI$5&gt;0,AI$5&lt;100)),
VLOOKUP(FLOOR(('Final Term'!AI57/AI$5)*100,1),new_transmute,4,FALSE),
VLOOKUP('Final Term'!AI57,new_transmute,4,FALSE)
),
""
)
)
)
)
)
)
)
)
))</f>
        <v/>
      </c>
      <c r="AJ57" s="73" t="str">
        <f>IF($B57="","",
IF(AJ$5="","",
IF('Final Term'!AJ57="",0,
IF(NOT(ISNUMBER('Final Term'!AJ57)),"NAN",
IF('Final Term'!AJ57&lt;0,"NEG",
IF('Final Term'!AJ57&gt;AJ$5,"OVER",
IF(AND(AJ$5&lt;=100,'Final Term'!AJ57&gt;100),"ERR",
IF(Info!$B$4="Non-board program",
IF(OR(AND(AJ$5&gt;0,AJ$5&gt;100),AND(AJ$5&gt;0,AJ$5&lt;100)),
VLOOKUP(FLOOR(('Final Term'!AJ57/AJ$5)*100,1),new_transmute,2,FALSE),
VLOOKUP('Final Term'!AJ57,new_transmute,2,FALSE)
),
IF(Info!$B$4="Board program",
IF(OR(AND(AJ$5&gt;0,AJ$5&gt;100),AND(AJ$5&gt;0,AJ$5&lt;100)),
VLOOKUP(FLOOR(('Final Term'!AJ57/AJ$5)*100,1),new_transmute,3,FALSE),
VLOOKUP('Final Term'!AJ57,new_transmute,3,FALSE)
),
IF(Info!$B$4="Board program (Medicine)",
IF(OR(AND(AJ$5&gt;0,AJ$5&gt;100),AND(AJ$5&gt;0,AJ$5&lt;100)),
VLOOKUP(FLOOR(('Final Term'!AJ57/AJ$5)*100,1),new_transmute,4,FALSE),
VLOOKUP('Final Term'!AJ57,new_transmute,4,FALSE)
),
""
)
)
)
)
)
)
)
)
))</f>
        <v/>
      </c>
      <c r="AK57" s="59" t="str">
        <f t="shared" si="6"/>
        <v/>
      </c>
      <c r="AL57" s="60" t="str">
        <f>IF(B57="", "",
    IF(OR(M57="OVER", S57="OVER", Y57="OVER", AE57="OVER", AK57="OVER"),
        "OVER",
        IF(Info!$B$4="Non-board program",
            VLOOKUP(IFERROR(FLOOR(SUM((M57*$M$4), (S57*$S$4), (Y57*$Y$4), (AE57*$AE$4), (AK57*$AK$4)) * (100 / 60), 1), 0), new_transmute, 2, FALSE),
            IF(Info!$B$4="Board program",
                VLOOKUP(IFERROR(FLOOR(SUM((M57*$M$4), (S57*$S$4), (Y57*$Y$4), (AE57*$AE$4), (AK57*$AK$4)) * (100 / 60), 1), 0), new_transmute, 3, FALSE),
                IF(Info!$B$4="Board program (Medicine)",
                    VLOOKUP(IFERROR(FLOOR(SUM((M57*$M$4), (S57*$S$4), (Y57*$Y$4), (AE57*$AE$4), (AK57*$AK$4)) * (100 / 60), 1), 0), new_transmute, 4, FALSE),
                    ""
                )
            )
        )
    )
)</f>
        <v/>
      </c>
      <c r="AM57" s="73" t="str">
        <f>IF($B57="","",
IF(AM$5="","",
IF('Final Term'!AM57="",0,
IF(NOT(ISNUMBER('Final Term'!AM57)),"NAN",
IF('Final Term'!AM57&lt;0,"NEG",
IF('Final Term'!AM57&gt;AM$5,"OVER",
IF(AND(AM$5&lt;=100,'Final Term'!AM57&gt;100),"ERR",
IF(Info!$B$4="Non-board program",
IF(OR(AND(AM$5&gt;0,AM$5&gt;100),AND(AM$5&gt;0,AM$5&lt;100)),
VLOOKUP(FLOOR(('Final Term'!AM57/AM$5)*100,1),new_transmute,2,FALSE),
VLOOKUP('Final Term'!AM57,new_transmute,2,FALSE)
),
IF(Info!$B$4="Board program",
IF(OR(AND(AM$5&gt;0,AM$5&gt;100),AND(AM$5&gt;0,AM$5&lt;100)),
VLOOKUP(FLOOR(('Final Term'!AM57/AM$5)*100,1),new_transmute,3,FALSE),
VLOOKUP('Final Term'!AM57,new_transmute,3,FALSE)
),
IF(Info!$B$4="Board program (Medicine)",
IF(OR(AND(AM$5&gt;0,AM$5&gt;100),AND(AM$5&gt;0,AM$5&lt;100)),
VLOOKUP(FLOOR(('Final Term'!AM57/AM$5)*100,1),new_transmute,4,FALSE),
VLOOKUP('Final Term'!AM57,new_transmute,4,FALSE)
),
""
)
)
)
)
)
)
)
)
))</f>
        <v/>
      </c>
      <c r="AN57" s="73" t="str">
        <f>IF($B57="","",
IF(AN$5="","",
IF('Final Term'!AN57="",0,
IF(NOT(ISNUMBER('Final Term'!AN57)),"NAN",
IF('Final Term'!AN57&lt;0,"NEG",
IF('Final Term'!AN57&gt;AN$5,"OVER",
IF(AND(AN$5&lt;=100,'Final Term'!AN57&gt;100),"ERR",
IF(Info!$B$4="Non-board program",
IF(OR(AND(AN$5&gt;0,AN$5&gt;100),AND(AN$5&gt;0,AN$5&lt;100)),
VLOOKUP(FLOOR(('Final Term'!AN57/AN$5)*100,1),new_transmute,2,FALSE),
VLOOKUP('Final Term'!AN57,new_transmute,2,FALSE)
),
IF(Info!$B$4="Board program",
IF(OR(AND(AN$5&gt;0,AN$5&gt;100),AND(AN$5&gt;0,AN$5&lt;100)),
VLOOKUP(FLOOR(('Final Term'!AN57/AN$5)*100,1),new_transmute,3,FALSE),
VLOOKUP('Final Term'!AN57,new_transmute,3,FALSE)
),
IF(Info!$B$4="Board program (Medicine)",
IF(OR(AND(AN$5&gt;0,AN$5&gt;100),AND(AN$5&gt;0,AN$5&lt;100)),
VLOOKUP(FLOOR(('Final Term'!AN57/AN$5)*100,1),new_transmute,4,FALSE),
VLOOKUP('Final Term'!AN57,new_transmute,4,FALSE)
),
""
)
)
)
)
)
)
)
)
))</f>
        <v/>
      </c>
      <c r="AO57" s="73" t="str">
        <f>IF($B57="","",
IF(AO$5="","",
IF('Final Term'!AO57="",0,
IF(NOT(ISNUMBER('Final Term'!AO57)),"NAN",
IF('Final Term'!AO57&lt;0,"NEG",
IF('Final Term'!AO57&gt;AO$5,"OVER",
IF(AND(AO$5&lt;=100,'Final Term'!AO57&gt;100),"ERR",
IF(Info!$B$4="Non-board program",
IF(OR(AND(AO$5&gt;0,AO$5&gt;100),AND(AO$5&gt;0,AO$5&lt;100)),
VLOOKUP(FLOOR(('Final Term'!AO57/AO$5)*100,1),new_transmute,2,FALSE),
VLOOKUP('Final Term'!AO57,new_transmute,2,FALSE)
),
IF(Info!$B$4="Board program",
IF(OR(AND(AO$5&gt;0,AO$5&gt;100),AND(AO$5&gt;0,AO$5&lt;100)),
VLOOKUP(FLOOR(('Final Term'!AO57/AO$5)*100,1),new_transmute,3,FALSE),
VLOOKUP('Final Term'!AO57,new_transmute,3,FALSE)
),
IF(Info!$B$4="Board program (Medicine)",
IF(OR(AND(AO$5&gt;0,AO$5&gt;100),AND(AO$5&gt;0,AO$5&lt;100)),
VLOOKUP(FLOOR(('Final Term'!AO57/AO$5)*100,1),new_transmute,4,FALSE),
VLOOKUP('Final Term'!AO57,new_transmute,4,FALSE)
),
""
)
)
)
)
)
)
)
)
))</f>
        <v/>
      </c>
      <c r="AP57" s="73" t="str">
        <f>IF($B57="","",
IF(AP$5="","",
IF('Final Term'!AP57="",0,
IF(NOT(ISNUMBER('Final Term'!AP57)),"NAN",
IF('Final Term'!AP57&lt;0,"NEG",
IF('Final Term'!AP57&gt;AP$5,"OVER",
IF(AND(AP$5&lt;=100,'Final Term'!AP57&gt;100),"ERR",
IF(Info!$B$4="Non-board program",
IF(OR(AND(AP$5&gt;0,AP$5&gt;100),AND(AP$5&gt;0,AP$5&lt;100)),
VLOOKUP(FLOOR(('Final Term'!AP57/AP$5)*100,1),new_transmute,2,FALSE),
VLOOKUP('Final Term'!AP57,new_transmute,2,FALSE)
),
IF(Info!$B$4="Board program",
IF(OR(AND(AP$5&gt;0,AP$5&gt;100),AND(AP$5&gt;0,AP$5&lt;100)),
VLOOKUP(FLOOR(('Final Term'!AP57/AP$5)*100,1),new_transmute,3,FALSE),
VLOOKUP('Final Term'!AP57,new_transmute,3,FALSE)
),
IF(Info!$B$4="Board program (Medicine)",
IF(OR(AND(AP$5&gt;0,AP$5&gt;100),AND(AP$5&gt;0,AP$5&lt;100)),
VLOOKUP(FLOOR(('Final Term'!AP57/AP$5)*100,1),new_transmute,4,FALSE),
VLOOKUP('Final Term'!AP57,new_transmute,4,FALSE)
),
""
)
)
)
)
)
)
)
)
))</f>
        <v/>
      </c>
      <c r="AQ57" s="61" t="str">
        <f t="shared" si="7"/>
        <v/>
      </c>
      <c r="AR57" s="48" t="str">
        <f>IF('Final Term'!AR57="","",'Final Term'!AR57)</f>
        <v/>
      </c>
      <c r="AS57" s="165" t="str">
        <f t="shared" si="8"/>
        <v/>
      </c>
      <c r="AT57" s="14" t="str">
        <f t="shared" si="9"/>
        <v/>
      </c>
      <c r="AU57" s="13" t="str">
        <f>IF(B57="","",VLOOKUP(AT57,'New Grade Equivalent'!$B$3:$C$47,2,FALSE))</f>
        <v/>
      </c>
    </row>
    <row r="58" spans="1:47" x14ac:dyDescent="0.25">
      <c r="A58" s="8">
        <v>53</v>
      </c>
      <c r="B58" s="2" t="str">
        <f>IF('Student List'!C62="","",UPPER(LEFT('Student List'!C62,FIND(",",'Student List'!C62)-1)))</f>
        <v/>
      </c>
      <c r="C58" s="12" t="str">
        <f>IF('Student List'!C62="","",PROPER(MID('Student List'!C62, FIND(",", 'Student List'!C62) + 2, LEN('Student List'!C62) - FIND(",", 'Student List'!C62) - 1)))</f>
        <v/>
      </c>
      <c r="D58" s="127" t="str">
        <f>IF('Final Term'!D58="","",'Final Term'!D58)</f>
        <v/>
      </c>
      <c r="E58" s="8" t="str">
        <f>IF(MidCom!E58="FA", "FA",
    IF(MidCom!E58="DRP", "DRP",
        IF(MidCom!E58="WF", "WF",
            IF(D58="Yes", "INC",
               IF((SUM('MT Attendance'!AW56) / 3 + SUM('MT Attendance'!AY56) + SUM('FT Attendance'!AW56) / 3 + SUM('FT Attendance'!AY56)) &gt;= 0.2 * (SUMPRODUCT(--(ISTEXT('MT Attendance'!$C$2:$AU$2))) + SUMPRODUCT(--(ISTEXT('FT Attendance'!$C$2:$AU$2)))), "FA",
                   MidCom!E58
                )
            )
        )
    )
)</f>
        <v/>
      </c>
      <c r="F58" s="73" t="str">
        <f>IF($B58="","",
IF(F$5="","",
IF('Final Term'!F58="",0,
IF(NOT(ISNUMBER('Final Term'!F58)),"NAN",
IF('Final Term'!F58&lt;0,"NEG",
IF('Final Term'!F58&gt;F$5,"OVER",
IF(AND(F$5&lt;=100,'Final Term'!F58&gt;100),"ERR",
IF(Info!$B$4="Non-board program",
IF(OR(AND(F$5&gt;0,F$5&gt;100),AND(F$5&gt;0,F$5&lt;100)),
VLOOKUP(FLOOR(('Final Term'!F58/F$5)*100,1),new_transmute,2,FALSE),
VLOOKUP('Final Term'!F58,new_transmute,2,FALSE)
),
IF(Info!$B$4="Board program",
IF(OR(AND(F$5&gt;0,F$5&gt;100),AND(F$5&gt;0,F$5&lt;100)),
VLOOKUP(FLOOR(('Final Term'!F58/F$5)*100,1),new_transmute,3,FALSE),
VLOOKUP('Final Term'!F58,new_transmute,3,FALSE)
),
IF(Info!$B$4="Board program (Medicine)",
IF(OR(AND(F$5&gt;0,F$5&gt;100),AND(F$5&gt;0,F$5&lt;100)),
VLOOKUP(FLOOR(('Final Term'!F58/F$5)*100,1),new_transmute,4,FALSE),
VLOOKUP('Final Term'!F58,new_transmute,4,FALSE)
),
""
)
)
)
)
)
)
)
)
))</f>
        <v/>
      </c>
      <c r="G58" s="57" t="str">
        <f t="shared" si="1"/>
        <v/>
      </c>
      <c r="H58" s="73" t="str">
        <f>IF($B58="","",
IF(H$5="","",
IF('Final Term'!H58="",0,
IF(NOT(ISNUMBER('Final Term'!H58)),"NAN",
IF('Final Term'!H58&lt;0,"NEG",
IF('Final Term'!H58&gt;H$5,"OVER",
IF(AND(H$5&lt;=100,'Final Term'!H58&gt;100),"ERR",
IF(Info!$B$4="Non-board program",
IF(OR(AND(H$5&gt;0,H$5&gt;100),AND(H$5&gt;0,H$5&lt;100)),
VLOOKUP(FLOOR(('Final Term'!H58/H$5)*100,1),new_transmute,2,FALSE),
VLOOKUP('Final Term'!H58,new_transmute,2,FALSE)
),
IF(Info!$B$4="Board program",
IF(OR(AND(H$5&gt;0,H$5&gt;100),AND(H$5&gt;0,H$5&lt;100)),
VLOOKUP(FLOOR(('Final Term'!H58/H$5)*100,1),new_transmute,3,FALSE),
VLOOKUP('Final Term'!H58,new_transmute,3,FALSE)
),
IF(Info!$B$4="Board program (Medicine)",
IF(OR(AND(H$5&gt;0,H$5&gt;100),AND(H$5&gt;0,H$5&lt;100)),
VLOOKUP(FLOOR(('Final Term'!H58/H$5)*100,1),new_transmute,4,FALSE),
VLOOKUP('Final Term'!H58,new_transmute,4,FALSE)
),
""
)
)
)
)
)
)
)
)
))</f>
        <v/>
      </c>
      <c r="I58" s="73" t="str">
        <f>IF($B58="","",
IF(I$5="","",
IF('Final Term'!I58="",0,
IF(NOT(ISNUMBER('Final Term'!I58)),"NAN",
IF('Final Term'!I58&lt;0,"NEG",
IF('Final Term'!I58&gt;I$5,"OVER",
IF(AND(I$5&lt;=100,'Final Term'!I58&gt;100),"ERR",
IF(Info!$B$4="Non-board program",
IF(OR(AND(I$5&gt;0,I$5&gt;100),AND(I$5&gt;0,I$5&lt;100)),
VLOOKUP(FLOOR(('Final Term'!I58/I$5)*100,1),new_transmute,2,FALSE),
VLOOKUP('Final Term'!I58,new_transmute,2,FALSE)
),
IF(Info!$B$4="Board program",
IF(OR(AND(I$5&gt;0,I$5&gt;100),AND(I$5&gt;0,I$5&lt;100)),
VLOOKUP(FLOOR(('Final Term'!I58/I$5)*100,1),new_transmute,3,FALSE),
VLOOKUP('Final Term'!I58,new_transmute,3,FALSE)
),
IF(Info!$B$4="Board program (Medicine)",
IF(OR(AND(I$5&gt;0,I$5&gt;100),AND(I$5&gt;0,I$5&lt;100)),
VLOOKUP(FLOOR(('Final Term'!I58/I$5)*100,1),new_transmute,4,FALSE),
VLOOKUP('Final Term'!I58,new_transmute,4,FALSE)
),
""
)
)
)
)
)
)
)
)
))</f>
        <v/>
      </c>
      <c r="J58" s="73" t="str">
        <f>IF($B58="","",
IF(J$5="","",
IF('Final Term'!J58="",0,
IF(NOT(ISNUMBER('Final Term'!J58)),"NAN",
IF('Final Term'!J58&lt;0,"NEG",
IF('Final Term'!J58&gt;J$5,"OVER",
IF(AND(J$5&lt;=100,'Final Term'!J58&gt;100),"ERR",
IF(Info!$B$4="Non-board program",
IF(OR(AND(J$5&gt;0,J$5&gt;100),AND(J$5&gt;0,J$5&lt;100)),
VLOOKUP(FLOOR(('Final Term'!J58/J$5)*100,1),new_transmute,2,FALSE),
VLOOKUP('Final Term'!J58,new_transmute,2,FALSE)
),
IF(Info!$B$4="Board program",
IF(OR(AND(J$5&gt;0,J$5&gt;100),AND(J$5&gt;0,J$5&lt;100)),
VLOOKUP(FLOOR(('Final Term'!J58/J$5)*100,1),new_transmute,3,FALSE),
VLOOKUP('Final Term'!J58,new_transmute,3,FALSE)
),
IF(Info!$B$4="Board program (Medicine)",
IF(OR(AND(J$5&gt;0,J$5&gt;100),AND(J$5&gt;0,J$5&lt;100)),
VLOOKUP(FLOOR(('Final Term'!J58/J$5)*100,1),new_transmute,4,FALSE),
VLOOKUP('Final Term'!J58,new_transmute,4,FALSE)
),
""
)
)
)
)
)
)
)
)
))</f>
        <v/>
      </c>
      <c r="K58" s="73" t="str">
        <f>IF($B58="","",
IF(K$5="","",
IF('Final Term'!K58="",0,
IF(NOT(ISNUMBER('Final Term'!K58)),"NAN",
IF('Final Term'!K58&lt;0,"NEG",
IF('Final Term'!K58&gt;K$5,"OVER",
IF(AND(K$5&lt;=100,'Final Term'!K58&gt;100),"ERR",
IF(Info!$B$4="Non-board program",
IF(OR(AND(K$5&gt;0,K$5&gt;100),AND(K$5&gt;0,K$5&lt;100)),
VLOOKUP(FLOOR(('Final Term'!K58/K$5)*100,1),new_transmute,2,FALSE),
VLOOKUP('Final Term'!K58,new_transmute,2,FALSE)
),
IF(Info!$B$4="Board program",
IF(OR(AND(K$5&gt;0,K$5&gt;100),AND(K$5&gt;0,K$5&lt;100)),
VLOOKUP(FLOOR(('Final Term'!K58/K$5)*100,1),new_transmute,3,FALSE),
VLOOKUP('Final Term'!K58,new_transmute,3,FALSE)
),
IF(Info!$B$4="Board program (Medicine)",
IF(OR(AND(K$5&gt;0,K$5&gt;100),AND(K$5&gt;0,K$5&lt;100)),
VLOOKUP(FLOOR(('Final Term'!K58/K$5)*100,1),new_transmute,4,FALSE),
VLOOKUP('Final Term'!K58,new_transmute,4,FALSE)
),
""
)
)
)
)
)
)
)
)
))</f>
        <v/>
      </c>
      <c r="L58" s="73" t="str">
        <f>IF($B58="","",
IF(L$5="","",
IF('Final Term'!L58="",0,
IF(NOT(ISNUMBER('Final Term'!L58)),"NAN",
IF('Final Term'!L58&lt;0,"NEG",
IF('Final Term'!L58&gt;L$5,"OVER",
IF(AND(L$5&lt;=100,'Final Term'!L58&gt;100),"ERR",
IF(Info!$B$4="Non-board program",
IF(OR(AND(L$5&gt;0,L$5&gt;100),AND(L$5&gt;0,L$5&lt;100)),
VLOOKUP(FLOOR(('Final Term'!L58/L$5)*100,1),new_transmute,2,FALSE),
VLOOKUP('Final Term'!L58,new_transmute,2,FALSE)
),
IF(Info!$B$4="Board program",
IF(OR(AND(L$5&gt;0,L$5&gt;100),AND(L$5&gt;0,L$5&lt;100)),
VLOOKUP(FLOOR(('Final Term'!L58/L$5)*100,1),new_transmute,3,FALSE),
VLOOKUP('Final Term'!L58,new_transmute,3,FALSE)
),
IF(Info!$B$4="Board program (Medicine)",
IF(OR(AND(L$5&gt;0,L$5&gt;100),AND(L$5&gt;0,L$5&lt;100)),
VLOOKUP(FLOOR(('Final Term'!L58/L$5)*100,1),new_transmute,4,FALSE),
VLOOKUP('Final Term'!L58,new_transmute,4,FALSE)
),
""
)
)
)
)
)
)
)
)
))</f>
        <v/>
      </c>
      <c r="M58" s="111" t="str">
        <f t="shared" si="2"/>
        <v/>
      </c>
      <c r="N58" s="73" t="str">
        <f>IF($B58="","",
IF(N$5="","",
IF('Final Term'!N58="",0,
IF(NOT(ISNUMBER('Final Term'!N58)),"NAN",
IF('Final Term'!N58&lt;0,"NEG",
IF('Final Term'!N58&gt;N$5,"OVER",
IF(AND(N$5&lt;=100,'Final Term'!N58&gt;100),"ERR",
IF(Info!$B$4="Non-board program",
IF(OR(AND(N$5&gt;0,N$5&gt;100),AND(N$5&gt;0,N$5&lt;100)),
VLOOKUP(FLOOR(('Final Term'!N58/N$5)*100,1),new_transmute,2,FALSE),
VLOOKUP('Final Term'!N58,new_transmute,2,FALSE)
),
IF(Info!$B$4="Board program",
IF(OR(AND(N$5&gt;0,N$5&gt;100),AND(N$5&gt;0,N$5&lt;100)),
VLOOKUP(FLOOR(('Final Term'!N58/N$5)*100,1),new_transmute,3,FALSE),
VLOOKUP('Final Term'!N58,new_transmute,3,FALSE)
),
IF(Info!$B$4="Board program (Medicine)",
IF(OR(AND(N$5&gt;0,N$5&gt;100),AND(N$5&gt;0,N$5&lt;100)),
VLOOKUP(FLOOR(('Final Term'!N58/N$5)*100,1),new_transmute,4,FALSE),
VLOOKUP('Final Term'!N58,new_transmute,4,FALSE)
),
""
)
)
)
)
)
)
)
)
))</f>
        <v/>
      </c>
      <c r="O58" s="73" t="str">
        <f>IF($B58="","",
IF(O$5="","",
IF('Final Term'!O58="",0,
IF(NOT(ISNUMBER('Final Term'!O58)),"NAN",
IF('Final Term'!O58&lt;0,"NEG",
IF('Final Term'!O58&gt;O$5,"OVER",
IF(AND(O$5&lt;=100,'Final Term'!O58&gt;100),"ERR",
IF(Info!$B$4="Non-board program",
IF(OR(AND(O$5&gt;0,O$5&gt;100),AND(O$5&gt;0,O$5&lt;100)),
VLOOKUP(FLOOR(('Final Term'!O58/O$5)*100,1),new_transmute,2,FALSE),
VLOOKUP('Final Term'!O58,new_transmute,2,FALSE)
),
IF(Info!$B$4="Board program",
IF(OR(AND(O$5&gt;0,O$5&gt;100),AND(O$5&gt;0,O$5&lt;100)),
VLOOKUP(FLOOR(('Final Term'!O58/O$5)*100,1),new_transmute,3,FALSE),
VLOOKUP('Final Term'!O58,new_transmute,3,FALSE)
),
IF(Info!$B$4="Board program (Medicine)",
IF(OR(AND(O$5&gt;0,O$5&gt;100),AND(O$5&gt;0,O$5&lt;100)),
VLOOKUP(FLOOR(('Final Term'!O58/O$5)*100,1),new_transmute,4,FALSE),
VLOOKUP('Final Term'!O58,new_transmute,4,FALSE)
),
""
)
)
)
)
)
)
)
)
))</f>
        <v/>
      </c>
      <c r="P58" s="73" t="str">
        <f>IF($B58="","",
IF(P$5="","",
IF('Final Term'!P58="",0,
IF(NOT(ISNUMBER('Final Term'!P58)),"NAN",
IF('Final Term'!P58&lt;0,"NEG",
IF('Final Term'!P58&gt;P$5,"OVER",
IF(AND(P$5&lt;=100,'Final Term'!P58&gt;100),"ERR",
IF(Info!$B$4="Non-board program",
IF(OR(AND(P$5&gt;0,P$5&gt;100),AND(P$5&gt;0,P$5&lt;100)),
VLOOKUP(FLOOR(('Final Term'!P58/P$5)*100,1),new_transmute,2,FALSE),
VLOOKUP('Final Term'!P58,new_transmute,2,FALSE)
),
IF(Info!$B$4="Board program",
IF(OR(AND(P$5&gt;0,P$5&gt;100),AND(P$5&gt;0,P$5&lt;100)),
VLOOKUP(FLOOR(('Final Term'!P58/P$5)*100,1),new_transmute,3,FALSE),
VLOOKUP('Final Term'!P58,new_transmute,3,FALSE)
),
IF(Info!$B$4="Board program (Medicine)",
IF(OR(AND(P$5&gt;0,P$5&gt;100),AND(P$5&gt;0,P$5&lt;100)),
VLOOKUP(FLOOR(('Final Term'!P58/P$5)*100,1),new_transmute,4,FALSE),
VLOOKUP('Final Term'!P58,new_transmute,4,FALSE)
),
""
)
)
)
)
)
)
)
)
))</f>
        <v/>
      </c>
      <c r="Q58" s="73" t="str">
        <f>IF($B58="","",
IF(Q$5="","",
IF('Final Term'!Q58="",0,
IF(NOT(ISNUMBER('Final Term'!Q58)),"NAN",
IF('Final Term'!Q58&lt;0,"NEG",
IF('Final Term'!Q58&gt;Q$5,"OVER",
IF(AND(Q$5&lt;=100,'Final Term'!Q58&gt;100),"ERR",
IF(Info!$B$4="Non-board program",
IF(OR(AND(Q$5&gt;0,Q$5&gt;100),AND(Q$5&gt;0,Q$5&lt;100)),
VLOOKUP(FLOOR(('Final Term'!Q58/Q$5)*100,1),new_transmute,2,FALSE),
VLOOKUP('Final Term'!Q58,new_transmute,2,FALSE)
),
IF(Info!$B$4="Board program",
IF(OR(AND(Q$5&gt;0,Q$5&gt;100),AND(Q$5&gt;0,Q$5&lt;100)),
VLOOKUP(FLOOR(('Final Term'!Q58/Q$5)*100,1),new_transmute,3,FALSE),
VLOOKUP('Final Term'!Q58,new_transmute,3,FALSE)
),
IF(Info!$B$4="Board program (Medicine)",
IF(OR(AND(Q$5&gt;0,Q$5&gt;100),AND(Q$5&gt;0,Q$5&lt;100)),
VLOOKUP(FLOOR(('Final Term'!Q58/Q$5)*100,1),new_transmute,4,FALSE),
VLOOKUP('Final Term'!Q58,new_transmute,4,FALSE)
),
""
)
)
)
)
)
)
)
)
))</f>
        <v/>
      </c>
      <c r="R58" s="73" t="str">
        <f>IF($B58="","",
IF(R$5="","",
IF('Final Term'!R58="",0,
IF(NOT(ISNUMBER('Final Term'!R58)),"NAN",
IF('Final Term'!R58&lt;0,"NEG",
IF('Final Term'!R58&gt;R$5,"OVER",
IF(AND(R$5&lt;=100,'Final Term'!R58&gt;100),"ERR",
IF(Info!$B$4="Non-board program",
IF(OR(AND(R$5&gt;0,R$5&gt;100),AND(R$5&gt;0,R$5&lt;100)),
VLOOKUP(FLOOR(('Final Term'!R58/R$5)*100,1),new_transmute,2,FALSE),
VLOOKUP('Final Term'!R58,new_transmute,2,FALSE)
),
IF(Info!$B$4="Board program",
IF(OR(AND(R$5&gt;0,R$5&gt;100),AND(R$5&gt;0,R$5&lt;100)),
VLOOKUP(FLOOR(('Final Term'!R58/R$5)*100,1),new_transmute,3,FALSE),
VLOOKUP('Final Term'!R58,new_transmute,3,FALSE)
),
IF(Info!$B$4="Board program (Medicine)",
IF(OR(AND(R$5&gt;0,R$5&gt;100),AND(R$5&gt;0,R$5&lt;100)),
VLOOKUP(FLOOR(('Final Term'!R58/R$5)*100,1),new_transmute,4,FALSE),
VLOOKUP('Final Term'!R58,new_transmute,4,FALSE)
),
""
)
)
)
)
)
)
)
)
))</f>
        <v/>
      </c>
      <c r="S58" s="115" t="str">
        <f t="shared" si="3"/>
        <v/>
      </c>
      <c r="T58" s="73" t="str">
        <f>IF($B58="","",
IF(T$5="","",
IF('Final Term'!T58="",0,
IF(NOT(ISNUMBER('Final Term'!T58)),"NAN",
IF('Final Term'!T58&lt;0,"NEG",
IF('Final Term'!T58&gt;T$5,"OVER",
IF(AND(T$5&lt;=100,'Final Term'!T58&gt;100),"ERR",
IF(Info!$B$4="Non-board program",
IF(OR(AND(T$5&gt;0,T$5&gt;100),AND(T$5&gt;0,T$5&lt;100)),
VLOOKUP(FLOOR(('Final Term'!T58/T$5)*100,1),new_transmute,2,FALSE),
VLOOKUP('Final Term'!T58,new_transmute,2,FALSE)
),
IF(Info!$B$4="Board program",
IF(OR(AND(T$5&gt;0,T$5&gt;100),AND(T$5&gt;0,T$5&lt;100)),
VLOOKUP(FLOOR(('Final Term'!T58/T$5)*100,1),new_transmute,3,FALSE),
VLOOKUP('Final Term'!T58,new_transmute,3,FALSE)
),
IF(Info!$B$4="Board program (Medicine)",
IF(OR(AND(T$5&gt;0,T$5&gt;100),AND(T$5&gt;0,T$5&lt;100)),
VLOOKUP(FLOOR(('Final Term'!T58/T$5)*100,1),new_transmute,4,FALSE),
VLOOKUP('Final Term'!T58,new_transmute,4,FALSE)
),
""
)
)
)
)
)
)
)
)
))</f>
        <v/>
      </c>
      <c r="U58" s="73" t="str">
        <f>IF($B58="","",
IF(U$5="","",
IF('Final Term'!U58="",0,
IF(NOT(ISNUMBER('Final Term'!U58)),"NAN",
IF('Final Term'!U58&lt;0,"NEG",
IF('Final Term'!U58&gt;U$5,"OVER",
IF(AND(U$5&lt;=100,'Final Term'!U58&gt;100),"ERR",
IF(Info!$B$4="Non-board program",
IF(OR(AND(U$5&gt;0,U$5&gt;100),AND(U$5&gt;0,U$5&lt;100)),
VLOOKUP(FLOOR(('Final Term'!U58/U$5)*100,1),new_transmute,2,FALSE),
VLOOKUP('Final Term'!U58,new_transmute,2,FALSE)
),
IF(Info!$B$4="Board program",
IF(OR(AND(U$5&gt;0,U$5&gt;100),AND(U$5&gt;0,U$5&lt;100)),
VLOOKUP(FLOOR(('Final Term'!U58/U$5)*100,1),new_transmute,3,FALSE),
VLOOKUP('Final Term'!U58,new_transmute,3,FALSE)
),
IF(Info!$B$4="Board program (Medicine)",
IF(OR(AND(U$5&gt;0,U$5&gt;100),AND(U$5&gt;0,U$5&lt;100)),
VLOOKUP(FLOOR(('Final Term'!U58/U$5)*100,1),new_transmute,4,FALSE),
VLOOKUP('Final Term'!U58,new_transmute,4,FALSE)
),
""
)
)
)
)
)
)
)
)
))</f>
        <v/>
      </c>
      <c r="V58" s="73" t="str">
        <f>IF($B58="","",
IF(V$5="","",
IF('Final Term'!V58="",0,
IF(NOT(ISNUMBER('Final Term'!V58)),"NAN",
IF('Final Term'!V58&lt;0,"NEG",
IF('Final Term'!V58&gt;V$5,"OVER",
IF(AND(V$5&lt;=100,'Final Term'!V58&gt;100),"ERR",
IF(Info!$B$4="Non-board program",
IF(OR(AND(V$5&gt;0,V$5&gt;100),AND(V$5&gt;0,V$5&lt;100)),
VLOOKUP(FLOOR(('Final Term'!V58/V$5)*100,1),new_transmute,2,FALSE),
VLOOKUP('Final Term'!V58,new_transmute,2,FALSE)
),
IF(Info!$B$4="Board program",
IF(OR(AND(V$5&gt;0,V$5&gt;100),AND(V$5&gt;0,V$5&lt;100)),
VLOOKUP(FLOOR(('Final Term'!V58/V$5)*100,1),new_transmute,3,FALSE),
VLOOKUP('Final Term'!V58,new_transmute,3,FALSE)
),
IF(Info!$B$4="Board program (Medicine)",
IF(OR(AND(V$5&gt;0,V$5&gt;100),AND(V$5&gt;0,V$5&lt;100)),
VLOOKUP(FLOOR(('Final Term'!V58/V$5)*100,1),new_transmute,4,FALSE),
VLOOKUP('Final Term'!V58,new_transmute,4,FALSE)
),
""
)
)
)
)
)
)
)
)
))</f>
        <v/>
      </c>
      <c r="W58" s="73" t="str">
        <f>IF($B58="","",
IF(W$5="","",
IF('Final Term'!W58="",0,
IF(NOT(ISNUMBER('Final Term'!W58)),"NAN",
IF('Final Term'!W58&lt;0,"NEG",
IF('Final Term'!W58&gt;W$5,"OVER",
IF(AND(W$5&lt;=100,'Final Term'!W58&gt;100),"ERR",
IF(Info!$B$4="Non-board program",
IF(OR(AND(W$5&gt;0,W$5&gt;100),AND(W$5&gt;0,W$5&lt;100)),
VLOOKUP(FLOOR(('Final Term'!W58/W$5)*100,1),new_transmute,2,FALSE),
VLOOKUP('Final Term'!W58,new_transmute,2,FALSE)
),
IF(Info!$B$4="Board program",
IF(OR(AND(W$5&gt;0,W$5&gt;100),AND(W$5&gt;0,W$5&lt;100)),
VLOOKUP(FLOOR(('Final Term'!W58/W$5)*100,1),new_transmute,3,FALSE),
VLOOKUP('Final Term'!W58,new_transmute,3,FALSE)
),
IF(Info!$B$4="Board program (Medicine)",
IF(OR(AND(W$5&gt;0,W$5&gt;100),AND(W$5&gt;0,W$5&lt;100)),
VLOOKUP(FLOOR(('Final Term'!W58/W$5)*100,1),new_transmute,4,FALSE),
VLOOKUP('Final Term'!W58,new_transmute,4,FALSE)
),
""
)
)
)
)
)
)
)
)
))</f>
        <v/>
      </c>
      <c r="X58" s="73" t="str">
        <f>IF($B58="","",
IF(X$5="","",
IF('Final Term'!X58="",0,
IF(NOT(ISNUMBER('Final Term'!X58)),"NAN",
IF('Final Term'!X58&lt;0,"NEG",
IF('Final Term'!X58&gt;X$5,"OVER",
IF(AND(X$5&lt;=100,'Final Term'!X58&gt;100),"ERR",
IF(Info!$B$4="Non-board program",
IF(OR(AND(X$5&gt;0,X$5&gt;100),AND(X$5&gt;0,X$5&lt;100)),
VLOOKUP(FLOOR(('Final Term'!X58/X$5)*100,1),new_transmute,2,FALSE),
VLOOKUP('Final Term'!X58,new_transmute,2,FALSE)
),
IF(Info!$B$4="Board program",
IF(OR(AND(X$5&gt;0,X$5&gt;100),AND(X$5&gt;0,X$5&lt;100)),
VLOOKUP(FLOOR(('Final Term'!X58/X$5)*100,1),new_transmute,3,FALSE),
VLOOKUP('Final Term'!X58,new_transmute,3,FALSE)
),
IF(Info!$B$4="Board program (Medicine)",
IF(OR(AND(X$5&gt;0,X$5&gt;100),AND(X$5&gt;0,X$5&lt;100)),
VLOOKUP(FLOOR(('Final Term'!X58/X$5)*100,1),new_transmute,4,FALSE),
VLOOKUP('Final Term'!X58,new_transmute,4,FALSE)
),
""
)
)
)
)
)
)
)
)
))</f>
        <v/>
      </c>
      <c r="Y58" s="112" t="str">
        <f t="shared" si="4"/>
        <v/>
      </c>
      <c r="Z58" s="73" t="str">
        <f>IF($B58="","",
IF(Z$5="","",
IF('Final Term'!Z58="",0,
IF(NOT(ISNUMBER('Final Term'!Z58)),"NAN",
IF('Final Term'!Z58&lt;0,"NEG",
IF('Final Term'!Z58&gt;Z$5,"OVER",
IF(AND(Z$5&lt;=100,'Final Term'!Z58&gt;100),"ERR",
IF(Info!$B$4="Non-board program",
IF(OR(AND(Z$5&gt;0,Z$5&gt;100),AND(Z$5&gt;0,Z$5&lt;100)),
VLOOKUP(FLOOR(('Final Term'!Z58/Z$5)*100,1),new_transmute,2,FALSE),
VLOOKUP('Final Term'!Z58,new_transmute,2,FALSE)
),
IF(Info!$B$4="Board program",
IF(OR(AND(Z$5&gt;0,Z$5&gt;100),AND(Z$5&gt;0,Z$5&lt;100)),
VLOOKUP(FLOOR(('Final Term'!Z58/Z$5)*100,1),new_transmute,3,FALSE),
VLOOKUP('Final Term'!Z58,new_transmute,3,FALSE)
),
IF(Info!$B$4="Board program (Medicine)",
IF(OR(AND(Z$5&gt;0,Z$5&gt;100),AND(Z$5&gt;0,Z$5&lt;100)),
VLOOKUP(FLOOR(('Final Term'!Z58/Z$5)*100,1),new_transmute,4,FALSE),
VLOOKUP('Final Term'!Z58,new_transmute,4,FALSE)
),
""
)
)
)
)
)
)
)
)
))</f>
        <v/>
      </c>
      <c r="AA58" s="73" t="str">
        <f>IF($B58="","",
IF(AA$5="","",
IF('Final Term'!AA58="",0,
IF(NOT(ISNUMBER('Final Term'!AA58)),"NAN",
IF('Final Term'!AA58&lt;0,"NEG",
IF('Final Term'!AA58&gt;AA$5,"OVER",
IF(AND(AA$5&lt;=100,'Final Term'!AA58&gt;100),"ERR",
IF(Info!$B$4="Non-board program",
IF(OR(AND(AA$5&gt;0,AA$5&gt;100),AND(AA$5&gt;0,AA$5&lt;100)),
VLOOKUP(FLOOR(('Final Term'!AA58/AA$5)*100,1),new_transmute,2,FALSE),
VLOOKUP('Final Term'!AA58,new_transmute,2,FALSE)
),
IF(Info!$B$4="Board program",
IF(OR(AND(AA$5&gt;0,AA$5&gt;100),AND(AA$5&gt;0,AA$5&lt;100)),
VLOOKUP(FLOOR(('Final Term'!AA58/AA$5)*100,1),new_transmute,3,FALSE),
VLOOKUP('Final Term'!AA58,new_transmute,3,FALSE)
),
IF(Info!$B$4="Board program (Medicine)",
IF(OR(AND(AA$5&gt;0,AA$5&gt;100),AND(AA$5&gt;0,AA$5&lt;100)),
VLOOKUP(FLOOR(('Final Term'!AA58/AA$5)*100,1),new_transmute,4,FALSE),
VLOOKUP('Final Term'!AA58,new_transmute,4,FALSE)
),
""
)
)
)
)
)
)
)
)
))</f>
        <v/>
      </c>
      <c r="AB58" s="73" t="str">
        <f>IF($B58="","",
IF(AB$5="","",
IF('Final Term'!AB58="",0,
IF(NOT(ISNUMBER('Final Term'!AB58)),"NAN",
IF('Final Term'!AB58&lt;0,"NEG",
IF('Final Term'!AB58&gt;AB$5,"OVER",
IF(AND(AB$5&lt;=100,'Final Term'!AB58&gt;100),"ERR",
IF(Info!$B$4="Non-board program",
IF(OR(AND(AB$5&gt;0,AB$5&gt;100),AND(AB$5&gt;0,AB$5&lt;100)),
VLOOKUP(FLOOR(('Final Term'!AB58/AB$5)*100,1),new_transmute,2,FALSE),
VLOOKUP('Final Term'!AB58,new_transmute,2,FALSE)
),
IF(Info!$B$4="Board program",
IF(OR(AND(AB$5&gt;0,AB$5&gt;100),AND(AB$5&gt;0,AB$5&lt;100)),
VLOOKUP(FLOOR(('Final Term'!AB58/AB$5)*100,1),new_transmute,3,FALSE),
VLOOKUP('Final Term'!AB58,new_transmute,3,FALSE)
),
IF(Info!$B$4="Board program (Medicine)",
IF(OR(AND(AB$5&gt;0,AB$5&gt;100),AND(AB$5&gt;0,AB$5&lt;100)),
VLOOKUP(FLOOR(('Final Term'!AB58/AB$5)*100,1),new_transmute,4,FALSE),
VLOOKUP('Final Term'!AB58,new_transmute,4,FALSE)
),
""
)
)
)
)
)
)
)
)
))</f>
        <v/>
      </c>
      <c r="AC58" s="73" t="str">
        <f>IF($B58="","",
IF(AC$5="","",
IF('Final Term'!AC58="",0,
IF(NOT(ISNUMBER('Final Term'!AC58)),"NAN",
IF('Final Term'!AC58&lt;0,"NEG",
IF('Final Term'!AC58&gt;AC$5,"OVER",
IF(AND(AC$5&lt;=100,'Final Term'!AC58&gt;100),"ERR",
IF(Info!$B$4="Non-board program",
IF(OR(AND(AC$5&gt;0,AC$5&gt;100),AND(AC$5&gt;0,AC$5&lt;100)),
VLOOKUP(FLOOR(('Final Term'!AC58/AC$5)*100,1),new_transmute,2,FALSE),
VLOOKUP('Final Term'!AC58,new_transmute,2,FALSE)
),
IF(Info!$B$4="Board program",
IF(OR(AND(AC$5&gt;0,AC$5&gt;100),AND(AC$5&gt;0,AC$5&lt;100)),
VLOOKUP(FLOOR(('Final Term'!AC58/AC$5)*100,1),new_transmute,3,FALSE),
VLOOKUP('Final Term'!AC58,new_transmute,3,FALSE)
),
IF(Info!$B$4="Board program (Medicine)",
IF(OR(AND(AC$5&gt;0,AC$5&gt;100),AND(AC$5&gt;0,AC$5&lt;100)),
VLOOKUP(FLOOR(('Final Term'!AC58/AC$5)*100,1),new_transmute,4,FALSE),
VLOOKUP('Final Term'!AC58,new_transmute,4,FALSE)
),
""
)
)
)
)
)
)
)
)
))</f>
        <v/>
      </c>
      <c r="AD58" s="73" t="str">
        <f>IF($B58="","",
IF(AD$5="","",
IF('Final Term'!AD58="",0,
IF(NOT(ISNUMBER('Final Term'!AD58)),"NAN",
IF('Final Term'!AD58&lt;0,"NEG",
IF('Final Term'!AD58&gt;AD$5,"OVER",
IF(AND(AD$5&lt;=100,'Final Term'!AD58&gt;100),"ERR",
IF(Info!$B$4="Non-board program",
IF(OR(AND(AD$5&gt;0,AD$5&gt;100),AND(AD$5&gt;0,AD$5&lt;100)),
VLOOKUP(FLOOR(('Final Term'!AD58/AD$5)*100,1),new_transmute,2,FALSE),
VLOOKUP('Final Term'!AD58,new_transmute,2,FALSE)
),
IF(Info!$B$4="Board program",
IF(OR(AND(AD$5&gt;0,AD$5&gt;100),AND(AD$5&gt;0,AD$5&lt;100)),
VLOOKUP(FLOOR(('Final Term'!AD58/AD$5)*100,1),new_transmute,3,FALSE),
VLOOKUP('Final Term'!AD58,new_transmute,3,FALSE)
),
IF(Info!$B$4="Board program (Medicine)",
IF(OR(AND(AD$5&gt;0,AD$5&gt;100),AND(AD$5&gt;0,AD$5&lt;100)),
VLOOKUP(FLOOR(('Final Term'!AD58/AD$5)*100,1),new_transmute,4,FALSE),
VLOOKUP('Final Term'!AD58,new_transmute,4,FALSE)
),
""
)
)
)
)
)
)
)
)
))</f>
        <v/>
      </c>
      <c r="AE58" s="58" t="str">
        <f t="shared" si="5"/>
        <v/>
      </c>
      <c r="AF58" s="73" t="str">
        <f>IF($B58="","",
IF(AF$5="","",
IF('Final Term'!AF58="",0,
IF(NOT(ISNUMBER('Final Term'!AF58)),"NAN",
IF('Final Term'!AF58&lt;0,"NEG",
IF('Final Term'!AF58&gt;AF$5,"OVER",
IF(AND(AF$5&lt;=100,'Final Term'!AF58&gt;100),"ERR",
IF(Info!$B$4="Non-board program",
IF(OR(AND(AF$5&gt;0,AF$5&gt;100),AND(AF$5&gt;0,AF$5&lt;100)),
VLOOKUP(FLOOR(('Final Term'!AF58/AF$5)*100,1),new_transmute,2,FALSE),
VLOOKUP('Final Term'!AF58,new_transmute,2,FALSE)
),
IF(Info!$B$4="Board program",
IF(OR(AND(AF$5&gt;0,AF$5&gt;100),AND(AF$5&gt;0,AF$5&lt;100)),
VLOOKUP(FLOOR(('Final Term'!AF58/AF$5)*100,1),new_transmute,3,FALSE),
VLOOKUP('Final Term'!AF58,new_transmute,3,FALSE)
),
IF(Info!$B$4="Board program (Medicine)",
IF(OR(AND(AF$5&gt;0,AF$5&gt;100),AND(AF$5&gt;0,AF$5&lt;100)),
VLOOKUP(FLOOR(('Final Term'!AF58/AF$5)*100,1),new_transmute,4,FALSE),
VLOOKUP('Final Term'!AF58,new_transmute,4,FALSE)
),
""
)
)
)
)
)
)
)
)
))</f>
        <v/>
      </c>
      <c r="AG58" s="73" t="str">
        <f>IF($B58="","",
IF(AG$5="","",
IF('Final Term'!AG58="",0,
IF(NOT(ISNUMBER('Final Term'!AG58)),"NAN",
IF('Final Term'!AG58&lt;0,"NEG",
IF('Final Term'!AG58&gt;AG$5,"OVER",
IF(AND(AG$5&lt;=100,'Final Term'!AG58&gt;100),"ERR",
IF(Info!$B$4="Non-board program",
IF(OR(AND(AG$5&gt;0,AG$5&gt;100),AND(AG$5&gt;0,AG$5&lt;100)),
VLOOKUP(FLOOR(('Final Term'!AG58/AG$5)*100,1),new_transmute,2,FALSE),
VLOOKUP('Final Term'!AG58,new_transmute,2,FALSE)
),
IF(Info!$B$4="Board program",
IF(OR(AND(AG$5&gt;0,AG$5&gt;100),AND(AG$5&gt;0,AG$5&lt;100)),
VLOOKUP(FLOOR(('Final Term'!AG58/AG$5)*100,1),new_transmute,3,FALSE),
VLOOKUP('Final Term'!AG58,new_transmute,3,FALSE)
),
IF(Info!$B$4="Board program (Medicine)",
IF(OR(AND(AG$5&gt;0,AG$5&gt;100),AND(AG$5&gt;0,AG$5&lt;100)),
VLOOKUP(FLOOR(('Final Term'!AG58/AG$5)*100,1),new_transmute,4,FALSE),
VLOOKUP('Final Term'!AG58,new_transmute,4,FALSE)
),
""
)
)
)
)
)
)
)
)
))</f>
        <v/>
      </c>
      <c r="AH58" s="73" t="str">
        <f>IF($B58="","",
IF(AH$5="","",
IF('Final Term'!AH58="",0,
IF(NOT(ISNUMBER('Final Term'!AH58)),"NAN",
IF('Final Term'!AH58&lt;0,"NEG",
IF('Final Term'!AH58&gt;AH$5,"OVER",
IF(AND(AH$5&lt;=100,'Final Term'!AH58&gt;100),"ERR",
IF(Info!$B$4="Non-board program",
IF(OR(AND(AH$5&gt;0,AH$5&gt;100),AND(AH$5&gt;0,AH$5&lt;100)),
VLOOKUP(FLOOR(('Final Term'!AH58/AH$5)*100,1),new_transmute,2,FALSE),
VLOOKUP('Final Term'!AH58,new_transmute,2,FALSE)
),
IF(Info!$B$4="Board program",
IF(OR(AND(AH$5&gt;0,AH$5&gt;100),AND(AH$5&gt;0,AH$5&lt;100)),
VLOOKUP(FLOOR(('Final Term'!AH58/AH$5)*100,1),new_transmute,3,FALSE),
VLOOKUP('Final Term'!AH58,new_transmute,3,FALSE)
),
IF(Info!$B$4="Board program (Medicine)",
IF(OR(AND(AH$5&gt;0,AH$5&gt;100),AND(AH$5&gt;0,AH$5&lt;100)),
VLOOKUP(FLOOR(('Final Term'!AH58/AH$5)*100,1),new_transmute,4,FALSE),
VLOOKUP('Final Term'!AH58,new_transmute,4,FALSE)
),
""
)
)
)
)
)
)
)
)
))</f>
        <v/>
      </c>
      <c r="AI58" s="73" t="str">
        <f>IF($B58="","",
IF(AI$5="","",
IF('Final Term'!AI58="",0,
IF(NOT(ISNUMBER('Final Term'!AI58)),"NAN",
IF('Final Term'!AI58&lt;0,"NEG",
IF('Final Term'!AI58&gt;AI$5,"OVER",
IF(AND(AI$5&lt;=100,'Final Term'!AI58&gt;100),"ERR",
IF(Info!$B$4="Non-board program",
IF(OR(AND(AI$5&gt;0,AI$5&gt;100),AND(AI$5&gt;0,AI$5&lt;100)),
VLOOKUP(FLOOR(('Final Term'!AI58/AI$5)*100,1),new_transmute,2,FALSE),
VLOOKUP('Final Term'!AI58,new_transmute,2,FALSE)
),
IF(Info!$B$4="Board program",
IF(OR(AND(AI$5&gt;0,AI$5&gt;100),AND(AI$5&gt;0,AI$5&lt;100)),
VLOOKUP(FLOOR(('Final Term'!AI58/AI$5)*100,1),new_transmute,3,FALSE),
VLOOKUP('Final Term'!AI58,new_transmute,3,FALSE)
),
IF(Info!$B$4="Board program (Medicine)",
IF(OR(AND(AI$5&gt;0,AI$5&gt;100),AND(AI$5&gt;0,AI$5&lt;100)),
VLOOKUP(FLOOR(('Final Term'!AI58/AI$5)*100,1),new_transmute,4,FALSE),
VLOOKUP('Final Term'!AI58,new_transmute,4,FALSE)
),
""
)
)
)
)
)
)
)
)
))</f>
        <v/>
      </c>
      <c r="AJ58" s="73" t="str">
        <f>IF($B58="","",
IF(AJ$5="","",
IF('Final Term'!AJ58="",0,
IF(NOT(ISNUMBER('Final Term'!AJ58)),"NAN",
IF('Final Term'!AJ58&lt;0,"NEG",
IF('Final Term'!AJ58&gt;AJ$5,"OVER",
IF(AND(AJ$5&lt;=100,'Final Term'!AJ58&gt;100),"ERR",
IF(Info!$B$4="Non-board program",
IF(OR(AND(AJ$5&gt;0,AJ$5&gt;100),AND(AJ$5&gt;0,AJ$5&lt;100)),
VLOOKUP(FLOOR(('Final Term'!AJ58/AJ$5)*100,1),new_transmute,2,FALSE),
VLOOKUP('Final Term'!AJ58,new_transmute,2,FALSE)
),
IF(Info!$B$4="Board program",
IF(OR(AND(AJ$5&gt;0,AJ$5&gt;100),AND(AJ$5&gt;0,AJ$5&lt;100)),
VLOOKUP(FLOOR(('Final Term'!AJ58/AJ$5)*100,1),new_transmute,3,FALSE),
VLOOKUP('Final Term'!AJ58,new_transmute,3,FALSE)
),
IF(Info!$B$4="Board program (Medicine)",
IF(OR(AND(AJ$5&gt;0,AJ$5&gt;100),AND(AJ$5&gt;0,AJ$5&lt;100)),
VLOOKUP(FLOOR(('Final Term'!AJ58/AJ$5)*100,1),new_transmute,4,FALSE),
VLOOKUP('Final Term'!AJ58,new_transmute,4,FALSE)
),
""
)
)
)
)
)
)
)
)
))</f>
        <v/>
      </c>
      <c r="AK58" s="59" t="str">
        <f t="shared" si="6"/>
        <v/>
      </c>
      <c r="AL58" s="60" t="str">
        <f>IF(B58="", "",
    IF(OR(M58="OVER", S58="OVER", Y58="OVER", AE58="OVER", AK58="OVER"),
        "OVER",
        IF(Info!$B$4="Non-board program",
            VLOOKUP(IFERROR(FLOOR(SUM((M58*$M$4), (S58*$S$4), (Y58*$Y$4), (AE58*$AE$4), (AK58*$AK$4)) * (100 / 60), 1), 0), new_transmute, 2, FALSE),
            IF(Info!$B$4="Board program",
                VLOOKUP(IFERROR(FLOOR(SUM((M58*$M$4), (S58*$S$4), (Y58*$Y$4), (AE58*$AE$4), (AK58*$AK$4)) * (100 / 60), 1), 0), new_transmute, 3, FALSE),
                IF(Info!$B$4="Board program (Medicine)",
                    VLOOKUP(IFERROR(FLOOR(SUM((M58*$M$4), (S58*$S$4), (Y58*$Y$4), (AE58*$AE$4), (AK58*$AK$4)) * (100 / 60), 1), 0), new_transmute, 4, FALSE),
                    ""
                )
            )
        )
    )
)</f>
        <v/>
      </c>
      <c r="AM58" s="73" t="str">
        <f>IF($B58="","",
IF(AM$5="","",
IF('Final Term'!AM58="",0,
IF(NOT(ISNUMBER('Final Term'!AM58)),"NAN",
IF('Final Term'!AM58&lt;0,"NEG",
IF('Final Term'!AM58&gt;AM$5,"OVER",
IF(AND(AM$5&lt;=100,'Final Term'!AM58&gt;100),"ERR",
IF(Info!$B$4="Non-board program",
IF(OR(AND(AM$5&gt;0,AM$5&gt;100),AND(AM$5&gt;0,AM$5&lt;100)),
VLOOKUP(FLOOR(('Final Term'!AM58/AM$5)*100,1),new_transmute,2,FALSE),
VLOOKUP('Final Term'!AM58,new_transmute,2,FALSE)
),
IF(Info!$B$4="Board program",
IF(OR(AND(AM$5&gt;0,AM$5&gt;100),AND(AM$5&gt;0,AM$5&lt;100)),
VLOOKUP(FLOOR(('Final Term'!AM58/AM$5)*100,1),new_transmute,3,FALSE),
VLOOKUP('Final Term'!AM58,new_transmute,3,FALSE)
),
IF(Info!$B$4="Board program (Medicine)",
IF(OR(AND(AM$5&gt;0,AM$5&gt;100),AND(AM$5&gt;0,AM$5&lt;100)),
VLOOKUP(FLOOR(('Final Term'!AM58/AM$5)*100,1),new_transmute,4,FALSE),
VLOOKUP('Final Term'!AM58,new_transmute,4,FALSE)
),
""
)
)
)
)
)
)
)
)
))</f>
        <v/>
      </c>
      <c r="AN58" s="73" t="str">
        <f>IF($B58="","",
IF(AN$5="","",
IF('Final Term'!AN58="",0,
IF(NOT(ISNUMBER('Final Term'!AN58)),"NAN",
IF('Final Term'!AN58&lt;0,"NEG",
IF('Final Term'!AN58&gt;AN$5,"OVER",
IF(AND(AN$5&lt;=100,'Final Term'!AN58&gt;100),"ERR",
IF(Info!$B$4="Non-board program",
IF(OR(AND(AN$5&gt;0,AN$5&gt;100),AND(AN$5&gt;0,AN$5&lt;100)),
VLOOKUP(FLOOR(('Final Term'!AN58/AN$5)*100,1),new_transmute,2,FALSE),
VLOOKUP('Final Term'!AN58,new_transmute,2,FALSE)
),
IF(Info!$B$4="Board program",
IF(OR(AND(AN$5&gt;0,AN$5&gt;100),AND(AN$5&gt;0,AN$5&lt;100)),
VLOOKUP(FLOOR(('Final Term'!AN58/AN$5)*100,1),new_transmute,3,FALSE),
VLOOKUP('Final Term'!AN58,new_transmute,3,FALSE)
),
IF(Info!$B$4="Board program (Medicine)",
IF(OR(AND(AN$5&gt;0,AN$5&gt;100),AND(AN$5&gt;0,AN$5&lt;100)),
VLOOKUP(FLOOR(('Final Term'!AN58/AN$5)*100,1),new_transmute,4,FALSE),
VLOOKUP('Final Term'!AN58,new_transmute,4,FALSE)
),
""
)
)
)
)
)
)
)
)
))</f>
        <v/>
      </c>
      <c r="AO58" s="73" t="str">
        <f>IF($B58="","",
IF(AO$5="","",
IF('Final Term'!AO58="",0,
IF(NOT(ISNUMBER('Final Term'!AO58)),"NAN",
IF('Final Term'!AO58&lt;0,"NEG",
IF('Final Term'!AO58&gt;AO$5,"OVER",
IF(AND(AO$5&lt;=100,'Final Term'!AO58&gt;100),"ERR",
IF(Info!$B$4="Non-board program",
IF(OR(AND(AO$5&gt;0,AO$5&gt;100),AND(AO$5&gt;0,AO$5&lt;100)),
VLOOKUP(FLOOR(('Final Term'!AO58/AO$5)*100,1),new_transmute,2,FALSE),
VLOOKUP('Final Term'!AO58,new_transmute,2,FALSE)
),
IF(Info!$B$4="Board program",
IF(OR(AND(AO$5&gt;0,AO$5&gt;100),AND(AO$5&gt;0,AO$5&lt;100)),
VLOOKUP(FLOOR(('Final Term'!AO58/AO$5)*100,1),new_transmute,3,FALSE),
VLOOKUP('Final Term'!AO58,new_transmute,3,FALSE)
),
IF(Info!$B$4="Board program (Medicine)",
IF(OR(AND(AO$5&gt;0,AO$5&gt;100),AND(AO$5&gt;0,AO$5&lt;100)),
VLOOKUP(FLOOR(('Final Term'!AO58/AO$5)*100,1),new_transmute,4,FALSE),
VLOOKUP('Final Term'!AO58,new_transmute,4,FALSE)
),
""
)
)
)
)
)
)
)
)
))</f>
        <v/>
      </c>
      <c r="AP58" s="73" t="str">
        <f>IF($B58="","",
IF(AP$5="","",
IF('Final Term'!AP58="",0,
IF(NOT(ISNUMBER('Final Term'!AP58)),"NAN",
IF('Final Term'!AP58&lt;0,"NEG",
IF('Final Term'!AP58&gt;AP$5,"OVER",
IF(AND(AP$5&lt;=100,'Final Term'!AP58&gt;100),"ERR",
IF(Info!$B$4="Non-board program",
IF(OR(AND(AP$5&gt;0,AP$5&gt;100),AND(AP$5&gt;0,AP$5&lt;100)),
VLOOKUP(FLOOR(('Final Term'!AP58/AP$5)*100,1),new_transmute,2,FALSE),
VLOOKUP('Final Term'!AP58,new_transmute,2,FALSE)
),
IF(Info!$B$4="Board program",
IF(OR(AND(AP$5&gt;0,AP$5&gt;100),AND(AP$5&gt;0,AP$5&lt;100)),
VLOOKUP(FLOOR(('Final Term'!AP58/AP$5)*100,1),new_transmute,3,FALSE),
VLOOKUP('Final Term'!AP58,new_transmute,3,FALSE)
),
IF(Info!$B$4="Board program (Medicine)",
IF(OR(AND(AP$5&gt;0,AP$5&gt;100),AND(AP$5&gt;0,AP$5&lt;100)),
VLOOKUP(FLOOR(('Final Term'!AP58/AP$5)*100,1),new_transmute,4,FALSE),
VLOOKUP('Final Term'!AP58,new_transmute,4,FALSE)
),
""
)
)
)
)
)
)
)
)
))</f>
        <v/>
      </c>
      <c r="AQ58" s="61" t="str">
        <f t="shared" si="7"/>
        <v/>
      </c>
      <c r="AR58" s="48" t="str">
        <f>IF('Final Term'!AR58="","",'Final Term'!AR58)</f>
        <v/>
      </c>
      <c r="AS58" s="165" t="str">
        <f t="shared" si="8"/>
        <v/>
      </c>
      <c r="AT58" s="14" t="str">
        <f t="shared" si="9"/>
        <v/>
      </c>
      <c r="AU58" s="13" t="str">
        <f>IF(B58="","",VLOOKUP(AT58,'New Grade Equivalent'!$B$3:$C$47,2,FALSE))</f>
        <v/>
      </c>
    </row>
    <row r="59" spans="1:47" x14ac:dyDescent="0.25">
      <c r="A59" s="8">
        <v>54</v>
      </c>
      <c r="B59" s="2" t="str">
        <f>IF('Student List'!C63="","",UPPER(LEFT('Student List'!C63,FIND(",",'Student List'!C63)-1)))</f>
        <v/>
      </c>
      <c r="C59" s="12" t="str">
        <f>IF('Student List'!C63="","",PROPER(MID('Student List'!C63, FIND(",", 'Student List'!C63) + 2, LEN('Student List'!C63) - FIND(",", 'Student List'!C63) - 1)))</f>
        <v/>
      </c>
      <c r="D59" s="127" t="str">
        <f>IF('Final Term'!D59="","",'Final Term'!D59)</f>
        <v/>
      </c>
      <c r="E59" s="8" t="str">
        <f>IF(MidCom!E59="FA", "FA",
    IF(MidCom!E59="DRP", "DRP",
        IF(MidCom!E59="WF", "WF",
            IF(D59="Yes", "INC",
               IF((SUM('MT Attendance'!AW57) / 3 + SUM('MT Attendance'!AY57) + SUM('FT Attendance'!AW57) / 3 + SUM('FT Attendance'!AY57)) &gt;= 0.2 * (SUMPRODUCT(--(ISTEXT('MT Attendance'!$C$2:$AU$2))) + SUMPRODUCT(--(ISTEXT('FT Attendance'!$C$2:$AU$2)))), "FA",
                   MidCom!E59
                )
            )
        )
    )
)</f>
        <v/>
      </c>
      <c r="F59" s="73" t="str">
        <f>IF($B59="","",
IF(F$5="","",
IF('Final Term'!F59="",0,
IF(NOT(ISNUMBER('Final Term'!F59)),"NAN",
IF('Final Term'!F59&lt;0,"NEG",
IF('Final Term'!F59&gt;F$5,"OVER",
IF(AND(F$5&lt;=100,'Final Term'!F59&gt;100),"ERR",
IF(Info!$B$4="Non-board program",
IF(OR(AND(F$5&gt;0,F$5&gt;100),AND(F$5&gt;0,F$5&lt;100)),
VLOOKUP(FLOOR(('Final Term'!F59/F$5)*100,1),new_transmute,2,FALSE),
VLOOKUP('Final Term'!F59,new_transmute,2,FALSE)
),
IF(Info!$B$4="Board program",
IF(OR(AND(F$5&gt;0,F$5&gt;100),AND(F$5&gt;0,F$5&lt;100)),
VLOOKUP(FLOOR(('Final Term'!F59/F$5)*100,1),new_transmute,3,FALSE),
VLOOKUP('Final Term'!F59,new_transmute,3,FALSE)
),
IF(Info!$B$4="Board program (Medicine)",
IF(OR(AND(F$5&gt;0,F$5&gt;100),AND(F$5&gt;0,F$5&lt;100)),
VLOOKUP(FLOOR(('Final Term'!F59/F$5)*100,1),new_transmute,4,FALSE),
VLOOKUP('Final Term'!F59,new_transmute,4,FALSE)
),
""
)
)
)
)
)
)
)
)
))</f>
        <v/>
      </c>
      <c r="G59" s="57" t="str">
        <f t="shared" si="1"/>
        <v/>
      </c>
      <c r="H59" s="73" t="str">
        <f>IF($B59="","",
IF(H$5="","",
IF('Final Term'!H59="",0,
IF(NOT(ISNUMBER('Final Term'!H59)),"NAN",
IF('Final Term'!H59&lt;0,"NEG",
IF('Final Term'!H59&gt;H$5,"OVER",
IF(AND(H$5&lt;=100,'Final Term'!H59&gt;100),"ERR",
IF(Info!$B$4="Non-board program",
IF(OR(AND(H$5&gt;0,H$5&gt;100),AND(H$5&gt;0,H$5&lt;100)),
VLOOKUP(FLOOR(('Final Term'!H59/H$5)*100,1),new_transmute,2,FALSE),
VLOOKUP('Final Term'!H59,new_transmute,2,FALSE)
),
IF(Info!$B$4="Board program",
IF(OR(AND(H$5&gt;0,H$5&gt;100),AND(H$5&gt;0,H$5&lt;100)),
VLOOKUP(FLOOR(('Final Term'!H59/H$5)*100,1),new_transmute,3,FALSE),
VLOOKUP('Final Term'!H59,new_transmute,3,FALSE)
),
IF(Info!$B$4="Board program (Medicine)",
IF(OR(AND(H$5&gt;0,H$5&gt;100),AND(H$5&gt;0,H$5&lt;100)),
VLOOKUP(FLOOR(('Final Term'!H59/H$5)*100,1),new_transmute,4,FALSE),
VLOOKUP('Final Term'!H59,new_transmute,4,FALSE)
),
""
)
)
)
)
)
)
)
)
))</f>
        <v/>
      </c>
      <c r="I59" s="73" t="str">
        <f>IF($B59="","",
IF(I$5="","",
IF('Final Term'!I59="",0,
IF(NOT(ISNUMBER('Final Term'!I59)),"NAN",
IF('Final Term'!I59&lt;0,"NEG",
IF('Final Term'!I59&gt;I$5,"OVER",
IF(AND(I$5&lt;=100,'Final Term'!I59&gt;100),"ERR",
IF(Info!$B$4="Non-board program",
IF(OR(AND(I$5&gt;0,I$5&gt;100),AND(I$5&gt;0,I$5&lt;100)),
VLOOKUP(FLOOR(('Final Term'!I59/I$5)*100,1),new_transmute,2,FALSE),
VLOOKUP('Final Term'!I59,new_transmute,2,FALSE)
),
IF(Info!$B$4="Board program",
IF(OR(AND(I$5&gt;0,I$5&gt;100),AND(I$5&gt;0,I$5&lt;100)),
VLOOKUP(FLOOR(('Final Term'!I59/I$5)*100,1),new_transmute,3,FALSE),
VLOOKUP('Final Term'!I59,new_transmute,3,FALSE)
),
IF(Info!$B$4="Board program (Medicine)",
IF(OR(AND(I$5&gt;0,I$5&gt;100),AND(I$5&gt;0,I$5&lt;100)),
VLOOKUP(FLOOR(('Final Term'!I59/I$5)*100,1),new_transmute,4,FALSE),
VLOOKUP('Final Term'!I59,new_transmute,4,FALSE)
),
""
)
)
)
)
)
)
)
)
))</f>
        <v/>
      </c>
      <c r="J59" s="73" t="str">
        <f>IF($B59="","",
IF(J$5="","",
IF('Final Term'!J59="",0,
IF(NOT(ISNUMBER('Final Term'!J59)),"NAN",
IF('Final Term'!J59&lt;0,"NEG",
IF('Final Term'!J59&gt;J$5,"OVER",
IF(AND(J$5&lt;=100,'Final Term'!J59&gt;100),"ERR",
IF(Info!$B$4="Non-board program",
IF(OR(AND(J$5&gt;0,J$5&gt;100),AND(J$5&gt;0,J$5&lt;100)),
VLOOKUP(FLOOR(('Final Term'!J59/J$5)*100,1),new_transmute,2,FALSE),
VLOOKUP('Final Term'!J59,new_transmute,2,FALSE)
),
IF(Info!$B$4="Board program",
IF(OR(AND(J$5&gt;0,J$5&gt;100),AND(J$5&gt;0,J$5&lt;100)),
VLOOKUP(FLOOR(('Final Term'!J59/J$5)*100,1),new_transmute,3,FALSE),
VLOOKUP('Final Term'!J59,new_transmute,3,FALSE)
),
IF(Info!$B$4="Board program (Medicine)",
IF(OR(AND(J$5&gt;0,J$5&gt;100),AND(J$5&gt;0,J$5&lt;100)),
VLOOKUP(FLOOR(('Final Term'!J59/J$5)*100,1),new_transmute,4,FALSE),
VLOOKUP('Final Term'!J59,new_transmute,4,FALSE)
),
""
)
)
)
)
)
)
)
)
))</f>
        <v/>
      </c>
      <c r="K59" s="73" t="str">
        <f>IF($B59="","",
IF(K$5="","",
IF('Final Term'!K59="",0,
IF(NOT(ISNUMBER('Final Term'!K59)),"NAN",
IF('Final Term'!K59&lt;0,"NEG",
IF('Final Term'!K59&gt;K$5,"OVER",
IF(AND(K$5&lt;=100,'Final Term'!K59&gt;100),"ERR",
IF(Info!$B$4="Non-board program",
IF(OR(AND(K$5&gt;0,K$5&gt;100),AND(K$5&gt;0,K$5&lt;100)),
VLOOKUP(FLOOR(('Final Term'!K59/K$5)*100,1),new_transmute,2,FALSE),
VLOOKUP('Final Term'!K59,new_transmute,2,FALSE)
),
IF(Info!$B$4="Board program",
IF(OR(AND(K$5&gt;0,K$5&gt;100),AND(K$5&gt;0,K$5&lt;100)),
VLOOKUP(FLOOR(('Final Term'!K59/K$5)*100,1),new_transmute,3,FALSE),
VLOOKUP('Final Term'!K59,new_transmute,3,FALSE)
),
IF(Info!$B$4="Board program (Medicine)",
IF(OR(AND(K$5&gt;0,K$5&gt;100),AND(K$5&gt;0,K$5&lt;100)),
VLOOKUP(FLOOR(('Final Term'!K59/K$5)*100,1),new_transmute,4,FALSE),
VLOOKUP('Final Term'!K59,new_transmute,4,FALSE)
),
""
)
)
)
)
)
)
)
)
))</f>
        <v/>
      </c>
      <c r="L59" s="73" t="str">
        <f>IF($B59="","",
IF(L$5="","",
IF('Final Term'!L59="",0,
IF(NOT(ISNUMBER('Final Term'!L59)),"NAN",
IF('Final Term'!L59&lt;0,"NEG",
IF('Final Term'!L59&gt;L$5,"OVER",
IF(AND(L$5&lt;=100,'Final Term'!L59&gt;100),"ERR",
IF(Info!$B$4="Non-board program",
IF(OR(AND(L$5&gt;0,L$5&gt;100),AND(L$5&gt;0,L$5&lt;100)),
VLOOKUP(FLOOR(('Final Term'!L59/L$5)*100,1),new_transmute,2,FALSE),
VLOOKUP('Final Term'!L59,new_transmute,2,FALSE)
),
IF(Info!$B$4="Board program",
IF(OR(AND(L$5&gt;0,L$5&gt;100),AND(L$5&gt;0,L$5&lt;100)),
VLOOKUP(FLOOR(('Final Term'!L59/L$5)*100,1),new_transmute,3,FALSE),
VLOOKUP('Final Term'!L59,new_transmute,3,FALSE)
),
IF(Info!$B$4="Board program (Medicine)",
IF(OR(AND(L$5&gt;0,L$5&gt;100),AND(L$5&gt;0,L$5&lt;100)),
VLOOKUP(FLOOR(('Final Term'!L59/L$5)*100,1),new_transmute,4,FALSE),
VLOOKUP('Final Term'!L59,new_transmute,4,FALSE)
),
""
)
)
)
)
)
)
)
)
))</f>
        <v/>
      </c>
      <c r="M59" s="111" t="str">
        <f t="shared" si="2"/>
        <v/>
      </c>
      <c r="N59" s="73" t="str">
        <f>IF($B59="","",
IF(N$5="","",
IF('Final Term'!N59="",0,
IF(NOT(ISNUMBER('Final Term'!N59)),"NAN",
IF('Final Term'!N59&lt;0,"NEG",
IF('Final Term'!N59&gt;N$5,"OVER",
IF(AND(N$5&lt;=100,'Final Term'!N59&gt;100),"ERR",
IF(Info!$B$4="Non-board program",
IF(OR(AND(N$5&gt;0,N$5&gt;100),AND(N$5&gt;0,N$5&lt;100)),
VLOOKUP(FLOOR(('Final Term'!N59/N$5)*100,1),new_transmute,2,FALSE),
VLOOKUP('Final Term'!N59,new_transmute,2,FALSE)
),
IF(Info!$B$4="Board program",
IF(OR(AND(N$5&gt;0,N$5&gt;100),AND(N$5&gt;0,N$5&lt;100)),
VLOOKUP(FLOOR(('Final Term'!N59/N$5)*100,1),new_transmute,3,FALSE),
VLOOKUP('Final Term'!N59,new_transmute,3,FALSE)
),
IF(Info!$B$4="Board program (Medicine)",
IF(OR(AND(N$5&gt;0,N$5&gt;100),AND(N$5&gt;0,N$5&lt;100)),
VLOOKUP(FLOOR(('Final Term'!N59/N$5)*100,1),new_transmute,4,FALSE),
VLOOKUP('Final Term'!N59,new_transmute,4,FALSE)
),
""
)
)
)
)
)
)
)
)
))</f>
        <v/>
      </c>
      <c r="O59" s="73" t="str">
        <f>IF($B59="","",
IF(O$5="","",
IF('Final Term'!O59="",0,
IF(NOT(ISNUMBER('Final Term'!O59)),"NAN",
IF('Final Term'!O59&lt;0,"NEG",
IF('Final Term'!O59&gt;O$5,"OVER",
IF(AND(O$5&lt;=100,'Final Term'!O59&gt;100),"ERR",
IF(Info!$B$4="Non-board program",
IF(OR(AND(O$5&gt;0,O$5&gt;100),AND(O$5&gt;0,O$5&lt;100)),
VLOOKUP(FLOOR(('Final Term'!O59/O$5)*100,1),new_transmute,2,FALSE),
VLOOKUP('Final Term'!O59,new_transmute,2,FALSE)
),
IF(Info!$B$4="Board program",
IF(OR(AND(O$5&gt;0,O$5&gt;100),AND(O$5&gt;0,O$5&lt;100)),
VLOOKUP(FLOOR(('Final Term'!O59/O$5)*100,1),new_transmute,3,FALSE),
VLOOKUP('Final Term'!O59,new_transmute,3,FALSE)
),
IF(Info!$B$4="Board program (Medicine)",
IF(OR(AND(O$5&gt;0,O$5&gt;100),AND(O$5&gt;0,O$5&lt;100)),
VLOOKUP(FLOOR(('Final Term'!O59/O$5)*100,1),new_transmute,4,FALSE),
VLOOKUP('Final Term'!O59,new_transmute,4,FALSE)
),
""
)
)
)
)
)
)
)
)
))</f>
        <v/>
      </c>
      <c r="P59" s="73" t="str">
        <f>IF($B59="","",
IF(P$5="","",
IF('Final Term'!P59="",0,
IF(NOT(ISNUMBER('Final Term'!P59)),"NAN",
IF('Final Term'!P59&lt;0,"NEG",
IF('Final Term'!P59&gt;P$5,"OVER",
IF(AND(P$5&lt;=100,'Final Term'!P59&gt;100),"ERR",
IF(Info!$B$4="Non-board program",
IF(OR(AND(P$5&gt;0,P$5&gt;100),AND(P$5&gt;0,P$5&lt;100)),
VLOOKUP(FLOOR(('Final Term'!P59/P$5)*100,1),new_transmute,2,FALSE),
VLOOKUP('Final Term'!P59,new_transmute,2,FALSE)
),
IF(Info!$B$4="Board program",
IF(OR(AND(P$5&gt;0,P$5&gt;100),AND(P$5&gt;0,P$5&lt;100)),
VLOOKUP(FLOOR(('Final Term'!P59/P$5)*100,1),new_transmute,3,FALSE),
VLOOKUP('Final Term'!P59,new_transmute,3,FALSE)
),
IF(Info!$B$4="Board program (Medicine)",
IF(OR(AND(P$5&gt;0,P$5&gt;100),AND(P$5&gt;0,P$5&lt;100)),
VLOOKUP(FLOOR(('Final Term'!P59/P$5)*100,1),new_transmute,4,FALSE),
VLOOKUP('Final Term'!P59,new_transmute,4,FALSE)
),
""
)
)
)
)
)
)
)
)
))</f>
        <v/>
      </c>
      <c r="Q59" s="73" t="str">
        <f>IF($B59="","",
IF(Q$5="","",
IF('Final Term'!Q59="",0,
IF(NOT(ISNUMBER('Final Term'!Q59)),"NAN",
IF('Final Term'!Q59&lt;0,"NEG",
IF('Final Term'!Q59&gt;Q$5,"OVER",
IF(AND(Q$5&lt;=100,'Final Term'!Q59&gt;100),"ERR",
IF(Info!$B$4="Non-board program",
IF(OR(AND(Q$5&gt;0,Q$5&gt;100),AND(Q$5&gt;0,Q$5&lt;100)),
VLOOKUP(FLOOR(('Final Term'!Q59/Q$5)*100,1),new_transmute,2,FALSE),
VLOOKUP('Final Term'!Q59,new_transmute,2,FALSE)
),
IF(Info!$B$4="Board program",
IF(OR(AND(Q$5&gt;0,Q$5&gt;100),AND(Q$5&gt;0,Q$5&lt;100)),
VLOOKUP(FLOOR(('Final Term'!Q59/Q$5)*100,1),new_transmute,3,FALSE),
VLOOKUP('Final Term'!Q59,new_transmute,3,FALSE)
),
IF(Info!$B$4="Board program (Medicine)",
IF(OR(AND(Q$5&gt;0,Q$5&gt;100),AND(Q$5&gt;0,Q$5&lt;100)),
VLOOKUP(FLOOR(('Final Term'!Q59/Q$5)*100,1),new_transmute,4,FALSE),
VLOOKUP('Final Term'!Q59,new_transmute,4,FALSE)
),
""
)
)
)
)
)
)
)
)
))</f>
        <v/>
      </c>
      <c r="R59" s="73" t="str">
        <f>IF($B59="","",
IF(R$5="","",
IF('Final Term'!R59="",0,
IF(NOT(ISNUMBER('Final Term'!R59)),"NAN",
IF('Final Term'!R59&lt;0,"NEG",
IF('Final Term'!R59&gt;R$5,"OVER",
IF(AND(R$5&lt;=100,'Final Term'!R59&gt;100),"ERR",
IF(Info!$B$4="Non-board program",
IF(OR(AND(R$5&gt;0,R$5&gt;100),AND(R$5&gt;0,R$5&lt;100)),
VLOOKUP(FLOOR(('Final Term'!R59/R$5)*100,1),new_transmute,2,FALSE),
VLOOKUP('Final Term'!R59,new_transmute,2,FALSE)
),
IF(Info!$B$4="Board program",
IF(OR(AND(R$5&gt;0,R$5&gt;100),AND(R$5&gt;0,R$5&lt;100)),
VLOOKUP(FLOOR(('Final Term'!R59/R$5)*100,1),new_transmute,3,FALSE),
VLOOKUP('Final Term'!R59,new_transmute,3,FALSE)
),
IF(Info!$B$4="Board program (Medicine)",
IF(OR(AND(R$5&gt;0,R$5&gt;100),AND(R$5&gt;0,R$5&lt;100)),
VLOOKUP(FLOOR(('Final Term'!R59/R$5)*100,1),new_transmute,4,FALSE),
VLOOKUP('Final Term'!R59,new_transmute,4,FALSE)
),
""
)
)
)
)
)
)
)
)
))</f>
        <v/>
      </c>
      <c r="S59" s="115" t="str">
        <f t="shared" si="3"/>
        <v/>
      </c>
      <c r="T59" s="73" t="str">
        <f>IF($B59="","",
IF(T$5="","",
IF('Final Term'!T59="",0,
IF(NOT(ISNUMBER('Final Term'!T59)),"NAN",
IF('Final Term'!T59&lt;0,"NEG",
IF('Final Term'!T59&gt;T$5,"OVER",
IF(AND(T$5&lt;=100,'Final Term'!T59&gt;100),"ERR",
IF(Info!$B$4="Non-board program",
IF(OR(AND(T$5&gt;0,T$5&gt;100),AND(T$5&gt;0,T$5&lt;100)),
VLOOKUP(FLOOR(('Final Term'!T59/T$5)*100,1),new_transmute,2,FALSE),
VLOOKUP('Final Term'!T59,new_transmute,2,FALSE)
),
IF(Info!$B$4="Board program",
IF(OR(AND(T$5&gt;0,T$5&gt;100),AND(T$5&gt;0,T$5&lt;100)),
VLOOKUP(FLOOR(('Final Term'!T59/T$5)*100,1),new_transmute,3,FALSE),
VLOOKUP('Final Term'!T59,new_transmute,3,FALSE)
),
IF(Info!$B$4="Board program (Medicine)",
IF(OR(AND(T$5&gt;0,T$5&gt;100),AND(T$5&gt;0,T$5&lt;100)),
VLOOKUP(FLOOR(('Final Term'!T59/T$5)*100,1),new_transmute,4,FALSE),
VLOOKUP('Final Term'!T59,new_transmute,4,FALSE)
),
""
)
)
)
)
)
)
)
)
))</f>
        <v/>
      </c>
      <c r="U59" s="73" t="str">
        <f>IF($B59="","",
IF(U$5="","",
IF('Final Term'!U59="",0,
IF(NOT(ISNUMBER('Final Term'!U59)),"NAN",
IF('Final Term'!U59&lt;0,"NEG",
IF('Final Term'!U59&gt;U$5,"OVER",
IF(AND(U$5&lt;=100,'Final Term'!U59&gt;100),"ERR",
IF(Info!$B$4="Non-board program",
IF(OR(AND(U$5&gt;0,U$5&gt;100),AND(U$5&gt;0,U$5&lt;100)),
VLOOKUP(FLOOR(('Final Term'!U59/U$5)*100,1),new_transmute,2,FALSE),
VLOOKUP('Final Term'!U59,new_transmute,2,FALSE)
),
IF(Info!$B$4="Board program",
IF(OR(AND(U$5&gt;0,U$5&gt;100),AND(U$5&gt;0,U$5&lt;100)),
VLOOKUP(FLOOR(('Final Term'!U59/U$5)*100,1),new_transmute,3,FALSE),
VLOOKUP('Final Term'!U59,new_transmute,3,FALSE)
),
IF(Info!$B$4="Board program (Medicine)",
IF(OR(AND(U$5&gt;0,U$5&gt;100),AND(U$5&gt;0,U$5&lt;100)),
VLOOKUP(FLOOR(('Final Term'!U59/U$5)*100,1),new_transmute,4,FALSE),
VLOOKUP('Final Term'!U59,new_transmute,4,FALSE)
),
""
)
)
)
)
)
)
)
)
))</f>
        <v/>
      </c>
      <c r="V59" s="73" t="str">
        <f>IF($B59="","",
IF(V$5="","",
IF('Final Term'!V59="",0,
IF(NOT(ISNUMBER('Final Term'!V59)),"NAN",
IF('Final Term'!V59&lt;0,"NEG",
IF('Final Term'!V59&gt;V$5,"OVER",
IF(AND(V$5&lt;=100,'Final Term'!V59&gt;100),"ERR",
IF(Info!$B$4="Non-board program",
IF(OR(AND(V$5&gt;0,V$5&gt;100),AND(V$5&gt;0,V$5&lt;100)),
VLOOKUP(FLOOR(('Final Term'!V59/V$5)*100,1),new_transmute,2,FALSE),
VLOOKUP('Final Term'!V59,new_transmute,2,FALSE)
),
IF(Info!$B$4="Board program",
IF(OR(AND(V$5&gt;0,V$5&gt;100),AND(V$5&gt;0,V$5&lt;100)),
VLOOKUP(FLOOR(('Final Term'!V59/V$5)*100,1),new_transmute,3,FALSE),
VLOOKUP('Final Term'!V59,new_transmute,3,FALSE)
),
IF(Info!$B$4="Board program (Medicine)",
IF(OR(AND(V$5&gt;0,V$5&gt;100),AND(V$5&gt;0,V$5&lt;100)),
VLOOKUP(FLOOR(('Final Term'!V59/V$5)*100,1),new_transmute,4,FALSE),
VLOOKUP('Final Term'!V59,new_transmute,4,FALSE)
),
""
)
)
)
)
)
)
)
)
))</f>
        <v/>
      </c>
      <c r="W59" s="73" t="str">
        <f>IF($B59="","",
IF(W$5="","",
IF('Final Term'!W59="",0,
IF(NOT(ISNUMBER('Final Term'!W59)),"NAN",
IF('Final Term'!W59&lt;0,"NEG",
IF('Final Term'!W59&gt;W$5,"OVER",
IF(AND(W$5&lt;=100,'Final Term'!W59&gt;100),"ERR",
IF(Info!$B$4="Non-board program",
IF(OR(AND(W$5&gt;0,W$5&gt;100),AND(W$5&gt;0,W$5&lt;100)),
VLOOKUP(FLOOR(('Final Term'!W59/W$5)*100,1),new_transmute,2,FALSE),
VLOOKUP('Final Term'!W59,new_transmute,2,FALSE)
),
IF(Info!$B$4="Board program",
IF(OR(AND(W$5&gt;0,W$5&gt;100),AND(W$5&gt;0,W$5&lt;100)),
VLOOKUP(FLOOR(('Final Term'!W59/W$5)*100,1),new_transmute,3,FALSE),
VLOOKUP('Final Term'!W59,new_transmute,3,FALSE)
),
IF(Info!$B$4="Board program (Medicine)",
IF(OR(AND(W$5&gt;0,W$5&gt;100),AND(W$5&gt;0,W$5&lt;100)),
VLOOKUP(FLOOR(('Final Term'!W59/W$5)*100,1),new_transmute,4,FALSE),
VLOOKUP('Final Term'!W59,new_transmute,4,FALSE)
),
""
)
)
)
)
)
)
)
)
))</f>
        <v/>
      </c>
      <c r="X59" s="73" t="str">
        <f>IF($B59="","",
IF(X$5="","",
IF('Final Term'!X59="",0,
IF(NOT(ISNUMBER('Final Term'!X59)),"NAN",
IF('Final Term'!X59&lt;0,"NEG",
IF('Final Term'!X59&gt;X$5,"OVER",
IF(AND(X$5&lt;=100,'Final Term'!X59&gt;100),"ERR",
IF(Info!$B$4="Non-board program",
IF(OR(AND(X$5&gt;0,X$5&gt;100),AND(X$5&gt;0,X$5&lt;100)),
VLOOKUP(FLOOR(('Final Term'!X59/X$5)*100,1),new_transmute,2,FALSE),
VLOOKUP('Final Term'!X59,new_transmute,2,FALSE)
),
IF(Info!$B$4="Board program",
IF(OR(AND(X$5&gt;0,X$5&gt;100),AND(X$5&gt;0,X$5&lt;100)),
VLOOKUP(FLOOR(('Final Term'!X59/X$5)*100,1),new_transmute,3,FALSE),
VLOOKUP('Final Term'!X59,new_transmute,3,FALSE)
),
IF(Info!$B$4="Board program (Medicine)",
IF(OR(AND(X$5&gt;0,X$5&gt;100),AND(X$5&gt;0,X$5&lt;100)),
VLOOKUP(FLOOR(('Final Term'!X59/X$5)*100,1),new_transmute,4,FALSE),
VLOOKUP('Final Term'!X59,new_transmute,4,FALSE)
),
""
)
)
)
)
)
)
)
)
))</f>
        <v/>
      </c>
      <c r="Y59" s="112" t="str">
        <f t="shared" si="4"/>
        <v/>
      </c>
      <c r="Z59" s="73" t="str">
        <f>IF($B59="","",
IF(Z$5="","",
IF('Final Term'!Z59="",0,
IF(NOT(ISNUMBER('Final Term'!Z59)),"NAN",
IF('Final Term'!Z59&lt;0,"NEG",
IF('Final Term'!Z59&gt;Z$5,"OVER",
IF(AND(Z$5&lt;=100,'Final Term'!Z59&gt;100),"ERR",
IF(Info!$B$4="Non-board program",
IF(OR(AND(Z$5&gt;0,Z$5&gt;100),AND(Z$5&gt;0,Z$5&lt;100)),
VLOOKUP(FLOOR(('Final Term'!Z59/Z$5)*100,1),new_transmute,2,FALSE),
VLOOKUP('Final Term'!Z59,new_transmute,2,FALSE)
),
IF(Info!$B$4="Board program",
IF(OR(AND(Z$5&gt;0,Z$5&gt;100),AND(Z$5&gt;0,Z$5&lt;100)),
VLOOKUP(FLOOR(('Final Term'!Z59/Z$5)*100,1),new_transmute,3,FALSE),
VLOOKUP('Final Term'!Z59,new_transmute,3,FALSE)
),
IF(Info!$B$4="Board program (Medicine)",
IF(OR(AND(Z$5&gt;0,Z$5&gt;100),AND(Z$5&gt;0,Z$5&lt;100)),
VLOOKUP(FLOOR(('Final Term'!Z59/Z$5)*100,1),new_transmute,4,FALSE),
VLOOKUP('Final Term'!Z59,new_transmute,4,FALSE)
),
""
)
)
)
)
)
)
)
)
))</f>
        <v/>
      </c>
      <c r="AA59" s="73" t="str">
        <f>IF($B59="","",
IF(AA$5="","",
IF('Final Term'!AA59="",0,
IF(NOT(ISNUMBER('Final Term'!AA59)),"NAN",
IF('Final Term'!AA59&lt;0,"NEG",
IF('Final Term'!AA59&gt;AA$5,"OVER",
IF(AND(AA$5&lt;=100,'Final Term'!AA59&gt;100),"ERR",
IF(Info!$B$4="Non-board program",
IF(OR(AND(AA$5&gt;0,AA$5&gt;100),AND(AA$5&gt;0,AA$5&lt;100)),
VLOOKUP(FLOOR(('Final Term'!AA59/AA$5)*100,1),new_transmute,2,FALSE),
VLOOKUP('Final Term'!AA59,new_transmute,2,FALSE)
),
IF(Info!$B$4="Board program",
IF(OR(AND(AA$5&gt;0,AA$5&gt;100),AND(AA$5&gt;0,AA$5&lt;100)),
VLOOKUP(FLOOR(('Final Term'!AA59/AA$5)*100,1),new_transmute,3,FALSE),
VLOOKUP('Final Term'!AA59,new_transmute,3,FALSE)
),
IF(Info!$B$4="Board program (Medicine)",
IF(OR(AND(AA$5&gt;0,AA$5&gt;100),AND(AA$5&gt;0,AA$5&lt;100)),
VLOOKUP(FLOOR(('Final Term'!AA59/AA$5)*100,1),new_transmute,4,FALSE),
VLOOKUP('Final Term'!AA59,new_transmute,4,FALSE)
),
""
)
)
)
)
)
)
)
)
))</f>
        <v/>
      </c>
      <c r="AB59" s="73" t="str">
        <f>IF($B59="","",
IF(AB$5="","",
IF('Final Term'!AB59="",0,
IF(NOT(ISNUMBER('Final Term'!AB59)),"NAN",
IF('Final Term'!AB59&lt;0,"NEG",
IF('Final Term'!AB59&gt;AB$5,"OVER",
IF(AND(AB$5&lt;=100,'Final Term'!AB59&gt;100),"ERR",
IF(Info!$B$4="Non-board program",
IF(OR(AND(AB$5&gt;0,AB$5&gt;100),AND(AB$5&gt;0,AB$5&lt;100)),
VLOOKUP(FLOOR(('Final Term'!AB59/AB$5)*100,1),new_transmute,2,FALSE),
VLOOKUP('Final Term'!AB59,new_transmute,2,FALSE)
),
IF(Info!$B$4="Board program",
IF(OR(AND(AB$5&gt;0,AB$5&gt;100),AND(AB$5&gt;0,AB$5&lt;100)),
VLOOKUP(FLOOR(('Final Term'!AB59/AB$5)*100,1),new_transmute,3,FALSE),
VLOOKUP('Final Term'!AB59,new_transmute,3,FALSE)
),
IF(Info!$B$4="Board program (Medicine)",
IF(OR(AND(AB$5&gt;0,AB$5&gt;100),AND(AB$5&gt;0,AB$5&lt;100)),
VLOOKUP(FLOOR(('Final Term'!AB59/AB$5)*100,1),new_transmute,4,FALSE),
VLOOKUP('Final Term'!AB59,new_transmute,4,FALSE)
),
""
)
)
)
)
)
)
)
)
))</f>
        <v/>
      </c>
      <c r="AC59" s="73" t="str">
        <f>IF($B59="","",
IF(AC$5="","",
IF('Final Term'!AC59="",0,
IF(NOT(ISNUMBER('Final Term'!AC59)),"NAN",
IF('Final Term'!AC59&lt;0,"NEG",
IF('Final Term'!AC59&gt;AC$5,"OVER",
IF(AND(AC$5&lt;=100,'Final Term'!AC59&gt;100),"ERR",
IF(Info!$B$4="Non-board program",
IF(OR(AND(AC$5&gt;0,AC$5&gt;100),AND(AC$5&gt;0,AC$5&lt;100)),
VLOOKUP(FLOOR(('Final Term'!AC59/AC$5)*100,1),new_transmute,2,FALSE),
VLOOKUP('Final Term'!AC59,new_transmute,2,FALSE)
),
IF(Info!$B$4="Board program",
IF(OR(AND(AC$5&gt;0,AC$5&gt;100),AND(AC$5&gt;0,AC$5&lt;100)),
VLOOKUP(FLOOR(('Final Term'!AC59/AC$5)*100,1),new_transmute,3,FALSE),
VLOOKUP('Final Term'!AC59,new_transmute,3,FALSE)
),
IF(Info!$B$4="Board program (Medicine)",
IF(OR(AND(AC$5&gt;0,AC$5&gt;100),AND(AC$5&gt;0,AC$5&lt;100)),
VLOOKUP(FLOOR(('Final Term'!AC59/AC$5)*100,1),new_transmute,4,FALSE),
VLOOKUP('Final Term'!AC59,new_transmute,4,FALSE)
),
""
)
)
)
)
)
)
)
)
))</f>
        <v/>
      </c>
      <c r="AD59" s="73" t="str">
        <f>IF($B59="","",
IF(AD$5="","",
IF('Final Term'!AD59="",0,
IF(NOT(ISNUMBER('Final Term'!AD59)),"NAN",
IF('Final Term'!AD59&lt;0,"NEG",
IF('Final Term'!AD59&gt;AD$5,"OVER",
IF(AND(AD$5&lt;=100,'Final Term'!AD59&gt;100),"ERR",
IF(Info!$B$4="Non-board program",
IF(OR(AND(AD$5&gt;0,AD$5&gt;100),AND(AD$5&gt;0,AD$5&lt;100)),
VLOOKUP(FLOOR(('Final Term'!AD59/AD$5)*100,1),new_transmute,2,FALSE),
VLOOKUP('Final Term'!AD59,new_transmute,2,FALSE)
),
IF(Info!$B$4="Board program",
IF(OR(AND(AD$5&gt;0,AD$5&gt;100),AND(AD$5&gt;0,AD$5&lt;100)),
VLOOKUP(FLOOR(('Final Term'!AD59/AD$5)*100,1),new_transmute,3,FALSE),
VLOOKUP('Final Term'!AD59,new_transmute,3,FALSE)
),
IF(Info!$B$4="Board program (Medicine)",
IF(OR(AND(AD$5&gt;0,AD$5&gt;100),AND(AD$5&gt;0,AD$5&lt;100)),
VLOOKUP(FLOOR(('Final Term'!AD59/AD$5)*100,1),new_transmute,4,FALSE),
VLOOKUP('Final Term'!AD59,new_transmute,4,FALSE)
),
""
)
)
)
)
)
)
)
)
))</f>
        <v/>
      </c>
      <c r="AE59" s="58" t="str">
        <f t="shared" si="5"/>
        <v/>
      </c>
      <c r="AF59" s="73" t="str">
        <f>IF($B59="","",
IF(AF$5="","",
IF('Final Term'!AF59="",0,
IF(NOT(ISNUMBER('Final Term'!AF59)),"NAN",
IF('Final Term'!AF59&lt;0,"NEG",
IF('Final Term'!AF59&gt;AF$5,"OVER",
IF(AND(AF$5&lt;=100,'Final Term'!AF59&gt;100),"ERR",
IF(Info!$B$4="Non-board program",
IF(OR(AND(AF$5&gt;0,AF$5&gt;100),AND(AF$5&gt;0,AF$5&lt;100)),
VLOOKUP(FLOOR(('Final Term'!AF59/AF$5)*100,1),new_transmute,2,FALSE),
VLOOKUP('Final Term'!AF59,new_transmute,2,FALSE)
),
IF(Info!$B$4="Board program",
IF(OR(AND(AF$5&gt;0,AF$5&gt;100),AND(AF$5&gt;0,AF$5&lt;100)),
VLOOKUP(FLOOR(('Final Term'!AF59/AF$5)*100,1),new_transmute,3,FALSE),
VLOOKUP('Final Term'!AF59,new_transmute,3,FALSE)
),
IF(Info!$B$4="Board program (Medicine)",
IF(OR(AND(AF$5&gt;0,AF$5&gt;100),AND(AF$5&gt;0,AF$5&lt;100)),
VLOOKUP(FLOOR(('Final Term'!AF59/AF$5)*100,1),new_transmute,4,FALSE),
VLOOKUP('Final Term'!AF59,new_transmute,4,FALSE)
),
""
)
)
)
)
)
)
)
)
))</f>
        <v/>
      </c>
      <c r="AG59" s="73" t="str">
        <f>IF($B59="","",
IF(AG$5="","",
IF('Final Term'!AG59="",0,
IF(NOT(ISNUMBER('Final Term'!AG59)),"NAN",
IF('Final Term'!AG59&lt;0,"NEG",
IF('Final Term'!AG59&gt;AG$5,"OVER",
IF(AND(AG$5&lt;=100,'Final Term'!AG59&gt;100),"ERR",
IF(Info!$B$4="Non-board program",
IF(OR(AND(AG$5&gt;0,AG$5&gt;100),AND(AG$5&gt;0,AG$5&lt;100)),
VLOOKUP(FLOOR(('Final Term'!AG59/AG$5)*100,1),new_transmute,2,FALSE),
VLOOKUP('Final Term'!AG59,new_transmute,2,FALSE)
),
IF(Info!$B$4="Board program",
IF(OR(AND(AG$5&gt;0,AG$5&gt;100),AND(AG$5&gt;0,AG$5&lt;100)),
VLOOKUP(FLOOR(('Final Term'!AG59/AG$5)*100,1),new_transmute,3,FALSE),
VLOOKUP('Final Term'!AG59,new_transmute,3,FALSE)
),
IF(Info!$B$4="Board program (Medicine)",
IF(OR(AND(AG$5&gt;0,AG$5&gt;100),AND(AG$5&gt;0,AG$5&lt;100)),
VLOOKUP(FLOOR(('Final Term'!AG59/AG$5)*100,1),new_transmute,4,FALSE),
VLOOKUP('Final Term'!AG59,new_transmute,4,FALSE)
),
""
)
)
)
)
)
)
)
)
))</f>
        <v/>
      </c>
      <c r="AH59" s="73" t="str">
        <f>IF($B59="","",
IF(AH$5="","",
IF('Final Term'!AH59="",0,
IF(NOT(ISNUMBER('Final Term'!AH59)),"NAN",
IF('Final Term'!AH59&lt;0,"NEG",
IF('Final Term'!AH59&gt;AH$5,"OVER",
IF(AND(AH$5&lt;=100,'Final Term'!AH59&gt;100),"ERR",
IF(Info!$B$4="Non-board program",
IF(OR(AND(AH$5&gt;0,AH$5&gt;100),AND(AH$5&gt;0,AH$5&lt;100)),
VLOOKUP(FLOOR(('Final Term'!AH59/AH$5)*100,1),new_transmute,2,FALSE),
VLOOKUP('Final Term'!AH59,new_transmute,2,FALSE)
),
IF(Info!$B$4="Board program",
IF(OR(AND(AH$5&gt;0,AH$5&gt;100),AND(AH$5&gt;0,AH$5&lt;100)),
VLOOKUP(FLOOR(('Final Term'!AH59/AH$5)*100,1),new_transmute,3,FALSE),
VLOOKUP('Final Term'!AH59,new_transmute,3,FALSE)
),
IF(Info!$B$4="Board program (Medicine)",
IF(OR(AND(AH$5&gt;0,AH$5&gt;100),AND(AH$5&gt;0,AH$5&lt;100)),
VLOOKUP(FLOOR(('Final Term'!AH59/AH$5)*100,1),new_transmute,4,FALSE),
VLOOKUP('Final Term'!AH59,new_transmute,4,FALSE)
),
""
)
)
)
)
)
)
)
)
))</f>
        <v/>
      </c>
      <c r="AI59" s="73" t="str">
        <f>IF($B59="","",
IF(AI$5="","",
IF('Final Term'!AI59="",0,
IF(NOT(ISNUMBER('Final Term'!AI59)),"NAN",
IF('Final Term'!AI59&lt;0,"NEG",
IF('Final Term'!AI59&gt;AI$5,"OVER",
IF(AND(AI$5&lt;=100,'Final Term'!AI59&gt;100),"ERR",
IF(Info!$B$4="Non-board program",
IF(OR(AND(AI$5&gt;0,AI$5&gt;100),AND(AI$5&gt;0,AI$5&lt;100)),
VLOOKUP(FLOOR(('Final Term'!AI59/AI$5)*100,1),new_transmute,2,FALSE),
VLOOKUP('Final Term'!AI59,new_transmute,2,FALSE)
),
IF(Info!$B$4="Board program",
IF(OR(AND(AI$5&gt;0,AI$5&gt;100),AND(AI$5&gt;0,AI$5&lt;100)),
VLOOKUP(FLOOR(('Final Term'!AI59/AI$5)*100,1),new_transmute,3,FALSE),
VLOOKUP('Final Term'!AI59,new_transmute,3,FALSE)
),
IF(Info!$B$4="Board program (Medicine)",
IF(OR(AND(AI$5&gt;0,AI$5&gt;100),AND(AI$5&gt;0,AI$5&lt;100)),
VLOOKUP(FLOOR(('Final Term'!AI59/AI$5)*100,1),new_transmute,4,FALSE),
VLOOKUP('Final Term'!AI59,new_transmute,4,FALSE)
),
""
)
)
)
)
)
)
)
)
))</f>
        <v/>
      </c>
      <c r="AJ59" s="73" t="str">
        <f>IF($B59="","",
IF(AJ$5="","",
IF('Final Term'!AJ59="",0,
IF(NOT(ISNUMBER('Final Term'!AJ59)),"NAN",
IF('Final Term'!AJ59&lt;0,"NEG",
IF('Final Term'!AJ59&gt;AJ$5,"OVER",
IF(AND(AJ$5&lt;=100,'Final Term'!AJ59&gt;100),"ERR",
IF(Info!$B$4="Non-board program",
IF(OR(AND(AJ$5&gt;0,AJ$5&gt;100),AND(AJ$5&gt;0,AJ$5&lt;100)),
VLOOKUP(FLOOR(('Final Term'!AJ59/AJ$5)*100,1),new_transmute,2,FALSE),
VLOOKUP('Final Term'!AJ59,new_transmute,2,FALSE)
),
IF(Info!$B$4="Board program",
IF(OR(AND(AJ$5&gt;0,AJ$5&gt;100),AND(AJ$5&gt;0,AJ$5&lt;100)),
VLOOKUP(FLOOR(('Final Term'!AJ59/AJ$5)*100,1),new_transmute,3,FALSE),
VLOOKUP('Final Term'!AJ59,new_transmute,3,FALSE)
),
IF(Info!$B$4="Board program (Medicine)",
IF(OR(AND(AJ$5&gt;0,AJ$5&gt;100),AND(AJ$5&gt;0,AJ$5&lt;100)),
VLOOKUP(FLOOR(('Final Term'!AJ59/AJ$5)*100,1),new_transmute,4,FALSE),
VLOOKUP('Final Term'!AJ59,new_transmute,4,FALSE)
),
""
)
)
)
)
)
)
)
)
))</f>
        <v/>
      </c>
      <c r="AK59" s="59" t="str">
        <f t="shared" si="6"/>
        <v/>
      </c>
      <c r="AL59" s="60" t="str">
        <f>IF(B59="", "",
    IF(OR(M59="OVER", S59="OVER", Y59="OVER", AE59="OVER", AK59="OVER"),
        "OVER",
        IF(Info!$B$4="Non-board program",
            VLOOKUP(IFERROR(FLOOR(SUM((M59*$M$4), (S59*$S$4), (Y59*$Y$4), (AE59*$AE$4), (AK59*$AK$4)) * (100 / 60), 1), 0), new_transmute, 2, FALSE),
            IF(Info!$B$4="Board program",
                VLOOKUP(IFERROR(FLOOR(SUM((M59*$M$4), (S59*$S$4), (Y59*$Y$4), (AE59*$AE$4), (AK59*$AK$4)) * (100 / 60), 1), 0), new_transmute, 3, FALSE),
                IF(Info!$B$4="Board program (Medicine)",
                    VLOOKUP(IFERROR(FLOOR(SUM((M59*$M$4), (S59*$S$4), (Y59*$Y$4), (AE59*$AE$4), (AK59*$AK$4)) * (100 / 60), 1), 0), new_transmute, 4, FALSE),
                    ""
                )
            )
        )
    )
)</f>
        <v/>
      </c>
      <c r="AM59" s="73" t="str">
        <f>IF($B59="","",
IF(AM$5="","",
IF('Final Term'!AM59="",0,
IF(NOT(ISNUMBER('Final Term'!AM59)),"NAN",
IF('Final Term'!AM59&lt;0,"NEG",
IF('Final Term'!AM59&gt;AM$5,"OVER",
IF(AND(AM$5&lt;=100,'Final Term'!AM59&gt;100),"ERR",
IF(Info!$B$4="Non-board program",
IF(OR(AND(AM$5&gt;0,AM$5&gt;100),AND(AM$5&gt;0,AM$5&lt;100)),
VLOOKUP(FLOOR(('Final Term'!AM59/AM$5)*100,1),new_transmute,2,FALSE),
VLOOKUP('Final Term'!AM59,new_transmute,2,FALSE)
),
IF(Info!$B$4="Board program",
IF(OR(AND(AM$5&gt;0,AM$5&gt;100),AND(AM$5&gt;0,AM$5&lt;100)),
VLOOKUP(FLOOR(('Final Term'!AM59/AM$5)*100,1),new_transmute,3,FALSE),
VLOOKUP('Final Term'!AM59,new_transmute,3,FALSE)
),
IF(Info!$B$4="Board program (Medicine)",
IF(OR(AND(AM$5&gt;0,AM$5&gt;100),AND(AM$5&gt;0,AM$5&lt;100)),
VLOOKUP(FLOOR(('Final Term'!AM59/AM$5)*100,1),new_transmute,4,FALSE),
VLOOKUP('Final Term'!AM59,new_transmute,4,FALSE)
),
""
)
)
)
)
)
)
)
)
))</f>
        <v/>
      </c>
      <c r="AN59" s="73" t="str">
        <f>IF($B59="","",
IF(AN$5="","",
IF('Final Term'!AN59="",0,
IF(NOT(ISNUMBER('Final Term'!AN59)),"NAN",
IF('Final Term'!AN59&lt;0,"NEG",
IF('Final Term'!AN59&gt;AN$5,"OVER",
IF(AND(AN$5&lt;=100,'Final Term'!AN59&gt;100),"ERR",
IF(Info!$B$4="Non-board program",
IF(OR(AND(AN$5&gt;0,AN$5&gt;100),AND(AN$5&gt;0,AN$5&lt;100)),
VLOOKUP(FLOOR(('Final Term'!AN59/AN$5)*100,1),new_transmute,2,FALSE),
VLOOKUP('Final Term'!AN59,new_transmute,2,FALSE)
),
IF(Info!$B$4="Board program",
IF(OR(AND(AN$5&gt;0,AN$5&gt;100),AND(AN$5&gt;0,AN$5&lt;100)),
VLOOKUP(FLOOR(('Final Term'!AN59/AN$5)*100,1),new_transmute,3,FALSE),
VLOOKUP('Final Term'!AN59,new_transmute,3,FALSE)
),
IF(Info!$B$4="Board program (Medicine)",
IF(OR(AND(AN$5&gt;0,AN$5&gt;100),AND(AN$5&gt;0,AN$5&lt;100)),
VLOOKUP(FLOOR(('Final Term'!AN59/AN$5)*100,1),new_transmute,4,FALSE),
VLOOKUP('Final Term'!AN59,new_transmute,4,FALSE)
),
""
)
)
)
)
)
)
)
)
))</f>
        <v/>
      </c>
      <c r="AO59" s="73" t="str">
        <f>IF($B59="","",
IF(AO$5="","",
IF('Final Term'!AO59="",0,
IF(NOT(ISNUMBER('Final Term'!AO59)),"NAN",
IF('Final Term'!AO59&lt;0,"NEG",
IF('Final Term'!AO59&gt;AO$5,"OVER",
IF(AND(AO$5&lt;=100,'Final Term'!AO59&gt;100),"ERR",
IF(Info!$B$4="Non-board program",
IF(OR(AND(AO$5&gt;0,AO$5&gt;100),AND(AO$5&gt;0,AO$5&lt;100)),
VLOOKUP(FLOOR(('Final Term'!AO59/AO$5)*100,1),new_transmute,2,FALSE),
VLOOKUP('Final Term'!AO59,new_transmute,2,FALSE)
),
IF(Info!$B$4="Board program",
IF(OR(AND(AO$5&gt;0,AO$5&gt;100),AND(AO$5&gt;0,AO$5&lt;100)),
VLOOKUP(FLOOR(('Final Term'!AO59/AO$5)*100,1),new_transmute,3,FALSE),
VLOOKUP('Final Term'!AO59,new_transmute,3,FALSE)
),
IF(Info!$B$4="Board program (Medicine)",
IF(OR(AND(AO$5&gt;0,AO$5&gt;100),AND(AO$5&gt;0,AO$5&lt;100)),
VLOOKUP(FLOOR(('Final Term'!AO59/AO$5)*100,1),new_transmute,4,FALSE),
VLOOKUP('Final Term'!AO59,new_transmute,4,FALSE)
),
""
)
)
)
)
)
)
)
)
))</f>
        <v/>
      </c>
      <c r="AP59" s="73" t="str">
        <f>IF($B59="","",
IF(AP$5="","",
IF('Final Term'!AP59="",0,
IF(NOT(ISNUMBER('Final Term'!AP59)),"NAN",
IF('Final Term'!AP59&lt;0,"NEG",
IF('Final Term'!AP59&gt;AP$5,"OVER",
IF(AND(AP$5&lt;=100,'Final Term'!AP59&gt;100),"ERR",
IF(Info!$B$4="Non-board program",
IF(OR(AND(AP$5&gt;0,AP$5&gt;100),AND(AP$5&gt;0,AP$5&lt;100)),
VLOOKUP(FLOOR(('Final Term'!AP59/AP$5)*100,1),new_transmute,2,FALSE),
VLOOKUP('Final Term'!AP59,new_transmute,2,FALSE)
),
IF(Info!$B$4="Board program",
IF(OR(AND(AP$5&gt;0,AP$5&gt;100),AND(AP$5&gt;0,AP$5&lt;100)),
VLOOKUP(FLOOR(('Final Term'!AP59/AP$5)*100,1),new_transmute,3,FALSE),
VLOOKUP('Final Term'!AP59,new_transmute,3,FALSE)
),
IF(Info!$B$4="Board program (Medicine)",
IF(OR(AND(AP$5&gt;0,AP$5&gt;100),AND(AP$5&gt;0,AP$5&lt;100)),
VLOOKUP(FLOOR(('Final Term'!AP59/AP$5)*100,1),new_transmute,4,FALSE),
VLOOKUP('Final Term'!AP59,new_transmute,4,FALSE)
),
""
)
)
)
)
)
)
)
)
))</f>
        <v/>
      </c>
      <c r="AQ59" s="61" t="str">
        <f t="shared" si="7"/>
        <v/>
      </c>
      <c r="AR59" s="48" t="str">
        <f>IF('Final Term'!AR59="","",'Final Term'!AR59)</f>
        <v/>
      </c>
      <c r="AS59" s="165" t="str">
        <f t="shared" si="8"/>
        <v/>
      </c>
      <c r="AT59" s="14" t="str">
        <f t="shared" si="9"/>
        <v/>
      </c>
      <c r="AU59" s="13" t="str">
        <f>IF(B59="","",VLOOKUP(AT59,'New Grade Equivalent'!$B$3:$C$47,2,FALSE))</f>
        <v/>
      </c>
    </row>
    <row r="60" spans="1:47" x14ac:dyDescent="0.25">
      <c r="A60" s="8">
        <v>55</v>
      </c>
      <c r="B60" s="2" t="str">
        <f>IF('Student List'!C64="","",UPPER(LEFT('Student List'!C64,FIND(",",'Student List'!C64)-1)))</f>
        <v/>
      </c>
      <c r="C60" s="12" t="str">
        <f>IF('Student List'!C64="","",PROPER(MID('Student List'!C64, FIND(",", 'Student List'!C64) + 2, LEN('Student List'!C64) - FIND(",", 'Student List'!C64) - 1)))</f>
        <v/>
      </c>
      <c r="D60" s="127" t="str">
        <f>IF('Final Term'!D60="","",'Final Term'!D60)</f>
        <v/>
      </c>
      <c r="E60" s="8" t="str">
        <f>IF(MidCom!E60="FA", "FA",
    IF(MidCom!E60="DRP", "DRP",
        IF(MidCom!E60="WF", "WF",
            IF(D60="Yes", "INC",
               IF((SUM('MT Attendance'!AW58) / 3 + SUM('MT Attendance'!AY58) + SUM('FT Attendance'!AW58) / 3 + SUM('FT Attendance'!AY58)) &gt;= 0.2 * (SUMPRODUCT(--(ISTEXT('MT Attendance'!$C$2:$AU$2))) + SUMPRODUCT(--(ISTEXT('FT Attendance'!$C$2:$AU$2)))), "FA",
                   MidCom!E60
                )
            )
        )
    )
)</f>
        <v/>
      </c>
      <c r="F60" s="73" t="str">
        <f>IF($B60="","",
IF(F$5="","",
IF('Final Term'!F60="",0,
IF(NOT(ISNUMBER('Final Term'!F60)),"NAN",
IF('Final Term'!F60&lt;0,"NEG",
IF('Final Term'!F60&gt;F$5,"OVER",
IF(AND(F$5&lt;=100,'Final Term'!F60&gt;100),"ERR",
IF(Info!$B$4="Non-board program",
IF(OR(AND(F$5&gt;0,F$5&gt;100),AND(F$5&gt;0,F$5&lt;100)),
VLOOKUP(FLOOR(('Final Term'!F60/F$5)*100,1),new_transmute,2,FALSE),
VLOOKUP('Final Term'!F60,new_transmute,2,FALSE)
),
IF(Info!$B$4="Board program",
IF(OR(AND(F$5&gt;0,F$5&gt;100),AND(F$5&gt;0,F$5&lt;100)),
VLOOKUP(FLOOR(('Final Term'!F60/F$5)*100,1),new_transmute,3,FALSE),
VLOOKUP('Final Term'!F60,new_transmute,3,FALSE)
),
IF(Info!$B$4="Board program (Medicine)",
IF(OR(AND(F$5&gt;0,F$5&gt;100),AND(F$5&gt;0,F$5&lt;100)),
VLOOKUP(FLOOR(('Final Term'!F60/F$5)*100,1),new_transmute,4,FALSE),
VLOOKUP('Final Term'!F60,new_transmute,4,FALSE)
),
""
)
)
)
)
)
)
)
)
))</f>
        <v/>
      </c>
      <c r="G60" s="57" t="str">
        <f t="shared" si="1"/>
        <v/>
      </c>
      <c r="H60" s="73" t="str">
        <f>IF($B60="","",
IF(H$5="","",
IF('Final Term'!H60="",0,
IF(NOT(ISNUMBER('Final Term'!H60)),"NAN",
IF('Final Term'!H60&lt;0,"NEG",
IF('Final Term'!H60&gt;H$5,"OVER",
IF(AND(H$5&lt;=100,'Final Term'!H60&gt;100),"ERR",
IF(Info!$B$4="Non-board program",
IF(OR(AND(H$5&gt;0,H$5&gt;100),AND(H$5&gt;0,H$5&lt;100)),
VLOOKUP(FLOOR(('Final Term'!H60/H$5)*100,1),new_transmute,2,FALSE),
VLOOKUP('Final Term'!H60,new_transmute,2,FALSE)
),
IF(Info!$B$4="Board program",
IF(OR(AND(H$5&gt;0,H$5&gt;100),AND(H$5&gt;0,H$5&lt;100)),
VLOOKUP(FLOOR(('Final Term'!H60/H$5)*100,1),new_transmute,3,FALSE),
VLOOKUP('Final Term'!H60,new_transmute,3,FALSE)
),
IF(Info!$B$4="Board program (Medicine)",
IF(OR(AND(H$5&gt;0,H$5&gt;100),AND(H$5&gt;0,H$5&lt;100)),
VLOOKUP(FLOOR(('Final Term'!H60/H$5)*100,1),new_transmute,4,FALSE),
VLOOKUP('Final Term'!H60,new_transmute,4,FALSE)
),
""
)
)
)
)
)
)
)
)
))</f>
        <v/>
      </c>
      <c r="I60" s="73" t="str">
        <f>IF($B60="","",
IF(I$5="","",
IF('Final Term'!I60="",0,
IF(NOT(ISNUMBER('Final Term'!I60)),"NAN",
IF('Final Term'!I60&lt;0,"NEG",
IF('Final Term'!I60&gt;I$5,"OVER",
IF(AND(I$5&lt;=100,'Final Term'!I60&gt;100),"ERR",
IF(Info!$B$4="Non-board program",
IF(OR(AND(I$5&gt;0,I$5&gt;100),AND(I$5&gt;0,I$5&lt;100)),
VLOOKUP(FLOOR(('Final Term'!I60/I$5)*100,1),new_transmute,2,FALSE),
VLOOKUP('Final Term'!I60,new_transmute,2,FALSE)
),
IF(Info!$B$4="Board program",
IF(OR(AND(I$5&gt;0,I$5&gt;100),AND(I$5&gt;0,I$5&lt;100)),
VLOOKUP(FLOOR(('Final Term'!I60/I$5)*100,1),new_transmute,3,FALSE),
VLOOKUP('Final Term'!I60,new_transmute,3,FALSE)
),
IF(Info!$B$4="Board program (Medicine)",
IF(OR(AND(I$5&gt;0,I$5&gt;100),AND(I$5&gt;0,I$5&lt;100)),
VLOOKUP(FLOOR(('Final Term'!I60/I$5)*100,1),new_transmute,4,FALSE),
VLOOKUP('Final Term'!I60,new_transmute,4,FALSE)
),
""
)
)
)
)
)
)
)
)
))</f>
        <v/>
      </c>
      <c r="J60" s="73" t="str">
        <f>IF($B60="","",
IF(J$5="","",
IF('Final Term'!J60="",0,
IF(NOT(ISNUMBER('Final Term'!J60)),"NAN",
IF('Final Term'!J60&lt;0,"NEG",
IF('Final Term'!J60&gt;J$5,"OVER",
IF(AND(J$5&lt;=100,'Final Term'!J60&gt;100),"ERR",
IF(Info!$B$4="Non-board program",
IF(OR(AND(J$5&gt;0,J$5&gt;100),AND(J$5&gt;0,J$5&lt;100)),
VLOOKUP(FLOOR(('Final Term'!J60/J$5)*100,1),new_transmute,2,FALSE),
VLOOKUP('Final Term'!J60,new_transmute,2,FALSE)
),
IF(Info!$B$4="Board program",
IF(OR(AND(J$5&gt;0,J$5&gt;100),AND(J$5&gt;0,J$5&lt;100)),
VLOOKUP(FLOOR(('Final Term'!J60/J$5)*100,1),new_transmute,3,FALSE),
VLOOKUP('Final Term'!J60,new_transmute,3,FALSE)
),
IF(Info!$B$4="Board program (Medicine)",
IF(OR(AND(J$5&gt;0,J$5&gt;100),AND(J$5&gt;0,J$5&lt;100)),
VLOOKUP(FLOOR(('Final Term'!J60/J$5)*100,1),new_transmute,4,FALSE),
VLOOKUP('Final Term'!J60,new_transmute,4,FALSE)
),
""
)
)
)
)
)
)
)
)
))</f>
        <v/>
      </c>
      <c r="K60" s="73" t="str">
        <f>IF($B60="","",
IF(K$5="","",
IF('Final Term'!K60="",0,
IF(NOT(ISNUMBER('Final Term'!K60)),"NAN",
IF('Final Term'!K60&lt;0,"NEG",
IF('Final Term'!K60&gt;K$5,"OVER",
IF(AND(K$5&lt;=100,'Final Term'!K60&gt;100),"ERR",
IF(Info!$B$4="Non-board program",
IF(OR(AND(K$5&gt;0,K$5&gt;100),AND(K$5&gt;0,K$5&lt;100)),
VLOOKUP(FLOOR(('Final Term'!K60/K$5)*100,1),new_transmute,2,FALSE),
VLOOKUP('Final Term'!K60,new_transmute,2,FALSE)
),
IF(Info!$B$4="Board program",
IF(OR(AND(K$5&gt;0,K$5&gt;100),AND(K$5&gt;0,K$5&lt;100)),
VLOOKUP(FLOOR(('Final Term'!K60/K$5)*100,1),new_transmute,3,FALSE),
VLOOKUP('Final Term'!K60,new_transmute,3,FALSE)
),
IF(Info!$B$4="Board program (Medicine)",
IF(OR(AND(K$5&gt;0,K$5&gt;100),AND(K$5&gt;0,K$5&lt;100)),
VLOOKUP(FLOOR(('Final Term'!K60/K$5)*100,1),new_transmute,4,FALSE),
VLOOKUP('Final Term'!K60,new_transmute,4,FALSE)
),
""
)
)
)
)
)
)
)
)
))</f>
        <v/>
      </c>
      <c r="L60" s="73" t="str">
        <f>IF($B60="","",
IF(L$5="","",
IF('Final Term'!L60="",0,
IF(NOT(ISNUMBER('Final Term'!L60)),"NAN",
IF('Final Term'!L60&lt;0,"NEG",
IF('Final Term'!L60&gt;L$5,"OVER",
IF(AND(L$5&lt;=100,'Final Term'!L60&gt;100),"ERR",
IF(Info!$B$4="Non-board program",
IF(OR(AND(L$5&gt;0,L$5&gt;100),AND(L$5&gt;0,L$5&lt;100)),
VLOOKUP(FLOOR(('Final Term'!L60/L$5)*100,1),new_transmute,2,FALSE),
VLOOKUP('Final Term'!L60,new_transmute,2,FALSE)
),
IF(Info!$B$4="Board program",
IF(OR(AND(L$5&gt;0,L$5&gt;100),AND(L$5&gt;0,L$5&lt;100)),
VLOOKUP(FLOOR(('Final Term'!L60/L$5)*100,1),new_transmute,3,FALSE),
VLOOKUP('Final Term'!L60,new_transmute,3,FALSE)
),
IF(Info!$B$4="Board program (Medicine)",
IF(OR(AND(L$5&gt;0,L$5&gt;100),AND(L$5&gt;0,L$5&lt;100)),
VLOOKUP(FLOOR(('Final Term'!L60/L$5)*100,1),new_transmute,4,FALSE),
VLOOKUP('Final Term'!L60,new_transmute,4,FALSE)
),
""
)
)
)
)
)
)
)
)
))</f>
        <v/>
      </c>
      <c r="M60" s="111" t="str">
        <f t="shared" si="2"/>
        <v/>
      </c>
      <c r="N60" s="73" t="str">
        <f>IF($B60="","",
IF(N$5="","",
IF('Final Term'!N60="",0,
IF(NOT(ISNUMBER('Final Term'!N60)),"NAN",
IF('Final Term'!N60&lt;0,"NEG",
IF('Final Term'!N60&gt;N$5,"OVER",
IF(AND(N$5&lt;=100,'Final Term'!N60&gt;100),"ERR",
IF(Info!$B$4="Non-board program",
IF(OR(AND(N$5&gt;0,N$5&gt;100),AND(N$5&gt;0,N$5&lt;100)),
VLOOKUP(FLOOR(('Final Term'!N60/N$5)*100,1),new_transmute,2,FALSE),
VLOOKUP('Final Term'!N60,new_transmute,2,FALSE)
),
IF(Info!$B$4="Board program",
IF(OR(AND(N$5&gt;0,N$5&gt;100),AND(N$5&gt;0,N$5&lt;100)),
VLOOKUP(FLOOR(('Final Term'!N60/N$5)*100,1),new_transmute,3,FALSE),
VLOOKUP('Final Term'!N60,new_transmute,3,FALSE)
),
IF(Info!$B$4="Board program (Medicine)",
IF(OR(AND(N$5&gt;0,N$5&gt;100),AND(N$5&gt;0,N$5&lt;100)),
VLOOKUP(FLOOR(('Final Term'!N60/N$5)*100,1),new_transmute,4,FALSE),
VLOOKUP('Final Term'!N60,new_transmute,4,FALSE)
),
""
)
)
)
)
)
)
)
)
))</f>
        <v/>
      </c>
      <c r="O60" s="73" t="str">
        <f>IF($B60="","",
IF(O$5="","",
IF('Final Term'!O60="",0,
IF(NOT(ISNUMBER('Final Term'!O60)),"NAN",
IF('Final Term'!O60&lt;0,"NEG",
IF('Final Term'!O60&gt;O$5,"OVER",
IF(AND(O$5&lt;=100,'Final Term'!O60&gt;100),"ERR",
IF(Info!$B$4="Non-board program",
IF(OR(AND(O$5&gt;0,O$5&gt;100),AND(O$5&gt;0,O$5&lt;100)),
VLOOKUP(FLOOR(('Final Term'!O60/O$5)*100,1),new_transmute,2,FALSE),
VLOOKUP('Final Term'!O60,new_transmute,2,FALSE)
),
IF(Info!$B$4="Board program",
IF(OR(AND(O$5&gt;0,O$5&gt;100),AND(O$5&gt;0,O$5&lt;100)),
VLOOKUP(FLOOR(('Final Term'!O60/O$5)*100,1),new_transmute,3,FALSE),
VLOOKUP('Final Term'!O60,new_transmute,3,FALSE)
),
IF(Info!$B$4="Board program (Medicine)",
IF(OR(AND(O$5&gt;0,O$5&gt;100),AND(O$5&gt;0,O$5&lt;100)),
VLOOKUP(FLOOR(('Final Term'!O60/O$5)*100,1),new_transmute,4,FALSE),
VLOOKUP('Final Term'!O60,new_transmute,4,FALSE)
),
""
)
)
)
)
)
)
)
)
))</f>
        <v/>
      </c>
      <c r="P60" s="73" t="str">
        <f>IF($B60="","",
IF(P$5="","",
IF('Final Term'!P60="",0,
IF(NOT(ISNUMBER('Final Term'!P60)),"NAN",
IF('Final Term'!P60&lt;0,"NEG",
IF('Final Term'!P60&gt;P$5,"OVER",
IF(AND(P$5&lt;=100,'Final Term'!P60&gt;100),"ERR",
IF(Info!$B$4="Non-board program",
IF(OR(AND(P$5&gt;0,P$5&gt;100),AND(P$5&gt;0,P$5&lt;100)),
VLOOKUP(FLOOR(('Final Term'!P60/P$5)*100,1),new_transmute,2,FALSE),
VLOOKUP('Final Term'!P60,new_transmute,2,FALSE)
),
IF(Info!$B$4="Board program",
IF(OR(AND(P$5&gt;0,P$5&gt;100),AND(P$5&gt;0,P$5&lt;100)),
VLOOKUP(FLOOR(('Final Term'!P60/P$5)*100,1),new_transmute,3,FALSE),
VLOOKUP('Final Term'!P60,new_transmute,3,FALSE)
),
IF(Info!$B$4="Board program (Medicine)",
IF(OR(AND(P$5&gt;0,P$5&gt;100),AND(P$5&gt;0,P$5&lt;100)),
VLOOKUP(FLOOR(('Final Term'!P60/P$5)*100,1),new_transmute,4,FALSE),
VLOOKUP('Final Term'!P60,new_transmute,4,FALSE)
),
""
)
)
)
)
)
)
)
)
))</f>
        <v/>
      </c>
      <c r="Q60" s="73" t="str">
        <f>IF($B60="","",
IF(Q$5="","",
IF('Final Term'!Q60="",0,
IF(NOT(ISNUMBER('Final Term'!Q60)),"NAN",
IF('Final Term'!Q60&lt;0,"NEG",
IF('Final Term'!Q60&gt;Q$5,"OVER",
IF(AND(Q$5&lt;=100,'Final Term'!Q60&gt;100),"ERR",
IF(Info!$B$4="Non-board program",
IF(OR(AND(Q$5&gt;0,Q$5&gt;100),AND(Q$5&gt;0,Q$5&lt;100)),
VLOOKUP(FLOOR(('Final Term'!Q60/Q$5)*100,1),new_transmute,2,FALSE),
VLOOKUP('Final Term'!Q60,new_transmute,2,FALSE)
),
IF(Info!$B$4="Board program",
IF(OR(AND(Q$5&gt;0,Q$5&gt;100),AND(Q$5&gt;0,Q$5&lt;100)),
VLOOKUP(FLOOR(('Final Term'!Q60/Q$5)*100,1),new_transmute,3,FALSE),
VLOOKUP('Final Term'!Q60,new_transmute,3,FALSE)
),
IF(Info!$B$4="Board program (Medicine)",
IF(OR(AND(Q$5&gt;0,Q$5&gt;100),AND(Q$5&gt;0,Q$5&lt;100)),
VLOOKUP(FLOOR(('Final Term'!Q60/Q$5)*100,1),new_transmute,4,FALSE),
VLOOKUP('Final Term'!Q60,new_transmute,4,FALSE)
),
""
)
)
)
)
)
)
)
)
))</f>
        <v/>
      </c>
      <c r="R60" s="73" t="str">
        <f>IF($B60="","",
IF(R$5="","",
IF('Final Term'!R60="",0,
IF(NOT(ISNUMBER('Final Term'!R60)),"NAN",
IF('Final Term'!R60&lt;0,"NEG",
IF('Final Term'!R60&gt;R$5,"OVER",
IF(AND(R$5&lt;=100,'Final Term'!R60&gt;100),"ERR",
IF(Info!$B$4="Non-board program",
IF(OR(AND(R$5&gt;0,R$5&gt;100),AND(R$5&gt;0,R$5&lt;100)),
VLOOKUP(FLOOR(('Final Term'!R60/R$5)*100,1),new_transmute,2,FALSE),
VLOOKUP('Final Term'!R60,new_transmute,2,FALSE)
),
IF(Info!$B$4="Board program",
IF(OR(AND(R$5&gt;0,R$5&gt;100),AND(R$5&gt;0,R$5&lt;100)),
VLOOKUP(FLOOR(('Final Term'!R60/R$5)*100,1),new_transmute,3,FALSE),
VLOOKUP('Final Term'!R60,new_transmute,3,FALSE)
),
IF(Info!$B$4="Board program (Medicine)",
IF(OR(AND(R$5&gt;0,R$5&gt;100),AND(R$5&gt;0,R$5&lt;100)),
VLOOKUP(FLOOR(('Final Term'!R60/R$5)*100,1),new_transmute,4,FALSE),
VLOOKUP('Final Term'!R60,new_transmute,4,FALSE)
),
""
)
)
)
)
)
)
)
)
))</f>
        <v/>
      </c>
      <c r="S60" s="115" t="str">
        <f t="shared" si="3"/>
        <v/>
      </c>
      <c r="T60" s="73" t="str">
        <f>IF($B60="","",
IF(T$5="","",
IF('Final Term'!T60="",0,
IF(NOT(ISNUMBER('Final Term'!T60)),"NAN",
IF('Final Term'!T60&lt;0,"NEG",
IF('Final Term'!T60&gt;T$5,"OVER",
IF(AND(T$5&lt;=100,'Final Term'!T60&gt;100),"ERR",
IF(Info!$B$4="Non-board program",
IF(OR(AND(T$5&gt;0,T$5&gt;100),AND(T$5&gt;0,T$5&lt;100)),
VLOOKUP(FLOOR(('Final Term'!T60/T$5)*100,1),new_transmute,2,FALSE),
VLOOKUP('Final Term'!T60,new_transmute,2,FALSE)
),
IF(Info!$B$4="Board program",
IF(OR(AND(T$5&gt;0,T$5&gt;100),AND(T$5&gt;0,T$5&lt;100)),
VLOOKUP(FLOOR(('Final Term'!T60/T$5)*100,1),new_transmute,3,FALSE),
VLOOKUP('Final Term'!T60,new_transmute,3,FALSE)
),
IF(Info!$B$4="Board program (Medicine)",
IF(OR(AND(T$5&gt;0,T$5&gt;100),AND(T$5&gt;0,T$5&lt;100)),
VLOOKUP(FLOOR(('Final Term'!T60/T$5)*100,1),new_transmute,4,FALSE),
VLOOKUP('Final Term'!T60,new_transmute,4,FALSE)
),
""
)
)
)
)
)
)
)
)
))</f>
        <v/>
      </c>
      <c r="U60" s="73" t="str">
        <f>IF($B60="","",
IF(U$5="","",
IF('Final Term'!U60="",0,
IF(NOT(ISNUMBER('Final Term'!U60)),"NAN",
IF('Final Term'!U60&lt;0,"NEG",
IF('Final Term'!U60&gt;U$5,"OVER",
IF(AND(U$5&lt;=100,'Final Term'!U60&gt;100),"ERR",
IF(Info!$B$4="Non-board program",
IF(OR(AND(U$5&gt;0,U$5&gt;100),AND(U$5&gt;0,U$5&lt;100)),
VLOOKUP(FLOOR(('Final Term'!U60/U$5)*100,1),new_transmute,2,FALSE),
VLOOKUP('Final Term'!U60,new_transmute,2,FALSE)
),
IF(Info!$B$4="Board program",
IF(OR(AND(U$5&gt;0,U$5&gt;100),AND(U$5&gt;0,U$5&lt;100)),
VLOOKUP(FLOOR(('Final Term'!U60/U$5)*100,1),new_transmute,3,FALSE),
VLOOKUP('Final Term'!U60,new_transmute,3,FALSE)
),
IF(Info!$B$4="Board program (Medicine)",
IF(OR(AND(U$5&gt;0,U$5&gt;100),AND(U$5&gt;0,U$5&lt;100)),
VLOOKUP(FLOOR(('Final Term'!U60/U$5)*100,1),new_transmute,4,FALSE),
VLOOKUP('Final Term'!U60,new_transmute,4,FALSE)
),
""
)
)
)
)
)
)
)
)
))</f>
        <v/>
      </c>
      <c r="V60" s="73" t="str">
        <f>IF($B60="","",
IF(V$5="","",
IF('Final Term'!V60="",0,
IF(NOT(ISNUMBER('Final Term'!V60)),"NAN",
IF('Final Term'!V60&lt;0,"NEG",
IF('Final Term'!V60&gt;V$5,"OVER",
IF(AND(V$5&lt;=100,'Final Term'!V60&gt;100),"ERR",
IF(Info!$B$4="Non-board program",
IF(OR(AND(V$5&gt;0,V$5&gt;100),AND(V$5&gt;0,V$5&lt;100)),
VLOOKUP(FLOOR(('Final Term'!V60/V$5)*100,1),new_transmute,2,FALSE),
VLOOKUP('Final Term'!V60,new_transmute,2,FALSE)
),
IF(Info!$B$4="Board program",
IF(OR(AND(V$5&gt;0,V$5&gt;100),AND(V$5&gt;0,V$5&lt;100)),
VLOOKUP(FLOOR(('Final Term'!V60/V$5)*100,1),new_transmute,3,FALSE),
VLOOKUP('Final Term'!V60,new_transmute,3,FALSE)
),
IF(Info!$B$4="Board program (Medicine)",
IF(OR(AND(V$5&gt;0,V$5&gt;100),AND(V$5&gt;0,V$5&lt;100)),
VLOOKUP(FLOOR(('Final Term'!V60/V$5)*100,1),new_transmute,4,FALSE),
VLOOKUP('Final Term'!V60,new_transmute,4,FALSE)
),
""
)
)
)
)
)
)
)
)
))</f>
        <v/>
      </c>
      <c r="W60" s="73" t="str">
        <f>IF($B60="","",
IF(W$5="","",
IF('Final Term'!W60="",0,
IF(NOT(ISNUMBER('Final Term'!W60)),"NAN",
IF('Final Term'!W60&lt;0,"NEG",
IF('Final Term'!W60&gt;W$5,"OVER",
IF(AND(W$5&lt;=100,'Final Term'!W60&gt;100),"ERR",
IF(Info!$B$4="Non-board program",
IF(OR(AND(W$5&gt;0,W$5&gt;100),AND(W$5&gt;0,W$5&lt;100)),
VLOOKUP(FLOOR(('Final Term'!W60/W$5)*100,1),new_transmute,2,FALSE),
VLOOKUP('Final Term'!W60,new_transmute,2,FALSE)
),
IF(Info!$B$4="Board program",
IF(OR(AND(W$5&gt;0,W$5&gt;100),AND(W$5&gt;0,W$5&lt;100)),
VLOOKUP(FLOOR(('Final Term'!W60/W$5)*100,1),new_transmute,3,FALSE),
VLOOKUP('Final Term'!W60,new_transmute,3,FALSE)
),
IF(Info!$B$4="Board program (Medicine)",
IF(OR(AND(W$5&gt;0,W$5&gt;100),AND(W$5&gt;0,W$5&lt;100)),
VLOOKUP(FLOOR(('Final Term'!W60/W$5)*100,1),new_transmute,4,FALSE),
VLOOKUP('Final Term'!W60,new_transmute,4,FALSE)
),
""
)
)
)
)
)
)
)
)
))</f>
        <v/>
      </c>
      <c r="X60" s="73" t="str">
        <f>IF($B60="","",
IF(X$5="","",
IF('Final Term'!X60="",0,
IF(NOT(ISNUMBER('Final Term'!X60)),"NAN",
IF('Final Term'!X60&lt;0,"NEG",
IF('Final Term'!X60&gt;X$5,"OVER",
IF(AND(X$5&lt;=100,'Final Term'!X60&gt;100),"ERR",
IF(Info!$B$4="Non-board program",
IF(OR(AND(X$5&gt;0,X$5&gt;100),AND(X$5&gt;0,X$5&lt;100)),
VLOOKUP(FLOOR(('Final Term'!X60/X$5)*100,1),new_transmute,2,FALSE),
VLOOKUP('Final Term'!X60,new_transmute,2,FALSE)
),
IF(Info!$B$4="Board program",
IF(OR(AND(X$5&gt;0,X$5&gt;100),AND(X$5&gt;0,X$5&lt;100)),
VLOOKUP(FLOOR(('Final Term'!X60/X$5)*100,1),new_transmute,3,FALSE),
VLOOKUP('Final Term'!X60,new_transmute,3,FALSE)
),
IF(Info!$B$4="Board program (Medicine)",
IF(OR(AND(X$5&gt;0,X$5&gt;100),AND(X$5&gt;0,X$5&lt;100)),
VLOOKUP(FLOOR(('Final Term'!X60/X$5)*100,1),new_transmute,4,FALSE),
VLOOKUP('Final Term'!X60,new_transmute,4,FALSE)
),
""
)
)
)
)
)
)
)
)
))</f>
        <v/>
      </c>
      <c r="Y60" s="112" t="str">
        <f t="shared" si="4"/>
        <v/>
      </c>
      <c r="Z60" s="73" t="str">
        <f>IF($B60="","",
IF(Z$5="","",
IF('Final Term'!Z60="",0,
IF(NOT(ISNUMBER('Final Term'!Z60)),"NAN",
IF('Final Term'!Z60&lt;0,"NEG",
IF('Final Term'!Z60&gt;Z$5,"OVER",
IF(AND(Z$5&lt;=100,'Final Term'!Z60&gt;100),"ERR",
IF(Info!$B$4="Non-board program",
IF(OR(AND(Z$5&gt;0,Z$5&gt;100),AND(Z$5&gt;0,Z$5&lt;100)),
VLOOKUP(FLOOR(('Final Term'!Z60/Z$5)*100,1),new_transmute,2,FALSE),
VLOOKUP('Final Term'!Z60,new_transmute,2,FALSE)
),
IF(Info!$B$4="Board program",
IF(OR(AND(Z$5&gt;0,Z$5&gt;100),AND(Z$5&gt;0,Z$5&lt;100)),
VLOOKUP(FLOOR(('Final Term'!Z60/Z$5)*100,1),new_transmute,3,FALSE),
VLOOKUP('Final Term'!Z60,new_transmute,3,FALSE)
),
IF(Info!$B$4="Board program (Medicine)",
IF(OR(AND(Z$5&gt;0,Z$5&gt;100),AND(Z$5&gt;0,Z$5&lt;100)),
VLOOKUP(FLOOR(('Final Term'!Z60/Z$5)*100,1),new_transmute,4,FALSE),
VLOOKUP('Final Term'!Z60,new_transmute,4,FALSE)
),
""
)
)
)
)
)
)
)
)
))</f>
        <v/>
      </c>
      <c r="AA60" s="73" t="str">
        <f>IF($B60="","",
IF(AA$5="","",
IF('Final Term'!AA60="",0,
IF(NOT(ISNUMBER('Final Term'!AA60)),"NAN",
IF('Final Term'!AA60&lt;0,"NEG",
IF('Final Term'!AA60&gt;AA$5,"OVER",
IF(AND(AA$5&lt;=100,'Final Term'!AA60&gt;100),"ERR",
IF(Info!$B$4="Non-board program",
IF(OR(AND(AA$5&gt;0,AA$5&gt;100),AND(AA$5&gt;0,AA$5&lt;100)),
VLOOKUP(FLOOR(('Final Term'!AA60/AA$5)*100,1),new_transmute,2,FALSE),
VLOOKUP('Final Term'!AA60,new_transmute,2,FALSE)
),
IF(Info!$B$4="Board program",
IF(OR(AND(AA$5&gt;0,AA$5&gt;100),AND(AA$5&gt;0,AA$5&lt;100)),
VLOOKUP(FLOOR(('Final Term'!AA60/AA$5)*100,1),new_transmute,3,FALSE),
VLOOKUP('Final Term'!AA60,new_transmute,3,FALSE)
),
IF(Info!$B$4="Board program (Medicine)",
IF(OR(AND(AA$5&gt;0,AA$5&gt;100),AND(AA$5&gt;0,AA$5&lt;100)),
VLOOKUP(FLOOR(('Final Term'!AA60/AA$5)*100,1),new_transmute,4,FALSE),
VLOOKUP('Final Term'!AA60,new_transmute,4,FALSE)
),
""
)
)
)
)
)
)
)
)
))</f>
        <v/>
      </c>
      <c r="AB60" s="73" t="str">
        <f>IF($B60="","",
IF(AB$5="","",
IF('Final Term'!AB60="",0,
IF(NOT(ISNUMBER('Final Term'!AB60)),"NAN",
IF('Final Term'!AB60&lt;0,"NEG",
IF('Final Term'!AB60&gt;AB$5,"OVER",
IF(AND(AB$5&lt;=100,'Final Term'!AB60&gt;100),"ERR",
IF(Info!$B$4="Non-board program",
IF(OR(AND(AB$5&gt;0,AB$5&gt;100),AND(AB$5&gt;0,AB$5&lt;100)),
VLOOKUP(FLOOR(('Final Term'!AB60/AB$5)*100,1),new_transmute,2,FALSE),
VLOOKUP('Final Term'!AB60,new_transmute,2,FALSE)
),
IF(Info!$B$4="Board program",
IF(OR(AND(AB$5&gt;0,AB$5&gt;100),AND(AB$5&gt;0,AB$5&lt;100)),
VLOOKUP(FLOOR(('Final Term'!AB60/AB$5)*100,1),new_transmute,3,FALSE),
VLOOKUP('Final Term'!AB60,new_transmute,3,FALSE)
),
IF(Info!$B$4="Board program (Medicine)",
IF(OR(AND(AB$5&gt;0,AB$5&gt;100),AND(AB$5&gt;0,AB$5&lt;100)),
VLOOKUP(FLOOR(('Final Term'!AB60/AB$5)*100,1),new_transmute,4,FALSE),
VLOOKUP('Final Term'!AB60,new_transmute,4,FALSE)
),
""
)
)
)
)
)
)
)
)
))</f>
        <v/>
      </c>
      <c r="AC60" s="73" t="str">
        <f>IF($B60="","",
IF(AC$5="","",
IF('Final Term'!AC60="",0,
IF(NOT(ISNUMBER('Final Term'!AC60)),"NAN",
IF('Final Term'!AC60&lt;0,"NEG",
IF('Final Term'!AC60&gt;AC$5,"OVER",
IF(AND(AC$5&lt;=100,'Final Term'!AC60&gt;100),"ERR",
IF(Info!$B$4="Non-board program",
IF(OR(AND(AC$5&gt;0,AC$5&gt;100),AND(AC$5&gt;0,AC$5&lt;100)),
VLOOKUP(FLOOR(('Final Term'!AC60/AC$5)*100,1),new_transmute,2,FALSE),
VLOOKUP('Final Term'!AC60,new_transmute,2,FALSE)
),
IF(Info!$B$4="Board program",
IF(OR(AND(AC$5&gt;0,AC$5&gt;100),AND(AC$5&gt;0,AC$5&lt;100)),
VLOOKUP(FLOOR(('Final Term'!AC60/AC$5)*100,1),new_transmute,3,FALSE),
VLOOKUP('Final Term'!AC60,new_transmute,3,FALSE)
),
IF(Info!$B$4="Board program (Medicine)",
IF(OR(AND(AC$5&gt;0,AC$5&gt;100),AND(AC$5&gt;0,AC$5&lt;100)),
VLOOKUP(FLOOR(('Final Term'!AC60/AC$5)*100,1),new_transmute,4,FALSE),
VLOOKUP('Final Term'!AC60,new_transmute,4,FALSE)
),
""
)
)
)
)
)
)
)
)
))</f>
        <v/>
      </c>
      <c r="AD60" s="73" t="str">
        <f>IF($B60="","",
IF(AD$5="","",
IF('Final Term'!AD60="",0,
IF(NOT(ISNUMBER('Final Term'!AD60)),"NAN",
IF('Final Term'!AD60&lt;0,"NEG",
IF('Final Term'!AD60&gt;AD$5,"OVER",
IF(AND(AD$5&lt;=100,'Final Term'!AD60&gt;100),"ERR",
IF(Info!$B$4="Non-board program",
IF(OR(AND(AD$5&gt;0,AD$5&gt;100),AND(AD$5&gt;0,AD$5&lt;100)),
VLOOKUP(FLOOR(('Final Term'!AD60/AD$5)*100,1),new_transmute,2,FALSE),
VLOOKUP('Final Term'!AD60,new_transmute,2,FALSE)
),
IF(Info!$B$4="Board program",
IF(OR(AND(AD$5&gt;0,AD$5&gt;100),AND(AD$5&gt;0,AD$5&lt;100)),
VLOOKUP(FLOOR(('Final Term'!AD60/AD$5)*100,1),new_transmute,3,FALSE),
VLOOKUP('Final Term'!AD60,new_transmute,3,FALSE)
),
IF(Info!$B$4="Board program (Medicine)",
IF(OR(AND(AD$5&gt;0,AD$5&gt;100),AND(AD$5&gt;0,AD$5&lt;100)),
VLOOKUP(FLOOR(('Final Term'!AD60/AD$5)*100,1),new_transmute,4,FALSE),
VLOOKUP('Final Term'!AD60,new_transmute,4,FALSE)
),
""
)
)
)
)
)
)
)
)
))</f>
        <v/>
      </c>
      <c r="AE60" s="58" t="str">
        <f t="shared" si="5"/>
        <v/>
      </c>
      <c r="AF60" s="73" t="str">
        <f>IF($B60="","",
IF(AF$5="","",
IF('Final Term'!AF60="",0,
IF(NOT(ISNUMBER('Final Term'!AF60)),"NAN",
IF('Final Term'!AF60&lt;0,"NEG",
IF('Final Term'!AF60&gt;AF$5,"OVER",
IF(AND(AF$5&lt;=100,'Final Term'!AF60&gt;100),"ERR",
IF(Info!$B$4="Non-board program",
IF(OR(AND(AF$5&gt;0,AF$5&gt;100),AND(AF$5&gt;0,AF$5&lt;100)),
VLOOKUP(FLOOR(('Final Term'!AF60/AF$5)*100,1),new_transmute,2,FALSE),
VLOOKUP('Final Term'!AF60,new_transmute,2,FALSE)
),
IF(Info!$B$4="Board program",
IF(OR(AND(AF$5&gt;0,AF$5&gt;100),AND(AF$5&gt;0,AF$5&lt;100)),
VLOOKUP(FLOOR(('Final Term'!AF60/AF$5)*100,1),new_transmute,3,FALSE),
VLOOKUP('Final Term'!AF60,new_transmute,3,FALSE)
),
IF(Info!$B$4="Board program (Medicine)",
IF(OR(AND(AF$5&gt;0,AF$5&gt;100),AND(AF$5&gt;0,AF$5&lt;100)),
VLOOKUP(FLOOR(('Final Term'!AF60/AF$5)*100,1),new_transmute,4,FALSE),
VLOOKUP('Final Term'!AF60,new_transmute,4,FALSE)
),
""
)
)
)
)
)
)
)
)
))</f>
        <v/>
      </c>
      <c r="AG60" s="73" t="str">
        <f>IF($B60="","",
IF(AG$5="","",
IF('Final Term'!AG60="",0,
IF(NOT(ISNUMBER('Final Term'!AG60)),"NAN",
IF('Final Term'!AG60&lt;0,"NEG",
IF('Final Term'!AG60&gt;AG$5,"OVER",
IF(AND(AG$5&lt;=100,'Final Term'!AG60&gt;100),"ERR",
IF(Info!$B$4="Non-board program",
IF(OR(AND(AG$5&gt;0,AG$5&gt;100),AND(AG$5&gt;0,AG$5&lt;100)),
VLOOKUP(FLOOR(('Final Term'!AG60/AG$5)*100,1),new_transmute,2,FALSE),
VLOOKUP('Final Term'!AG60,new_transmute,2,FALSE)
),
IF(Info!$B$4="Board program",
IF(OR(AND(AG$5&gt;0,AG$5&gt;100),AND(AG$5&gt;0,AG$5&lt;100)),
VLOOKUP(FLOOR(('Final Term'!AG60/AG$5)*100,1),new_transmute,3,FALSE),
VLOOKUP('Final Term'!AG60,new_transmute,3,FALSE)
),
IF(Info!$B$4="Board program (Medicine)",
IF(OR(AND(AG$5&gt;0,AG$5&gt;100),AND(AG$5&gt;0,AG$5&lt;100)),
VLOOKUP(FLOOR(('Final Term'!AG60/AG$5)*100,1),new_transmute,4,FALSE),
VLOOKUP('Final Term'!AG60,new_transmute,4,FALSE)
),
""
)
)
)
)
)
)
)
)
))</f>
        <v/>
      </c>
      <c r="AH60" s="73" t="str">
        <f>IF($B60="","",
IF(AH$5="","",
IF('Final Term'!AH60="",0,
IF(NOT(ISNUMBER('Final Term'!AH60)),"NAN",
IF('Final Term'!AH60&lt;0,"NEG",
IF('Final Term'!AH60&gt;AH$5,"OVER",
IF(AND(AH$5&lt;=100,'Final Term'!AH60&gt;100),"ERR",
IF(Info!$B$4="Non-board program",
IF(OR(AND(AH$5&gt;0,AH$5&gt;100),AND(AH$5&gt;0,AH$5&lt;100)),
VLOOKUP(FLOOR(('Final Term'!AH60/AH$5)*100,1),new_transmute,2,FALSE),
VLOOKUP('Final Term'!AH60,new_transmute,2,FALSE)
),
IF(Info!$B$4="Board program",
IF(OR(AND(AH$5&gt;0,AH$5&gt;100),AND(AH$5&gt;0,AH$5&lt;100)),
VLOOKUP(FLOOR(('Final Term'!AH60/AH$5)*100,1),new_transmute,3,FALSE),
VLOOKUP('Final Term'!AH60,new_transmute,3,FALSE)
),
IF(Info!$B$4="Board program (Medicine)",
IF(OR(AND(AH$5&gt;0,AH$5&gt;100),AND(AH$5&gt;0,AH$5&lt;100)),
VLOOKUP(FLOOR(('Final Term'!AH60/AH$5)*100,1),new_transmute,4,FALSE),
VLOOKUP('Final Term'!AH60,new_transmute,4,FALSE)
),
""
)
)
)
)
)
)
)
)
))</f>
        <v/>
      </c>
      <c r="AI60" s="73" t="str">
        <f>IF($B60="","",
IF(AI$5="","",
IF('Final Term'!AI60="",0,
IF(NOT(ISNUMBER('Final Term'!AI60)),"NAN",
IF('Final Term'!AI60&lt;0,"NEG",
IF('Final Term'!AI60&gt;AI$5,"OVER",
IF(AND(AI$5&lt;=100,'Final Term'!AI60&gt;100),"ERR",
IF(Info!$B$4="Non-board program",
IF(OR(AND(AI$5&gt;0,AI$5&gt;100),AND(AI$5&gt;0,AI$5&lt;100)),
VLOOKUP(FLOOR(('Final Term'!AI60/AI$5)*100,1),new_transmute,2,FALSE),
VLOOKUP('Final Term'!AI60,new_transmute,2,FALSE)
),
IF(Info!$B$4="Board program",
IF(OR(AND(AI$5&gt;0,AI$5&gt;100),AND(AI$5&gt;0,AI$5&lt;100)),
VLOOKUP(FLOOR(('Final Term'!AI60/AI$5)*100,1),new_transmute,3,FALSE),
VLOOKUP('Final Term'!AI60,new_transmute,3,FALSE)
),
IF(Info!$B$4="Board program (Medicine)",
IF(OR(AND(AI$5&gt;0,AI$5&gt;100),AND(AI$5&gt;0,AI$5&lt;100)),
VLOOKUP(FLOOR(('Final Term'!AI60/AI$5)*100,1),new_transmute,4,FALSE),
VLOOKUP('Final Term'!AI60,new_transmute,4,FALSE)
),
""
)
)
)
)
)
)
)
)
))</f>
        <v/>
      </c>
      <c r="AJ60" s="73" t="str">
        <f>IF($B60="","",
IF(AJ$5="","",
IF('Final Term'!AJ60="",0,
IF(NOT(ISNUMBER('Final Term'!AJ60)),"NAN",
IF('Final Term'!AJ60&lt;0,"NEG",
IF('Final Term'!AJ60&gt;AJ$5,"OVER",
IF(AND(AJ$5&lt;=100,'Final Term'!AJ60&gt;100),"ERR",
IF(Info!$B$4="Non-board program",
IF(OR(AND(AJ$5&gt;0,AJ$5&gt;100),AND(AJ$5&gt;0,AJ$5&lt;100)),
VLOOKUP(FLOOR(('Final Term'!AJ60/AJ$5)*100,1),new_transmute,2,FALSE),
VLOOKUP('Final Term'!AJ60,new_transmute,2,FALSE)
),
IF(Info!$B$4="Board program",
IF(OR(AND(AJ$5&gt;0,AJ$5&gt;100),AND(AJ$5&gt;0,AJ$5&lt;100)),
VLOOKUP(FLOOR(('Final Term'!AJ60/AJ$5)*100,1),new_transmute,3,FALSE),
VLOOKUP('Final Term'!AJ60,new_transmute,3,FALSE)
),
IF(Info!$B$4="Board program (Medicine)",
IF(OR(AND(AJ$5&gt;0,AJ$5&gt;100),AND(AJ$5&gt;0,AJ$5&lt;100)),
VLOOKUP(FLOOR(('Final Term'!AJ60/AJ$5)*100,1),new_transmute,4,FALSE),
VLOOKUP('Final Term'!AJ60,new_transmute,4,FALSE)
),
""
)
)
)
)
)
)
)
)
))</f>
        <v/>
      </c>
      <c r="AK60" s="59" t="str">
        <f t="shared" si="6"/>
        <v/>
      </c>
      <c r="AL60" s="60" t="str">
        <f>IF(B60="", "",
    IF(OR(M60="OVER", S60="OVER", Y60="OVER", AE60="OVER", AK60="OVER"),
        "OVER",
        IF(Info!$B$4="Non-board program",
            VLOOKUP(IFERROR(FLOOR(SUM((M60*$M$4), (S60*$S$4), (Y60*$Y$4), (AE60*$AE$4), (AK60*$AK$4)) * (100 / 60), 1), 0), new_transmute, 2, FALSE),
            IF(Info!$B$4="Board program",
                VLOOKUP(IFERROR(FLOOR(SUM((M60*$M$4), (S60*$S$4), (Y60*$Y$4), (AE60*$AE$4), (AK60*$AK$4)) * (100 / 60), 1), 0), new_transmute, 3, FALSE),
                IF(Info!$B$4="Board program (Medicine)",
                    VLOOKUP(IFERROR(FLOOR(SUM((M60*$M$4), (S60*$S$4), (Y60*$Y$4), (AE60*$AE$4), (AK60*$AK$4)) * (100 / 60), 1), 0), new_transmute, 4, FALSE),
                    ""
                )
            )
        )
    )
)</f>
        <v/>
      </c>
      <c r="AM60" s="73" t="str">
        <f>IF($B60="","",
IF(AM$5="","",
IF('Final Term'!AM60="",0,
IF(NOT(ISNUMBER('Final Term'!AM60)),"NAN",
IF('Final Term'!AM60&lt;0,"NEG",
IF('Final Term'!AM60&gt;AM$5,"OVER",
IF(AND(AM$5&lt;=100,'Final Term'!AM60&gt;100),"ERR",
IF(Info!$B$4="Non-board program",
IF(OR(AND(AM$5&gt;0,AM$5&gt;100),AND(AM$5&gt;0,AM$5&lt;100)),
VLOOKUP(FLOOR(('Final Term'!AM60/AM$5)*100,1),new_transmute,2,FALSE),
VLOOKUP('Final Term'!AM60,new_transmute,2,FALSE)
),
IF(Info!$B$4="Board program",
IF(OR(AND(AM$5&gt;0,AM$5&gt;100),AND(AM$5&gt;0,AM$5&lt;100)),
VLOOKUP(FLOOR(('Final Term'!AM60/AM$5)*100,1),new_transmute,3,FALSE),
VLOOKUP('Final Term'!AM60,new_transmute,3,FALSE)
),
IF(Info!$B$4="Board program (Medicine)",
IF(OR(AND(AM$5&gt;0,AM$5&gt;100),AND(AM$5&gt;0,AM$5&lt;100)),
VLOOKUP(FLOOR(('Final Term'!AM60/AM$5)*100,1),new_transmute,4,FALSE),
VLOOKUP('Final Term'!AM60,new_transmute,4,FALSE)
),
""
)
)
)
)
)
)
)
)
))</f>
        <v/>
      </c>
      <c r="AN60" s="73" t="str">
        <f>IF($B60="","",
IF(AN$5="","",
IF('Final Term'!AN60="",0,
IF(NOT(ISNUMBER('Final Term'!AN60)),"NAN",
IF('Final Term'!AN60&lt;0,"NEG",
IF('Final Term'!AN60&gt;AN$5,"OVER",
IF(AND(AN$5&lt;=100,'Final Term'!AN60&gt;100),"ERR",
IF(Info!$B$4="Non-board program",
IF(OR(AND(AN$5&gt;0,AN$5&gt;100),AND(AN$5&gt;0,AN$5&lt;100)),
VLOOKUP(FLOOR(('Final Term'!AN60/AN$5)*100,1),new_transmute,2,FALSE),
VLOOKUP('Final Term'!AN60,new_transmute,2,FALSE)
),
IF(Info!$B$4="Board program",
IF(OR(AND(AN$5&gt;0,AN$5&gt;100),AND(AN$5&gt;0,AN$5&lt;100)),
VLOOKUP(FLOOR(('Final Term'!AN60/AN$5)*100,1),new_transmute,3,FALSE),
VLOOKUP('Final Term'!AN60,new_transmute,3,FALSE)
),
IF(Info!$B$4="Board program (Medicine)",
IF(OR(AND(AN$5&gt;0,AN$5&gt;100),AND(AN$5&gt;0,AN$5&lt;100)),
VLOOKUP(FLOOR(('Final Term'!AN60/AN$5)*100,1),new_transmute,4,FALSE),
VLOOKUP('Final Term'!AN60,new_transmute,4,FALSE)
),
""
)
)
)
)
)
)
)
)
))</f>
        <v/>
      </c>
      <c r="AO60" s="73" t="str">
        <f>IF($B60="","",
IF(AO$5="","",
IF('Final Term'!AO60="",0,
IF(NOT(ISNUMBER('Final Term'!AO60)),"NAN",
IF('Final Term'!AO60&lt;0,"NEG",
IF('Final Term'!AO60&gt;AO$5,"OVER",
IF(AND(AO$5&lt;=100,'Final Term'!AO60&gt;100),"ERR",
IF(Info!$B$4="Non-board program",
IF(OR(AND(AO$5&gt;0,AO$5&gt;100),AND(AO$5&gt;0,AO$5&lt;100)),
VLOOKUP(FLOOR(('Final Term'!AO60/AO$5)*100,1),new_transmute,2,FALSE),
VLOOKUP('Final Term'!AO60,new_transmute,2,FALSE)
),
IF(Info!$B$4="Board program",
IF(OR(AND(AO$5&gt;0,AO$5&gt;100),AND(AO$5&gt;0,AO$5&lt;100)),
VLOOKUP(FLOOR(('Final Term'!AO60/AO$5)*100,1),new_transmute,3,FALSE),
VLOOKUP('Final Term'!AO60,new_transmute,3,FALSE)
),
IF(Info!$B$4="Board program (Medicine)",
IF(OR(AND(AO$5&gt;0,AO$5&gt;100),AND(AO$5&gt;0,AO$5&lt;100)),
VLOOKUP(FLOOR(('Final Term'!AO60/AO$5)*100,1),new_transmute,4,FALSE),
VLOOKUP('Final Term'!AO60,new_transmute,4,FALSE)
),
""
)
)
)
)
)
)
)
)
))</f>
        <v/>
      </c>
      <c r="AP60" s="73" t="str">
        <f>IF($B60="","",
IF(AP$5="","",
IF('Final Term'!AP60="",0,
IF(NOT(ISNUMBER('Final Term'!AP60)),"NAN",
IF('Final Term'!AP60&lt;0,"NEG",
IF('Final Term'!AP60&gt;AP$5,"OVER",
IF(AND(AP$5&lt;=100,'Final Term'!AP60&gt;100),"ERR",
IF(Info!$B$4="Non-board program",
IF(OR(AND(AP$5&gt;0,AP$5&gt;100),AND(AP$5&gt;0,AP$5&lt;100)),
VLOOKUP(FLOOR(('Final Term'!AP60/AP$5)*100,1),new_transmute,2,FALSE),
VLOOKUP('Final Term'!AP60,new_transmute,2,FALSE)
),
IF(Info!$B$4="Board program",
IF(OR(AND(AP$5&gt;0,AP$5&gt;100),AND(AP$5&gt;0,AP$5&lt;100)),
VLOOKUP(FLOOR(('Final Term'!AP60/AP$5)*100,1),new_transmute,3,FALSE),
VLOOKUP('Final Term'!AP60,new_transmute,3,FALSE)
),
IF(Info!$B$4="Board program (Medicine)",
IF(OR(AND(AP$5&gt;0,AP$5&gt;100),AND(AP$5&gt;0,AP$5&lt;100)),
VLOOKUP(FLOOR(('Final Term'!AP60/AP$5)*100,1),new_transmute,4,FALSE),
VLOOKUP('Final Term'!AP60,new_transmute,4,FALSE)
),
""
)
)
)
)
)
)
)
)
))</f>
        <v/>
      </c>
      <c r="AQ60" s="61" t="str">
        <f t="shared" si="7"/>
        <v/>
      </c>
      <c r="AR60" s="48" t="str">
        <f>IF('Final Term'!AR60="","",'Final Term'!AR60)</f>
        <v/>
      </c>
      <c r="AS60" s="165" t="str">
        <f t="shared" si="8"/>
        <v/>
      </c>
      <c r="AT60" s="14" t="str">
        <f t="shared" si="9"/>
        <v/>
      </c>
      <c r="AU60" s="13" t="str">
        <f>IF(B60="","",VLOOKUP(AT60,'New Grade Equivalent'!$B$3:$C$47,2,FALSE))</f>
        <v/>
      </c>
    </row>
    <row r="61" spans="1:47" x14ac:dyDescent="0.25">
      <c r="A61" s="8">
        <v>56</v>
      </c>
      <c r="B61" s="2" t="str">
        <f>IF('Student List'!C65="","",UPPER(LEFT('Student List'!C65,FIND(",",'Student List'!C65)-1)))</f>
        <v/>
      </c>
      <c r="C61" s="12" t="str">
        <f>IF('Student List'!C65="","",PROPER(MID('Student List'!C65, FIND(",", 'Student List'!C65) + 2, LEN('Student List'!C65) - FIND(",", 'Student List'!C65) - 1)))</f>
        <v/>
      </c>
      <c r="D61" s="127" t="str">
        <f>IF('Final Term'!D61="","",'Final Term'!D61)</f>
        <v/>
      </c>
      <c r="E61" s="8" t="str">
        <f>IF(MidCom!E61="FA", "FA",
    IF(MidCom!E61="DRP", "DRP",
        IF(MidCom!E61="WF", "WF",
            IF(D61="Yes", "INC",
               IF((SUM('MT Attendance'!AW59) / 3 + SUM('MT Attendance'!AY59) + SUM('FT Attendance'!AW59) / 3 + SUM('FT Attendance'!AY59)) &gt;= 0.2 * (SUMPRODUCT(--(ISTEXT('MT Attendance'!$C$2:$AU$2))) + SUMPRODUCT(--(ISTEXT('FT Attendance'!$C$2:$AU$2)))), "FA",
                   MidCom!E61
                )
            )
        )
    )
)</f>
        <v/>
      </c>
      <c r="F61" s="73" t="str">
        <f>IF($B61="","",
IF(F$5="","",
IF('Final Term'!F61="",0,
IF(NOT(ISNUMBER('Final Term'!F61)),"NAN",
IF('Final Term'!F61&lt;0,"NEG",
IF('Final Term'!F61&gt;F$5,"OVER",
IF(AND(F$5&lt;=100,'Final Term'!F61&gt;100),"ERR",
IF(Info!$B$4="Non-board program",
IF(OR(AND(F$5&gt;0,F$5&gt;100),AND(F$5&gt;0,F$5&lt;100)),
VLOOKUP(FLOOR(('Final Term'!F61/F$5)*100,1),new_transmute,2,FALSE),
VLOOKUP('Final Term'!F61,new_transmute,2,FALSE)
),
IF(Info!$B$4="Board program",
IF(OR(AND(F$5&gt;0,F$5&gt;100),AND(F$5&gt;0,F$5&lt;100)),
VLOOKUP(FLOOR(('Final Term'!F61/F$5)*100,1),new_transmute,3,FALSE),
VLOOKUP('Final Term'!F61,new_transmute,3,FALSE)
),
IF(Info!$B$4="Board program (Medicine)",
IF(OR(AND(F$5&gt;0,F$5&gt;100),AND(F$5&gt;0,F$5&lt;100)),
VLOOKUP(FLOOR(('Final Term'!F61/F$5)*100,1),new_transmute,4,FALSE),
VLOOKUP('Final Term'!F61,new_transmute,4,FALSE)
),
""
)
)
)
)
)
)
)
)
))</f>
        <v/>
      </c>
      <c r="G61" s="57" t="str">
        <f t="shared" si="1"/>
        <v/>
      </c>
      <c r="H61" s="73" t="str">
        <f>IF($B61="","",
IF(H$5="","",
IF('Final Term'!H61="",0,
IF(NOT(ISNUMBER('Final Term'!H61)),"NAN",
IF('Final Term'!H61&lt;0,"NEG",
IF('Final Term'!H61&gt;H$5,"OVER",
IF(AND(H$5&lt;=100,'Final Term'!H61&gt;100),"ERR",
IF(Info!$B$4="Non-board program",
IF(OR(AND(H$5&gt;0,H$5&gt;100),AND(H$5&gt;0,H$5&lt;100)),
VLOOKUP(FLOOR(('Final Term'!H61/H$5)*100,1),new_transmute,2,FALSE),
VLOOKUP('Final Term'!H61,new_transmute,2,FALSE)
),
IF(Info!$B$4="Board program",
IF(OR(AND(H$5&gt;0,H$5&gt;100),AND(H$5&gt;0,H$5&lt;100)),
VLOOKUP(FLOOR(('Final Term'!H61/H$5)*100,1),new_transmute,3,FALSE),
VLOOKUP('Final Term'!H61,new_transmute,3,FALSE)
),
IF(Info!$B$4="Board program (Medicine)",
IF(OR(AND(H$5&gt;0,H$5&gt;100),AND(H$5&gt;0,H$5&lt;100)),
VLOOKUP(FLOOR(('Final Term'!H61/H$5)*100,1),new_transmute,4,FALSE),
VLOOKUP('Final Term'!H61,new_transmute,4,FALSE)
),
""
)
)
)
)
)
)
)
)
))</f>
        <v/>
      </c>
      <c r="I61" s="73" t="str">
        <f>IF($B61="","",
IF(I$5="","",
IF('Final Term'!I61="",0,
IF(NOT(ISNUMBER('Final Term'!I61)),"NAN",
IF('Final Term'!I61&lt;0,"NEG",
IF('Final Term'!I61&gt;I$5,"OVER",
IF(AND(I$5&lt;=100,'Final Term'!I61&gt;100),"ERR",
IF(Info!$B$4="Non-board program",
IF(OR(AND(I$5&gt;0,I$5&gt;100),AND(I$5&gt;0,I$5&lt;100)),
VLOOKUP(FLOOR(('Final Term'!I61/I$5)*100,1),new_transmute,2,FALSE),
VLOOKUP('Final Term'!I61,new_transmute,2,FALSE)
),
IF(Info!$B$4="Board program",
IF(OR(AND(I$5&gt;0,I$5&gt;100),AND(I$5&gt;0,I$5&lt;100)),
VLOOKUP(FLOOR(('Final Term'!I61/I$5)*100,1),new_transmute,3,FALSE),
VLOOKUP('Final Term'!I61,new_transmute,3,FALSE)
),
IF(Info!$B$4="Board program (Medicine)",
IF(OR(AND(I$5&gt;0,I$5&gt;100),AND(I$5&gt;0,I$5&lt;100)),
VLOOKUP(FLOOR(('Final Term'!I61/I$5)*100,1),new_transmute,4,FALSE),
VLOOKUP('Final Term'!I61,new_transmute,4,FALSE)
),
""
)
)
)
)
)
)
)
)
))</f>
        <v/>
      </c>
      <c r="J61" s="73" t="str">
        <f>IF($B61="","",
IF(J$5="","",
IF('Final Term'!J61="",0,
IF(NOT(ISNUMBER('Final Term'!J61)),"NAN",
IF('Final Term'!J61&lt;0,"NEG",
IF('Final Term'!J61&gt;J$5,"OVER",
IF(AND(J$5&lt;=100,'Final Term'!J61&gt;100),"ERR",
IF(Info!$B$4="Non-board program",
IF(OR(AND(J$5&gt;0,J$5&gt;100),AND(J$5&gt;0,J$5&lt;100)),
VLOOKUP(FLOOR(('Final Term'!J61/J$5)*100,1),new_transmute,2,FALSE),
VLOOKUP('Final Term'!J61,new_transmute,2,FALSE)
),
IF(Info!$B$4="Board program",
IF(OR(AND(J$5&gt;0,J$5&gt;100),AND(J$5&gt;0,J$5&lt;100)),
VLOOKUP(FLOOR(('Final Term'!J61/J$5)*100,1),new_transmute,3,FALSE),
VLOOKUP('Final Term'!J61,new_transmute,3,FALSE)
),
IF(Info!$B$4="Board program (Medicine)",
IF(OR(AND(J$5&gt;0,J$5&gt;100),AND(J$5&gt;0,J$5&lt;100)),
VLOOKUP(FLOOR(('Final Term'!J61/J$5)*100,1),new_transmute,4,FALSE),
VLOOKUP('Final Term'!J61,new_transmute,4,FALSE)
),
""
)
)
)
)
)
)
)
)
))</f>
        <v/>
      </c>
      <c r="K61" s="73" t="str">
        <f>IF($B61="","",
IF(K$5="","",
IF('Final Term'!K61="",0,
IF(NOT(ISNUMBER('Final Term'!K61)),"NAN",
IF('Final Term'!K61&lt;0,"NEG",
IF('Final Term'!K61&gt;K$5,"OVER",
IF(AND(K$5&lt;=100,'Final Term'!K61&gt;100),"ERR",
IF(Info!$B$4="Non-board program",
IF(OR(AND(K$5&gt;0,K$5&gt;100),AND(K$5&gt;0,K$5&lt;100)),
VLOOKUP(FLOOR(('Final Term'!K61/K$5)*100,1),new_transmute,2,FALSE),
VLOOKUP('Final Term'!K61,new_transmute,2,FALSE)
),
IF(Info!$B$4="Board program",
IF(OR(AND(K$5&gt;0,K$5&gt;100),AND(K$5&gt;0,K$5&lt;100)),
VLOOKUP(FLOOR(('Final Term'!K61/K$5)*100,1),new_transmute,3,FALSE),
VLOOKUP('Final Term'!K61,new_transmute,3,FALSE)
),
IF(Info!$B$4="Board program (Medicine)",
IF(OR(AND(K$5&gt;0,K$5&gt;100),AND(K$5&gt;0,K$5&lt;100)),
VLOOKUP(FLOOR(('Final Term'!K61/K$5)*100,1),new_transmute,4,FALSE),
VLOOKUP('Final Term'!K61,new_transmute,4,FALSE)
),
""
)
)
)
)
)
)
)
)
))</f>
        <v/>
      </c>
      <c r="L61" s="73" t="str">
        <f>IF($B61="","",
IF(L$5="","",
IF('Final Term'!L61="",0,
IF(NOT(ISNUMBER('Final Term'!L61)),"NAN",
IF('Final Term'!L61&lt;0,"NEG",
IF('Final Term'!L61&gt;L$5,"OVER",
IF(AND(L$5&lt;=100,'Final Term'!L61&gt;100),"ERR",
IF(Info!$B$4="Non-board program",
IF(OR(AND(L$5&gt;0,L$5&gt;100),AND(L$5&gt;0,L$5&lt;100)),
VLOOKUP(FLOOR(('Final Term'!L61/L$5)*100,1),new_transmute,2,FALSE),
VLOOKUP('Final Term'!L61,new_transmute,2,FALSE)
),
IF(Info!$B$4="Board program",
IF(OR(AND(L$5&gt;0,L$5&gt;100),AND(L$5&gt;0,L$5&lt;100)),
VLOOKUP(FLOOR(('Final Term'!L61/L$5)*100,1),new_transmute,3,FALSE),
VLOOKUP('Final Term'!L61,new_transmute,3,FALSE)
),
IF(Info!$B$4="Board program (Medicine)",
IF(OR(AND(L$5&gt;0,L$5&gt;100),AND(L$5&gt;0,L$5&lt;100)),
VLOOKUP(FLOOR(('Final Term'!L61/L$5)*100,1),new_transmute,4,FALSE),
VLOOKUP('Final Term'!L61,new_transmute,4,FALSE)
),
""
)
)
)
)
)
)
)
)
))</f>
        <v/>
      </c>
      <c r="M61" s="111" t="str">
        <f t="shared" si="2"/>
        <v/>
      </c>
      <c r="N61" s="73" t="str">
        <f>IF($B61="","",
IF(N$5="","",
IF('Final Term'!N61="",0,
IF(NOT(ISNUMBER('Final Term'!N61)),"NAN",
IF('Final Term'!N61&lt;0,"NEG",
IF('Final Term'!N61&gt;N$5,"OVER",
IF(AND(N$5&lt;=100,'Final Term'!N61&gt;100),"ERR",
IF(Info!$B$4="Non-board program",
IF(OR(AND(N$5&gt;0,N$5&gt;100),AND(N$5&gt;0,N$5&lt;100)),
VLOOKUP(FLOOR(('Final Term'!N61/N$5)*100,1),new_transmute,2,FALSE),
VLOOKUP('Final Term'!N61,new_transmute,2,FALSE)
),
IF(Info!$B$4="Board program",
IF(OR(AND(N$5&gt;0,N$5&gt;100),AND(N$5&gt;0,N$5&lt;100)),
VLOOKUP(FLOOR(('Final Term'!N61/N$5)*100,1),new_transmute,3,FALSE),
VLOOKUP('Final Term'!N61,new_transmute,3,FALSE)
),
IF(Info!$B$4="Board program (Medicine)",
IF(OR(AND(N$5&gt;0,N$5&gt;100),AND(N$5&gt;0,N$5&lt;100)),
VLOOKUP(FLOOR(('Final Term'!N61/N$5)*100,1),new_transmute,4,FALSE),
VLOOKUP('Final Term'!N61,new_transmute,4,FALSE)
),
""
)
)
)
)
)
)
)
)
))</f>
        <v/>
      </c>
      <c r="O61" s="73" t="str">
        <f>IF($B61="","",
IF(O$5="","",
IF('Final Term'!O61="",0,
IF(NOT(ISNUMBER('Final Term'!O61)),"NAN",
IF('Final Term'!O61&lt;0,"NEG",
IF('Final Term'!O61&gt;O$5,"OVER",
IF(AND(O$5&lt;=100,'Final Term'!O61&gt;100),"ERR",
IF(Info!$B$4="Non-board program",
IF(OR(AND(O$5&gt;0,O$5&gt;100),AND(O$5&gt;0,O$5&lt;100)),
VLOOKUP(FLOOR(('Final Term'!O61/O$5)*100,1),new_transmute,2,FALSE),
VLOOKUP('Final Term'!O61,new_transmute,2,FALSE)
),
IF(Info!$B$4="Board program",
IF(OR(AND(O$5&gt;0,O$5&gt;100),AND(O$5&gt;0,O$5&lt;100)),
VLOOKUP(FLOOR(('Final Term'!O61/O$5)*100,1),new_transmute,3,FALSE),
VLOOKUP('Final Term'!O61,new_transmute,3,FALSE)
),
IF(Info!$B$4="Board program (Medicine)",
IF(OR(AND(O$5&gt;0,O$5&gt;100),AND(O$5&gt;0,O$5&lt;100)),
VLOOKUP(FLOOR(('Final Term'!O61/O$5)*100,1),new_transmute,4,FALSE),
VLOOKUP('Final Term'!O61,new_transmute,4,FALSE)
),
""
)
)
)
)
)
)
)
)
))</f>
        <v/>
      </c>
      <c r="P61" s="73" t="str">
        <f>IF($B61="","",
IF(P$5="","",
IF('Final Term'!P61="",0,
IF(NOT(ISNUMBER('Final Term'!P61)),"NAN",
IF('Final Term'!P61&lt;0,"NEG",
IF('Final Term'!P61&gt;P$5,"OVER",
IF(AND(P$5&lt;=100,'Final Term'!P61&gt;100),"ERR",
IF(Info!$B$4="Non-board program",
IF(OR(AND(P$5&gt;0,P$5&gt;100),AND(P$5&gt;0,P$5&lt;100)),
VLOOKUP(FLOOR(('Final Term'!P61/P$5)*100,1),new_transmute,2,FALSE),
VLOOKUP('Final Term'!P61,new_transmute,2,FALSE)
),
IF(Info!$B$4="Board program",
IF(OR(AND(P$5&gt;0,P$5&gt;100),AND(P$5&gt;0,P$5&lt;100)),
VLOOKUP(FLOOR(('Final Term'!P61/P$5)*100,1),new_transmute,3,FALSE),
VLOOKUP('Final Term'!P61,new_transmute,3,FALSE)
),
IF(Info!$B$4="Board program (Medicine)",
IF(OR(AND(P$5&gt;0,P$5&gt;100),AND(P$5&gt;0,P$5&lt;100)),
VLOOKUP(FLOOR(('Final Term'!P61/P$5)*100,1),new_transmute,4,FALSE),
VLOOKUP('Final Term'!P61,new_transmute,4,FALSE)
),
""
)
)
)
)
)
)
)
)
))</f>
        <v/>
      </c>
      <c r="Q61" s="73" t="str">
        <f>IF($B61="","",
IF(Q$5="","",
IF('Final Term'!Q61="",0,
IF(NOT(ISNUMBER('Final Term'!Q61)),"NAN",
IF('Final Term'!Q61&lt;0,"NEG",
IF('Final Term'!Q61&gt;Q$5,"OVER",
IF(AND(Q$5&lt;=100,'Final Term'!Q61&gt;100),"ERR",
IF(Info!$B$4="Non-board program",
IF(OR(AND(Q$5&gt;0,Q$5&gt;100),AND(Q$5&gt;0,Q$5&lt;100)),
VLOOKUP(FLOOR(('Final Term'!Q61/Q$5)*100,1),new_transmute,2,FALSE),
VLOOKUP('Final Term'!Q61,new_transmute,2,FALSE)
),
IF(Info!$B$4="Board program",
IF(OR(AND(Q$5&gt;0,Q$5&gt;100),AND(Q$5&gt;0,Q$5&lt;100)),
VLOOKUP(FLOOR(('Final Term'!Q61/Q$5)*100,1),new_transmute,3,FALSE),
VLOOKUP('Final Term'!Q61,new_transmute,3,FALSE)
),
IF(Info!$B$4="Board program (Medicine)",
IF(OR(AND(Q$5&gt;0,Q$5&gt;100),AND(Q$5&gt;0,Q$5&lt;100)),
VLOOKUP(FLOOR(('Final Term'!Q61/Q$5)*100,1),new_transmute,4,FALSE),
VLOOKUP('Final Term'!Q61,new_transmute,4,FALSE)
),
""
)
)
)
)
)
)
)
)
))</f>
        <v/>
      </c>
      <c r="R61" s="73" t="str">
        <f>IF($B61="","",
IF(R$5="","",
IF('Final Term'!R61="",0,
IF(NOT(ISNUMBER('Final Term'!R61)),"NAN",
IF('Final Term'!R61&lt;0,"NEG",
IF('Final Term'!R61&gt;R$5,"OVER",
IF(AND(R$5&lt;=100,'Final Term'!R61&gt;100),"ERR",
IF(Info!$B$4="Non-board program",
IF(OR(AND(R$5&gt;0,R$5&gt;100),AND(R$5&gt;0,R$5&lt;100)),
VLOOKUP(FLOOR(('Final Term'!R61/R$5)*100,1),new_transmute,2,FALSE),
VLOOKUP('Final Term'!R61,new_transmute,2,FALSE)
),
IF(Info!$B$4="Board program",
IF(OR(AND(R$5&gt;0,R$5&gt;100),AND(R$5&gt;0,R$5&lt;100)),
VLOOKUP(FLOOR(('Final Term'!R61/R$5)*100,1),new_transmute,3,FALSE),
VLOOKUP('Final Term'!R61,new_transmute,3,FALSE)
),
IF(Info!$B$4="Board program (Medicine)",
IF(OR(AND(R$5&gt;0,R$5&gt;100),AND(R$5&gt;0,R$5&lt;100)),
VLOOKUP(FLOOR(('Final Term'!R61/R$5)*100,1),new_transmute,4,FALSE),
VLOOKUP('Final Term'!R61,new_transmute,4,FALSE)
),
""
)
)
)
)
)
)
)
)
))</f>
        <v/>
      </c>
      <c r="S61" s="115" t="str">
        <f t="shared" si="3"/>
        <v/>
      </c>
      <c r="T61" s="73" t="str">
        <f>IF($B61="","",
IF(T$5="","",
IF('Final Term'!T61="",0,
IF(NOT(ISNUMBER('Final Term'!T61)),"NAN",
IF('Final Term'!T61&lt;0,"NEG",
IF('Final Term'!T61&gt;T$5,"OVER",
IF(AND(T$5&lt;=100,'Final Term'!T61&gt;100),"ERR",
IF(Info!$B$4="Non-board program",
IF(OR(AND(T$5&gt;0,T$5&gt;100),AND(T$5&gt;0,T$5&lt;100)),
VLOOKUP(FLOOR(('Final Term'!T61/T$5)*100,1),new_transmute,2,FALSE),
VLOOKUP('Final Term'!T61,new_transmute,2,FALSE)
),
IF(Info!$B$4="Board program",
IF(OR(AND(T$5&gt;0,T$5&gt;100),AND(T$5&gt;0,T$5&lt;100)),
VLOOKUP(FLOOR(('Final Term'!T61/T$5)*100,1),new_transmute,3,FALSE),
VLOOKUP('Final Term'!T61,new_transmute,3,FALSE)
),
IF(Info!$B$4="Board program (Medicine)",
IF(OR(AND(T$5&gt;0,T$5&gt;100),AND(T$5&gt;0,T$5&lt;100)),
VLOOKUP(FLOOR(('Final Term'!T61/T$5)*100,1),new_transmute,4,FALSE),
VLOOKUP('Final Term'!T61,new_transmute,4,FALSE)
),
""
)
)
)
)
)
)
)
)
))</f>
        <v/>
      </c>
      <c r="U61" s="73" t="str">
        <f>IF($B61="","",
IF(U$5="","",
IF('Final Term'!U61="",0,
IF(NOT(ISNUMBER('Final Term'!U61)),"NAN",
IF('Final Term'!U61&lt;0,"NEG",
IF('Final Term'!U61&gt;U$5,"OVER",
IF(AND(U$5&lt;=100,'Final Term'!U61&gt;100),"ERR",
IF(Info!$B$4="Non-board program",
IF(OR(AND(U$5&gt;0,U$5&gt;100),AND(U$5&gt;0,U$5&lt;100)),
VLOOKUP(FLOOR(('Final Term'!U61/U$5)*100,1),new_transmute,2,FALSE),
VLOOKUP('Final Term'!U61,new_transmute,2,FALSE)
),
IF(Info!$B$4="Board program",
IF(OR(AND(U$5&gt;0,U$5&gt;100),AND(U$5&gt;0,U$5&lt;100)),
VLOOKUP(FLOOR(('Final Term'!U61/U$5)*100,1),new_transmute,3,FALSE),
VLOOKUP('Final Term'!U61,new_transmute,3,FALSE)
),
IF(Info!$B$4="Board program (Medicine)",
IF(OR(AND(U$5&gt;0,U$5&gt;100),AND(U$5&gt;0,U$5&lt;100)),
VLOOKUP(FLOOR(('Final Term'!U61/U$5)*100,1),new_transmute,4,FALSE),
VLOOKUP('Final Term'!U61,new_transmute,4,FALSE)
),
""
)
)
)
)
)
)
)
)
))</f>
        <v/>
      </c>
      <c r="V61" s="73" t="str">
        <f>IF($B61="","",
IF(V$5="","",
IF('Final Term'!V61="",0,
IF(NOT(ISNUMBER('Final Term'!V61)),"NAN",
IF('Final Term'!V61&lt;0,"NEG",
IF('Final Term'!V61&gt;V$5,"OVER",
IF(AND(V$5&lt;=100,'Final Term'!V61&gt;100),"ERR",
IF(Info!$B$4="Non-board program",
IF(OR(AND(V$5&gt;0,V$5&gt;100),AND(V$5&gt;0,V$5&lt;100)),
VLOOKUP(FLOOR(('Final Term'!V61/V$5)*100,1),new_transmute,2,FALSE),
VLOOKUP('Final Term'!V61,new_transmute,2,FALSE)
),
IF(Info!$B$4="Board program",
IF(OR(AND(V$5&gt;0,V$5&gt;100),AND(V$5&gt;0,V$5&lt;100)),
VLOOKUP(FLOOR(('Final Term'!V61/V$5)*100,1),new_transmute,3,FALSE),
VLOOKUP('Final Term'!V61,new_transmute,3,FALSE)
),
IF(Info!$B$4="Board program (Medicine)",
IF(OR(AND(V$5&gt;0,V$5&gt;100),AND(V$5&gt;0,V$5&lt;100)),
VLOOKUP(FLOOR(('Final Term'!V61/V$5)*100,1),new_transmute,4,FALSE),
VLOOKUP('Final Term'!V61,new_transmute,4,FALSE)
),
""
)
)
)
)
)
)
)
)
))</f>
        <v/>
      </c>
      <c r="W61" s="73" t="str">
        <f>IF($B61="","",
IF(W$5="","",
IF('Final Term'!W61="",0,
IF(NOT(ISNUMBER('Final Term'!W61)),"NAN",
IF('Final Term'!W61&lt;0,"NEG",
IF('Final Term'!W61&gt;W$5,"OVER",
IF(AND(W$5&lt;=100,'Final Term'!W61&gt;100),"ERR",
IF(Info!$B$4="Non-board program",
IF(OR(AND(W$5&gt;0,W$5&gt;100),AND(W$5&gt;0,W$5&lt;100)),
VLOOKUP(FLOOR(('Final Term'!W61/W$5)*100,1),new_transmute,2,FALSE),
VLOOKUP('Final Term'!W61,new_transmute,2,FALSE)
),
IF(Info!$B$4="Board program",
IF(OR(AND(W$5&gt;0,W$5&gt;100),AND(W$5&gt;0,W$5&lt;100)),
VLOOKUP(FLOOR(('Final Term'!W61/W$5)*100,1),new_transmute,3,FALSE),
VLOOKUP('Final Term'!W61,new_transmute,3,FALSE)
),
IF(Info!$B$4="Board program (Medicine)",
IF(OR(AND(W$5&gt;0,W$5&gt;100),AND(W$5&gt;0,W$5&lt;100)),
VLOOKUP(FLOOR(('Final Term'!W61/W$5)*100,1),new_transmute,4,FALSE),
VLOOKUP('Final Term'!W61,new_transmute,4,FALSE)
),
""
)
)
)
)
)
)
)
)
))</f>
        <v/>
      </c>
      <c r="X61" s="73" t="str">
        <f>IF($B61="","",
IF(X$5="","",
IF('Final Term'!X61="",0,
IF(NOT(ISNUMBER('Final Term'!X61)),"NAN",
IF('Final Term'!X61&lt;0,"NEG",
IF('Final Term'!X61&gt;X$5,"OVER",
IF(AND(X$5&lt;=100,'Final Term'!X61&gt;100),"ERR",
IF(Info!$B$4="Non-board program",
IF(OR(AND(X$5&gt;0,X$5&gt;100),AND(X$5&gt;0,X$5&lt;100)),
VLOOKUP(FLOOR(('Final Term'!X61/X$5)*100,1),new_transmute,2,FALSE),
VLOOKUP('Final Term'!X61,new_transmute,2,FALSE)
),
IF(Info!$B$4="Board program",
IF(OR(AND(X$5&gt;0,X$5&gt;100),AND(X$5&gt;0,X$5&lt;100)),
VLOOKUP(FLOOR(('Final Term'!X61/X$5)*100,1),new_transmute,3,FALSE),
VLOOKUP('Final Term'!X61,new_transmute,3,FALSE)
),
IF(Info!$B$4="Board program (Medicine)",
IF(OR(AND(X$5&gt;0,X$5&gt;100),AND(X$5&gt;0,X$5&lt;100)),
VLOOKUP(FLOOR(('Final Term'!X61/X$5)*100,1),new_transmute,4,FALSE),
VLOOKUP('Final Term'!X61,new_transmute,4,FALSE)
),
""
)
)
)
)
)
)
)
)
))</f>
        <v/>
      </c>
      <c r="Y61" s="112" t="str">
        <f t="shared" si="4"/>
        <v/>
      </c>
      <c r="Z61" s="73" t="str">
        <f>IF($B61="","",
IF(Z$5="","",
IF('Final Term'!Z61="",0,
IF(NOT(ISNUMBER('Final Term'!Z61)),"NAN",
IF('Final Term'!Z61&lt;0,"NEG",
IF('Final Term'!Z61&gt;Z$5,"OVER",
IF(AND(Z$5&lt;=100,'Final Term'!Z61&gt;100),"ERR",
IF(Info!$B$4="Non-board program",
IF(OR(AND(Z$5&gt;0,Z$5&gt;100),AND(Z$5&gt;0,Z$5&lt;100)),
VLOOKUP(FLOOR(('Final Term'!Z61/Z$5)*100,1),new_transmute,2,FALSE),
VLOOKUP('Final Term'!Z61,new_transmute,2,FALSE)
),
IF(Info!$B$4="Board program",
IF(OR(AND(Z$5&gt;0,Z$5&gt;100),AND(Z$5&gt;0,Z$5&lt;100)),
VLOOKUP(FLOOR(('Final Term'!Z61/Z$5)*100,1),new_transmute,3,FALSE),
VLOOKUP('Final Term'!Z61,new_transmute,3,FALSE)
),
IF(Info!$B$4="Board program (Medicine)",
IF(OR(AND(Z$5&gt;0,Z$5&gt;100),AND(Z$5&gt;0,Z$5&lt;100)),
VLOOKUP(FLOOR(('Final Term'!Z61/Z$5)*100,1),new_transmute,4,FALSE),
VLOOKUP('Final Term'!Z61,new_transmute,4,FALSE)
),
""
)
)
)
)
)
)
)
)
))</f>
        <v/>
      </c>
      <c r="AA61" s="73" t="str">
        <f>IF($B61="","",
IF(AA$5="","",
IF('Final Term'!AA61="",0,
IF(NOT(ISNUMBER('Final Term'!AA61)),"NAN",
IF('Final Term'!AA61&lt;0,"NEG",
IF('Final Term'!AA61&gt;AA$5,"OVER",
IF(AND(AA$5&lt;=100,'Final Term'!AA61&gt;100),"ERR",
IF(Info!$B$4="Non-board program",
IF(OR(AND(AA$5&gt;0,AA$5&gt;100),AND(AA$5&gt;0,AA$5&lt;100)),
VLOOKUP(FLOOR(('Final Term'!AA61/AA$5)*100,1),new_transmute,2,FALSE),
VLOOKUP('Final Term'!AA61,new_transmute,2,FALSE)
),
IF(Info!$B$4="Board program",
IF(OR(AND(AA$5&gt;0,AA$5&gt;100),AND(AA$5&gt;0,AA$5&lt;100)),
VLOOKUP(FLOOR(('Final Term'!AA61/AA$5)*100,1),new_transmute,3,FALSE),
VLOOKUP('Final Term'!AA61,new_transmute,3,FALSE)
),
IF(Info!$B$4="Board program (Medicine)",
IF(OR(AND(AA$5&gt;0,AA$5&gt;100),AND(AA$5&gt;0,AA$5&lt;100)),
VLOOKUP(FLOOR(('Final Term'!AA61/AA$5)*100,1),new_transmute,4,FALSE),
VLOOKUP('Final Term'!AA61,new_transmute,4,FALSE)
),
""
)
)
)
)
)
)
)
)
))</f>
        <v/>
      </c>
      <c r="AB61" s="73" t="str">
        <f>IF($B61="","",
IF(AB$5="","",
IF('Final Term'!AB61="",0,
IF(NOT(ISNUMBER('Final Term'!AB61)),"NAN",
IF('Final Term'!AB61&lt;0,"NEG",
IF('Final Term'!AB61&gt;AB$5,"OVER",
IF(AND(AB$5&lt;=100,'Final Term'!AB61&gt;100),"ERR",
IF(Info!$B$4="Non-board program",
IF(OR(AND(AB$5&gt;0,AB$5&gt;100),AND(AB$5&gt;0,AB$5&lt;100)),
VLOOKUP(FLOOR(('Final Term'!AB61/AB$5)*100,1),new_transmute,2,FALSE),
VLOOKUP('Final Term'!AB61,new_transmute,2,FALSE)
),
IF(Info!$B$4="Board program",
IF(OR(AND(AB$5&gt;0,AB$5&gt;100),AND(AB$5&gt;0,AB$5&lt;100)),
VLOOKUP(FLOOR(('Final Term'!AB61/AB$5)*100,1),new_transmute,3,FALSE),
VLOOKUP('Final Term'!AB61,new_transmute,3,FALSE)
),
IF(Info!$B$4="Board program (Medicine)",
IF(OR(AND(AB$5&gt;0,AB$5&gt;100),AND(AB$5&gt;0,AB$5&lt;100)),
VLOOKUP(FLOOR(('Final Term'!AB61/AB$5)*100,1),new_transmute,4,FALSE),
VLOOKUP('Final Term'!AB61,new_transmute,4,FALSE)
),
""
)
)
)
)
)
)
)
)
))</f>
        <v/>
      </c>
      <c r="AC61" s="73" t="str">
        <f>IF($B61="","",
IF(AC$5="","",
IF('Final Term'!AC61="",0,
IF(NOT(ISNUMBER('Final Term'!AC61)),"NAN",
IF('Final Term'!AC61&lt;0,"NEG",
IF('Final Term'!AC61&gt;AC$5,"OVER",
IF(AND(AC$5&lt;=100,'Final Term'!AC61&gt;100),"ERR",
IF(Info!$B$4="Non-board program",
IF(OR(AND(AC$5&gt;0,AC$5&gt;100),AND(AC$5&gt;0,AC$5&lt;100)),
VLOOKUP(FLOOR(('Final Term'!AC61/AC$5)*100,1),new_transmute,2,FALSE),
VLOOKUP('Final Term'!AC61,new_transmute,2,FALSE)
),
IF(Info!$B$4="Board program",
IF(OR(AND(AC$5&gt;0,AC$5&gt;100),AND(AC$5&gt;0,AC$5&lt;100)),
VLOOKUP(FLOOR(('Final Term'!AC61/AC$5)*100,1),new_transmute,3,FALSE),
VLOOKUP('Final Term'!AC61,new_transmute,3,FALSE)
),
IF(Info!$B$4="Board program (Medicine)",
IF(OR(AND(AC$5&gt;0,AC$5&gt;100),AND(AC$5&gt;0,AC$5&lt;100)),
VLOOKUP(FLOOR(('Final Term'!AC61/AC$5)*100,1),new_transmute,4,FALSE),
VLOOKUP('Final Term'!AC61,new_transmute,4,FALSE)
),
""
)
)
)
)
)
)
)
)
))</f>
        <v/>
      </c>
      <c r="AD61" s="73" t="str">
        <f>IF($B61="","",
IF(AD$5="","",
IF('Final Term'!AD61="",0,
IF(NOT(ISNUMBER('Final Term'!AD61)),"NAN",
IF('Final Term'!AD61&lt;0,"NEG",
IF('Final Term'!AD61&gt;AD$5,"OVER",
IF(AND(AD$5&lt;=100,'Final Term'!AD61&gt;100),"ERR",
IF(Info!$B$4="Non-board program",
IF(OR(AND(AD$5&gt;0,AD$5&gt;100),AND(AD$5&gt;0,AD$5&lt;100)),
VLOOKUP(FLOOR(('Final Term'!AD61/AD$5)*100,1),new_transmute,2,FALSE),
VLOOKUP('Final Term'!AD61,new_transmute,2,FALSE)
),
IF(Info!$B$4="Board program",
IF(OR(AND(AD$5&gt;0,AD$5&gt;100),AND(AD$5&gt;0,AD$5&lt;100)),
VLOOKUP(FLOOR(('Final Term'!AD61/AD$5)*100,1),new_transmute,3,FALSE),
VLOOKUP('Final Term'!AD61,new_transmute,3,FALSE)
),
IF(Info!$B$4="Board program (Medicine)",
IF(OR(AND(AD$5&gt;0,AD$5&gt;100),AND(AD$5&gt;0,AD$5&lt;100)),
VLOOKUP(FLOOR(('Final Term'!AD61/AD$5)*100,1),new_transmute,4,FALSE),
VLOOKUP('Final Term'!AD61,new_transmute,4,FALSE)
),
""
)
)
)
)
)
)
)
)
))</f>
        <v/>
      </c>
      <c r="AE61" s="58" t="str">
        <f t="shared" si="5"/>
        <v/>
      </c>
      <c r="AF61" s="73" t="str">
        <f>IF($B61="","",
IF(AF$5="","",
IF('Final Term'!AF61="",0,
IF(NOT(ISNUMBER('Final Term'!AF61)),"NAN",
IF('Final Term'!AF61&lt;0,"NEG",
IF('Final Term'!AF61&gt;AF$5,"OVER",
IF(AND(AF$5&lt;=100,'Final Term'!AF61&gt;100),"ERR",
IF(Info!$B$4="Non-board program",
IF(OR(AND(AF$5&gt;0,AF$5&gt;100),AND(AF$5&gt;0,AF$5&lt;100)),
VLOOKUP(FLOOR(('Final Term'!AF61/AF$5)*100,1),new_transmute,2,FALSE),
VLOOKUP('Final Term'!AF61,new_transmute,2,FALSE)
),
IF(Info!$B$4="Board program",
IF(OR(AND(AF$5&gt;0,AF$5&gt;100),AND(AF$5&gt;0,AF$5&lt;100)),
VLOOKUP(FLOOR(('Final Term'!AF61/AF$5)*100,1),new_transmute,3,FALSE),
VLOOKUP('Final Term'!AF61,new_transmute,3,FALSE)
),
IF(Info!$B$4="Board program (Medicine)",
IF(OR(AND(AF$5&gt;0,AF$5&gt;100),AND(AF$5&gt;0,AF$5&lt;100)),
VLOOKUP(FLOOR(('Final Term'!AF61/AF$5)*100,1),new_transmute,4,FALSE),
VLOOKUP('Final Term'!AF61,new_transmute,4,FALSE)
),
""
)
)
)
)
)
)
)
)
))</f>
        <v/>
      </c>
      <c r="AG61" s="73" t="str">
        <f>IF($B61="","",
IF(AG$5="","",
IF('Final Term'!AG61="",0,
IF(NOT(ISNUMBER('Final Term'!AG61)),"NAN",
IF('Final Term'!AG61&lt;0,"NEG",
IF('Final Term'!AG61&gt;AG$5,"OVER",
IF(AND(AG$5&lt;=100,'Final Term'!AG61&gt;100),"ERR",
IF(Info!$B$4="Non-board program",
IF(OR(AND(AG$5&gt;0,AG$5&gt;100),AND(AG$5&gt;0,AG$5&lt;100)),
VLOOKUP(FLOOR(('Final Term'!AG61/AG$5)*100,1),new_transmute,2,FALSE),
VLOOKUP('Final Term'!AG61,new_transmute,2,FALSE)
),
IF(Info!$B$4="Board program",
IF(OR(AND(AG$5&gt;0,AG$5&gt;100),AND(AG$5&gt;0,AG$5&lt;100)),
VLOOKUP(FLOOR(('Final Term'!AG61/AG$5)*100,1),new_transmute,3,FALSE),
VLOOKUP('Final Term'!AG61,new_transmute,3,FALSE)
),
IF(Info!$B$4="Board program (Medicine)",
IF(OR(AND(AG$5&gt;0,AG$5&gt;100),AND(AG$5&gt;0,AG$5&lt;100)),
VLOOKUP(FLOOR(('Final Term'!AG61/AG$5)*100,1),new_transmute,4,FALSE),
VLOOKUP('Final Term'!AG61,new_transmute,4,FALSE)
),
""
)
)
)
)
)
)
)
)
))</f>
        <v/>
      </c>
      <c r="AH61" s="73" t="str">
        <f>IF($B61="","",
IF(AH$5="","",
IF('Final Term'!AH61="",0,
IF(NOT(ISNUMBER('Final Term'!AH61)),"NAN",
IF('Final Term'!AH61&lt;0,"NEG",
IF('Final Term'!AH61&gt;AH$5,"OVER",
IF(AND(AH$5&lt;=100,'Final Term'!AH61&gt;100),"ERR",
IF(Info!$B$4="Non-board program",
IF(OR(AND(AH$5&gt;0,AH$5&gt;100),AND(AH$5&gt;0,AH$5&lt;100)),
VLOOKUP(FLOOR(('Final Term'!AH61/AH$5)*100,1),new_transmute,2,FALSE),
VLOOKUP('Final Term'!AH61,new_transmute,2,FALSE)
),
IF(Info!$B$4="Board program",
IF(OR(AND(AH$5&gt;0,AH$5&gt;100),AND(AH$5&gt;0,AH$5&lt;100)),
VLOOKUP(FLOOR(('Final Term'!AH61/AH$5)*100,1),new_transmute,3,FALSE),
VLOOKUP('Final Term'!AH61,new_transmute,3,FALSE)
),
IF(Info!$B$4="Board program (Medicine)",
IF(OR(AND(AH$5&gt;0,AH$5&gt;100),AND(AH$5&gt;0,AH$5&lt;100)),
VLOOKUP(FLOOR(('Final Term'!AH61/AH$5)*100,1),new_transmute,4,FALSE),
VLOOKUP('Final Term'!AH61,new_transmute,4,FALSE)
),
""
)
)
)
)
)
)
)
)
))</f>
        <v/>
      </c>
      <c r="AI61" s="73" t="str">
        <f>IF($B61="","",
IF(AI$5="","",
IF('Final Term'!AI61="",0,
IF(NOT(ISNUMBER('Final Term'!AI61)),"NAN",
IF('Final Term'!AI61&lt;0,"NEG",
IF('Final Term'!AI61&gt;AI$5,"OVER",
IF(AND(AI$5&lt;=100,'Final Term'!AI61&gt;100),"ERR",
IF(Info!$B$4="Non-board program",
IF(OR(AND(AI$5&gt;0,AI$5&gt;100),AND(AI$5&gt;0,AI$5&lt;100)),
VLOOKUP(FLOOR(('Final Term'!AI61/AI$5)*100,1),new_transmute,2,FALSE),
VLOOKUP('Final Term'!AI61,new_transmute,2,FALSE)
),
IF(Info!$B$4="Board program",
IF(OR(AND(AI$5&gt;0,AI$5&gt;100),AND(AI$5&gt;0,AI$5&lt;100)),
VLOOKUP(FLOOR(('Final Term'!AI61/AI$5)*100,1),new_transmute,3,FALSE),
VLOOKUP('Final Term'!AI61,new_transmute,3,FALSE)
),
IF(Info!$B$4="Board program (Medicine)",
IF(OR(AND(AI$5&gt;0,AI$5&gt;100),AND(AI$5&gt;0,AI$5&lt;100)),
VLOOKUP(FLOOR(('Final Term'!AI61/AI$5)*100,1),new_transmute,4,FALSE),
VLOOKUP('Final Term'!AI61,new_transmute,4,FALSE)
),
""
)
)
)
)
)
)
)
)
))</f>
        <v/>
      </c>
      <c r="AJ61" s="73" t="str">
        <f>IF($B61="","",
IF(AJ$5="","",
IF('Final Term'!AJ61="",0,
IF(NOT(ISNUMBER('Final Term'!AJ61)),"NAN",
IF('Final Term'!AJ61&lt;0,"NEG",
IF('Final Term'!AJ61&gt;AJ$5,"OVER",
IF(AND(AJ$5&lt;=100,'Final Term'!AJ61&gt;100),"ERR",
IF(Info!$B$4="Non-board program",
IF(OR(AND(AJ$5&gt;0,AJ$5&gt;100),AND(AJ$5&gt;0,AJ$5&lt;100)),
VLOOKUP(FLOOR(('Final Term'!AJ61/AJ$5)*100,1),new_transmute,2,FALSE),
VLOOKUP('Final Term'!AJ61,new_transmute,2,FALSE)
),
IF(Info!$B$4="Board program",
IF(OR(AND(AJ$5&gt;0,AJ$5&gt;100),AND(AJ$5&gt;0,AJ$5&lt;100)),
VLOOKUP(FLOOR(('Final Term'!AJ61/AJ$5)*100,1),new_transmute,3,FALSE),
VLOOKUP('Final Term'!AJ61,new_transmute,3,FALSE)
),
IF(Info!$B$4="Board program (Medicine)",
IF(OR(AND(AJ$5&gt;0,AJ$5&gt;100),AND(AJ$5&gt;0,AJ$5&lt;100)),
VLOOKUP(FLOOR(('Final Term'!AJ61/AJ$5)*100,1),new_transmute,4,FALSE),
VLOOKUP('Final Term'!AJ61,new_transmute,4,FALSE)
),
""
)
)
)
)
)
)
)
)
))</f>
        <v/>
      </c>
      <c r="AK61" s="59" t="str">
        <f t="shared" si="6"/>
        <v/>
      </c>
      <c r="AL61" s="60" t="str">
        <f>IF(B61="", "",
    IF(OR(M61="OVER", S61="OVER", Y61="OVER", AE61="OVER", AK61="OVER"),
        "OVER",
        IF(Info!$B$4="Non-board program",
            VLOOKUP(IFERROR(FLOOR(SUM((M61*$M$4), (S61*$S$4), (Y61*$Y$4), (AE61*$AE$4), (AK61*$AK$4)) * (100 / 60), 1), 0), new_transmute, 2, FALSE),
            IF(Info!$B$4="Board program",
                VLOOKUP(IFERROR(FLOOR(SUM((M61*$M$4), (S61*$S$4), (Y61*$Y$4), (AE61*$AE$4), (AK61*$AK$4)) * (100 / 60), 1), 0), new_transmute, 3, FALSE),
                IF(Info!$B$4="Board program (Medicine)",
                    VLOOKUP(IFERROR(FLOOR(SUM((M61*$M$4), (S61*$S$4), (Y61*$Y$4), (AE61*$AE$4), (AK61*$AK$4)) * (100 / 60), 1), 0), new_transmute, 4, FALSE),
                    ""
                )
            )
        )
    )
)</f>
        <v/>
      </c>
      <c r="AM61" s="73" t="str">
        <f>IF($B61="","",
IF(AM$5="","",
IF('Final Term'!AM61="",0,
IF(NOT(ISNUMBER('Final Term'!AM61)),"NAN",
IF('Final Term'!AM61&lt;0,"NEG",
IF('Final Term'!AM61&gt;AM$5,"OVER",
IF(AND(AM$5&lt;=100,'Final Term'!AM61&gt;100),"ERR",
IF(Info!$B$4="Non-board program",
IF(OR(AND(AM$5&gt;0,AM$5&gt;100),AND(AM$5&gt;0,AM$5&lt;100)),
VLOOKUP(FLOOR(('Final Term'!AM61/AM$5)*100,1),new_transmute,2,FALSE),
VLOOKUP('Final Term'!AM61,new_transmute,2,FALSE)
),
IF(Info!$B$4="Board program",
IF(OR(AND(AM$5&gt;0,AM$5&gt;100),AND(AM$5&gt;0,AM$5&lt;100)),
VLOOKUP(FLOOR(('Final Term'!AM61/AM$5)*100,1),new_transmute,3,FALSE),
VLOOKUP('Final Term'!AM61,new_transmute,3,FALSE)
),
IF(Info!$B$4="Board program (Medicine)",
IF(OR(AND(AM$5&gt;0,AM$5&gt;100),AND(AM$5&gt;0,AM$5&lt;100)),
VLOOKUP(FLOOR(('Final Term'!AM61/AM$5)*100,1),new_transmute,4,FALSE),
VLOOKUP('Final Term'!AM61,new_transmute,4,FALSE)
),
""
)
)
)
)
)
)
)
)
))</f>
        <v/>
      </c>
      <c r="AN61" s="73" t="str">
        <f>IF($B61="","",
IF(AN$5="","",
IF('Final Term'!AN61="",0,
IF(NOT(ISNUMBER('Final Term'!AN61)),"NAN",
IF('Final Term'!AN61&lt;0,"NEG",
IF('Final Term'!AN61&gt;AN$5,"OVER",
IF(AND(AN$5&lt;=100,'Final Term'!AN61&gt;100),"ERR",
IF(Info!$B$4="Non-board program",
IF(OR(AND(AN$5&gt;0,AN$5&gt;100),AND(AN$5&gt;0,AN$5&lt;100)),
VLOOKUP(FLOOR(('Final Term'!AN61/AN$5)*100,1),new_transmute,2,FALSE),
VLOOKUP('Final Term'!AN61,new_transmute,2,FALSE)
),
IF(Info!$B$4="Board program",
IF(OR(AND(AN$5&gt;0,AN$5&gt;100),AND(AN$5&gt;0,AN$5&lt;100)),
VLOOKUP(FLOOR(('Final Term'!AN61/AN$5)*100,1),new_transmute,3,FALSE),
VLOOKUP('Final Term'!AN61,new_transmute,3,FALSE)
),
IF(Info!$B$4="Board program (Medicine)",
IF(OR(AND(AN$5&gt;0,AN$5&gt;100),AND(AN$5&gt;0,AN$5&lt;100)),
VLOOKUP(FLOOR(('Final Term'!AN61/AN$5)*100,1),new_transmute,4,FALSE),
VLOOKUP('Final Term'!AN61,new_transmute,4,FALSE)
),
""
)
)
)
)
)
)
)
)
))</f>
        <v/>
      </c>
      <c r="AO61" s="73" t="str">
        <f>IF($B61="","",
IF(AO$5="","",
IF('Final Term'!AO61="",0,
IF(NOT(ISNUMBER('Final Term'!AO61)),"NAN",
IF('Final Term'!AO61&lt;0,"NEG",
IF('Final Term'!AO61&gt;AO$5,"OVER",
IF(AND(AO$5&lt;=100,'Final Term'!AO61&gt;100),"ERR",
IF(Info!$B$4="Non-board program",
IF(OR(AND(AO$5&gt;0,AO$5&gt;100),AND(AO$5&gt;0,AO$5&lt;100)),
VLOOKUP(FLOOR(('Final Term'!AO61/AO$5)*100,1),new_transmute,2,FALSE),
VLOOKUP('Final Term'!AO61,new_transmute,2,FALSE)
),
IF(Info!$B$4="Board program",
IF(OR(AND(AO$5&gt;0,AO$5&gt;100),AND(AO$5&gt;0,AO$5&lt;100)),
VLOOKUP(FLOOR(('Final Term'!AO61/AO$5)*100,1),new_transmute,3,FALSE),
VLOOKUP('Final Term'!AO61,new_transmute,3,FALSE)
),
IF(Info!$B$4="Board program (Medicine)",
IF(OR(AND(AO$5&gt;0,AO$5&gt;100),AND(AO$5&gt;0,AO$5&lt;100)),
VLOOKUP(FLOOR(('Final Term'!AO61/AO$5)*100,1),new_transmute,4,FALSE),
VLOOKUP('Final Term'!AO61,new_transmute,4,FALSE)
),
""
)
)
)
)
)
)
)
)
))</f>
        <v/>
      </c>
      <c r="AP61" s="73" t="str">
        <f>IF($B61="","",
IF(AP$5="","",
IF('Final Term'!AP61="",0,
IF(NOT(ISNUMBER('Final Term'!AP61)),"NAN",
IF('Final Term'!AP61&lt;0,"NEG",
IF('Final Term'!AP61&gt;AP$5,"OVER",
IF(AND(AP$5&lt;=100,'Final Term'!AP61&gt;100),"ERR",
IF(Info!$B$4="Non-board program",
IF(OR(AND(AP$5&gt;0,AP$5&gt;100),AND(AP$5&gt;0,AP$5&lt;100)),
VLOOKUP(FLOOR(('Final Term'!AP61/AP$5)*100,1),new_transmute,2,FALSE),
VLOOKUP('Final Term'!AP61,new_transmute,2,FALSE)
),
IF(Info!$B$4="Board program",
IF(OR(AND(AP$5&gt;0,AP$5&gt;100),AND(AP$5&gt;0,AP$5&lt;100)),
VLOOKUP(FLOOR(('Final Term'!AP61/AP$5)*100,1),new_transmute,3,FALSE),
VLOOKUP('Final Term'!AP61,new_transmute,3,FALSE)
),
IF(Info!$B$4="Board program (Medicine)",
IF(OR(AND(AP$5&gt;0,AP$5&gt;100),AND(AP$5&gt;0,AP$5&lt;100)),
VLOOKUP(FLOOR(('Final Term'!AP61/AP$5)*100,1),new_transmute,4,FALSE),
VLOOKUP('Final Term'!AP61,new_transmute,4,FALSE)
),
""
)
)
)
)
)
)
)
)
))</f>
        <v/>
      </c>
      <c r="AQ61" s="61" t="str">
        <f t="shared" si="7"/>
        <v/>
      </c>
      <c r="AR61" s="48" t="str">
        <f>IF('Final Term'!AR61="","",'Final Term'!AR61)</f>
        <v/>
      </c>
      <c r="AS61" s="165" t="str">
        <f t="shared" si="8"/>
        <v/>
      </c>
      <c r="AT61" s="14" t="str">
        <f t="shared" si="9"/>
        <v/>
      </c>
      <c r="AU61" s="13" t="str">
        <f>IF(B61="","",VLOOKUP(AT61,'New Grade Equivalent'!$B$3:$C$47,2,FALSE))</f>
        <v/>
      </c>
    </row>
    <row r="62" spans="1:47" x14ac:dyDescent="0.25">
      <c r="A62" s="8">
        <v>57</v>
      </c>
      <c r="B62" s="2" t="str">
        <f>IF('Student List'!C66="","",UPPER(LEFT('Student List'!C66,FIND(",",'Student List'!C66)-1)))</f>
        <v/>
      </c>
      <c r="C62" s="12" t="str">
        <f>IF('Student List'!C66="","",PROPER(MID('Student List'!C66, FIND(",", 'Student List'!C66) + 2, LEN('Student List'!C66) - FIND(",", 'Student List'!C66) - 1)))</f>
        <v/>
      </c>
      <c r="D62" s="127" t="str">
        <f>IF('Final Term'!D62="","",'Final Term'!D62)</f>
        <v/>
      </c>
      <c r="E62" s="8" t="str">
        <f>IF(MidCom!E62="FA", "FA",
    IF(MidCom!E62="DRP", "DRP",
        IF(MidCom!E62="WF", "WF",
            IF(D62="Yes", "INC",
               IF((SUM('MT Attendance'!AW60) / 3 + SUM('MT Attendance'!AY60) + SUM('FT Attendance'!AW60) / 3 + SUM('FT Attendance'!AY60)) &gt;= 0.2 * (SUMPRODUCT(--(ISTEXT('MT Attendance'!$C$2:$AU$2))) + SUMPRODUCT(--(ISTEXT('FT Attendance'!$C$2:$AU$2)))), "FA",
                   MidCom!E62
                )
            )
        )
    )
)</f>
        <v/>
      </c>
      <c r="F62" s="73" t="str">
        <f>IF($B62="","",
IF(F$5="","",
IF('Final Term'!F62="",0,
IF(NOT(ISNUMBER('Final Term'!F62)),"NAN",
IF('Final Term'!F62&lt;0,"NEG",
IF('Final Term'!F62&gt;F$5,"OVER",
IF(AND(F$5&lt;=100,'Final Term'!F62&gt;100),"ERR",
IF(Info!$B$4="Non-board program",
IF(OR(AND(F$5&gt;0,F$5&gt;100),AND(F$5&gt;0,F$5&lt;100)),
VLOOKUP(FLOOR(('Final Term'!F62/F$5)*100,1),new_transmute,2,FALSE),
VLOOKUP('Final Term'!F62,new_transmute,2,FALSE)
),
IF(Info!$B$4="Board program",
IF(OR(AND(F$5&gt;0,F$5&gt;100),AND(F$5&gt;0,F$5&lt;100)),
VLOOKUP(FLOOR(('Final Term'!F62/F$5)*100,1),new_transmute,3,FALSE),
VLOOKUP('Final Term'!F62,new_transmute,3,FALSE)
),
IF(Info!$B$4="Board program (Medicine)",
IF(OR(AND(F$5&gt;0,F$5&gt;100),AND(F$5&gt;0,F$5&lt;100)),
VLOOKUP(FLOOR(('Final Term'!F62/F$5)*100,1),new_transmute,4,FALSE),
VLOOKUP('Final Term'!F62,new_transmute,4,FALSE)
),
""
)
)
)
)
)
)
)
)
))</f>
        <v/>
      </c>
      <c r="G62" s="57" t="str">
        <f t="shared" si="1"/>
        <v/>
      </c>
      <c r="H62" s="73" t="str">
        <f>IF($B62="","",
IF(H$5="","",
IF('Final Term'!H62="",0,
IF(NOT(ISNUMBER('Final Term'!H62)),"NAN",
IF('Final Term'!H62&lt;0,"NEG",
IF('Final Term'!H62&gt;H$5,"OVER",
IF(AND(H$5&lt;=100,'Final Term'!H62&gt;100),"ERR",
IF(Info!$B$4="Non-board program",
IF(OR(AND(H$5&gt;0,H$5&gt;100),AND(H$5&gt;0,H$5&lt;100)),
VLOOKUP(FLOOR(('Final Term'!H62/H$5)*100,1),new_transmute,2,FALSE),
VLOOKUP('Final Term'!H62,new_transmute,2,FALSE)
),
IF(Info!$B$4="Board program",
IF(OR(AND(H$5&gt;0,H$5&gt;100),AND(H$5&gt;0,H$5&lt;100)),
VLOOKUP(FLOOR(('Final Term'!H62/H$5)*100,1),new_transmute,3,FALSE),
VLOOKUP('Final Term'!H62,new_transmute,3,FALSE)
),
IF(Info!$B$4="Board program (Medicine)",
IF(OR(AND(H$5&gt;0,H$5&gt;100),AND(H$5&gt;0,H$5&lt;100)),
VLOOKUP(FLOOR(('Final Term'!H62/H$5)*100,1),new_transmute,4,FALSE),
VLOOKUP('Final Term'!H62,new_transmute,4,FALSE)
),
""
)
)
)
)
)
)
)
)
))</f>
        <v/>
      </c>
      <c r="I62" s="73" t="str">
        <f>IF($B62="","",
IF(I$5="","",
IF('Final Term'!I62="",0,
IF(NOT(ISNUMBER('Final Term'!I62)),"NAN",
IF('Final Term'!I62&lt;0,"NEG",
IF('Final Term'!I62&gt;I$5,"OVER",
IF(AND(I$5&lt;=100,'Final Term'!I62&gt;100),"ERR",
IF(Info!$B$4="Non-board program",
IF(OR(AND(I$5&gt;0,I$5&gt;100),AND(I$5&gt;0,I$5&lt;100)),
VLOOKUP(FLOOR(('Final Term'!I62/I$5)*100,1),new_transmute,2,FALSE),
VLOOKUP('Final Term'!I62,new_transmute,2,FALSE)
),
IF(Info!$B$4="Board program",
IF(OR(AND(I$5&gt;0,I$5&gt;100),AND(I$5&gt;0,I$5&lt;100)),
VLOOKUP(FLOOR(('Final Term'!I62/I$5)*100,1),new_transmute,3,FALSE),
VLOOKUP('Final Term'!I62,new_transmute,3,FALSE)
),
IF(Info!$B$4="Board program (Medicine)",
IF(OR(AND(I$5&gt;0,I$5&gt;100),AND(I$5&gt;0,I$5&lt;100)),
VLOOKUP(FLOOR(('Final Term'!I62/I$5)*100,1),new_transmute,4,FALSE),
VLOOKUP('Final Term'!I62,new_transmute,4,FALSE)
),
""
)
)
)
)
)
)
)
)
))</f>
        <v/>
      </c>
      <c r="J62" s="73" t="str">
        <f>IF($B62="","",
IF(J$5="","",
IF('Final Term'!J62="",0,
IF(NOT(ISNUMBER('Final Term'!J62)),"NAN",
IF('Final Term'!J62&lt;0,"NEG",
IF('Final Term'!J62&gt;J$5,"OVER",
IF(AND(J$5&lt;=100,'Final Term'!J62&gt;100),"ERR",
IF(Info!$B$4="Non-board program",
IF(OR(AND(J$5&gt;0,J$5&gt;100),AND(J$5&gt;0,J$5&lt;100)),
VLOOKUP(FLOOR(('Final Term'!J62/J$5)*100,1),new_transmute,2,FALSE),
VLOOKUP('Final Term'!J62,new_transmute,2,FALSE)
),
IF(Info!$B$4="Board program",
IF(OR(AND(J$5&gt;0,J$5&gt;100),AND(J$5&gt;0,J$5&lt;100)),
VLOOKUP(FLOOR(('Final Term'!J62/J$5)*100,1),new_transmute,3,FALSE),
VLOOKUP('Final Term'!J62,new_transmute,3,FALSE)
),
IF(Info!$B$4="Board program (Medicine)",
IF(OR(AND(J$5&gt;0,J$5&gt;100),AND(J$5&gt;0,J$5&lt;100)),
VLOOKUP(FLOOR(('Final Term'!J62/J$5)*100,1),new_transmute,4,FALSE),
VLOOKUP('Final Term'!J62,new_transmute,4,FALSE)
),
""
)
)
)
)
)
)
)
)
))</f>
        <v/>
      </c>
      <c r="K62" s="73" t="str">
        <f>IF($B62="","",
IF(K$5="","",
IF('Final Term'!K62="",0,
IF(NOT(ISNUMBER('Final Term'!K62)),"NAN",
IF('Final Term'!K62&lt;0,"NEG",
IF('Final Term'!K62&gt;K$5,"OVER",
IF(AND(K$5&lt;=100,'Final Term'!K62&gt;100),"ERR",
IF(Info!$B$4="Non-board program",
IF(OR(AND(K$5&gt;0,K$5&gt;100),AND(K$5&gt;0,K$5&lt;100)),
VLOOKUP(FLOOR(('Final Term'!K62/K$5)*100,1),new_transmute,2,FALSE),
VLOOKUP('Final Term'!K62,new_transmute,2,FALSE)
),
IF(Info!$B$4="Board program",
IF(OR(AND(K$5&gt;0,K$5&gt;100),AND(K$5&gt;0,K$5&lt;100)),
VLOOKUP(FLOOR(('Final Term'!K62/K$5)*100,1),new_transmute,3,FALSE),
VLOOKUP('Final Term'!K62,new_transmute,3,FALSE)
),
IF(Info!$B$4="Board program (Medicine)",
IF(OR(AND(K$5&gt;0,K$5&gt;100),AND(K$5&gt;0,K$5&lt;100)),
VLOOKUP(FLOOR(('Final Term'!K62/K$5)*100,1),new_transmute,4,FALSE),
VLOOKUP('Final Term'!K62,new_transmute,4,FALSE)
),
""
)
)
)
)
)
)
)
)
))</f>
        <v/>
      </c>
      <c r="L62" s="73" t="str">
        <f>IF($B62="","",
IF(L$5="","",
IF('Final Term'!L62="",0,
IF(NOT(ISNUMBER('Final Term'!L62)),"NAN",
IF('Final Term'!L62&lt;0,"NEG",
IF('Final Term'!L62&gt;L$5,"OVER",
IF(AND(L$5&lt;=100,'Final Term'!L62&gt;100),"ERR",
IF(Info!$B$4="Non-board program",
IF(OR(AND(L$5&gt;0,L$5&gt;100),AND(L$5&gt;0,L$5&lt;100)),
VLOOKUP(FLOOR(('Final Term'!L62/L$5)*100,1),new_transmute,2,FALSE),
VLOOKUP('Final Term'!L62,new_transmute,2,FALSE)
),
IF(Info!$B$4="Board program",
IF(OR(AND(L$5&gt;0,L$5&gt;100),AND(L$5&gt;0,L$5&lt;100)),
VLOOKUP(FLOOR(('Final Term'!L62/L$5)*100,1),new_transmute,3,FALSE),
VLOOKUP('Final Term'!L62,new_transmute,3,FALSE)
),
IF(Info!$B$4="Board program (Medicine)",
IF(OR(AND(L$5&gt;0,L$5&gt;100),AND(L$5&gt;0,L$5&lt;100)),
VLOOKUP(FLOOR(('Final Term'!L62/L$5)*100,1),new_transmute,4,FALSE),
VLOOKUP('Final Term'!L62,new_transmute,4,FALSE)
),
""
)
)
)
)
)
)
)
)
))</f>
        <v/>
      </c>
      <c r="M62" s="111" t="str">
        <f t="shared" si="2"/>
        <v/>
      </c>
      <c r="N62" s="73" t="str">
        <f>IF($B62="","",
IF(N$5="","",
IF('Final Term'!N62="",0,
IF(NOT(ISNUMBER('Final Term'!N62)),"NAN",
IF('Final Term'!N62&lt;0,"NEG",
IF('Final Term'!N62&gt;N$5,"OVER",
IF(AND(N$5&lt;=100,'Final Term'!N62&gt;100),"ERR",
IF(Info!$B$4="Non-board program",
IF(OR(AND(N$5&gt;0,N$5&gt;100),AND(N$5&gt;0,N$5&lt;100)),
VLOOKUP(FLOOR(('Final Term'!N62/N$5)*100,1),new_transmute,2,FALSE),
VLOOKUP('Final Term'!N62,new_transmute,2,FALSE)
),
IF(Info!$B$4="Board program",
IF(OR(AND(N$5&gt;0,N$5&gt;100),AND(N$5&gt;0,N$5&lt;100)),
VLOOKUP(FLOOR(('Final Term'!N62/N$5)*100,1),new_transmute,3,FALSE),
VLOOKUP('Final Term'!N62,new_transmute,3,FALSE)
),
IF(Info!$B$4="Board program (Medicine)",
IF(OR(AND(N$5&gt;0,N$5&gt;100),AND(N$5&gt;0,N$5&lt;100)),
VLOOKUP(FLOOR(('Final Term'!N62/N$5)*100,1),new_transmute,4,FALSE),
VLOOKUP('Final Term'!N62,new_transmute,4,FALSE)
),
""
)
)
)
)
)
)
)
)
))</f>
        <v/>
      </c>
      <c r="O62" s="73" t="str">
        <f>IF($B62="","",
IF(O$5="","",
IF('Final Term'!O62="",0,
IF(NOT(ISNUMBER('Final Term'!O62)),"NAN",
IF('Final Term'!O62&lt;0,"NEG",
IF('Final Term'!O62&gt;O$5,"OVER",
IF(AND(O$5&lt;=100,'Final Term'!O62&gt;100),"ERR",
IF(Info!$B$4="Non-board program",
IF(OR(AND(O$5&gt;0,O$5&gt;100),AND(O$5&gt;0,O$5&lt;100)),
VLOOKUP(FLOOR(('Final Term'!O62/O$5)*100,1),new_transmute,2,FALSE),
VLOOKUP('Final Term'!O62,new_transmute,2,FALSE)
),
IF(Info!$B$4="Board program",
IF(OR(AND(O$5&gt;0,O$5&gt;100),AND(O$5&gt;0,O$5&lt;100)),
VLOOKUP(FLOOR(('Final Term'!O62/O$5)*100,1),new_transmute,3,FALSE),
VLOOKUP('Final Term'!O62,new_transmute,3,FALSE)
),
IF(Info!$B$4="Board program (Medicine)",
IF(OR(AND(O$5&gt;0,O$5&gt;100),AND(O$5&gt;0,O$5&lt;100)),
VLOOKUP(FLOOR(('Final Term'!O62/O$5)*100,1),new_transmute,4,FALSE),
VLOOKUP('Final Term'!O62,new_transmute,4,FALSE)
),
""
)
)
)
)
)
)
)
)
))</f>
        <v/>
      </c>
      <c r="P62" s="73" t="str">
        <f>IF($B62="","",
IF(P$5="","",
IF('Final Term'!P62="",0,
IF(NOT(ISNUMBER('Final Term'!P62)),"NAN",
IF('Final Term'!P62&lt;0,"NEG",
IF('Final Term'!P62&gt;P$5,"OVER",
IF(AND(P$5&lt;=100,'Final Term'!P62&gt;100),"ERR",
IF(Info!$B$4="Non-board program",
IF(OR(AND(P$5&gt;0,P$5&gt;100),AND(P$5&gt;0,P$5&lt;100)),
VLOOKUP(FLOOR(('Final Term'!P62/P$5)*100,1),new_transmute,2,FALSE),
VLOOKUP('Final Term'!P62,new_transmute,2,FALSE)
),
IF(Info!$B$4="Board program",
IF(OR(AND(P$5&gt;0,P$5&gt;100),AND(P$5&gt;0,P$5&lt;100)),
VLOOKUP(FLOOR(('Final Term'!P62/P$5)*100,1),new_transmute,3,FALSE),
VLOOKUP('Final Term'!P62,new_transmute,3,FALSE)
),
IF(Info!$B$4="Board program (Medicine)",
IF(OR(AND(P$5&gt;0,P$5&gt;100),AND(P$5&gt;0,P$5&lt;100)),
VLOOKUP(FLOOR(('Final Term'!P62/P$5)*100,1),new_transmute,4,FALSE),
VLOOKUP('Final Term'!P62,new_transmute,4,FALSE)
),
""
)
)
)
)
)
)
)
)
))</f>
        <v/>
      </c>
      <c r="Q62" s="73" t="str">
        <f>IF($B62="","",
IF(Q$5="","",
IF('Final Term'!Q62="",0,
IF(NOT(ISNUMBER('Final Term'!Q62)),"NAN",
IF('Final Term'!Q62&lt;0,"NEG",
IF('Final Term'!Q62&gt;Q$5,"OVER",
IF(AND(Q$5&lt;=100,'Final Term'!Q62&gt;100),"ERR",
IF(Info!$B$4="Non-board program",
IF(OR(AND(Q$5&gt;0,Q$5&gt;100),AND(Q$5&gt;0,Q$5&lt;100)),
VLOOKUP(FLOOR(('Final Term'!Q62/Q$5)*100,1),new_transmute,2,FALSE),
VLOOKUP('Final Term'!Q62,new_transmute,2,FALSE)
),
IF(Info!$B$4="Board program",
IF(OR(AND(Q$5&gt;0,Q$5&gt;100),AND(Q$5&gt;0,Q$5&lt;100)),
VLOOKUP(FLOOR(('Final Term'!Q62/Q$5)*100,1),new_transmute,3,FALSE),
VLOOKUP('Final Term'!Q62,new_transmute,3,FALSE)
),
IF(Info!$B$4="Board program (Medicine)",
IF(OR(AND(Q$5&gt;0,Q$5&gt;100),AND(Q$5&gt;0,Q$5&lt;100)),
VLOOKUP(FLOOR(('Final Term'!Q62/Q$5)*100,1),new_transmute,4,FALSE),
VLOOKUP('Final Term'!Q62,new_transmute,4,FALSE)
),
""
)
)
)
)
)
)
)
)
))</f>
        <v/>
      </c>
      <c r="R62" s="73" t="str">
        <f>IF($B62="","",
IF(R$5="","",
IF('Final Term'!R62="",0,
IF(NOT(ISNUMBER('Final Term'!R62)),"NAN",
IF('Final Term'!R62&lt;0,"NEG",
IF('Final Term'!R62&gt;R$5,"OVER",
IF(AND(R$5&lt;=100,'Final Term'!R62&gt;100),"ERR",
IF(Info!$B$4="Non-board program",
IF(OR(AND(R$5&gt;0,R$5&gt;100),AND(R$5&gt;0,R$5&lt;100)),
VLOOKUP(FLOOR(('Final Term'!R62/R$5)*100,1),new_transmute,2,FALSE),
VLOOKUP('Final Term'!R62,new_transmute,2,FALSE)
),
IF(Info!$B$4="Board program",
IF(OR(AND(R$5&gt;0,R$5&gt;100),AND(R$5&gt;0,R$5&lt;100)),
VLOOKUP(FLOOR(('Final Term'!R62/R$5)*100,1),new_transmute,3,FALSE),
VLOOKUP('Final Term'!R62,new_transmute,3,FALSE)
),
IF(Info!$B$4="Board program (Medicine)",
IF(OR(AND(R$5&gt;0,R$5&gt;100),AND(R$5&gt;0,R$5&lt;100)),
VLOOKUP(FLOOR(('Final Term'!R62/R$5)*100,1),new_transmute,4,FALSE),
VLOOKUP('Final Term'!R62,new_transmute,4,FALSE)
),
""
)
)
)
)
)
)
)
)
))</f>
        <v/>
      </c>
      <c r="S62" s="115" t="str">
        <f t="shared" si="3"/>
        <v/>
      </c>
      <c r="T62" s="73" t="str">
        <f>IF($B62="","",
IF(T$5="","",
IF('Final Term'!T62="",0,
IF(NOT(ISNUMBER('Final Term'!T62)),"NAN",
IF('Final Term'!T62&lt;0,"NEG",
IF('Final Term'!T62&gt;T$5,"OVER",
IF(AND(T$5&lt;=100,'Final Term'!T62&gt;100),"ERR",
IF(Info!$B$4="Non-board program",
IF(OR(AND(T$5&gt;0,T$5&gt;100),AND(T$5&gt;0,T$5&lt;100)),
VLOOKUP(FLOOR(('Final Term'!T62/T$5)*100,1),new_transmute,2,FALSE),
VLOOKUP('Final Term'!T62,new_transmute,2,FALSE)
),
IF(Info!$B$4="Board program",
IF(OR(AND(T$5&gt;0,T$5&gt;100),AND(T$5&gt;0,T$5&lt;100)),
VLOOKUP(FLOOR(('Final Term'!T62/T$5)*100,1),new_transmute,3,FALSE),
VLOOKUP('Final Term'!T62,new_transmute,3,FALSE)
),
IF(Info!$B$4="Board program (Medicine)",
IF(OR(AND(T$5&gt;0,T$5&gt;100),AND(T$5&gt;0,T$5&lt;100)),
VLOOKUP(FLOOR(('Final Term'!T62/T$5)*100,1),new_transmute,4,FALSE),
VLOOKUP('Final Term'!T62,new_transmute,4,FALSE)
),
""
)
)
)
)
)
)
)
)
))</f>
        <v/>
      </c>
      <c r="U62" s="73" t="str">
        <f>IF($B62="","",
IF(U$5="","",
IF('Final Term'!U62="",0,
IF(NOT(ISNUMBER('Final Term'!U62)),"NAN",
IF('Final Term'!U62&lt;0,"NEG",
IF('Final Term'!U62&gt;U$5,"OVER",
IF(AND(U$5&lt;=100,'Final Term'!U62&gt;100),"ERR",
IF(Info!$B$4="Non-board program",
IF(OR(AND(U$5&gt;0,U$5&gt;100),AND(U$5&gt;0,U$5&lt;100)),
VLOOKUP(FLOOR(('Final Term'!U62/U$5)*100,1),new_transmute,2,FALSE),
VLOOKUP('Final Term'!U62,new_transmute,2,FALSE)
),
IF(Info!$B$4="Board program",
IF(OR(AND(U$5&gt;0,U$5&gt;100),AND(U$5&gt;0,U$5&lt;100)),
VLOOKUP(FLOOR(('Final Term'!U62/U$5)*100,1),new_transmute,3,FALSE),
VLOOKUP('Final Term'!U62,new_transmute,3,FALSE)
),
IF(Info!$B$4="Board program (Medicine)",
IF(OR(AND(U$5&gt;0,U$5&gt;100),AND(U$5&gt;0,U$5&lt;100)),
VLOOKUP(FLOOR(('Final Term'!U62/U$5)*100,1),new_transmute,4,FALSE),
VLOOKUP('Final Term'!U62,new_transmute,4,FALSE)
),
""
)
)
)
)
)
)
)
)
))</f>
        <v/>
      </c>
      <c r="V62" s="73" t="str">
        <f>IF($B62="","",
IF(V$5="","",
IF('Final Term'!V62="",0,
IF(NOT(ISNUMBER('Final Term'!V62)),"NAN",
IF('Final Term'!V62&lt;0,"NEG",
IF('Final Term'!V62&gt;V$5,"OVER",
IF(AND(V$5&lt;=100,'Final Term'!V62&gt;100),"ERR",
IF(Info!$B$4="Non-board program",
IF(OR(AND(V$5&gt;0,V$5&gt;100),AND(V$5&gt;0,V$5&lt;100)),
VLOOKUP(FLOOR(('Final Term'!V62/V$5)*100,1),new_transmute,2,FALSE),
VLOOKUP('Final Term'!V62,new_transmute,2,FALSE)
),
IF(Info!$B$4="Board program",
IF(OR(AND(V$5&gt;0,V$5&gt;100),AND(V$5&gt;0,V$5&lt;100)),
VLOOKUP(FLOOR(('Final Term'!V62/V$5)*100,1),new_transmute,3,FALSE),
VLOOKUP('Final Term'!V62,new_transmute,3,FALSE)
),
IF(Info!$B$4="Board program (Medicine)",
IF(OR(AND(V$5&gt;0,V$5&gt;100),AND(V$5&gt;0,V$5&lt;100)),
VLOOKUP(FLOOR(('Final Term'!V62/V$5)*100,1),new_transmute,4,FALSE),
VLOOKUP('Final Term'!V62,new_transmute,4,FALSE)
),
""
)
)
)
)
)
)
)
)
))</f>
        <v/>
      </c>
      <c r="W62" s="73" t="str">
        <f>IF($B62="","",
IF(W$5="","",
IF('Final Term'!W62="",0,
IF(NOT(ISNUMBER('Final Term'!W62)),"NAN",
IF('Final Term'!W62&lt;0,"NEG",
IF('Final Term'!W62&gt;W$5,"OVER",
IF(AND(W$5&lt;=100,'Final Term'!W62&gt;100),"ERR",
IF(Info!$B$4="Non-board program",
IF(OR(AND(W$5&gt;0,W$5&gt;100),AND(W$5&gt;0,W$5&lt;100)),
VLOOKUP(FLOOR(('Final Term'!W62/W$5)*100,1),new_transmute,2,FALSE),
VLOOKUP('Final Term'!W62,new_transmute,2,FALSE)
),
IF(Info!$B$4="Board program",
IF(OR(AND(W$5&gt;0,W$5&gt;100),AND(W$5&gt;0,W$5&lt;100)),
VLOOKUP(FLOOR(('Final Term'!W62/W$5)*100,1),new_transmute,3,FALSE),
VLOOKUP('Final Term'!W62,new_transmute,3,FALSE)
),
IF(Info!$B$4="Board program (Medicine)",
IF(OR(AND(W$5&gt;0,W$5&gt;100),AND(W$5&gt;0,W$5&lt;100)),
VLOOKUP(FLOOR(('Final Term'!W62/W$5)*100,1),new_transmute,4,FALSE),
VLOOKUP('Final Term'!W62,new_transmute,4,FALSE)
),
""
)
)
)
)
)
)
)
)
))</f>
        <v/>
      </c>
      <c r="X62" s="73" t="str">
        <f>IF($B62="","",
IF(X$5="","",
IF('Final Term'!X62="",0,
IF(NOT(ISNUMBER('Final Term'!X62)),"NAN",
IF('Final Term'!X62&lt;0,"NEG",
IF('Final Term'!X62&gt;X$5,"OVER",
IF(AND(X$5&lt;=100,'Final Term'!X62&gt;100),"ERR",
IF(Info!$B$4="Non-board program",
IF(OR(AND(X$5&gt;0,X$5&gt;100),AND(X$5&gt;0,X$5&lt;100)),
VLOOKUP(FLOOR(('Final Term'!X62/X$5)*100,1),new_transmute,2,FALSE),
VLOOKUP('Final Term'!X62,new_transmute,2,FALSE)
),
IF(Info!$B$4="Board program",
IF(OR(AND(X$5&gt;0,X$5&gt;100),AND(X$5&gt;0,X$5&lt;100)),
VLOOKUP(FLOOR(('Final Term'!X62/X$5)*100,1),new_transmute,3,FALSE),
VLOOKUP('Final Term'!X62,new_transmute,3,FALSE)
),
IF(Info!$B$4="Board program (Medicine)",
IF(OR(AND(X$5&gt;0,X$5&gt;100),AND(X$5&gt;0,X$5&lt;100)),
VLOOKUP(FLOOR(('Final Term'!X62/X$5)*100,1),new_transmute,4,FALSE),
VLOOKUP('Final Term'!X62,new_transmute,4,FALSE)
),
""
)
)
)
)
)
)
)
)
))</f>
        <v/>
      </c>
      <c r="Y62" s="112" t="str">
        <f t="shared" si="4"/>
        <v/>
      </c>
      <c r="Z62" s="73" t="str">
        <f>IF($B62="","",
IF(Z$5="","",
IF('Final Term'!Z62="",0,
IF(NOT(ISNUMBER('Final Term'!Z62)),"NAN",
IF('Final Term'!Z62&lt;0,"NEG",
IF('Final Term'!Z62&gt;Z$5,"OVER",
IF(AND(Z$5&lt;=100,'Final Term'!Z62&gt;100),"ERR",
IF(Info!$B$4="Non-board program",
IF(OR(AND(Z$5&gt;0,Z$5&gt;100),AND(Z$5&gt;0,Z$5&lt;100)),
VLOOKUP(FLOOR(('Final Term'!Z62/Z$5)*100,1),new_transmute,2,FALSE),
VLOOKUP('Final Term'!Z62,new_transmute,2,FALSE)
),
IF(Info!$B$4="Board program",
IF(OR(AND(Z$5&gt;0,Z$5&gt;100),AND(Z$5&gt;0,Z$5&lt;100)),
VLOOKUP(FLOOR(('Final Term'!Z62/Z$5)*100,1),new_transmute,3,FALSE),
VLOOKUP('Final Term'!Z62,new_transmute,3,FALSE)
),
IF(Info!$B$4="Board program (Medicine)",
IF(OR(AND(Z$5&gt;0,Z$5&gt;100),AND(Z$5&gt;0,Z$5&lt;100)),
VLOOKUP(FLOOR(('Final Term'!Z62/Z$5)*100,1),new_transmute,4,FALSE),
VLOOKUP('Final Term'!Z62,new_transmute,4,FALSE)
),
""
)
)
)
)
)
)
)
)
))</f>
        <v/>
      </c>
      <c r="AA62" s="73" t="str">
        <f>IF($B62="","",
IF(AA$5="","",
IF('Final Term'!AA62="",0,
IF(NOT(ISNUMBER('Final Term'!AA62)),"NAN",
IF('Final Term'!AA62&lt;0,"NEG",
IF('Final Term'!AA62&gt;AA$5,"OVER",
IF(AND(AA$5&lt;=100,'Final Term'!AA62&gt;100),"ERR",
IF(Info!$B$4="Non-board program",
IF(OR(AND(AA$5&gt;0,AA$5&gt;100),AND(AA$5&gt;0,AA$5&lt;100)),
VLOOKUP(FLOOR(('Final Term'!AA62/AA$5)*100,1),new_transmute,2,FALSE),
VLOOKUP('Final Term'!AA62,new_transmute,2,FALSE)
),
IF(Info!$B$4="Board program",
IF(OR(AND(AA$5&gt;0,AA$5&gt;100),AND(AA$5&gt;0,AA$5&lt;100)),
VLOOKUP(FLOOR(('Final Term'!AA62/AA$5)*100,1),new_transmute,3,FALSE),
VLOOKUP('Final Term'!AA62,new_transmute,3,FALSE)
),
IF(Info!$B$4="Board program (Medicine)",
IF(OR(AND(AA$5&gt;0,AA$5&gt;100),AND(AA$5&gt;0,AA$5&lt;100)),
VLOOKUP(FLOOR(('Final Term'!AA62/AA$5)*100,1),new_transmute,4,FALSE),
VLOOKUP('Final Term'!AA62,new_transmute,4,FALSE)
),
""
)
)
)
)
)
)
)
)
))</f>
        <v/>
      </c>
      <c r="AB62" s="73" t="str">
        <f>IF($B62="","",
IF(AB$5="","",
IF('Final Term'!AB62="",0,
IF(NOT(ISNUMBER('Final Term'!AB62)),"NAN",
IF('Final Term'!AB62&lt;0,"NEG",
IF('Final Term'!AB62&gt;AB$5,"OVER",
IF(AND(AB$5&lt;=100,'Final Term'!AB62&gt;100),"ERR",
IF(Info!$B$4="Non-board program",
IF(OR(AND(AB$5&gt;0,AB$5&gt;100),AND(AB$5&gt;0,AB$5&lt;100)),
VLOOKUP(FLOOR(('Final Term'!AB62/AB$5)*100,1),new_transmute,2,FALSE),
VLOOKUP('Final Term'!AB62,new_transmute,2,FALSE)
),
IF(Info!$B$4="Board program",
IF(OR(AND(AB$5&gt;0,AB$5&gt;100),AND(AB$5&gt;0,AB$5&lt;100)),
VLOOKUP(FLOOR(('Final Term'!AB62/AB$5)*100,1),new_transmute,3,FALSE),
VLOOKUP('Final Term'!AB62,new_transmute,3,FALSE)
),
IF(Info!$B$4="Board program (Medicine)",
IF(OR(AND(AB$5&gt;0,AB$5&gt;100),AND(AB$5&gt;0,AB$5&lt;100)),
VLOOKUP(FLOOR(('Final Term'!AB62/AB$5)*100,1),new_transmute,4,FALSE),
VLOOKUP('Final Term'!AB62,new_transmute,4,FALSE)
),
""
)
)
)
)
)
)
)
)
))</f>
        <v/>
      </c>
      <c r="AC62" s="73" t="str">
        <f>IF($B62="","",
IF(AC$5="","",
IF('Final Term'!AC62="",0,
IF(NOT(ISNUMBER('Final Term'!AC62)),"NAN",
IF('Final Term'!AC62&lt;0,"NEG",
IF('Final Term'!AC62&gt;AC$5,"OVER",
IF(AND(AC$5&lt;=100,'Final Term'!AC62&gt;100),"ERR",
IF(Info!$B$4="Non-board program",
IF(OR(AND(AC$5&gt;0,AC$5&gt;100),AND(AC$5&gt;0,AC$5&lt;100)),
VLOOKUP(FLOOR(('Final Term'!AC62/AC$5)*100,1),new_transmute,2,FALSE),
VLOOKUP('Final Term'!AC62,new_transmute,2,FALSE)
),
IF(Info!$B$4="Board program",
IF(OR(AND(AC$5&gt;0,AC$5&gt;100),AND(AC$5&gt;0,AC$5&lt;100)),
VLOOKUP(FLOOR(('Final Term'!AC62/AC$5)*100,1),new_transmute,3,FALSE),
VLOOKUP('Final Term'!AC62,new_transmute,3,FALSE)
),
IF(Info!$B$4="Board program (Medicine)",
IF(OR(AND(AC$5&gt;0,AC$5&gt;100),AND(AC$5&gt;0,AC$5&lt;100)),
VLOOKUP(FLOOR(('Final Term'!AC62/AC$5)*100,1),new_transmute,4,FALSE),
VLOOKUP('Final Term'!AC62,new_transmute,4,FALSE)
),
""
)
)
)
)
)
)
)
)
))</f>
        <v/>
      </c>
      <c r="AD62" s="73" t="str">
        <f>IF($B62="","",
IF(AD$5="","",
IF('Final Term'!AD62="",0,
IF(NOT(ISNUMBER('Final Term'!AD62)),"NAN",
IF('Final Term'!AD62&lt;0,"NEG",
IF('Final Term'!AD62&gt;AD$5,"OVER",
IF(AND(AD$5&lt;=100,'Final Term'!AD62&gt;100),"ERR",
IF(Info!$B$4="Non-board program",
IF(OR(AND(AD$5&gt;0,AD$5&gt;100),AND(AD$5&gt;0,AD$5&lt;100)),
VLOOKUP(FLOOR(('Final Term'!AD62/AD$5)*100,1),new_transmute,2,FALSE),
VLOOKUP('Final Term'!AD62,new_transmute,2,FALSE)
),
IF(Info!$B$4="Board program",
IF(OR(AND(AD$5&gt;0,AD$5&gt;100),AND(AD$5&gt;0,AD$5&lt;100)),
VLOOKUP(FLOOR(('Final Term'!AD62/AD$5)*100,1),new_transmute,3,FALSE),
VLOOKUP('Final Term'!AD62,new_transmute,3,FALSE)
),
IF(Info!$B$4="Board program (Medicine)",
IF(OR(AND(AD$5&gt;0,AD$5&gt;100),AND(AD$5&gt;0,AD$5&lt;100)),
VLOOKUP(FLOOR(('Final Term'!AD62/AD$5)*100,1),new_transmute,4,FALSE),
VLOOKUP('Final Term'!AD62,new_transmute,4,FALSE)
),
""
)
)
)
)
)
)
)
)
))</f>
        <v/>
      </c>
      <c r="AE62" s="58" t="str">
        <f t="shared" si="5"/>
        <v/>
      </c>
      <c r="AF62" s="73" t="str">
        <f>IF($B62="","",
IF(AF$5="","",
IF('Final Term'!AF62="",0,
IF(NOT(ISNUMBER('Final Term'!AF62)),"NAN",
IF('Final Term'!AF62&lt;0,"NEG",
IF('Final Term'!AF62&gt;AF$5,"OVER",
IF(AND(AF$5&lt;=100,'Final Term'!AF62&gt;100),"ERR",
IF(Info!$B$4="Non-board program",
IF(OR(AND(AF$5&gt;0,AF$5&gt;100),AND(AF$5&gt;0,AF$5&lt;100)),
VLOOKUP(FLOOR(('Final Term'!AF62/AF$5)*100,1),new_transmute,2,FALSE),
VLOOKUP('Final Term'!AF62,new_transmute,2,FALSE)
),
IF(Info!$B$4="Board program",
IF(OR(AND(AF$5&gt;0,AF$5&gt;100),AND(AF$5&gt;0,AF$5&lt;100)),
VLOOKUP(FLOOR(('Final Term'!AF62/AF$5)*100,1),new_transmute,3,FALSE),
VLOOKUP('Final Term'!AF62,new_transmute,3,FALSE)
),
IF(Info!$B$4="Board program (Medicine)",
IF(OR(AND(AF$5&gt;0,AF$5&gt;100),AND(AF$5&gt;0,AF$5&lt;100)),
VLOOKUP(FLOOR(('Final Term'!AF62/AF$5)*100,1),new_transmute,4,FALSE),
VLOOKUP('Final Term'!AF62,new_transmute,4,FALSE)
),
""
)
)
)
)
)
)
)
)
))</f>
        <v/>
      </c>
      <c r="AG62" s="73" t="str">
        <f>IF($B62="","",
IF(AG$5="","",
IF('Final Term'!AG62="",0,
IF(NOT(ISNUMBER('Final Term'!AG62)),"NAN",
IF('Final Term'!AG62&lt;0,"NEG",
IF('Final Term'!AG62&gt;AG$5,"OVER",
IF(AND(AG$5&lt;=100,'Final Term'!AG62&gt;100),"ERR",
IF(Info!$B$4="Non-board program",
IF(OR(AND(AG$5&gt;0,AG$5&gt;100),AND(AG$5&gt;0,AG$5&lt;100)),
VLOOKUP(FLOOR(('Final Term'!AG62/AG$5)*100,1),new_transmute,2,FALSE),
VLOOKUP('Final Term'!AG62,new_transmute,2,FALSE)
),
IF(Info!$B$4="Board program",
IF(OR(AND(AG$5&gt;0,AG$5&gt;100),AND(AG$5&gt;0,AG$5&lt;100)),
VLOOKUP(FLOOR(('Final Term'!AG62/AG$5)*100,1),new_transmute,3,FALSE),
VLOOKUP('Final Term'!AG62,new_transmute,3,FALSE)
),
IF(Info!$B$4="Board program (Medicine)",
IF(OR(AND(AG$5&gt;0,AG$5&gt;100),AND(AG$5&gt;0,AG$5&lt;100)),
VLOOKUP(FLOOR(('Final Term'!AG62/AG$5)*100,1),new_transmute,4,FALSE),
VLOOKUP('Final Term'!AG62,new_transmute,4,FALSE)
),
""
)
)
)
)
)
)
)
)
))</f>
        <v/>
      </c>
      <c r="AH62" s="73" t="str">
        <f>IF($B62="","",
IF(AH$5="","",
IF('Final Term'!AH62="",0,
IF(NOT(ISNUMBER('Final Term'!AH62)),"NAN",
IF('Final Term'!AH62&lt;0,"NEG",
IF('Final Term'!AH62&gt;AH$5,"OVER",
IF(AND(AH$5&lt;=100,'Final Term'!AH62&gt;100),"ERR",
IF(Info!$B$4="Non-board program",
IF(OR(AND(AH$5&gt;0,AH$5&gt;100),AND(AH$5&gt;0,AH$5&lt;100)),
VLOOKUP(FLOOR(('Final Term'!AH62/AH$5)*100,1),new_transmute,2,FALSE),
VLOOKUP('Final Term'!AH62,new_transmute,2,FALSE)
),
IF(Info!$B$4="Board program",
IF(OR(AND(AH$5&gt;0,AH$5&gt;100),AND(AH$5&gt;0,AH$5&lt;100)),
VLOOKUP(FLOOR(('Final Term'!AH62/AH$5)*100,1),new_transmute,3,FALSE),
VLOOKUP('Final Term'!AH62,new_transmute,3,FALSE)
),
IF(Info!$B$4="Board program (Medicine)",
IF(OR(AND(AH$5&gt;0,AH$5&gt;100),AND(AH$5&gt;0,AH$5&lt;100)),
VLOOKUP(FLOOR(('Final Term'!AH62/AH$5)*100,1),new_transmute,4,FALSE),
VLOOKUP('Final Term'!AH62,new_transmute,4,FALSE)
),
""
)
)
)
)
)
)
)
)
))</f>
        <v/>
      </c>
      <c r="AI62" s="73" t="str">
        <f>IF($B62="","",
IF(AI$5="","",
IF('Final Term'!AI62="",0,
IF(NOT(ISNUMBER('Final Term'!AI62)),"NAN",
IF('Final Term'!AI62&lt;0,"NEG",
IF('Final Term'!AI62&gt;AI$5,"OVER",
IF(AND(AI$5&lt;=100,'Final Term'!AI62&gt;100),"ERR",
IF(Info!$B$4="Non-board program",
IF(OR(AND(AI$5&gt;0,AI$5&gt;100),AND(AI$5&gt;0,AI$5&lt;100)),
VLOOKUP(FLOOR(('Final Term'!AI62/AI$5)*100,1),new_transmute,2,FALSE),
VLOOKUP('Final Term'!AI62,new_transmute,2,FALSE)
),
IF(Info!$B$4="Board program",
IF(OR(AND(AI$5&gt;0,AI$5&gt;100),AND(AI$5&gt;0,AI$5&lt;100)),
VLOOKUP(FLOOR(('Final Term'!AI62/AI$5)*100,1),new_transmute,3,FALSE),
VLOOKUP('Final Term'!AI62,new_transmute,3,FALSE)
),
IF(Info!$B$4="Board program (Medicine)",
IF(OR(AND(AI$5&gt;0,AI$5&gt;100),AND(AI$5&gt;0,AI$5&lt;100)),
VLOOKUP(FLOOR(('Final Term'!AI62/AI$5)*100,1),new_transmute,4,FALSE),
VLOOKUP('Final Term'!AI62,new_transmute,4,FALSE)
),
""
)
)
)
)
)
)
)
)
))</f>
        <v/>
      </c>
      <c r="AJ62" s="73" t="str">
        <f>IF($B62="","",
IF(AJ$5="","",
IF('Final Term'!AJ62="",0,
IF(NOT(ISNUMBER('Final Term'!AJ62)),"NAN",
IF('Final Term'!AJ62&lt;0,"NEG",
IF('Final Term'!AJ62&gt;AJ$5,"OVER",
IF(AND(AJ$5&lt;=100,'Final Term'!AJ62&gt;100),"ERR",
IF(Info!$B$4="Non-board program",
IF(OR(AND(AJ$5&gt;0,AJ$5&gt;100),AND(AJ$5&gt;0,AJ$5&lt;100)),
VLOOKUP(FLOOR(('Final Term'!AJ62/AJ$5)*100,1),new_transmute,2,FALSE),
VLOOKUP('Final Term'!AJ62,new_transmute,2,FALSE)
),
IF(Info!$B$4="Board program",
IF(OR(AND(AJ$5&gt;0,AJ$5&gt;100),AND(AJ$5&gt;0,AJ$5&lt;100)),
VLOOKUP(FLOOR(('Final Term'!AJ62/AJ$5)*100,1),new_transmute,3,FALSE),
VLOOKUP('Final Term'!AJ62,new_transmute,3,FALSE)
),
IF(Info!$B$4="Board program (Medicine)",
IF(OR(AND(AJ$5&gt;0,AJ$5&gt;100),AND(AJ$5&gt;0,AJ$5&lt;100)),
VLOOKUP(FLOOR(('Final Term'!AJ62/AJ$5)*100,1),new_transmute,4,FALSE),
VLOOKUP('Final Term'!AJ62,new_transmute,4,FALSE)
),
""
)
)
)
)
)
)
)
)
))</f>
        <v/>
      </c>
      <c r="AK62" s="59" t="str">
        <f t="shared" si="6"/>
        <v/>
      </c>
      <c r="AL62" s="60" t="str">
        <f>IF(B62="", "",
    IF(OR(M62="OVER", S62="OVER", Y62="OVER", AE62="OVER", AK62="OVER"),
        "OVER",
        IF(Info!$B$4="Non-board program",
            VLOOKUP(IFERROR(FLOOR(SUM((M62*$M$4), (S62*$S$4), (Y62*$Y$4), (AE62*$AE$4), (AK62*$AK$4)) * (100 / 60), 1), 0), new_transmute, 2, FALSE),
            IF(Info!$B$4="Board program",
                VLOOKUP(IFERROR(FLOOR(SUM((M62*$M$4), (S62*$S$4), (Y62*$Y$4), (AE62*$AE$4), (AK62*$AK$4)) * (100 / 60), 1), 0), new_transmute, 3, FALSE),
                IF(Info!$B$4="Board program (Medicine)",
                    VLOOKUP(IFERROR(FLOOR(SUM((M62*$M$4), (S62*$S$4), (Y62*$Y$4), (AE62*$AE$4), (AK62*$AK$4)) * (100 / 60), 1), 0), new_transmute, 4, FALSE),
                    ""
                )
            )
        )
    )
)</f>
        <v/>
      </c>
      <c r="AM62" s="73" t="str">
        <f>IF($B62="","",
IF(AM$5="","",
IF('Final Term'!AM62="",0,
IF(NOT(ISNUMBER('Final Term'!AM62)),"NAN",
IF('Final Term'!AM62&lt;0,"NEG",
IF('Final Term'!AM62&gt;AM$5,"OVER",
IF(AND(AM$5&lt;=100,'Final Term'!AM62&gt;100),"ERR",
IF(Info!$B$4="Non-board program",
IF(OR(AND(AM$5&gt;0,AM$5&gt;100),AND(AM$5&gt;0,AM$5&lt;100)),
VLOOKUP(FLOOR(('Final Term'!AM62/AM$5)*100,1),new_transmute,2,FALSE),
VLOOKUP('Final Term'!AM62,new_transmute,2,FALSE)
),
IF(Info!$B$4="Board program",
IF(OR(AND(AM$5&gt;0,AM$5&gt;100),AND(AM$5&gt;0,AM$5&lt;100)),
VLOOKUP(FLOOR(('Final Term'!AM62/AM$5)*100,1),new_transmute,3,FALSE),
VLOOKUP('Final Term'!AM62,new_transmute,3,FALSE)
),
IF(Info!$B$4="Board program (Medicine)",
IF(OR(AND(AM$5&gt;0,AM$5&gt;100),AND(AM$5&gt;0,AM$5&lt;100)),
VLOOKUP(FLOOR(('Final Term'!AM62/AM$5)*100,1),new_transmute,4,FALSE),
VLOOKUP('Final Term'!AM62,new_transmute,4,FALSE)
),
""
)
)
)
)
)
)
)
)
))</f>
        <v/>
      </c>
      <c r="AN62" s="73" t="str">
        <f>IF($B62="","",
IF(AN$5="","",
IF('Final Term'!AN62="",0,
IF(NOT(ISNUMBER('Final Term'!AN62)),"NAN",
IF('Final Term'!AN62&lt;0,"NEG",
IF('Final Term'!AN62&gt;AN$5,"OVER",
IF(AND(AN$5&lt;=100,'Final Term'!AN62&gt;100),"ERR",
IF(Info!$B$4="Non-board program",
IF(OR(AND(AN$5&gt;0,AN$5&gt;100),AND(AN$5&gt;0,AN$5&lt;100)),
VLOOKUP(FLOOR(('Final Term'!AN62/AN$5)*100,1),new_transmute,2,FALSE),
VLOOKUP('Final Term'!AN62,new_transmute,2,FALSE)
),
IF(Info!$B$4="Board program",
IF(OR(AND(AN$5&gt;0,AN$5&gt;100),AND(AN$5&gt;0,AN$5&lt;100)),
VLOOKUP(FLOOR(('Final Term'!AN62/AN$5)*100,1),new_transmute,3,FALSE),
VLOOKUP('Final Term'!AN62,new_transmute,3,FALSE)
),
IF(Info!$B$4="Board program (Medicine)",
IF(OR(AND(AN$5&gt;0,AN$5&gt;100),AND(AN$5&gt;0,AN$5&lt;100)),
VLOOKUP(FLOOR(('Final Term'!AN62/AN$5)*100,1),new_transmute,4,FALSE),
VLOOKUP('Final Term'!AN62,new_transmute,4,FALSE)
),
""
)
)
)
)
)
)
)
)
))</f>
        <v/>
      </c>
      <c r="AO62" s="73" t="str">
        <f>IF($B62="","",
IF(AO$5="","",
IF('Final Term'!AO62="",0,
IF(NOT(ISNUMBER('Final Term'!AO62)),"NAN",
IF('Final Term'!AO62&lt;0,"NEG",
IF('Final Term'!AO62&gt;AO$5,"OVER",
IF(AND(AO$5&lt;=100,'Final Term'!AO62&gt;100),"ERR",
IF(Info!$B$4="Non-board program",
IF(OR(AND(AO$5&gt;0,AO$5&gt;100),AND(AO$5&gt;0,AO$5&lt;100)),
VLOOKUP(FLOOR(('Final Term'!AO62/AO$5)*100,1),new_transmute,2,FALSE),
VLOOKUP('Final Term'!AO62,new_transmute,2,FALSE)
),
IF(Info!$B$4="Board program",
IF(OR(AND(AO$5&gt;0,AO$5&gt;100),AND(AO$5&gt;0,AO$5&lt;100)),
VLOOKUP(FLOOR(('Final Term'!AO62/AO$5)*100,1),new_transmute,3,FALSE),
VLOOKUP('Final Term'!AO62,new_transmute,3,FALSE)
),
IF(Info!$B$4="Board program (Medicine)",
IF(OR(AND(AO$5&gt;0,AO$5&gt;100),AND(AO$5&gt;0,AO$5&lt;100)),
VLOOKUP(FLOOR(('Final Term'!AO62/AO$5)*100,1),new_transmute,4,FALSE),
VLOOKUP('Final Term'!AO62,new_transmute,4,FALSE)
),
""
)
)
)
)
)
)
)
)
))</f>
        <v/>
      </c>
      <c r="AP62" s="73" t="str">
        <f>IF($B62="","",
IF(AP$5="","",
IF('Final Term'!AP62="",0,
IF(NOT(ISNUMBER('Final Term'!AP62)),"NAN",
IF('Final Term'!AP62&lt;0,"NEG",
IF('Final Term'!AP62&gt;AP$5,"OVER",
IF(AND(AP$5&lt;=100,'Final Term'!AP62&gt;100),"ERR",
IF(Info!$B$4="Non-board program",
IF(OR(AND(AP$5&gt;0,AP$5&gt;100),AND(AP$5&gt;0,AP$5&lt;100)),
VLOOKUP(FLOOR(('Final Term'!AP62/AP$5)*100,1),new_transmute,2,FALSE),
VLOOKUP('Final Term'!AP62,new_transmute,2,FALSE)
),
IF(Info!$B$4="Board program",
IF(OR(AND(AP$5&gt;0,AP$5&gt;100),AND(AP$5&gt;0,AP$5&lt;100)),
VLOOKUP(FLOOR(('Final Term'!AP62/AP$5)*100,1),new_transmute,3,FALSE),
VLOOKUP('Final Term'!AP62,new_transmute,3,FALSE)
),
IF(Info!$B$4="Board program (Medicine)",
IF(OR(AND(AP$5&gt;0,AP$5&gt;100),AND(AP$5&gt;0,AP$5&lt;100)),
VLOOKUP(FLOOR(('Final Term'!AP62/AP$5)*100,1),new_transmute,4,FALSE),
VLOOKUP('Final Term'!AP62,new_transmute,4,FALSE)
),
""
)
)
)
)
)
)
)
)
))</f>
        <v/>
      </c>
      <c r="AQ62" s="61" t="str">
        <f t="shared" si="7"/>
        <v/>
      </c>
      <c r="AR62" s="48" t="str">
        <f>IF('Final Term'!AR62="","",'Final Term'!AR62)</f>
        <v/>
      </c>
      <c r="AS62" s="165" t="str">
        <f t="shared" si="8"/>
        <v/>
      </c>
      <c r="AT62" s="14" t="str">
        <f t="shared" si="9"/>
        <v/>
      </c>
      <c r="AU62" s="13" t="str">
        <f>IF(B62="","",VLOOKUP(AT62,'New Grade Equivalent'!$B$3:$C$47,2,FALSE))</f>
        <v/>
      </c>
    </row>
    <row r="63" spans="1:47" x14ac:dyDescent="0.25">
      <c r="A63" s="8">
        <v>58</v>
      </c>
      <c r="B63" s="2" t="str">
        <f>IF('Student List'!C67="","",UPPER(LEFT('Student List'!C67,FIND(",",'Student List'!C67)-1)))</f>
        <v/>
      </c>
      <c r="C63" s="12" t="str">
        <f>IF('Student List'!C67="","",PROPER(MID('Student List'!C67, FIND(",", 'Student List'!C67) + 2, LEN('Student List'!C67) - FIND(",", 'Student List'!C67) - 1)))</f>
        <v/>
      </c>
      <c r="D63" s="127" t="str">
        <f>IF('Final Term'!D63="","",'Final Term'!D63)</f>
        <v/>
      </c>
      <c r="E63" s="8" t="str">
        <f>IF(MidCom!E63="FA", "FA",
    IF(MidCom!E63="DRP", "DRP",
        IF(MidCom!E63="WF", "WF",
            IF(D63="Yes", "INC",
               IF((SUM('MT Attendance'!AW61) / 3 + SUM('MT Attendance'!AY61) + SUM('FT Attendance'!AW61) / 3 + SUM('FT Attendance'!AY61)) &gt;= 0.2 * (SUMPRODUCT(--(ISTEXT('MT Attendance'!$C$2:$AU$2))) + SUMPRODUCT(--(ISTEXT('FT Attendance'!$C$2:$AU$2)))), "FA",
                   MidCom!E63
                )
            )
        )
    )
)</f>
        <v/>
      </c>
      <c r="F63" s="73" t="str">
        <f>IF($B63="","",
IF(F$5="","",
IF('Final Term'!F63="",0,
IF(NOT(ISNUMBER('Final Term'!F63)),"NAN",
IF('Final Term'!F63&lt;0,"NEG",
IF('Final Term'!F63&gt;F$5,"OVER",
IF(AND(F$5&lt;=100,'Final Term'!F63&gt;100),"ERR",
IF(Info!$B$4="Non-board program",
IF(OR(AND(F$5&gt;0,F$5&gt;100),AND(F$5&gt;0,F$5&lt;100)),
VLOOKUP(FLOOR(('Final Term'!F63/F$5)*100,1),new_transmute,2,FALSE),
VLOOKUP('Final Term'!F63,new_transmute,2,FALSE)
),
IF(Info!$B$4="Board program",
IF(OR(AND(F$5&gt;0,F$5&gt;100),AND(F$5&gt;0,F$5&lt;100)),
VLOOKUP(FLOOR(('Final Term'!F63/F$5)*100,1),new_transmute,3,FALSE),
VLOOKUP('Final Term'!F63,new_transmute,3,FALSE)
),
IF(Info!$B$4="Board program (Medicine)",
IF(OR(AND(F$5&gt;0,F$5&gt;100),AND(F$5&gt;0,F$5&lt;100)),
VLOOKUP(FLOOR(('Final Term'!F63/F$5)*100,1),new_transmute,4,FALSE),
VLOOKUP('Final Term'!F63,new_transmute,4,FALSE)
),
""
)
)
)
)
)
)
)
)
))</f>
        <v/>
      </c>
      <c r="G63" s="57" t="str">
        <f t="shared" si="1"/>
        <v/>
      </c>
      <c r="H63" s="73" t="str">
        <f>IF($B63="","",
IF(H$5="","",
IF('Final Term'!H63="",0,
IF(NOT(ISNUMBER('Final Term'!H63)),"NAN",
IF('Final Term'!H63&lt;0,"NEG",
IF('Final Term'!H63&gt;H$5,"OVER",
IF(AND(H$5&lt;=100,'Final Term'!H63&gt;100),"ERR",
IF(Info!$B$4="Non-board program",
IF(OR(AND(H$5&gt;0,H$5&gt;100),AND(H$5&gt;0,H$5&lt;100)),
VLOOKUP(FLOOR(('Final Term'!H63/H$5)*100,1),new_transmute,2,FALSE),
VLOOKUP('Final Term'!H63,new_transmute,2,FALSE)
),
IF(Info!$B$4="Board program",
IF(OR(AND(H$5&gt;0,H$5&gt;100),AND(H$5&gt;0,H$5&lt;100)),
VLOOKUP(FLOOR(('Final Term'!H63/H$5)*100,1),new_transmute,3,FALSE),
VLOOKUP('Final Term'!H63,new_transmute,3,FALSE)
),
IF(Info!$B$4="Board program (Medicine)",
IF(OR(AND(H$5&gt;0,H$5&gt;100),AND(H$5&gt;0,H$5&lt;100)),
VLOOKUP(FLOOR(('Final Term'!H63/H$5)*100,1),new_transmute,4,FALSE),
VLOOKUP('Final Term'!H63,new_transmute,4,FALSE)
),
""
)
)
)
)
)
)
)
)
))</f>
        <v/>
      </c>
      <c r="I63" s="73" t="str">
        <f>IF($B63="","",
IF(I$5="","",
IF('Final Term'!I63="",0,
IF(NOT(ISNUMBER('Final Term'!I63)),"NAN",
IF('Final Term'!I63&lt;0,"NEG",
IF('Final Term'!I63&gt;I$5,"OVER",
IF(AND(I$5&lt;=100,'Final Term'!I63&gt;100),"ERR",
IF(Info!$B$4="Non-board program",
IF(OR(AND(I$5&gt;0,I$5&gt;100),AND(I$5&gt;0,I$5&lt;100)),
VLOOKUP(FLOOR(('Final Term'!I63/I$5)*100,1),new_transmute,2,FALSE),
VLOOKUP('Final Term'!I63,new_transmute,2,FALSE)
),
IF(Info!$B$4="Board program",
IF(OR(AND(I$5&gt;0,I$5&gt;100),AND(I$5&gt;0,I$5&lt;100)),
VLOOKUP(FLOOR(('Final Term'!I63/I$5)*100,1),new_transmute,3,FALSE),
VLOOKUP('Final Term'!I63,new_transmute,3,FALSE)
),
IF(Info!$B$4="Board program (Medicine)",
IF(OR(AND(I$5&gt;0,I$5&gt;100),AND(I$5&gt;0,I$5&lt;100)),
VLOOKUP(FLOOR(('Final Term'!I63/I$5)*100,1),new_transmute,4,FALSE),
VLOOKUP('Final Term'!I63,new_transmute,4,FALSE)
),
""
)
)
)
)
)
)
)
)
))</f>
        <v/>
      </c>
      <c r="J63" s="73" t="str">
        <f>IF($B63="","",
IF(J$5="","",
IF('Final Term'!J63="",0,
IF(NOT(ISNUMBER('Final Term'!J63)),"NAN",
IF('Final Term'!J63&lt;0,"NEG",
IF('Final Term'!J63&gt;J$5,"OVER",
IF(AND(J$5&lt;=100,'Final Term'!J63&gt;100),"ERR",
IF(Info!$B$4="Non-board program",
IF(OR(AND(J$5&gt;0,J$5&gt;100),AND(J$5&gt;0,J$5&lt;100)),
VLOOKUP(FLOOR(('Final Term'!J63/J$5)*100,1),new_transmute,2,FALSE),
VLOOKUP('Final Term'!J63,new_transmute,2,FALSE)
),
IF(Info!$B$4="Board program",
IF(OR(AND(J$5&gt;0,J$5&gt;100),AND(J$5&gt;0,J$5&lt;100)),
VLOOKUP(FLOOR(('Final Term'!J63/J$5)*100,1),new_transmute,3,FALSE),
VLOOKUP('Final Term'!J63,new_transmute,3,FALSE)
),
IF(Info!$B$4="Board program (Medicine)",
IF(OR(AND(J$5&gt;0,J$5&gt;100),AND(J$5&gt;0,J$5&lt;100)),
VLOOKUP(FLOOR(('Final Term'!J63/J$5)*100,1),new_transmute,4,FALSE),
VLOOKUP('Final Term'!J63,new_transmute,4,FALSE)
),
""
)
)
)
)
)
)
)
)
))</f>
        <v/>
      </c>
      <c r="K63" s="73" t="str">
        <f>IF($B63="","",
IF(K$5="","",
IF('Final Term'!K63="",0,
IF(NOT(ISNUMBER('Final Term'!K63)),"NAN",
IF('Final Term'!K63&lt;0,"NEG",
IF('Final Term'!K63&gt;K$5,"OVER",
IF(AND(K$5&lt;=100,'Final Term'!K63&gt;100),"ERR",
IF(Info!$B$4="Non-board program",
IF(OR(AND(K$5&gt;0,K$5&gt;100),AND(K$5&gt;0,K$5&lt;100)),
VLOOKUP(FLOOR(('Final Term'!K63/K$5)*100,1),new_transmute,2,FALSE),
VLOOKUP('Final Term'!K63,new_transmute,2,FALSE)
),
IF(Info!$B$4="Board program",
IF(OR(AND(K$5&gt;0,K$5&gt;100),AND(K$5&gt;0,K$5&lt;100)),
VLOOKUP(FLOOR(('Final Term'!K63/K$5)*100,1),new_transmute,3,FALSE),
VLOOKUP('Final Term'!K63,new_transmute,3,FALSE)
),
IF(Info!$B$4="Board program (Medicine)",
IF(OR(AND(K$5&gt;0,K$5&gt;100),AND(K$5&gt;0,K$5&lt;100)),
VLOOKUP(FLOOR(('Final Term'!K63/K$5)*100,1),new_transmute,4,FALSE),
VLOOKUP('Final Term'!K63,new_transmute,4,FALSE)
),
""
)
)
)
)
)
)
)
)
))</f>
        <v/>
      </c>
      <c r="L63" s="73" t="str">
        <f>IF($B63="","",
IF(L$5="","",
IF('Final Term'!L63="",0,
IF(NOT(ISNUMBER('Final Term'!L63)),"NAN",
IF('Final Term'!L63&lt;0,"NEG",
IF('Final Term'!L63&gt;L$5,"OVER",
IF(AND(L$5&lt;=100,'Final Term'!L63&gt;100),"ERR",
IF(Info!$B$4="Non-board program",
IF(OR(AND(L$5&gt;0,L$5&gt;100),AND(L$5&gt;0,L$5&lt;100)),
VLOOKUP(FLOOR(('Final Term'!L63/L$5)*100,1),new_transmute,2,FALSE),
VLOOKUP('Final Term'!L63,new_transmute,2,FALSE)
),
IF(Info!$B$4="Board program",
IF(OR(AND(L$5&gt;0,L$5&gt;100),AND(L$5&gt;0,L$5&lt;100)),
VLOOKUP(FLOOR(('Final Term'!L63/L$5)*100,1),new_transmute,3,FALSE),
VLOOKUP('Final Term'!L63,new_transmute,3,FALSE)
),
IF(Info!$B$4="Board program (Medicine)",
IF(OR(AND(L$5&gt;0,L$5&gt;100),AND(L$5&gt;0,L$5&lt;100)),
VLOOKUP(FLOOR(('Final Term'!L63/L$5)*100,1),new_transmute,4,FALSE),
VLOOKUP('Final Term'!L63,new_transmute,4,FALSE)
),
""
)
)
)
)
)
)
)
)
))</f>
        <v/>
      </c>
      <c r="M63" s="111" t="str">
        <f t="shared" si="2"/>
        <v/>
      </c>
      <c r="N63" s="73" t="str">
        <f>IF($B63="","",
IF(N$5="","",
IF('Final Term'!N63="",0,
IF(NOT(ISNUMBER('Final Term'!N63)),"NAN",
IF('Final Term'!N63&lt;0,"NEG",
IF('Final Term'!N63&gt;N$5,"OVER",
IF(AND(N$5&lt;=100,'Final Term'!N63&gt;100),"ERR",
IF(Info!$B$4="Non-board program",
IF(OR(AND(N$5&gt;0,N$5&gt;100),AND(N$5&gt;0,N$5&lt;100)),
VLOOKUP(FLOOR(('Final Term'!N63/N$5)*100,1),new_transmute,2,FALSE),
VLOOKUP('Final Term'!N63,new_transmute,2,FALSE)
),
IF(Info!$B$4="Board program",
IF(OR(AND(N$5&gt;0,N$5&gt;100),AND(N$5&gt;0,N$5&lt;100)),
VLOOKUP(FLOOR(('Final Term'!N63/N$5)*100,1),new_transmute,3,FALSE),
VLOOKUP('Final Term'!N63,new_transmute,3,FALSE)
),
IF(Info!$B$4="Board program (Medicine)",
IF(OR(AND(N$5&gt;0,N$5&gt;100),AND(N$5&gt;0,N$5&lt;100)),
VLOOKUP(FLOOR(('Final Term'!N63/N$5)*100,1),new_transmute,4,FALSE),
VLOOKUP('Final Term'!N63,new_transmute,4,FALSE)
),
""
)
)
)
)
)
)
)
)
))</f>
        <v/>
      </c>
      <c r="O63" s="73" t="str">
        <f>IF($B63="","",
IF(O$5="","",
IF('Final Term'!O63="",0,
IF(NOT(ISNUMBER('Final Term'!O63)),"NAN",
IF('Final Term'!O63&lt;0,"NEG",
IF('Final Term'!O63&gt;O$5,"OVER",
IF(AND(O$5&lt;=100,'Final Term'!O63&gt;100),"ERR",
IF(Info!$B$4="Non-board program",
IF(OR(AND(O$5&gt;0,O$5&gt;100),AND(O$5&gt;0,O$5&lt;100)),
VLOOKUP(FLOOR(('Final Term'!O63/O$5)*100,1),new_transmute,2,FALSE),
VLOOKUP('Final Term'!O63,new_transmute,2,FALSE)
),
IF(Info!$B$4="Board program",
IF(OR(AND(O$5&gt;0,O$5&gt;100),AND(O$5&gt;0,O$5&lt;100)),
VLOOKUP(FLOOR(('Final Term'!O63/O$5)*100,1),new_transmute,3,FALSE),
VLOOKUP('Final Term'!O63,new_transmute,3,FALSE)
),
IF(Info!$B$4="Board program (Medicine)",
IF(OR(AND(O$5&gt;0,O$5&gt;100),AND(O$5&gt;0,O$5&lt;100)),
VLOOKUP(FLOOR(('Final Term'!O63/O$5)*100,1),new_transmute,4,FALSE),
VLOOKUP('Final Term'!O63,new_transmute,4,FALSE)
),
""
)
)
)
)
)
)
)
)
))</f>
        <v/>
      </c>
      <c r="P63" s="73" t="str">
        <f>IF($B63="","",
IF(P$5="","",
IF('Final Term'!P63="",0,
IF(NOT(ISNUMBER('Final Term'!P63)),"NAN",
IF('Final Term'!P63&lt;0,"NEG",
IF('Final Term'!P63&gt;P$5,"OVER",
IF(AND(P$5&lt;=100,'Final Term'!P63&gt;100),"ERR",
IF(Info!$B$4="Non-board program",
IF(OR(AND(P$5&gt;0,P$5&gt;100),AND(P$5&gt;0,P$5&lt;100)),
VLOOKUP(FLOOR(('Final Term'!P63/P$5)*100,1),new_transmute,2,FALSE),
VLOOKUP('Final Term'!P63,new_transmute,2,FALSE)
),
IF(Info!$B$4="Board program",
IF(OR(AND(P$5&gt;0,P$5&gt;100),AND(P$5&gt;0,P$5&lt;100)),
VLOOKUP(FLOOR(('Final Term'!P63/P$5)*100,1),new_transmute,3,FALSE),
VLOOKUP('Final Term'!P63,new_transmute,3,FALSE)
),
IF(Info!$B$4="Board program (Medicine)",
IF(OR(AND(P$5&gt;0,P$5&gt;100),AND(P$5&gt;0,P$5&lt;100)),
VLOOKUP(FLOOR(('Final Term'!P63/P$5)*100,1),new_transmute,4,FALSE),
VLOOKUP('Final Term'!P63,new_transmute,4,FALSE)
),
""
)
)
)
)
)
)
)
)
))</f>
        <v/>
      </c>
      <c r="Q63" s="73" t="str">
        <f>IF($B63="","",
IF(Q$5="","",
IF('Final Term'!Q63="",0,
IF(NOT(ISNUMBER('Final Term'!Q63)),"NAN",
IF('Final Term'!Q63&lt;0,"NEG",
IF('Final Term'!Q63&gt;Q$5,"OVER",
IF(AND(Q$5&lt;=100,'Final Term'!Q63&gt;100),"ERR",
IF(Info!$B$4="Non-board program",
IF(OR(AND(Q$5&gt;0,Q$5&gt;100),AND(Q$5&gt;0,Q$5&lt;100)),
VLOOKUP(FLOOR(('Final Term'!Q63/Q$5)*100,1),new_transmute,2,FALSE),
VLOOKUP('Final Term'!Q63,new_transmute,2,FALSE)
),
IF(Info!$B$4="Board program",
IF(OR(AND(Q$5&gt;0,Q$5&gt;100),AND(Q$5&gt;0,Q$5&lt;100)),
VLOOKUP(FLOOR(('Final Term'!Q63/Q$5)*100,1),new_transmute,3,FALSE),
VLOOKUP('Final Term'!Q63,new_transmute,3,FALSE)
),
IF(Info!$B$4="Board program (Medicine)",
IF(OR(AND(Q$5&gt;0,Q$5&gt;100),AND(Q$5&gt;0,Q$5&lt;100)),
VLOOKUP(FLOOR(('Final Term'!Q63/Q$5)*100,1),new_transmute,4,FALSE),
VLOOKUP('Final Term'!Q63,new_transmute,4,FALSE)
),
""
)
)
)
)
)
)
)
)
))</f>
        <v/>
      </c>
      <c r="R63" s="73" t="str">
        <f>IF($B63="","",
IF(R$5="","",
IF('Final Term'!R63="",0,
IF(NOT(ISNUMBER('Final Term'!R63)),"NAN",
IF('Final Term'!R63&lt;0,"NEG",
IF('Final Term'!R63&gt;R$5,"OVER",
IF(AND(R$5&lt;=100,'Final Term'!R63&gt;100),"ERR",
IF(Info!$B$4="Non-board program",
IF(OR(AND(R$5&gt;0,R$5&gt;100),AND(R$5&gt;0,R$5&lt;100)),
VLOOKUP(FLOOR(('Final Term'!R63/R$5)*100,1),new_transmute,2,FALSE),
VLOOKUP('Final Term'!R63,new_transmute,2,FALSE)
),
IF(Info!$B$4="Board program",
IF(OR(AND(R$5&gt;0,R$5&gt;100),AND(R$5&gt;0,R$5&lt;100)),
VLOOKUP(FLOOR(('Final Term'!R63/R$5)*100,1),new_transmute,3,FALSE),
VLOOKUP('Final Term'!R63,new_transmute,3,FALSE)
),
IF(Info!$B$4="Board program (Medicine)",
IF(OR(AND(R$5&gt;0,R$5&gt;100),AND(R$5&gt;0,R$5&lt;100)),
VLOOKUP(FLOOR(('Final Term'!R63/R$5)*100,1),new_transmute,4,FALSE),
VLOOKUP('Final Term'!R63,new_transmute,4,FALSE)
),
""
)
)
)
)
)
)
)
)
))</f>
        <v/>
      </c>
      <c r="S63" s="115" t="str">
        <f t="shared" si="3"/>
        <v/>
      </c>
      <c r="T63" s="73" t="str">
        <f>IF($B63="","",
IF(T$5="","",
IF('Final Term'!T63="",0,
IF(NOT(ISNUMBER('Final Term'!T63)),"NAN",
IF('Final Term'!T63&lt;0,"NEG",
IF('Final Term'!T63&gt;T$5,"OVER",
IF(AND(T$5&lt;=100,'Final Term'!T63&gt;100),"ERR",
IF(Info!$B$4="Non-board program",
IF(OR(AND(T$5&gt;0,T$5&gt;100),AND(T$5&gt;0,T$5&lt;100)),
VLOOKUP(FLOOR(('Final Term'!T63/T$5)*100,1),new_transmute,2,FALSE),
VLOOKUP('Final Term'!T63,new_transmute,2,FALSE)
),
IF(Info!$B$4="Board program",
IF(OR(AND(T$5&gt;0,T$5&gt;100),AND(T$5&gt;0,T$5&lt;100)),
VLOOKUP(FLOOR(('Final Term'!T63/T$5)*100,1),new_transmute,3,FALSE),
VLOOKUP('Final Term'!T63,new_transmute,3,FALSE)
),
IF(Info!$B$4="Board program (Medicine)",
IF(OR(AND(T$5&gt;0,T$5&gt;100),AND(T$5&gt;0,T$5&lt;100)),
VLOOKUP(FLOOR(('Final Term'!T63/T$5)*100,1),new_transmute,4,FALSE),
VLOOKUP('Final Term'!T63,new_transmute,4,FALSE)
),
""
)
)
)
)
)
)
)
)
))</f>
        <v/>
      </c>
      <c r="U63" s="73" t="str">
        <f>IF($B63="","",
IF(U$5="","",
IF('Final Term'!U63="",0,
IF(NOT(ISNUMBER('Final Term'!U63)),"NAN",
IF('Final Term'!U63&lt;0,"NEG",
IF('Final Term'!U63&gt;U$5,"OVER",
IF(AND(U$5&lt;=100,'Final Term'!U63&gt;100),"ERR",
IF(Info!$B$4="Non-board program",
IF(OR(AND(U$5&gt;0,U$5&gt;100),AND(U$5&gt;0,U$5&lt;100)),
VLOOKUP(FLOOR(('Final Term'!U63/U$5)*100,1),new_transmute,2,FALSE),
VLOOKUP('Final Term'!U63,new_transmute,2,FALSE)
),
IF(Info!$B$4="Board program",
IF(OR(AND(U$5&gt;0,U$5&gt;100),AND(U$5&gt;0,U$5&lt;100)),
VLOOKUP(FLOOR(('Final Term'!U63/U$5)*100,1),new_transmute,3,FALSE),
VLOOKUP('Final Term'!U63,new_transmute,3,FALSE)
),
IF(Info!$B$4="Board program (Medicine)",
IF(OR(AND(U$5&gt;0,U$5&gt;100),AND(U$5&gt;0,U$5&lt;100)),
VLOOKUP(FLOOR(('Final Term'!U63/U$5)*100,1),new_transmute,4,FALSE),
VLOOKUP('Final Term'!U63,new_transmute,4,FALSE)
),
""
)
)
)
)
)
)
)
)
))</f>
        <v/>
      </c>
      <c r="V63" s="73" t="str">
        <f>IF($B63="","",
IF(V$5="","",
IF('Final Term'!V63="",0,
IF(NOT(ISNUMBER('Final Term'!V63)),"NAN",
IF('Final Term'!V63&lt;0,"NEG",
IF('Final Term'!V63&gt;V$5,"OVER",
IF(AND(V$5&lt;=100,'Final Term'!V63&gt;100),"ERR",
IF(Info!$B$4="Non-board program",
IF(OR(AND(V$5&gt;0,V$5&gt;100),AND(V$5&gt;0,V$5&lt;100)),
VLOOKUP(FLOOR(('Final Term'!V63/V$5)*100,1),new_transmute,2,FALSE),
VLOOKUP('Final Term'!V63,new_transmute,2,FALSE)
),
IF(Info!$B$4="Board program",
IF(OR(AND(V$5&gt;0,V$5&gt;100),AND(V$5&gt;0,V$5&lt;100)),
VLOOKUP(FLOOR(('Final Term'!V63/V$5)*100,1),new_transmute,3,FALSE),
VLOOKUP('Final Term'!V63,new_transmute,3,FALSE)
),
IF(Info!$B$4="Board program (Medicine)",
IF(OR(AND(V$5&gt;0,V$5&gt;100),AND(V$5&gt;0,V$5&lt;100)),
VLOOKUP(FLOOR(('Final Term'!V63/V$5)*100,1),new_transmute,4,FALSE),
VLOOKUP('Final Term'!V63,new_transmute,4,FALSE)
),
""
)
)
)
)
)
)
)
)
))</f>
        <v/>
      </c>
      <c r="W63" s="73" t="str">
        <f>IF($B63="","",
IF(W$5="","",
IF('Final Term'!W63="",0,
IF(NOT(ISNUMBER('Final Term'!W63)),"NAN",
IF('Final Term'!W63&lt;0,"NEG",
IF('Final Term'!W63&gt;W$5,"OVER",
IF(AND(W$5&lt;=100,'Final Term'!W63&gt;100),"ERR",
IF(Info!$B$4="Non-board program",
IF(OR(AND(W$5&gt;0,W$5&gt;100),AND(W$5&gt;0,W$5&lt;100)),
VLOOKUP(FLOOR(('Final Term'!W63/W$5)*100,1),new_transmute,2,FALSE),
VLOOKUP('Final Term'!W63,new_transmute,2,FALSE)
),
IF(Info!$B$4="Board program",
IF(OR(AND(W$5&gt;0,W$5&gt;100),AND(W$5&gt;0,W$5&lt;100)),
VLOOKUP(FLOOR(('Final Term'!W63/W$5)*100,1),new_transmute,3,FALSE),
VLOOKUP('Final Term'!W63,new_transmute,3,FALSE)
),
IF(Info!$B$4="Board program (Medicine)",
IF(OR(AND(W$5&gt;0,W$5&gt;100),AND(W$5&gt;0,W$5&lt;100)),
VLOOKUP(FLOOR(('Final Term'!W63/W$5)*100,1),new_transmute,4,FALSE),
VLOOKUP('Final Term'!W63,new_transmute,4,FALSE)
),
""
)
)
)
)
)
)
)
)
))</f>
        <v/>
      </c>
      <c r="X63" s="73" t="str">
        <f>IF($B63="","",
IF(X$5="","",
IF('Final Term'!X63="",0,
IF(NOT(ISNUMBER('Final Term'!X63)),"NAN",
IF('Final Term'!X63&lt;0,"NEG",
IF('Final Term'!X63&gt;X$5,"OVER",
IF(AND(X$5&lt;=100,'Final Term'!X63&gt;100),"ERR",
IF(Info!$B$4="Non-board program",
IF(OR(AND(X$5&gt;0,X$5&gt;100),AND(X$5&gt;0,X$5&lt;100)),
VLOOKUP(FLOOR(('Final Term'!X63/X$5)*100,1),new_transmute,2,FALSE),
VLOOKUP('Final Term'!X63,new_transmute,2,FALSE)
),
IF(Info!$B$4="Board program",
IF(OR(AND(X$5&gt;0,X$5&gt;100),AND(X$5&gt;0,X$5&lt;100)),
VLOOKUP(FLOOR(('Final Term'!X63/X$5)*100,1),new_transmute,3,FALSE),
VLOOKUP('Final Term'!X63,new_transmute,3,FALSE)
),
IF(Info!$B$4="Board program (Medicine)",
IF(OR(AND(X$5&gt;0,X$5&gt;100),AND(X$5&gt;0,X$5&lt;100)),
VLOOKUP(FLOOR(('Final Term'!X63/X$5)*100,1),new_transmute,4,FALSE),
VLOOKUP('Final Term'!X63,new_transmute,4,FALSE)
),
""
)
)
)
)
)
)
)
)
))</f>
        <v/>
      </c>
      <c r="Y63" s="112" t="str">
        <f t="shared" si="4"/>
        <v/>
      </c>
      <c r="Z63" s="73" t="str">
        <f>IF($B63="","",
IF(Z$5="","",
IF('Final Term'!Z63="",0,
IF(NOT(ISNUMBER('Final Term'!Z63)),"NAN",
IF('Final Term'!Z63&lt;0,"NEG",
IF('Final Term'!Z63&gt;Z$5,"OVER",
IF(AND(Z$5&lt;=100,'Final Term'!Z63&gt;100),"ERR",
IF(Info!$B$4="Non-board program",
IF(OR(AND(Z$5&gt;0,Z$5&gt;100),AND(Z$5&gt;0,Z$5&lt;100)),
VLOOKUP(FLOOR(('Final Term'!Z63/Z$5)*100,1),new_transmute,2,FALSE),
VLOOKUP('Final Term'!Z63,new_transmute,2,FALSE)
),
IF(Info!$B$4="Board program",
IF(OR(AND(Z$5&gt;0,Z$5&gt;100),AND(Z$5&gt;0,Z$5&lt;100)),
VLOOKUP(FLOOR(('Final Term'!Z63/Z$5)*100,1),new_transmute,3,FALSE),
VLOOKUP('Final Term'!Z63,new_transmute,3,FALSE)
),
IF(Info!$B$4="Board program (Medicine)",
IF(OR(AND(Z$5&gt;0,Z$5&gt;100),AND(Z$5&gt;0,Z$5&lt;100)),
VLOOKUP(FLOOR(('Final Term'!Z63/Z$5)*100,1),new_transmute,4,FALSE),
VLOOKUP('Final Term'!Z63,new_transmute,4,FALSE)
),
""
)
)
)
)
)
)
)
)
))</f>
        <v/>
      </c>
      <c r="AA63" s="73" t="str">
        <f>IF($B63="","",
IF(AA$5="","",
IF('Final Term'!AA63="",0,
IF(NOT(ISNUMBER('Final Term'!AA63)),"NAN",
IF('Final Term'!AA63&lt;0,"NEG",
IF('Final Term'!AA63&gt;AA$5,"OVER",
IF(AND(AA$5&lt;=100,'Final Term'!AA63&gt;100),"ERR",
IF(Info!$B$4="Non-board program",
IF(OR(AND(AA$5&gt;0,AA$5&gt;100),AND(AA$5&gt;0,AA$5&lt;100)),
VLOOKUP(FLOOR(('Final Term'!AA63/AA$5)*100,1),new_transmute,2,FALSE),
VLOOKUP('Final Term'!AA63,new_transmute,2,FALSE)
),
IF(Info!$B$4="Board program",
IF(OR(AND(AA$5&gt;0,AA$5&gt;100),AND(AA$5&gt;0,AA$5&lt;100)),
VLOOKUP(FLOOR(('Final Term'!AA63/AA$5)*100,1),new_transmute,3,FALSE),
VLOOKUP('Final Term'!AA63,new_transmute,3,FALSE)
),
IF(Info!$B$4="Board program (Medicine)",
IF(OR(AND(AA$5&gt;0,AA$5&gt;100),AND(AA$5&gt;0,AA$5&lt;100)),
VLOOKUP(FLOOR(('Final Term'!AA63/AA$5)*100,1),new_transmute,4,FALSE),
VLOOKUP('Final Term'!AA63,new_transmute,4,FALSE)
),
""
)
)
)
)
)
)
)
)
))</f>
        <v/>
      </c>
      <c r="AB63" s="73" t="str">
        <f>IF($B63="","",
IF(AB$5="","",
IF('Final Term'!AB63="",0,
IF(NOT(ISNUMBER('Final Term'!AB63)),"NAN",
IF('Final Term'!AB63&lt;0,"NEG",
IF('Final Term'!AB63&gt;AB$5,"OVER",
IF(AND(AB$5&lt;=100,'Final Term'!AB63&gt;100),"ERR",
IF(Info!$B$4="Non-board program",
IF(OR(AND(AB$5&gt;0,AB$5&gt;100),AND(AB$5&gt;0,AB$5&lt;100)),
VLOOKUP(FLOOR(('Final Term'!AB63/AB$5)*100,1),new_transmute,2,FALSE),
VLOOKUP('Final Term'!AB63,new_transmute,2,FALSE)
),
IF(Info!$B$4="Board program",
IF(OR(AND(AB$5&gt;0,AB$5&gt;100),AND(AB$5&gt;0,AB$5&lt;100)),
VLOOKUP(FLOOR(('Final Term'!AB63/AB$5)*100,1),new_transmute,3,FALSE),
VLOOKUP('Final Term'!AB63,new_transmute,3,FALSE)
),
IF(Info!$B$4="Board program (Medicine)",
IF(OR(AND(AB$5&gt;0,AB$5&gt;100),AND(AB$5&gt;0,AB$5&lt;100)),
VLOOKUP(FLOOR(('Final Term'!AB63/AB$5)*100,1),new_transmute,4,FALSE),
VLOOKUP('Final Term'!AB63,new_transmute,4,FALSE)
),
""
)
)
)
)
)
)
)
)
))</f>
        <v/>
      </c>
      <c r="AC63" s="73" t="str">
        <f>IF($B63="","",
IF(AC$5="","",
IF('Final Term'!AC63="",0,
IF(NOT(ISNUMBER('Final Term'!AC63)),"NAN",
IF('Final Term'!AC63&lt;0,"NEG",
IF('Final Term'!AC63&gt;AC$5,"OVER",
IF(AND(AC$5&lt;=100,'Final Term'!AC63&gt;100),"ERR",
IF(Info!$B$4="Non-board program",
IF(OR(AND(AC$5&gt;0,AC$5&gt;100),AND(AC$5&gt;0,AC$5&lt;100)),
VLOOKUP(FLOOR(('Final Term'!AC63/AC$5)*100,1),new_transmute,2,FALSE),
VLOOKUP('Final Term'!AC63,new_transmute,2,FALSE)
),
IF(Info!$B$4="Board program",
IF(OR(AND(AC$5&gt;0,AC$5&gt;100),AND(AC$5&gt;0,AC$5&lt;100)),
VLOOKUP(FLOOR(('Final Term'!AC63/AC$5)*100,1),new_transmute,3,FALSE),
VLOOKUP('Final Term'!AC63,new_transmute,3,FALSE)
),
IF(Info!$B$4="Board program (Medicine)",
IF(OR(AND(AC$5&gt;0,AC$5&gt;100),AND(AC$5&gt;0,AC$5&lt;100)),
VLOOKUP(FLOOR(('Final Term'!AC63/AC$5)*100,1),new_transmute,4,FALSE),
VLOOKUP('Final Term'!AC63,new_transmute,4,FALSE)
),
""
)
)
)
)
)
)
)
)
))</f>
        <v/>
      </c>
      <c r="AD63" s="73" t="str">
        <f>IF($B63="","",
IF(AD$5="","",
IF('Final Term'!AD63="",0,
IF(NOT(ISNUMBER('Final Term'!AD63)),"NAN",
IF('Final Term'!AD63&lt;0,"NEG",
IF('Final Term'!AD63&gt;AD$5,"OVER",
IF(AND(AD$5&lt;=100,'Final Term'!AD63&gt;100),"ERR",
IF(Info!$B$4="Non-board program",
IF(OR(AND(AD$5&gt;0,AD$5&gt;100),AND(AD$5&gt;0,AD$5&lt;100)),
VLOOKUP(FLOOR(('Final Term'!AD63/AD$5)*100,1),new_transmute,2,FALSE),
VLOOKUP('Final Term'!AD63,new_transmute,2,FALSE)
),
IF(Info!$B$4="Board program",
IF(OR(AND(AD$5&gt;0,AD$5&gt;100),AND(AD$5&gt;0,AD$5&lt;100)),
VLOOKUP(FLOOR(('Final Term'!AD63/AD$5)*100,1),new_transmute,3,FALSE),
VLOOKUP('Final Term'!AD63,new_transmute,3,FALSE)
),
IF(Info!$B$4="Board program (Medicine)",
IF(OR(AND(AD$5&gt;0,AD$5&gt;100),AND(AD$5&gt;0,AD$5&lt;100)),
VLOOKUP(FLOOR(('Final Term'!AD63/AD$5)*100,1),new_transmute,4,FALSE),
VLOOKUP('Final Term'!AD63,new_transmute,4,FALSE)
),
""
)
)
)
)
)
)
)
)
))</f>
        <v/>
      </c>
      <c r="AE63" s="58" t="str">
        <f t="shared" si="5"/>
        <v/>
      </c>
      <c r="AF63" s="73" t="str">
        <f>IF($B63="","",
IF(AF$5="","",
IF('Final Term'!AF63="",0,
IF(NOT(ISNUMBER('Final Term'!AF63)),"NAN",
IF('Final Term'!AF63&lt;0,"NEG",
IF('Final Term'!AF63&gt;AF$5,"OVER",
IF(AND(AF$5&lt;=100,'Final Term'!AF63&gt;100),"ERR",
IF(Info!$B$4="Non-board program",
IF(OR(AND(AF$5&gt;0,AF$5&gt;100),AND(AF$5&gt;0,AF$5&lt;100)),
VLOOKUP(FLOOR(('Final Term'!AF63/AF$5)*100,1),new_transmute,2,FALSE),
VLOOKUP('Final Term'!AF63,new_transmute,2,FALSE)
),
IF(Info!$B$4="Board program",
IF(OR(AND(AF$5&gt;0,AF$5&gt;100),AND(AF$5&gt;0,AF$5&lt;100)),
VLOOKUP(FLOOR(('Final Term'!AF63/AF$5)*100,1),new_transmute,3,FALSE),
VLOOKUP('Final Term'!AF63,new_transmute,3,FALSE)
),
IF(Info!$B$4="Board program (Medicine)",
IF(OR(AND(AF$5&gt;0,AF$5&gt;100),AND(AF$5&gt;0,AF$5&lt;100)),
VLOOKUP(FLOOR(('Final Term'!AF63/AF$5)*100,1),new_transmute,4,FALSE),
VLOOKUP('Final Term'!AF63,new_transmute,4,FALSE)
),
""
)
)
)
)
)
)
)
)
))</f>
        <v/>
      </c>
      <c r="AG63" s="73" t="str">
        <f>IF($B63="","",
IF(AG$5="","",
IF('Final Term'!AG63="",0,
IF(NOT(ISNUMBER('Final Term'!AG63)),"NAN",
IF('Final Term'!AG63&lt;0,"NEG",
IF('Final Term'!AG63&gt;AG$5,"OVER",
IF(AND(AG$5&lt;=100,'Final Term'!AG63&gt;100),"ERR",
IF(Info!$B$4="Non-board program",
IF(OR(AND(AG$5&gt;0,AG$5&gt;100),AND(AG$5&gt;0,AG$5&lt;100)),
VLOOKUP(FLOOR(('Final Term'!AG63/AG$5)*100,1),new_transmute,2,FALSE),
VLOOKUP('Final Term'!AG63,new_transmute,2,FALSE)
),
IF(Info!$B$4="Board program",
IF(OR(AND(AG$5&gt;0,AG$5&gt;100),AND(AG$5&gt;0,AG$5&lt;100)),
VLOOKUP(FLOOR(('Final Term'!AG63/AG$5)*100,1),new_transmute,3,FALSE),
VLOOKUP('Final Term'!AG63,new_transmute,3,FALSE)
),
IF(Info!$B$4="Board program (Medicine)",
IF(OR(AND(AG$5&gt;0,AG$5&gt;100),AND(AG$5&gt;0,AG$5&lt;100)),
VLOOKUP(FLOOR(('Final Term'!AG63/AG$5)*100,1),new_transmute,4,FALSE),
VLOOKUP('Final Term'!AG63,new_transmute,4,FALSE)
),
""
)
)
)
)
)
)
)
)
))</f>
        <v/>
      </c>
      <c r="AH63" s="73" t="str">
        <f>IF($B63="","",
IF(AH$5="","",
IF('Final Term'!AH63="",0,
IF(NOT(ISNUMBER('Final Term'!AH63)),"NAN",
IF('Final Term'!AH63&lt;0,"NEG",
IF('Final Term'!AH63&gt;AH$5,"OVER",
IF(AND(AH$5&lt;=100,'Final Term'!AH63&gt;100),"ERR",
IF(Info!$B$4="Non-board program",
IF(OR(AND(AH$5&gt;0,AH$5&gt;100),AND(AH$5&gt;0,AH$5&lt;100)),
VLOOKUP(FLOOR(('Final Term'!AH63/AH$5)*100,1),new_transmute,2,FALSE),
VLOOKUP('Final Term'!AH63,new_transmute,2,FALSE)
),
IF(Info!$B$4="Board program",
IF(OR(AND(AH$5&gt;0,AH$5&gt;100),AND(AH$5&gt;0,AH$5&lt;100)),
VLOOKUP(FLOOR(('Final Term'!AH63/AH$5)*100,1),new_transmute,3,FALSE),
VLOOKUP('Final Term'!AH63,new_transmute,3,FALSE)
),
IF(Info!$B$4="Board program (Medicine)",
IF(OR(AND(AH$5&gt;0,AH$5&gt;100),AND(AH$5&gt;0,AH$5&lt;100)),
VLOOKUP(FLOOR(('Final Term'!AH63/AH$5)*100,1),new_transmute,4,FALSE),
VLOOKUP('Final Term'!AH63,new_transmute,4,FALSE)
),
""
)
)
)
)
)
)
)
)
))</f>
        <v/>
      </c>
      <c r="AI63" s="73" t="str">
        <f>IF($B63="","",
IF(AI$5="","",
IF('Final Term'!AI63="",0,
IF(NOT(ISNUMBER('Final Term'!AI63)),"NAN",
IF('Final Term'!AI63&lt;0,"NEG",
IF('Final Term'!AI63&gt;AI$5,"OVER",
IF(AND(AI$5&lt;=100,'Final Term'!AI63&gt;100),"ERR",
IF(Info!$B$4="Non-board program",
IF(OR(AND(AI$5&gt;0,AI$5&gt;100),AND(AI$5&gt;0,AI$5&lt;100)),
VLOOKUP(FLOOR(('Final Term'!AI63/AI$5)*100,1),new_transmute,2,FALSE),
VLOOKUP('Final Term'!AI63,new_transmute,2,FALSE)
),
IF(Info!$B$4="Board program",
IF(OR(AND(AI$5&gt;0,AI$5&gt;100),AND(AI$5&gt;0,AI$5&lt;100)),
VLOOKUP(FLOOR(('Final Term'!AI63/AI$5)*100,1),new_transmute,3,FALSE),
VLOOKUP('Final Term'!AI63,new_transmute,3,FALSE)
),
IF(Info!$B$4="Board program (Medicine)",
IF(OR(AND(AI$5&gt;0,AI$5&gt;100),AND(AI$5&gt;0,AI$5&lt;100)),
VLOOKUP(FLOOR(('Final Term'!AI63/AI$5)*100,1),new_transmute,4,FALSE),
VLOOKUP('Final Term'!AI63,new_transmute,4,FALSE)
),
""
)
)
)
)
)
)
)
)
))</f>
        <v/>
      </c>
      <c r="AJ63" s="73" t="str">
        <f>IF($B63="","",
IF(AJ$5="","",
IF('Final Term'!AJ63="",0,
IF(NOT(ISNUMBER('Final Term'!AJ63)),"NAN",
IF('Final Term'!AJ63&lt;0,"NEG",
IF('Final Term'!AJ63&gt;AJ$5,"OVER",
IF(AND(AJ$5&lt;=100,'Final Term'!AJ63&gt;100),"ERR",
IF(Info!$B$4="Non-board program",
IF(OR(AND(AJ$5&gt;0,AJ$5&gt;100),AND(AJ$5&gt;0,AJ$5&lt;100)),
VLOOKUP(FLOOR(('Final Term'!AJ63/AJ$5)*100,1),new_transmute,2,FALSE),
VLOOKUP('Final Term'!AJ63,new_transmute,2,FALSE)
),
IF(Info!$B$4="Board program",
IF(OR(AND(AJ$5&gt;0,AJ$5&gt;100),AND(AJ$5&gt;0,AJ$5&lt;100)),
VLOOKUP(FLOOR(('Final Term'!AJ63/AJ$5)*100,1),new_transmute,3,FALSE),
VLOOKUP('Final Term'!AJ63,new_transmute,3,FALSE)
),
IF(Info!$B$4="Board program (Medicine)",
IF(OR(AND(AJ$5&gt;0,AJ$5&gt;100),AND(AJ$5&gt;0,AJ$5&lt;100)),
VLOOKUP(FLOOR(('Final Term'!AJ63/AJ$5)*100,1),new_transmute,4,FALSE),
VLOOKUP('Final Term'!AJ63,new_transmute,4,FALSE)
),
""
)
)
)
)
)
)
)
)
))</f>
        <v/>
      </c>
      <c r="AK63" s="59" t="str">
        <f t="shared" si="6"/>
        <v/>
      </c>
      <c r="AL63" s="60" t="str">
        <f>IF(B63="", "",
    IF(OR(M63="OVER", S63="OVER", Y63="OVER", AE63="OVER", AK63="OVER"),
        "OVER",
        IF(Info!$B$4="Non-board program",
            VLOOKUP(IFERROR(FLOOR(SUM((M63*$M$4), (S63*$S$4), (Y63*$Y$4), (AE63*$AE$4), (AK63*$AK$4)) * (100 / 60), 1), 0), new_transmute, 2, FALSE),
            IF(Info!$B$4="Board program",
                VLOOKUP(IFERROR(FLOOR(SUM((M63*$M$4), (S63*$S$4), (Y63*$Y$4), (AE63*$AE$4), (AK63*$AK$4)) * (100 / 60), 1), 0), new_transmute, 3, FALSE),
                IF(Info!$B$4="Board program (Medicine)",
                    VLOOKUP(IFERROR(FLOOR(SUM((M63*$M$4), (S63*$S$4), (Y63*$Y$4), (AE63*$AE$4), (AK63*$AK$4)) * (100 / 60), 1), 0), new_transmute, 4, FALSE),
                    ""
                )
            )
        )
    )
)</f>
        <v/>
      </c>
      <c r="AM63" s="73" t="str">
        <f>IF($B63="","",
IF(AM$5="","",
IF('Final Term'!AM63="",0,
IF(NOT(ISNUMBER('Final Term'!AM63)),"NAN",
IF('Final Term'!AM63&lt;0,"NEG",
IF('Final Term'!AM63&gt;AM$5,"OVER",
IF(AND(AM$5&lt;=100,'Final Term'!AM63&gt;100),"ERR",
IF(Info!$B$4="Non-board program",
IF(OR(AND(AM$5&gt;0,AM$5&gt;100),AND(AM$5&gt;0,AM$5&lt;100)),
VLOOKUP(FLOOR(('Final Term'!AM63/AM$5)*100,1),new_transmute,2,FALSE),
VLOOKUP('Final Term'!AM63,new_transmute,2,FALSE)
),
IF(Info!$B$4="Board program",
IF(OR(AND(AM$5&gt;0,AM$5&gt;100),AND(AM$5&gt;0,AM$5&lt;100)),
VLOOKUP(FLOOR(('Final Term'!AM63/AM$5)*100,1),new_transmute,3,FALSE),
VLOOKUP('Final Term'!AM63,new_transmute,3,FALSE)
),
IF(Info!$B$4="Board program (Medicine)",
IF(OR(AND(AM$5&gt;0,AM$5&gt;100),AND(AM$5&gt;0,AM$5&lt;100)),
VLOOKUP(FLOOR(('Final Term'!AM63/AM$5)*100,1),new_transmute,4,FALSE),
VLOOKUP('Final Term'!AM63,new_transmute,4,FALSE)
),
""
)
)
)
)
)
)
)
)
))</f>
        <v/>
      </c>
      <c r="AN63" s="73" t="str">
        <f>IF($B63="","",
IF(AN$5="","",
IF('Final Term'!AN63="",0,
IF(NOT(ISNUMBER('Final Term'!AN63)),"NAN",
IF('Final Term'!AN63&lt;0,"NEG",
IF('Final Term'!AN63&gt;AN$5,"OVER",
IF(AND(AN$5&lt;=100,'Final Term'!AN63&gt;100),"ERR",
IF(Info!$B$4="Non-board program",
IF(OR(AND(AN$5&gt;0,AN$5&gt;100),AND(AN$5&gt;0,AN$5&lt;100)),
VLOOKUP(FLOOR(('Final Term'!AN63/AN$5)*100,1),new_transmute,2,FALSE),
VLOOKUP('Final Term'!AN63,new_transmute,2,FALSE)
),
IF(Info!$B$4="Board program",
IF(OR(AND(AN$5&gt;0,AN$5&gt;100),AND(AN$5&gt;0,AN$5&lt;100)),
VLOOKUP(FLOOR(('Final Term'!AN63/AN$5)*100,1),new_transmute,3,FALSE),
VLOOKUP('Final Term'!AN63,new_transmute,3,FALSE)
),
IF(Info!$B$4="Board program (Medicine)",
IF(OR(AND(AN$5&gt;0,AN$5&gt;100),AND(AN$5&gt;0,AN$5&lt;100)),
VLOOKUP(FLOOR(('Final Term'!AN63/AN$5)*100,1),new_transmute,4,FALSE),
VLOOKUP('Final Term'!AN63,new_transmute,4,FALSE)
),
""
)
)
)
)
)
)
)
)
))</f>
        <v/>
      </c>
      <c r="AO63" s="73" t="str">
        <f>IF($B63="","",
IF(AO$5="","",
IF('Final Term'!AO63="",0,
IF(NOT(ISNUMBER('Final Term'!AO63)),"NAN",
IF('Final Term'!AO63&lt;0,"NEG",
IF('Final Term'!AO63&gt;AO$5,"OVER",
IF(AND(AO$5&lt;=100,'Final Term'!AO63&gt;100),"ERR",
IF(Info!$B$4="Non-board program",
IF(OR(AND(AO$5&gt;0,AO$5&gt;100),AND(AO$5&gt;0,AO$5&lt;100)),
VLOOKUP(FLOOR(('Final Term'!AO63/AO$5)*100,1),new_transmute,2,FALSE),
VLOOKUP('Final Term'!AO63,new_transmute,2,FALSE)
),
IF(Info!$B$4="Board program",
IF(OR(AND(AO$5&gt;0,AO$5&gt;100),AND(AO$5&gt;0,AO$5&lt;100)),
VLOOKUP(FLOOR(('Final Term'!AO63/AO$5)*100,1),new_transmute,3,FALSE),
VLOOKUP('Final Term'!AO63,new_transmute,3,FALSE)
),
IF(Info!$B$4="Board program (Medicine)",
IF(OR(AND(AO$5&gt;0,AO$5&gt;100),AND(AO$5&gt;0,AO$5&lt;100)),
VLOOKUP(FLOOR(('Final Term'!AO63/AO$5)*100,1),new_transmute,4,FALSE),
VLOOKUP('Final Term'!AO63,new_transmute,4,FALSE)
),
""
)
)
)
)
)
)
)
)
))</f>
        <v/>
      </c>
      <c r="AP63" s="73" t="str">
        <f>IF($B63="","",
IF(AP$5="","",
IF('Final Term'!AP63="",0,
IF(NOT(ISNUMBER('Final Term'!AP63)),"NAN",
IF('Final Term'!AP63&lt;0,"NEG",
IF('Final Term'!AP63&gt;AP$5,"OVER",
IF(AND(AP$5&lt;=100,'Final Term'!AP63&gt;100),"ERR",
IF(Info!$B$4="Non-board program",
IF(OR(AND(AP$5&gt;0,AP$5&gt;100),AND(AP$5&gt;0,AP$5&lt;100)),
VLOOKUP(FLOOR(('Final Term'!AP63/AP$5)*100,1),new_transmute,2,FALSE),
VLOOKUP('Final Term'!AP63,new_transmute,2,FALSE)
),
IF(Info!$B$4="Board program",
IF(OR(AND(AP$5&gt;0,AP$5&gt;100),AND(AP$5&gt;0,AP$5&lt;100)),
VLOOKUP(FLOOR(('Final Term'!AP63/AP$5)*100,1),new_transmute,3,FALSE),
VLOOKUP('Final Term'!AP63,new_transmute,3,FALSE)
),
IF(Info!$B$4="Board program (Medicine)",
IF(OR(AND(AP$5&gt;0,AP$5&gt;100),AND(AP$5&gt;0,AP$5&lt;100)),
VLOOKUP(FLOOR(('Final Term'!AP63/AP$5)*100,1),new_transmute,4,FALSE),
VLOOKUP('Final Term'!AP63,new_transmute,4,FALSE)
),
""
)
)
)
)
)
)
)
)
))</f>
        <v/>
      </c>
      <c r="AQ63" s="61" t="str">
        <f t="shared" si="7"/>
        <v/>
      </c>
      <c r="AR63" s="48" t="str">
        <f>IF('Final Term'!AR63="","",'Final Term'!AR63)</f>
        <v/>
      </c>
      <c r="AS63" s="165" t="str">
        <f t="shared" si="8"/>
        <v/>
      </c>
      <c r="AT63" s="14" t="str">
        <f t="shared" si="9"/>
        <v/>
      </c>
      <c r="AU63" s="13" t="str">
        <f>IF(B63="","",VLOOKUP(AT63,'New Grade Equivalent'!$B$3:$C$47,2,FALSE))</f>
        <v/>
      </c>
    </row>
    <row r="64" spans="1:47" x14ac:dyDescent="0.25">
      <c r="A64" s="8">
        <v>59</v>
      </c>
      <c r="B64" s="2" t="str">
        <f>IF('Student List'!C68="","",UPPER(LEFT('Student List'!C68,FIND(",",'Student List'!C68)-1)))</f>
        <v/>
      </c>
      <c r="C64" s="12" t="str">
        <f>IF('Student List'!C68="","",PROPER(MID('Student List'!C68, FIND(",", 'Student List'!C68) + 2, LEN('Student List'!C68) - FIND(",", 'Student List'!C68) - 1)))</f>
        <v/>
      </c>
      <c r="D64" s="127" t="str">
        <f>IF('Final Term'!D64="","",'Final Term'!D64)</f>
        <v/>
      </c>
      <c r="E64" s="8" t="str">
        <f>IF(MidCom!E64="FA", "FA",
    IF(MidCom!E64="DRP", "DRP",
        IF(MidCom!E64="WF", "WF",
            IF(D64="Yes", "INC",
               IF((SUM('MT Attendance'!AW62) / 3 + SUM('MT Attendance'!AY62) + SUM('FT Attendance'!AW62) / 3 + SUM('FT Attendance'!AY62)) &gt;= 0.2 * (SUMPRODUCT(--(ISTEXT('MT Attendance'!$C$2:$AU$2))) + SUMPRODUCT(--(ISTEXT('FT Attendance'!$C$2:$AU$2)))), "FA",
                   MidCom!E64
                )
            )
        )
    )
)</f>
        <v/>
      </c>
      <c r="F64" s="73" t="str">
        <f>IF($B64="","",
IF(F$5="","",
IF('Final Term'!F64="",0,
IF(NOT(ISNUMBER('Final Term'!F64)),"NAN",
IF('Final Term'!F64&lt;0,"NEG",
IF('Final Term'!F64&gt;F$5,"OVER",
IF(AND(F$5&lt;=100,'Final Term'!F64&gt;100),"ERR",
IF(Info!$B$4="Non-board program",
IF(OR(AND(F$5&gt;0,F$5&gt;100),AND(F$5&gt;0,F$5&lt;100)),
VLOOKUP(FLOOR(('Final Term'!F64/F$5)*100,1),new_transmute,2,FALSE),
VLOOKUP('Final Term'!F64,new_transmute,2,FALSE)
),
IF(Info!$B$4="Board program",
IF(OR(AND(F$5&gt;0,F$5&gt;100),AND(F$5&gt;0,F$5&lt;100)),
VLOOKUP(FLOOR(('Final Term'!F64/F$5)*100,1),new_transmute,3,FALSE),
VLOOKUP('Final Term'!F64,new_transmute,3,FALSE)
),
IF(Info!$B$4="Board program (Medicine)",
IF(OR(AND(F$5&gt;0,F$5&gt;100),AND(F$5&gt;0,F$5&lt;100)),
VLOOKUP(FLOOR(('Final Term'!F64/F$5)*100,1),new_transmute,4,FALSE),
VLOOKUP('Final Term'!F64,new_transmute,4,FALSE)
),
""
)
)
)
)
)
)
)
)
))</f>
        <v/>
      </c>
      <c r="G64" s="57" t="str">
        <f t="shared" si="1"/>
        <v/>
      </c>
      <c r="H64" s="73" t="str">
        <f>IF($B64="","",
IF(H$5="","",
IF('Final Term'!H64="",0,
IF(NOT(ISNUMBER('Final Term'!H64)),"NAN",
IF('Final Term'!H64&lt;0,"NEG",
IF('Final Term'!H64&gt;H$5,"OVER",
IF(AND(H$5&lt;=100,'Final Term'!H64&gt;100),"ERR",
IF(Info!$B$4="Non-board program",
IF(OR(AND(H$5&gt;0,H$5&gt;100),AND(H$5&gt;0,H$5&lt;100)),
VLOOKUP(FLOOR(('Final Term'!H64/H$5)*100,1),new_transmute,2,FALSE),
VLOOKUP('Final Term'!H64,new_transmute,2,FALSE)
),
IF(Info!$B$4="Board program",
IF(OR(AND(H$5&gt;0,H$5&gt;100),AND(H$5&gt;0,H$5&lt;100)),
VLOOKUP(FLOOR(('Final Term'!H64/H$5)*100,1),new_transmute,3,FALSE),
VLOOKUP('Final Term'!H64,new_transmute,3,FALSE)
),
IF(Info!$B$4="Board program (Medicine)",
IF(OR(AND(H$5&gt;0,H$5&gt;100),AND(H$5&gt;0,H$5&lt;100)),
VLOOKUP(FLOOR(('Final Term'!H64/H$5)*100,1),new_transmute,4,FALSE),
VLOOKUP('Final Term'!H64,new_transmute,4,FALSE)
),
""
)
)
)
)
)
)
)
)
))</f>
        <v/>
      </c>
      <c r="I64" s="73" t="str">
        <f>IF($B64="","",
IF(I$5="","",
IF('Final Term'!I64="",0,
IF(NOT(ISNUMBER('Final Term'!I64)),"NAN",
IF('Final Term'!I64&lt;0,"NEG",
IF('Final Term'!I64&gt;I$5,"OVER",
IF(AND(I$5&lt;=100,'Final Term'!I64&gt;100),"ERR",
IF(Info!$B$4="Non-board program",
IF(OR(AND(I$5&gt;0,I$5&gt;100),AND(I$5&gt;0,I$5&lt;100)),
VLOOKUP(FLOOR(('Final Term'!I64/I$5)*100,1),new_transmute,2,FALSE),
VLOOKUP('Final Term'!I64,new_transmute,2,FALSE)
),
IF(Info!$B$4="Board program",
IF(OR(AND(I$5&gt;0,I$5&gt;100),AND(I$5&gt;0,I$5&lt;100)),
VLOOKUP(FLOOR(('Final Term'!I64/I$5)*100,1),new_transmute,3,FALSE),
VLOOKUP('Final Term'!I64,new_transmute,3,FALSE)
),
IF(Info!$B$4="Board program (Medicine)",
IF(OR(AND(I$5&gt;0,I$5&gt;100),AND(I$5&gt;0,I$5&lt;100)),
VLOOKUP(FLOOR(('Final Term'!I64/I$5)*100,1),new_transmute,4,FALSE),
VLOOKUP('Final Term'!I64,new_transmute,4,FALSE)
),
""
)
)
)
)
)
)
)
)
))</f>
        <v/>
      </c>
      <c r="J64" s="73" t="str">
        <f>IF($B64="","",
IF(J$5="","",
IF('Final Term'!J64="",0,
IF(NOT(ISNUMBER('Final Term'!J64)),"NAN",
IF('Final Term'!J64&lt;0,"NEG",
IF('Final Term'!J64&gt;J$5,"OVER",
IF(AND(J$5&lt;=100,'Final Term'!J64&gt;100),"ERR",
IF(Info!$B$4="Non-board program",
IF(OR(AND(J$5&gt;0,J$5&gt;100),AND(J$5&gt;0,J$5&lt;100)),
VLOOKUP(FLOOR(('Final Term'!J64/J$5)*100,1),new_transmute,2,FALSE),
VLOOKUP('Final Term'!J64,new_transmute,2,FALSE)
),
IF(Info!$B$4="Board program",
IF(OR(AND(J$5&gt;0,J$5&gt;100),AND(J$5&gt;0,J$5&lt;100)),
VLOOKUP(FLOOR(('Final Term'!J64/J$5)*100,1),new_transmute,3,FALSE),
VLOOKUP('Final Term'!J64,new_transmute,3,FALSE)
),
IF(Info!$B$4="Board program (Medicine)",
IF(OR(AND(J$5&gt;0,J$5&gt;100),AND(J$5&gt;0,J$5&lt;100)),
VLOOKUP(FLOOR(('Final Term'!J64/J$5)*100,1),new_transmute,4,FALSE),
VLOOKUP('Final Term'!J64,new_transmute,4,FALSE)
),
""
)
)
)
)
)
)
)
)
))</f>
        <v/>
      </c>
      <c r="K64" s="73" t="str">
        <f>IF($B64="","",
IF(K$5="","",
IF('Final Term'!K64="",0,
IF(NOT(ISNUMBER('Final Term'!K64)),"NAN",
IF('Final Term'!K64&lt;0,"NEG",
IF('Final Term'!K64&gt;K$5,"OVER",
IF(AND(K$5&lt;=100,'Final Term'!K64&gt;100),"ERR",
IF(Info!$B$4="Non-board program",
IF(OR(AND(K$5&gt;0,K$5&gt;100),AND(K$5&gt;0,K$5&lt;100)),
VLOOKUP(FLOOR(('Final Term'!K64/K$5)*100,1),new_transmute,2,FALSE),
VLOOKUP('Final Term'!K64,new_transmute,2,FALSE)
),
IF(Info!$B$4="Board program",
IF(OR(AND(K$5&gt;0,K$5&gt;100),AND(K$5&gt;0,K$5&lt;100)),
VLOOKUP(FLOOR(('Final Term'!K64/K$5)*100,1),new_transmute,3,FALSE),
VLOOKUP('Final Term'!K64,new_transmute,3,FALSE)
),
IF(Info!$B$4="Board program (Medicine)",
IF(OR(AND(K$5&gt;0,K$5&gt;100),AND(K$5&gt;0,K$5&lt;100)),
VLOOKUP(FLOOR(('Final Term'!K64/K$5)*100,1),new_transmute,4,FALSE),
VLOOKUP('Final Term'!K64,new_transmute,4,FALSE)
),
""
)
)
)
)
)
)
)
)
))</f>
        <v/>
      </c>
      <c r="L64" s="73" t="str">
        <f>IF($B64="","",
IF(L$5="","",
IF('Final Term'!L64="",0,
IF(NOT(ISNUMBER('Final Term'!L64)),"NAN",
IF('Final Term'!L64&lt;0,"NEG",
IF('Final Term'!L64&gt;L$5,"OVER",
IF(AND(L$5&lt;=100,'Final Term'!L64&gt;100),"ERR",
IF(Info!$B$4="Non-board program",
IF(OR(AND(L$5&gt;0,L$5&gt;100),AND(L$5&gt;0,L$5&lt;100)),
VLOOKUP(FLOOR(('Final Term'!L64/L$5)*100,1),new_transmute,2,FALSE),
VLOOKUP('Final Term'!L64,new_transmute,2,FALSE)
),
IF(Info!$B$4="Board program",
IF(OR(AND(L$5&gt;0,L$5&gt;100),AND(L$5&gt;0,L$5&lt;100)),
VLOOKUP(FLOOR(('Final Term'!L64/L$5)*100,1),new_transmute,3,FALSE),
VLOOKUP('Final Term'!L64,new_transmute,3,FALSE)
),
IF(Info!$B$4="Board program (Medicine)",
IF(OR(AND(L$5&gt;0,L$5&gt;100),AND(L$5&gt;0,L$5&lt;100)),
VLOOKUP(FLOOR(('Final Term'!L64/L$5)*100,1),new_transmute,4,FALSE),
VLOOKUP('Final Term'!L64,new_transmute,4,FALSE)
),
""
)
)
)
)
)
)
)
)
))</f>
        <v/>
      </c>
      <c r="M64" s="111" t="str">
        <f t="shared" si="2"/>
        <v/>
      </c>
      <c r="N64" s="73" t="str">
        <f>IF($B64="","",
IF(N$5="","",
IF('Final Term'!N64="",0,
IF(NOT(ISNUMBER('Final Term'!N64)),"NAN",
IF('Final Term'!N64&lt;0,"NEG",
IF('Final Term'!N64&gt;N$5,"OVER",
IF(AND(N$5&lt;=100,'Final Term'!N64&gt;100),"ERR",
IF(Info!$B$4="Non-board program",
IF(OR(AND(N$5&gt;0,N$5&gt;100),AND(N$5&gt;0,N$5&lt;100)),
VLOOKUP(FLOOR(('Final Term'!N64/N$5)*100,1),new_transmute,2,FALSE),
VLOOKUP('Final Term'!N64,new_transmute,2,FALSE)
),
IF(Info!$B$4="Board program",
IF(OR(AND(N$5&gt;0,N$5&gt;100),AND(N$5&gt;0,N$5&lt;100)),
VLOOKUP(FLOOR(('Final Term'!N64/N$5)*100,1),new_transmute,3,FALSE),
VLOOKUP('Final Term'!N64,new_transmute,3,FALSE)
),
IF(Info!$B$4="Board program (Medicine)",
IF(OR(AND(N$5&gt;0,N$5&gt;100),AND(N$5&gt;0,N$5&lt;100)),
VLOOKUP(FLOOR(('Final Term'!N64/N$5)*100,1),new_transmute,4,FALSE),
VLOOKUP('Final Term'!N64,new_transmute,4,FALSE)
),
""
)
)
)
)
)
)
)
)
))</f>
        <v/>
      </c>
      <c r="O64" s="73" t="str">
        <f>IF($B64="","",
IF(O$5="","",
IF('Final Term'!O64="",0,
IF(NOT(ISNUMBER('Final Term'!O64)),"NAN",
IF('Final Term'!O64&lt;0,"NEG",
IF('Final Term'!O64&gt;O$5,"OVER",
IF(AND(O$5&lt;=100,'Final Term'!O64&gt;100),"ERR",
IF(Info!$B$4="Non-board program",
IF(OR(AND(O$5&gt;0,O$5&gt;100),AND(O$5&gt;0,O$5&lt;100)),
VLOOKUP(FLOOR(('Final Term'!O64/O$5)*100,1),new_transmute,2,FALSE),
VLOOKUP('Final Term'!O64,new_transmute,2,FALSE)
),
IF(Info!$B$4="Board program",
IF(OR(AND(O$5&gt;0,O$5&gt;100),AND(O$5&gt;0,O$5&lt;100)),
VLOOKUP(FLOOR(('Final Term'!O64/O$5)*100,1),new_transmute,3,FALSE),
VLOOKUP('Final Term'!O64,new_transmute,3,FALSE)
),
IF(Info!$B$4="Board program (Medicine)",
IF(OR(AND(O$5&gt;0,O$5&gt;100),AND(O$5&gt;0,O$5&lt;100)),
VLOOKUP(FLOOR(('Final Term'!O64/O$5)*100,1),new_transmute,4,FALSE),
VLOOKUP('Final Term'!O64,new_transmute,4,FALSE)
),
""
)
)
)
)
)
)
)
)
))</f>
        <v/>
      </c>
      <c r="P64" s="73" t="str">
        <f>IF($B64="","",
IF(P$5="","",
IF('Final Term'!P64="",0,
IF(NOT(ISNUMBER('Final Term'!P64)),"NAN",
IF('Final Term'!P64&lt;0,"NEG",
IF('Final Term'!P64&gt;P$5,"OVER",
IF(AND(P$5&lt;=100,'Final Term'!P64&gt;100),"ERR",
IF(Info!$B$4="Non-board program",
IF(OR(AND(P$5&gt;0,P$5&gt;100),AND(P$5&gt;0,P$5&lt;100)),
VLOOKUP(FLOOR(('Final Term'!P64/P$5)*100,1),new_transmute,2,FALSE),
VLOOKUP('Final Term'!P64,new_transmute,2,FALSE)
),
IF(Info!$B$4="Board program",
IF(OR(AND(P$5&gt;0,P$5&gt;100),AND(P$5&gt;0,P$5&lt;100)),
VLOOKUP(FLOOR(('Final Term'!P64/P$5)*100,1),new_transmute,3,FALSE),
VLOOKUP('Final Term'!P64,new_transmute,3,FALSE)
),
IF(Info!$B$4="Board program (Medicine)",
IF(OR(AND(P$5&gt;0,P$5&gt;100),AND(P$5&gt;0,P$5&lt;100)),
VLOOKUP(FLOOR(('Final Term'!P64/P$5)*100,1),new_transmute,4,FALSE),
VLOOKUP('Final Term'!P64,new_transmute,4,FALSE)
),
""
)
)
)
)
)
)
)
)
))</f>
        <v/>
      </c>
      <c r="Q64" s="73" t="str">
        <f>IF($B64="","",
IF(Q$5="","",
IF('Final Term'!Q64="",0,
IF(NOT(ISNUMBER('Final Term'!Q64)),"NAN",
IF('Final Term'!Q64&lt;0,"NEG",
IF('Final Term'!Q64&gt;Q$5,"OVER",
IF(AND(Q$5&lt;=100,'Final Term'!Q64&gt;100),"ERR",
IF(Info!$B$4="Non-board program",
IF(OR(AND(Q$5&gt;0,Q$5&gt;100),AND(Q$5&gt;0,Q$5&lt;100)),
VLOOKUP(FLOOR(('Final Term'!Q64/Q$5)*100,1),new_transmute,2,FALSE),
VLOOKUP('Final Term'!Q64,new_transmute,2,FALSE)
),
IF(Info!$B$4="Board program",
IF(OR(AND(Q$5&gt;0,Q$5&gt;100),AND(Q$5&gt;0,Q$5&lt;100)),
VLOOKUP(FLOOR(('Final Term'!Q64/Q$5)*100,1),new_transmute,3,FALSE),
VLOOKUP('Final Term'!Q64,new_transmute,3,FALSE)
),
IF(Info!$B$4="Board program (Medicine)",
IF(OR(AND(Q$5&gt;0,Q$5&gt;100),AND(Q$5&gt;0,Q$5&lt;100)),
VLOOKUP(FLOOR(('Final Term'!Q64/Q$5)*100,1),new_transmute,4,FALSE),
VLOOKUP('Final Term'!Q64,new_transmute,4,FALSE)
),
""
)
)
)
)
)
)
)
)
))</f>
        <v/>
      </c>
      <c r="R64" s="73" t="str">
        <f>IF($B64="","",
IF(R$5="","",
IF('Final Term'!R64="",0,
IF(NOT(ISNUMBER('Final Term'!R64)),"NAN",
IF('Final Term'!R64&lt;0,"NEG",
IF('Final Term'!R64&gt;R$5,"OVER",
IF(AND(R$5&lt;=100,'Final Term'!R64&gt;100),"ERR",
IF(Info!$B$4="Non-board program",
IF(OR(AND(R$5&gt;0,R$5&gt;100),AND(R$5&gt;0,R$5&lt;100)),
VLOOKUP(FLOOR(('Final Term'!R64/R$5)*100,1),new_transmute,2,FALSE),
VLOOKUP('Final Term'!R64,new_transmute,2,FALSE)
),
IF(Info!$B$4="Board program",
IF(OR(AND(R$5&gt;0,R$5&gt;100),AND(R$5&gt;0,R$5&lt;100)),
VLOOKUP(FLOOR(('Final Term'!R64/R$5)*100,1),new_transmute,3,FALSE),
VLOOKUP('Final Term'!R64,new_transmute,3,FALSE)
),
IF(Info!$B$4="Board program (Medicine)",
IF(OR(AND(R$5&gt;0,R$5&gt;100),AND(R$5&gt;0,R$5&lt;100)),
VLOOKUP(FLOOR(('Final Term'!R64/R$5)*100,1),new_transmute,4,FALSE),
VLOOKUP('Final Term'!R64,new_transmute,4,FALSE)
),
""
)
)
)
)
)
)
)
)
))</f>
        <v/>
      </c>
      <c r="S64" s="115" t="str">
        <f t="shared" si="3"/>
        <v/>
      </c>
      <c r="T64" s="73" t="str">
        <f>IF($B64="","",
IF(T$5="","",
IF('Final Term'!T64="",0,
IF(NOT(ISNUMBER('Final Term'!T64)),"NAN",
IF('Final Term'!T64&lt;0,"NEG",
IF('Final Term'!T64&gt;T$5,"OVER",
IF(AND(T$5&lt;=100,'Final Term'!T64&gt;100),"ERR",
IF(Info!$B$4="Non-board program",
IF(OR(AND(T$5&gt;0,T$5&gt;100),AND(T$5&gt;0,T$5&lt;100)),
VLOOKUP(FLOOR(('Final Term'!T64/T$5)*100,1),new_transmute,2,FALSE),
VLOOKUP('Final Term'!T64,new_transmute,2,FALSE)
),
IF(Info!$B$4="Board program",
IF(OR(AND(T$5&gt;0,T$5&gt;100),AND(T$5&gt;0,T$5&lt;100)),
VLOOKUP(FLOOR(('Final Term'!T64/T$5)*100,1),new_transmute,3,FALSE),
VLOOKUP('Final Term'!T64,new_transmute,3,FALSE)
),
IF(Info!$B$4="Board program (Medicine)",
IF(OR(AND(T$5&gt;0,T$5&gt;100),AND(T$5&gt;0,T$5&lt;100)),
VLOOKUP(FLOOR(('Final Term'!T64/T$5)*100,1),new_transmute,4,FALSE),
VLOOKUP('Final Term'!T64,new_transmute,4,FALSE)
),
""
)
)
)
)
)
)
)
)
))</f>
        <v/>
      </c>
      <c r="U64" s="73" t="str">
        <f>IF($B64="","",
IF(U$5="","",
IF('Final Term'!U64="",0,
IF(NOT(ISNUMBER('Final Term'!U64)),"NAN",
IF('Final Term'!U64&lt;0,"NEG",
IF('Final Term'!U64&gt;U$5,"OVER",
IF(AND(U$5&lt;=100,'Final Term'!U64&gt;100),"ERR",
IF(Info!$B$4="Non-board program",
IF(OR(AND(U$5&gt;0,U$5&gt;100),AND(U$5&gt;0,U$5&lt;100)),
VLOOKUP(FLOOR(('Final Term'!U64/U$5)*100,1),new_transmute,2,FALSE),
VLOOKUP('Final Term'!U64,new_transmute,2,FALSE)
),
IF(Info!$B$4="Board program",
IF(OR(AND(U$5&gt;0,U$5&gt;100),AND(U$5&gt;0,U$5&lt;100)),
VLOOKUP(FLOOR(('Final Term'!U64/U$5)*100,1),new_transmute,3,FALSE),
VLOOKUP('Final Term'!U64,new_transmute,3,FALSE)
),
IF(Info!$B$4="Board program (Medicine)",
IF(OR(AND(U$5&gt;0,U$5&gt;100),AND(U$5&gt;0,U$5&lt;100)),
VLOOKUP(FLOOR(('Final Term'!U64/U$5)*100,1),new_transmute,4,FALSE),
VLOOKUP('Final Term'!U64,new_transmute,4,FALSE)
),
""
)
)
)
)
)
)
)
)
))</f>
        <v/>
      </c>
      <c r="V64" s="73" t="str">
        <f>IF($B64="","",
IF(V$5="","",
IF('Final Term'!V64="",0,
IF(NOT(ISNUMBER('Final Term'!V64)),"NAN",
IF('Final Term'!V64&lt;0,"NEG",
IF('Final Term'!V64&gt;V$5,"OVER",
IF(AND(V$5&lt;=100,'Final Term'!V64&gt;100),"ERR",
IF(Info!$B$4="Non-board program",
IF(OR(AND(V$5&gt;0,V$5&gt;100),AND(V$5&gt;0,V$5&lt;100)),
VLOOKUP(FLOOR(('Final Term'!V64/V$5)*100,1),new_transmute,2,FALSE),
VLOOKUP('Final Term'!V64,new_transmute,2,FALSE)
),
IF(Info!$B$4="Board program",
IF(OR(AND(V$5&gt;0,V$5&gt;100),AND(V$5&gt;0,V$5&lt;100)),
VLOOKUP(FLOOR(('Final Term'!V64/V$5)*100,1),new_transmute,3,FALSE),
VLOOKUP('Final Term'!V64,new_transmute,3,FALSE)
),
IF(Info!$B$4="Board program (Medicine)",
IF(OR(AND(V$5&gt;0,V$5&gt;100),AND(V$5&gt;0,V$5&lt;100)),
VLOOKUP(FLOOR(('Final Term'!V64/V$5)*100,1),new_transmute,4,FALSE),
VLOOKUP('Final Term'!V64,new_transmute,4,FALSE)
),
""
)
)
)
)
)
)
)
)
))</f>
        <v/>
      </c>
      <c r="W64" s="73" t="str">
        <f>IF($B64="","",
IF(W$5="","",
IF('Final Term'!W64="",0,
IF(NOT(ISNUMBER('Final Term'!W64)),"NAN",
IF('Final Term'!W64&lt;0,"NEG",
IF('Final Term'!W64&gt;W$5,"OVER",
IF(AND(W$5&lt;=100,'Final Term'!W64&gt;100),"ERR",
IF(Info!$B$4="Non-board program",
IF(OR(AND(W$5&gt;0,W$5&gt;100),AND(W$5&gt;0,W$5&lt;100)),
VLOOKUP(FLOOR(('Final Term'!W64/W$5)*100,1),new_transmute,2,FALSE),
VLOOKUP('Final Term'!W64,new_transmute,2,FALSE)
),
IF(Info!$B$4="Board program",
IF(OR(AND(W$5&gt;0,W$5&gt;100),AND(W$5&gt;0,W$5&lt;100)),
VLOOKUP(FLOOR(('Final Term'!W64/W$5)*100,1),new_transmute,3,FALSE),
VLOOKUP('Final Term'!W64,new_transmute,3,FALSE)
),
IF(Info!$B$4="Board program (Medicine)",
IF(OR(AND(W$5&gt;0,W$5&gt;100),AND(W$5&gt;0,W$5&lt;100)),
VLOOKUP(FLOOR(('Final Term'!W64/W$5)*100,1),new_transmute,4,FALSE),
VLOOKUP('Final Term'!W64,new_transmute,4,FALSE)
),
""
)
)
)
)
)
)
)
)
))</f>
        <v/>
      </c>
      <c r="X64" s="73" t="str">
        <f>IF($B64="","",
IF(X$5="","",
IF('Final Term'!X64="",0,
IF(NOT(ISNUMBER('Final Term'!X64)),"NAN",
IF('Final Term'!X64&lt;0,"NEG",
IF('Final Term'!X64&gt;X$5,"OVER",
IF(AND(X$5&lt;=100,'Final Term'!X64&gt;100),"ERR",
IF(Info!$B$4="Non-board program",
IF(OR(AND(X$5&gt;0,X$5&gt;100),AND(X$5&gt;0,X$5&lt;100)),
VLOOKUP(FLOOR(('Final Term'!X64/X$5)*100,1),new_transmute,2,FALSE),
VLOOKUP('Final Term'!X64,new_transmute,2,FALSE)
),
IF(Info!$B$4="Board program",
IF(OR(AND(X$5&gt;0,X$5&gt;100),AND(X$5&gt;0,X$5&lt;100)),
VLOOKUP(FLOOR(('Final Term'!X64/X$5)*100,1),new_transmute,3,FALSE),
VLOOKUP('Final Term'!X64,new_transmute,3,FALSE)
),
IF(Info!$B$4="Board program (Medicine)",
IF(OR(AND(X$5&gt;0,X$5&gt;100),AND(X$5&gt;0,X$5&lt;100)),
VLOOKUP(FLOOR(('Final Term'!X64/X$5)*100,1),new_transmute,4,FALSE),
VLOOKUP('Final Term'!X64,new_transmute,4,FALSE)
),
""
)
)
)
)
)
)
)
)
))</f>
        <v/>
      </c>
      <c r="Y64" s="112" t="str">
        <f t="shared" si="4"/>
        <v/>
      </c>
      <c r="Z64" s="73" t="str">
        <f>IF($B64="","",
IF(Z$5="","",
IF('Final Term'!Z64="",0,
IF(NOT(ISNUMBER('Final Term'!Z64)),"NAN",
IF('Final Term'!Z64&lt;0,"NEG",
IF('Final Term'!Z64&gt;Z$5,"OVER",
IF(AND(Z$5&lt;=100,'Final Term'!Z64&gt;100),"ERR",
IF(Info!$B$4="Non-board program",
IF(OR(AND(Z$5&gt;0,Z$5&gt;100),AND(Z$5&gt;0,Z$5&lt;100)),
VLOOKUP(FLOOR(('Final Term'!Z64/Z$5)*100,1),new_transmute,2,FALSE),
VLOOKUP('Final Term'!Z64,new_transmute,2,FALSE)
),
IF(Info!$B$4="Board program",
IF(OR(AND(Z$5&gt;0,Z$5&gt;100),AND(Z$5&gt;0,Z$5&lt;100)),
VLOOKUP(FLOOR(('Final Term'!Z64/Z$5)*100,1),new_transmute,3,FALSE),
VLOOKUP('Final Term'!Z64,new_transmute,3,FALSE)
),
IF(Info!$B$4="Board program (Medicine)",
IF(OR(AND(Z$5&gt;0,Z$5&gt;100),AND(Z$5&gt;0,Z$5&lt;100)),
VLOOKUP(FLOOR(('Final Term'!Z64/Z$5)*100,1),new_transmute,4,FALSE),
VLOOKUP('Final Term'!Z64,new_transmute,4,FALSE)
),
""
)
)
)
)
)
)
)
)
))</f>
        <v/>
      </c>
      <c r="AA64" s="73" t="str">
        <f>IF($B64="","",
IF(AA$5="","",
IF('Final Term'!AA64="",0,
IF(NOT(ISNUMBER('Final Term'!AA64)),"NAN",
IF('Final Term'!AA64&lt;0,"NEG",
IF('Final Term'!AA64&gt;AA$5,"OVER",
IF(AND(AA$5&lt;=100,'Final Term'!AA64&gt;100),"ERR",
IF(Info!$B$4="Non-board program",
IF(OR(AND(AA$5&gt;0,AA$5&gt;100),AND(AA$5&gt;0,AA$5&lt;100)),
VLOOKUP(FLOOR(('Final Term'!AA64/AA$5)*100,1),new_transmute,2,FALSE),
VLOOKUP('Final Term'!AA64,new_transmute,2,FALSE)
),
IF(Info!$B$4="Board program",
IF(OR(AND(AA$5&gt;0,AA$5&gt;100),AND(AA$5&gt;0,AA$5&lt;100)),
VLOOKUP(FLOOR(('Final Term'!AA64/AA$5)*100,1),new_transmute,3,FALSE),
VLOOKUP('Final Term'!AA64,new_transmute,3,FALSE)
),
IF(Info!$B$4="Board program (Medicine)",
IF(OR(AND(AA$5&gt;0,AA$5&gt;100),AND(AA$5&gt;0,AA$5&lt;100)),
VLOOKUP(FLOOR(('Final Term'!AA64/AA$5)*100,1),new_transmute,4,FALSE),
VLOOKUP('Final Term'!AA64,new_transmute,4,FALSE)
),
""
)
)
)
)
)
)
)
)
))</f>
        <v/>
      </c>
      <c r="AB64" s="73" t="str">
        <f>IF($B64="","",
IF(AB$5="","",
IF('Final Term'!AB64="",0,
IF(NOT(ISNUMBER('Final Term'!AB64)),"NAN",
IF('Final Term'!AB64&lt;0,"NEG",
IF('Final Term'!AB64&gt;AB$5,"OVER",
IF(AND(AB$5&lt;=100,'Final Term'!AB64&gt;100),"ERR",
IF(Info!$B$4="Non-board program",
IF(OR(AND(AB$5&gt;0,AB$5&gt;100),AND(AB$5&gt;0,AB$5&lt;100)),
VLOOKUP(FLOOR(('Final Term'!AB64/AB$5)*100,1),new_transmute,2,FALSE),
VLOOKUP('Final Term'!AB64,new_transmute,2,FALSE)
),
IF(Info!$B$4="Board program",
IF(OR(AND(AB$5&gt;0,AB$5&gt;100),AND(AB$5&gt;0,AB$5&lt;100)),
VLOOKUP(FLOOR(('Final Term'!AB64/AB$5)*100,1),new_transmute,3,FALSE),
VLOOKUP('Final Term'!AB64,new_transmute,3,FALSE)
),
IF(Info!$B$4="Board program (Medicine)",
IF(OR(AND(AB$5&gt;0,AB$5&gt;100),AND(AB$5&gt;0,AB$5&lt;100)),
VLOOKUP(FLOOR(('Final Term'!AB64/AB$5)*100,1),new_transmute,4,FALSE),
VLOOKUP('Final Term'!AB64,new_transmute,4,FALSE)
),
""
)
)
)
)
)
)
)
)
))</f>
        <v/>
      </c>
      <c r="AC64" s="73" t="str">
        <f>IF($B64="","",
IF(AC$5="","",
IF('Final Term'!AC64="",0,
IF(NOT(ISNUMBER('Final Term'!AC64)),"NAN",
IF('Final Term'!AC64&lt;0,"NEG",
IF('Final Term'!AC64&gt;AC$5,"OVER",
IF(AND(AC$5&lt;=100,'Final Term'!AC64&gt;100),"ERR",
IF(Info!$B$4="Non-board program",
IF(OR(AND(AC$5&gt;0,AC$5&gt;100),AND(AC$5&gt;0,AC$5&lt;100)),
VLOOKUP(FLOOR(('Final Term'!AC64/AC$5)*100,1),new_transmute,2,FALSE),
VLOOKUP('Final Term'!AC64,new_transmute,2,FALSE)
),
IF(Info!$B$4="Board program",
IF(OR(AND(AC$5&gt;0,AC$5&gt;100),AND(AC$5&gt;0,AC$5&lt;100)),
VLOOKUP(FLOOR(('Final Term'!AC64/AC$5)*100,1),new_transmute,3,FALSE),
VLOOKUP('Final Term'!AC64,new_transmute,3,FALSE)
),
IF(Info!$B$4="Board program (Medicine)",
IF(OR(AND(AC$5&gt;0,AC$5&gt;100),AND(AC$5&gt;0,AC$5&lt;100)),
VLOOKUP(FLOOR(('Final Term'!AC64/AC$5)*100,1),new_transmute,4,FALSE),
VLOOKUP('Final Term'!AC64,new_transmute,4,FALSE)
),
""
)
)
)
)
)
)
)
)
))</f>
        <v/>
      </c>
      <c r="AD64" s="73" t="str">
        <f>IF($B64="","",
IF(AD$5="","",
IF('Final Term'!AD64="",0,
IF(NOT(ISNUMBER('Final Term'!AD64)),"NAN",
IF('Final Term'!AD64&lt;0,"NEG",
IF('Final Term'!AD64&gt;AD$5,"OVER",
IF(AND(AD$5&lt;=100,'Final Term'!AD64&gt;100),"ERR",
IF(Info!$B$4="Non-board program",
IF(OR(AND(AD$5&gt;0,AD$5&gt;100),AND(AD$5&gt;0,AD$5&lt;100)),
VLOOKUP(FLOOR(('Final Term'!AD64/AD$5)*100,1),new_transmute,2,FALSE),
VLOOKUP('Final Term'!AD64,new_transmute,2,FALSE)
),
IF(Info!$B$4="Board program",
IF(OR(AND(AD$5&gt;0,AD$5&gt;100),AND(AD$5&gt;0,AD$5&lt;100)),
VLOOKUP(FLOOR(('Final Term'!AD64/AD$5)*100,1),new_transmute,3,FALSE),
VLOOKUP('Final Term'!AD64,new_transmute,3,FALSE)
),
IF(Info!$B$4="Board program (Medicine)",
IF(OR(AND(AD$5&gt;0,AD$5&gt;100),AND(AD$5&gt;0,AD$5&lt;100)),
VLOOKUP(FLOOR(('Final Term'!AD64/AD$5)*100,1),new_transmute,4,FALSE),
VLOOKUP('Final Term'!AD64,new_transmute,4,FALSE)
),
""
)
)
)
)
)
)
)
)
))</f>
        <v/>
      </c>
      <c r="AE64" s="58" t="str">
        <f t="shared" si="5"/>
        <v/>
      </c>
      <c r="AF64" s="73" t="str">
        <f>IF($B64="","",
IF(AF$5="","",
IF('Final Term'!AF64="",0,
IF(NOT(ISNUMBER('Final Term'!AF64)),"NAN",
IF('Final Term'!AF64&lt;0,"NEG",
IF('Final Term'!AF64&gt;AF$5,"OVER",
IF(AND(AF$5&lt;=100,'Final Term'!AF64&gt;100),"ERR",
IF(Info!$B$4="Non-board program",
IF(OR(AND(AF$5&gt;0,AF$5&gt;100),AND(AF$5&gt;0,AF$5&lt;100)),
VLOOKUP(FLOOR(('Final Term'!AF64/AF$5)*100,1),new_transmute,2,FALSE),
VLOOKUP('Final Term'!AF64,new_transmute,2,FALSE)
),
IF(Info!$B$4="Board program",
IF(OR(AND(AF$5&gt;0,AF$5&gt;100),AND(AF$5&gt;0,AF$5&lt;100)),
VLOOKUP(FLOOR(('Final Term'!AF64/AF$5)*100,1),new_transmute,3,FALSE),
VLOOKUP('Final Term'!AF64,new_transmute,3,FALSE)
),
IF(Info!$B$4="Board program (Medicine)",
IF(OR(AND(AF$5&gt;0,AF$5&gt;100),AND(AF$5&gt;0,AF$5&lt;100)),
VLOOKUP(FLOOR(('Final Term'!AF64/AF$5)*100,1),new_transmute,4,FALSE),
VLOOKUP('Final Term'!AF64,new_transmute,4,FALSE)
),
""
)
)
)
)
)
)
)
)
))</f>
        <v/>
      </c>
      <c r="AG64" s="73" t="str">
        <f>IF($B64="","",
IF(AG$5="","",
IF('Final Term'!AG64="",0,
IF(NOT(ISNUMBER('Final Term'!AG64)),"NAN",
IF('Final Term'!AG64&lt;0,"NEG",
IF('Final Term'!AG64&gt;AG$5,"OVER",
IF(AND(AG$5&lt;=100,'Final Term'!AG64&gt;100),"ERR",
IF(Info!$B$4="Non-board program",
IF(OR(AND(AG$5&gt;0,AG$5&gt;100),AND(AG$5&gt;0,AG$5&lt;100)),
VLOOKUP(FLOOR(('Final Term'!AG64/AG$5)*100,1),new_transmute,2,FALSE),
VLOOKUP('Final Term'!AG64,new_transmute,2,FALSE)
),
IF(Info!$B$4="Board program",
IF(OR(AND(AG$5&gt;0,AG$5&gt;100),AND(AG$5&gt;0,AG$5&lt;100)),
VLOOKUP(FLOOR(('Final Term'!AG64/AG$5)*100,1),new_transmute,3,FALSE),
VLOOKUP('Final Term'!AG64,new_transmute,3,FALSE)
),
IF(Info!$B$4="Board program (Medicine)",
IF(OR(AND(AG$5&gt;0,AG$5&gt;100),AND(AG$5&gt;0,AG$5&lt;100)),
VLOOKUP(FLOOR(('Final Term'!AG64/AG$5)*100,1),new_transmute,4,FALSE),
VLOOKUP('Final Term'!AG64,new_transmute,4,FALSE)
),
""
)
)
)
)
)
)
)
)
))</f>
        <v/>
      </c>
      <c r="AH64" s="73" t="str">
        <f>IF($B64="","",
IF(AH$5="","",
IF('Final Term'!AH64="",0,
IF(NOT(ISNUMBER('Final Term'!AH64)),"NAN",
IF('Final Term'!AH64&lt;0,"NEG",
IF('Final Term'!AH64&gt;AH$5,"OVER",
IF(AND(AH$5&lt;=100,'Final Term'!AH64&gt;100),"ERR",
IF(Info!$B$4="Non-board program",
IF(OR(AND(AH$5&gt;0,AH$5&gt;100),AND(AH$5&gt;0,AH$5&lt;100)),
VLOOKUP(FLOOR(('Final Term'!AH64/AH$5)*100,1),new_transmute,2,FALSE),
VLOOKUP('Final Term'!AH64,new_transmute,2,FALSE)
),
IF(Info!$B$4="Board program",
IF(OR(AND(AH$5&gt;0,AH$5&gt;100),AND(AH$5&gt;0,AH$5&lt;100)),
VLOOKUP(FLOOR(('Final Term'!AH64/AH$5)*100,1),new_transmute,3,FALSE),
VLOOKUP('Final Term'!AH64,new_transmute,3,FALSE)
),
IF(Info!$B$4="Board program (Medicine)",
IF(OR(AND(AH$5&gt;0,AH$5&gt;100),AND(AH$5&gt;0,AH$5&lt;100)),
VLOOKUP(FLOOR(('Final Term'!AH64/AH$5)*100,1),new_transmute,4,FALSE),
VLOOKUP('Final Term'!AH64,new_transmute,4,FALSE)
),
""
)
)
)
)
)
)
)
)
))</f>
        <v/>
      </c>
      <c r="AI64" s="73" t="str">
        <f>IF($B64="","",
IF(AI$5="","",
IF('Final Term'!AI64="",0,
IF(NOT(ISNUMBER('Final Term'!AI64)),"NAN",
IF('Final Term'!AI64&lt;0,"NEG",
IF('Final Term'!AI64&gt;AI$5,"OVER",
IF(AND(AI$5&lt;=100,'Final Term'!AI64&gt;100),"ERR",
IF(Info!$B$4="Non-board program",
IF(OR(AND(AI$5&gt;0,AI$5&gt;100),AND(AI$5&gt;0,AI$5&lt;100)),
VLOOKUP(FLOOR(('Final Term'!AI64/AI$5)*100,1),new_transmute,2,FALSE),
VLOOKUP('Final Term'!AI64,new_transmute,2,FALSE)
),
IF(Info!$B$4="Board program",
IF(OR(AND(AI$5&gt;0,AI$5&gt;100),AND(AI$5&gt;0,AI$5&lt;100)),
VLOOKUP(FLOOR(('Final Term'!AI64/AI$5)*100,1),new_transmute,3,FALSE),
VLOOKUP('Final Term'!AI64,new_transmute,3,FALSE)
),
IF(Info!$B$4="Board program (Medicine)",
IF(OR(AND(AI$5&gt;0,AI$5&gt;100),AND(AI$5&gt;0,AI$5&lt;100)),
VLOOKUP(FLOOR(('Final Term'!AI64/AI$5)*100,1),new_transmute,4,FALSE),
VLOOKUP('Final Term'!AI64,new_transmute,4,FALSE)
),
""
)
)
)
)
)
)
)
)
))</f>
        <v/>
      </c>
      <c r="AJ64" s="73" t="str">
        <f>IF($B64="","",
IF(AJ$5="","",
IF('Final Term'!AJ64="",0,
IF(NOT(ISNUMBER('Final Term'!AJ64)),"NAN",
IF('Final Term'!AJ64&lt;0,"NEG",
IF('Final Term'!AJ64&gt;AJ$5,"OVER",
IF(AND(AJ$5&lt;=100,'Final Term'!AJ64&gt;100),"ERR",
IF(Info!$B$4="Non-board program",
IF(OR(AND(AJ$5&gt;0,AJ$5&gt;100),AND(AJ$5&gt;0,AJ$5&lt;100)),
VLOOKUP(FLOOR(('Final Term'!AJ64/AJ$5)*100,1),new_transmute,2,FALSE),
VLOOKUP('Final Term'!AJ64,new_transmute,2,FALSE)
),
IF(Info!$B$4="Board program",
IF(OR(AND(AJ$5&gt;0,AJ$5&gt;100),AND(AJ$5&gt;0,AJ$5&lt;100)),
VLOOKUP(FLOOR(('Final Term'!AJ64/AJ$5)*100,1),new_transmute,3,FALSE),
VLOOKUP('Final Term'!AJ64,new_transmute,3,FALSE)
),
IF(Info!$B$4="Board program (Medicine)",
IF(OR(AND(AJ$5&gt;0,AJ$5&gt;100),AND(AJ$5&gt;0,AJ$5&lt;100)),
VLOOKUP(FLOOR(('Final Term'!AJ64/AJ$5)*100,1),new_transmute,4,FALSE),
VLOOKUP('Final Term'!AJ64,new_transmute,4,FALSE)
),
""
)
)
)
)
)
)
)
)
))</f>
        <v/>
      </c>
      <c r="AK64" s="59" t="str">
        <f t="shared" si="6"/>
        <v/>
      </c>
      <c r="AL64" s="60" t="str">
        <f>IF(B64="", "",
    IF(OR(M64="OVER", S64="OVER", Y64="OVER", AE64="OVER", AK64="OVER"),
        "OVER",
        IF(Info!$B$4="Non-board program",
            VLOOKUP(IFERROR(FLOOR(SUM((M64*$M$4), (S64*$S$4), (Y64*$Y$4), (AE64*$AE$4), (AK64*$AK$4)) * (100 / 60), 1), 0), new_transmute, 2, FALSE),
            IF(Info!$B$4="Board program",
                VLOOKUP(IFERROR(FLOOR(SUM((M64*$M$4), (S64*$S$4), (Y64*$Y$4), (AE64*$AE$4), (AK64*$AK$4)) * (100 / 60), 1), 0), new_transmute, 3, FALSE),
                IF(Info!$B$4="Board program (Medicine)",
                    VLOOKUP(IFERROR(FLOOR(SUM((M64*$M$4), (S64*$S$4), (Y64*$Y$4), (AE64*$AE$4), (AK64*$AK$4)) * (100 / 60), 1), 0), new_transmute, 4, FALSE),
                    ""
                )
            )
        )
    )
)</f>
        <v/>
      </c>
      <c r="AM64" s="73" t="str">
        <f>IF($B64="","",
IF(AM$5="","",
IF('Final Term'!AM64="",0,
IF(NOT(ISNUMBER('Final Term'!AM64)),"NAN",
IF('Final Term'!AM64&lt;0,"NEG",
IF('Final Term'!AM64&gt;AM$5,"OVER",
IF(AND(AM$5&lt;=100,'Final Term'!AM64&gt;100),"ERR",
IF(Info!$B$4="Non-board program",
IF(OR(AND(AM$5&gt;0,AM$5&gt;100),AND(AM$5&gt;0,AM$5&lt;100)),
VLOOKUP(FLOOR(('Final Term'!AM64/AM$5)*100,1),new_transmute,2,FALSE),
VLOOKUP('Final Term'!AM64,new_transmute,2,FALSE)
),
IF(Info!$B$4="Board program",
IF(OR(AND(AM$5&gt;0,AM$5&gt;100),AND(AM$5&gt;0,AM$5&lt;100)),
VLOOKUP(FLOOR(('Final Term'!AM64/AM$5)*100,1),new_transmute,3,FALSE),
VLOOKUP('Final Term'!AM64,new_transmute,3,FALSE)
),
IF(Info!$B$4="Board program (Medicine)",
IF(OR(AND(AM$5&gt;0,AM$5&gt;100),AND(AM$5&gt;0,AM$5&lt;100)),
VLOOKUP(FLOOR(('Final Term'!AM64/AM$5)*100,1),new_transmute,4,FALSE),
VLOOKUP('Final Term'!AM64,new_transmute,4,FALSE)
),
""
)
)
)
)
)
)
)
)
))</f>
        <v/>
      </c>
      <c r="AN64" s="73" t="str">
        <f>IF($B64="","",
IF(AN$5="","",
IF('Final Term'!AN64="",0,
IF(NOT(ISNUMBER('Final Term'!AN64)),"NAN",
IF('Final Term'!AN64&lt;0,"NEG",
IF('Final Term'!AN64&gt;AN$5,"OVER",
IF(AND(AN$5&lt;=100,'Final Term'!AN64&gt;100),"ERR",
IF(Info!$B$4="Non-board program",
IF(OR(AND(AN$5&gt;0,AN$5&gt;100),AND(AN$5&gt;0,AN$5&lt;100)),
VLOOKUP(FLOOR(('Final Term'!AN64/AN$5)*100,1),new_transmute,2,FALSE),
VLOOKUP('Final Term'!AN64,new_transmute,2,FALSE)
),
IF(Info!$B$4="Board program",
IF(OR(AND(AN$5&gt;0,AN$5&gt;100),AND(AN$5&gt;0,AN$5&lt;100)),
VLOOKUP(FLOOR(('Final Term'!AN64/AN$5)*100,1),new_transmute,3,FALSE),
VLOOKUP('Final Term'!AN64,new_transmute,3,FALSE)
),
IF(Info!$B$4="Board program (Medicine)",
IF(OR(AND(AN$5&gt;0,AN$5&gt;100),AND(AN$5&gt;0,AN$5&lt;100)),
VLOOKUP(FLOOR(('Final Term'!AN64/AN$5)*100,1),new_transmute,4,FALSE),
VLOOKUP('Final Term'!AN64,new_transmute,4,FALSE)
),
""
)
)
)
)
)
)
)
)
))</f>
        <v/>
      </c>
      <c r="AO64" s="73" t="str">
        <f>IF($B64="","",
IF(AO$5="","",
IF('Final Term'!AO64="",0,
IF(NOT(ISNUMBER('Final Term'!AO64)),"NAN",
IF('Final Term'!AO64&lt;0,"NEG",
IF('Final Term'!AO64&gt;AO$5,"OVER",
IF(AND(AO$5&lt;=100,'Final Term'!AO64&gt;100),"ERR",
IF(Info!$B$4="Non-board program",
IF(OR(AND(AO$5&gt;0,AO$5&gt;100),AND(AO$5&gt;0,AO$5&lt;100)),
VLOOKUP(FLOOR(('Final Term'!AO64/AO$5)*100,1),new_transmute,2,FALSE),
VLOOKUP('Final Term'!AO64,new_transmute,2,FALSE)
),
IF(Info!$B$4="Board program",
IF(OR(AND(AO$5&gt;0,AO$5&gt;100),AND(AO$5&gt;0,AO$5&lt;100)),
VLOOKUP(FLOOR(('Final Term'!AO64/AO$5)*100,1),new_transmute,3,FALSE),
VLOOKUP('Final Term'!AO64,new_transmute,3,FALSE)
),
IF(Info!$B$4="Board program (Medicine)",
IF(OR(AND(AO$5&gt;0,AO$5&gt;100),AND(AO$5&gt;0,AO$5&lt;100)),
VLOOKUP(FLOOR(('Final Term'!AO64/AO$5)*100,1),new_transmute,4,FALSE),
VLOOKUP('Final Term'!AO64,new_transmute,4,FALSE)
),
""
)
)
)
)
)
)
)
)
))</f>
        <v/>
      </c>
      <c r="AP64" s="73" t="str">
        <f>IF($B64="","",
IF(AP$5="","",
IF('Final Term'!AP64="",0,
IF(NOT(ISNUMBER('Final Term'!AP64)),"NAN",
IF('Final Term'!AP64&lt;0,"NEG",
IF('Final Term'!AP64&gt;AP$5,"OVER",
IF(AND(AP$5&lt;=100,'Final Term'!AP64&gt;100),"ERR",
IF(Info!$B$4="Non-board program",
IF(OR(AND(AP$5&gt;0,AP$5&gt;100),AND(AP$5&gt;0,AP$5&lt;100)),
VLOOKUP(FLOOR(('Final Term'!AP64/AP$5)*100,1),new_transmute,2,FALSE),
VLOOKUP('Final Term'!AP64,new_transmute,2,FALSE)
),
IF(Info!$B$4="Board program",
IF(OR(AND(AP$5&gt;0,AP$5&gt;100),AND(AP$5&gt;0,AP$5&lt;100)),
VLOOKUP(FLOOR(('Final Term'!AP64/AP$5)*100,1),new_transmute,3,FALSE),
VLOOKUP('Final Term'!AP64,new_transmute,3,FALSE)
),
IF(Info!$B$4="Board program (Medicine)",
IF(OR(AND(AP$5&gt;0,AP$5&gt;100),AND(AP$5&gt;0,AP$5&lt;100)),
VLOOKUP(FLOOR(('Final Term'!AP64/AP$5)*100,1),new_transmute,4,FALSE),
VLOOKUP('Final Term'!AP64,new_transmute,4,FALSE)
),
""
)
)
)
)
)
)
)
)
))</f>
        <v/>
      </c>
      <c r="AQ64" s="61" t="str">
        <f t="shared" si="7"/>
        <v/>
      </c>
      <c r="AR64" s="48" t="str">
        <f>IF('Final Term'!AR64="","",'Final Term'!AR64)</f>
        <v/>
      </c>
      <c r="AS64" s="165" t="str">
        <f t="shared" si="8"/>
        <v/>
      </c>
      <c r="AT64" s="14" t="str">
        <f t="shared" si="9"/>
        <v/>
      </c>
      <c r="AU64" s="13" t="str">
        <f>IF(B64="","",VLOOKUP(AT64,'New Grade Equivalent'!$B$3:$C$47,2,FALSE))</f>
        <v/>
      </c>
    </row>
    <row r="65" spans="1:47" x14ac:dyDescent="0.25">
      <c r="A65" s="8">
        <v>60</v>
      </c>
      <c r="B65" s="2" t="str">
        <f>IF('Student List'!C69="","",UPPER(LEFT('Student List'!C69,FIND(",",'Student List'!C69)-1)))</f>
        <v/>
      </c>
      <c r="C65" s="12" t="str">
        <f>IF('Student List'!C69="","",PROPER(MID('Student List'!C69, FIND(",", 'Student List'!C69) + 2, LEN('Student List'!C69) - FIND(",", 'Student List'!C69) - 1)))</f>
        <v/>
      </c>
      <c r="D65" s="127" t="str">
        <f>IF('Final Term'!D65="","",'Final Term'!D65)</f>
        <v/>
      </c>
      <c r="E65" s="8" t="str">
        <f>IF(MidCom!E65="FA", "FA",
    IF(MidCom!E65="DRP", "DRP",
        IF(MidCom!E65="WF", "WF",
            IF(D65="Yes", "INC",
               IF((SUM('MT Attendance'!AW63) / 3 + SUM('MT Attendance'!AY63) + SUM('FT Attendance'!AW63) / 3 + SUM('FT Attendance'!AY63)) &gt;= 0.2 * (SUMPRODUCT(--(ISTEXT('MT Attendance'!$C$2:$AU$2))) + SUMPRODUCT(--(ISTEXT('FT Attendance'!$C$2:$AU$2)))), "FA",
                   MidCom!E65
                )
            )
        )
    )
)</f>
        <v/>
      </c>
      <c r="F65" s="73" t="str">
        <f>IF($B65="","",
IF(F$5="","",
IF('Final Term'!F65="",0,
IF(NOT(ISNUMBER('Final Term'!F65)),"NAN",
IF('Final Term'!F65&lt;0,"NEG",
IF('Final Term'!F65&gt;F$5,"OVER",
IF(AND(F$5&lt;=100,'Final Term'!F65&gt;100),"ERR",
IF(Info!$B$4="Non-board program",
IF(OR(AND(F$5&gt;0,F$5&gt;100),AND(F$5&gt;0,F$5&lt;100)),
VLOOKUP(FLOOR(('Final Term'!F65/F$5)*100,1),new_transmute,2,FALSE),
VLOOKUP('Final Term'!F65,new_transmute,2,FALSE)
),
IF(Info!$B$4="Board program",
IF(OR(AND(F$5&gt;0,F$5&gt;100),AND(F$5&gt;0,F$5&lt;100)),
VLOOKUP(FLOOR(('Final Term'!F65/F$5)*100,1),new_transmute,3,FALSE),
VLOOKUP('Final Term'!F65,new_transmute,3,FALSE)
),
IF(Info!$B$4="Board program (Medicine)",
IF(OR(AND(F$5&gt;0,F$5&gt;100),AND(F$5&gt;0,F$5&lt;100)),
VLOOKUP(FLOOR(('Final Term'!F65/F$5)*100,1),new_transmute,4,FALSE),
VLOOKUP('Final Term'!F65,new_transmute,4,FALSE)
),
""
)
)
)
)
)
)
)
)
))</f>
        <v/>
      </c>
      <c r="G65" s="57" t="str">
        <f t="shared" si="1"/>
        <v/>
      </c>
      <c r="H65" s="73" t="str">
        <f>IF($B65="","",
IF(H$5="","",
IF('Final Term'!H65="",0,
IF(NOT(ISNUMBER('Final Term'!H65)),"NAN",
IF('Final Term'!H65&lt;0,"NEG",
IF('Final Term'!H65&gt;H$5,"OVER",
IF(AND(H$5&lt;=100,'Final Term'!H65&gt;100),"ERR",
IF(Info!$B$4="Non-board program",
IF(OR(AND(H$5&gt;0,H$5&gt;100),AND(H$5&gt;0,H$5&lt;100)),
VLOOKUP(FLOOR(('Final Term'!H65/H$5)*100,1),new_transmute,2,FALSE),
VLOOKUP('Final Term'!H65,new_transmute,2,FALSE)
),
IF(Info!$B$4="Board program",
IF(OR(AND(H$5&gt;0,H$5&gt;100),AND(H$5&gt;0,H$5&lt;100)),
VLOOKUP(FLOOR(('Final Term'!H65/H$5)*100,1),new_transmute,3,FALSE),
VLOOKUP('Final Term'!H65,new_transmute,3,FALSE)
),
IF(Info!$B$4="Board program (Medicine)",
IF(OR(AND(H$5&gt;0,H$5&gt;100),AND(H$5&gt;0,H$5&lt;100)),
VLOOKUP(FLOOR(('Final Term'!H65/H$5)*100,1),new_transmute,4,FALSE),
VLOOKUP('Final Term'!H65,new_transmute,4,FALSE)
),
""
)
)
)
)
)
)
)
)
))</f>
        <v/>
      </c>
      <c r="I65" s="73" t="str">
        <f>IF($B65="","",
IF(I$5="","",
IF('Final Term'!I65="",0,
IF(NOT(ISNUMBER('Final Term'!I65)),"NAN",
IF('Final Term'!I65&lt;0,"NEG",
IF('Final Term'!I65&gt;I$5,"OVER",
IF(AND(I$5&lt;=100,'Final Term'!I65&gt;100),"ERR",
IF(Info!$B$4="Non-board program",
IF(OR(AND(I$5&gt;0,I$5&gt;100),AND(I$5&gt;0,I$5&lt;100)),
VLOOKUP(FLOOR(('Final Term'!I65/I$5)*100,1),new_transmute,2,FALSE),
VLOOKUP('Final Term'!I65,new_transmute,2,FALSE)
),
IF(Info!$B$4="Board program",
IF(OR(AND(I$5&gt;0,I$5&gt;100),AND(I$5&gt;0,I$5&lt;100)),
VLOOKUP(FLOOR(('Final Term'!I65/I$5)*100,1),new_transmute,3,FALSE),
VLOOKUP('Final Term'!I65,new_transmute,3,FALSE)
),
IF(Info!$B$4="Board program (Medicine)",
IF(OR(AND(I$5&gt;0,I$5&gt;100),AND(I$5&gt;0,I$5&lt;100)),
VLOOKUP(FLOOR(('Final Term'!I65/I$5)*100,1),new_transmute,4,FALSE),
VLOOKUP('Final Term'!I65,new_transmute,4,FALSE)
),
""
)
)
)
)
)
)
)
)
))</f>
        <v/>
      </c>
      <c r="J65" s="73" t="str">
        <f>IF($B65="","",
IF(J$5="","",
IF('Final Term'!J65="",0,
IF(NOT(ISNUMBER('Final Term'!J65)),"NAN",
IF('Final Term'!J65&lt;0,"NEG",
IF('Final Term'!J65&gt;J$5,"OVER",
IF(AND(J$5&lt;=100,'Final Term'!J65&gt;100),"ERR",
IF(Info!$B$4="Non-board program",
IF(OR(AND(J$5&gt;0,J$5&gt;100),AND(J$5&gt;0,J$5&lt;100)),
VLOOKUP(FLOOR(('Final Term'!J65/J$5)*100,1),new_transmute,2,FALSE),
VLOOKUP('Final Term'!J65,new_transmute,2,FALSE)
),
IF(Info!$B$4="Board program",
IF(OR(AND(J$5&gt;0,J$5&gt;100),AND(J$5&gt;0,J$5&lt;100)),
VLOOKUP(FLOOR(('Final Term'!J65/J$5)*100,1),new_transmute,3,FALSE),
VLOOKUP('Final Term'!J65,new_transmute,3,FALSE)
),
IF(Info!$B$4="Board program (Medicine)",
IF(OR(AND(J$5&gt;0,J$5&gt;100),AND(J$5&gt;0,J$5&lt;100)),
VLOOKUP(FLOOR(('Final Term'!J65/J$5)*100,1),new_transmute,4,FALSE),
VLOOKUP('Final Term'!J65,new_transmute,4,FALSE)
),
""
)
)
)
)
)
)
)
)
))</f>
        <v/>
      </c>
      <c r="K65" s="73" t="str">
        <f>IF($B65="","",
IF(K$5="","",
IF('Final Term'!K65="",0,
IF(NOT(ISNUMBER('Final Term'!K65)),"NAN",
IF('Final Term'!K65&lt;0,"NEG",
IF('Final Term'!K65&gt;K$5,"OVER",
IF(AND(K$5&lt;=100,'Final Term'!K65&gt;100),"ERR",
IF(Info!$B$4="Non-board program",
IF(OR(AND(K$5&gt;0,K$5&gt;100),AND(K$5&gt;0,K$5&lt;100)),
VLOOKUP(FLOOR(('Final Term'!K65/K$5)*100,1),new_transmute,2,FALSE),
VLOOKUP('Final Term'!K65,new_transmute,2,FALSE)
),
IF(Info!$B$4="Board program",
IF(OR(AND(K$5&gt;0,K$5&gt;100),AND(K$5&gt;0,K$5&lt;100)),
VLOOKUP(FLOOR(('Final Term'!K65/K$5)*100,1),new_transmute,3,FALSE),
VLOOKUP('Final Term'!K65,new_transmute,3,FALSE)
),
IF(Info!$B$4="Board program (Medicine)",
IF(OR(AND(K$5&gt;0,K$5&gt;100),AND(K$5&gt;0,K$5&lt;100)),
VLOOKUP(FLOOR(('Final Term'!K65/K$5)*100,1),new_transmute,4,FALSE),
VLOOKUP('Final Term'!K65,new_transmute,4,FALSE)
),
""
)
)
)
)
)
)
)
)
))</f>
        <v/>
      </c>
      <c r="L65" s="73" t="str">
        <f>IF($B65="","",
IF(L$5="","",
IF('Final Term'!L65="",0,
IF(NOT(ISNUMBER('Final Term'!L65)),"NAN",
IF('Final Term'!L65&lt;0,"NEG",
IF('Final Term'!L65&gt;L$5,"OVER",
IF(AND(L$5&lt;=100,'Final Term'!L65&gt;100),"ERR",
IF(Info!$B$4="Non-board program",
IF(OR(AND(L$5&gt;0,L$5&gt;100),AND(L$5&gt;0,L$5&lt;100)),
VLOOKUP(FLOOR(('Final Term'!L65/L$5)*100,1),new_transmute,2,FALSE),
VLOOKUP('Final Term'!L65,new_transmute,2,FALSE)
),
IF(Info!$B$4="Board program",
IF(OR(AND(L$5&gt;0,L$5&gt;100),AND(L$5&gt;0,L$5&lt;100)),
VLOOKUP(FLOOR(('Final Term'!L65/L$5)*100,1),new_transmute,3,FALSE),
VLOOKUP('Final Term'!L65,new_transmute,3,FALSE)
),
IF(Info!$B$4="Board program (Medicine)",
IF(OR(AND(L$5&gt;0,L$5&gt;100),AND(L$5&gt;0,L$5&lt;100)),
VLOOKUP(FLOOR(('Final Term'!L65/L$5)*100,1),new_transmute,4,FALSE),
VLOOKUP('Final Term'!L65,new_transmute,4,FALSE)
),
""
)
)
)
)
)
)
)
)
))</f>
        <v/>
      </c>
      <c r="M65" s="111" t="str">
        <f t="shared" si="2"/>
        <v/>
      </c>
      <c r="N65" s="73" t="str">
        <f>IF($B65="","",
IF(N$5="","",
IF('Final Term'!N65="",0,
IF(NOT(ISNUMBER('Final Term'!N65)),"NAN",
IF('Final Term'!N65&lt;0,"NEG",
IF('Final Term'!N65&gt;N$5,"OVER",
IF(AND(N$5&lt;=100,'Final Term'!N65&gt;100),"ERR",
IF(Info!$B$4="Non-board program",
IF(OR(AND(N$5&gt;0,N$5&gt;100),AND(N$5&gt;0,N$5&lt;100)),
VLOOKUP(FLOOR(('Final Term'!N65/N$5)*100,1),new_transmute,2,FALSE),
VLOOKUP('Final Term'!N65,new_transmute,2,FALSE)
),
IF(Info!$B$4="Board program",
IF(OR(AND(N$5&gt;0,N$5&gt;100),AND(N$5&gt;0,N$5&lt;100)),
VLOOKUP(FLOOR(('Final Term'!N65/N$5)*100,1),new_transmute,3,FALSE),
VLOOKUP('Final Term'!N65,new_transmute,3,FALSE)
),
IF(Info!$B$4="Board program (Medicine)",
IF(OR(AND(N$5&gt;0,N$5&gt;100),AND(N$5&gt;0,N$5&lt;100)),
VLOOKUP(FLOOR(('Final Term'!N65/N$5)*100,1),new_transmute,4,FALSE),
VLOOKUP('Final Term'!N65,new_transmute,4,FALSE)
),
""
)
)
)
)
)
)
)
)
))</f>
        <v/>
      </c>
      <c r="O65" s="73" t="str">
        <f>IF($B65="","",
IF(O$5="","",
IF('Final Term'!O65="",0,
IF(NOT(ISNUMBER('Final Term'!O65)),"NAN",
IF('Final Term'!O65&lt;0,"NEG",
IF('Final Term'!O65&gt;O$5,"OVER",
IF(AND(O$5&lt;=100,'Final Term'!O65&gt;100),"ERR",
IF(Info!$B$4="Non-board program",
IF(OR(AND(O$5&gt;0,O$5&gt;100),AND(O$5&gt;0,O$5&lt;100)),
VLOOKUP(FLOOR(('Final Term'!O65/O$5)*100,1),new_transmute,2,FALSE),
VLOOKUP('Final Term'!O65,new_transmute,2,FALSE)
),
IF(Info!$B$4="Board program",
IF(OR(AND(O$5&gt;0,O$5&gt;100),AND(O$5&gt;0,O$5&lt;100)),
VLOOKUP(FLOOR(('Final Term'!O65/O$5)*100,1),new_transmute,3,FALSE),
VLOOKUP('Final Term'!O65,new_transmute,3,FALSE)
),
IF(Info!$B$4="Board program (Medicine)",
IF(OR(AND(O$5&gt;0,O$5&gt;100),AND(O$5&gt;0,O$5&lt;100)),
VLOOKUP(FLOOR(('Final Term'!O65/O$5)*100,1),new_transmute,4,FALSE),
VLOOKUP('Final Term'!O65,new_transmute,4,FALSE)
),
""
)
)
)
)
)
)
)
)
))</f>
        <v/>
      </c>
      <c r="P65" s="73" t="str">
        <f>IF($B65="","",
IF(P$5="","",
IF('Final Term'!P65="",0,
IF(NOT(ISNUMBER('Final Term'!P65)),"NAN",
IF('Final Term'!P65&lt;0,"NEG",
IF('Final Term'!P65&gt;P$5,"OVER",
IF(AND(P$5&lt;=100,'Final Term'!P65&gt;100),"ERR",
IF(Info!$B$4="Non-board program",
IF(OR(AND(P$5&gt;0,P$5&gt;100),AND(P$5&gt;0,P$5&lt;100)),
VLOOKUP(FLOOR(('Final Term'!P65/P$5)*100,1),new_transmute,2,FALSE),
VLOOKUP('Final Term'!P65,new_transmute,2,FALSE)
),
IF(Info!$B$4="Board program",
IF(OR(AND(P$5&gt;0,P$5&gt;100),AND(P$5&gt;0,P$5&lt;100)),
VLOOKUP(FLOOR(('Final Term'!P65/P$5)*100,1),new_transmute,3,FALSE),
VLOOKUP('Final Term'!P65,new_transmute,3,FALSE)
),
IF(Info!$B$4="Board program (Medicine)",
IF(OR(AND(P$5&gt;0,P$5&gt;100),AND(P$5&gt;0,P$5&lt;100)),
VLOOKUP(FLOOR(('Final Term'!P65/P$5)*100,1),new_transmute,4,FALSE),
VLOOKUP('Final Term'!P65,new_transmute,4,FALSE)
),
""
)
)
)
)
)
)
)
)
))</f>
        <v/>
      </c>
      <c r="Q65" s="73" t="str">
        <f>IF($B65="","",
IF(Q$5="","",
IF('Final Term'!Q65="",0,
IF(NOT(ISNUMBER('Final Term'!Q65)),"NAN",
IF('Final Term'!Q65&lt;0,"NEG",
IF('Final Term'!Q65&gt;Q$5,"OVER",
IF(AND(Q$5&lt;=100,'Final Term'!Q65&gt;100),"ERR",
IF(Info!$B$4="Non-board program",
IF(OR(AND(Q$5&gt;0,Q$5&gt;100),AND(Q$5&gt;0,Q$5&lt;100)),
VLOOKUP(FLOOR(('Final Term'!Q65/Q$5)*100,1),new_transmute,2,FALSE),
VLOOKUP('Final Term'!Q65,new_transmute,2,FALSE)
),
IF(Info!$B$4="Board program",
IF(OR(AND(Q$5&gt;0,Q$5&gt;100),AND(Q$5&gt;0,Q$5&lt;100)),
VLOOKUP(FLOOR(('Final Term'!Q65/Q$5)*100,1),new_transmute,3,FALSE),
VLOOKUP('Final Term'!Q65,new_transmute,3,FALSE)
),
IF(Info!$B$4="Board program (Medicine)",
IF(OR(AND(Q$5&gt;0,Q$5&gt;100),AND(Q$5&gt;0,Q$5&lt;100)),
VLOOKUP(FLOOR(('Final Term'!Q65/Q$5)*100,1),new_transmute,4,FALSE),
VLOOKUP('Final Term'!Q65,new_transmute,4,FALSE)
),
""
)
)
)
)
)
)
)
)
))</f>
        <v/>
      </c>
      <c r="R65" s="73" t="str">
        <f>IF($B65="","",
IF(R$5="","",
IF('Final Term'!R65="",0,
IF(NOT(ISNUMBER('Final Term'!R65)),"NAN",
IF('Final Term'!R65&lt;0,"NEG",
IF('Final Term'!R65&gt;R$5,"OVER",
IF(AND(R$5&lt;=100,'Final Term'!R65&gt;100),"ERR",
IF(Info!$B$4="Non-board program",
IF(OR(AND(R$5&gt;0,R$5&gt;100),AND(R$5&gt;0,R$5&lt;100)),
VLOOKUP(FLOOR(('Final Term'!R65/R$5)*100,1),new_transmute,2,FALSE),
VLOOKUP('Final Term'!R65,new_transmute,2,FALSE)
),
IF(Info!$B$4="Board program",
IF(OR(AND(R$5&gt;0,R$5&gt;100),AND(R$5&gt;0,R$5&lt;100)),
VLOOKUP(FLOOR(('Final Term'!R65/R$5)*100,1),new_transmute,3,FALSE),
VLOOKUP('Final Term'!R65,new_transmute,3,FALSE)
),
IF(Info!$B$4="Board program (Medicine)",
IF(OR(AND(R$5&gt;0,R$5&gt;100),AND(R$5&gt;0,R$5&lt;100)),
VLOOKUP(FLOOR(('Final Term'!R65/R$5)*100,1),new_transmute,4,FALSE),
VLOOKUP('Final Term'!R65,new_transmute,4,FALSE)
),
""
)
)
)
)
)
)
)
)
))</f>
        <v/>
      </c>
      <c r="S65" s="115" t="str">
        <f t="shared" si="3"/>
        <v/>
      </c>
      <c r="T65" s="73" t="str">
        <f>IF($B65="","",
IF(T$5="","",
IF('Final Term'!T65="",0,
IF(NOT(ISNUMBER('Final Term'!T65)),"NAN",
IF('Final Term'!T65&lt;0,"NEG",
IF('Final Term'!T65&gt;T$5,"OVER",
IF(AND(T$5&lt;=100,'Final Term'!T65&gt;100),"ERR",
IF(Info!$B$4="Non-board program",
IF(OR(AND(T$5&gt;0,T$5&gt;100),AND(T$5&gt;0,T$5&lt;100)),
VLOOKUP(FLOOR(('Final Term'!T65/T$5)*100,1),new_transmute,2,FALSE),
VLOOKUP('Final Term'!T65,new_transmute,2,FALSE)
),
IF(Info!$B$4="Board program",
IF(OR(AND(T$5&gt;0,T$5&gt;100),AND(T$5&gt;0,T$5&lt;100)),
VLOOKUP(FLOOR(('Final Term'!T65/T$5)*100,1),new_transmute,3,FALSE),
VLOOKUP('Final Term'!T65,new_transmute,3,FALSE)
),
IF(Info!$B$4="Board program (Medicine)",
IF(OR(AND(T$5&gt;0,T$5&gt;100),AND(T$5&gt;0,T$5&lt;100)),
VLOOKUP(FLOOR(('Final Term'!T65/T$5)*100,1),new_transmute,4,FALSE),
VLOOKUP('Final Term'!T65,new_transmute,4,FALSE)
),
""
)
)
)
)
)
)
)
)
))</f>
        <v/>
      </c>
      <c r="U65" s="73" t="str">
        <f>IF($B65="","",
IF(U$5="","",
IF('Final Term'!U65="",0,
IF(NOT(ISNUMBER('Final Term'!U65)),"NAN",
IF('Final Term'!U65&lt;0,"NEG",
IF('Final Term'!U65&gt;U$5,"OVER",
IF(AND(U$5&lt;=100,'Final Term'!U65&gt;100),"ERR",
IF(Info!$B$4="Non-board program",
IF(OR(AND(U$5&gt;0,U$5&gt;100),AND(U$5&gt;0,U$5&lt;100)),
VLOOKUP(FLOOR(('Final Term'!U65/U$5)*100,1),new_transmute,2,FALSE),
VLOOKUP('Final Term'!U65,new_transmute,2,FALSE)
),
IF(Info!$B$4="Board program",
IF(OR(AND(U$5&gt;0,U$5&gt;100),AND(U$5&gt;0,U$5&lt;100)),
VLOOKUP(FLOOR(('Final Term'!U65/U$5)*100,1),new_transmute,3,FALSE),
VLOOKUP('Final Term'!U65,new_transmute,3,FALSE)
),
IF(Info!$B$4="Board program (Medicine)",
IF(OR(AND(U$5&gt;0,U$5&gt;100),AND(U$5&gt;0,U$5&lt;100)),
VLOOKUP(FLOOR(('Final Term'!U65/U$5)*100,1),new_transmute,4,FALSE),
VLOOKUP('Final Term'!U65,new_transmute,4,FALSE)
),
""
)
)
)
)
)
)
)
)
))</f>
        <v/>
      </c>
      <c r="V65" s="73" t="str">
        <f>IF($B65="","",
IF(V$5="","",
IF('Final Term'!V65="",0,
IF(NOT(ISNUMBER('Final Term'!V65)),"NAN",
IF('Final Term'!V65&lt;0,"NEG",
IF('Final Term'!V65&gt;V$5,"OVER",
IF(AND(V$5&lt;=100,'Final Term'!V65&gt;100),"ERR",
IF(Info!$B$4="Non-board program",
IF(OR(AND(V$5&gt;0,V$5&gt;100),AND(V$5&gt;0,V$5&lt;100)),
VLOOKUP(FLOOR(('Final Term'!V65/V$5)*100,1),new_transmute,2,FALSE),
VLOOKUP('Final Term'!V65,new_transmute,2,FALSE)
),
IF(Info!$B$4="Board program",
IF(OR(AND(V$5&gt;0,V$5&gt;100),AND(V$5&gt;0,V$5&lt;100)),
VLOOKUP(FLOOR(('Final Term'!V65/V$5)*100,1),new_transmute,3,FALSE),
VLOOKUP('Final Term'!V65,new_transmute,3,FALSE)
),
IF(Info!$B$4="Board program (Medicine)",
IF(OR(AND(V$5&gt;0,V$5&gt;100),AND(V$5&gt;0,V$5&lt;100)),
VLOOKUP(FLOOR(('Final Term'!V65/V$5)*100,1),new_transmute,4,FALSE),
VLOOKUP('Final Term'!V65,new_transmute,4,FALSE)
),
""
)
)
)
)
)
)
)
)
))</f>
        <v/>
      </c>
      <c r="W65" s="73" t="str">
        <f>IF($B65="","",
IF(W$5="","",
IF('Final Term'!W65="",0,
IF(NOT(ISNUMBER('Final Term'!W65)),"NAN",
IF('Final Term'!W65&lt;0,"NEG",
IF('Final Term'!W65&gt;W$5,"OVER",
IF(AND(W$5&lt;=100,'Final Term'!W65&gt;100),"ERR",
IF(Info!$B$4="Non-board program",
IF(OR(AND(W$5&gt;0,W$5&gt;100),AND(W$5&gt;0,W$5&lt;100)),
VLOOKUP(FLOOR(('Final Term'!W65/W$5)*100,1),new_transmute,2,FALSE),
VLOOKUP('Final Term'!W65,new_transmute,2,FALSE)
),
IF(Info!$B$4="Board program",
IF(OR(AND(W$5&gt;0,W$5&gt;100),AND(W$5&gt;0,W$5&lt;100)),
VLOOKUP(FLOOR(('Final Term'!W65/W$5)*100,1),new_transmute,3,FALSE),
VLOOKUP('Final Term'!W65,new_transmute,3,FALSE)
),
IF(Info!$B$4="Board program (Medicine)",
IF(OR(AND(W$5&gt;0,W$5&gt;100),AND(W$5&gt;0,W$5&lt;100)),
VLOOKUP(FLOOR(('Final Term'!W65/W$5)*100,1),new_transmute,4,FALSE),
VLOOKUP('Final Term'!W65,new_transmute,4,FALSE)
),
""
)
)
)
)
)
)
)
)
))</f>
        <v/>
      </c>
      <c r="X65" s="73" t="str">
        <f>IF($B65="","",
IF(X$5="","",
IF('Final Term'!X65="",0,
IF(NOT(ISNUMBER('Final Term'!X65)),"NAN",
IF('Final Term'!X65&lt;0,"NEG",
IF('Final Term'!X65&gt;X$5,"OVER",
IF(AND(X$5&lt;=100,'Final Term'!X65&gt;100),"ERR",
IF(Info!$B$4="Non-board program",
IF(OR(AND(X$5&gt;0,X$5&gt;100),AND(X$5&gt;0,X$5&lt;100)),
VLOOKUP(FLOOR(('Final Term'!X65/X$5)*100,1),new_transmute,2,FALSE),
VLOOKUP('Final Term'!X65,new_transmute,2,FALSE)
),
IF(Info!$B$4="Board program",
IF(OR(AND(X$5&gt;0,X$5&gt;100),AND(X$5&gt;0,X$5&lt;100)),
VLOOKUP(FLOOR(('Final Term'!X65/X$5)*100,1),new_transmute,3,FALSE),
VLOOKUP('Final Term'!X65,new_transmute,3,FALSE)
),
IF(Info!$B$4="Board program (Medicine)",
IF(OR(AND(X$5&gt;0,X$5&gt;100),AND(X$5&gt;0,X$5&lt;100)),
VLOOKUP(FLOOR(('Final Term'!X65/X$5)*100,1),new_transmute,4,FALSE),
VLOOKUP('Final Term'!X65,new_transmute,4,FALSE)
),
""
)
)
)
)
)
)
)
)
))</f>
        <v/>
      </c>
      <c r="Y65" s="112" t="str">
        <f t="shared" si="4"/>
        <v/>
      </c>
      <c r="Z65" s="73" t="str">
        <f>IF($B65="","",
IF(Z$5="","",
IF('Final Term'!Z65="",0,
IF(NOT(ISNUMBER('Final Term'!Z65)),"NAN",
IF('Final Term'!Z65&lt;0,"NEG",
IF('Final Term'!Z65&gt;Z$5,"OVER",
IF(AND(Z$5&lt;=100,'Final Term'!Z65&gt;100),"ERR",
IF(Info!$B$4="Non-board program",
IF(OR(AND(Z$5&gt;0,Z$5&gt;100),AND(Z$5&gt;0,Z$5&lt;100)),
VLOOKUP(FLOOR(('Final Term'!Z65/Z$5)*100,1),new_transmute,2,FALSE),
VLOOKUP('Final Term'!Z65,new_transmute,2,FALSE)
),
IF(Info!$B$4="Board program",
IF(OR(AND(Z$5&gt;0,Z$5&gt;100),AND(Z$5&gt;0,Z$5&lt;100)),
VLOOKUP(FLOOR(('Final Term'!Z65/Z$5)*100,1),new_transmute,3,FALSE),
VLOOKUP('Final Term'!Z65,new_transmute,3,FALSE)
),
IF(Info!$B$4="Board program (Medicine)",
IF(OR(AND(Z$5&gt;0,Z$5&gt;100),AND(Z$5&gt;0,Z$5&lt;100)),
VLOOKUP(FLOOR(('Final Term'!Z65/Z$5)*100,1),new_transmute,4,FALSE),
VLOOKUP('Final Term'!Z65,new_transmute,4,FALSE)
),
""
)
)
)
)
)
)
)
)
))</f>
        <v/>
      </c>
      <c r="AA65" s="73" t="str">
        <f>IF($B65="","",
IF(AA$5="","",
IF('Final Term'!AA65="",0,
IF(NOT(ISNUMBER('Final Term'!AA65)),"NAN",
IF('Final Term'!AA65&lt;0,"NEG",
IF('Final Term'!AA65&gt;AA$5,"OVER",
IF(AND(AA$5&lt;=100,'Final Term'!AA65&gt;100),"ERR",
IF(Info!$B$4="Non-board program",
IF(OR(AND(AA$5&gt;0,AA$5&gt;100),AND(AA$5&gt;0,AA$5&lt;100)),
VLOOKUP(FLOOR(('Final Term'!AA65/AA$5)*100,1),new_transmute,2,FALSE),
VLOOKUP('Final Term'!AA65,new_transmute,2,FALSE)
),
IF(Info!$B$4="Board program",
IF(OR(AND(AA$5&gt;0,AA$5&gt;100),AND(AA$5&gt;0,AA$5&lt;100)),
VLOOKUP(FLOOR(('Final Term'!AA65/AA$5)*100,1),new_transmute,3,FALSE),
VLOOKUP('Final Term'!AA65,new_transmute,3,FALSE)
),
IF(Info!$B$4="Board program (Medicine)",
IF(OR(AND(AA$5&gt;0,AA$5&gt;100),AND(AA$5&gt;0,AA$5&lt;100)),
VLOOKUP(FLOOR(('Final Term'!AA65/AA$5)*100,1),new_transmute,4,FALSE),
VLOOKUP('Final Term'!AA65,new_transmute,4,FALSE)
),
""
)
)
)
)
)
)
)
)
))</f>
        <v/>
      </c>
      <c r="AB65" s="73" t="str">
        <f>IF($B65="","",
IF(AB$5="","",
IF('Final Term'!AB65="",0,
IF(NOT(ISNUMBER('Final Term'!AB65)),"NAN",
IF('Final Term'!AB65&lt;0,"NEG",
IF('Final Term'!AB65&gt;AB$5,"OVER",
IF(AND(AB$5&lt;=100,'Final Term'!AB65&gt;100),"ERR",
IF(Info!$B$4="Non-board program",
IF(OR(AND(AB$5&gt;0,AB$5&gt;100),AND(AB$5&gt;0,AB$5&lt;100)),
VLOOKUP(FLOOR(('Final Term'!AB65/AB$5)*100,1),new_transmute,2,FALSE),
VLOOKUP('Final Term'!AB65,new_transmute,2,FALSE)
),
IF(Info!$B$4="Board program",
IF(OR(AND(AB$5&gt;0,AB$5&gt;100),AND(AB$5&gt;0,AB$5&lt;100)),
VLOOKUP(FLOOR(('Final Term'!AB65/AB$5)*100,1),new_transmute,3,FALSE),
VLOOKUP('Final Term'!AB65,new_transmute,3,FALSE)
),
IF(Info!$B$4="Board program (Medicine)",
IF(OR(AND(AB$5&gt;0,AB$5&gt;100),AND(AB$5&gt;0,AB$5&lt;100)),
VLOOKUP(FLOOR(('Final Term'!AB65/AB$5)*100,1),new_transmute,4,FALSE),
VLOOKUP('Final Term'!AB65,new_transmute,4,FALSE)
),
""
)
)
)
)
)
)
)
)
))</f>
        <v/>
      </c>
      <c r="AC65" s="73" t="str">
        <f>IF($B65="","",
IF(AC$5="","",
IF('Final Term'!AC65="",0,
IF(NOT(ISNUMBER('Final Term'!AC65)),"NAN",
IF('Final Term'!AC65&lt;0,"NEG",
IF('Final Term'!AC65&gt;AC$5,"OVER",
IF(AND(AC$5&lt;=100,'Final Term'!AC65&gt;100),"ERR",
IF(Info!$B$4="Non-board program",
IF(OR(AND(AC$5&gt;0,AC$5&gt;100),AND(AC$5&gt;0,AC$5&lt;100)),
VLOOKUP(FLOOR(('Final Term'!AC65/AC$5)*100,1),new_transmute,2,FALSE),
VLOOKUP('Final Term'!AC65,new_transmute,2,FALSE)
),
IF(Info!$B$4="Board program",
IF(OR(AND(AC$5&gt;0,AC$5&gt;100),AND(AC$5&gt;0,AC$5&lt;100)),
VLOOKUP(FLOOR(('Final Term'!AC65/AC$5)*100,1),new_transmute,3,FALSE),
VLOOKUP('Final Term'!AC65,new_transmute,3,FALSE)
),
IF(Info!$B$4="Board program (Medicine)",
IF(OR(AND(AC$5&gt;0,AC$5&gt;100),AND(AC$5&gt;0,AC$5&lt;100)),
VLOOKUP(FLOOR(('Final Term'!AC65/AC$5)*100,1),new_transmute,4,FALSE),
VLOOKUP('Final Term'!AC65,new_transmute,4,FALSE)
),
""
)
)
)
)
)
)
)
)
))</f>
        <v/>
      </c>
      <c r="AD65" s="73" t="str">
        <f>IF($B65="","",
IF(AD$5="","",
IF('Final Term'!AD65="",0,
IF(NOT(ISNUMBER('Final Term'!AD65)),"NAN",
IF('Final Term'!AD65&lt;0,"NEG",
IF('Final Term'!AD65&gt;AD$5,"OVER",
IF(AND(AD$5&lt;=100,'Final Term'!AD65&gt;100),"ERR",
IF(Info!$B$4="Non-board program",
IF(OR(AND(AD$5&gt;0,AD$5&gt;100),AND(AD$5&gt;0,AD$5&lt;100)),
VLOOKUP(FLOOR(('Final Term'!AD65/AD$5)*100,1),new_transmute,2,FALSE),
VLOOKUP('Final Term'!AD65,new_transmute,2,FALSE)
),
IF(Info!$B$4="Board program",
IF(OR(AND(AD$5&gt;0,AD$5&gt;100),AND(AD$5&gt;0,AD$5&lt;100)),
VLOOKUP(FLOOR(('Final Term'!AD65/AD$5)*100,1),new_transmute,3,FALSE),
VLOOKUP('Final Term'!AD65,new_transmute,3,FALSE)
),
IF(Info!$B$4="Board program (Medicine)",
IF(OR(AND(AD$5&gt;0,AD$5&gt;100),AND(AD$5&gt;0,AD$5&lt;100)),
VLOOKUP(FLOOR(('Final Term'!AD65/AD$5)*100,1),new_transmute,4,FALSE),
VLOOKUP('Final Term'!AD65,new_transmute,4,FALSE)
),
""
)
)
)
)
)
)
)
)
))</f>
        <v/>
      </c>
      <c r="AE65" s="58" t="str">
        <f t="shared" si="5"/>
        <v/>
      </c>
      <c r="AF65" s="73" t="str">
        <f>IF($B65="","",
IF(AF$5="","",
IF('Final Term'!AF65="",0,
IF(NOT(ISNUMBER('Final Term'!AF65)),"NAN",
IF('Final Term'!AF65&lt;0,"NEG",
IF('Final Term'!AF65&gt;AF$5,"OVER",
IF(AND(AF$5&lt;=100,'Final Term'!AF65&gt;100),"ERR",
IF(Info!$B$4="Non-board program",
IF(OR(AND(AF$5&gt;0,AF$5&gt;100),AND(AF$5&gt;0,AF$5&lt;100)),
VLOOKUP(FLOOR(('Final Term'!AF65/AF$5)*100,1),new_transmute,2,FALSE),
VLOOKUP('Final Term'!AF65,new_transmute,2,FALSE)
),
IF(Info!$B$4="Board program",
IF(OR(AND(AF$5&gt;0,AF$5&gt;100),AND(AF$5&gt;0,AF$5&lt;100)),
VLOOKUP(FLOOR(('Final Term'!AF65/AF$5)*100,1),new_transmute,3,FALSE),
VLOOKUP('Final Term'!AF65,new_transmute,3,FALSE)
),
IF(Info!$B$4="Board program (Medicine)",
IF(OR(AND(AF$5&gt;0,AF$5&gt;100),AND(AF$5&gt;0,AF$5&lt;100)),
VLOOKUP(FLOOR(('Final Term'!AF65/AF$5)*100,1),new_transmute,4,FALSE),
VLOOKUP('Final Term'!AF65,new_transmute,4,FALSE)
),
""
)
)
)
)
)
)
)
)
))</f>
        <v/>
      </c>
      <c r="AG65" s="73" t="str">
        <f>IF($B65="","",
IF(AG$5="","",
IF('Final Term'!AG65="",0,
IF(NOT(ISNUMBER('Final Term'!AG65)),"NAN",
IF('Final Term'!AG65&lt;0,"NEG",
IF('Final Term'!AG65&gt;AG$5,"OVER",
IF(AND(AG$5&lt;=100,'Final Term'!AG65&gt;100),"ERR",
IF(Info!$B$4="Non-board program",
IF(OR(AND(AG$5&gt;0,AG$5&gt;100),AND(AG$5&gt;0,AG$5&lt;100)),
VLOOKUP(FLOOR(('Final Term'!AG65/AG$5)*100,1),new_transmute,2,FALSE),
VLOOKUP('Final Term'!AG65,new_transmute,2,FALSE)
),
IF(Info!$B$4="Board program",
IF(OR(AND(AG$5&gt;0,AG$5&gt;100),AND(AG$5&gt;0,AG$5&lt;100)),
VLOOKUP(FLOOR(('Final Term'!AG65/AG$5)*100,1),new_transmute,3,FALSE),
VLOOKUP('Final Term'!AG65,new_transmute,3,FALSE)
),
IF(Info!$B$4="Board program (Medicine)",
IF(OR(AND(AG$5&gt;0,AG$5&gt;100),AND(AG$5&gt;0,AG$5&lt;100)),
VLOOKUP(FLOOR(('Final Term'!AG65/AG$5)*100,1),new_transmute,4,FALSE),
VLOOKUP('Final Term'!AG65,new_transmute,4,FALSE)
),
""
)
)
)
)
)
)
)
)
))</f>
        <v/>
      </c>
      <c r="AH65" s="73" t="str">
        <f>IF($B65="","",
IF(AH$5="","",
IF('Final Term'!AH65="",0,
IF(NOT(ISNUMBER('Final Term'!AH65)),"NAN",
IF('Final Term'!AH65&lt;0,"NEG",
IF('Final Term'!AH65&gt;AH$5,"OVER",
IF(AND(AH$5&lt;=100,'Final Term'!AH65&gt;100),"ERR",
IF(Info!$B$4="Non-board program",
IF(OR(AND(AH$5&gt;0,AH$5&gt;100),AND(AH$5&gt;0,AH$5&lt;100)),
VLOOKUP(FLOOR(('Final Term'!AH65/AH$5)*100,1),new_transmute,2,FALSE),
VLOOKUP('Final Term'!AH65,new_transmute,2,FALSE)
),
IF(Info!$B$4="Board program",
IF(OR(AND(AH$5&gt;0,AH$5&gt;100),AND(AH$5&gt;0,AH$5&lt;100)),
VLOOKUP(FLOOR(('Final Term'!AH65/AH$5)*100,1),new_transmute,3,FALSE),
VLOOKUP('Final Term'!AH65,new_transmute,3,FALSE)
),
IF(Info!$B$4="Board program (Medicine)",
IF(OR(AND(AH$5&gt;0,AH$5&gt;100),AND(AH$5&gt;0,AH$5&lt;100)),
VLOOKUP(FLOOR(('Final Term'!AH65/AH$5)*100,1),new_transmute,4,FALSE),
VLOOKUP('Final Term'!AH65,new_transmute,4,FALSE)
),
""
)
)
)
)
)
)
)
)
))</f>
        <v/>
      </c>
      <c r="AI65" s="73" t="str">
        <f>IF($B65="","",
IF(AI$5="","",
IF('Final Term'!AI65="",0,
IF(NOT(ISNUMBER('Final Term'!AI65)),"NAN",
IF('Final Term'!AI65&lt;0,"NEG",
IF('Final Term'!AI65&gt;AI$5,"OVER",
IF(AND(AI$5&lt;=100,'Final Term'!AI65&gt;100),"ERR",
IF(Info!$B$4="Non-board program",
IF(OR(AND(AI$5&gt;0,AI$5&gt;100),AND(AI$5&gt;0,AI$5&lt;100)),
VLOOKUP(FLOOR(('Final Term'!AI65/AI$5)*100,1),new_transmute,2,FALSE),
VLOOKUP('Final Term'!AI65,new_transmute,2,FALSE)
),
IF(Info!$B$4="Board program",
IF(OR(AND(AI$5&gt;0,AI$5&gt;100),AND(AI$5&gt;0,AI$5&lt;100)),
VLOOKUP(FLOOR(('Final Term'!AI65/AI$5)*100,1),new_transmute,3,FALSE),
VLOOKUP('Final Term'!AI65,new_transmute,3,FALSE)
),
IF(Info!$B$4="Board program (Medicine)",
IF(OR(AND(AI$5&gt;0,AI$5&gt;100),AND(AI$5&gt;0,AI$5&lt;100)),
VLOOKUP(FLOOR(('Final Term'!AI65/AI$5)*100,1),new_transmute,4,FALSE),
VLOOKUP('Final Term'!AI65,new_transmute,4,FALSE)
),
""
)
)
)
)
)
)
)
)
))</f>
        <v/>
      </c>
      <c r="AJ65" s="73" t="str">
        <f>IF($B65="","",
IF(AJ$5="","",
IF('Final Term'!AJ65="",0,
IF(NOT(ISNUMBER('Final Term'!AJ65)),"NAN",
IF('Final Term'!AJ65&lt;0,"NEG",
IF('Final Term'!AJ65&gt;AJ$5,"OVER",
IF(AND(AJ$5&lt;=100,'Final Term'!AJ65&gt;100),"ERR",
IF(Info!$B$4="Non-board program",
IF(OR(AND(AJ$5&gt;0,AJ$5&gt;100),AND(AJ$5&gt;0,AJ$5&lt;100)),
VLOOKUP(FLOOR(('Final Term'!AJ65/AJ$5)*100,1),new_transmute,2,FALSE),
VLOOKUP('Final Term'!AJ65,new_transmute,2,FALSE)
),
IF(Info!$B$4="Board program",
IF(OR(AND(AJ$5&gt;0,AJ$5&gt;100),AND(AJ$5&gt;0,AJ$5&lt;100)),
VLOOKUP(FLOOR(('Final Term'!AJ65/AJ$5)*100,1),new_transmute,3,FALSE),
VLOOKUP('Final Term'!AJ65,new_transmute,3,FALSE)
),
IF(Info!$B$4="Board program (Medicine)",
IF(OR(AND(AJ$5&gt;0,AJ$5&gt;100),AND(AJ$5&gt;0,AJ$5&lt;100)),
VLOOKUP(FLOOR(('Final Term'!AJ65/AJ$5)*100,1),new_transmute,4,FALSE),
VLOOKUP('Final Term'!AJ65,new_transmute,4,FALSE)
),
""
)
)
)
)
)
)
)
)
))</f>
        <v/>
      </c>
      <c r="AK65" s="59" t="str">
        <f t="shared" si="6"/>
        <v/>
      </c>
      <c r="AL65" s="60" t="str">
        <f>IF(B65="", "",
    IF(OR(M65="OVER", S65="OVER", Y65="OVER", AE65="OVER", AK65="OVER"),
        "OVER",
        IF(Info!$B$4="Non-board program",
            VLOOKUP(IFERROR(FLOOR(SUM((M65*$M$4), (S65*$S$4), (Y65*$Y$4), (AE65*$AE$4), (AK65*$AK$4)) * (100 / 60), 1), 0), new_transmute, 2, FALSE),
            IF(Info!$B$4="Board program",
                VLOOKUP(IFERROR(FLOOR(SUM((M65*$M$4), (S65*$S$4), (Y65*$Y$4), (AE65*$AE$4), (AK65*$AK$4)) * (100 / 60), 1), 0), new_transmute, 3, FALSE),
                IF(Info!$B$4="Board program (Medicine)",
                    VLOOKUP(IFERROR(FLOOR(SUM((M65*$M$4), (S65*$S$4), (Y65*$Y$4), (AE65*$AE$4), (AK65*$AK$4)) * (100 / 60), 1), 0), new_transmute, 4, FALSE),
                    ""
                )
            )
        )
    )
)</f>
        <v/>
      </c>
      <c r="AM65" s="73" t="str">
        <f>IF($B65="","",
IF(AM$5="","",
IF('Final Term'!AM65="",0,
IF(NOT(ISNUMBER('Final Term'!AM65)),"NAN",
IF('Final Term'!AM65&lt;0,"NEG",
IF('Final Term'!AM65&gt;AM$5,"OVER",
IF(AND(AM$5&lt;=100,'Final Term'!AM65&gt;100),"ERR",
IF(Info!$B$4="Non-board program",
IF(OR(AND(AM$5&gt;0,AM$5&gt;100),AND(AM$5&gt;0,AM$5&lt;100)),
VLOOKUP(FLOOR(('Final Term'!AM65/AM$5)*100,1),new_transmute,2,FALSE),
VLOOKUP('Final Term'!AM65,new_transmute,2,FALSE)
),
IF(Info!$B$4="Board program",
IF(OR(AND(AM$5&gt;0,AM$5&gt;100),AND(AM$5&gt;0,AM$5&lt;100)),
VLOOKUP(FLOOR(('Final Term'!AM65/AM$5)*100,1),new_transmute,3,FALSE),
VLOOKUP('Final Term'!AM65,new_transmute,3,FALSE)
),
IF(Info!$B$4="Board program (Medicine)",
IF(OR(AND(AM$5&gt;0,AM$5&gt;100),AND(AM$5&gt;0,AM$5&lt;100)),
VLOOKUP(FLOOR(('Final Term'!AM65/AM$5)*100,1),new_transmute,4,FALSE),
VLOOKUP('Final Term'!AM65,new_transmute,4,FALSE)
),
""
)
)
)
)
)
)
)
)
))</f>
        <v/>
      </c>
      <c r="AN65" s="73" t="str">
        <f>IF($B65="","",
IF(AN$5="","",
IF('Final Term'!AN65="",0,
IF(NOT(ISNUMBER('Final Term'!AN65)),"NAN",
IF('Final Term'!AN65&lt;0,"NEG",
IF('Final Term'!AN65&gt;AN$5,"OVER",
IF(AND(AN$5&lt;=100,'Final Term'!AN65&gt;100),"ERR",
IF(Info!$B$4="Non-board program",
IF(OR(AND(AN$5&gt;0,AN$5&gt;100),AND(AN$5&gt;0,AN$5&lt;100)),
VLOOKUP(FLOOR(('Final Term'!AN65/AN$5)*100,1),new_transmute,2,FALSE),
VLOOKUP('Final Term'!AN65,new_transmute,2,FALSE)
),
IF(Info!$B$4="Board program",
IF(OR(AND(AN$5&gt;0,AN$5&gt;100),AND(AN$5&gt;0,AN$5&lt;100)),
VLOOKUP(FLOOR(('Final Term'!AN65/AN$5)*100,1),new_transmute,3,FALSE),
VLOOKUP('Final Term'!AN65,new_transmute,3,FALSE)
),
IF(Info!$B$4="Board program (Medicine)",
IF(OR(AND(AN$5&gt;0,AN$5&gt;100),AND(AN$5&gt;0,AN$5&lt;100)),
VLOOKUP(FLOOR(('Final Term'!AN65/AN$5)*100,1),new_transmute,4,FALSE),
VLOOKUP('Final Term'!AN65,new_transmute,4,FALSE)
),
""
)
)
)
)
)
)
)
)
))</f>
        <v/>
      </c>
      <c r="AO65" s="73" t="str">
        <f>IF($B65="","",
IF(AO$5="","",
IF('Final Term'!AO65="",0,
IF(NOT(ISNUMBER('Final Term'!AO65)),"NAN",
IF('Final Term'!AO65&lt;0,"NEG",
IF('Final Term'!AO65&gt;AO$5,"OVER",
IF(AND(AO$5&lt;=100,'Final Term'!AO65&gt;100),"ERR",
IF(Info!$B$4="Non-board program",
IF(OR(AND(AO$5&gt;0,AO$5&gt;100),AND(AO$5&gt;0,AO$5&lt;100)),
VLOOKUP(FLOOR(('Final Term'!AO65/AO$5)*100,1),new_transmute,2,FALSE),
VLOOKUP('Final Term'!AO65,new_transmute,2,FALSE)
),
IF(Info!$B$4="Board program",
IF(OR(AND(AO$5&gt;0,AO$5&gt;100),AND(AO$5&gt;0,AO$5&lt;100)),
VLOOKUP(FLOOR(('Final Term'!AO65/AO$5)*100,1),new_transmute,3,FALSE),
VLOOKUP('Final Term'!AO65,new_transmute,3,FALSE)
),
IF(Info!$B$4="Board program (Medicine)",
IF(OR(AND(AO$5&gt;0,AO$5&gt;100),AND(AO$5&gt;0,AO$5&lt;100)),
VLOOKUP(FLOOR(('Final Term'!AO65/AO$5)*100,1),new_transmute,4,FALSE),
VLOOKUP('Final Term'!AO65,new_transmute,4,FALSE)
),
""
)
)
)
)
)
)
)
)
))</f>
        <v/>
      </c>
      <c r="AP65" s="73" t="str">
        <f>IF($B65="","",
IF(AP$5="","",
IF('Final Term'!AP65="",0,
IF(NOT(ISNUMBER('Final Term'!AP65)),"NAN",
IF('Final Term'!AP65&lt;0,"NEG",
IF('Final Term'!AP65&gt;AP$5,"OVER",
IF(AND(AP$5&lt;=100,'Final Term'!AP65&gt;100),"ERR",
IF(Info!$B$4="Non-board program",
IF(OR(AND(AP$5&gt;0,AP$5&gt;100),AND(AP$5&gt;0,AP$5&lt;100)),
VLOOKUP(FLOOR(('Final Term'!AP65/AP$5)*100,1),new_transmute,2,FALSE),
VLOOKUP('Final Term'!AP65,new_transmute,2,FALSE)
),
IF(Info!$B$4="Board program",
IF(OR(AND(AP$5&gt;0,AP$5&gt;100),AND(AP$5&gt;0,AP$5&lt;100)),
VLOOKUP(FLOOR(('Final Term'!AP65/AP$5)*100,1),new_transmute,3,FALSE),
VLOOKUP('Final Term'!AP65,new_transmute,3,FALSE)
),
IF(Info!$B$4="Board program (Medicine)",
IF(OR(AND(AP$5&gt;0,AP$5&gt;100),AND(AP$5&gt;0,AP$5&lt;100)),
VLOOKUP(FLOOR(('Final Term'!AP65/AP$5)*100,1),new_transmute,4,FALSE),
VLOOKUP('Final Term'!AP65,new_transmute,4,FALSE)
),
""
)
)
)
)
)
)
)
)
))</f>
        <v/>
      </c>
      <c r="AQ65" s="61" t="str">
        <f t="shared" si="7"/>
        <v/>
      </c>
      <c r="AR65" s="48" t="str">
        <f>IF('Final Term'!AR65="","",'Final Term'!AR65)</f>
        <v/>
      </c>
      <c r="AS65" s="165" t="str">
        <f t="shared" si="8"/>
        <v/>
      </c>
      <c r="AT65" s="14" t="str">
        <f t="shared" si="9"/>
        <v/>
      </c>
      <c r="AU65" s="13" t="str">
        <f>IF(B65="","",VLOOKUP(AT65,'New Grade Equivalent'!$B$3:$C$47,2,FALSE))</f>
        <v/>
      </c>
    </row>
    <row r="66" spans="1:47" x14ac:dyDescent="0.25">
      <c r="A66" s="8">
        <v>61</v>
      </c>
      <c r="B66" s="2" t="str">
        <f>IF('Student List'!C70="","",UPPER(LEFT('Student List'!C70,FIND(",",'Student List'!C70)-1)))</f>
        <v/>
      </c>
      <c r="C66" s="12" t="str">
        <f>IF('Student List'!C70="","",PROPER(MID('Student List'!C70, FIND(",", 'Student List'!C70) + 2, LEN('Student List'!C70) - FIND(",", 'Student List'!C70) - 1)))</f>
        <v/>
      </c>
      <c r="D66" s="127" t="str">
        <f>IF('Final Term'!D66="","",'Final Term'!D66)</f>
        <v/>
      </c>
      <c r="E66" s="8" t="str">
        <f>IF(MidCom!E66="FA", "FA",
    IF(MidCom!E66="DRP", "DRP",
        IF(MidCom!E66="WF", "WF",
            IF(D66="Yes", "INC",
               IF((SUM('MT Attendance'!AW64) / 3 + SUM('MT Attendance'!AY64) + SUM('FT Attendance'!AW64) / 3 + SUM('FT Attendance'!AY64)) &gt;= 0.2 * (SUMPRODUCT(--(ISTEXT('MT Attendance'!$C$2:$AU$2))) + SUMPRODUCT(--(ISTEXT('FT Attendance'!$C$2:$AU$2)))), "FA",
                   MidCom!E66
                )
            )
        )
    )
)</f>
        <v/>
      </c>
      <c r="F66" s="73" t="str">
        <f>IF($B66="","",
IF(F$5="","",
IF('Final Term'!F66="",0,
IF(NOT(ISNUMBER('Final Term'!F66)),"NAN",
IF('Final Term'!F66&lt;0,"NEG",
IF('Final Term'!F66&gt;F$5,"OVER",
IF(AND(F$5&lt;=100,'Final Term'!F66&gt;100),"ERR",
IF(Info!$B$4="Non-board program",
IF(OR(AND(F$5&gt;0,F$5&gt;100),AND(F$5&gt;0,F$5&lt;100)),
VLOOKUP(FLOOR(('Final Term'!F66/F$5)*100,1),new_transmute,2,FALSE),
VLOOKUP('Final Term'!F66,new_transmute,2,FALSE)
),
IF(Info!$B$4="Board program",
IF(OR(AND(F$5&gt;0,F$5&gt;100),AND(F$5&gt;0,F$5&lt;100)),
VLOOKUP(FLOOR(('Final Term'!F66/F$5)*100,1),new_transmute,3,FALSE),
VLOOKUP('Final Term'!F66,new_transmute,3,FALSE)
),
IF(Info!$B$4="Board program (Medicine)",
IF(OR(AND(F$5&gt;0,F$5&gt;100),AND(F$5&gt;0,F$5&lt;100)),
VLOOKUP(FLOOR(('Final Term'!F66/F$5)*100,1),new_transmute,4,FALSE),
VLOOKUP('Final Term'!F66,new_transmute,4,FALSE)
),
""
)
)
)
)
)
)
)
)
))</f>
        <v/>
      </c>
      <c r="G66" s="57" t="str">
        <f t="shared" si="1"/>
        <v/>
      </c>
      <c r="H66" s="73" t="str">
        <f>IF($B66="","",
IF(H$5="","",
IF('Final Term'!H66="",0,
IF(NOT(ISNUMBER('Final Term'!H66)),"NAN",
IF('Final Term'!H66&lt;0,"NEG",
IF('Final Term'!H66&gt;H$5,"OVER",
IF(AND(H$5&lt;=100,'Final Term'!H66&gt;100),"ERR",
IF(Info!$B$4="Non-board program",
IF(OR(AND(H$5&gt;0,H$5&gt;100),AND(H$5&gt;0,H$5&lt;100)),
VLOOKUP(FLOOR(('Final Term'!H66/H$5)*100,1),new_transmute,2,FALSE),
VLOOKUP('Final Term'!H66,new_transmute,2,FALSE)
),
IF(Info!$B$4="Board program",
IF(OR(AND(H$5&gt;0,H$5&gt;100),AND(H$5&gt;0,H$5&lt;100)),
VLOOKUP(FLOOR(('Final Term'!H66/H$5)*100,1),new_transmute,3,FALSE),
VLOOKUP('Final Term'!H66,new_transmute,3,FALSE)
),
IF(Info!$B$4="Board program (Medicine)",
IF(OR(AND(H$5&gt;0,H$5&gt;100),AND(H$5&gt;0,H$5&lt;100)),
VLOOKUP(FLOOR(('Final Term'!H66/H$5)*100,1),new_transmute,4,FALSE),
VLOOKUP('Final Term'!H66,new_transmute,4,FALSE)
),
""
)
)
)
)
)
)
)
)
))</f>
        <v/>
      </c>
      <c r="I66" s="73" t="str">
        <f>IF($B66="","",
IF(I$5="","",
IF('Final Term'!I66="",0,
IF(NOT(ISNUMBER('Final Term'!I66)),"NAN",
IF('Final Term'!I66&lt;0,"NEG",
IF('Final Term'!I66&gt;I$5,"OVER",
IF(AND(I$5&lt;=100,'Final Term'!I66&gt;100),"ERR",
IF(Info!$B$4="Non-board program",
IF(OR(AND(I$5&gt;0,I$5&gt;100),AND(I$5&gt;0,I$5&lt;100)),
VLOOKUP(FLOOR(('Final Term'!I66/I$5)*100,1),new_transmute,2,FALSE),
VLOOKUP('Final Term'!I66,new_transmute,2,FALSE)
),
IF(Info!$B$4="Board program",
IF(OR(AND(I$5&gt;0,I$5&gt;100),AND(I$5&gt;0,I$5&lt;100)),
VLOOKUP(FLOOR(('Final Term'!I66/I$5)*100,1),new_transmute,3,FALSE),
VLOOKUP('Final Term'!I66,new_transmute,3,FALSE)
),
IF(Info!$B$4="Board program (Medicine)",
IF(OR(AND(I$5&gt;0,I$5&gt;100),AND(I$5&gt;0,I$5&lt;100)),
VLOOKUP(FLOOR(('Final Term'!I66/I$5)*100,1),new_transmute,4,FALSE),
VLOOKUP('Final Term'!I66,new_transmute,4,FALSE)
),
""
)
)
)
)
)
)
)
)
))</f>
        <v/>
      </c>
      <c r="J66" s="73" t="str">
        <f>IF($B66="","",
IF(J$5="","",
IF('Final Term'!J66="",0,
IF(NOT(ISNUMBER('Final Term'!J66)),"NAN",
IF('Final Term'!J66&lt;0,"NEG",
IF('Final Term'!J66&gt;J$5,"OVER",
IF(AND(J$5&lt;=100,'Final Term'!J66&gt;100),"ERR",
IF(Info!$B$4="Non-board program",
IF(OR(AND(J$5&gt;0,J$5&gt;100),AND(J$5&gt;0,J$5&lt;100)),
VLOOKUP(FLOOR(('Final Term'!J66/J$5)*100,1),new_transmute,2,FALSE),
VLOOKUP('Final Term'!J66,new_transmute,2,FALSE)
),
IF(Info!$B$4="Board program",
IF(OR(AND(J$5&gt;0,J$5&gt;100),AND(J$5&gt;0,J$5&lt;100)),
VLOOKUP(FLOOR(('Final Term'!J66/J$5)*100,1),new_transmute,3,FALSE),
VLOOKUP('Final Term'!J66,new_transmute,3,FALSE)
),
IF(Info!$B$4="Board program (Medicine)",
IF(OR(AND(J$5&gt;0,J$5&gt;100),AND(J$5&gt;0,J$5&lt;100)),
VLOOKUP(FLOOR(('Final Term'!J66/J$5)*100,1),new_transmute,4,FALSE),
VLOOKUP('Final Term'!J66,new_transmute,4,FALSE)
),
""
)
)
)
)
)
)
)
)
))</f>
        <v/>
      </c>
      <c r="K66" s="73" t="str">
        <f>IF($B66="","",
IF(K$5="","",
IF('Final Term'!K66="",0,
IF(NOT(ISNUMBER('Final Term'!K66)),"NAN",
IF('Final Term'!K66&lt;0,"NEG",
IF('Final Term'!K66&gt;K$5,"OVER",
IF(AND(K$5&lt;=100,'Final Term'!K66&gt;100),"ERR",
IF(Info!$B$4="Non-board program",
IF(OR(AND(K$5&gt;0,K$5&gt;100),AND(K$5&gt;0,K$5&lt;100)),
VLOOKUP(FLOOR(('Final Term'!K66/K$5)*100,1),new_transmute,2,FALSE),
VLOOKUP('Final Term'!K66,new_transmute,2,FALSE)
),
IF(Info!$B$4="Board program",
IF(OR(AND(K$5&gt;0,K$5&gt;100),AND(K$5&gt;0,K$5&lt;100)),
VLOOKUP(FLOOR(('Final Term'!K66/K$5)*100,1),new_transmute,3,FALSE),
VLOOKUP('Final Term'!K66,new_transmute,3,FALSE)
),
IF(Info!$B$4="Board program (Medicine)",
IF(OR(AND(K$5&gt;0,K$5&gt;100),AND(K$5&gt;0,K$5&lt;100)),
VLOOKUP(FLOOR(('Final Term'!K66/K$5)*100,1),new_transmute,4,FALSE),
VLOOKUP('Final Term'!K66,new_transmute,4,FALSE)
),
""
)
)
)
)
)
)
)
)
))</f>
        <v/>
      </c>
      <c r="L66" s="73" t="str">
        <f>IF($B66="","",
IF(L$5="","",
IF('Final Term'!L66="",0,
IF(NOT(ISNUMBER('Final Term'!L66)),"NAN",
IF('Final Term'!L66&lt;0,"NEG",
IF('Final Term'!L66&gt;L$5,"OVER",
IF(AND(L$5&lt;=100,'Final Term'!L66&gt;100),"ERR",
IF(Info!$B$4="Non-board program",
IF(OR(AND(L$5&gt;0,L$5&gt;100),AND(L$5&gt;0,L$5&lt;100)),
VLOOKUP(FLOOR(('Final Term'!L66/L$5)*100,1),new_transmute,2,FALSE),
VLOOKUP('Final Term'!L66,new_transmute,2,FALSE)
),
IF(Info!$B$4="Board program",
IF(OR(AND(L$5&gt;0,L$5&gt;100),AND(L$5&gt;0,L$5&lt;100)),
VLOOKUP(FLOOR(('Final Term'!L66/L$5)*100,1),new_transmute,3,FALSE),
VLOOKUP('Final Term'!L66,new_transmute,3,FALSE)
),
IF(Info!$B$4="Board program (Medicine)",
IF(OR(AND(L$5&gt;0,L$5&gt;100),AND(L$5&gt;0,L$5&lt;100)),
VLOOKUP(FLOOR(('Final Term'!L66/L$5)*100,1),new_transmute,4,FALSE),
VLOOKUP('Final Term'!L66,new_transmute,4,FALSE)
),
""
)
)
)
)
)
)
)
)
))</f>
        <v/>
      </c>
      <c r="M66" s="111" t="str">
        <f t="shared" si="2"/>
        <v/>
      </c>
      <c r="N66" s="73" t="str">
        <f>IF($B66="","",
IF(N$5="","",
IF('Final Term'!N66="",0,
IF(NOT(ISNUMBER('Final Term'!N66)),"NAN",
IF('Final Term'!N66&lt;0,"NEG",
IF('Final Term'!N66&gt;N$5,"OVER",
IF(AND(N$5&lt;=100,'Final Term'!N66&gt;100),"ERR",
IF(Info!$B$4="Non-board program",
IF(OR(AND(N$5&gt;0,N$5&gt;100),AND(N$5&gt;0,N$5&lt;100)),
VLOOKUP(FLOOR(('Final Term'!N66/N$5)*100,1),new_transmute,2,FALSE),
VLOOKUP('Final Term'!N66,new_transmute,2,FALSE)
),
IF(Info!$B$4="Board program",
IF(OR(AND(N$5&gt;0,N$5&gt;100),AND(N$5&gt;0,N$5&lt;100)),
VLOOKUP(FLOOR(('Final Term'!N66/N$5)*100,1),new_transmute,3,FALSE),
VLOOKUP('Final Term'!N66,new_transmute,3,FALSE)
),
IF(Info!$B$4="Board program (Medicine)",
IF(OR(AND(N$5&gt;0,N$5&gt;100),AND(N$5&gt;0,N$5&lt;100)),
VLOOKUP(FLOOR(('Final Term'!N66/N$5)*100,1),new_transmute,4,FALSE),
VLOOKUP('Final Term'!N66,new_transmute,4,FALSE)
),
""
)
)
)
)
)
)
)
)
))</f>
        <v/>
      </c>
      <c r="O66" s="73" t="str">
        <f>IF($B66="","",
IF(O$5="","",
IF('Final Term'!O66="",0,
IF(NOT(ISNUMBER('Final Term'!O66)),"NAN",
IF('Final Term'!O66&lt;0,"NEG",
IF('Final Term'!O66&gt;O$5,"OVER",
IF(AND(O$5&lt;=100,'Final Term'!O66&gt;100),"ERR",
IF(Info!$B$4="Non-board program",
IF(OR(AND(O$5&gt;0,O$5&gt;100),AND(O$5&gt;0,O$5&lt;100)),
VLOOKUP(FLOOR(('Final Term'!O66/O$5)*100,1),new_transmute,2,FALSE),
VLOOKUP('Final Term'!O66,new_transmute,2,FALSE)
),
IF(Info!$B$4="Board program",
IF(OR(AND(O$5&gt;0,O$5&gt;100),AND(O$5&gt;0,O$5&lt;100)),
VLOOKUP(FLOOR(('Final Term'!O66/O$5)*100,1),new_transmute,3,FALSE),
VLOOKUP('Final Term'!O66,new_transmute,3,FALSE)
),
IF(Info!$B$4="Board program (Medicine)",
IF(OR(AND(O$5&gt;0,O$5&gt;100),AND(O$5&gt;0,O$5&lt;100)),
VLOOKUP(FLOOR(('Final Term'!O66/O$5)*100,1),new_transmute,4,FALSE),
VLOOKUP('Final Term'!O66,new_transmute,4,FALSE)
),
""
)
)
)
)
)
)
)
)
))</f>
        <v/>
      </c>
      <c r="P66" s="73" t="str">
        <f>IF($B66="","",
IF(P$5="","",
IF('Final Term'!P66="",0,
IF(NOT(ISNUMBER('Final Term'!P66)),"NAN",
IF('Final Term'!P66&lt;0,"NEG",
IF('Final Term'!P66&gt;P$5,"OVER",
IF(AND(P$5&lt;=100,'Final Term'!P66&gt;100),"ERR",
IF(Info!$B$4="Non-board program",
IF(OR(AND(P$5&gt;0,P$5&gt;100),AND(P$5&gt;0,P$5&lt;100)),
VLOOKUP(FLOOR(('Final Term'!P66/P$5)*100,1),new_transmute,2,FALSE),
VLOOKUP('Final Term'!P66,new_transmute,2,FALSE)
),
IF(Info!$B$4="Board program",
IF(OR(AND(P$5&gt;0,P$5&gt;100),AND(P$5&gt;0,P$5&lt;100)),
VLOOKUP(FLOOR(('Final Term'!P66/P$5)*100,1),new_transmute,3,FALSE),
VLOOKUP('Final Term'!P66,new_transmute,3,FALSE)
),
IF(Info!$B$4="Board program (Medicine)",
IF(OR(AND(P$5&gt;0,P$5&gt;100),AND(P$5&gt;0,P$5&lt;100)),
VLOOKUP(FLOOR(('Final Term'!P66/P$5)*100,1),new_transmute,4,FALSE),
VLOOKUP('Final Term'!P66,new_transmute,4,FALSE)
),
""
)
)
)
)
)
)
)
)
))</f>
        <v/>
      </c>
      <c r="Q66" s="73" t="str">
        <f>IF($B66="","",
IF(Q$5="","",
IF('Final Term'!Q66="",0,
IF(NOT(ISNUMBER('Final Term'!Q66)),"NAN",
IF('Final Term'!Q66&lt;0,"NEG",
IF('Final Term'!Q66&gt;Q$5,"OVER",
IF(AND(Q$5&lt;=100,'Final Term'!Q66&gt;100),"ERR",
IF(Info!$B$4="Non-board program",
IF(OR(AND(Q$5&gt;0,Q$5&gt;100),AND(Q$5&gt;0,Q$5&lt;100)),
VLOOKUP(FLOOR(('Final Term'!Q66/Q$5)*100,1),new_transmute,2,FALSE),
VLOOKUP('Final Term'!Q66,new_transmute,2,FALSE)
),
IF(Info!$B$4="Board program",
IF(OR(AND(Q$5&gt;0,Q$5&gt;100),AND(Q$5&gt;0,Q$5&lt;100)),
VLOOKUP(FLOOR(('Final Term'!Q66/Q$5)*100,1),new_transmute,3,FALSE),
VLOOKUP('Final Term'!Q66,new_transmute,3,FALSE)
),
IF(Info!$B$4="Board program (Medicine)",
IF(OR(AND(Q$5&gt;0,Q$5&gt;100),AND(Q$5&gt;0,Q$5&lt;100)),
VLOOKUP(FLOOR(('Final Term'!Q66/Q$5)*100,1),new_transmute,4,FALSE),
VLOOKUP('Final Term'!Q66,new_transmute,4,FALSE)
),
""
)
)
)
)
)
)
)
)
))</f>
        <v/>
      </c>
      <c r="R66" s="73" t="str">
        <f>IF($B66="","",
IF(R$5="","",
IF('Final Term'!R66="",0,
IF(NOT(ISNUMBER('Final Term'!R66)),"NAN",
IF('Final Term'!R66&lt;0,"NEG",
IF('Final Term'!R66&gt;R$5,"OVER",
IF(AND(R$5&lt;=100,'Final Term'!R66&gt;100),"ERR",
IF(Info!$B$4="Non-board program",
IF(OR(AND(R$5&gt;0,R$5&gt;100),AND(R$5&gt;0,R$5&lt;100)),
VLOOKUP(FLOOR(('Final Term'!R66/R$5)*100,1),new_transmute,2,FALSE),
VLOOKUP('Final Term'!R66,new_transmute,2,FALSE)
),
IF(Info!$B$4="Board program",
IF(OR(AND(R$5&gt;0,R$5&gt;100),AND(R$5&gt;0,R$5&lt;100)),
VLOOKUP(FLOOR(('Final Term'!R66/R$5)*100,1),new_transmute,3,FALSE),
VLOOKUP('Final Term'!R66,new_transmute,3,FALSE)
),
IF(Info!$B$4="Board program (Medicine)",
IF(OR(AND(R$5&gt;0,R$5&gt;100),AND(R$5&gt;0,R$5&lt;100)),
VLOOKUP(FLOOR(('Final Term'!R66/R$5)*100,1),new_transmute,4,FALSE),
VLOOKUP('Final Term'!R66,new_transmute,4,FALSE)
),
""
)
)
)
)
)
)
)
)
))</f>
        <v/>
      </c>
      <c r="S66" s="115" t="str">
        <f t="shared" si="3"/>
        <v/>
      </c>
      <c r="T66" s="73" t="str">
        <f>IF($B66="","",
IF(T$5="","",
IF('Final Term'!T66="",0,
IF(NOT(ISNUMBER('Final Term'!T66)),"NAN",
IF('Final Term'!T66&lt;0,"NEG",
IF('Final Term'!T66&gt;T$5,"OVER",
IF(AND(T$5&lt;=100,'Final Term'!T66&gt;100),"ERR",
IF(Info!$B$4="Non-board program",
IF(OR(AND(T$5&gt;0,T$5&gt;100),AND(T$5&gt;0,T$5&lt;100)),
VLOOKUP(FLOOR(('Final Term'!T66/T$5)*100,1),new_transmute,2,FALSE),
VLOOKUP('Final Term'!T66,new_transmute,2,FALSE)
),
IF(Info!$B$4="Board program",
IF(OR(AND(T$5&gt;0,T$5&gt;100),AND(T$5&gt;0,T$5&lt;100)),
VLOOKUP(FLOOR(('Final Term'!T66/T$5)*100,1),new_transmute,3,FALSE),
VLOOKUP('Final Term'!T66,new_transmute,3,FALSE)
),
IF(Info!$B$4="Board program (Medicine)",
IF(OR(AND(T$5&gt;0,T$5&gt;100),AND(T$5&gt;0,T$5&lt;100)),
VLOOKUP(FLOOR(('Final Term'!T66/T$5)*100,1),new_transmute,4,FALSE),
VLOOKUP('Final Term'!T66,new_transmute,4,FALSE)
),
""
)
)
)
)
)
)
)
)
))</f>
        <v/>
      </c>
      <c r="U66" s="73" t="str">
        <f>IF($B66="","",
IF(U$5="","",
IF('Final Term'!U66="",0,
IF(NOT(ISNUMBER('Final Term'!U66)),"NAN",
IF('Final Term'!U66&lt;0,"NEG",
IF('Final Term'!U66&gt;U$5,"OVER",
IF(AND(U$5&lt;=100,'Final Term'!U66&gt;100),"ERR",
IF(Info!$B$4="Non-board program",
IF(OR(AND(U$5&gt;0,U$5&gt;100),AND(U$5&gt;0,U$5&lt;100)),
VLOOKUP(FLOOR(('Final Term'!U66/U$5)*100,1),new_transmute,2,FALSE),
VLOOKUP('Final Term'!U66,new_transmute,2,FALSE)
),
IF(Info!$B$4="Board program",
IF(OR(AND(U$5&gt;0,U$5&gt;100),AND(U$5&gt;0,U$5&lt;100)),
VLOOKUP(FLOOR(('Final Term'!U66/U$5)*100,1),new_transmute,3,FALSE),
VLOOKUP('Final Term'!U66,new_transmute,3,FALSE)
),
IF(Info!$B$4="Board program (Medicine)",
IF(OR(AND(U$5&gt;0,U$5&gt;100),AND(U$5&gt;0,U$5&lt;100)),
VLOOKUP(FLOOR(('Final Term'!U66/U$5)*100,1),new_transmute,4,FALSE),
VLOOKUP('Final Term'!U66,new_transmute,4,FALSE)
),
""
)
)
)
)
)
)
)
)
))</f>
        <v/>
      </c>
      <c r="V66" s="73" t="str">
        <f>IF($B66="","",
IF(V$5="","",
IF('Final Term'!V66="",0,
IF(NOT(ISNUMBER('Final Term'!V66)),"NAN",
IF('Final Term'!V66&lt;0,"NEG",
IF('Final Term'!V66&gt;V$5,"OVER",
IF(AND(V$5&lt;=100,'Final Term'!V66&gt;100),"ERR",
IF(Info!$B$4="Non-board program",
IF(OR(AND(V$5&gt;0,V$5&gt;100),AND(V$5&gt;0,V$5&lt;100)),
VLOOKUP(FLOOR(('Final Term'!V66/V$5)*100,1),new_transmute,2,FALSE),
VLOOKUP('Final Term'!V66,new_transmute,2,FALSE)
),
IF(Info!$B$4="Board program",
IF(OR(AND(V$5&gt;0,V$5&gt;100),AND(V$5&gt;0,V$5&lt;100)),
VLOOKUP(FLOOR(('Final Term'!V66/V$5)*100,1),new_transmute,3,FALSE),
VLOOKUP('Final Term'!V66,new_transmute,3,FALSE)
),
IF(Info!$B$4="Board program (Medicine)",
IF(OR(AND(V$5&gt;0,V$5&gt;100),AND(V$5&gt;0,V$5&lt;100)),
VLOOKUP(FLOOR(('Final Term'!V66/V$5)*100,1),new_transmute,4,FALSE),
VLOOKUP('Final Term'!V66,new_transmute,4,FALSE)
),
""
)
)
)
)
)
)
)
)
))</f>
        <v/>
      </c>
      <c r="W66" s="73" t="str">
        <f>IF($B66="","",
IF(W$5="","",
IF('Final Term'!W66="",0,
IF(NOT(ISNUMBER('Final Term'!W66)),"NAN",
IF('Final Term'!W66&lt;0,"NEG",
IF('Final Term'!W66&gt;W$5,"OVER",
IF(AND(W$5&lt;=100,'Final Term'!W66&gt;100),"ERR",
IF(Info!$B$4="Non-board program",
IF(OR(AND(W$5&gt;0,W$5&gt;100),AND(W$5&gt;0,W$5&lt;100)),
VLOOKUP(FLOOR(('Final Term'!W66/W$5)*100,1),new_transmute,2,FALSE),
VLOOKUP('Final Term'!W66,new_transmute,2,FALSE)
),
IF(Info!$B$4="Board program",
IF(OR(AND(W$5&gt;0,W$5&gt;100),AND(W$5&gt;0,W$5&lt;100)),
VLOOKUP(FLOOR(('Final Term'!W66/W$5)*100,1),new_transmute,3,FALSE),
VLOOKUP('Final Term'!W66,new_transmute,3,FALSE)
),
IF(Info!$B$4="Board program (Medicine)",
IF(OR(AND(W$5&gt;0,W$5&gt;100),AND(W$5&gt;0,W$5&lt;100)),
VLOOKUP(FLOOR(('Final Term'!W66/W$5)*100,1),new_transmute,4,FALSE),
VLOOKUP('Final Term'!W66,new_transmute,4,FALSE)
),
""
)
)
)
)
)
)
)
)
))</f>
        <v/>
      </c>
      <c r="X66" s="73" t="str">
        <f>IF($B66="","",
IF(X$5="","",
IF('Final Term'!X66="",0,
IF(NOT(ISNUMBER('Final Term'!X66)),"NAN",
IF('Final Term'!X66&lt;0,"NEG",
IF('Final Term'!X66&gt;X$5,"OVER",
IF(AND(X$5&lt;=100,'Final Term'!X66&gt;100),"ERR",
IF(Info!$B$4="Non-board program",
IF(OR(AND(X$5&gt;0,X$5&gt;100),AND(X$5&gt;0,X$5&lt;100)),
VLOOKUP(FLOOR(('Final Term'!X66/X$5)*100,1),new_transmute,2,FALSE),
VLOOKUP('Final Term'!X66,new_transmute,2,FALSE)
),
IF(Info!$B$4="Board program",
IF(OR(AND(X$5&gt;0,X$5&gt;100),AND(X$5&gt;0,X$5&lt;100)),
VLOOKUP(FLOOR(('Final Term'!X66/X$5)*100,1),new_transmute,3,FALSE),
VLOOKUP('Final Term'!X66,new_transmute,3,FALSE)
),
IF(Info!$B$4="Board program (Medicine)",
IF(OR(AND(X$5&gt;0,X$5&gt;100),AND(X$5&gt;0,X$5&lt;100)),
VLOOKUP(FLOOR(('Final Term'!X66/X$5)*100,1),new_transmute,4,FALSE),
VLOOKUP('Final Term'!X66,new_transmute,4,FALSE)
),
""
)
)
)
)
)
)
)
)
))</f>
        <v/>
      </c>
      <c r="Y66" s="112" t="str">
        <f t="shared" si="4"/>
        <v/>
      </c>
      <c r="Z66" s="73" t="str">
        <f>IF($B66="","",
IF(Z$5="","",
IF('Final Term'!Z66="",0,
IF(NOT(ISNUMBER('Final Term'!Z66)),"NAN",
IF('Final Term'!Z66&lt;0,"NEG",
IF('Final Term'!Z66&gt;Z$5,"OVER",
IF(AND(Z$5&lt;=100,'Final Term'!Z66&gt;100),"ERR",
IF(Info!$B$4="Non-board program",
IF(OR(AND(Z$5&gt;0,Z$5&gt;100),AND(Z$5&gt;0,Z$5&lt;100)),
VLOOKUP(FLOOR(('Final Term'!Z66/Z$5)*100,1),new_transmute,2,FALSE),
VLOOKUP('Final Term'!Z66,new_transmute,2,FALSE)
),
IF(Info!$B$4="Board program",
IF(OR(AND(Z$5&gt;0,Z$5&gt;100),AND(Z$5&gt;0,Z$5&lt;100)),
VLOOKUP(FLOOR(('Final Term'!Z66/Z$5)*100,1),new_transmute,3,FALSE),
VLOOKUP('Final Term'!Z66,new_transmute,3,FALSE)
),
IF(Info!$B$4="Board program (Medicine)",
IF(OR(AND(Z$5&gt;0,Z$5&gt;100),AND(Z$5&gt;0,Z$5&lt;100)),
VLOOKUP(FLOOR(('Final Term'!Z66/Z$5)*100,1),new_transmute,4,FALSE),
VLOOKUP('Final Term'!Z66,new_transmute,4,FALSE)
),
""
)
)
)
)
)
)
)
)
))</f>
        <v/>
      </c>
      <c r="AA66" s="73" t="str">
        <f>IF($B66="","",
IF(AA$5="","",
IF('Final Term'!AA66="",0,
IF(NOT(ISNUMBER('Final Term'!AA66)),"NAN",
IF('Final Term'!AA66&lt;0,"NEG",
IF('Final Term'!AA66&gt;AA$5,"OVER",
IF(AND(AA$5&lt;=100,'Final Term'!AA66&gt;100),"ERR",
IF(Info!$B$4="Non-board program",
IF(OR(AND(AA$5&gt;0,AA$5&gt;100),AND(AA$5&gt;0,AA$5&lt;100)),
VLOOKUP(FLOOR(('Final Term'!AA66/AA$5)*100,1),new_transmute,2,FALSE),
VLOOKUP('Final Term'!AA66,new_transmute,2,FALSE)
),
IF(Info!$B$4="Board program",
IF(OR(AND(AA$5&gt;0,AA$5&gt;100),AND(AA$5&gt;0,AA$5&lt;100)),
VLOOKUP(FLOOR(('Final Term'!AA66/AA$5)*100,1),new_transmute,3,FALSE),
VLOOKUP('Final Term'!AA66,new_transmute,3,FALSE)
),
IF(Info!$B$4="Board program (Medicine)",
IF(OR(AND(AA$5&gt;0,AA$5&gt;100),AND(AA$5&gt;0,AA$5&lt;100)),
VLOOKUP(FLOOR(('Final Term'!AA66/AA$5)*100,1),new_transmute,4,FALSE),
VLOOKUP('Final Term'!AA66,new_transmute,4,FALSE)
),
""
)
)
)
)
)
)
)
)
))</f>
        <v/>
      </c>
      <c r="AB66" s="73" t="str">
        <f>IF($B66="","",
IF(AB$5="","",
IF('Final Term'!AB66="",0,
IF(NOT(ISNUMBER('Final Term'!AB66)),"NAN",
IF('Final Term'!AB66&lt;0,"NEG",
IF('Final Term'!AB66&gt;AB$5,"OVER",
IF(AND(AB$5&lt;=100,'Final Term'!AB66&gt;100),"ERR",
IF(Info!$B$4="Non-board program",
IF(OR(AND(AB$5&gt;0,AB$5&gt;100),AND(AB$5&gt;0,AB$5&lt;100)),
VLOOKUP(FLOOR(('Final Term'!AB66/AB$5)*100,1),new_transmute,2,FALSE),
VLOOKUP('Final Term'!AB66,new_transmute,2,FALSE)
),
IF(Info!$B$4="Board program",
IF(OR(AND(AB$5&gt;0,AB$5&gt;100),AND(AB$5&gt;0,AB$5&lt;100)),
VLOOKUP(FLOOR(('Final Term'!AB66/AB$5)*100,1),new_transmute,3,FALSE),
VLOOKUP('Final Term'!AB66,new_transmute,3,FALSE)
),
IF(Info!$B$4="Board program (Medicine)",
IF(OR(AND(AB$5&gt;0,AB$5&gt;100),AND(AB$5&gt;0,AB$5&lt;100)),
VLOOKUP(FLOOR(('Final Term'!AB66/AB$5)*100,1),new_transmute,4,FALSE),
VLOOKUP('Final Term'!AB66,new_transmute,4,FALSE)
),
""
)
)
)
)
)
)
)
)
))</f>
        <v/>
      </c>
      <c r="AC66" s="73" t="str">
        <f>IF($B66="","",
IF(AC$5="","",
IF('Final Term'!AC66="",0,
IF(NOT(ISNUMBER('Final Term'!AC66)),"NAN",
IF('Final Term'!AC66&lt;0,"NEG",
IF('Final Term'!AC66&gt;AC$5,"OVER",
IF(AND(AC$5&lt;=100,'Final Term'!AC66&gt;100),"ERR",
IF(Info!$B$4="Non-board program",
IF(OR(AND(AC$5&gt;0,AC$5&gt;100),AND(AC$5&gt;0,AC$5&lt;100)),
VLOOKUP(FLOOR(('Final Term'!AC66/AC$5)*100,1),new_transmute,2,FALSE),
VLOOKUP('Final Term'!AC66,new_transmute,2,FALSE)
),
IF(Info!$B$4="Board program",
IF(OR(AND(AC$5&gt;0,AC$5&gt;100),AND(AC$5&gt;0,AC$5&lt;100)),
VLOOKUP(FLOOR(('Final Term'!AC66/AC$5)*100,1),new_transmute,3,FALSE),
VLOOKUP('Final Term'!AC66,new_transmute,3,FALSE)
),
IF(Info!$B$4="Board program (Medicine)",
IF(OR(AND(AC$5&gt;0,AC$5&gt;100),AND(AC$5&gt;0,AC$5&lt;100)),
VLOOKUP(FLOOR(('Final Term'!AC66/AC$5)*100,1),new_transmute,4,FALSE),
VLOOKUP('Final Term'!AC66,new_transmute,4,FALSE)
),
""
)
)
)
)
)
)
)
)
))</f>
        <v/>
      </c>
      <c r="AD66" s="73" t="str">
        <f>IF($B66="","",
IF(AD$5="","",
IF('Final Term'!AD66="",0,
IF(NOT(ISNUMBER('Final Term'!AD66)),"NAN",
IF('Final Term'!AD66&lt;0,"NEG",
IF('Final Term'!AD66&gt;AD$5,"OVER",
IF(AND(AD$5&lt;=100,'Final Term'!AD66&gt;100),"ERR",
IF(Info!$B$4="Non-board program",
IF(OR(AND(AD$5&gt;0,AD$5&gt;100),AND(AD$5&gt;0,AD$5&lt;100)),
VLOOKUP(FLOOR(('Final Term'!AD66/AD$5)*100,1),new_transmute,2,FALSE),
VLOOKUP('Final Term'!AD66,new_transmute,2,FALSE)
),
IF(Info!$B$4="Board program",
IF(OR(AND(AD$5&gt;0,AD$5&gt;100),AND(AD$5&gt;0,AD$5&lt;100)),
VLOOKUP(FLOOR(('Final Term'!AD66/AD$5)*100,1),new_transmute,3,FALSE),
VLOOKUP('Final Term'!AD66,new_transmute,3,FALSE)
),
IF(Info!$B$4="Board program (Medicine)",
IF(OR(AND(AD$5&gt;0,AD$5&gt;100),AND(AD$5&gt;0,AD$5&lt;100)),
VLOOKUP(FLOOR(('Final Term'!AD66/AD$5)*100,1),new_transmute,4,FALSE),
VLOOKUP('Final Term'!AD66,new_transmute,4,FALSE)
),
""
)
)
)
)
)
)
)
)
))</f>
        <v/>
      </c>
      <c r="AE66" s="58" t="str">
        <f t="shared" si="5"/>
        <v/>
      </c>
      <c r="AF66" s="73" t="str">
        <f>IF($B66="","",
IF(AF$5="","",
IF('Final Term'!AF66="",0,
IF(NOT(ISNUMBER('Final Term'!AF66)),"NAN",
IF('Final Term'!AF66&lt;0,"NEG",
IF('Final Term'!AF66&gt;AF$5,"OVER",
IF(AND(AF$5&lt;=100,'Final Term'!AF66&gt;100),"ERR",
IF(Info!$B$4="Non-board program",
IF(OR(AND(AF$5&gt;0,AF$5&gt;100),AND(AF$5&gt;0,AF$5&lt;100)),
VLOOKUP(FLOOR(('Final Term'!AF66/AF$5)*100,1),new_transmute,2,FALSE),
VLOOKUP('Final Term'!AF66,new_transmute,2,FALSE)
),
IF(Info!$B$4="Board program",
IF(OR(AND(AF$5&gt;0,AF$5&gt;100),AND(AF$5&gt;0,AF$5&lt;100)),
VLOOKUP(FLOOR(('Final Term'!AF66/AF$5)*100,1),new_transmute,3,FALSE),
VLOOKUP('Final Term'!AF66,new_transmute,3,FALSE)
),
IF(Info!$B$4="Board program (Medicine)",
IF(OR(AND(AF$5&gt;0,AF$5&gt;100),AND(AF$5&gt;0,AF$5&lt;100)),
VLOOKUP(FLOOR(('Final Term'!AF66/AF$5)*100,1),new_transmute,4,FALSE),
VLOOKUP('Final Term'!AF66,new_transmute,4,FALSE)
),
""
)
)
)
)
)
)
)
)
))</f>
        <v/>
      </c>
      <c r="AG66" s="73" t="str">
        <f>IF($B66="","",
IF(AG$5="","",
IF('Final Term'!AG66="",0,
IF(NOT(ISNUMBER('Final Term'!AG66)),"NAN",
IF('Final Term'!AG66&lt;0,"NEG",
IF('Final Term'!AG66&gt;AG$5,"OVER",
IF(AND(AG$5&lt;=100,'Final Term'!AG66&gt;100),"ERR",
IF(Info!$B$4="Non-board program",
IF(OR(AND(AG$5&gt;0,AG$5&gt;100),AND(AG$5&gt;0,AG$5&lt;100)),
VLOOKUP(FLOOR(('Final Term'!AG66/AG$5)*100,1),new_transmute,2,FALSE),
VLOOKUP('Final Term'!AG66,new_transmute,2,FALSE)
),
IF(Info!$B$4="Board program",
IF(OR(AND(AG$5&gt;0,AG$5&gt;100),AND(AG$5&gt;0,AG$5&lt;100)),
VLOOKUP(FLOOR(('Final Term'!AG66/AG$5)*100,1),new_transmute,3,FALSE),
VLOOKUP('Final Term'!AG66,new_transmute,3,FALSE)
),
IF(Info!$B$4="Board program (Medicine)",
IF(OR(AND(AG$5&gt;0,AG$5&gt;100),AND(AG$5&gt;0,AG$5&lt;100)),
VLOOKUP(FLOOR(('Final Term'!AG66/AG$5)*100,1),new_transmute,4,FALSE),
VLOOKUP('Final Term'!AG66,new_transmute,4,FALSE)
),
""
)
)
)
)
)
)
)
)
))</f>
        <v/>
      </c>
      <c r="AH66" s="73" t="str">
        <f>IF($B66="","",
IF(AH$5="","",
IF('Final Term'!AH66="",0,
IF(NOT(ISNUMBER('Final Term'!AH66)),"NAN",
IF('Final Term'!AH66&lt;0,"NEG",
IF('Final Term'!AH66&gt;AH$5,"OVER",
IF(AND(AH$5&lt;=100,'Final Term'!AH66&gt;100),"ERR",
IF(Info!$B$4="Non-board program",
IF(OR(AND(AH$5&gt;0,AH$5&gt;100),AND(AH$5&gt;0,AH$5&lt;100)),
VLOOKUP(FLOOR(('Final Term'!AH66/AH$5)*100,1),new_transmute,2,FALSE),
VLOOKUP('Final Term'!AH66,new_transmute,2,FALSE)
),
IF(Info!$B$4="Board program",
IF(OR(AND(AH$5&gt;0,AH$5&gt;100),AND(AH$5&gt;0,AH$5&lt;100)),
VLOOKUP(FLOOR(('Final Term'!AH66/AH$5)*100,1),new_transmute,3,FALSE),
VLOOKUP('Final Term'!AH66,new_transmute,3,FALSE)
),
IF(Info!$B$4="Board program (Medicine)",
IF(OR(AND(AH$5&gt;0,AH$5&gt;100),AND(AH$5&gt;0,AH$5&lt;100)),
VLOOKUP(FLOOR(('Final Term'!AH66/AH$5)*100,1),new_transmute,4,FALSE),
VLOOKUP('Final Term'!AH66,new_transmute,4,FALSE)
),
""
)
)
)
)
)
)
)
)
))</f>
        <v/>
      </c>
      <c r="AI66" s="73" t="str">
        <f>IF($B66="","",
IF(AI$5="","",
IF('Final Term'!AI66="",0,
IF(NOT(ISNUMBER('Final Term'!AI66)),"NAN",
IF('Final Term'!AI66&lt;0,"NEG",
IF('Final Term'!AI66&gt;AI$5,"OVER",
IF(AND(AI$5&lt;=100,'Final Term'!AI66&gt;100),"ERR",
IF(Info!$B$4="Non-board program",
IF(OR(AND(AI$5&gt;0,AI$5&gt;100),AND(AI$5&gt;0,AI$5&lt;100)),
VLOOKUP(FLOOR(('Final Term'!AI66/AI$5)*100,1),new_transmute,2,FALSE),
VLOOKUP('Final Term'!AI66,new_transmute,2,FALSE)
),
IF(Info!$B$4="Board program",
IF(OR(AND(AI$5&gt;0,AI$5&gt;100),AND(AI$5&gt;0,AI$5&lt;100)),
VLOOKUP(FLOOR(('Final Term'!AI66/AI$5)*100,1),new_transmute,3,FALSE),
VLOOKUP('Final Term'!AI66,new_transmute,3,FALSE)
),
IF(Info!$B$4="Board program (Medicine)",
IF(OR(AND(AI$5&gt;0,AI$5&gt;100),AND(AI$5&gt;0,AI$5&lt;100)),
VLOOKUP(FLOOR(('Final Term'!AI66/AI$5)*100,1),new_transmute,4,FALSE),
VLOOKUP('Final Term'!AI66,new_transmute,4,FALSE)
),
""
)
)
)
)
)
)
)
)
))</f>
        <v/>
      </c>
      <c r="AJ66" s="73" t="str">
        <f>IF($B66="","",
IF(AJ$5="","",
IF('Final Term'!AJ66="",0,
IF(NOT(ISNUMBER('Final Term'!AJ66)),"NAN",
IF('Final Term'!AJ66&lt;0,"NEG",
IF('Final Term'!AJ66&gt;AJ$5,"OVER",
IF(AND(AJ$5&lt;=100,'Final Term'!AJ66&gt;100),"ERR",
IF(Info!$B$4="Non-board program",
IF(OR(AND(AJ$5&gt;0,AJ$5&gt;100),AND(AJ$5&gt;0,AJ$5&lt;100)),
VLOOKUP(FLOOR(('Final Term'!AJ66/AJ$5)*100,1),new_transmute,2,FALSE),
VLOOKUP('Final Term'!AJ66,new_transmute,2,FALSE)
),
IF(Info!$B$4="Board program",
IF(OR(AND(AJ$5&gt;0,AJ$5&gt;100),AND(AJ$5&gt;0,AJ$5&lt;100)),
VLOOKUP(FLOOR(('Final Term'!AJ66/AJ$5)*100,1),new_transmute,3,FALSE),
VLOOKUP('Final Term'!AJ66,new_transmute,3,FALSE)
),
IF(Info!$B$4="Board program (Medicine)",
IF(OR(AND(AJ$5&gt;0,AJ$5&gt;100),AND(AJ$5&gt;0,AJ$5&lt;100)),
VLOOKUP(FLOOR(('Final Term'!AJ66/AJ$5)*100,1),new_transmute,4,FALSE),
VLOOKUP('Final Term'!AJ66,new_transmute,4,FALSE)
),
""
)
)
)
)
)
)
)
)
))</f>
        <v/>
      </c>
      <c r="AK66" s="59" t="str">
        <f t="shared" si="6"/>
        <v/>
      </c>
      <c r="AL66" s="60" t="str">
        <f>IF(B66="", "",
    IF(OR(M66="OVER", S66="OVER", Y66="OVER", AE66="OVER", AK66="OVER"),
        "OVER",
        IF(Info!$B$4="Non-board program",
            VLOOKUP(IFERROR(FLOOR(SUM((M66*$M$4), (S66*$S$4), (Y66*$Y$4), (AE66*$AE$4), (AK66*$AK$4)) * (100 / 60), 1), 0), new_transmute, 2, FALSE),
            IF(Info!$B$4="Board program",
                VLOOKUP(IFERROR(FLOOR(SUM((M66*$M$4), (S66*$S$4), (Y66*$Y$4), (AE66*$AE$4), (AK66*$AK$4)) * (100 / 60), 1), 0), new_transmute, 3, FALSE),
                IF(Info!$B$4="Board program (Medicine)",
                    VLOOKUP(IFERROR(FLOOR(SUM((M66*$M$4), (S66*$S$4), (Y66*$Y$4), (AE66*$AE$4), (AK66*$AK$4)) * (100 / 60), 1), 0), new_transmute, 4, FALSE),
                    ""
                )
            )
        )
    )
)</f>
        <v/>
      </c>
      <c r="AM66" s="73" t="str">
        <f>IF($B66="","",
IF(AM$5="","",
IF('Final Term'!AM66="",0,
IF(NOT(ISNUMBER('Final Term'!AM66)),"NAN",
IF('Final Term'!AM66&lt;0,"NEG",
IF('Final Term'!AM66&gt;AM$5,"OVER",
IF(AND(AM$5&lt;=100,'Final Term'!AM66&gt;100),"ERR",
IF(Info!$B$4="Non-board program",
IF(OR(AND(AM$5&gt;0,AM$5&gt;100),AND(AM$5&gt;0,AM$5&lt;100)),
VLOOKUP(FLOOR(('Final Term'!AM66/AM$5)*100,1),new_transmute,2,FALSE),
VLOOKUP('Final Term'!AM66,new_transmute,2,FALSE)
),
IF(Info!$B$4="Board program",
IF(OR(AND(AM$5&gt;0,AM$5&gt;100),AND(AM$5&gt;0,AM$5&lt;100)),
VLOOKUP(FLOOR(('Final Term'!AM66/AM$5)*100,1),new_transmute,3,FALSE),
VLOOKUP('Final Term'!AM66,new_transmute,3,FALSE)
),
IF(Info!$B$4="Board program (Medicine)",
IF(OR(AND(AM$5&gt;0,AM$5&gt;100),AND(AM$5&gt;0,AM$5&lt;100)),
VLOOKUP(FLOOR(('Final Term'!AM66/AM$5)*100,1),new_transmute,4,FALSE),
VLOOKUP('Final Term'!AM66,new_transmute,4,FALSE)
),
""
)
)
)
)
)
)
)
)
))</f>
        <v/>
      </c>
      <c r="AN66" s="73" t="str">
        <f>IF($B66="","",
IF(AN$5="","",
IF('Final Term'!AN66="",0,
IF(NOT(ISNUMBER('Final Term'!AN66)),"NAN",
IF('Final Term'!AN66&lt;0,"NEG",
IF('Final Term'!AN66&gt;AN$5,"OVER",
IF(AND(AN$5&lt;=100,'Final Term'!AN66&gt;100),"ERR",
IF(Info!$B$4="Non-board program",
IF(OR(AND(AN$5&gt;0,AN$5&gt;100),AND(AN$5&gt;0,AN$5&lt;100)),
VLOOKUP(FLOOR(('Final Term'!AN66/AN$5)*100,1),new_transmute,2,FALSE),
VLOOKUP('Final Term'!AN66,new_transmute,2,FALSE)
),
IF(Info!$B$4="Board program",
IF(OR(AND(AN$5&gt;0,AN$5&gt;100),AND(AN$5&gt;0,AN$5&lt;100)),
VLOOKUP(FLOOR(('Final Term'!AN66/AN$5)*100,1),new_transmute,3,FALSE),
VLOOKUP('Final Term'!AN66,new_transmute,3,FALSE)
),
IF(Info!$B$4="Board program (Medicine)",
IF(OR(AND(AN$5&gt;0,AN$5&gt;100),AND(AN$5&gt;0,AN$5&lt;100)),
VLOOKUP(FLOOR(('Final Term'!AN66/AN$5)*100,1),new_transmute,4,FALSE),
VLOOKUP('Final Term'!AN66,new_transmute,4,FALSE)
),
""
)
)
)
)
)
)
)
)
))</f>
        <v/>
      </c>
      <c r="AO66" s="73" t="str">
        <f>IF($B66="","",
IF(AO$5="","",
IF('Final Term'!AO66="",0,
IF(NOT(ISNUMBER('Final Term'!AO66)),"NAN",
IF('Final Term'!AO66&lt;0,"NEG",
IF('Final Term'!AO66&gt;AO$5,"OVER",
IF(AND(AO$5&lt;=100,'Final Term'!AO66&gt;100),"ERR",
IF(Info!$B$4="Non-board program",
IF(OR(AND(AO$5&gt;0,AO$5&gt;100),AND(AO$5&gt;0,AO$5&lt;100)),
VLOOKUP(FLOOR(('Final Term'!AO66/AO$5)*100,1),new_transmute,2,FALSE),
VLOOKUP('Final Term'!AO66,new_transmute,2,FALSE)
),
IF(Info!$B$4="Board program",
IF(OR(AND(AO$5&gt;0,AO$5&gt;100),AND(AO$5&gt;0,AO$5&lt;100)),
VLOOKUP(FLOOR(('Final Term'!AO66/AO$5)*100,1),new_transmute,3,FALSE),
VLOOKUP('Final Term'!AO66,new_transmute,3,FALSE)
),
IF(Info!$B$4="Board program (Medicine)",
IF(OR(AND(AO$5&gt;0,AO$5&gt;100),AND(AO$5&gt;0,AO$5&lt;100)),
VLOOKUP(FLOOR(('Final Term'!AO66/AO$5)*100,1),new_transmute,4,FALSE),
VLOOKUP('Final Term'!AO66,new_transmute,4,FALSE)
),
""
)
)
)
)
)
)
)
)
))</f>
        <v/>
      </c>
      <c r="AP66" s="73" t="str">
        <f>IF($B66="","",
IF(AP$5="","",
IF('Final Term'!AP66="",0,
IF(NOT(ISNUMBER('Final Term'!AP66)),"NAN",
IF('Final Term'!AP66&lt;0,"NEG",
IF('Final Term'!AP66&gt;AP$5,"OVER",
IF(AND(AP$5&lt;=100,'Final Term'!AP66&gt;100),"ERR",
IF(Info!$B$4="Non-board program",
IF(OR(AND(AP$5&gt;0,AP$5&gt;100),AND(AP$5&gt;0,AP$5&lt;100)),
VLOOKUP(FLOOR(('Final Term'!AP66/AP$5)*100,1),new_transmute,2,FALSE),
VLOOKUP('Final Term'!AP66,new_transmute,2,FALSE)
),
IF(Info!$B$4="Board program",
IF(OR(AND(AP$5&gt;0,AP$5&gt;100),AND(AP$5&gt;0,AP$5&lt;100)),
VLOOKUP(FLOOR(('Final Term'!AP66/AP$5)*100,1),new_transmute,3,FALSE),
VLOOKUP('Final Term'!AP66,new_transmute,3,FALSE)
),
IF(Info!$B$4="Board program (Medicine)",
IF(OR(AND(AP$5&gt;0,AP$5&gt;100),AND(AP$5&gt;0,AP$5&lt;100)),
VLOOKUP(FLOOR(('Final Term'!AP66/AP$5)*100,1),new_transmute,4,FALSE),
VLOOKUP('Final Term'!AP66,new_transmute,4,FALSE)
),
""
)
)
)
)
)
)
)
)
))</f>
        <v/>
      </c>
      <c r="AQ66" s="61" t="str">
        <f t="shared" si="7"/>
        <v/>
      </c>
      <c r="AR66" s="48" t="str">
        <f>IF('Final Term'!AR66="","",'Final Term'!AR66)</f>
        <v/>
      </c>
      <c r="AS66" s="165" t="str">
        <f t="shared" si="8"/>
        <v/>
      </c>
      <c r="AT66" s="14" t="str">
        <f t="shared" si="9"/>
        <v/>
      </c>
      <c r="AU66" s="13" t="str">
        <f>IF(B66="","",VLOOKUP(AT66,'New Grade Equivalent'!$B$3:$C$47,2,FALSE))</f>
        <v/>
      </c>
    </row>
    <row r="67" spans="1:47" x14ac:dyDescent="0.25">
      <c r="A67" s="8">
        <v>62</v>
      </c>
      <c r="B67" s="2" t="str">
        <f>IF('Student List'!C71="","",UPPER(LEFT('Student List'!C71,FIND(",",'Student List'!C71)-1)))</f>
        <v/>
      </c>
      <c r="C67" s="12" t="str">
        <f>IF('Student List'!C71="","",PROPER(MID('Student List'!C71, FIND(",", 'Student List'!C71) + 2, LEN('Student List'!C71) - FIND(",", 'Student List'!C71) - 1)))</f>
        <v/>
      </c>
      <c r="D67" s="127" t="str">
        <f>IF('Final Term'!D67="","",'Final Term'!D67)</f>
        <v/>
      </c>
      <c r="E67" s="8" t="str">
        <f>IF(MidCom!E67="FA", "FA",
    IF(MidCom!E67="DRP", "DRP",
        IF(MidCom!E67="WF", "WF",
            IF(D67="Yes", "INC",
               IF((SUM('MT Attendance'!AW65) / 3 + SUM('MT Attendance'!AY65) + SUM('FT Attendance'!AW65) / 3 + SUM('FT Attendance'!AY65)) &gt;= 0.2 * (SUMPRODUCT(--(ISTEXT('MT Attendance'!$C$2:$AU$2))) + SUMPRODUCT(--(ISTEXT('FT Attendance'!$C$2:$AU$2)))), "FA",
                   MidCom!E67
                )
            )
        )
    )
)</f>
        <v/>
      </c>
      <c r="F67" s="73" t="str">
        <f>IF($B67="","",
IF(F$5="","",
IF('Final Term'!F67="",0,
IF(NOT(ISNUMBER('Final Term'!F67)),"NAN",
IF('Final Term'!F67&lt;0,"NEG",
IF('Final Term'!F67&gt;F$5,"OVER",
IF(AND(F$5&lt;=100,'Final Term'!F67&gt;100),"ERR",
IF(Info!$B$4="Non-board program",
IF(OR(AND(F$5&gt;0,F$5&gt;100),AND(F$5&gt;0,F$5&lt;100)),
VLOOKUP(FLOOR(('Final Term'!F67/F$5)*100,1),new_transmute,2,FALSE),
VLOOKUP('Final Term'!F67,new_transmute,2,FALSE)
),
IF(Info!$B$4="Board program",
IF(OR(AND(F$5&gt;0,F$5&gt;100),AND(F$5&gt;0,F$5&lt;100)),
VLOOKUP(FLOOR(('Final Term'!F67/F$5)*100,1),new_transmute,3,FALSE),
VLOOKUP('Final Term'!F67,new_transmute,3,FALSE)
),
IF(Info!$B$4="Board program (Medicine)",
IF(OR(AND(F$5&gt;0,F$5&gt;100),AND(F$5&gt;0,F$5&lt;100)),
VLOOKUP(FLOOR(('Final Term'!F67/F$5)*100,1),new_transmute,4,FALSE),
VLOOKUP('Final Term'!F67,new_transmute,4,FALSE)
),
""
)
)
)
)
)
)
)
)
))</f>
        <v/>
      </c>
      <c r="G67" s="57" t="str">
        <f t="shared" si="1"/>
        <v/>
      </c>
      <c r="H67" s="73" t="str">
        <f>IF($B67="","",
IF(H$5="","",
IF('Final Term'!H67="",0,
IF(NOT(ISNUMBER('Final Term'!H67)),"NAN",
IF('Final Term'!H67&lt;0,"NEG",
IF('Final Term'!H67&gt;H$5,"OVER",
IF(AND(H$5&lt;=100,'Final Term'!H67&gt;100),"ERR",
IF(Info!$B$4="Non-board program",
IF(OR(AND(H$5&gt;0,H$5&gt;100),AND(H$5&gt;0,H$5&lt;100)),
VLOOKUP(FLOOR(('Final Term'!H67/H$5)*100,1),new_transmute,2,FALSE),
VLOOKUP('Final Term'!H67,new_transmute,2,FALSE)
),
IF(Info!$B$4="Board program",
IF(OR(AND(H$5&gt;0,H$5&gt;100),AND(H$5&gt;0,H$5&lt;100)),
VLOOKUP(FLOOR(('Final Term'!H67/H$5)*100,1),new_transmute,3,FALSE),
VLOOKUP('Final Term'!H67,new_transmute,3,FALSE)
),
IF(Info!$B$4="Board program (Medicine)",
IF(OR(AND(H$5&gt;0,H$5&gt;100),AND(H$5&gt;0,H$5&lt;100)),
VLOOKUP(FLOOR(('Final Term'!H67/H$5)*100,1),new_transmute,4,FALSE),
VLOOKUP('Final Term'!H67,new_transmute,4,FALSE)
),
""
)
)
)
)
)
)
)
)
))</f>
        <v/>
      </c>
      <c r="I67" s="73" t="str">
        <f>IF($B67="","",
IF(I$5="","",
IF('Final Term'!I67="",0,
IF(NOT(ISNUMBER('Final Term'!I67)),"NAN",
IF('Final Term'!I67&lt;0,"NEG",
IF('Final Term'!I67&gt;I$5,"OVER",
IF(AND(I$5&lt;=100,'Final Term'!I67&gt;100),"ERR",
IF(Info!$B$4="Non-board program",
IF(OR(AND(I$5&gt;0,I$5&gt;100),AND(I$5&gt;0,I$5&lt;100)),
VLOOKUP(FLOOR(('Final Term'!I67/I$5)*100,1),new_transmute,2,FALSE),
VLOOKUP('Final Term'!I67,new_transmute,2,FALSE)
),
IF(Info!$B$4="Board program",
IF(OR(AND(I$5&gt;0,I$5&gt;100),AND(I$5&gt;0,I$5&lt;100)),
VLOOKUP(FLOOR(('Final Term'!I67/I$5)*100,1),new_transmute,3,FALSE),
VLOOKUP('Final Term'!I67,new_transmute,3,FALSE)
),
IF(Info!$B$4="Board program (Medicine)",
IF(OR(AND(I$5&gt;0,I$5&gt;100),AND(I$5&gt;0,I$5&lt;100)),
VLOOKUP(FLOOR(('Final Term'!I67/I$5)*100,1),new_transmute,4,FALSE),
VLOOKUP('Final Term'!I67,new_transmute,4,FALSE)
),
""
)
)
)
)
)
)
)
)
))</f>
        <v/>
      </c>
      <c r="J67" s="73" t="str">
        <f>IF($B67="","",
IF(J$5="","",
IF('Final Term'!J67="",0,
IF(NOT(ISNUMBER('Final Term'!J67)),"NAN",
IF('Final Term'!J67&lt;0,"NEG",
IF('Final Term'!J67&gt;J$5,"OVER",
IF(AND(J$5&lt;=100,'Final Term'!J67&gt;100),"ERR",
IF(Info!$B$4="Non-board program",
IF(OR(AND(J$5&gt;0,J$5&gt;100),AND(J$5&gt;0,J$5&lt;100)),
VLOOKUP(FLOOR(('Final Term'!J67/J$5)*100,1),new_transmute,2,FALSE),
VLOOKUP('Final Term'!J67,new_transmute,2,FALSE)
),
IF(Info!$B$4="Board program",
IF(OR(AND(J$5&gt;0,J$5&gt;100),AND(J$5&gt;0,J$5&lt;100)),
VLOOKUP(FLOOR(('Final Term'!J67/J$5)*100,1),new_transmute,3,FALSE),
VLOOKUP('Final Term'!J67,new_transmute,3,FALSE)
),
IF(Info!$B$4="Board program (Medicine)",
IF(OR(AND(J$5&gt;0,J$5&gt;100),AND(J$5&gt;0,J$5&lt;100)),
VLOOKUP(FLOOR(('Final Term'!J67/J$5)*100,1),new_transmute,4,FALSE),
VLOOKUP('Final Term'!J67,new_transmute,4,FALSE)
),
""
)
)
)
)
)
)
)
)
))</f>
        <v/>
      </c>
      <c r="K67" s="73" t="str">
        <f>IF($B67="","",
IF(K$5="","",
IF('Final Term'!K67="",0,
IF(NOT(ISNUMBER('Final Term'!K67)),"NAN",
IF('Final Term'!K67&lt;0,"NEG",
IF('Final Term'!K67&gt;K$5,"OVER",
IF(AND(K$5&lt;=100,'Final Term'!K67&gt;100),"ERR",
IF(Info!$B$4="Non-board program",
IF(OR(AND(K$5&gt;0,K$5&gt;100),AND(K$5&gt;0,K$5&lt;100)),
VLOOKUP(FLOOR(('Final Term'!K67/K$5)*100,1),new_transmute,2,FALSE),
VLOOKUP('Final Term'!K67,new_transmute,2,FALSE)
),
IF(Info!$B$4="Board program",
IF(OR(AND(K$5&gt;0,K$5&gt;100),AND(K$5&gt;0,K$5&lt;100)),
VLOOKUP(FLOOR(('Final Term'!K67/K$5)*100,1),new_transmute,3,FALSE),
VLOOKUP('Final Term'!K67,new_transmute,3,FALSE)
),
IF(Info!$B$4="Board program (Medicine)",
IF(OR(AND(K$5&gt;0,K$5&gt;100),AND(K$5&gt;0,K$5&lt;100)),
VLOOKUP(FLOOR(('Final Term'!K67/K$5)*100,1),new_transmute,4,FALSE),
VLOOKUP('Final Term'!K67,new_transmute,4,FALSE)
),
""
)
)
)
)
)
)
)
)
))</f>
        <v/>
      </c>
      <c r="L67" s="73" t="str">
        <f>IF($B67="","",
IF(L$5="","",
IF('Final Term'!L67="",0,
IF(NOT(ISNUMBER('Final Term'!L67)),"NAN",
IF('Final Term'!L67&lt;0,"NEG",
IF('Final Term'!L67&gt;L$5,"OVER",
IF(AND(L$5&lt;=100,'Final Term'!L67&gt;100),"ERR",
IF(Info!$B$4="Non-board program",
IF(OR(AND(L$5&gt;0,L$5&gt;100),AND(L$5&gt;0,L$5&lt;100)),
VLOOKUP(FLOOR(('Final Term'!L67/L$5)*100,1),new_transmute,2,FALSE),
VLOOKUP('Final Term'!L67,new_transmute,2,FALSE)
),
IF(Info!$B$4="Board program",
IF(OR(AND(L$5&gt;0,L$5&gt;100),AND(L$5&gt;0,L$5&lt;100)),
VLOOKUP(FLOOR(('Final Term'!L67/L$5)*100,1),new_transmute,3,FALSE),
VLOOKUP('Final Term'!L67,new_transmute,3,FALSE)
),
IF(Info!$B$4="Board program (Medicine)",
IF(OR(AND(L$5&gt;0,L$5&gt;100),AND(L$5&gt;0,L$5&lt;100)),
VLOOKUP(FLOOR(('Final Term'!L67/L$5)*100,1),new_transmute,4,FALSE),
VLOOKUP('Final Term'!L67,new_transmute,4,FALSE)
),
""
)
)
)
)
)
)
)
)
))</f>
        <v/>
      </c>
      <c r="M67" s="111" t="str">
        <f t="shared" si="2"/>
        <v/>
      </c>
      <c r="N67" s="73" t="str">
        <f>IF($B67="","",
IF(N$5="","",
IF('Final Term'!N67="",0,
IF(NOT(ISNUMBER('Final Term'!N67)),"NAN",
IF('Final Term'!N67&lt;0,"NEG",
IF('Final Term'!N67&gt;N$5,"OVER",
IF(AND(N$5&lt;=100,'Final Term'!N67&gt;100),"ERR",
IF(Info!$B$4="Non-board program",
IF(OR(AND(N$5&gt;0,N$5&gt;100),AND(N$5&gt;0,N$5&lt;100)),
VLOOKUP(FLOOR(('Final Term'!N67/N$5)*100,1),new_transmute,2,FALSE),
VLOOKUP('Final Term'!N67,new_transmute,2,FALSE)
),
IF(Info!$B$4="Board program",
IF(OR(AND(N$5&gt;0,N$5&gt;100),AND(N$5&gt;0,N$5&lt;100)),
VLOOKUP(FLOOR(('Final Term'!N67/N$5)*100,1),new_transmute,3,FALSE),
VLOOKUP('Final Term'!N67,new_transmute,3,FALSE)
),
IF(Info!$B$4="Board program (Medicine)",
IF(OR(AND(N$5&gt;0,N$5&gt;100),AND(N$5&gt;0,N$5&lt;100)),
VLOOKUP(FLOOR(('Final Term'!N67/N$5)*100,1),new_transmute,4,FALSE),
VLOOKUP('Final Term'!N67,new_transmute,4,FALSE)
),
""
)
)
)
)
)
)
)
)
))</f>
        <v/>
      </c>
      <c r="O67" s="73" t="str">
        <f>IF($B67="","",
IF(O$5="","",
IF('Final Term'!O67="",0,
IF(NOT(ISNUMBER('Final Term'!O67)),"NAN",
IF('Final Term'!O67&lt;0,"NEG",
IF('Final Term'!O67&gt;O$5,"OVER",
IF(AND(O$5&lt;=100,'Final Term'!O67&gt;100),"ERR",
IF(Info!$B$4="Non-board program",
IF(OR(AND(O$5&gt;0,O$5&gt;100),AND(O$5&gt;0,O$5&lt;100)),
VLOOKUP(FLOOR(('Final Term'!O67/O$5)*100,1),new_transmute,2,FALSE),
VLOOKUP('Final Term'!O67,new_transmute,2,FALSE)
),
IF(Info!$B$4="Board program",
IF(OR(AND(O$5&gt;0,O$5&gt;100),AND(O$5&gt;0,O$5&lt;100)),
VLOOKUP(FLOOR(('Final Term'!O67/O$5)*100,1),new_transmute,3,FALSE),
VLOOKUP('Final Term'!O67,new_transmute,3,FALSE)
),
IF(Info!$B$4="Board program (Medicine)",
IF(OR(AND(O$5&gt;0,O$5&gt;100),AND(O$5&gt;0,O$5&lt;100)),
VLOOKUP(FLOOR(('Final Term'!O67/O$5)*100,1),new_transmute,4,FALSE),
VLOOKUP('Final Term'!O67,new_transmute,4,FALSE)
),
""
)
)
)
)
)
)
)
)
))</f>
        <v/>
      </c>
      <c r="P67" s="73" t="str">
        <f>IF($B67="","",
IF(P$5="","",
IF('Final Term'!P67="",0,
IF(NOT(ISNUMBER('Final Term'!P67)),"NAN",
IF('Final Term'!P67&lt;0,"NEG",
IF('Final Term'!P67&gt;P$5,"OVER",
IF(AND(P$5&lt;=100,'Final Term'!P67&gt;100),"ERR",
IF(Info!$B$4="Non-board program",
IF(OR(AND(P$5&gt;0,P$5&gt;100),AND(P$5&gt;0,P$5&lt;100)),
VLOOKUP(FLOOR(('Final Term'!P67/P$5)*100,1),new_transmute,2,FALSE),
VLOOKUP('Final Term'!P67,new_transmute,2,FALSE)
),
IF(Info!$B$4="Board program",
IF(OR(AND(P$5&gt;0,P$5&gt;100),AND(P$5&gt;0,P$5&lt;100)),
VLOOKUP(FLOOR(('Final Term'!P67/P$5)*100,1),new_transmute,3,FALSE),
VLOOKUP('Final Term'!P67,new_transmute,3,FALSE)
),
IF(Info!$B$4="Board program (Medicine)",
IF(OR(AND(P$5&gt;0,P$5&gt;100),AND(P$5&gt;0,P$5&lt;100)),
VLOOKUP(FLOOR(('Final Term'!P67/P$5)*100,1),new_transmute,4,FALSE),
VLOOKUP('Final Term'!P67,new_transmute,4,FALSE)
),
""
)
)
)
)
)
)
)
)
))</f>
        <v/>
      </c>
      <c r="Q67" s="73" t="str">
        <f>IF($B67="","",
IF(Q$5="","",
IF('Final Term'!Q67="",0,
IF(NOT(ISNUMBER('Final Term'!Q67)),"NAN",
IF('Final Term'!Q67&lt;0,"NEG",
IF('Final Term'!Q67&gt;Q$5,"OVER",
IF(AND(Q$5&lt;=100,'Final Term'!Q67&gt;100),"ERR",
IF(Info!$B$4="Non-board program",
IF(OR(AND(Q$5&gt;0,Q$5&gt;100),AND(Q$5&gt;0,Q$5&lt;100)),
VLOOKUP(FLOOR(('Final Term'!Q67/Q$5)*100,1),new_transmute,2,FALSE),
VLOOKUP('Final Term'!Q67,new_transmute,2,FALSE)
),
IF(Info!$B$4="Board program",
IF(OR(AND(Q$5&gt;0,Q$5&gt;100),AND(Q$5&gt;0,Q$5&lt;100)),
VLOOKUP(FLOOR(('Final Term'!Q67/Q$5)*100,1),new_transmute,3,FALSE),
VLOOKUP('Final Term'!Q67,new_transmute,3,FALSE)
),
IF(Info!$B$4="Board program (Medicine)",
IF(OR(AND(Q$5&gt;0,Q$5&gt;100),AND(Q$5&gt;0,Q$5&lt;100)),
VLOOKUP(FLOOR(('Final Term'!Q67/Q$5)*100,1),new_transmute,4,FALSE),
VLOOKUP('Final Term'!Q67,new_transmute,4,FALSE)
),
""
)
)
)
)
)
)
)
)
))</f>
        <v/>
      </c>
      <c r="R67" s="73" t="str">
        <f>IF($B67="","",
IF(R$5="","",
IF('Final Term'!R67="",0,
IF(NOT(ISNUMBER('Final Term'!R67)),"NAN",
IF('Final Term'!R67&lt;0,"NEG",
IF('Final Term'!R67&gt;R$5,"OVER",
IF(AND(R$5&lt;=100,'Final Term'!R67&gt;100),"ERR",
IF(Info!$B$4="Non-board program",
IF(OR(AND(R$5&gt;0,R$5&gt;100),AND(R$5&gt;0,R$5&lt;100)),
VLOOKUP(FLOOR(('Final Term'!R67/R$5)*100,1),new_transmute,2,FALSE),
VLOOKUP('Final Term'!R67,new_transmute,2,FALSE)
),
IF(Info!$B$4="Board program",
IF(OR(AND(R$5&gt;0,R$5&gt;100),AND(R$5&gt;0,R$5&lt;100)),
VLOOKUP(FLOOR(('Final Term'!R67/R$5)*100,1),new_transmute,3,FALSE),
VLOOKUP('Final Term'!R67,new_transmute,3,FALSE)
),
IF(Info!$B$4="Board program (Medicine)",
IF(OR(AND(R$5&gt;0,R$5&gt;100),AND(R$5&gt;0,R$5&lt;100)),
VLOOKUP(FLOOR(('Final Term'!R67/R$5)*100,1),new_transmute,4,FALSE),
VLOOKUP('Final Term'!R67,new_transmute,4,FALSE)
),
""
)
)
)
)
)
)
)
)
))</f>
        <v/>
      </c>
      <c r="S67" s="115" t="str">
        <f t="shared" si="3"/>
        <v/>
      </c>
      <c r="T67" s="73" t="str">
        <f>IF($B67="","",
IF(T$5="","",
IF('Final Term'!T67="",0,
IF(NOT(ISNUMBER('Final Term'!T67)),"NAN",
IF('Final Term'!T67&lt;0,"NEG",
IF('Final Term'!T67&gt;T$5,"OVER",
IF(AND(T$5&lt;=100,'Final Term'!T67&gt;100),"ERR",
IF(Info!$B$4="Non-board program",
IF(OR(AND(T$5&gt;0,T$5&gt;100),AND(T$5&gt;0,T$5&lt;100)),
VLOOKUP(FLOOR(('Final Term'!T67/T$5)*100,1),new_transmute,2,FALSE),
VLOOKUP('Final Term'!T67,new_transmute,2,FALSE)
),
IF(Info!$B$4="Board program",
IF(OR(AND(T$5&gt;0,T$5&gt;100),AND(T$5&gt;0,T$5&lt;100)),
VLOOKUP(FLOOR(('Final Term'!T67/T$5)*100,1),new_transmute,3,FALSE),
VLOOKUP('Final Term'!T67,new_transmute,3,FALSE)
),
IF(Info!$B$4="Board program (Medicine)",
IF(OR(AND(T$5&gt;0,T$5&gt;100),AND(T$5&gt;0,T$5&lt;100)),
VLOOKUP(FLOOR(('Final Term'!T67/T$5)*100,1),new_transmute,4,FALSE),
VLOOKUP('Final Term'!T67,new_transmute,4,FALSE)
),
""
)
)
)
)
)
)
)
)
))</f>
        <v/>
      </c>
      <c r="U67" s="73" t="str">
        <f>IF($B67="","",
IF(U$5="","",
IF('Final Term'!U67="",0,
IF(NOT(ISNUMBER('Final Term'!U67)),"NAN",
IF('Final Term'!U67&lt;0,"NEG",
IF('Final Term'!U67&gt;U$5,"OVER",
IF(AND(U$5&lt;=100,'Final Term'!U67&gt;100),"ERR",
IF(Info!$B$4="Non-board program",
IF(OR(AND(U$5&gt;0,U$5&gt;100),AND(U$5&gt;0,U$5&lt;100)),
VLOOKUP(FLOOR(('Final Term'!U67/U$5)*100,1),new_transmute,2,FALSE),
VLOOKUP('Final Term'!U67,new_transmute,2,FALSE)
),
IF(Info!$B$4="Board program",
IF(OR(AND(U$5&gt;0,U$5&gt;100),AND(U$5&gt;0,U$5&lt;100)),
VLOOKUP(FLOOR(('Final Term'!U67/U$5)*100,1),new_transmute,3,FALSE),
VLOOKUP('Final Term'!U67,new_transmute,3,FALSE)
),
IF(Info!$B$4="Board program (Medicine)",
IF(OR(AND(U$5&gt;0,U$5&gt;100),AND(U$5&gt;0,U$5&lt;100)),
VLOOKUP(FLOOR(('Final Term'!U67/U$5)*100,1),new_transmute,4,FALSE),
VLOOKUP('Final Term'!U67,new_transmute,4,FALSE)
),
""
)
)
)
)
)
)
)
)
))</f>
        <v/>
      </c>
      <c r="V67" s="73" t="str">
        <f>IF($B67="","",
IF(V$5="","",
IF('Final Term'!V67="",0,
IF(NOT(ISNUMBER('Final Term'!V67)),"NAN",
IF('Final Term'!V67&lt;0,"NEG",
IF('Final Term'!V67&gt;V$5,"OVER",
IF(AND(V$5&lt;=100,'Final Term'!V67&gt;100),"ERR",
IF(Info!$B$4="Non-board program",
IF(OR(AND(V$5&gt;0,V$5&gt;100),AND(V$5&gt;0,V$5&lt;100)),
VLOOKUP(FLOOR(('Final Term'!V67/V$5)*100,1),new_transmute,2,FALSE),
VLOOKUP('Final Term'!V67,new_transmute,2,FALSE)
),
IF(Info!$B$4="Board program",
IF(OR(AND(V$5&gt;0,V$5&gt;100),AND(V$5&gt;0,V$5&lt;100)),
VLOOKUP(FLOOR(('Final Term'!V67/V$5)*100,1),new_transmute,3,FALSE),
VLOOKUP('Final Term'!V67,new_transmute,3,FALSE)
),
IF(Info!$B$4="Board program (Medicine)",
IF(OR(AND(V$5&gt;0,V$5&gt;100),AND(V$5&gt;0,V$5&lt;100)),
VLOOKUP(FLOOR(('Final Term'!V67/V$5)*100,1),new_transmute,4,FALSE),
VLOOKUP('Final Term'!V67,new_transmute,4,FALSE)
),
""
)
)
)
)
)
)
)
)
))</f>
        <v/>
      </c>
      <c r="W67" s="73" t="str">
        <f>IF($B67="","",
IF(W$5="","",
IF('Final Term'!W67="",0,
IF(NOT(ISNUMBER('Final Term'!W67)),"NAN",
IF('Final Term'!W67&lt;0,"NEG",
IF('Final Term'!W67&gt;W$5,"OVER",
IF(AND(W$5&lt;=100,'Final Term'!W67&gt;100),"ERR",
IF(Info!$B$4="Non-board program",
IF(OR(AND(W$5&gt;0,W$5&gt;100),AND(W$5&gt;0,W$5&lt;100)),
VLOOKUP(FLOOR(('Final Term'!W67/W$5)*100,1),new_transmute,2,FALSE),
VLOOKUP('Final Term'!W67,new_transmute,2,FALSE)
),
IF(Info!$B$4="Board program",
IF(OR(AND(W$5&gt;0,W$5&gt;100),AND(W$5&gt;0,W$5&lt;100)),
VLOOKUP(FLOOR(('Final Term'!W67/W$5)*100,1),new_transmute,3,FALSE),
VLOOKUP('Final Term'!W67,new_transmute,3,FALSE)
),
IF(Info!$B$4="Board program (Medicine)",
IF(OR(AND(W$5&gt;0,W$5&gt;100),AND(W$5&gt;0,W$5&lt;100)),
VLOOKUP(FLOOR(('Final Term'!W67/W$5)*100,1),new_transmute,4,FALSE),
VLOOKUP('Final Term'!W67,new_transmute,4,FALSE)
),
""
)
)
)
)
)
)
)
)
))</f>
        <v/>
      </c>
      <c r="X67" s="73" t="str">
        <f>IF($B67="","",
IF(X$5="","",
IF('Final Term'!X67="",0,
IF(NOT(ISNUMBER('Final Term'!X67)),"NAN",
IF('Final Term'!X67&lt;0,"NEG",
IF('Final Term'!X67&gt;X$5,"OVER",
IF(AND(X$5&lt;=100,'Final Term'!X67&gt;100),"ERR",
IF(Info!$B$4="Non-board program",
IF(OR(AND(X$5&gt;0,X$5&gt;100),AND(X$5&gt;0,X$5&lt;100)),
VLOOKUP(FLOOR(('Final Term'!X67/X$5)*100,1),new_transmute,2,FALSE),
VLOOKUP('Final Term'!X67,new_transmute,2,FALSE)
),
IF(Info!$B$4="Board program",
IF(OR(AND(X$5&gt;0,X$5&gt;100),AND(X$5&gt;0,X$5&lt;100)),
VLOOKUP(FLOOR(('Final Term'!X67/X$5)*100,1),new_transmute,3,FALSE),
VLOOKUP('Final Term'!X67,new_transmute,3,FALSE)
),
IF(Info!$B$4="Board program (Medicine)",
IF(OR(AND(X$5&gt;0,X$5&gt;100),AND(X$5&gt;0,X$5&lt;100)),
VLOOKUP(FLOOR(('Final Term'!X67/X$5)*100,1),new_transmute,4,FALSE),
VLOOKUP('Final Term'!X67,new_transmute,4,FALSE)
),
""
)
)
)
)
)
)
)
)
))</f>
        <v/>
      </c>
      <c r="Y67" s="112" t="str">
        <f t="shared" si="4"/>
        <v/>
      </c>
      <c r="Z67" s="73" t="str">
        <f>IF($B67="","",
IF(Z$5="","",
IF('Final Term'!Z67="",0,
IF(NOT(ISNUMBER('Final Term'!Z67)),"NAN",
IF('Final Term'!Z67&lt;0,"NEG",
IF('Final Term'!Z67&gt;Z$5,"OVER",
IF(AND(Z$5&lt;=100,'Final Term'!Z67&gt;100),"ERR",
IF(Info!$B$4="Non-board program",
IF(OR(AND(Z$5&gt;0,Z$5&gt;100),AND(Z$5&gt;0,Z$5&lt;100)),
VLOOKUP(FLOOR(('Final Term'!Z67/Z$5)*100,1),new_transmute,2,FALSE),
VLOOKUP('Final Term'!Z67,new_transmute,2,FALSE)
),
IF(Info!$B$4="Board program",
IF(OR(AND(Z$5&gt;0,Z$5&gt;100),AND(Z$5&gt;0,Z$5&lt;100)),
VLOOKUP(FLOOR(('Final Term'!Z67/Z$5)*100,1),new_transmute,3,FALSE),
VLOOKUP('Final Term'!Z67,new_transmute,3,FALSE)
),
IF(Info!$B$4="Board program (Medicine)",
IF(OR(AND(Z$5&gt;0,Z$5&gt;100),AND(Z$5&gt;0,Z$5&lt;100)),
VLOOKUP(FLOOR(('Final Term'!Z67/Z$5)*100,1),new_transmute,4,FALSE),
VLOOKUP('Final Term'!Z67,new_transmute,4,FALSE)
),
""
)
)
)
)
)
)
)
)
))</f>
        <v/>
      </c>
      <c r="AA67" s="73" t="str">
        <f>IF($B67="","",
IF(AA$5="","",
IF('Final Term'!AA67="",0,
IF(NOT(ISNUMBER('Final Term'!AA67)),"NAN",
IF('Final Term'!AA67&lt;0,"NEG",
IF('Final Term'!AA67&gt;AA$5,"OVER",
IF(AND(AA$5&lt;=100,'Final Term'!AA67&gt;100),"ERR",
IF(Info!$B$4="Non-board program",
IF(OR(AND(AA$5&gt;0,AA$5&gt;100),AND(AA$5&gt;0,AA$5&lt;100)),
VLOOKUP(FLOOR(('Final Term'!AA67/AA$5)*100,1),new_transmute,2,FALSE),
VLOOKUP('Final Term'!AA67,new_transmute,2,FALSE)
),
IF(Info!$B$4="Board program",
IF(OR(AND(AA$5&gt;0,AA$5&gt;100),AND(AA$5&gt;0,AA$5&lt;100)),
VLOOKUP(FLOOR(('Final Term'!AA67/AA$5)*100,1),new_transmute,3,FALSE),
VLOOKUP('Final Term'!AA67,new_transmute,3,FALSE)
),
IF(Info!$B$4="Board program (Medicine)",
IF(OR(AND(AA$5&gt;0,AA$5&gt;100),AND(AA$5&gt;0,AA$5&lt;100)),
VLOOKUP(FLOOR(('Final Term'!AA67/AA$5)*100,1),new_transmute,4,FALSE),
VLOOKUP('Final Term'!AA67,new_transmute,4,FALSE)
),
""
)
)
)
)
)
)
)
)
))</f>
        <v/>
      </c>
      <c r="AB67" s="73" t="str">
        <f>IF($B67="","",
IF(AB$5="","",
IF('Final Term'!AB67="",0,
IF(NOT(ISNUMBER('Final Term'!AB67)),"NAN",
IF('Final Term'!AB67&lt;0,"NEG",
IF('Final Term'!AB67&gt;AB$5,"OVER",
IF(AND(AB$5&lt;=100,'Final Term'!AB67&gt;100),"ERR",
IF(Info!$B$4="Non-board program",
IF(OR(AND(AB$5&gt;0,AB$5&gt;100),AND(AB$5&gt;0,AB$5&lt;100)),
VLOOKUP(FLOOR(('Final Term'!AB67/AB$5)*100,1),new_transmute,2,FALSE),
VLOOKUP('Final Term'!AB67,new_transmute,2,FALSE)
),
IF(Info!$B$4="Board program",
IF(OR(AND(AB$5&gt;0,AB$5&gt;100),AND(AB$5&gt;0,AB$5&lt;100)),
VLOOKUP(FLOOR(('Final Term'!AB67/AB$5)*100,1),new_transmute,3,FALSE),
VLOOKUP('Final Term'!AB67,new_transmute,3,FALSE)
),
IF(Info!$B$4="Board program (Medicine)",
IF(OR(AND(AB$5&gt;0,AB$5&gt;100),AND(AB$5&gt;0,AB$5&lt;100)),
VLOOKUP(FLOOR(('Final Term'!AB67/AB$5)*100,1),new_transmute,4,FALSE),
VLOOKUP('Final Term'!AB67,new_transmute,4,FALSE)
),
""
)
)
)
)
)
)
)
)
))</f>
        <v/>
      </c>
      <c r="AC67" s="73" t="str">
        <f>IF($B67="","",
IF(AC$5="","",
IF('Final Term'!AC67="",0,
IF(NOT(ISNUMBER('Final Term'!AC67)),"NAN",
IF('Final Term'!AC67&lt;0,"NEG",
IF('Final Term'!AC67&gt;AC$5,"OVER",
IF(AND(AC$5&lt;=100,'Final Term'!AC67&gt;100),"ERR",
IF(Info!$B$4="Non-board program",
IF(OR(AND(AC$5&gt;0,AC$5&gt;100),AND(AC$5&gt;0,AC$5&lt;100)),
VLOOKUP(FLOOR(('Final Term'!AC67/AC$5)*100,1),new_transmute,2,FALSE),
VLOOKUP('Final Term'!AC67,new_transmute,2,FALSE)
),
IF(Info!$B$4="Board program",
IF(OR(AND(AC$5&gt;0,AC$5&gt;100),AND(AC$5&gt;0,AC$5&lt;100)),
VLOOKUP(FLOOR(('Final Term'!AC67/AC$5)*100,1),new_transmute,3,FALSE),
VLOOKUP('Final Term'!AC67,new_transmute,3,FALSE)
),
IF(Info!$B$4="Board program (Medicine)",
IF(OR(AND(AC$5&gt;0,AC$5&gt;100),AND(AC$5&gt;0,AC$5&lt;100)),
VLOOKUP(FLOOR(('Final Term'!AC67/AC$5)*100,1),new_transmute,4,FALSE),
VLOOKUP('Final Term'!AC67,new_transmute,4,FALSE)
),
""
)
)
)
)
)
)
)
)
))</f>
        <v/>
      </c>
      <c r="AD67" s="73" t="str">
        <f>IF($B67="","",
IF(AD$5="","",
IF('Final Term'!AD67="",0,
IF(NOT(ISNUMBER('Final Term'!AD67)),"NAN",
IF('Final Term'!AD67&lt;0,"NEG",
IF('Final Term'!AD67&gt;AD$5,"OVER",
IF(AND(AD$5&lt;=100,'Final Term'!AD67&gt;100),"ERR",
IF(Info!$B$4="Non-board program",
IF(OR(AND(AD$5&gt;0,AD$5&gt;100),AND(AD$5&gt;0,AD$5&lt;100)),
VLOOKUP(FLOOR(('Final Term'!AD67/AD$5)*100,1),new_transmute,2,FALSE),
VLOOKUP('Final Term'!AD67,new_transmute,2,FALSE)
),
IF(Info!$B$4="Board program",
IF(OR(AND(AD$5&gt;0,AD$5&gt;100),AND(AD$5&gt;0,AD$5&lt;100)),
VLOOKUP(FLOOR(('Final Term'!AD67/AD$5)*100,1),new_transmute,3,FALSE),
VLOOKUP('Final Term'!AD67,new_transmute,3,FALSE)
),
IF(Info!$B$4="Board program (Medicine)",
IF(OR(AND(AD$5&gt;0,AD$5&gt;100),AND(AD$5&gt;0,AD$5&lt;100)),
VLOOKUP(FLOOR(('Final Term'!AD67/AD$5)*100,1),new_transmute,4,FALSE),
VLOOKUP('Final Term'!AD67,new_transmute,4,FALSE)
),
""
)
)
)
)
)
)
)
)
))</f>
        <v/>
      </c>
      <c r="AE67" s="58" t="str">
        <f t="shared" si="5"/>
        <v/>
      </c>
      <c r="AF67" s="73" t="str">
        <f>IF($B67="","",
IF(AF$5="","",
IF('Final Term'!AF67="",0,
IF(NOT(ISNUMBER('Final Term'!AF67)),"NAN",
IF('Final Term'!AF67&lt;0,"NEG",
IF('Final Term'!AF67&gt;AF$5,"OVER",
IF(AND(AF$5&lt;=100,'Final Term'!AF67&gt;100),"ERR",
IF(Info!$B$4="Non-board program",
IF(OR(AND(AF$5&gt;0,AF$5&gt;100),AND(AF$5&gt;0,AF$5&lt;100)),
VLOOKUP(FLOOR(('Final Term'!AF67/AF$5)*100,1),new_transmute,2,FALSE),
VLOOKUP('Final Term'!AF67,new_transmute,2,FALSE)
),
IF(Info!$B$4="Board program",
IF(OR(AND(AF$5&gt;0,AF$5&gt;100),AND(AF$5&gt;0,AF$5&lt;100)),
VLOOKUP(FLOOR(('Final Term'!AF67/AF$5)*100,1),new_transmute,3,FALSE),
VLOOKUP('Final Term'!AF67,new_transmute,3,FALSE)
),
IF(Info!$B$4="Board program (Medicine)",
IF(OR(AND(AF$5&gt;0,AF$5&gt;100),AND(AF$5&gt;0,AF$5&lt;100)),
VLOOKUP(FLOOR(('Final Term'!AF67/AF$5)*100,1),new_transmute,4,FALSE),
VLOOKUP('Final Term'!AF67,new_transmute,4,FALSE)
),
""
)
)
)
)
)
)
)
)
))</f>
        <v/>
      </c>
      <c r="AG67" s="73" t="str">
        <f>IF($B67="","",
IF(AG$5="","",
IF('Final Term'!AG67="",0,
IF(NOT(ISNUMBER('Final Term'!AG67)),"NAN",
IF('Final Term'!AG67&lt;0,"NEG",
IF('Final Term'!AG67&gt;AG$5,"OVER",
IF(AND(AG$5&lt;=100,'Final Term'!AG67&gt;100),"ERR",
IF(Info!$B$4="Non-board program",
IF(OR(AND(AG$5&gt;0,AG$5&gt;100),AND(AG$5&gt;0,AG$5&lt;100)),
VLOOKUP(FLOOR(('Final Term'!AG67/AG$5)*100,1),new_transmute,2,FALSE),
VLOOKUP('Final Term'!AG67,new_transmute,2,FALSE)
),
IF(Info!$B$4="Board program",
IF(OR(AND(AG$5&gt;0,AG$5&gt;100),AND(AG$5&gt;0,AG$5&lt;100)),
VLOOKUP(FLOOR(('Final Term'!AG67/AG$5)*100,1),new_transmute,3,FALSE),
VLOOKUP('Final Term'!AG67,new_transmute,3,FALSE)
),
IF(Info!$B$4="Board program (Medicine)",
IF(OR(AND(AG$5&gt;0,AG$5&gt;100),AND(AG$5&gt;0,AG$5&lt;100)),
VLOOKUP(FLOOR(('Final Term'!AG67/AG$5)*100,1),new_transmute,4,FALSE),
VLOOKUP('Final Term'!AG67,new_transmute,4,FALSE)
),
""
)
)
)
)
)
)
)
)
))</f>
        <v/>
      </c>
      <c r="AH67" s="73" t="str">
        <f>IF($B67="","",
IF(AH$5="","",
IF('Final Term'!AH67="",0,
IF(NOT(ISNUMBER('Final Term'!AH67)),"NAN",
IF('Final Term'!AH67&lt;0,"NEG",
IF('Final Term'!AH67&gt;AH$5,"OVER",
IF(AND(AH$5&lt;=100,'Final Term'!AH67&gt;100),"ERR",
IF(Info!$B$4="Non-board program",
IF(OR(AND(AH$5&gt;0,AH$5&gt;100),AND(AH$5&gt;0,AH$5&lt;100)),
VLOOKUP(FLOOR(('Final Term'!AH67/AH$5)*100,1),new_transmute,2,FALSE),
VLOOKUP('Final Term'!AH67,new_transmute,2,FALSE)
),
IF(Info!$B$4="Board program",
IF(OR(AND(AH$5&gt;0,AH$5&gt;100),AND(AH$5&gt;0,AH$5&lt;100)),
VLOOKUP(FLOOR(('Final Term'!AH67/AH$5)*100,1),new_transmute,3,FALSE),
VLOOKUP('Final Term'!AH67,new_transmute,3,FALSE)
),
IF(Info!$B$4="Board program (Medicine)",
IF(OR(AND(AH$5&gt;0,AH$5&gt;100),AND(AH$5&gt;0,AH$5&lt;100)),
VLOOKUP(FLOOR(('Final Term'!AH67/AH$5)*100,1),new_transmute,4,FALSE),
VLOOKUP('Final Term'!AH67,new_transmute,4,FALSE)
),
""
)
)
)
)
)
)
)
)
))</f>
        <v/>
      </c>
      <c r="AI67" s="73" t="str">
        <f>IF($B67="","",
IF(AI$5="","",
IF('Final Term'!AI67="",0,
IF(NOT(ISNUMBER('Final Term'!AI67)),"NAN",
IF('Final Term'!AI67&lt;0,"NEG",
IF('Final Term'!AI67&gt;AI$5,"OVER",
IF(AND(AI$5&lt;=100,'Final Term'!AI67&gt;100),"ERR",
IF(Info!$B$4="Non-board program",
IF(OR(AND(AI$5&gt;0,AI$5&gt;100),AND(AI$5&gt;0,AI$5&lt;100)),
VLOOKUP(FLOOR(('Final Term'!AI67/AI$5)*100,1),new_transmute,2,FALSE),
VLOOKUP('Final Term'!AI67,new_transmute,2,FALSE)
),
IF(Info!$B$4="Board program",
IF(OR(AND(AI$5&gt;0,AI$5&gt;100),AND(AI$5&gt;0,AI$5&lt;100)),
VLOOKUP(FLOOR(('Final Term'!AI67/AI$5)*100,1),new_transmute,3,FALSE),
VLOOKUP('Final Term'!AI67,new_transmute,3,FALSE)
),
IF(Info!$B$4="Board program (Medicine)",
IF(OR(AND(AI$5&gt;0,AI$5&gt;100),AND(AI$5&gt;0,AI$5&lt;100)),
VLOOKUP(FLOOR(('Final Term'!AI67/AI$5)*100,1),new_transmute,4,FALSE),
VLOOKUP('Final Term'!AI67,new_transmute,4,FALSE)
),
""
)
)
)
)
)
)
)
)
))</f>
        <v/>
      </c>
      <c r="AJ67" s="73" t="str">
        <f>IF($B67="","",
IF(AJ$5="","",
IF('Final Term'!AJ67="",0,
IF(NOT(ISNUMBER('Final Term'!AJ67)),"NAN",
IF('Final Term'!AJ67&lt;0,"NEG",
IF('Final Term'!AJ67&gt;AJ$5,"OVER",
IF(AND(AJ$5&lt;=100,'Final Term'!AJ67&gt;100),"ERR",
IF(Info!$B$4="Non-board program",
IF(OR(AND(AJ$5&gt;0,AJ$5&gt;100),AND(AJ$5&gt;0,AJ$5&lt;100)),
VLOOKUP(FLOOR(('Final Term'!AJ67/AJ$5)*100,1),new_transmute,2,FALSE),
VLOOKUP('Final Term'!AJ67,new_transmute,2,FALSE)
),
IF(Info!$B$4="Board program",
IF(OR(AND(AJ$5&gt;0,AJ$5&gt;100),AND(AJ$5&gt;0,AJ$5&lt;100)),
VLOOKUP(FLOOR(('Final Term'!AJ67/AJ$5)*100,1),new_transmute,3,FALSE),
VLOOKUP('Final Term'!AJ67,new_transmute,3,FALSE)
),
IF(Info!$B$4="Board program (Medicine)",
IF(OR(AND(AJ$5&gt;0,AJ$5&gt;100),AND(AJ$5&gt;0,AJ$5&lt;100)),
VLOOKUP(FLOOR(('Final Term'!AJ67/AJ$5)*100,1),new_transmute,4,FALSE),
VLOOKUP('Final Term'!AJ67,new_transmute,4,FALSE)
),
""
)
)
)
)
)
)
)
)
))</f>
        <v/>
      </c>
      <c r="AK67" s="59" t="str">
        <f t="shared" si="6"/>
        <v/>
      </c>
      <c r="AL67" s="60" t="str">
        <f>IF(B67="", "",
    IF(OR(M67="OVER", S67="OVER", Y67="OVER", AE67="OVER", AK67="OVER"),
        "OVER",
        IF(Info!$B$4="Non-board program",
            VLOOKUP(IFERROR(FLOOR(SUM((M67*$M$4), (S67*$S$4), (Y67*$Y$4), (AE67*$AE$4), (AK67*$AK$4)) * (100 / 60), 1), 0), new_transmute, 2, FALSE),
            IF(Info!$B$4="Board program",
                VLOOKUP(IFERROR(FLOOR(SUM((M67*$M$4), (S67*$S$4), (Y67*$Y$4), (AE67*$AE$4), (AK67*$AK$4)) * (100 / 60), 1), 0), new_transmute, 3, FALSE),
                IF(Info!$B$4="Board program (Medicine)",
                    VLOOKUP(IFERROR(FLOOR(SUM((M67*$M$4), (S67*$S$4), (Y67*$Y$4), (AE67*$AE$4), (AK67*$AK$4)) * (100 / 60), 1), 0), new_transmute, 4, FALSE),
                    ""
                )
            )
        )
    )
)</f>
        <v/>
      </c>
      <c r="AM67" s="73" t="str">
        <f>IF($B67="","",
IF(AM$5="","",
IF('Final Term'!AM67="",0,
IF(NOT(ISNUMBER('Final Term'!AM67)),"NAN",
IF('Final Term'!AM67&lt;0,"NEG",
IF('Final Term'!AM67&gt;AM$5,"OVER",
IF(AND(AM$5&lt;=100,'Final Term'!AM67&gt;100),"ERR",
IF(Info!$B$4="Non-board program",
IF(OR(AND(AM$5&gt;0,AM$5&gt;100),AND(AM$5&gt;0,AM$5&lt;100)),
VLOOKUP(FLOOR(('Final Term'!AM67/AM$5)*100,1),new_transmute,2,FALSE),
VLOOKUP('Final Term'!AM67,new_transmute,2,FALSE)
),
IF(Info!$B$4="Board program",
IF(OR(AND(AM$5&gt;0,AM$5&gt;100),AND(AM$5&gt;0,AM$5&lt;100)),
VLOOKUP(FLOOR(('Final Term'!AM67/AM$5)*100,1),new_transmute,3,FALSE),
VLOOKUP('Final Term'!AM67,new_transmute,3,FALSE)
),
IF(Info!$B$4="Board program (Medicine)",
IF(OR(AND(AM$5&gt;0,AM$5&gt;100),AND(AM$5&gt;0,AM$5&lt;100)),
VLOOKUP(FLOOR(('Final Term'!AM67/AM$5)*100,1),new_transmute,4,FALSE),
VLOOKUP('Final Term'!AM67,new_transmute,4,FALSE)
),
""
)
)
)
)
)
)
)
)
))</f>
        <v/>
      </c>
      <c r="AN67" s="73" t="str">
        <f>IF($B67="","",
IF(AN$5="","",
IF('Final Term'!AN67="",0,
IF(NOT(ISNUMBER('Final Term'!AN67)),"NAN",
IF('Final Term'!AN67&lt;0,"NEG",
IF('Final Term'!AN67&gt;AN$5,"OVER",
IF(AND(AN$5&lt;=100,'Final Term'!AN67&gt;100),"ERR",
IF(Info!$B$4="Non-board program",
IF(OR(AND(AN$5&gt;0,AN$5&gt;100),AND(AN$5&gt;0,AN$5&lt;100)),
VLOOKUP(FLOOR(('Final Term'!AN67/AN$5)*100,1),new_transmute,2,FALSE),
VLOOKUP('Final Term'!AN67,new_transmute,2,FALSE)
),
IF(Info!$B$4="Board program",
IF(OR(AND(AN$5&gt;0,AN$5&gt;100),AND(AN$5&gt;0,AN$5&lt;100)),
VLOOKUP(FLOOR(('Final Term'!AN67/AN$5)*100,1),new_transmute,3,FALSE),
VLOOKUP('Final Term'!AN67,new_transmute,3,FALSE)
),
IF(Info!$B$4="Board program (Medicine)",
IF(OR(AND(AN$5&gt;0,AN$5&gt;100),AND(AN$5&gt;0,AN$5&lt;100)),
VLOOKUP(FLOOR(('Final Term'!AN67/AN$5)*100,1),new_transmute,4,FALSE),
VLOOKUP('Final Term'!AN67,new_transmute,4,FALSE)
),
""
)
)
)
)
)
)
)
)
))</f>
        <v/>
      </c>
      <c r="AO67" s="73" t="str">
        <f>IF($B67="","",
IF(AO$5="","",
IF('Final Term'!AO67="",0,
IF(NOT(ISNUMBER('Final Term'!AO67)),"NAN",
IF('Final Term'!AO67&lt;0,"NEG",
IF('Final Term'!AO67&gt;AO$5,"OVER",
IF(AND(AO$5&lt;=100,'Final Term'!AO67&gt;100),"ERR",
IF(Info!$B$4="Non-board program",
IF(OR(AND(AO$5&gt;0,AO$5&gt;100),AND(AO$5&gt;0,AO$5&lt;100)),
VLOOKUP(FLOOR(('Final Term'!AO67/AO$5)*100,1),new_transmute,2,FALSE),
VLOOKUP('Final Term'!AO67,new_transmute,2,FALSE)
),
IF(Info!$B$4="Board program",
IF(OR(AND(AO$5&gt;0,AO$5&gt;100),AND(AO$5&gt;0,AO$5&lt;100)),
VLOOKUP(FLOOR(('Final Term'!AO67/AO$5)*100,1),new_transmute,3,FALSE),
VLOOKUP('Final Term'!AO67,new_transmute,3,FALSE)
),
IF(Info!$B$4="Board program (Medicine)",
IF(OR(AND(AO$5&gt;0,AO$5&gt;100),AND(AO$5&gt;0,AO$5&lt;100)),
VLOOKUP(FLOOR(('Final Term'!AO67/AO$5)*100,1),new_transmute,4,FALSE),
VLOOKUP('Final Term'!AO67,new_transmute,4,FALSE)
),
""
)
)
)
)
)
)
)
)
))</f>
        <v/>
      </c>
      <c r="AP67" s="73" t="str">
        <f>IF($B67="","",
IF(AP$5="","",
IF('Final Term'!AP67="",0,
IF(NOT(ISNUMBER('Final Term'!AP67)),"NAN",
IF('Final Term'!AP67&lt;0,"NEG",
IF('Final Term'!AP67&gt;AP$5,"OVER",
IF(AND(AP$5&lt;=100,'Final Term'!AP67&gt;100),"ERR",
IF(Info!$B$4="Non-board program",
IF(OR(AND(AP$5&gt;0,AP$5&gt;100),AND(AP$5&gt;0,AP$5&lt;100)),
VLOOKUP(FLOOR(('Final Term'!AP67/AP$5)*100,1),new_transmute,2,FALSE),
VLOOKUP('Final Term'!AP67,new_transmute,2,FALSE)
),
IF(Info!$B$4="Board program",
IF(OR(AND(AP$5&gt;0,AP$5&gt;100),AND(AP$5&gt;0,AP$5&lt;100)),
VLOOKUP(FLOOR(('Final Term'!AP67/AP$5)*100,1),new_transmute,3,FALSE),
VLOOKUP('Final Term'!AP67,new_transmute,3,FALSE)
),
IF(Info!$B$4="Board program (Medicine)",
IF(OR(AND(AP$5&gt;0,AP$5&gt;100),AND(AP$5&gt;0,AP$5&lt;100)),
VLOOKUP(FLOOR(('Final Term'!AP67/AP$5)*100,1),new_transmute,4,FALSE),
VLOOKUP('Final Term'!AP67,new_transmute,4,FALSE)
),
""
)
)
)
)
)
)
)
)
))</f>
        <v/>
      </c>
      <c r="AQ67" s="61" t="str">
        <f t="shared" si="7"/>
        <v/>
      </c>
      <c r="AR67" s="48" t="str">
        <f>IF('Final Term'!AR67="","",'Final Term'!AR67)</f>
        <v/>
      </c>
      <c r="AS67" s="165" t="str">
        <f t="shared" si="8"/>
        <v/>
      </c>
      <c r="AT67" s="14" t="str">
        <f t="shared" si="9"/>
        <v/>
      </c>
      <c r="AU67" s="13" t="str">
        <f>IF(B67="","",VLOOKUP(AT67,'New Grade Equivalent'!$B$3:$C$47,2,FALSE))</f>
        <v/>
      </c>
    </row>
    <row r="68" spans="1:47" x14ac:dyDescent="0.25">
      <c r="A68" s="8">
        <v>63</v>
      </c>
      <c r="B68" s="2" t="str">
        <f>IF('Student List'!C72="","",UPPER(LEFT('Student List'!C72,FIND(",",'Student List'!C72)-1)))</f>
        <v/>
      </c>
      <c r="C68" s="12" t="str">
        <f>IF('Student List'!C72="","",PROPER(MID('Student List'!C72, FIND(",", 'Student List'!C72) + 2, LEN('Student List'!C72) - FIND(",", 'Student List'!C72) - 1)))</f>
        <v/>
      </c>
      <c r="D68" s="127" t="str">
        <f>IF('Final Term'!D68="","",'Final Term'!D68)</f>
        <v/>
      </c>
      <c r="E68" s="8" t="str">
        <f>IF(MidCom!E68="FA", "FA",
    IF(MidCom!E68="DRP", "DRP",
        IF(MidCom!E68="WF", "WF",
            IF(D68="Yes", "INC",
               IF((SUM('MT Attendance'!AW66) / 3 + SUM('MT Attendance'!AY66) + SUM('FT Attendance'!AW66) / 3 + SUM('FT Attendance'!AY66)) &gt;= 0.2 * (SUMPRODUCT(--(ISTEXT('MT Attendance'!$C$2:$AU$2))) + SUMPRODUCT(--(ISTEXT('FT Attendance'!$C$2:$AU$2)))), "FA",
                   MidCom!E68
                )
            )
        )
    )
)</f>
        <v/>
      </c>
      <c r="F68" s="73" t="str">
        <f>IF($B68="","",
IF(F$5="","",
IF('Final Term'!F68="",0,
IF(NOT(ISNUMBER('Final Term'!F68)),"NAN",
IF('Final Term'!F68&lt;0,"NEG",
IF('Final Term'!F68&gt;F$5,"OVER",
IF(AND(F$5&lt;=100,'Final Term'!F68&gt;100),"ERR",
IF(Info!$B$4="Non-board program",
IF(OR(AND(F$5&gt;0,F$5&gt;100),AND(F$5&gt;0,F$5&lt;100)),
VLOOKUP(FLOOR(('Final Term'!F68/F$5)*100,1),new_transmute,2,FALSE),
VLOOKUP('Final Term'!F68,new_transmute,2,FALSE)
),
IF(Info!$B$4="Board program",
IF(OR(AND(F$5&gt;0,F$5&gt;100),AND(F$5&gt;0,F$5&lt;100)),
VLOOKUP(FLOOR(('Final Term'!F68/F$5)*100,1),new_transmute,3,FALSE),
VLOOKUP('Final Term'!F68,new_transmute,3,FALSE)
),
IF(Info!$B$4="Board program (Medicine)",
IF(OR(AND(F$5&gt;0,F$5&gt;100),AND(F$5&gt;0,F$5&lt;100)),
VLOOKUP(FLOOR(('Final Term'!F68/F$5)*100,1),new_transmute,4,FALSE),
VLOOKUP('Final Term'!F68,new_transmute,4,FALSE)
),
""
)
)
)
)
)
)
)
)
))</f>
        <v/>
      </c>
      <c r="G68" s="57" t="str">
        <f t="shared" si="1"/>
        <v/>
      </c>
      <c r="H68" s="73" t="str">
        <f>IF($B68="","",
IF(H$5="","",
IF('Final Term'!H68="",0,
IF(NOT(ISNUMBER('Final Term'!H68)),"NAN",
IF('Final Term'!H68&lt;0,"NEG",
IF('Final Term'!H68&gt;H$5,"OVER",
IF(AND(H$5&lt;=100,'Final Term'!H68&gt;100),"ERR",
IF(Info!$B$4="Non-board program",
IF(OR(AND(H$5&gt;0,H$5&gt;100),AND(H$5&gt;0,H$5&lt;100)),
VLOOKUP(FLOOR(('Final Term'!H68/H$5)*100,1),new_transmute,2,FALSE),
VLOOKUP('Final Term'!H68,new_transmute,2,FALSE)
),
IF(Info!$B$4="Board program",
IF(OR(AND(H$5&gt;0,H$5&gt;100),AND(H$5&gt;0,H$5&lt;100)),
VLOOKUP(FLOOR(('Final Term'!H68/H$5)*100,1),new_transmute,3,FALSE),
VLOOKUP('Final Term'!H68,new_transmute,3,FALSE)
),
IF(Info!$B$4="Board program (Medicine)",
IF(OR(AND(H$5&gt;0,H$5&gt;100),AND(H$5&gt;0,H$5&lt;100)),
VLOOKUP(FLOOR(('Final Term'!H68/H$5)*100,1),new_transmute,4,FALSE),
VLOOKUP('Final Term'!H68,new_transmute,4,FALSE)
),
""
)
)
)
)
)
)
)
)
))</f>
        <v/>
      </c>
      <c r="I68" s="73" t="str">
        <f>IF($B68="","",
IF(I$5="","",
IF('Final Term'!I68="",0,
IF(NOT(ISNUMBER('Final Term'!I68)),"NAN",
IF('Final Term'!I68&lt;0,"NEG",
IF('Final Term'!I68&gt;I$5,"OVER",
IF(AND(I$5&lt;=100,'Final Term'!I68&gt;100),"ERR",
IF(Info!$B$4="Non-board program",
IF(OR(AND(I$5&gt;0,I$5&gt;100),AND(I$5&gt;0,I$5&lt;100)),
VLOOKUP(FLOOR(('Final Term'!I68/I$5)*100,1),new_transmute,2,FALSE),
VLOOKUP('Final Term'!I68,new_transmute,2,FALSE)
),
IF(Info!$B$4="Board program",
IF(OR(AND(I$5&gt;0,I$5&gt;100),AND(I$5&gt;0,I$5&lt;100)),
VLOOKUP(FLOOR(('Final Term'!I68/I$5)*100,1),new_transmute,3,FALSE),
VLOOKUP('Final Term'!I68,new_transmute,3,FALSE)
),
IF(Info!$B$4="Board program (Medicine)",
IF(OR(AND(I$5&gt;0,I$5&gt;100),AND(I$5&gt;0,I$5&lt;100)),
VLOOKUP(FLOOR(('Final Term'!I68/I$5)*100,1),new_transmute,4,FALSE),
VLOOKUP('Final Term'!I68,new_transmute,4,FALSE)
),
""
)
)
)
)
)
)
)
)
))</f>
        <v/>
      </c>
      <c r="J68" s="73" t="str">
        <f>IF($B68="","",
IF(J$5="","",
IF('Final Term'!J68="",0,
IF(NOT(ISNUMBER('Final Term'!J68)),"NAN",
IF('Final Term'!J68&lt;0,"NEG",
IF('Final Term'!J68&gt;J$5,"OVER",
IF(AND(J$5&lt;=100,'Final Term'!J68&gt;100),"ERR",
IF(Info!$B$4="Non-board program",
IF(OR(AND(J$5&gt;0,J$5&gt;100),AND(J$5&gt;0,J$5&lt;100)),
VLOOKUP(FLOOR(('Final Term'!J68/J$5)*100,1),new_transmute,2,FALSE),
VLOOKUP('Final Term'!J68,new_transmute,2,FALSE)
),
IF(Info!$B$4="Board program",
IF(OR(AND(J$5&gt;0,J$5&gt;100),AND(J$5&gt;0,J$5&lt;100)),
VLOOKUP(FLOOR(('Final Term'!J68/J$5)*100,1),new_transmute,3,FALSE),
VLOOKUP('Final Term'!J68,new_transmute,3,FALSE)
),
IF(Info!$B$4="Board program (Medicine)",
IF(OR(AND(J$5&gt;0,J$5&gt;100),AND(J$5&gt;0,J$5&lt;100)),
VLOOKUP(FLOOR(('Final Term'!J68/J$5)*100,1),new_transmute,4,FALSE),
VLOOKUP('Final Term'!J68,new_transmute,4,FALSE)
),
""
)
)
)
)
)
)
)
)
))</f>
        <v/>
      </c>
      <c r="K68" s="73" t="str">
        <f>IF($B68="","",
IF(K$5="","",
IF('Final Term'!K68="",0,
IF(NOT(ISNUMBER('Final Term'!K68)),"NAN",
IF('Final Term'!K68&lt;0,"NEG",
IF('Final Term'!K68&gt;K$5,"OVER",
IF(AND(K$5&lt;=100,'Final Term'!K68&gt;100),"ERR",
IF(Info!$B$4="Non-board program",
IF(OR(AND(K$5&gt;0,K$5&gt;100),AND(K$5&gt;0,K$5&lt;100)),
VLOOKUP(FLOOR(('Final Term'!K68/K$5)*100,1),new_transmute,2,FALSE),
VLOOKUP('Final Term'!K68,new_transmute,2,FALSE)
),
IF(Info!$B$4="Board program",
IF(OR(AND(K$5&gt;0,K$5&gt;100),AND(K$5&gt;0,K$5&lt;100)),
VLOOKUP(FLOOR(('Final Term'!K68/K$5)*100,1),new_transmute,3,FALSE),
VLOOKUP('Final Term'!K68,new_transmute,3,FALSE)
),
IF(Info!$B$4="Board program (Medicine)",
IF(OR(AND(K$5&gt;0,K$5&gt;100),AND(K$5&gt;0,K$5&lt;100)),
VLOOKUP(FLOOR(('Final Term'!K68/K$5)*100,1),new_transmute,4,FALSE),
VLOOKUP('Final Term'!K68,new_transmute,4,FALSE)
),
""
)
)
)
)
)
)
)
)
))</f>
        <v/>
      </c>
      <c r="L68" s="73" t="str">
        <f>IF($B68="","",
IF(L$5="","",
IF('Final Term'!L68="",0,
IF(NOT(ISNUMBER('Final Term'!L68)),"NAN",
IF('Final Term'!L68&lt;0,"NEG",
IF('Final Term'!L68&gt;L$5,"OVER",
IF(AND(L$5&lt;=100,'Final Term'!L68&gt;100),"ERR",
IF(Info!$B$4="Non-board program",
IF(OR(AND(L$5&gt;0,L$5&gt;100),AND(L$5&gt;0,L$5&lt;100)),
VLOOKUP(FLOOR(('Final Term'!L68/L$5)*100,1),new_transmute,2,FALSE),
VLOOKUP('Final Term'!L68,new_transmute,2,FALSE)
),
IF(Info!$B$4="Board program",
IF(OR(AND(L$5&gt;0,L$5&gt;100),AND(L$5&gt;0,L$5&lt;100)),
VLOOKUP(FLOOR(('Final Term'!L68/L$5)*100,1),new_transmute,3,FALSE),
VLOOKUP('Final Term'!L68,new_transmute,3,FALSE)
),
IF(Info!$B$4="Board program (Medicine)",
IF(OR(AND(L$5&gt;0,L$5&gt;100),AND(L$5&gt;0,L$5&lt;100)),
VLOOKUP(FLOOR(('Final Term'!L68/L$5)*100,1),new_transmute,4,FALSE),
VLOOKUP('Final Term'!L68,new_transmute,4,FALSE)
),
""
)
)
)
)
)
)
)
)
))</f>
        <v/>
      </c>
      <c r="M68" s="111" t="str">
        <f t="shared" si="2"/>
        <v/>
      </c>
      <c r="N68" s="73" t="str">
        <f>IF($B68="","",
IF(N$5="","",
IF('Final Term'!N68="",0,
IF(NOT(ISNUMBER('Final Term'!N68)),"NAN",
IF('Final Term'!N68&lt;0,"NEG",
IF('Final Term'!N68&gt;N$5,"OVER",
IF(AND(N$5&lt;=100,'Final Term'!N68&gt;100),"ERR",
IF(Info!$B$4="Non-board program",
IF(OR(AND(N$5&gt;0,N$5&gt;100),AND(N$5&gt;0,N$5&lt;100)),
VLOOKUP(FLOOR(('Final Term'!N68/N$5)*100,1),new_transmute,2,FALSE),
VLOOKUP('Final Term'!N68,new_transmute,2,FALSE)
),
IF(Info!$B$4="Board program",
IF(OR(AND(N$5&gt;0,N$5&gt;100),AND(N$5&gt;0,N$5&lt;100)),
VLOOKUP(FLOOR(('Final Term'!N68/N$5)*100,1),new_transmute,3,FALSE),
VLOOKUP('Final Term'!N68,new_transmute,3,FALSE)
),
IF(Info!$B$4="Board program (Medicine)",
IF(OR(AND(N$5&gt;0,N$5&gt;100),AND(N$5&gt;0,N$5&lt;100)),
VLOOKUP(FLOOR(('Final Term'!N68/N$5)*100,1),new_transmute,4,FALSE),
VLOOKUP('Final Term'!N68,new_transmute,4,FALSE)
),
""
)
)
)
)
)
)
)
)
))</f>
        <v/>
      </c>
      <c r="O68" s="73" t="str">
        <f>IF($B68="","",
IF(O$5="","",
IF('Final Term'!O68="",0,
IF(NOT(ISNUMBER('Final Term'!O68)),"NAN",
IF('Final Term'!O68&lt;0,"NEG",
IF('Final Term'!O68&gt;O$5,"OVER",
IF(AND(O$5&lt;=100,'Final Term'!O68&gt;100),"ERR",
IF(Info!$B$4="Non-board program",
IF(OR(AND(O$5&gt;0,O$5&gt;100),AND(O$5&gt;0,O$5&lt;100)),
VLOOKUP(FLOOR(('Final Term'!O68/O$5)*100,1),new_transmute,2,FALSE),
VLOOKUP('Final Term'!O68,new_transmute,2,FALSE)
),
IF(Info!$B$4="Board program",
IF(OR(AND(O$5&gt;0,O$5&gt;100),AND(O$5&gt;0,O$5&lt;100)),
VLOOKUP(FLOOR(('Final Term'!O68/O$5)*100,1),new_transmute,3,FALSE),
VLOOKUP('Final Term'!O68,new_transmute,3,FALSE)
),
IF(Info!$B$4="Board program (Medicine)",
IF(OR(AND(O$5&gt;0,O$5&gt;100),AND(O$5&gt;0,O$5&lt;100)),
VLOOKUP(FLOOR(('Final Term'!O68/O$5)*100,1),new_transmute,4,FALSE),
VLOOKUP('Final Term'!O68,new_transmute,4,FALSE)
),
""
)
)
)
)
)
)
)
)
))</f>
        <v/>
      </c>
      <c r="P68" s="73" t="str">
        <f>IF($B68="","",
IF(P$5="","",
IF('Final Term'!P68="",0,
IF(NOT(ISNUMBER('Final Term'!P68)),"NAN",
IF('Final Term'!P68&lt;0,"NEG",
IF('Final Term'!P68&gt;P$5,"OVER",
IF(AND(P$5&lt;=100,'Final Term'!P68&gt;100),"ERR",
IF(Info!$B$4="Non-board program",
IF(OR(AND(P$5&gt;0,P$5&gt;100),AND(P$5&gt;0,P$5&lt;100)),
VLOOKUP(FLOOR(('Final Term'!P68/P$5)*100,1),new_transmute,2,FALSE),
VLOOKUP('Final Term'!P68,new_transmute,2,FALSE)
),
IF(Info!$B$4="Board program",
IF(OR(AND(P$5&gt;0,P$5&gt;100),AND(P$5&gt;0,P$5&lt;100)),
VLOOKUP(FLOOR(('Final Term'!P68/P$5)*100,1),new_transmute,3,FALSE),
VLOOKUP('Final Term'!P68,new_transmute,3,FALSE)
),
IF(Info!$B$4="Board program (Medicine)",
IF(OR(AND(P$5&gt;0,P$5&gt;100),AND(P$5&gt;0,P$5&lt;100)),
VLOOKUP(FLOOR(('Final Term'!P68/P$5)*100,1),new_transmute,4,FALSE),
VLOOKUP('Final Term'!P68,new_transmute,4,FALSE)
),
""
)
)
)
)
)
)
)
)
))</f>
        <v/>
      </c>
      <c r="Q68" s="73" t="str">
        <f>IF($B68="","",
IF(Q$5="","",
IF('Final Term'!Q68="",0,
IF(NOT(ISNUMBER('Final Term'!Q68)),"NAN",
IF('Final Term'!Q68&lt;0,"NEG",
IF('Final Term'!Q68&gt;Q$5,"OVER",
IF(AND(Q$5&lt;=100,'Final Term'!Q68&gt;100),"ERR",
IF(Info!$B$4="Non-board program",
IF(OR(AND(Q$5&gt;0,Q$5&gt;100),AND(Q$5&gt;0,Q$5&lt;100)),
VLOOKUP(FLOOR(('Final Term'!Q68/Q$5)*100,1),new_transmute,2,FALSE),
VLOOKUP('Final Term'!Q68,new_transmute,2,FALSE)
),
IF(Info!$B$4="Board program",
IF(OR(AND(Q$5&gt;0,Q$5&gt;100),AND(Q$5&gt;0,Q$5&lt;100)),
VLOOKUP(FLOOR(('Final Term'!Q68/Q$5)*100,1),new_transmute,3,FALSE),
VLOOKUP('Final Term'!Q68,new_transmute,3,FALSE)
),
IF(Info!$B$4="Board program (Medicine)",
IF(OR(AND(Q$5&gt;0,Q$5&gt;100),AND(Q$5&gt;0,Q$5&lt;100)),
VLOOKUP(FLOOR(('Final Term'!Q68/Q$5)*100,1),new_transmute,4,FALSE),
VLOOKUP('Final Term'!Q68,new_transmute,4,FALSE)
),
""
)
)
)
)
)
)
)
)
))</f>
        <v/>
      </c>
      <c r="R68" s="73" t="str">
        <f>IF($B68="","",
IF(R$5="","",
IF('Final Term'!R68="",0,
IF(NOT(ISNUMBER('Final Term'!R68)),"NAN",
IF('Final Term'!R68&lt;0,"NEG",
IF('Final Term'!R68&gt;R$5,"OVER",
IF(AND(R$5&lt;=100,'Final Term'!R68&gt;100),"ERR",
IF(Info!$B$4="Non-board program",
IF(OR(AND(R$5&gt;0,R$5&gt;100),AND(R$5&gt;0,R$5&lt;100)),
VLOOKUP(FLOOR(('Final Term'!R68/R$5)*100,1),new_transmute,2,FALSE),
VLOOKUP('Final Term'!R68,new_transmute,2,FALSE)
),
IF(Info!$B$4="Board program",
IF(OR(AND(R$5&gt;0,R$5&gt;100),AND(R$5&gt;0,R$5&lt;100)),
VLOOKUP(FLOOR(('Final Term'!R68/R$5)*100,1),new_transmute,3,FALSE),
VLOOKUP('Final Term'!R68,new_transmute,3,FALSE)
),
IF(Info!$B$4="Board program (Medicine)",
IF(OR(AND(R$5&gt;0,R$5&gt;100),AND(R$5&gt;0,R$5&lt;100)),
VLOOKUP(FLOOR(('Final Term'!R68/R$5)*100,1),new_transmute,4,FALSE),
VLOOKUP('Final Term'!R68,new_transmute,4,FALSE)
),
""
)
)
)
)
)
)
)
)
))</f>
        <v/>
      </c>
      <c r="S68" s="115" t="str">
        <f t="shared" si="3"/>
        <v/>
      </c>
      <c r="T68" s="73" t="str">
        <f>IF($B68="","",
IF(T$5="","",
IF('Final Term'!T68="",0,
IF(NOT(ISNUMBER('Final Term'!T68)),"NAN",
IF('Final Term'!T68&lt;0,"NEG",
IF('Final Term'!T68&gt;T$5,"OVER",
IF(AND(T$5&lt;=100,'Final Term'!T68&gt;100),"ERR",
IF(Info!$B$4="Non-board program",
IF(OR(AND(T$5&gt;0,T$5&gt;100),AND(T$5&gt;0,T$5&lt;100)),
VLOOKUP(FLOOR(('Final Term'!T68/T$5)*100,1),new_transmute,2,FALSE),
VLOOKUP('Final Term'!T68,new_transmute,2,FALSE)
),
IF(Info!$B$4="Board program",
IF(OR(AND(T$5&gt;0,T$5&gt;100),AND(T$5&gt;0,T$5&lt;100)),
VLOOKUP(FLOOR(('Final Term'!T68/T$5)*100,1),new_transmute,3,FALSE),
VLOOKUP('Final Term'!T68,new_transmute,3,FALSE)
),
IF(Info!$B$4="Board program (Medicine)",
IF(OR(AND(T$5&gt;0,T$5&gt;100),AND(T$5&gt;0,T$5&lt;100)),
VLOOKUP(FLOOR(('Final Term'!T68/T$5)*100,1),new_transmute,4,FALSE),
VLOOKUP('Final Term'!T68,new_transmute,4,FALSE)
),
""
)
)
)
)
)
)
)
)
))</f>
        <v/>
      </c>
      <c r="U68" s="73" t="str">
        <f>IF($B68="","",
IF(U$5="","",
IF('Final Term'!U68="",0,
IF(NOT(ISNUMBER('Final Term'!U68)),"NAN",
IF('Final Term'!U68&lt;0,"NEG",
IF('Final Term'!U68&gt;U$5,"OVER",
IF(AND(U$5&lt;=100,'Final Term'!U68&gt;100),"ERR",
IF(Info!$B$4="Non-board program",
IF(OR(AND(U$5&gt;0,U$5&gt;100),AND(U$5&gt;0,U$5&lt;100)),
VLOOKUP(FLOOR(('Final Term'!U68/U$5)*100,1),new_transmute,2,FALSE),
VLOOKUP('Final Term'!U68,new_transmute,2,FALSE)
),
IF(Info!$B$4="Board program",
IF(OR(AND(U$5&gt;0,U$5&gt;100),AND(U$5&gt;0,U$5&lt;100)),
VLOOKUP(FLOOR(('Final Term'!U68/U$5)*100,1),new_transmute,3,FALSE),
VLOOKUP('Final Term'!U68,new_transmute,3,FALSE)
),
IF(Info!$B$4="Board program (Medicine)",
IF(OR(AND(U$5&gt;0,U$5&gt;100),AND(U$5&gt;0,U$5&lt;100)),
VLOOKUP(FLOOR(('Final Term'!U68/U$5)*100,1),new_transmute,4,FALSE),
VLOOKUP('Final Term'!U68,new_transmute,4,FALSE)
),
""
)
)
)
)
)
)
)
)
))</f>
        <v/>
      </c>
      <c r="V68" s="73" t="str">
        <f>IF($B68="","",
IF(V$5="","",
IF('Final Term'!V68="",0,
IF(NOT(ISNUMBER('Final Term'!V68)),"NAN",
IF('Final Term'!V68&lt;0,"NEG",
IF('Final Term'!V68&gt;V$5,"OVER",
IF(AND(V$5&lt;=100,'Final Term'!V68&gt;100),"ERR",
IF(Info!$B$4="Non-board program",
IF(OR(AND(V$5&gt;0,V$5&gt;100),AND(V$5&gt;0,V$5&lt;100)),
VLOOKUP(FLOOR(('Final Term'!V68/V$5)*100,1),new_transmute,2,FALSE),
VLOOKUP('Final Term'!V68,new_transmute,2,FALSE)
),
IF(Info!$B$4="Board program",
IF(OR(AND(V$5&gt;0,V$5&gt;100),AND(V$5&gt;0,V$5&lt;100)),
VLOOKUP(FLOOR(('Final Term'!V68/V$5)*100,1),new_transmute,3,FALSE),
VLOOKUP('Final Term'!V68,new_transmute,3,FALSE)
),
IF(Info!$B$4="Board program (Medicine)",
IF(OR(AND(V$5&gt;0,V$5&gt;100),AND(V$5&gt;0,V$5&lt;100)),
VLOOKUP(FLOOR(('Final Term'!V68/V$5)*100,1),new_transmute,4,FALSE),
VLOOKUP('Final Term'!V68,new_transmute,4,FALSE)
),
""
)
)
)
)
)
)
)
)
))</f>
        <v/>
      </c>
      <c r="W68" s="73" t="str">
        <f>IF($B68="","",
IF(W$5="","",
IF('Final Term'!W68="",0,
IF(NOT(ISNUMBER('Final Term'!W68)),"NAN",
IF('Final Term'!W68&lt;0,"NEG",
IF('Final Term'!W68&gt;W$5,"OVER",
IF(AND(W$5&lt;=100,'Final Term'!W68&gt;100),"ERR",
IF(Info!$B$4="Non-board program",
IF(OR(AND(W$5&gt;0,W$5&gt;100),AND(W$5&gt;0,W$5&lt;100)),
VLOOKUP(FLOOR(('Final Term'!W68/W$5)*100,1),new_transmute,2,FALSE),
VLOOKUP('Final Term'!W68,new_transmute,2,FALSE)
),
IF(Info!$B$4="Board program",
IF(OR(AND(W$5&gt;0,W$5&gt;100),AND(W$5&gt;0,W$5&lt;100)),
VLOOKUP(FLOOR(('Final Term'!W68/W$5)*100,1),new_transmute,3,FALSE),
VLOOKUP('Final Term'!W68,new_transmute,3,FALSE)
),
IF(Info!$B$4="Board program (Medicine)",
IF(OR(AND(W$5&gt;0,W$5&gt;100),AND(W$5&gt;0,W$5&lt;100)),
VLOOKUP(FLOOR(('Final Term'!W68/W$5)*100,1),new_transmute,4,FALSE),
VLOOKUP('Final Term'!W68,new_transmute,4,FALSE)
),
""
)
)
)
)
)
)
)
)
))</f>
        <v/>
      </c>
      <c r="X68" s="73" t="str">
        <f>IF($B68="","",
IF(X$5="","",
IF('Final Term'!X68="",0,
IF(NOT(ISNUMBER('Final Term'!X68)),"NAN",
IF('Final Term'!X68&lt;0,"NEG",
IF('Final Term'!X68&gt;X$5,"OVER",
IF(AND(X$5&lt;=100,'Final Term'!X68&gt;100),"ERR",
IF(Info!$B$4="Non-board program",
IF(OR(AND(X$5&gt;0,X$5&gt;100),AND(X$5&gt;0,X$5&lt;100)),
VLOOKUP(FLOOR(('Final Term'!X68/X$5)*100,1),new_transmute,2,FALSE),
VLOOKUP('Final Term'!X68,new_transmute,2,FALSE)
),
IF(Info!$B$4="Board program",
IF(OR(AND(X$5&gt;0,X$5&gt;100),AND(X$5&gt;0,X$5&lt;100)),
VLOOKUP(FLOOR(('Final Term'!X68/X$5)*100,1),new_transmute,3,FALSE),
VLOOKUP('Final Term'!X68,new_transmute,3,FALSE)
),
IF(Info!$B$4="Board program (Medicine)",
IF(OR(AND(X$5&gt;0,X$5&gt;100),AND(X$5&gt;0,X$5&lt;100)),
VLOOKUP(FLOOR(('Final Term'!X68/X$5)*100,1),new_transmute,4,FALSE),
VLOOKUP('Final Term'!X68,new_transmute,4,FALSE)
),
""
)
)
)
)
)
)
)
)
))</f>
        <v/>
      </c>
      <c r="Y68" s="112" t="str">
        <f t="shared" si="4"/>
        <v/>
      </c>
      <c r="Z68" s="73" t="str">
        <f>IF($B68="","",
IF(Z$5="","",
IF('Final Term'!Z68="",0,
IF(NOT(ISNUMBER('Final Term'!Z68)),"NAN",
IF('Final Term'!Z68&lt;0,"NEG",
IF('Final Term'!Z68&gt;Z$5,"OVER",
IF(AND(Z$5&lt;=100,'Final Term'!Z68&gt;100),"ERR",
IF(Info!$B$4="Non-board program",
IF(OR(AND(Z$5&gt;0,Z$5&gt;100),AND(Z$5&gt;0,Z$5&lt;100)),
VLOOKUP(FLOOR(('Final Term'!Z68/Z$5)*100,1),new_transmute,2,FALSE),
VLOOKUP('Final Term'!Z68,new_transmute,2,FALSE)
),
IF(Info!$B$4="Board program",
IF(OR(AND(Z$5&gt;0,Z$5&gt;100),AND(Z$5&gt;0,Z$5&lt;100)),
VLOOKUP(FLOOR(('Final Term'!Z68/Z$5)*100,1),new_transmute,3,FALSE),
VLOOKUP('Final Term'!Z68,new_transmute,3,FALSE)
),
IF(Info!$B$4="Board program (Medicine)",
IF(OR(AND(Z$5&gt;0,Z$5&gt;100),AND(Z$5&gt;0,Z$5&lt;100)),
VLOOKUP(FLOOR(('Final Term'!Z68/Z$5)*100,1),new_transmute,4,FALSE),
VLOOKUP('Final Term'!Z68,new_transmute,4,FALSE)
),
""
)
)
)
)
)
)
)
)
))</f>
        <v/>
      </c>
      <c r="AA68" s="73" t="str">
        <f>IF($B68="","",
IF(AA$5="","",
IF('Final Term'!AA68="",0,
IF(NOT(ISNUMBER('Final Term'!AA68)),"NAN",
IF('Final Term'!AA68&lt;0,"NEG",
IF('Final Term'!AA68&gt;AA$5,"OVER",
IF(AND(AA$5&lt;=100,'Final Term'!AA68&gt;100),"ERR",
IF(Info!$B$4="Non-board program",
IF(OR(AND(AA$5&gt;0,AA$5&gt;100),AND(AA$5&gt;0,AA$5&lt;100)),
VLOOKUP(FLOOR(('Final Term'!AA68/AA$5)*100,1),new_transmute,2,FALSE),
VLOOKUP('Final Term'!AA68,new_transmute,2,FALSE)
),
IF(Info!$B$4="Board program",
IF(OR(AND(AA$5&gt;0,AA$5&gt;100),AND(AA$5&gt;0,AA$5&lt;100)),
VLOOKUP(FLOOR(('Final Term'!AA68/AA$5)*100,1),new_transmute,3,FALSE),
VLOOKUP('Final Term'!AA68,new_transmute,3,FALSE)
),
IF(Info!$B$4="Board program (Medicine)",
IF(OR(AND(AA$5&gt;0,AA$5&gt;100),AND(AA$5&gt;0,AA$5&lt;100)),
VLOOKUP(FLOOR(('Final Term'!AA68/AA$5)*100,1),new_transmute,4,FALSE),
VLOOKUP('Final Term'!AA68,new_transmute,4,FALSE)
),
""
)
)
)
)
)
)
)
)
))</f>
        <v/>
      </c>
      <c r="AB68" s="73" t="str">
        <f>IF($B68="","",
IF(AB$5="","",
IF('Final Term'!AB68="",0,
IF(NOT(ISNUMBER('Final Term'!AB68)),"NAN",
IF('Final Term'!AB68&lt;0,"NEG",
IF('Final Term'!AB68&gt;AB$5,"OVER",
IF(AND(AB$5&lt;=100,'Final Term'!AB68&gt;100),"ERR",
IF(Info!$B$4="Non-board program",
IF(OR(AND(AB$5&gt;0,AB$5&gt;100),AND(AB$5&gt;0,AB$5&lt;100)),
VLOOKUP(FLOOR(('Final Term'!AB68/AB$5)*100,1),new_transmute,2,FALSE),
VLOOKUP('Final Term'!AB68,new_transmute,2,FALSE)
),
IF(Info!$B$4="Board program",
IF(OR(AND(AB$5&gt;0,AB$5&gt;100),AND(AB$5&gt;0,AB$5&lt;100)),
VLOOKUP(FLOOR(('Final Term'!AB68/AB$5)*100,1),new_transmute,3,FALSE),
VLOOKUP('Final Term'!AB68,new_transmute,3,FALSE)
),
IF(Info!$B$4="Board program (Medicine)",
IF(OR(AND(AB$5&gt;0,AB$5&gt;100),AND(AB$5&gt;0,AB$5&lt;100)),
VLOOKUP(FLOOR(('Final Term'!AB68/AB$5)*100,1),new_transmute,4,FALSE),
VLOOKUP('Final Term'!AB68,new_transmute,4,FALSE)
),
""
)
)
)
)
)
)
)
)
))</f>
        <v/>
      </c>
      <c r="AC68" s="73" t="str">
        <f>IF($B68="","",
IF(AC$5="","",
IF('Final Term'!AC68="",0,
IF(NOT(ISNUMBER('Final Term'!AC68)),"NAN",
IF('Final Term'!AC68&lt;0,"NEG",
IF('Final Term'!AC68&gt;AC$5,"OVER",
IF(AND(AC$5&lt;=100,'Final Term'!AC68&gt;100),"ERR",
IF(Info!$B$4="Non-board program",
IF(OR(AND(AC$5&gt;0,AC$5&gt;100),AND(AC$5&gt;0,AC$5&lt;100)),
VLOOKUP(FLOOR(('Final Term'!AC68/AC$5)*100,1),new_transmute,2,FALSE),
VLOOKUP('Final Term'!AC68,new_transmute,2,FALSE)
),
IF(Info!$B$4="Board program",
IF(OR(AND(AC$5&gt;0,AC$5&gt;100),AND(AC$5&gt;0,AC$5&lt;100)),
VLOOKUP(FLOOR(('Final Term'!AC68/AC$5)*100,1),new_transmute,3,FALSE),
VLOOKUP('Final Term'!AC68,new_transmute,3,FALSE)
),
IF(Info!$B$4="Board program (Medicine)",
IF(OR(AND(AC$5&gt;0,AC$5&gt;100),AND(AC$5&gt;0,AC$5&lt;100)),
VLOOKUP(FLOOR(('Final Term'!AC68/AC$5)*100,1),new_transmute,4,FALSE),
VLOOKUP('Final Term'!AC68,new_transmute,4,FALSE)
),
""
)
)
)
)
)
)
)
)
))</f>
        <v/>
      </c>
      <c r="AD68" s="73" t="str">
        <f>IF($B68="","",
IF(AD$5="","",
IF('Final Term'!AD68="",0,
IF(NOT(ISNUMBER('Final Term'!AD68)),"NAN",
IF('Final Term'!AD68&lt;0,"NEG",
IF('Final Term'!AD68&gt;AD$5,"OVER",
IF(AND(AD$5&lt;=100,'Final Term'!AD68&gt;100),"ERR",
IF(Info!$B$4="Non-board program",
IF(OR(AND(AD$5&gt;0,AD$5&gt;100),AND(AD$5&gt;0,AD$5&lt;100)),
VLOOKUP(FLOOR(('Final Term'!AD68/AD$5)*100,1),new_transmute,2,FALSE),
VLOOKUP('Final Term'!AD68,new_transmute,2,FALSE)
),
IF(Info!$B$4="Board program",
IF(OR(AND(AD$5&gt;0,AD$5&gt;100),AND(AD$5&gt;0,AD$5&lt;100)),
VLOOKUP(FLOOR(('Final Term'!AD68/AD$5)*100,1),new_transmute,3,FALSE),
VLOOKUP('Final Term'!AD68,new_transmute,3,FALSE)
),
IF(Info!$B$4="Board program (Medicine)",
IF(OR(AND(AD$5&gt;0,AD$5&gt;100),AND(AD$5&gt;0,AD$5&lt;100)),
VLOOKUP(FLOOR(('Final Term'!AD68/AD$5)*100,1),new_transmute,4,FALSE),
VLOOKUP('Final Term'!AD68,new_transmute,4,FALSE)
),
""
)
)
)
)
)
)
)
)
))</f>
        <v/>
      </c>
      <c r="AE68" s="58" t="str">
        <f t="shared" si="5"/>
        <v/>
      </c>
      <c r="AF68" s="73" t="str">
        <f>IF($B68="","",
IF(AF$5="","",
IF('Final Term'!AF68="",0,
IF(NOT(ISNUMBER('Final Term'!AF68)),"NAN",
IF('Final Term'!AF68&lt;0,"NEG",
IF('Final Term'!AF68&gt;AF$5,"OVER",
IF(AND(AF$5&lt;=100,'Final Term'!AF68&gt;100),"ERR",
IF(Info!$B$4="Non-board program",
IF(OR(AND(AF$5&gt;0,AF$5&gt;100),AND(AF$5&gt;0,AF$5&lt;100)),
VLOOKUP(FLOOR(('Final Term'!AF68/AF$5)*100,1),new_transmute,2,FALSE),
VLOOKUP('Final Term'!AF68,new_transmute,2,FALSE)
),
IF(Info!$B$4="Board program",
IF(OR(AND(AF$5&gt;0,AF$5&gt;100),AND(AF$5&gt;0,AF$5&lt;100)),
VLOOKUP(FLOOR(('Final Term'!AF68/AF$5)*100,1),new_transmute,3,FALSE),
VLOOKUP('Final Term'!AF68,new_transmute,3,FALSE)
),
IF(Info!$B$4="Board program (Medicine)",
IF(OR(AND(AF$5&gt;0,AF$5&gt;100),AND(AF$5&gt;0,AF$5&lt;100)),
VLOOKUP(FLOOR(('Final Term'!AF68/AF$5)*100,1),new_transmute,4,FALSE),
VLOOKUP('Final Term'!AF68,new_transmute,4,FALSE)
),
""
)
)
)
)
)
)
)
)
))</f>
        <v/>
      </c>
      <c r="AG68" s="73" t="str">
        <f>IF($B68="","",
IF(AG$5="","",
IF('Final Term'!AG68="",0,
IF(NOT(ISNUMBER('Final Term'!AG68)),"NAN",
IF('Final Term'!AG68&lt;0,"NEG",
IF('Final Term'!AG68&gt;AG$5,"OVER",
IF(AND(AG$5&lt;=100,'Final Term'!AG68&gt;100),"ERR",
IF(Info!$B$4="Non-board program",
IF(OR(AND(AG$5&gt;0,AG$5&gt;100),AND(AG$5&gt;0,AG$5&lt;100)),
VLOOKUP(FLOOR(('Final Term'!AG68/AG$5)*100,1),new_transmute,2,FALSE),
VLOOKUP('Final Term'!AG68,new_transmute,2,FALSE)
),
IF(Info!$B$4="Board program",
IF(OR(AND(AG$5&gt;0,AG$5&gt;100),AND(AG$5&gt;0,AG$5&lt;100)),
VLOOKUP(FLOOR(('Final Term'!AG68/AG$5)*100,1),new_transmute,3,FALSE),
VLOOKUP('Final Term'!AG68,new_transmute,3,FALSE)
),
IF(Info!$B$4="Board program (Medicine)",
IF(OR(AND(AG$5&gt;0,AG$5&gt;100),AND(AG$5&gt;0,AG$5&lt;100)),
VLOOKUP(FLOOR(('Final Term'!AG68/AG$5)*100,1),new_transmute,4,FALSE),
VLOOKUP('Final Term'!AG68,new_transmute,4,FALSE)
),
""
)
)
)
)
)
)
)
)
))</f>
        <v/>
      </c>
      <c r="AH68" s="73" t="str">
        <f>IF($B68="","",
IF(AH$5="","",
IF('Final Term'!AH68="",0,
IF(NOT(ISNUMBER('Final Term'!AH68)),"NAN",
IF('Final Term'!AH68&lt;0,"NEG",
IF('Final Term'!AH68&gt;AH$5,"OVER",
IF(AND(AH$5&lt;=100,'Final Term'!AH68&gt;100),"ERR",
IF(Info!$B$4="Non-board program",
IF(OR(AND(AH$5&gt;0,AH$5&gt;100),AND(AH$5&gt;0,AH$5&lt;100)),
VLOOKUP(FLOOR(('Final Term'!AH68/AH$5)*100,1),new_transmute,2,FALSE),
VLOOKUP('Final Term'!AH68,new_transmute,2,FALSE)
),
IF(Info!$B$4="Board program",
IF(OR(AND(AH$5&gt;0,AH$5&gt;100),AND(AH$5&gt;0,AH$5&lt;100)),
VLOOKUP(FLOOR(('Final Term'!AH68/AH$5)*100,1),new_transmute,3,FALSE),
VLOOKUP('Final Term'!AH68,new_transmute,3,FALSE)
),
IF(Info!$B$4="Board program (Medicine)",
IF(OR(AND(AH$5&gt;0,AH$5&gt;100),AND(AH$5&gt;0,AH$5&lt;100)),
VLOOKUP(FLOOR(('Final Term'!AH68/AH$5)*100,1),new_transmute,4,FALSE),
VLOOKUP('Final Term'!AH68,new_transmute,4,FALSE)
),
""
)
)
)
)
)
)
)
)
))</f>
        <v/>
      </c>
      <c r="AI68" s="73" t="str">
        <f>IF($B68="","",
IF(AI$5="","",
IF('Final Term'!AI68="",0,
IF(NOT(ISNUMBER('Final Term'!AI68)),"NAN",
IF('Final Term'!AI68&lt;0,"NEG",
IF('Final Term'!AI68&gt;AI$5,"OVER",
IF(AND(AI$5&lt;=100,'Final Term'!AI68&gt;100),"ERR",
IF(Info!$B$4="Non-board program",
IF(OR(AND(AI$5&gt;0,AI$5&gt;100),AND(AI$5&gt;0,AI$5&lt;100)),
VLOOKUP(FLOOR(('Final Term'!AI68/AI$5)*100,1),new_transmute,2,FALSE),
VLOOKUP('Final Term'!AI68,new_transmute,2,FALSE)
),
IF(Info!$B$4="Board program",
IF(OR(AND(AI$5&gt;0,AI$5&gt;100),AND(AI$5&gt;0,AI$5&lt;100)),
VLOOKUP(FLOOR(('Final Term'!AI68/AI$5)*100,1),new_transmute,3,FALSE),
VLOOKUP('Final Term'!AI68,new_transmute,3,FALSE)
),
IF(Info!$B$4="Board program (Medicine)",
IF(OR(AND(AI$5&gt;0,AI$5&gt;100),AND(AI$5&gt;0,AI$5&lt;100)),
VLOOKUP(FLOOR(('Final Term'!AI68/AI$5)*100,1),new_transmute,4,FALSE),
VLOOKUP('Final Term'!AI68,new_transmute,4,FALSE)
),
""
)
)
)
)
)
)
)
)
))</f>
        <v/>
      </c>
      <c r="AJ68" s="73" t="str">
        <f>IF($B68="","",
IF(AJ$5="","",
IF('Final Term'!AJ68="",0,
IF(NOT(ISNUMBER('Final Term'!AJ68)),"NAN",
IF('Final Term'!AJ68&lt;0,"NEG",
IF('Final Term'!AJ68&gt;AJ$5,"OVER",
IF(AND(AJ$5&lt;=100,'Final Term'!AJ68&gt;100),"ERR",
IF(Info!$B$4="Non-board program",
IF(OR(AND(AJ$5&gt;0,AJ$5&gt;100),AND(AJ$5&gt;0,AJ$5&lt;100)),
VLOOKUP(FLOOR(('Final Term'!AJ68/AJ$5)*100,1),new_transmute,2,FALSE),
VLOOKUP('Final Term'!AJ68,new_transmute,2,FALSE)
),
IF(Info!$B$4="Board program",
IF(OR(AND(AJ$5&gt;0,AJ$5&gt;100),AND(AJ$5&gt;0,AJ$5&lt;100)),
VLOOKUP(FLOOR(('Final Term'!AJ68/AJ$5)*100,1),new_transmute,3,FALSE),
VLOOKUP('Final Term'!AJ68,new_transmute,3,FALSE)
),
IF(Info!$B$4="Board program (Medicine)",
IF(OR(AND(AJ$5&gt;0,AJ$5&gt;100),AND(AJ$5&gt;0,AJ$5&lt;100)),
VLOOKUP(FLOOR(('Final Term'!AJ68/AJ$5)*100,1),new_transmute,4,FALSE),
VLOOKUP('Final Term'!AJ68,new_transmute,4,FALSE)
),
""
)
)
)
)
)
)
)
)
))</f>
        <v/>
      </c>
      <c r="AK68" s="59" t="str">
        <f t="shared" si="6"/>
        <v/>
      </c>
      <c r="AL68" s="60" t="str">
        <f>IF(B68="", "",
    IF(OR(M68="OVER", S68="OVER", Y68="OVER", AE68="OVER", AK68="OVER"),
        "OVER",
        IF(Info!$B$4="Non-board program",
            VLOOKUP(IFERROR(FLOOR(SUM((M68*$M$4), (S68*$S$4), (Y68*$Y$4), (AE68*$AE$4), (AK68*$AK$4)) * (100 / 60), 1), 0), new_transmute, 2, FALSE),
            IF(Info!$B$4="Board program",
                VLOOKUP(IFERROR(FLOOR(SUM((M68*$M$4), (S68*$S$4), (Y68*$Y$4), (AE68*$AE$4), (AK68*$AK$4)) * (100 / 60), 1), 0), new_transmute, 3, FALSE),
                IF(Info!$B$4="Board program (Medicine)",
                    VLOOKUP(IFERROR(FLOOR(SUM((M68*$M$4), (S68*$S$4), (Y68*$Y$4), (AE68*$AE$4), (AK68*$AK$4)) * (100 / 60), 1), 0), new_transmute, 4, FALSE),
                    ""
                )
            )
        )
    )
)</f>
        <v/>
      </c>
      <c r="AM68" s="73" t="str">
        <f>IF($B68="","",
IF(AM$5="","",
IF('Final Term'!AM68="",0,
IF(NOT(ISNUMBER('Final Term'!AM68)),"NAN",
IF('Final Term'!AM68&lt;0,"NEG",
IF('Final Term'!AM68&gt;AM$5,"OVER",
IF(AND(AM$5&lt;=100,'Final Term'!AM68&gt;100),"ERR",
IF(Info!$B$4="Non-board program",
IF(OR(AND(AM$5&gt;0,AM$5&gt;100),AND(AM$5&gt;0,AM$5&lt;100)),
VLOOKUP(FLOOR(('Final Term'!AM68/AM$5)*100,1),new_transmute,2,FALSE),
VLOOKUP('Final Term'!AM68,new_transmute,2,FALSE)
),
IF(Info!$B$4="Board program",
IF(OR(AND(AM$5&gt;0,AM$5&gt;100),AND(AM$5&gt;0,AM$5&lt;100)),
VLOOKUP(FLOOR(('Final Term'!AM68/AM$5)*100,1),new_transmute,3,FALSE),
VLOOKUP('Final Term'!AM68,new_transmute,3,FALSE)
),
IF(Info!$B$4="Board program (Medicine)",
IF(OR(AND(AM$5&gt;0,AM$5&gt;100),AND(AM$5&gt;0,AM$5&lt;100)),
VLOOKUP(FLOOR(('Final Term'!AM68/AM$5)*100,1),new_transmute,4,FALSE),
VLOOKUP('Final Term'!AM68,new_transmute,4,FALSE)
),
""
)
)
)
)
)
)
)
)
))</f>
        <v/>
      </c>
      <c r="AN68" s="73" t="str">
        <f>IF($B68="","",
IF(AN$5="","",
IF('Final Term'!AN68="",0,
IF(NOT(ISNUMBER('Final Term'!AN68)),"NAN",
IF('Final Term'!AN68&lt;0,"NEG",
IF('Final Term'!AN68&gt;AN$5,"OVER",
IF(AND(AN$5&lt;=100,'Final Term'!AN68&gt;100),"ERR",
IF(Info!$B$4="Non-board program",
IF(OR(AND(AN$5&gt;0,AN$5&gt;100),AND(AN$5&gt;0,AN$5&lt;100)),
VLOOKUP(FLOOR(('Final Term'!AN68/AN$5)*100,1),new_transmute,2,FALSE),
VLOOKUP('Final Term'!AN68,new_transmute,2,FALSE)
),
IF(Info!$B$4="Board program",
IF(OR(AND(AN$5&gt;0,AN$5&gt;100),AND(AN$5&gt;0,AN$5&lt;100)),
VLOOKUP(FLOOR(('Final Term'!AN68/AN$5)*100,1),new_transmute,3,FALSE),
VLOOKUP('Final Term'!AN68,new_transmute,3,FALSE)
),
IF(Info!$B$4="Board program (Medicine)",
IF(OR(AND(AN$5&gt;0,AN$5&gt;100),AND(AN$5&gt;0,AN$5&lt;100)),
VLOOKUP(FLOOR(('Final Term'!AN68/AN$5)*100,1),new_transmute,4,FALSE),
VLOOKUP('Final Term'!AN68,new_transmute,4,FALSE)
),
""
)
)
)
)
)
)
)
)
))</f>
        <v/>
      </c>
      <c r="AO68" s="73" t="str">
        <f>IF($B68="","",
IF(AO$5="","",
IF('Final Term'!AO68="",0,
IF(NOT(ISNUMBER('Final Term'!AO68)),"NAN",
IF('Final Term'!AO68&lt;0,"NEG",
IF('Final Term'!AO68&gt;AO$5,"OVER",
IF(AND(AO$5&lt;=100,'Final Term'!AO68&gt;100),"ERR",
IF(Info!$B$4="Non-board program",
IF(OR(AND(AO$5&gt;0,AO$5&gt;100),AND(AO$5&gt;0,AO$5&lt;100)),
VLOOKUP(FLOOR(('Final Term'!AO68/AO$5)*100,1),new_transmute,2,FALSE),
VLOOKUP('Final Term'!AO68,new_transmute,2,FALSE)
),
IF(Info!$B$4="Board program",
IF(OR(AND(AO$5&gt;0,AO$5&gt;100),AND(AO$5&gt;0,AO$5&lt;100)),
VLOOKUP(FLOOR(('Final Term'!AO68/AO$5)*100,1),new_transmute,3,FALSE),
VLOOKUP('Final Term'!AO68,new_transmute,3,FALSE)
),
IF(Info!$B$4="Board program (Medicine)",
IF(OR(AND(AO$5&gt;0,AO$5&gt;100),AND(AO$5&gt;0,AO$5&lt;100)),
VLOOKUP(FLOOR(('Final Term'!AO68/AO$5)*100,1),new_transmute,4,FALSE),
VLOOKUP('Final Term'!AO68,new_transmute,4,FALSE)
),
""
)
)
)
)
)
)
)
)
))</f>
        <v/>
      </c>
      <c r="AP68" s="73" t="str">
        <f>IF($B68="","",
IF(AP$5="","",
IF('Final Term'!AP68="",0,
IF(NOT(ISNUMBER('Final Term'!AP68)),"NAN",
IF('Final Term'!AP68&lt;0,"NEG",
IF('Final Term'!AP68&gt;AP$5,"OVER",
IF(AND(AP$5&lt;=100,'Final Term'!AP68&gt;100),"ERR",
IF(Info!$B$4="Non-board program",
IF(OR(AND(AP$5&gt;0,AP$5&gt;100),AND(AP$5&gt;0,AP$5&lt;100)),
VLOOKUP(FLOOR(('Final Term'!AP68/AP$5)*100,1),new_transmute,2,FALSE),
VLOOKUP('Final Term'!AP68,new_transmute,2,FALSE)
),
IF(Info!$B$4="Board program",
IF(OR(AND(AP$5&gt;0,AP$5&gt;100),AND(AP$5&gt;0,AP$5&lt;100)),
VLOOKUP(FLOOR(('Final Term'!AP68/AP$5)*100,1),new_transmute,3,FALSE),
VLOOKUP('Final Term'!AP68,new_transmute,3,FALSE)
),
IF(Info!$B$4="Board program (Medicine)",
IF(OR(AND(AP$5&gt;0,AP$5&gt;100),AND(AP$5&gt;0,AP$5&lt;100)),
VLOOKUP(FLOOR(('Final Term'!AP68/AP$5)*100,1),new_transmute,4,FALSE),
VLOOKUP('Final Term'!AP68,new_transmute,4,FALSE)
),
""
)
)
)
)
)
)
)
)
))</f>
        <v/>
      </c>
      <c r="AQ68" s="61" t="str">
        <f t="shared" si="7"/>
        <v/>
      </c>
      <c r="AR68" s="48" t="str">
        <f>IF('Final Term'!AR68="","",'Final Term'!AR68)</f>
        <v/>
      </c>
      <c r="AS68" s="165" t="str">
        <f t="shared" si="8"/>
        <v/>
      </c>
      <c r="AT68" s="14" t="str">
        <f t="shared" si="9"/>
        <v/>
      </c>
      <c r="AU68" s="13" t="str">
        <f>IF(B68="","",VLOOKUP(AT68,'New Grade Equivalent'!$B$3:$C$47,2,FALSE))</f>
        <v/>
      </c>
    </row>
    <row r="69" spans="1:47" x14ac:dyDescent="0.25">
      <c r="A69" s="8">
        <v>64</v>
      </c>
      <c r="B69" s="2" t="str">
        <f>IF('Student List'!C73="","",UPPER(LEFT('Student List'!C73,FIND(",",'Student List'!C73)-1)))</f>
        <v/>
      </c>
      <c r="C69" s="12" t="str">
        <f>IF('Student List'!C73="","",PROPER(MID('Student List'!C73, FIND(",", 'Student List'!C73) + 2, LEN('Student List'!C73) - FIND(",", 'Student List'!C73) - 1)))</f>
        <v/>
      </c>
      <c r="D69" s="127" t="str">
        <f>IF('Final Term'!D69="","",'Final Term'!D69)</f>
        <v/>
      </c>
      <c r="E69" s="8" t="str">
        <f>IF(MidCom!E69="FA", "FA",
    IF(MidCom!E69="DRP", "DRP",
        IF(MidCom!E69="WF", "WF",
            IF(D69="Yes", "INC",
               IF((SUM('MT Attendance'!AW67) / 3 + SUM('MT Attendance'!AY67) + SUM('FT Attendance'!AW67) / 3 + SUM('FT Attendance'!AY67)) &gt;= 0.2 * (SUMPRODUCT(--(ISTEXT('MT Attendance'!$C$2:$AU$2))) + SUMPRODUCT(--(ISTEXT('FT Attendance'!$C$2:$AU$2)))), "FA",
                   MidCom!E69
                )
            )
        )
    )
)</f>
        <v/>
      </c>
      <c r="F69" s="73" t="str">
        <f>IF($B69="","",
IF(F$5="","",
IF('Final Term'!F69="",0,
IF(NOT(ISNUMBER('Final Term'!F69)),"NAN",
IF('Final Term'!F69&lt;0,"NEG",
IF('Final Term'!F69&gt;F$5,"OVER",
IF(AND(F$5&lt;=100,'Final Term'!F69&gt;100),"ERR",
IF(Info!$B$4="Non-board program",
IF(OR(AND(F$5&gt;0,F$5&gt;100),AND(F$5&gt;0,F$5&lt;100)),
VLOOKUP(FLOOR(('Final Term'!F69/F$5)*100,1),new_transmute,2,FALSE),
VLOOKUP('Final Term'!F69,new_transmute,2,FALSE)
),
IF(Info!$B$4="Board program",
IF(OR(AND(F$5&gt;0,F$5&gt;100),AND(F$5&gt;0,F$5&lt;100)),
VLOOKUP(FLOOR(('Final Term'!F69/F$5)*100,1),new_transmute,3,FALSE),
VLOOKUP('Final Term'!F69,new_transmute,3,FALSE)
),
IF(Info!$B$4="Board program (Medicine)",
IF(OR(AND(F$5&gt;0,F$5&gt;100),AND(F$5&gt;0,F$5&lt;100)),
VLOOKUP(FLOOR(('Final Term'!F69/F$5)*100,1),new_transmute,4,FALSE),
VLOOKUP('Final Term'!F69,new_transmute,4,FALSE)
),
""
)
)
)
)
)
)
)
)
))</f>
        <v/>
      </c>
      <c r="G69" s="57" t="str">
        <f t="shared" si="1"/>
        <v/>
      </c>
      <c r="H69" s="73" t="str">
        <f>IF($B69="","",
IF(H$5="","",
IF('Final Term'!H69="",0,
IF(NOT(ISNUMBER('Final Term'!H69)),"NAN",
IF('Final Term'!H69&lt;0,"NEG",
IF('Final Term'!H69&gt;H$5,"OVER",
IF(AND(H$5&lt;=100,'Final Term'!H69&gt;100),"ERR",
IF(Info!$B$4="Non-board program",
IF(OR(AND(H$5&gt;0,H$5&gt;100),AND(H$5&gt;0,H$5&lt;100)),
VLOOKUP(FLOOR(('Final Term'!H69/H$5)*100,1),new_transmute,2,FALSE),
VLOOKUP('Final Term'!H69,new_transmute,2,FALSE)
),
IF(Info!$B$4="Board program",
IF(OR(AND(H$5&gt;0,H$5&gt;100),AND(H$5&gt;0,H$5&lt;100)),
VLOOKUP(FLOOR(('Final Term'!H69/H$5)*100,1),new_transmute,3,FALSE),
VLOOKUP('Final Term'!H69,new_transmute,3,FALSE)
),
IF(Info!$B$4="Board program (Medicine)",
IF(OR(AND(H$5&gt;0,H$5&gt;100),AND(H$5&gt;0,H$5&lt;100)),
VLOOKUP(FLOOR(('Final Term'!H69/H$5)*100,1),new_transmute,4,FALSE),
VLOOKUP('Final Term'!H69,new_transmute,4,FALSE)
),
""
)
)
)
)
)
)
)
)
))</f>
        <v/>
      </c>
      <c r="I69" s="73" t="str">
        <f>IF($B69="","",
IF(I$5="","",
IF('Final Term'!I69="",0,
IF(NOT(ISNUMBER('Final Term'!I69)),"NAN",
IF('Final Term'!I69&lt;0,"NEG",
IF('Final Term'!I69&gt;I$5,"OVER",
IF(AND(I$5&lt;=100,'Final Term'!I69&gt;100),"ERR",
IF(Info!$B$4="Non-board program",
IF(OR(AND(I$5&gt;0,I$5&gt;100),AND(I$5&gt;0,I$5&lt;100)),
VLOOKUP(FLOOR(('Final Term'!I69/I$5)*100,1),new_transmute,2,FALSE),
VLOOKUP('Final Term'!I69,new_transmute,2,FALSE)
),
IF(Info!$B$4="Board program",
IF(OR(AND(I$5&gt;0,I$5&gt;100),AND(I$5&gt;0,I$5&lt;100)),
VLOOKUP(FLOOR(('Final Term'!I69/I$5)*100,1),new_transmute,3,FALSE),
VLOOKUP('Final Term'!I69,new_transmute,3,FALSE)
),
IF(Info!$B$4="Board program (Medicine)",
IF(OR(AND(I$5&gt;0,I$5&gt;100),AND(I$5&gt;0,I$5&lt;100)),
VLOOKUP(FLOOR(('Final Term'!I69/I$5)*100,1),new_transmute,4,FALSE),
VLOOKUP('Final Term'!I69,new_transmute,4,FALSE)
),
""
)
)
)
)
)
)
)
)
))</f>
        <v/>
      </c>
      <c r="J69" s="73" t="str">
        <f>IF($B69="","",
IF(J$5="","",
IF('Final Term'!J69="",0,
IF(NOT(ISNUMBER('Final Term'!J69)),"NAN",
IF('Final Term'!J69&lt;0,"NEG",
IF('Final Term'!J69&gt;J$5,"OVER",
IF(AND(J$5&lt;=100,'Final Term'!J69&gt;100),"ERR",
IF(Info!$B$4="Non-board program",
IF(OR(AND(J$5&gt;0,J$5&gt;100),AND(J$5&gt;0,J$5&lt;100)),
VLOOKUP(FLOOR(('Final Term'!J69/J$5)*100,1),new_transmute,2,FALSE),
VLOOKUP('Final Term'!J69,new_transmute,2,FALSE)
),
IF(Info!$B$4="Board program",
IF(OR(AND(J$5&gt;0,J$5&gt;100),AND(J$5&gt;0,J$5&lt;100)),
VLOOKUP(FLOOR(('Final Term'!J69/J$5)*100,1),new_transmute,3,FALSE),
VLOOKUP('Final Term'!J69,new_transmute,3,FALSE)
),
IF(Info!$B$4="Board program (Medicine)",
IF(OR(AND(J$5&gt;0,J$5&gt;100),AND(J$5&gt;0,J$5&lt;100)),
VLOOKUP(FLOOR(('Final Term'!J69/J$5)*100,1),new_transmute,4,FALSE),
VLOOKUP('Final Term'!J69,new_transmute,4,FALSE)
),
""
)
)
)
)
)
)
)
)
))</f>
        <v/>
      </c>
      <c r="K69" s="73" t="str">
        <f>IF($B69="","",
IF(K$5="","",
IF('Final Term'!K69="",0,
IF(NOT(ISNUMBER('Final Term'!K69)),"NAN",
IF('Final Term'!K69&lt;0,"NEG",
IF('Final Term'!K69&gt;K$5,"OVER",
IF(AND(K$5&lt;=100,'Final Term'!K69&gt;100),"ERR",
IF(Info!$B$4="Non-board program",
IF(OR(AND(K$5&gt;0,K$5&gt;100),AND(K$5&gt;0,K$5&lt;100)),
VLOOKUP(FLOOR(('Final Term'!K69/K$5)*100,1),new_transmute,2,FALSE),
VLOOKUP('Final Term'!K69,new_transmute,2,FALSE)
),
IF(Info!$B$4="Board program",
IF(OR(AND(K$5&gt;0,K$5&gt;100),AND(K$5&gt;0,K$5&lt;100)),
VLOOKUP(FLOOR(('Final Term'!K69/K$5)*100,1),new_transmute,3,FALSE),
VLOOKUP('Final Term'!K69,new_transmute,3,FALSE)
),
IF(Info!$B$4="Board program (Medicine)",
IF(OR(AND(K$5&gt;0,K$5&gt;100),AND(K$5&gt;0,K$5&lt;100)),
VLOOKUP(FLOOR(('Final Term'!K69/K$5)*100,1),new_transmute,4,FALSE),
VLOOKUP('Final Term'!K69,new_transmute,4,FALSE)
),
""
)
)
)
)
)
)
)
)
))</f>
        <v/>
      </c>
      <c r="L69" s="73" t="str">
        <f>IF($B69="","",
IF(L$5="","",
IF('Final Term'!L69="",0,
IF(NOT(ISNUMBER('Final Term'!L69)),"NAN",
IF('Final Term'!L69&lt;0,"NEG",
IF('Final Term'!L69&gt;L$5,"OVER",
IF(AND(L$5&lt;=100,'Final Term'!L69&gt;100),"ERR",
IF(Info!$B$4="Non-board program",
IF(OR(AND(L$5&gt;0,L$5&gt;100),AND(L$5&gt;0,L$5&lt;100)),
VLOOKUP(FLOOR(('Final Term'!L69/L$5)*100,1),new_transmute,2,FALSE),
VLOOKUP('Final Term'!L69,new_transmute,2,FALSE)
),
IF(Info!$B$4="Board program",
IF(OR(AND(L$5&gt;0,L$5&gt;100),AND(L$5&gt;0,L$5&lt;100)),
VLOOKUP(FLOOR(('Final Term'!L69/L$5)*100,1),new_transmute,3,FALSE),
VLOOKUP('Final Term'!L69,new_transmute,3,FALSE)
),
IF(Info!$B$4="Board program (Medicine)",
IF(OR(AND(L$5&gt;0,L$5&gt;100),AND(L$5&gt;0,L$5&lt;100)),
VLOOKUP(FLOOR(('Final Term'!L69/L$5)*100,1),new_transmute,4,FALSE),
VLOOKUP('Final Term'!L69,new_transmute,4,FALSE)
),
""
)
)
)
)
)
)
)
)
))</f>
        <v/>
      </c>
      <c r="M69" s="111" t="str">
        <f t="shared" si="2"/>
        <v/>
      </c>
      <c r="N69" s="73" t="str">
        <f>IF($B69="","",
IF(N$5="","",
IF('Final Term'!N69="",0,
IF(NOT(ISNUMBER('Final Term'!N69)),"NAN",
IF('Final Term'!N69&lt;0,"NEG",
IF('Final Term'!N69&gt;N$5,"OVER",
IF(AND(N$5&lt;=100,'Final Term'!N69&gt;100),"ERR",
IF(Info!$B$4="Non-board program",
IF(OR(AND(N$5&gt;0,N$5&gt;100),AND(N$5&gt;0,N$5&lt;100)),
VLOOKUP(FLOOR(('Final Term'!N69/N$5)*100,1),new_transmute,2,FALSE),
VLOOKUP('Final Term'!N69,new_transmute,2,FALSE)
),
IF(Info!$B$4="Board program",
IF(OR(AND(N$5&gt;0,N$5&gt;100),AND(N$5&gt;0,N$5&lt;100)),
VLOOKUP(FLOOR(('Final Term'!N69/N$5)*100,1),new_transmute,3,FALSE),
VLOOKUP('Final Term'!N69,new_transmute,3,FALSE)
),
IF(Info!$B$4="Board program (Medicine)",
IF(OR(AND(N$5&gt;0,N$5&gt;100),AND(N$5&gt;0,N$5&lt;100)),
VLOOKUP(FLOOR(('Final Term'!N69/N$5)*100,1),new_transmute,4,FALSE),
VLOOKUP('Final Term'!N69,new_transmute,4,FALSE)
),
""
)
)
)
)
)
)
)
)
))</f>
        <v/>
      </c>
      <c r="O69" s="73" t="str">
        <f>IF($B69="","",
IF(O$5="","",
IF('Final Term'!O69="",0,
IF(NOT(ISNUMBER('Final Term'!O69)),"NAN",
IF('Final Term'!O69&lt;0,"NEG",
IF('Final Term'!O69&gt;O$5,"OVER",
IF(AND(O$5&lt;=100,'Final Term'!O69&gt;100),"ERR",
IF(Info!$B$4="Non-board program",
IF(OR(AND(O$5&gt;0,O$5&gt;100),AND(O$5&gt;0,O$5&lt;100)),
VLOOKUP(FLOOR(('Final Term'!O69/O$5)*100,1),new_transmute,2,FALSE),
VLOOKUP('Final Term'!O69,new_transmute,2,FALSE)
),
IF(Info!$B$4="Board program",
IF(OR(AND(O$5&gt;0,O$5&gt;100),AND(O$5&gt;0,O$5&lt;100)),
VLOOKUP(FLOOR(('Final Term'!O69/O$5)*100,1),new_transmute,3,FALSE),
VLOOKUP('Final Term'!O69,new_transmute,3,FALSE)
),
IF(Info!$B$4="Board program (Medicine)",
IF(OR(AND(O$5&gt;0,O$5&gt;100),AND(O$5&gt;0,O$5&lt;100)),
VLOOKUP(FLOOR(('Final Term'!O69/O$5)*100,1),new_transmute,4,FALSE),
VLOOKUP('Final Term'!O69,new_transmute,4,FALSE)
),
""
)
)
)
)
)
)
)
)
))</f>
        <v/>
      </c>
      <c r="P69" s="73" t="str">
        <f>IF($B69="","",
IF(P$5="","",
IF('Final Term'!P69="",0,
IF(NOT(ISNUMBER('Final Term'!P69)),"NAN",
IF('Final Term'!P69&lt;0,"NEG",
IF('Final Term'!P69&gt;P$5,"OVER",
IF(AND(P$5&lt;=100,'Final Term'!P69&gt;100),"ERR",
IF(Info!$B$4="Non-board program",
IF(OR(AND(P$5&gt;0,P$5&gt;100),AND(P$5&gt;0,P$5&lt;100)),
VLOOKUP(FLOOR(('Final Term'!P69/P$5)*100,1),new_transmute,2,FALSE),
VLOOKUP('Final Term'!P69,new_transmute,2,FALSE)
),
IF(Info!$B$4="Board program",
IF(OR(AND(P$5&gt;0,P$5&gt;100),AND(P$5&gt;0,P$5&lt;100)),
VLOOKUP(FLOOR(('Final Term'!P69/P$5)*100,1),new_transmute,3,FALSE),
VLOOKUP('Final Term'!P69,new_transmute,3,FALSE)
),
IF(Info!$B$4="Board program (Medicine)",
IF(OR(AND(P$5&gt;0,P$5&gt;100),AND(P$5&gt;0,P$5&lt;100)),
VLOOKUP(FLOOR(('Final Term'!P69/P$5)*100,1),new_transmute,4,FALSE),
VLOOKUP('Final Term'!P69,new_transmute,4,FALSE)
),
""
)
)
)
)
)
)
)
)
))</f>
        <v/>
      </c>
      <c r="Q69" s="73" t="str">
        <f>IF($B69="","",
IF(Q$5="","",
IF('Final Term'!Q69="",0,
IF(NOT(ISNUMBER('Final Term'!Q69)),"NAN",
IF('Final Term'!Q69&lt;0,"NEG",
IF('Final Term'!Q69&gt;Q$5,"OVER",
IF(AND(Q$5&lt;=100,'Final Term'!Q69&gt;100),"ERR",
IF(Info!$B$4="Non-board program",
IF(OR(AND(Q$5&gt;0,Q$5&gt;100),AND(Q$5&gt;0,Q$5&lt;100)),
VLOOKUP(FLOOR(('Final Term'!Q69/Q$5)*100,1),new_transmute,2,FALSE),
VLOOKUP('Final Term'!Q69,new_transmute,2,FALSE)
),
IF(Info!$B$4="Board program",
IF(OR(AND(Q$5&gt;0,Q$5&gt;100),AND(Q$5&gt;0,Q$5&lt;100)),
VLOOKUP(FLOOR(('Final Term'!Q69/Q$5)*100,1),new_transmute,3,FALSE),
VLOOKUP('Final Term'!Q69,new_transmute,3,FALSE)
),
IF(Info!$B$4="Board program (Medicine)",
IF(OR(AND(Q$5&gt;0,Q$5&gt;100),AND(Q$5&gt;0,Q$5&lt;100)),
VLOOKUP(FLOOR(('Final Term'!Q69/Q$5)*100,1),new_transmute,4,FALSE),
VLOOKUP('Final Term'!Q69,new_transmute,4,FALSE)
),
""
)
)
)
)
)
)
)
)
))</f>
        <v/>
      </c>
      <c r="R69" s="73" t="str">
        <f>IF($B69="","",
IF(R$5="","",
IF('Final Term'!R69="",0,
IF(NOT(ISNUMBER('Final Term'!R69)),"NAN",
IF('Final Term'!R69&lt;0,"NEG",
IF('Final Term'!R69&gt;R$5,"OVER",
IF(AND(R$5&lt;=100,'Final Term'!R69&gt;100),"ERR",
IF(Info!$B$4="Non-board program",
IF(OR(AND(R$5&gt;0,R$5&gt;100),AND(R$5&gt;0,R$5&lt;100)),
VLOOKUP(FLOOR(('Final Term'!R69/R$5)*100,1),new_transmute,2,FALSE),
VLOOKUP('Final Term'!R69,new_transmute,2,FALSE)
),
IF(Info!$B$4="Board program",
IF(OR(AND(R$5&gt;0,R$5&gt;100),AND(R$5&gt;0,R$5&lt;100)),
VLOOKUP(FLOOR(('Final Term'!R69/R$5)*100,1),new_transmute,3,FALSE),
VLOOKUP('Final Term'!R69,new_transmute,3,FALSE)
),
IF(Info!$B$4="Board program (Medicine)",
IF(OR(AND(R$5&gt;0,R$5&gt;100),AND(R$5&gt;0,R$5&lt;100)),
VLOOKUP(FLOOR(('Final Term'!R69/R$5)*100,1),new_transmute,4,FALSE),
VLOOKUP('Final Term'!R69,new_transmute,4,FALSE)
),
""
)
)
)
)
)
)
)
)
))</f>
        <v/>
      </c>
      <c r="S69" s="115" t="str">
        <f t="shared" si="3"/>
        <v/>
      </c>
      <c r="T69" s="73" t="str">
        <f>IF($B69="","",
IF(T$5="","",
IF('Final Term'!T69="",0,
IF(NOT(ISNUMBER('Final Term'!T69)),"NAN",
IF('Final Term'!T69&lt;0,"NEG",
IF('Final Term'!T69&gt;T$5,"OVER",
IF(AND(T$5&lt;=100,'Final Term'!T69&gt;100),"ERR",
IF(Info!$B$4="Non-board program",
IF(OR(AND(T$5&gt;0,T$5&gt;100),AND(T$5&gt;0,T$5&lt;100)),
VLOOKUP(FLOOR(('Final Term'!T69/T$5)*100,1),new_transmute,2,FALSE),
VLOOKUP('Final Term'!T69,new_transmute,2,FALSE)
),
IF(Info!$B$4="Board program",
IF(OR(AND(T$5&gt;0,T$5&gt;100),AND(T$5&gt;0,T$5&lt;100)),
VLOOKUP(FLOOR(('Final Term'!T69/T$5)*100,1),new_transmute,3,FALSE),
VLOOKUP('Final Term'!T69,new_transmute,3,FALSE)
),
IF(Info!$B$4="Board program (Medicine)",
IF(OR(AND(T$5&gt;0,T$5&gt;100),AND(T$5&gt;0,T$5&lt;100)),
VLOOKUP(FLOOR(('Final Term'!T69/T$5)*100,1),new_transmute,4,FALSE),
VLOOKUP('Final Term'!T69,new_transmute,4,FALSE)
),
""
)
)
)
)
)
)
)
)
))</f>
        <v/>
      </c>
      <c r="U69" s="73" t="str">
        <f>IF($B69="","",
IF(U$5="","",
IF('Final Term'!U69="",0,
IF(NOT(ISNUMBER('Final Term'!U69)),"NAN",
IF('Final Term'!U69&lt;0,"NEG",
IF('Final Term'!U69&gt;U$5,"OVER",
IF(AND(U$5&lt;=100,'Final Term'!U69&gt;100),"ERR",
IF(Info!$B$4="Non-board program",
IF(OR(AND(U$5&gt;0,U$5&gt;100),AND(U$5&gt;0,U$5&lt;100)),
VLOOKUP(FLOOR(('Final Term'!U69/U$5)*100,1),new_transmute,2,FALSE),
VLOOKUP('Final Term'!U69,new_transmute,2,FALSE)
),
IF(Info!$B$4="Board program",
IF(OR(AND(U$5&gt;0,U$5&gt;100),AND(U$5&gt;0,U$5&lt;100)),
VLOOKUP(FLOOR(('Final Term'!U69/U$5)*100,1),new_transmute,3,FALSE),
VLOOKUP('Final Term'!U69,new_transmute,3,FALSE)
),
IF(Info!$B$4="Board program (Medicine)",
IF(OR(AND(U$5&gt;0,U$5&gt;100),AND(U$5&gt;0,U$5&lt;100)),
VLOOKUP(FLOOR(('Final Term'!U69/U$5)*100,1),new_transmute,4,FALSE),
VLOOKUP('Final Term'!U69,new_transmute,4,FALSE)
),
""
)
)
)
)
)
)
)
)
))</f>
        <v/>
      </c>
      <c r="V69" s="73" t="str">
        <f>IF($B69="","",
IF(V$5="","",
IF('Final Term'!V69="",0,
IF(NOT(ISNUMBER('Final Term'!V69)),"NAN",
IF('Final Term'!V69&lt;0,"NEG",
IF('Final Term'!V69&gt;V$5,"OVER",
IF(AND(V$5&lt;=100,'Final Term'!V69&gt;100),"ERR",
IF(Info!$B$4="Non-board program",
IF(OR(AND(V$5&gt;0,V$5&gt;100),AND(V$5&gt;0,V$5&lt;100)),
VLOOKUP(FLOOR(('Final Term'!V69/V$5)*100,1),new_transmute,2,FALSE),
VLOOKUP('Final Term'!V69,new_transmute,2,FALSE)
),
IF(Info!$B$4="Board program",
IF(OR(AND(V$5&gt;0,V$5&gt;100),AND(V$5&gt;0,V$5&lt;100)),
VLOOKUP(FLOOR(('Final Term'!V69/V$5)*100,1),new_transmute,3,FALSE),
VLOOKUP('Final Term'!V69,new_transmute,3,FALSE)
),
IF(Info!$B$4="Board program (Medicine)",
IF(OR(AND(V$5&gt;0,V$5&gt;100),AND(V$5&gt;0,V$5&lt;100)),
VLOOKUP(FLOOR(('Final Term'!V69/V$5)*100,1),new_transmute,4,FALSE),
VLOOKUP('Final Term'!V69,new_transmute,4,FALSE)
),
""
)
)
)
)
)
)
)
)
))</f>
        <v/>
      </c>
      <c r="W69" s="73" t="str">
        <f>IF($B69="","",
IF(W$5="","",
IF('Final Term'!W69="",0,
IF(NOT(ISNUMBER('Final Term'!W69)),"NAN",
IF('Final Term'!W69&lt;0,"NEG",
IF('Final Term'!W69&gt;W$5,"OVER",
IF(AND(W$5&lt;=100,'Final Term'!W69&gt;100),"ERR",
IF(Info!$B$4="Non-board program",
IF(OR(AND(W$5&gt;0,W$5&gt;100),AND(W$5&gt;0,W$5&lt;100)),
VLOOKUP(FLOOR(('Final Term'!W69/W$5)*100,1),new_transmute,2,FALSE),
VLOOKUP('Final Term'!W69,new_transmute,2,FALSE)
),
IF(Info!$B$4="Board program",
IF(OR(AND(W$5&gt;0,W$5&gt;100),AND(W$5&gt;0,W$5&lt;100)),
VLOOKUP(FLOOR(('Final Term'!W69/W$5)*100,1),new_transmute,3,FALSE),
VLOOKUP('Final Term'!W69,new_transmute,3,FALSE)
),
IF(Info!$B$4="Board program (Medicine)",
IF(OR(AND(W$5&gt;0,W$5&gt;100),AND(W$5&gt;0,W$5&lt;100)),
VLOOKUP(FLOOR(('Final Term'!W69/W$5)*100,1),new_transmute,4,FALSE),
VLOOKUP('Final Term'!W69,new_transmute,4,FALSE)
),
""
)
)
)
)
)
)
)
)
))</f>
        <v/>
      </c>
      <c r="X69" s="73" t="str">
        <f>IF($B69="","",
IF(X$5="","",
IF('Final Term'!X69="",0,
IF(NOT(ISNUMBER('Final Term'!X69)),"NAN",
IF('Final Term'!X69&lt;0,"NEG",
IF('Final Term'!X69&gt;X$5,"OVER",
IF(AND(X$5&lt;=100,'Final Term'!X69&gt;100),"ERR",
IF(Info!$B$4="Non-board program",
IF(OR(AND(X$5&gt;0,X$5&gt;100),AND(X$5&gt;0,X$5&lt;100)),
VLOOKUP(FLOOR(('Final Term'!X69/X$5)*100,1),new_transmute,2,FALSE),
VLOOKUP('Final Term'!X69,new_transmute,2,FALSE)
),
IF(Info!$B$4="Board program",
IF(OR(AND(X$5&gt;0,X$5&gt;100),AND(X$5&gt;0,X$5&lt;100)),
VLOOKUP(FLOOR(('Final Term'!X69/X$5)*100,1),new_transmute,3,FALSE),
VLOOKUP('Final Term'!X69,new_transmute,3,FALSE)
),
IF(Info!$B$4="Board program (Medicine)",
IF(OR(AND(X$5&gt;0,X$5&gt;100),AND(X$5&gt;0,X$5&lt;100)),
VLOOKUP(FLOOR(('Final Term'!X69/X$5)*100,1),new_transmute,4,FALSE),
VLOOKUP('Final Term'!X69,new_transmute,4,FALSE)
),
""
)
)
)
)
)
)
)
)
))</f>
        <v/>
      </c>
      <c r="Y69" s="112" t="str">
        <f t="shared" si="4"/>
        <v/>
      </c>
      <c r="Z69" s="73" t="str">
        <f>IF($B69="","",
IF(Z$5="","",
IF('Final Term'!Z69="",0,
IF(NOT(ISNUMBER('Final Term'!Z69)),"NAN",
IF('Final Term'!Z69&lt;0,"NEG",
IF('Final Term'!Z69&gt;Z$5,"OVER",
IF(AND(Z$5&lt;=100,'Final Term'!Z69&gt;100),"ERR",
IF(Info!$B$4="Non-board program",
IF(OR(AND(Z$5&gt;0,Z$5&gt;100),AND(Z$5&gt;0,Z$5&lt;100)),
VLOOKUP(FLOOR(('Final Term'!Z69/Z$5)*100,1),new_transmute,2,FALSE),
VLOOKUP('Final Term'!Z69,new_transmute,2,FALSE)
),
IF(Info!$B$4="Board program",
IF(OR(AND(Z$5&gt;0,Z$5&gt;100),AND(Z$5&gt;0,Z$5&lt;100)),
VLOOKUP(FLOOR(('Final Term'!Z69/Z$5)*100,1),new_transmute,3,FALSE),
VLOOKUP('Final Term'!Z69,new_transmute,3,FALSE)
),
IF(Info!$B$4="Board program (Medicine)",
IF(OR(AND(Z$5&gt;0,Z$5&gt;100),AND(Z$5&gt;0,Z$5&lt;100)),
VLOOKUP(FLOOR(('Final Term'!Z69/Z$5)*100,1),new_transmute,4,FALSE),
VLOOKUP('Final Term'!Z69,new_transmute,4,FALSE)
),
""
)
)
)
)
)
)
)
)
))</f>
        <v/>
      </c>
      <c r="AA69" s="73" t="str">
        <f>IF($B69="","",
IF(AA$5="","",
IF('Final Term'!AA69="",0,
IF(NOT(ISNUMBER('Final Term'!AA69)),"NAN",
IF('Final Term'!AA69&lt;0,"NEG",
IF('Final Term'!AA69&gt;AA$5,"OVER",
IF(AND(AA$5&lt;=100,'Final Term'!AA69&gt;100),"ERR",
IF(Info!$B$4="Non-board program",
IF(OR(AND(AA$5&gt;0,AA$5&gt;100),AND(AA$5&gt;0,AA$5&lt;100)),
VLOOKUP(FLOOR(('Final Term'!AA69/AA$5)*100,1),new_transmute,2,FALSE),
VLOOKUP('Final Term'!AA69,new_transmute,2,FALSE)
),
IF(Info!$B$4="Board program",
IF(OR(AND(AA$5&gt;0,AA$5&gt;100),AND(AA$5&gt;0,AA$5&lt;100)),
VLOOKUP(FLOOR(('Final Term'!AA69/AA$5)*100,1),new_transmute,3,FALSE),
VLOOKUP('Final Term'!AA69,new_transmute,3,FALSE)
),
IF(Info!$B$4="Board program (Medicine)",
IF(OR(AND(AA$5&gt;0,AA$5&gt;100),AND(AA$5&gt;0,AA$5&lt;100)),
VLOOKUP(FLOOR(('Final Term'!AA69/AA$5)*100,1),new_transmute,4,FALSE),
VLOOKUP('Final Term'!AA69,new_transmute,4,FALSE)
),
""
)
)
)
)
)
)
)
)
))</f>
        <v/>
      </c>
      <c r="AB69" s="73" t="str">
        <f>IF($B69="","",
IF(AB$5="","",
IF('Final Term'!AB69="",0,
IF(NOT(ISNUMBER('Final Term'!AB69)),"NAN",
IF('Final Term'!AB69&lt;0,"NEG",
IF('Final Term'!AB69&gt;AB$5,"OVER",
IF(AND(AB$5&lt;=100,'Final Term'!AB69&gt;100),"ERR",
IF(Info!$B$4="Non-board program",
IF(OR(AND(AB$5&gt;0,AB$5&gt;100),AND(AB$5&gt;0,AB$5&lt;100)),
VLOOKUP(FLOOR(('Final Term'!AB69/AB$5)*100,1),new_transmute,2,FALSE),
VLOOKUP('Final Term'!AB69,new_transmute,2,FALSE)
),
IF(Info!$B$4="Board program",
IF(OR(AND(AB$5&gt;0,AB$5&gt;100),AND(AB$5&gt;0,AB$5&lt;100)),
VLOOKUP(FLOOR(('Final Term'!AB69/AB$5)*100,1),new_transmute,3,FALSE),
VLOOKUP('Final Term'!AB69,new_transmute,3,FALSE)
),
IF(Info!$B$4="Board program (Medicine)",
IF(OR(AND(AB$5&gt;0,AB$5&gt;100),AND(AB$5&gt;0,AB$5&lt;100)),
VLOOKUP(FLOOR(('Final Term'!AB69/AB$5)*100,1),new_transmute,4,FALSE),
VLOOKUP('Final Term'!AB69,new_transmute,4,FALSE)
),
""
)
)
)
)
)
)
)
)
))</f>
        <v/>
      </c>
      <c r="AC69" s="73" t="str">
        <f>IF($B69="","",
IF(AC$5="","",
IF('Final Term'!AC69="",0,
IF(NOT(ISNUMBER('Final Term'!AC69)),"NAN",
IF('Final Term'!AC69&lt;0,"NEG",
IF('Final Term'!AC69&gt;AC$5,"OVER",
IF(AND(AC$5&lt;=100,'Final Term'!AC69&gt;100),"ERR",
IF(Info!$B$4="Non-board program",
IF(OR(AND(AC$5&gt;0,AC$5&gt;100),AND(AC$5&gt;0,AC$5&lt;100)),
VLOOKUP(FLOOR(('Final Term'!AC69/AC$5)*100,1),new_transmute,2,FALSE),
VLOOKUP('Final Term'!AC69,new_transmute,2,FALSE)
),
IF(Info!$B$4="Board program",
IF(OR(AND(AC$5&gt;0,AC$5&gt;100),AND(AC$5&gt;0,AC$5&lt;100)),
VLOOKUP(FLOOR(('Final Term'!AC69/AC$5)*100,1),new_transmute,3,FALSE),
VLOOKUP('Final Term'!AC69,new_transmute,3,FALSE)
),
IF(Info!$B$4="Board program (Medicine)",
IF(OR(AND(AC$5&gt;0,AC$5&gt;100),AND(AC$5&gt;0,AC$5&lt;100)),
VLOOKUP(FLOOR(('Final Term'!AC69/AC$5)*100,1),new_transmute,4,FALSE),
VLOOKUP('Final Term'!AC69,new_transmute,4,FALSE)
),
""
)
)
)
)
)
)
)
)
))</f>
        <v/>
      </c>
      <c r="AD69" s="73" t="str">
        <f>IF($B69="","",
IF(AD$5="","",
IF('Final Term'!AD69="",0,
IF(NOT(ISNUMBER('Final Term'!AD69)),"NAN",
IF('Final Term'!AD69&lt;0,"NEG",
IF('Final Term'!AD69&gt;AD$5,"OVER",
IF(AND(AD$5&lt;=100,'Final Term'!AD69&gt;100),"ERR",
IF(Info!$B$4="Non-board program",
IF(OR(AND(AD$5&gt;0,AD$5&gt;100),AND(AD$5&gt;0,AD$5&lt;100)),
VLOOKUP(FLOOR(('Final Term'!AD69/AD$5)*100,1),new_transmute,2,FALSE),
VLOOKUP('Final Term'!AD69,new_transmute,2,FALSE)
),
IF(Info!$B$4="Board program",
IF(OR(AND(AD$5&gt;0,AD$5&gt;100),AND(AD$5&gt;0,AD$5&lt;100)),
VLOOKUP(FLOOR(('Final Term'!AD69/AD$5)*100,1),new_transmute,3,FALSE),
VLOOKUP('Final Term'!AD69,new_transmute,3,FALSE)
),
IF(Info!$B$4="Board program (Medicine)",
IF(OR(AND(AD$5&gt;0,AD$5&gt;100),AND(AD$5&gt;0,AD$5&lt;100)),
VLOOKUP(FLOOR(('Final Term'!AD69/AD$5)*100,1),new_transmute,4,FALSE),
VLOOKUP('Final Term'!AD69,new_transmute,4,FALSE)
),
""
)
)
)
)
)
)
)
)
))</f>
        <v/>
      </c>
      <c r="AE69" s="58" t="str">
        <f t="shared" si="5"/>
        <v/>
      </c>
      <c r="AF69" s="73" t="str">
        <f>IF($B69="","",
IF(AF$5="","",
IF('Final Term'!AF69="",0,
IF(NOT(ISNUMBER('Final Term'!AF69)),"NAN",
IF('Final Term'!AF69&lt;0,"NEG",
IF('Final Term'!AF69&gt;AF$5,"OVER",
IF(AND(AF$5&lt;=100,'Final Term'!AF69&gt;100),"ERR",
IF(Info!$B$4="Non-board program",
IF(OR(AND(AF$5&gt;0,AF$5&gt;100),AND(AF$5&gt;0,AF$5&lt;100)),
VLOOKUP(FLOOR(('Final Term'!AF69/AF$5)*100,1),new_transmute,2,FALSE),
VLOOKUP('Final Term'!AF69,new_transmute,2,FALSE)
),
IF(Info!$B$4="Board program",
IF(OR(AND(AF$5&gt;0,AF$5&gt;100),AND(AF$5&gt;0,AF$5&lt;100)),
VLOOKUP(FLOOR(('Final Term'!AF69/AF$5)*100,1),new_transmute,3,FALSE),
VLOOKUP('Final Term'!AF69,new_transmute,3,FALSE)
),
IF(Info!$B$4="Board program (Medicine)",
IF(OR(AND(AF$5&gt;0,AF$5&gt;100),AND(AF$5&gt;0,AF$5&lt;100)),
VLOOKUP(FLOOR(('Final Term'!AF69/AF$5)*100,1),new_transmute,4,FALSE),
VLOOKUP('Final Term'!AF69,new_transmute,4,FALSE)
),
""
)
)
)
)
)
)
)
)
))</f>
        <v/>
      </c>
      <c r="AG69" s="73" t="str">
        <f>IF($B69="","",
IF(AG$5="","",
IF('Final Term'!AG69="",0,
IF(NOT(ISNUMBER('Final Term'!AG69)),"NAN",
IF('Final Term'!AG69&lt;0,"NEG",
IF('Final Term'!AG69&gt;AG$5,"OVER",
IF(AND(AG$5&lt;=100,'Final Term'!AG69&gt;100),"ERR",
IF(Info!$B$4="Non-board program",
IF(OR(AND(AG$5&gt;0,AG$5&gt;100),AND(AG$5&gt;0,AG$5&lt;100)),
VLOOKUP(FLOOR(('Final Term'!AG69/AG$5)*100,1),new_transmute,2,FALSE),
VLOOKUP('Final Term'!AG69,new_transmute,2,FALSE)
),
IF(Info!$B$4="Board program",
IF(OR(AND(AG$5&gt;0,AG$5&gt;100),AND(AG$5&gt;0,AG$5&lt;100)),
VLOOKUP(FLOOR(('Final Term'!AG69/AG$5)*100,1),new_transmute,3,FALSE),
VLOOKUP('Final Term'!AG69,new_transmute,3,FALSE)
),
IF(Info!$B$4="Board program (Medicine)",
IF(OR(AND(AG$5&gt;0,AG$5&gt;100),AND(AG$5&gt;0,AG$5&lt;100)),
VLOOKUP(FLOOR(('Final Term'!AG69/AG$5)*100,1),new_transmute,4,FALSE),
VLOOKUP('Final Term'!AG69,new_transmute,4,FALSE)
),
""
)
)
)
)
)
)
)
)
))</f>
        <v/>
      </c>
      <c r="AH69" s="73" t="str">
        <f>IF($B69="","",
IF(AH$5="","",
IF('Final Term'!AH69="",0,
IF(NOT(ISNUMBER('Final Term'!AH69)),"NAN",
IF('Final Term'!AH69&lt;0,"NEG",
IF('Final Term'!AH69&gt;AH$5,"OVER",
IF(AND(AH$5&lt;=100,'Final Term'!AH69&gt;100),"ERR",
IF(Info!$B$4="Non-board program",
IF(OR(AND(AH$5&gt;0,AH$5&gt;100),AND(AH$5&gt;0,AH$5&lt;100)),
VLOOKUP(FLOOR(('Final Term'!AH69/AH$5)*100,1),new_transmute,2,FALSE),
VLOOKUP('Final Term'!AH69,new_transmute,2,FALSE)
),
IF(Info!$B$4="Board program",
IF(OR(AND(AH$5&gt;0,AH$5&gt;100),AND(AH$5&gt;0,AH$5&lt;100)),
VLOOKUP(FLOOR(('Final Term'!AH69/AH$5)*100,1),new_transmute,3,FALSE),
VLOOKUP('Final Term'!AH69,new_transmute,3,FALSE)
),
IF(Info!$B$4="Board program (Medicine)",
IF(OR(AND(AH$5&gt;0,AH$5&gt;100),AND(AH$5&gt;0,AH$5&lt;100)),
VLOOKUP(FLOOR(('Final Term'!AH69/AH$5)*100,1),new_transmute,4,FALSE),
VLOOKUP('Final Term'!AH69,new_transmute,4,FALSE)
),
""
)
)
)
)
)
)
)
)
))</f>
        <v/>
      </c>
      <c r="AI69" s="73" t="str">
        <f>IF($B69="","",
IF(AI$5="","",
IF('Final Term'!AI69="",0,
IF(NOT(ISNUMBER('Final Term'!AI69)),"NAN",
IF('Final Term'!AI69&lt;0,"NEG",
IF('Final Term'!AI69&gt;AI$5,"OVER",
IF(AND(AI$5&lt;=100,'Final Term'!AI69&gt;100),"ERR",
IF(Info!$B$4="Non-board program",
IF(OR(AND(AI$5&gt;0,AI$5&gt;100),AND(AI$5&gt;0,AI$5&lt;100)),
VLOOKUP(FLOOR(('Final Term'!AI69/AI$5)*100,1),new_transmute,2,FALSE),
VLOOKUP('Final Term'!AI69,new_transmute,2,FALSE)
),
IF(Info!$B$4="Board program",
IF(OR(AND(AI$5&gt;0,AI$5&gt;100),AND(AI$5&gt;0,AI$5&lt;100)),
VLOOKUP(FLOOR(('Final Term'!AI69/AI$5)*100,1),new_transmute,3,FALSE),
VLOOKUP('Final Term'!AI69,new_transmute,3,FALSE)
),
IF(Info!$B$4="Board program (Medicine)",
IF(OR(AND(AI$5&gt;0,AI$5&gt;100),AND(AI$5&gt;0,AI$5&lt;100)),
VLOOKUP(FLOOR(('Final Term'!AI69/AI$5)*100,1),new_transmute,4,FALSE),
VLOOKUP('Final Term'!AI69,new_transmute,4,FALSE)
),
""
)
)
)
)
)
)
)
)
))</f>
        <v/>
      </c>
      <c r="AJ69" s="73" t="str">
        <f>IF($B69="","",
IF(AJ$5="","",
IF('Final Term'!AJ69="",0,
IF(NOT(ISNUMBER('Final Term'!AJ69)),"NAN",
IF('Final Term'!AJ69&lt;0,"NEG",
IF('Final Term'!AJ69&gt;AJ$5,"OVER",
IF(AND(AJ$5&lt;=100,'Final Term'!AJ69&gt;100),"ERR",
IF(Info!$B$4="Non-board program",
IF(OR(AND(AJ$5&gt;0,AJ$5&gt;100),AND(AJ$5&gt;0,AJ$5&lt;100)),
VLOOKUP(FLOOR(('Final Term'!AJ69/AJ$5)*100,1),new_transmute,2,FALSE),
VLOOKUP('Final Term'!AJ69,new_transmute,2,FALSE)
),
IF(Info!$B$4="Board program",
IF(OR(AND(AJ$5&gt;0,AJ$5&gt;100),AND(AJ$5&gt;0,AJ$5&lt;100)),
VLOOKUP(FLOOR(('Final Term'!AJ69/AJ$5)*100,1),new_transmute,3,FALSE),
VLOOKUP('Final Term'!AJ69,new_transmute,3,FALSE)
),
IF(Info!$B$4="Board program (Medicine)",
IF(OR(AND(AJ$5&gt;0,AJ$5&gt;100),AND(AJ$5&gt;0,AJ$5&lt;100)),
VLOOKUP(FLOOR(('Final Term'!AJ69/AJ$5)*100,1),new_transmute,4,FALSE),
VLOOKUP('Final Term'!AJ69,new_transmute,4,FALSE)
),
""
)
)
)
)
)
)
)
)
))</f>
        <v/>
      </c>
      <c r="AK69" s="59" t="str">
        <f t="shared" si="6"/>
        <v/>
      </c>
      <c r="AL69" s="60" t="str">
        <f>IF(B69="", "",
    IF(OR(M69="OVER", S69="OVER", Y69="OVER", AE69="OVER", AK69="OVER"),
        "OVER",
        IF(Info!$B$4="Non-board program",
            VLOOKUP(IFERROR(FLOOR(SUM((M69*$M$4), (S69*$S$4), (Y69*$Y$4), (AE69*$AE$4), (AK69*$AK$4)) * (100 / 60), 1), 0), new_transmute, 2, FALSE),
            IF(Info!$B$4="Board program",
                VLOOKUP(IFERROR(FLOOR(SUM((M69*$M$4), (S69*$S$4), (Y69*$Y$4), (AE69*$AE$4), (AK69*$AK$4)) * (100 / 60), 1), 0), new_transmute, 3, FALSE),
                IF(Info!$B$4="Board program (Medicine)",
                    VLOOKUP(IFERROR(FLOOR(SUM((M69*$M$4), (S69*$S$4), (Y69*$Y$4), (AE69*$AE$4), (AK69*$AK$4)) * (100 / 60), 1), 0), new_transmute, 4, FALSE),
                    ""
                )
            )
        )
    )
)</f>
        <v/>
      </c>
      <c r="AM69" s="73" t="str">
        <f>IF($B69="","",
IF(AM$5="","",
IF('Final Term'!AM69="",0,
IF(NOT(ISNUMBER('Final Term'!AM69)),"NAN",
IF('Final Term'!AM69&lt;0,"NEG",
IF('Final Term'!AM69&gt;AM$5,"OVER",
IF(AND(AM$5&lt;=100,'Final Term'!AM69&gt;100),"ERR",
IF(Info!$B$4="Non-board program",
IF(OR(AND(AM$5&gt;0,AM$5&gt;100),AND(AM$5&gt;0,AM$5&lt;100)),
VLOOKUP(FLOOR(('Final Term'!AM69/AM$5)*100,1),new_transmute,2,FALSE),
VLOOKUP('Final Term'!AM69,new_transmute,2,FALSE)
),
IF(Info!$B$4="Board program",
IF(OR(AND(AM$5&gt;0,AM$5&gt;100),AND(AM$5&gt;0,AM$5&lt;100)),
VLOOKUP(FLOOR(('Final Term'!AM69/AM$5)*100,1),new_transmute,3,FALSE),
VLOOKUP('Final Term'!AM69,new_transmute,3,FALSE)
),
IF(Info!$B$4="Board program (Medicine)",
IF(OR(AND(AM$5&gt;0,AM$5&gt;100),AND(AM$5&gt;0,AM$5&lt;100)),
VLOOKUP(FLOOR(('Final Term'!AM69/AM$5)*100,1),new_transmute,4,FALSE),
VLOOKUP('Final Term'!AM69,new_transmute,4,FALSE)
),
""
)
)
)
)
)
)
)
)
))</f>
        <v/>
      </c>
      <c r="AN69" s="73" t="str">
        <f>IF($B69="","",
IF(AN$5="","",
IF('Final Term'!AN69="",0,
IF(NOT(ISNUMBER('Final Term'!AN69)),"NAN",
IF('Final Term'!AN69&lt;0,"NEG",
IF('Final Term'!AN69&gt;AN$5,"OVER",
IF(AND(AN$5&lt;=100,'Final Term'!AN69&gt;100),"ERR",
IF(Info!$B$4="Non-board program",
IF(OR(AND(AN$5&gt;0,AN$5&gt;100),AND(AN$5&gt;0,AN$5&lt;100)),
VLOOKUP(FLOOR(('Final Term'!AN69/AN$5)*100,1),new_transmute,2,FALSE),
VLOOKUP('Final Term'!AN69,new_transmute,2,FALSE)
),
IF(Info!$B$4="Board program",
IF(OR(AND(AN$5&gt;0,AN$5&gt;100),AND(AN$5&gt;0,AN$5&lt;100)),
VLOOKUP(FLOOR(('Final Term'!AN69/AN$5)*100,1),new_transmute,3,FALSE),
VLOOKUP('Final Term'!AN69,new_transmute,3,FALSE)
),
IF(Info!$B$4="Board program (Medicine)",
IF(OR(AND(AN$5&gt;0,AN$5&gt;100),AND(AN$5&gt;0,AN$5&lt;100)),
VLOOKUP(FLOOR(('Final Term'!AN69/AN$5)*100,1),new_transmute,4,FALSE),
VLOOKUP('Final Term'!AN69,new_transmute,4,FALSE)
),
""
)
)
)
)
)
)
)
)
))</f>
        <v/>
      </c>
      <c r="AO69" s="73" t="str">
        <f>IF($B69="","",
IF(AO$5="","",
IF('Final Term'!AO69="",0,
IF(NOT(ISNUMBER('Final Term'!AO69)),"NAN",
IF('Final Term'!AO69&lt;0,"NEG",
IF('Final Term'!AO69&gt;AO$5,"OVER",
IF(AND(AO$5&lt;=100,'Final Term'!AO69&gt;100),"ERR",
IF(Info!$B$4="Non-board program",
IF(OR(AND(AO$5&gt;0,AO$5&gt;100),AND(AO$5&gt;0,AO$5&lt;100)),
VLOOKUP(FLOOR(('Final Term'!AO69/AO$5)*100,1),new_transmute,2,FALSE),
VLOOKUP('Final Term'!AO69,new_transmute,2,FALSE)
),
IF(Info!$B$4="Board program",
IF(OR(AND(AO$5&gt;0,AO$5&gt;100),AND(AO$5&gt;0,AO$5&lt;100)),
VLOOKUP(FLOOR(('Final Term'!AO69/AO$5)*100,1),new_transmute,3,FALSE),
VLOOKUP('Final Term'!AO69,new_transmute,3,FALSE)
),
IF(Info!$B$4="Board program (Medicine)",
IF(OR(AND(AO$5&gt;0,AO$5&gt;100),AND(AO$5&gt;0,AO$5&lt;100)),
VLOOKUP(FLOOR(('Final Term'!AO69/AO$5)*100,1),new_transmute,4,FALSE),
VLOOKUP('Final Term'!AO69,new_transmute,4,FALSE)
),
""
)
)
)
)
)
)
)
)
))</f>
        <v/>
      </c>
      <c r="AP69" s="73" t="str">
        <f>IF($B69="","",
IF(AP$5="","",
IF('Final Term'!AP69="",0,
IF(NOT(ISNUMBER('Final Term'!AP69)),"NAN",
IF('Final Term'!AP69&lt;0,"NEG",
IF('Final Term'!AP69&gt;AP$5,"OVER",
IF(AND(AP$5&lt;=100,'Final Term'!AP69&gt;100),"ERR",
IF(Info!$B$4="Non-board program",
IF(OR(AND(AP$5&gt;0,AP$5&gt;100),AND(AP$5&gt;0,AP$5&lt;100)),
VLOOKUP(FLOOR(('Final Term'!AP69/AP$5)*100,1),new_transmute,2,FALSE),
VLOOKUP('Final Term'!AP69,new_transmute,2,FALSE)
),
IF(Info!$B$4="Board program",
IF(OR(AND(AP$5&gt;0,AP$5&gt;100),AND(AP$5&gt;0,AP$5&lt;100)),
VLOOKUP(FLOOR(('Final Term'!AP69/AP$5)*100,1),new_transmute,3,FALSE),
VLOOKUP('Final Term'!AP69,new_transmute,3,FALSE)
),
IF(Info!$B$4="Board program (Medicine)",
IF(OR(AND(AP$5&gt;0,AP$5&gt;100),AND(AP$5&gt;0,AP$5&lt;100)),
VLOOKUP(FLOOR(('Final Term'!AP69/AP$5)*100,1),new_transmute,4,FALSE),
VLOOKUP('Final Term'!AP69,new_transmute,4,FALSE)
),
""
)
)
)
)
)
)
)
)
))</f>
        <v/>
      </c>
      <c r="AQ69" s="61" t="str">
        <f t="shared" si="7"/>
        <v/>
      </c>
      <c r="AR69" s="48" t="str">
        <f>IF('Final Term'!AR69="","",'Final Term'!AR69)</f>
        <v/>
      </c>
      <c r="AS69" s="165" t="str">
        <f t="shared" si="8"/>
        <v/>
      </c>
      <c r="AT69" s="14" t="str">
        <f t="shared" si="9"/>
        <v/>
      </c>
      <c r="AU69" s="13" t="str">
        <f>IF(B69="","",VLOOKUP(AT69,'New Grade Equivalent'!$B$3:$C$47,2,FALSE))</f>
        <v/>
      </c>
    </row>
    <row r="70" spans="1:47" x14ac:dyDescent="0.25">
      <c r="A70" s="8">
        <v>65</v>
      </c>
      <c r="B70" s="2" t="str">
        <f>IF('Student List'!C74="","",UPPER(LEFT('Student List'!C74,FIND(",",'Student List'!C74)-1)))</f>
        <v/>
      </c>
      <c r="C70" s="12" t="str">
        <f>IF('Student List'!C74="","",PROPER(MID('Student List'!C74, FIND(",", 'Student List'!C74) + 2, LEN('Student List'!C74) - FIND(",", 'Student List'!C74) - 1)))</f>
        <v/>
      </c>
      <c r="D70" s="127" t="str">
        <f>IF('Final Term'!D70="","",'Final Term'!D70)</f>
        <v/>
      </c>
      <c r="E70" s="8" t="str">
        <f>IF(MidCom!E70="FA", "FA",
    IF(MidCom!E70="DRP", "DRP",
        IF(MidCom!E70="WF", "WF",
            IF(D70="Yes", "INC",
               IF((SUM('MT Attendance'!AW68) / 3 + SUM('MT Attendance'!AY68) + SUM('FT Attendance'!AW68) / 3 + SUM('FT Attendance'!AY68)) &gt;= 0.2 * (SUMPRODUCT(--(ISTEXT('MT Attendance'!$C$2:$AU$2))) + SUMPRODUCT(--(ISTEXT('FT Attendance'!$C$2:$AU$2)))), "FA",
                   MidCom!E70
                )
            )
        )
    )
)</f>
        <v/>
      </c>
      <c r="F70" s="73" t="str">
        <f>IF($B70="","",
IF(F$5="","",
IF('Final Term'!F70="",0,
IF(NOT(ISNUMBER('Final Term'!F70)),"NAN",
IF('Final Term'!F70&lt;0,"NEG",
IF('Final Term'!F70&gt;F$5,"OVER",
IF(AND(F$5&lt;=100,'Final Term'!F70&gt;100),"ERR",
IF(Info!$B$4="Non-board program",
IF(OR(AND(F$5&gt;0,F$5&gt;100),AND(F$5&gt;0,F$5&lt;100)),
VLOOKUP(FLOOR(('Final Term'!F70/F$5)*100,1),new_transmute,2,FALSE),
VLOOKUP('Final Term'!F70,new_transmute,2,FALSE)
),
IF(Info!$B$4="Board program",
IF(OR(AND(F$5&gt;0,F$5&gt;100),AND(F$5&gt;0,F$5&lt;100)),
VLOOKUP(FLOOR(('Final Term'!F70/F$5)*100,1),new_transmute,3,FALSE),
VLOOKUP('Final Term'!F70,new_transmute,3,FALSE)
),
IF(Info!$B$4="Board program (Medicine)",
IF(OR(AND(F$5&gt;0,F$5&gt;100),AND(F$5&gt;0,F$5&lt;100)),
VLOOKUP(FLOOR(('Final Term'!F70/F$5)*100,1),new_transmute,4,FALSE),
VLOOKUP('Final Term'!F70,new_transmute,4,FALSE)
),
""
)
)
)
)
)
)
)
)
))</f>
        <v/>
      </c>
      <c r="G70" s="57" t="str">
        <f t="shared" si="1"/>
        <v/>
      </c>
      <c r="H70" s="73" t="str">
        <f>IF($B70="","",
IF(H$5="","",
IF('Final Term'!H70="",0,
IF(NOT(ISNUMBER('Final Term'!H70)),"NAN",
IF('Final Term'!H70&lt;0,"NEG",
IF('Final Term'!H70&gt;H$5,"OVER",
IF(AND(H$5&lt;=100,'Final Term'!H70&gt;100),"ERR",
IF(Info!$B$4="Non-board program",
IF(OR(AND(H$5&gt;0,H$5&gt;100),AND(H$5&gt;0,H$5&lt;100)),
VLOOKUP(FLOOR(('Final Term'!H70/H$5)*100,1),new_transmute,2,FALSE),
VLOOKUP('Final Term'!H70,new_transmute,2,FALSE)
),
IF(Info!$B$4="Board program",
IF(OR(AND(H$5&gt;0,H$5&gt;100),AND(H$5&gt;0,H$5&lt;100)),
VLOOKUP(FLOOR(('Final Term'!H70/H$5)*100,1),new_transmute,3,FALSE),
VLOOKUP('Final Term'!H70,new_transmute,3,FALSE)
),
IF(Info!$B$4="Board program (Medicine)",
IF(OR(AND(H$5&gt;0,H$5&gt;100),AND(H$5&gt;0,H$5&lt;100)),
VLOOKUP(FLOOR(('Final Term'!H70/H$5)*100,1),new_transmute,4,FALSE),
VLOOKUP('Final Term'!H70,new_transmute,4,FALSE)
),
""
)
)
)
)
)
)
)
)
))</f>
        <v/>
      </c>
      <c r="I70" s="73" t="str">
        <f>IF($B70="","",
IF(I$5="","",
IF('Final Term'!I70="",0,
IF(NOT(ISNUMBER('Final Term'!I70)),"NAN",
IF('Final Term'!I70&lt;0,"NEG",
IF('Final Term'!I70&gt;I$5,"OVER",
IF(AND(I$5&lt;=100,'Final Term'!I70&gt;100),"ERR",
IF(Info!$B$4="Non-board program",
IF(OR(AND(I$5&gt;0,I$5&gt;100),AND(I$5&gt;0,I$5&lt;100)),
VLOOKUP(FLOOR(('Final Term'!I70/I$5)*100,1),new_transmute,2,FALSE),
VLOOKUP('Final Term'!I70,new_transmute,2,FALSE)
),
IF(Info!$B$4="Board program",
IF(OR(AND(I$5&gt;0,I$5&gt;100),AND(I$5&gt;0,I$5&lt;100)),
VLOOKUP(FLOOR(('Final Term'!I70/I$5)*100,1),new_transmute,3,FALSE),
VLOOKUP('Final Term'!I70,new_transmute,3,FALSE)
),
IF(Info!$B$4="Board program (Medicine)",
IF(OR(AND(I$5&gt;0,I$5&gt;100),AND(I$5&gt;0,I$5&lt;100)),
VLOOKUP(FLOOR(('Final Term'!I70/I$5)*100,1),new_transmute,4,FALSE),
VLOOKUP('Final Term'!I70,new_transmute,4,FALSE)
),
""
)
)
)
)
)
)
)
)
))</f>
        <v/>
      </c>
      <c r="J70" s="73" t="str">
        <f>IF($B70="","",
IF(J$5="","",
IF('Final Term'!J70="",0,
IF(NOT(ISNUMBER('Final Term'!J70)),"NAN",
IF('Final Term'!J70&lt;0,"NEG",
IF('Final Term'!J70&gt;J$5,"OVER",
IF(AND(J$5&lt;=100,'Final Term'!J70&gt;100),"ERR",
IF(Info!$B$4="Non-board program",
IF(OR(AND(J$5&gt;0,J$5&gt;100),AND(J$5&gt;0,J$5&lt;100)),
VLOOKUP(FLOOR(('Final Term'!J70/J$5)*100,1),new_transmute,2,FALSE),
VLOOKUP('Final Term'!J70,new_transmute,2,FALSE)
),
IF(Info!$B$4="Board program",
IF(OR(AND(J$5&gt;0,J$5&gt;100),AND(J$5&gt;0,J$5&lt;100)),
VLOOKUP(FLOOR(('Final Term'!J70/J$5)*100,1),new_transmute,3,FALSE),
VLOOKUP('Final Term'!J70,new_transmute,3,FALSE)
),
IF(Info!$B$4="Board program (Medicine)",
IF(OR(AND(J$5&gt;0,J$5&gt;100),AND(J$5&gt;0,J$5&lt;100)),
VLOOKUP(FLOOR(('Final Term'!J70/J$5)*100,1),new_transmute,4,FALSE),
VLOOKUP('Final Term'!J70,new_transmute,4,FALSE)
),
""
)
)
)
)
)
)
)
)
))</f>
        <v/>
      </c>
      <c r="K70" s="73" t="str">
        <f>IF($B70="","",
IF(K$5="","",
IF('Final Term'!K70="",0,
IF(NOT(ISNUMBER('Final Term'!K70)),"NAN",
IF('Final Term'!K70&lt;0,"NEG",
IF('Final Term'!K70&gt;K$5,"OVER",
IF(AND(K$5&lt;=100,'Final Term'!K70&gt;100),"ERR",
IF(Info!$B$4="Non-board program",
IF(OR(AND(K$5&gt;0,K$5&gt;100),AND(K$5&gt;0,K$5&lt;100)),
VLOOKUP(FLOOR(('Final Term'!K70/K$5)*100,1),new_transmute,2,FALSE),
VLOOKUP('Final Term'!K70,new_transmute,2,FALSE)
),
IF(Info!$B$4="Board program",
IF(OR(AND(K$5&gt;0,K$5&gt;100),AND(K$5&gt;0,K$5&lt;100)),
VLOOKUP(FLOOR(('Final Term'!K70/K$5)*100,1),new_transmute,3,FALSE),
VLOOKUP('Final Term'!K70,new_transmute,3,FALSE)
),
IF(Info!$B$4="Board program (Medicine)",
IF(OR(AND(K$5&gt;0,K$5&gt;100),AND(K$5&gt;0,K$5&lt;100)),
VLOOKUP(FLOOR(('Final Term'!K70/K$5)*100,1),new_transmute,4,FALSE),
VLOOKUP('Final Term'!K70,new_transmute,4,FALSE)
),
""
)
)
)
)
)
)
)
)
))</f>
        <v/>
      </c>
      <c r="L70" s="73" t="str">
        <f>IF($B70="","",
IF(L$5="","",
IF('Final Term'!L70="",0,
IF(NOT(ISNUMBER('Final Term'!L70)),"NAN",
IF('Final Term'!L70&lt;0,"NEG",
IF('Final Term'!L70&gt;L$5,"OVER",
IF(AND(L$5&lt;=100,'Final Term'!L70&gt;100),"ERR",
IF(Info!$B$4="Non-board program",
IF(OR(AND(L$5&gt;0,L$5&gt;100),AND(L$5&gt;0,L$5&lt;100)),
VLOOKUP(FLOOR(('Final Term'!L70/L$5)*100,1),new_transmute,2,FALSE),
VLOOKUP('Final Term'!L70,new_transmute,2,FALSE)
),
IF(Info!$B$4="Board program",
IF(OR(AND(L$5&gt;0,L$5&gt;100),AND(L$5&gt;0,L$5&lt;100)),
VLOOKUP(FLOOR(('Final Term'!L70/L$5)*100,1),new_transmute,3,FALSE),
VLOOKUP('Final Term'!L70,new_transmute,3,FALSE)
),
IF(Info!$B$4="Board program (Medicine)",
IF(OR(AND(L$5&gt;0,L$5&gt;100),AND(L$5&gt;0,L$5&lt;100)),
VLOOKUP(FLOOR(('Final Term'!L70/L$5)*100,1),new_transmute,4,FALSE),
VLOOKUP('Final Term'!L70,new_transmute,4,FALSE)
),
""
)
)
)
)
)
)
)
)
))</f>
        <v/>
      </c>
      <c r="M70" s="111" t="str">
        <f t="shared" si="2"/>
        <v/>
      </c>
      <c r="N70" s="73" t="str">
        <f>IF($B70="","",
IF(N$5="","",
IF('Final Term'!N70="",0,
IF(NOT(ISNUMBER('Final Term'!N70)),"NAN",
IF('Final Term'!N70&lt;0,"NEG",
IF('Final Term'!N70&gt;N$5,"OVER",
IF(AND(N$5&lt;=100,'Final Term'!N70&gt;100),"ERR",
IF(Info!$B$4="Non-board program",
IF(OR(AND(N$5&gt;0,N$5&gt;100),AND(N$5&gt;0,N$5&lt;100)),
VLOOKUP(FLOOR(('Final Term'!N70/N$5)*100,1),new_transmute,2,FALSE),
VLOOKUP('Final Term'!N70,new_transmute,2,FALSE)
),
IF(Info!$B$4="Board program",
IF(OR(AND(N$5&gt;0,N$5&gt;100),AND(N$5&gt;0,N$5&lt;100)),
VLOOKUP(FLOOR(('Final Term'!N70/N$5)*100,1),new_transmute,3,FALSE),
VLOOKUP('Final Term'!N70,new_transmute,3,FALSE)
),
IF(Info!$B$4="Board program (Medicine)",
IF(OR(AND(N$5&gt;0,N$5&gt;100),AND(N$5&gt;0,N$5&lt;100)),
VLOOKUP(FLOOR(('Final Term'!N70/N$5)*100,1),new_transmute,4,FALSE),
VLOOKUP('Final Term'!N70,new_transmute,4,FALSE)
),
""
)
)
)
)
)
)
)
)
))</f>
        <v/>
      </c>
      <c r="O70" s="73" t="str">
        <f>IF($B70="","",
IF(O$5="","",
IF('Final Term'!O70="",0,
IF(NOT(ISNUMBER('Final Term'!O70)),"NAN",
IF('Final Term'!O70&lt;0,"NEG",
IF('Final Term'!O70&gt;O$5,"OVER",
IF(AND(O$5&lt;=100,'Final Term'!O70&gt;100),"ERR",
IF(Info!$B$4="Non-board program",
IF(OR(AND(O$5&gt;0,O$5&gt;100),AND(O$5&gt;0,O$5&lt;100)),
VLOOKUP(FLOOR(('Final Term'!O70/O$5)*100,1),new_transmute,2,FALSE),
VLOOKUP('Final Term'!O70,new_transmute,2,FALSE)
),
IF(Info!$B$4="Board program",
IF(OR(AND(O$5&gt;0,O$5&gt;100),AND(O$5&gt;0,O$5&lt;100)),
VLOOKUP(FLOOR(('Final Term'!O70/O$5)*100,1),new_transmute,3,FALSE),
VLOOKUP('Final Term'!O70,new_transmute,3,FALSE)
),
IF(Info!$B$4="Board program (Medicine)",
IF(OR(AND(O$5&gt;0,O$5&gt;100),AND(O$5&gt;0,O$5&lt;100)),
VLOOKUP(FLOOR(('Final Term'!O70/O$5)*100,1),new_transmute,4,FALSE),
VLOOKUP('Final Term'!O70,new_transmute,4,FALSE)
),
""
)
)
)
)
)
)
)
)
))</f>
        <v/>
      </c>
      <c r="P70" s="73" t="str">
        <f>IF($B70="","",
IF(P$5="","",
IF('Final Term'!P70="",0,
IF(NOT(ISNUMBER('Final Term'!P70)),"NAN",
IF('Final Term'!P70&lt;0,"NEG",
IF('Final Term'!P70&gt;P$5,"OVER",
IF(AND(P$5&lt;=100,'Final Term'!P70&gt;100),"ERR",
IF(Info!$B$4="Non-board program",
IF(OR(AND(P$5&gt;0,P$5&gt;100),AND(P$5&gt;0,P$5&lt;100)),
VLOOKUP(FLOOR(('Final Term'!P70/P$5)*100,1),new_transmute,2,FALSE),
VLOOKUP('Final Term'!P70,new_transmute,2,FALSE)
),
IF(Info!$B$4="Board program",
IF(OR(AND(P$5&gt;0,P$5&gt;100),AND(P$5&gt;0,P$5&lt;100)),
VLOOKUP(FLOOR(('Final Term'!P70/P$5)*100,1),new_transmute,3,FALSE),
VLOOKUP('Final Term'!P70,new_transmute,3,FALSE)
),
IF(Info!$B$4="Board program (Medicine)",
IF(OR(AND(P$5&gt;0,P$5&gt;100),AND(P$5&gt;0,P$5&lt;100)),
VLOOKUP(FLOOR(('Final Term'!P70/P$5)*100,1),new_transmute,4,FALSE),
VLOOKUP('Final Term'!P70,new_transmute,4,FALSE)
),
""
)
)
)
)
)
)
)
)
))</f>
        <v/>
      </c>
      <c r="Q70" s="73" t="str">
        <f>IF($B70="","",
IF(Q$5="","",
IF('Final Term'!Q70="",0,
IF(NOT(ISNUMBER('Final Term'!Q70)),"NAN",
IF('Final Term'!Q70&lt;0,"NEG",
IF('Final Term'!Q70&gt;Q$5,"OVER",
IF(AND(Q$5&lt;=100,'Final Term'!Q70&gt;100),"ERR",
IF(Info!$B$4="Non-board program",
IF(OR(AND(Q$5&gt;0,Q$5&gt;100),AND(Q$5&gt;0,Q$5&lt;100)),
VLOOKUP(FLOOR(('Final Term'!Q70/Q$5)*100,1),new_transmute,2,FALSE),
VLOOKUP('Final Term'!Q70,new_transmute,2,FALSE)
),
IF(Info!$B$4="Board program",
IF(OR(AND(Q$5&gt;0,Q$5&gt;100),AND(Q$5&gt;0,Q$5&lt;100)),
VLOOKUP(FLOOR(('Final Term'!Q70/Q$5)*100,1),new_transmute,3,FALSE),
VLOOKUP('Final Term'!Q70,new_transmute,3,FALSE)
),
IF(Info!$B$4="Board program (Medicine)",
IF(OR(AND(Q$5&gt;0,Q$5&gt;100),AND(Q$5&gt;0,Q$5&lt;100)),
VLOOKUP(FLOOR(('Final Term'!Q70/Q$5)*100,1),new_transmute,4,FALSE),
VLOOKUP('Final Term'!Q70,new_transmute,4,FALSE)
),
""
)
)
)
)
)
)
)
)
))</f>
        <v/>
      </c>
      <c r="R70" s="73" t="str">
        <f>IF($B70="","",
IF(R$5="","",
IF('Final Term'!R70="",0,
IF(NOT(ISNUMBER('Final Term'!R70)),"NAN",
IF('Final Term'!R70&lt;0,"NEG",
IF('Final Term'!R70&gt;R$5,"OVER",
IF(AND(R$5&lt;=100,'Final Term'!R70&gt;100),"ERR",
IF(Info!$B$4="Non-board program",
IF(OR(AND(R$5&gt;0,R$5&gt;100),AND(R$5&gt;0,R$5&lt;100)),
VLOOKUP(FLOOR(('Final Term'!R70/R$5)*100,1),new_transmute,2,FALSE),
VLOOKUP('Final Term'!R70,new_transmute,2,FALSE)
),
IF(Info!$B$4="Board program",
IF(OR(AND(R$5&gt;0,R$5&gt;100),AND(R$5&gt;0,R$5&lt;100)),
VLOOKUP(FLOOR(('Final Term'!R70/R$5)*100,1),new_transmute,3,FALSE),
VLOOKUP('Final Term'!R70,new_transmute,3,FALSE)
),
IF(Info!$B$4="Board program (Medicine)",
IF(OR(AND(R$5&gt;0,R$5&gt;100),AND(R$5&gt;0,R$5&lt;100)),
VLOOKUP(FLOOR(('Final Term'!R70/R$5)*100,1),new_transmute,4,FALSE),
VLOOKUP('Final Term'!R70,new_transmute,4,FALSE)
),
""
)
)
)
)
)
)
)
)
))</f>
        <v/>
      </c>
      <c r="S70" s="115" t="str">
        <f t="shared" si="3"/>
        <v/>
      </c>
      <c r="T70" s="73" t="str">
        <f>IF($B70="","",
IF(T$5="","",
IF('Final Term'!T70="",0,
IF(NOT(ISNUMBER('Final Term'!T70)),"NAN",
IF('Final Term'!T70&lt;0,"NEG",
IF('Final Term'!T70&gt;T$5,"OVER",
IF(AND(T$5&lt;=100,'Final Term'!T70&gt;100),"ERR",
IF(Info!$B$4="Non-board program",
IF(OR(AND(T$5&gt;0,T$5&gt;100),AND(T$5&gt;0,T$5&lt;100)),
VLOOKUP(FLOOR(('Final Term'!T70/T$5)*100,1),new_transmute,2,FALSE),
VLOOKUP('Final Term'!T70,new_transmute,2,FALSE)
),
IF(Info!$B$4="Board program",
IF(OR(AND(T$5&gt;0,T$5&gt;100),AND(T$5&gt;0,T$5&lt;100)),
VLOOKUP(FLOOR(('Final Term'!T70/T$5)*100,1),new_transmute,3,FALSE),
VLOOKUP('Final Term'!T70,new_transmute,3,FALSE)
),
IF(Info!$B$4="Board program (Medicine)",
IF(OR(AND(T$5&gt;0,T$5&gt;100),AND(T$5&gt;0,T$5&lt;100)),
VLOOKUP(FLOOR(('Final Term'!T70/T$5)*100,1),new_transmute,4,FALSE),
VLOOKUP('Final Term'!T70,new_transmute,4,FALSE)
),
""
)
)
)
)
)
)
)
)
))</f>
        <v/>
      </c>
      <c r="U70" s="73" t="str">
        <f>IF($B70="","",
IF(U$5="","",
IF('Final Term'!U70="",0,
IF(NOT(ISNUMBER('Final Term'!U70)),"NAN",
IF('Final Term'!U70&lt;0,"NEG",
IF('Final Term'!U70&gt;U$5,"OVER",
IF(AND(U$5&lt;=100,'Final Term'!U70&gt;100),"ERR",
IF(Info!$B$4="Non-board program",
IF(OR(AND(U$5&gt;0,U$5&gt;100),AND(U$5&gt;0,U$5&lt;100)),
VLOOKUP(FLOOR(('Final Term'!U70/U$5)*100,1),new_transmute,2,FALSE),
VLOOKUP('Final Term'!U70,new_transmute,2,FALSE)
),
IF(Info!$B$4="Board program",
IF(OR(AND(U$5&gt;0,U$5&gt;100),AND(U$5&gt;0,U$5&lt;100)),
VLOOKUP(FLOOR(('Final Term'!U70/U$5)*100,1),new_transmute,3,FALSE),
VLOOKUP('Final Term'!U70,new_transmute,3,FALSE)
),
IF(Info!$B$4="Board program (Medicine)",
IF(OR(AND(U$5&gt;0,U$5&gt;100),AND(U$5&gt;0,U$5&lt;100)),
VLOOKUP(FLOOR(('Final Term'!U70/U$5)*100,1),new_transmute,4,FALSE),
VLOOKUP('Final Term'!U70,new_transmute,4,FALSE)
),
""
)
)
)
)
)
)
)
)
))</f>
        <v/>
      </c>
      <c r="V70" s="73" t="str">
        <f>IF($B70="","",
IF(V$5="","",
IF('Final Term'!V70="",0,
IF(NOT(ISNUMBER('Final Term'!V70)),"NAN",
IF('Final Term'!V70&lt;0,"NEG",
IF('Final Term'!V70&gt;V$5,"OVER",
IF(AND(V$5&lt;=100,'Final Term'!V70&gt;100),"ERR",
IF(Info!$B$4="Non-board program",
IF(OR(AND(V$5&gt;0,V$5&gt;100),AND(V$5&gt;0,V$5&lt;100)),
VLOOKUP(FLOOR(('Final Term'!V70/V$5)*100,1),new_transmute,2,FALSE),
VLOOKUP('Final Term'!V70,new_transmute,2,FALSE)
),
IF(Info!$B$4="Board program",
IF(OR(AND(V$5&gt;0,V$5&gt;100),AND(V$5&gt;0,V$5&lt;100)),
VLOOKUP(FLOOR(('Final Term'!V70/V$5)*100,1),new_transmute,3,FALSE),
VLOOKUP('Final Term'!V70,new_transmute,3,FALSE)
),
IF(Info!$B$4="Board program (Medicine)",
IF(OR(AND(V$5&gt;0,V$5&gt;100),AND(V$5&gt;0,V$5&lt;100)),
VLOOKUP(FLOOR(('Final Term'!V70/V$5)*100,1),new_transmute,4,FALSE),
VLOOKUP('Final Term'!V70,new_transmute,4,FALSE)
),
""
)
)
)
)
)
)
)
)
))</f>
        <v/>
      </c>
      <c r="W70" s="73" t="str">
        <f>IF($B70="","",
IF(W$5="","",
IF('Final Term'!W70="",0,
IF(NOT(ISNUMBER('Final Term'!W70)),"NAN",
IF('Final Term'!W70&lt;0,"NEG",
IF('Final Term'!W70&gt;W$5,"OVER",
IF(AND(W$5&lt;=100,'Final Term'!W70&gt;100),"ERR",
IF(Info!$B$4="Non-board program",
IF(OR(AND(W$5&gt;0,W$5&gt;100),AND(W$5&gt;0,W$5&lt;100)),
VLOOKUP(FLOOR(('Final Term'!W70/W$5)*100,1),new_transmute,2,FALSE),
VLOOKUP('Final Term'!W70,new_transmute,2,FALSE)
),
IF(Info!$B$4="Board program",
IF(OR(AND(W$5&gt;0,W$5&gt;100),AND(W$5&gt;0,W$5&lt;100)),
VLOOKUP(FLOOR(('Final Term'!W70/W$5)*100,1),new_transmute,3,FALSE),
VLOOKUP('Final Term'!W70,new_transmute,3,FALSE)
),
IF(Info!$B$4="Board program (Medicine)",
IF(OR(AND(W$5&gt;0,W$5&gt;100),AND(W$5&gt;0,W$5&lt;100)),
VLOOKUP(FLOOR(('Final Term'!W70/W$5)*100,1),new_transmute,4,FALSE),
VLOOKUP('Final Term'!W70,new_transmute,4,FALSE)
),
""
)
)
)
)
)
)
)
)
))</f>
        <v/>
      </c>
      <c r="X70" s="73" t="str">
        <f>IF($B70="","",
IF(X$5="","",
IF('Final Term'!X70="",0,
IF(NOT(ISNUMBER('Final Term'!X70)),"NAN",
IF('Final Term'!X70&lt;0,"NEG",
IF('Final Term'!X70&gt;X$5,"OVER",
IF(AND(X$5&lt;=100,'Final Term'!X70&gt;100),"ERR",
IF(Info!$B$4="Non-board program",
IF(OR(AND(X$5&gt;0,X$5&gt;100),AND(X$5&gt;0,X$5&lt;100)),
VLOOKUP(FLOOR(('Final Term'!X70/X$5)*100,1),new_transmute,2,FALSE),
VLOOKUP('Final Term'!X70,new_transmute,2,FALSE)
),
IF(Info!$B$4="Board program",
IF(OR(AND(X$5&gt;0,X$5&gt;100),AND(X$5&gt;0,X$5&lt;100)),
VLOOKUP(FLOOR(('Final Term'!X70/X$5)*100,1),new_transmute,3,FALSE),
VLOOKUP('Final Term'!X70,new_transmute,3,FALSE)
),
IF(Info!$B$4="Board program (Medicine)",
IF(OR(AND(X$5&gt;0,X$5&gt;100),AND(X$5&gt;0,X$5&lt;100)),
VLOOKUP(FLOOR(('Final Term'!X70/X$5)*100,1),new_transmute,4,FALSE),
VLOOKUP('Final Term'!X70,new_transmute,4,FALSE)
),
""
)
)
)
)
)
)
)
)
))</f>
        <v/>
      </c>
      <c r="Y70" s="112" t="str">
        <f t="shared" si="4"/>
        <v/>
      </c>
      <c r="Z70" s="73" t="str">
        <f>IF($B70="","",
IF(Z$5="","",
IF('Final Term'!Z70="",0,
IF(NOT(ISNUMBER('Final Term'!Z70)),"NAN",
IF('Final Term'!Z70&lt;0,"NEG",
IF('Final Term'!Z70&gt;Z$5,"OVER",
IF(AND(Z$5&lt;=100,'Final Term'!Z70&gt;100),"ERR",
IF(Info!$B$4="Non-board program",
IF(OR(AND(Z$5&gt;0,Z$5&gt;100),AND(Z$5&gt;0,Z$5&lt;100)),
VLOOKUP(FLOOR(('Final Term'!Z70/Z$5)*100,1),new_transmute,2,FALSE),
VLOOKUP('Final Term'!Z70,new_transmute,2,FALSE)
),
IF(Info!$B$4="Board program",
IF(OR(AND(Z$5&gt;0,Z$5&gt;100),AND(Z$5&gt;0,Z$5&lt;100)),
VLOOKUP(FLOOR(('Final Term'!Z70/Z$5)*100,1),new_transmute,3,FALSE),
VLOOKUP('Final Term'!Z70,new_transmute,3,FALSE)
),
IF(Info!$B$4="Board program (Medicine)",
IF(OR(AND(Z$5&gt;0,Z$5&gt;100),AND(Z$5&gt;0,Z$5&lt;100)),
VLOOKUP(FLOOR(('Final Term'!Z70/Z$5)*100,1),new_transmute,4,FALSE),
VLOOKUP('Final Term'!Z70,new_transmute,4,FALSE)
),
""
)
)
)
)
)
)
)
)
))</f>
        <v/>
      </c>
      <c r="AA70" s="73" t="str">
        <f>IF($B70="","",
IF(AA$5="","",
IF('Final Term'!AA70="",0,
IF(NOT(ISNUMBER('Final Term'!AA70)),"NAN",
IF('Final Term'!AA70&lt;0,"NEG",
IF('Final Term'!AA70&gt;AA$5,"OVER",
IF(AND(AA$5&lt;=100,'Final Term'!AA70&gt;100),"ERR",
IF(Info!$B$4="Non-board program",
IF(OR(AND(AA$5&gt;0,AA$5&gt;100),AND(AA$5&gt;0,AA$5&lt;100)),
VLOOKUP(FLOOR(('Final Term'!AA70/AA$5)*100,1),new_transmute,2,FALSE),
VLOOKUP('Final Term'!AA70,new_transmute,2,FALSE)
),
IF(Info!$B$4="Board program",
IF(OR(AND(AA$5&gt;0,AA$5&gt;100),AND(AA$5&gt;0,AA$5&lt;100)),
VLOOKUP(FLOOR(('Final Term'!AA70/AA$5)*100,1),new_transmute,3,FALSE),
VLOOKUP('Final Term'!AA70,new_transmute,3,FALSE)
),
IF(Info!$B$4="Board program (Medicine)",
IF(OR(AND(AA$5&gt;0,AA$5&gt;100),AND(AA$5&gt;0,AA$5&lt;100)),
VLOOKUP(FLOOR(('Final Term'!AA70/AA$5)*100,1),new_transmute,4,FALSE),
VLOOKUP('Final Term'!AA70,new_transmute,4,FALSE)
),
""
)
)
)
)
)
)
)
)
))</f>
        <v/>
      </c>
      <c r="AB70" s="73" t="str">
        <f>IF($B70="","",
IF(AB$5="","",
IF('Final Term'!AB70="",0,
IF(NOT(ISNUMBER('Final Term'!AB70)),"NAN",
IF('Final Term'!AB70&lt;0,"NEG",
IF('Final Term'!AB70&gt;AB$5,"OVER",
IF(AND(AB$5&lt;=100,'Final Term'!AB70&gt;100),"ERR",
IF(Info!$B$4="Non-board program",
IF(OR(AND(AB$5&gt;0,AB$5&gt;100),AND(AB$5&gt;0,AB$5&lt;100)),
VLOOKUP(FLOOR(('Final Term'!AB70/AB$5)*100,1),new_transmute,2,FALSE),
VLOOKUP('Final Term'!AB70,new_transmute,2,FALSE)
),
IF(Info!$B$4="Board program",
IF(OR(AND(AB$5&gt;0,AB$5&gt;100),AND(AB$5&gt;0,AB$5&lt;100)),
VLOOKUP(FLOOR(('Final Term'!AB70/AB$5)*100,1),new_transmute,3,FALSE),
VLOOKUP('Final Term'!AB70,new_transmute,3,FALSE)
),
IF(Info!$B$4="Board program (Medicine)",
IF(OR(AND(AB$5&gt;0,AB$5&gt;100),AND(AB$5&gt;0,AB$5&lt;100)),
VLOOKUP(FLOOR(('Final Term'!AB70/AB$5)*100,1),new_transmute,4,FALSE),
VLOOKUP('Final Term'!AB70,new_transmute,4,FALSE)
),
""
)
)
)
)
)
)
)
)
))</f>
        <v/>
      </c>
      <c r="AC70" s="73" t="str">
        <f>IF($B70="","",
IF(AC$5="","",
IF('Final Term'!AC70="",0,
IF(NOT(ISNUMBER('Final Term'!AC70)),"NAN",
IF('Final Term'!AC70&lt;0,"NEG",
IF('Final Term'!AC70&gt;AC$5,"OVER",
IF(AND(AC$5&lt;=100,'Final Term'!AC70&gt;100),"ERR",
IF(Info!$B$4="Non-board program",
IF(OR(AND(AC$5&gt;0,AC$5&gt;100),AND(AC$5&gt;0,AC$5&lt;100)),
VLOOKUP(FLOOR(('Final Term'!AC70/AC$5)*100,1),new_transmute,2,FALSE),
VLOOKUP('Final Term'!AC70,new_transmute,2,FALSE)
),
IF(Info!$B$4="Board program",
IF(OR(AND(AC$5&gt;0,AC$5&gt;100),AND(AC$5&gt;0,AC$5&lt;100)),
VLOOKUP(FLOOR(('Final Term'!AC70/AC$5)*100,1),new_transmute,3,FALSE),
VLOOKUP('Final Term'!AC70,new_transmute,3,FALSE)
),
IF(Info!$B$4="Board program (Medicine)",
IF(OR(AND(AC$5&gt;0,AC$5&gt;100),AND(AC$5&gt;0,AC$5&lt;100)),
VLOOKUP(FLOOR(('Final Term'!AC70/AC$5)*100,1),new_transmute,4,FALSE),
VLOOKUP('Final Term'!AC70,new_transmute,4,FALSE)
),
""
)
)
)
)
)
)
)
)
))</f>
        <v/>
      </c>
      <c r="AD70" s="73" t="str">
        <f>IF($B70="","",
IF(AD$5="","",
IF('Final Term'!AD70="",0,
IF(NOT(ISNUMBER('Final Term'!AD70)),"NAN",
IF('Final Term'!AD70&lt;0,"NEG",
IF('Final Term'!AD70&gt;AD$5,"OVER",
IF(AND(AD$5&lt;=100,'Final Term'!AD70&gt;100),"ERR",
IF(Info!$B$4="Non-board program",
IF(OR(AND(AD$5&gt;0,AD$5&gt;100),AND(AD$5&gt;0,AD$5&lt;100)),
VLOOKUP(FLOOR(('Final Term'!AD70/AD$5)*100,1),new_transmute,2,FALSE),
VLOOKUP('Final Term'!AD70,new_transmute,2,FALSE)
),
IF(Info!$B$4="Board program",
IF(OR(AND(AD$5&gt;0,AD$5&gt;100),AND(AD$5&gt;0,AD$5&lt;100)),
VLOOKUP(FLOOR(('Final Term'!AD70/AD$5)*100,1),new_transmute,3,FALSE),
VLOOKUP('Final Term'!AD70,new_transmute,3,FALSE)
),
IF(Info!$B$4="Board program (Medicine)",
IF(OR(AND(AD$5&gt;0,AD$5&gt;100),AND(AD$5&gt;0,AD$5&lt;100)),
VLOOKUP(FLOOR(('Final Term'!AD70/AD$5)*100,1),new_transmute,4,FALSE),
VLOOKUP('Final Term'!AD70,new_transmute,4,FALSE)
),
""
)
)
)
)
)
)
)
)
))</f>
        <v/>
      </c>
      <c r="AE70" s="58" t="str">
        <f t="shared" si="5"/>
        <v/>
      </c>
      <c r="AF70" s="73" t="str">
        <f>IF($B70="","",
IF(AF$5="","",
IF('Final Term'!AF70="",0,
IF(NOT(ISNUMBER('Final Term'!AF70)),"NAN",
IF('Final Term'!AF70&lt;0,"NEG",
IF('Final Term'!AF70&gt;AF$5,"OVER",
IF(AND(AF$5&lt;=100,'Final Term'!AF70&gt;100),"ERR",
IF(Info!$B$4="Non-board program",
IF(OR(AND(AF$5&gt;0,AF$5&gt;100),AND(AF$5&gt;0,AF$5&lt;100)),
VLOOKUP(FLOOR(('Final Term'!AF70/AF$5)*100,1),new_transmute,2,FALSE),
VLOOKUP('Final Term'!AF70,new_transmute,2,FALSE)
),
IF(Info!$B$4="Board program",
IF(OR(AND(AF$5&gt;0,AF$5&gt;100),AND(AF$5&gt;0,AF$5&lt;100)),
VLOOKUP(FLOOR(('Final Term'!AF70/AF$5)*100,1),new_transmute,3,FALSE),
VLOOKUP('Final Term'!AF70,new_transmute,3,FALSE)
),
IF(Info!$B$4="Board program (Medicine)",
IF(OR(AND(AF$5&gt;0,AF$5&gt;100),AND(AF$5&gt;0,AF$5&lt;100)),
VLOOKUP(FLOOR(('Final Term'!AF70/AF$5)*100,1),new_transmute,4,FALSE),
VLOOKUP('Final Term'!AF70,new_transmute,4,FALSE)
),
""
)
)
)
)
)
)
)
)
))</f>
        <v/>
      </c>
      <c r="AG70" s="73" t="str">
        <f>IF($B70="","",
IF(AG$5="","",
IF('Final Term'!AG70="",0,
IF(NOT(ISNUMBER('Final Term'!AG70)),"NAN",
IF('Final Term'!AG70&lt;0,"NEG",
IF('Final Term'!AG70&gt;AG$5,"OVER",
IF(AND(AG$5&lt;=100,'Final Term'!AG70&gt;100),"ERR",
IF(Info!$B$4="Non-board program",
IF(OR(AND(AG$5&gt;0,AG$5&gt;100),AND(AG$5&gt;0,AG$5&lt;100)),
VLOOKUP(FLOOR(('Final Term'!AG70/AG$5)*100,1),new_transmute,2,FALSE),
VLOOKUP('Final Term'!AG70,new_transmute,2,FALSE)
),
IF(Info!$B$4="Board program",
IF(OR(AND(AG$5&gt;0,AG$5&gt;100),AND(AG$5&gt;0,AG$5&lt;100)),
VLOOKUP(FLOOR(('Final Term'!AG70/AG$5)*100,1),new_transmute,3,FALSE),
VLOOKUP('Final Term'!AG70,new_transmute,3,FALSE)
),
IF(Info!$B$4="Board program (Medicine)",
IF(OR(AND(AG$5&gt;0,AG$5&gt;100),AND(AG$5&gt;0,AG$5&lt;100)),
VLOOKUP(FLOOR(('Final Term'!AG70/AG$5)*100,1),new_transmute,4,FALSE),
VLOOKUP('Final Term'!AG70,new_transmute,4,FALSE)
),
""
)
)
)
)
)
)
)
)
))</f>
        <v/>
      </c>
      <c r="AH70" s="73" t="str">
        <f>IF($B70="","",
IF(AH$5="","",
IF('Final Term'!AH70="",0,
IF(NOT(ISNUMBER('Final Term'!AH70)),"NAN",
IF('Final Term'!AH70&lt;0,"NEG",
IF('Final Term'!AH70&gt;AH$5,"OVER",
IF(AND(AH$5&lt;=100,'Final Term'!AH70&gt;100),"ERR",
IF(Info!$B$4="Non-board program",
IF(OR(AND(AH$5&gt;0,AH$5&gt;100),AND(AH$5&gt;0,AH$5&lt;100)),
VLOOKUP(FLOOR(('Final Term'!AH70/AH$5)*100,1),new_transmute,2,FALSE),
VLOOKUP('Final Term'!AH70,new_transmute,2,FALSE)
),
IF(Info!$B$4="Board program",
IF(OR(AND(AH$5&gt;0,AH$5&gt;100),AND(AH$5&gt;0,AH$5&lt;100)),
VLOOKUP(FLOOR(('Final Term'!AH70/AH$5)*100,1),new_transmute,3,FALSE),
VLOOKUP('Final Term'!AH70,new_transmute,3,FALSE)
),
IF(Info!$B$4="Board program (Medicine)",
IF(OR(AND(AH$5&gt;0,AH$5&gt;100),AND(AH$5&gt;0,AH$5&lt;100)),
VLOOKUP(FLOOR(('Final Term'!AH70/AH$5)*100,1),new_transmute,4,FALSE),
VLOOKUP('Final Term'!AH70,new_transmute,4,FALSE)
),
""
)
)
)
)
)
)
)
)
))</f>
        <v/>
      </c>
      <c r="AI70" s="73" t="str">
        <f>IF($B70="","",
IF(AI$5="","",
IF('Final Term'!AI70="",0,
IF(NOT(ISNUMBER('Final Term'!AI70)),"NAN",
IF('Final Term'!AI70&lt;0,"NEG",
IF('Final Term'!AI70&gt;AI$5,"OVER",
IF(AND(AI$5&lt;=100,'Final Term'!AI70&gt;100),"ERR",
IF(Info!$B$4="Non-board program",
IF(OR(AND(AI$5&gt;0,AI$5&gt;100),AND(AI$5&gt;0,AI$5&lt;100)),
VLOOKUP(FLOOR(('Final Term'!AI70/AI$5)*100,1),new_transmute,2,FALSE),
VLOOKUP('Final Term'!AI70,new_transmute,2,FALSE)
),
IF(Info!$B$4="Board program",
IF(OR(AND(AI$5&gt;0,AI$5&gt;100),AND(AI$5&gt;0,AI$5&lt;100)),
VLOOKUP(FLOOR(('Final Term'!AI70/AI$5)*100,1),new_transmute,3,FALSE),
VLOOKUP('Final Term'!AI70,new_transmute,3,FALSE)
),
IF(Info!$B$4="Board program (Medicine)",
IF(OR(AND(AI$5&gt;0,AI$5&gt;100),AND(AI$5&gt;0,AI$5&lt;100)),
VLOOKUP(FLOOR(('Final Term'!AI70/AI$5)*100,1),new_transmute,4,FALSE),
VLOOKUP('Final Term'!AI70,new_transmute,4,FALSE)
),
""
)
)
)
)
)
)
)
)
))</f>
        <v/>
      </c>
      <c r="AJ70" s="73" t="str">
        <f>IF($B70="","",
IF(AJ$5="","",
IF('Final Term'!AJ70="",0,
IF(NOT(ISNUMBER('Final Term'!AJ70)),"NAN",
IF('Final Term'!AJ70&lt;0,"NEG",
IF('Final Term'!AJ70&gt;AJ$5,"OVER",
IF(AND(AJ$5&lt;=100,'Final Term'!AJ70&gt;100),"ERR",
IF(Info!$B$4="Non-board program",
IF(OR(AND(AJ$5&gt;0,AJ$5&gt;100),AND(AJ$5&gt;0,AJ$5&lt;100)),
VLOOKUP(FLOOR(('Final Term'!AJ70/AJ$5)*100,1),new_transmute,2,FALSE),
VLOOKUP('Final Term'!AJ70,new_transmute,2,FALSE)
),
IF(Info!$B$4="Board program",
IF(OR(AND(AJ$5&gt;0,AJ$5&gt;100),AND(AJ$5&gt;0,AJ$5&lt;100)),
VLOOKUP(FLOOR(('Final Term'!AJ70/AJ$5)*100,1),new_transmute,3,FALSE),
VLOOKUP('Final Term'!AJ70,new_transmute,3,FALSE)
),
IF(Info!$B$4="Board program (Medicine)",
IF(OR(AND(AJ$5&gt;0,AJ$5&gt;100),AND(AJ$5&gt;0,AJ$5&lt;100)),
VLOOKUP(FLOOR(('Final Term'!AJ70/AJ$5)*100,1),new_transmute,4,FALSE),
VLOOKUP('Final Term'!AJ70,new_transmute,4,FALSE)
),
""
)
)
)
)
)
)
)
)
))</f>
        <v/>
      </c>
      <c r="AK70" s="59" t="str">
        <f t="shared" si="6"/>
        <v/>
      </c>
      <c r="AL70" s="60" t="str">
        <f>IF(B70="", "",
    IF(OR(M70="OVER", S70="OVER", Y70="OVER", AE70="OVER", AK70="OVER"),
        "OVER",
        IF(Info!$B$4="Non-board program",
            VLOOKUP(IFERROR(FLOOR(SUM((M70*$M$4), (S70*$S$4), (Y70*$Y$4), (AE70*$AE$4), (AK70*$AK$4)) * (100 / 60), 1), 0), new_transmute, 2, FALSE),
            IF(Info!$B$4="Board program",
                VLOOKUP(IFERROR(FLOOR(SUM((M70*$M$4), (S70*$S$4), (Y70*$Y$4), (AE70*$AE$4), (AK70*$AK$4)) * (100 / 60), 1), 0), new_transmute, 3, FALSE),
                IF(Info!$B$4="Board program (Medicine)",
                    VLOOKUP(IFERROR(FLOOR(SUM((M70*$M$4), (S70*$S$4), (Y70*$Y$4), (AE70*$AE$4), (AK70*$AK$4)) * (100 / 60), 1), 0), new_transmute, 4, FALSE),
                    ""
                )
            )
        )
    )
)</f>
        <v/>
      </c>
      <c r="AM70" s="73" t="str">
        <f>IF($B70="","",
IF(AM$5="","",
IF('Final Term'!AM70="",0,
IF(NOT(ISNUMBER('Final Term'!AM70)),"NAN",
IF('Final Term'!AM70&lt;0,"NEG",
IF('Final Term'!AM70&gt;AM$5,"OVER",
IF(AND(AM$5&lt;=100,'Final Term'!AM70&gt;100),"ERR",
IF(Info!$B$4="Non-board program",
IF(OR(AND(AM$5&gt;0,AM$5&gt;100),AND(AM$5&gt;0,AM$5&lt;100)),
VLOOKUP(FLOOR(('Final Term'!AM70/AM$5)*100,1),new_transmute,2,FALSE),
VLOOKUP('Final Term'!AM70,new_transmute,2,FALSE)
),
IF(Info!$B$4="Board program",
IF(OR(AND(AM$5&gt;0,AM$5&gt;100),AND(AM$5&gt;0,AM$5&lt;100)),
VLOOKUP(FLOOR(('Final Term'!AM70/AM$5)*100,1),new_transmute,3,FALSE),
VLOOKUP('Final Term'!AM70,new_transmute,3,FALSE)
),
IF(Info!$B$4="Board program (Medicine)",
IF(OR(AND(AM$5&gt;0,AM$5&gt;100),AND(AM$5&gt;0,AM$5&lt;100)),
VLOOKUP(FLOOR(('Final Term'!AM70/AM$5)*100,1),new_transmute,4,FALSE),
VLOOKUP('Final Term'!AM70,new_transmute,4,FALSE)
),
""
)
)
)
)
)
)
)
)
))</f>
        <v/>
      </c>
      <c r="AN70" s="73" t="str">
        <f>IF($B70="","",
IF(AN$5="","",
IF('Final Term'!AN70="",0,
IF(NOT(ISNUMBER('Final Term'!AN70)),"NAN",
IF('Final Term'!AN70&lt;0,"NEG",
IF('Final Term'!AN70&gt;AN$5,"OVER",
IF(AND(AN$5&lt;=100,'Final Term'!AN70&gt;100),"ERR",
IF(Info!$B$4="Non-board program",
IF(OR(AND(AN$5&gt;0,AN$5&gt;100),AND(AN$5&gt;0,AN$5&lt;100)),
VLOOKUP(FLOOR(('Final Term'!AN70/AN$5)*100,1),new_transmute,2,FALSE),
VLOOKUP('Final Term'!AN70,new_transmute,2,FALSE)
),
IF(Info!$B$4="Board program",
IF(OR(AND(AN$5&gt;0,AN$5&gt;100),AND(AN$5&gt;0,AN$5&lt;100)),
VLOOKUP(FLOOR(('Final Term'!AN70/AN$5)*100,1),new_transmute,3,FALSE),
VLOOKUP('Final Term'!AN70,new_transmute,3,FALSE)
),
IF(Info!$B$4="Board program (Medicine)",
IF(OR(AND(AN$5&gt;0,AN$5&gt;100),AND(AN$5&gt;0,AN$5&lt;100)),
VLOOKUP(FLOOR(('Final Term'!AN70/AN$5)*100,1),new_transmute,4,FALSE),
VLOOKUP('Final Term'!AN70,new_transmute,4,FALSE)
),
""
)
)
)
)
)
)
)
)
))</f>
        <v/>
      </c>
      <c r="AO70" s="73" t="str">
        <f>IF($B70="","",
IF(AO$5="","",
IF('Final Term'!AO70="",0,
IF(NOT(ISNUMBER('Final Term'!AO70)),"NAN",
IF('Final Term'!AO70&lt;0,"NEG",
IF('Final Term'!AO70&gt;AO$5,"OVER",
IF(AND(AO$5&lt;=100,'Final Term'!AO70&gt;100),"ERR",
IF(Info!$B$4="Non-board program",
IF(OR(AND(AO$5&gt;0,AO$5&gt;100),AND(AO$5&gt;0,AO$5&lt;100)),
VLOOKUP(FLOOR(('Final Term'!AO70/AO$5)*100,1),new_transmute,2,FALSE),
VLOOKUP('Final Term'!AO70,new_transmute,2,FALSE)
),
IF(Info!$B$4="Board program",
IF(OR(AND(AO$5&gt;0,AO$5&gt;100),AND(AO$5&gt;0,AO$5&lt;100)),
VLOOKUP(FLOOR(('Final Term'!AO70/AO$5)*100,1),new_transmute,3,FALSE),
VLOOKUP('Final Term'!AO70,new_transmute,3,FALSE)
),
IF(Info!$B$4="Board program (Medicine)",
IF(OR(AND(AO$5&gt;0,AO$5&gt;100),AND(AO$5&gt;0,AO$5&lt;100)),
VLOOKUP(FLOOR(('Final Term'!AO70/AO$5)*100,1),new_transmute,4,FALSE),
VLOOKUP('Final Term'!AO70,new_transmute,4,FALSE)
),
""
)
)
)
)
)
)
)
)
))</f>
        <v/>
      </c>
      <c r="AP70" s="73" t="str">
        <f>IF($B70="","",
IF(AP$5="","",
IF('Final Term'!AP70="",0,
IF(NOT(ISNUMBER('Final Term'!AP70)),"NAN",
IF('Final Term'!AP70&lt;0,"NEG",
IF('Final Term'!AP70&gt;AP$5,"OVER",
IF(AND(AP$5&lt;=100,'Final Term'!AP70&gt;100),"ERR",
IF(Info!$B$4="Non-board program",
IF(OR(AND(AP$5&gt;0,AP$5&gt;100),AND(AP$5&gt;0,AP$5&lt;100)),
VLOOKUP(FLOOR(('Final Term'!AP70/AP$5)*100,1),new_transmute,2,FALSE),
VLOOKUP('Final Term'!AP70,new_transmute,2,FALSE)
),
IF(Info!$B$4="Board program",
IF(OR(AND(AP$5&gt;0,AP$5&gt;100),AND(AP$5&gt;0,AP$5&lt;100)),
VLOOKUP(FLOOR(('Final Term'!AP70/AP$5)*100,1),new_transmute,3,FALSE),
VLOOKUP('Final Term'!AP70,new_transmute,3,FALSE)
),
IF(Info!$B$4="Board program (Medicine)",
IF(OR(AND(AP$5&gt;0,AP$5&gt;100),AND(AP$5&gt;0,AP$5&lt;100)),
VLOOKUP(FLOOR(('Final Term'!AP70/AP$5)*100,1),new_transmute,4,FALSE),
VLOOKUP('Final Term'!AP70,new_transmute,4,FALSE)
),
""
)
)
)
)
)
)
)
)
))</f>
        <v/>
      </c>
      <c r="AQ70" s="61" t="str">
        <f t="shared" si="7"/>
        <v/>
      </c>
      <c r="AR70" s="48" t="str">
        <f>IF('Final Term'!AR70="","",'Final Term'!AR70)</f>
        <v/>
      </c>
      <c r="AS70" s="165" t="str">
        <f t="shared" si="8"/>
        <v/>
      </c>
      <c r="AT70" s="14" t="str">
        <f t="shared" ref="AT70:AT71" si="10">IF(B70="", "",
    IF(AS70="ERR", "ERR",
        IF(AS70="INC",
            VLOOKUP(AS70, Equivalent, 1, FALSE),
            IF(AS70="DRP",
                VLOOKUP(AS70, Equivalent, 1, FALSE),
                IF(AS70="WF",
                    VLOOKUP(AS70, Equivalent, 1, FALSE),
                    IF(E70="FA",
                        VLOOKUP(E70, Equivalent, 1, FALSE),
                        IF(AS70&lt;60,
                            5,
                            VLOOKUP(FLOOR(AS70, 1), Equivalent, 2, FALSE)
                        )
                    )
                )
            )
        )
    )
)</f>
        <v/>
      </c>
      <c r="AU70" s="13" t="str">
        <f>IF(B70="","",VLOOKUP(AT70,'New Grade Equivalent'!$B$3:$C$47,2,FALSE))</f>
        <v/>
      </c>
    </row>
    <row r="71" spans="1:47" x14ac:dyDescent="0.25">
      <c r="A71" s="8">
        <v>66</v>
      </c>
      <c r="B71" s="2" t="str">
        <f>IF('Student List'!C75="","",UPPER(LEFT('Student List'!C75,FIND(",",'Student List'!C75)-1)))</f>
        <v/>
      </c>
      <c r="C71" s="12" t="str">
        <f>IF('Student List'!C75="","",PROPER(MID('Student List'!C75, FIND(",", 'Student List'!C75) + 2, LEN('Student List'!C75) - FIND(",", 'Student List'!C75) - 1)))</f>
        <v/>
      </c>
      <c r="D71" s="127" t="str">
        <f>IF('Final Term'!D71="","",'Final Term'!D71)</f>
        <v/>
      </c>
      <c r="E71" s="8" t="str">
        <f>IF(MidCom!E71="FA", "FA",
    IF(MidCom!E71="DRP", "DRP",
        IF(MidCom!E71="WF", "WF",
            IF(D71="Yes", "INC",
               IF((SUM('MT Attendance'!AW69) / 3 + SUM('MT Attendance'!AY69) + SUM('FT Attendance'!AW69) / 3 + SUM('FT Attendance'!AY69)) &gt;= 0.2 * (SUMPRODUCT(--(ISTEXT('MT Attendance'!$C$2:$AU$2))) + SUMPRODUCT(--(ISTEXT('FT Attendance'!$C$2:$AU$2)))), "FA",
                   MidCom!E71
                )
            )
        )
    )
)</f>
        <v/>
      </c>
      <c r="F71" s="73" t="str">
        <f>IF($B71="","",
IF(F$5="","",
IF('Final Term'!F71="",0,
IF(NOT(ISNUMBER('Final Term'!F71)),"NAN",
IF('Final Term'!F71&lt;0,"NEG",
IF('Final Term'!F71&gt;F$5,"OVER",
IF(AND(F$5&lt;=100,'Final Term'!F71&gt;100),"ERR",
IF(Info!$B$4="Non-board program",
IF(OR(AND(F$5&gt;0,F$5&gt;100),AND(F$5&gt;0,F$5&lt;100)),
VLOOKUP(FLOOR(('Final Term'!F71/F$5)*100,1),new_transmute,2,FALSE),
VLOOKUP('Final Term'!F71,new_transmute,2,FALSE)
),
IF(Info!$B$4="Board program",
IF(OR(AND(F$5&gt;0,F$5&gt;100),AND(F$5&gt;0,F$5&lt;100)),
VLOOKUP(FLOOR(('Final Term'!F71/F$5)*100,1),new_transmute,3,FALSE),
VLOOKUP('Final Term'!F71,new_transmute,3,FALSE)
),
IF(Info!$B$4="Board program (Medicine)",
IF(OR(AND(F$5&gt;0,F$5&gt;100),AND(F$5&gt;0,F$5&lt;100)),
VLOOKUP(FLOOR(('Final Term'!F71/F$5)*100,1),new_transmute,4,FALSE),
VLOOKUP('Final Term'!F71,new_transmute,4,FALSE)
),
""
)
)
)
)
)
)
)
)
))</f>
        <v/>
      </c>
      <c r="G71" s="57" t="str">
        <f t="shared" ref="G71:G90" si="11">F71</f>
        <v/>
      </c>
      <c r="H71" s="73" t="str">
        <f>IF($B71="","",
IF(H$5="","",
IF('Final Term'!H71="",0,
IF(NOT(ISNUMBER('Final Term'!H71)),"NAN",
IF('Final Term'!H71&lt;0,"NEG",
IF('Final Term'!H71&gt;H$5,"OVER",
IF(AND(H$5&lt;=100,'Final Term'!H71&gt;100),"ERR",
IF(Info!$B$4="Non-board program",
IF(OR(AND(H$5&gt;0,H$5&gt;100),AND(H$5&gt;0,H$5&lt;100)),
VLOOKUP(FLOOR(('Final Term'!H71/H$5)*100,1),new_transmute,2,FALSE),
VLOOKUP('Final Term'!H71,new_transmute,2,FALSE)
),
IF(Info!$B$4="Board program",
IF(OR(AND(H$5&gt;0,H$5&gt;100),AND(H$5&gt;0,H$5&lt;100)),
VLOOKUP(FLOOR(('Final Term'!H71/H$5)*100,1),new_transmute,3,FALSE),
VLOOKUP('Final Term'!H71,new_transmute,3,FALSE)
),
IF(Info!$B$4="Board program (Medicine)",
IF(OR(AND(H$5&gt;0,H$5&gt;100),AND(H$5&gt;0,H$5&lt;100)),
VLOOKUP(FLOOR(('Final Term'!H71/H$5)*100,1),new_transmute,4,FALSE),
VLOOKUP('Final Term'!H71,new_transmute,4,FALSE)
),
""
)
)
)
)
)
)
)
)
))</f>
        <v/>
      </c>
      <c r="I71" s="73" t="str">
        <f>IF($B71="","",
IF(I$5="","",
IF('Final Term'!I71="",0,
IF(NOT(ISNUMBER('Final Term'!I71)),"NAN",
IF('Final Term'!I71&lt;0,"NEG",
IF('Final Term'!I71&gt;I$5,"OVER",
IF(AND(I$5&lt;=100,'Final Term'!I71&gt;100),"ERR",
IF(Info!$B$4="Non-board program",
IF(OR(AND(I$5&gt;0,I$5&gt;100),AND(I$5&gt;0,I$5&lt;100)),
VLOOKUP(FLOOR(('Final Term'!I71/I$5)*100,1),new_transmute,2,FALSE),
VLOOKUP('Final Term'!I71,new_transmute,2,FALSE)
),
IF(Info!$B$4="Board program",
IF(OR(AND(I$5&gt;0,I$5&gt;100),AND(I$5&gt;0,I$5&lt;100)),
VLOOKUP(FLOOR(('Final Term'!I71/I$5)*100,1),new_transmute,3,FALSE),
VLOOKUP('Final Term'!I71,new_transmute,3,FALSE)
),
IF(Info!$B$4="Board program (Medicine)",
IF(OR(AND(I$5&gt;0,I$5&gt;100),AND(I$5&gt;0,I$5&lt;100)),
VLOOKUP(FLOOR(('Final Term'!I71/I$5)*100,1),new_transmute,4,FALSE),
VLOOKUP('Final Term'!I71,new_transmute,4,FALSE)
),
""
)
)
)
)
)
)
)
)
))</f>
        <v/>
      </c>
      <c r="J71" s="73" t="str">
        <f>IF($B71="","",
IF(J$5="","",
IF('Final Term'!J71="",0,
IF(NOT(ISNUMBER('Final Term'!J71)),"NAN",
IF('Final Term'!J71&lt;0,"NEG",
IF('Final Term'!J71&gt;J$5,"OVER",
IF(AND(J$5&lt;=100,'Final Term'!J71&gt;100),"ERR",
IF(Info!$B$4="Non-board program",
IF(OR(AND(J$5&gt;0,J$5&gt;100),AND(J$5&gt;0,J$5&lt;100)),
VLOOKUP(FLOOR(('Final Term'!J71/J$5)*100,1),new_transmute,2,FALSE),
VLOOKUP('Final Term'!J71,new_transmute,2,FALSE)
),
IF(Info!$B$4="Board program",
IF(OR(AND(J$5&gt;0,J$5&gt;100),AND(J$5&gt;0,J$5&lt;100)),
VLOOKUP(FLOOR(('Final Term'!J71/J$5)*100,1),new_transmute,3,FALSE),
VLOOKUP('Final Term'!J71,new_transmute,3,FALSE)
),
IF(Info!$B$4="Board program (Medicine)",
IF(OR(AND(J$5&gt;0,J$5&gt;100),AND(J$5&gt;0,J$5&lt;100)),
VLOOKUP(FLOOR(('Final Term'!J71/J$5)*100,1),new_transmute,4,FALSE),
VLOOKUP('Final Term'!J71,new_transmute,4,FALSE)
),
""
)
)
)
)
)
)
)
)
))</f>
        <v/>
      </c>
      <c r="K71" s="73" t="str">
        <f>IF($B71="","",
IF(K$5="","",
IF('Final Term'!K71="",0,
IF(NOT(ISNUMBER('Final Term'!K71)),"NAN",
IF('Final Term'!K71&lt;0,"NEG",
IF('Final Term'!K71&gt;K$5,"OVER",
IF(AND(K$5&lt;=100,'Final Term'!K71&gt;100),"ERR",
IF(Info!$B$4="Non-board program",
IF(OR(AND(K$5&gt;0,K$5&gt;100),AND(K$5&gt;0,K$5&lt;100)),
VLOOKUP(FLOOR(('Final Term'!K71/K$5)*100,1),new_transmute,2,FALSE),
VLOOKUP('Final Term'!K71,new_transmute,2,FALSE)
),
IF(Info!$B$4="Board program",
IF(OR(AND(K$5&gt;0,K$5&gt;100),AND(K$5&gt;0,K$5&lt;100)),
VLOOKUP(FLOOR(('Final Term'!K71/K$5)*100,1),new_transmute,3,FALSE),
VLOOKUP('Final Term'!K71,new_transmute,3,FALSE)
),
IF(Info!$B$4="Board program (Medicine)",
IF(OR(AND(K$5&gt;0,K$5&gt;100),AND(K$5&gt;0,K$5&lt;100)),
VLOOKUP(FLOOR(('Final Term'!K71/K$5)*100,1),new_transmute,4,FALSE),
VLOOKUP('Final Term'!K71,new_transmute,4,FALSE)
),
""
)
)
)
)
)
)
)
)
))</f>
        <v/>
      </c>
      <c r="L71" s="73" t="str">
        <f>IF($B71="","",
IF(L$5="","",
IF('Final Term'!L71="",0,
IF(NOT(ISNUMBER('Final Term'!L71)),"NAN",
IF('Final Term'!L71&lt;0,"NEG",
IF('Final Term'!L71&gt;L$5,"OVER",
IF(AND(L$5&lt;=100,'Final Term'!L71&gt;100),"ERR",
IF(Info!$B$4="Non-board program",
IF(OR(AND(L$5&gt;0,L$5&gt;100),AND(L$5&gt;0,L$5&lt;100)),
VLOOKUP(FLOOR(('Final Term'!L71/L$5)*100,1),new_transmute,2,FALSE),
VLOOKUP('Final Term'!L71,new_transmute,2,FALSE)
),
IF(Info!$B$4="Board program",
IF(OR(AND(L$5&gt;0,L$5&gt;100),AND(L$5&gt;0,L$5&lt;100)),
VLOOKUP(FLOOR(('Final Term'!L71/L$5)*100,1),new_transmute,3,FALSE),
VLOOKUP('Final Term'!L71,new_transmute,3,FALSE)
),
IF(Info!$B$4="Board program (Medicine)",
IF(OR(AND(L$5&gt;0,L$5&gt;100),AND(L$5&gt;0,L$5&lt;100)),
VLOOKUP(FLOOR(('Final Term'!L71/L$5)*100,1),new_transmute,4,FALSE),
VLOOKUP('Final Term'!L71,new_transmute,4,FALSE)
),
""
)
)
)
)
)
)
)
)
))</f>
        <v/>
      </c>
      <c r="M71" s="111" t="str">
        <f t="shared" ref="M71:M90" si="12">IF(B71="", "", IF(COUNTIF(H71:L71, "OVER") &gt; 0, "OVER", IFERROR(AVERAGEIF(H71:L71, "&lt;&gt;OVER"), 0)))</f>
        <v/>
      </c>
      <c r="N71" s="73" t="str">
        <f>IF($B71="","",
IF(N$5="","",
IF('Final Term'!N71="",0,
IF(NOT(ISNUMBER('Final Term'!N71)),"NAN",
IF('Final Term'!N71&lt;0,"NEG",
IF('Final Term'!N71&gt;N$5,"OVER",
IF(AND(N$5&lt;=100,'Final Term'!N71&gt;100),"ERR",
IF(Info!$B$4="Non-board program",
IF(OR(AND(N$5&gt;0,N$5&gt;100),AND(N$5&gt;0,N$5&lt;100)),
VLOOKUP(FLOOR(('Final Term'!N71/N$5)*100,1),new_transmute,2,FALSE),
VLOOKUP('Final Term'!N71,new_transmute,2,FALSE)
),
IF(Info!$B$4="Board program",
IF(OR(AND(N$5&gt;0,N$5&gt;100),AND(N$5&gt;0,N$5&lt;100)),
VLOOKUP(FLOOR(('Final Term'!N71/N$5)*100,1),new_transmute,3,FALSE),
VLOOKUP('Final Term'!N71,new_transmute,3,FALSE)
),
IF(Info!$B$4="Board program (Medicine)",
IF(OR(AND(N$5&gt;0,N$5&gt;100),AND(N$5&gt;0,N$5&lt;100)),
VLOOKUP(FLOOR(('Final Term'!N71/N$5)*100,1),new_transmute,4,FALSE),
VLOOKUP('Final Term'!N71,new_transmute,4,FALSE)
),
""
)
)
)
)
)
)
)
)
))</f>
        <v/>
      </c>
      <c r="O71" s="73" t="str">
        <f>IF($B71="","",
IF(O$5="","",
IF('Final Term'!O71="",0,
IF(NOT(ISNUMBER('Final Term'!O71)),"NAN",
IF('Final Term'!O71&lt;0,"NEG",
IF('Final Term'!O71&gt;O$5,"OVER",
IF(AND(O$5&lt;=100,'Final Term'!O71&gt;100),"ERR",
IF(Info!$B$4="Non-board program",
IF(OR(AND(O$5&gt;0,O$5&gt;100),AND(O$5&gt;0,O$5&lt;100)),
VLOOKUP(FLOOR(('Final Term'!O71/O$5)*100,1),new_transmute,2,FALSE),
VLOOKUP('Final Term'!O71,new_transmute,2,FALSE)
),
IF(Info!$B$4="Board program",
IF(OR(AND(O$5&gt;0,O$5&gt;100),AND(O$5&gt;0,O$5&lt;100)),
VLOOKUP(FLOOR(('Final Term'!O71/O$5)*100,1),new_transmute,3,FALSE),
VLOOKUP('Final Term'!O71,new_transmute,3,FALSE)
),
IF(Info!$B$4="Board program (Medicine)",
IF(OR(AND(O$5&gt;0,O$5&gt;100),AND(O$5&gt;0,O$5&lt;100)),
VLOOKUP(FLOOR(('Final Term'!O71/O$5)*100,1),new_transmute,4,FALSE),
VLOOKUP('Final Term'!O71,new_transmute,4,FALSE)
),
""
)
)
)
)
)
)
)
)
))</f>
        <v/>
      </c>
      <c r="P71" s="73" t="str">
        <f>IF($B71="","",
IF(P$5="","",
IF('Final Term'!P71="",0,
IF(NOT(ISNUMBER('Final Term'!P71)),"NAN",
IF('Final Term'!P71&lt;0,"NEG",
IF('Final Term'!P71&gt;P$5,"OVER",
IF(AND(P$5&lt;=100,'Final Term'!P71&gt;100),"ERR",
IF(Info!$B$4="Non-board program",
IF(OR(AND(P$5&gt;0,P$5&gt;100),AND(P$5&gt;0,P$5&lt;100)),
VLOOKUP(FLOOR(('Final Term'!P71/P$5)*100,1),new_transmute,2,FALSE),
VLOOKUP('Final Term'!P71,new_transmute,2,FALSE)
),
IF(Info!$B$4="Board program",
IF(OR(AND(P$5&gt;0,P$5&gt;100),AND(P$5&gt;0,P$5&lt;100)),
VLOOKUP(FLOOR(('Final Term'!P71/P$5)*100,1),new_transmute,3,FALSE),
VLOOKUP('Final Term'!P71,new_transmute,3,FALSE)
),
IF(Info!$B$4="Board program (Medicine)",
IF(OR(AND(P$5&gt;0,P$5&gt;100),AND(P$5&gt;0,P$5&lt;100)),
VLOOKUP(FLOOR(('Final Term'!P71/P$5)*100,1),new_transmute,4,FALSE),
VLOOKUP('Final Term'!P71,new_transmute,4,FALSE)
),
""
)
)
)
)
)
)
)
)
))</f>
        <v/>
      </c>
      <c r="Q71" s="73" t="str">
        <f>IF($B71="","",
IF(Q$5="","",
IF('Final Term'!Q71="",0,
IF(NOT(ISNUMBER('Final Term'!Q71)),"NAN",
IF('Final Term'!Q71&lt;0,"NEG",
IF('Final Term'!Q71&gt;Q$5,"OVER",
IF(AND(Q$5&lt;=100,'Final Term'!Q71&gt;100),"ERR",
IF(Info!$B$4="Non-board program",
IF(OR(AND(Q$5&gt;0,Q$5&gt;100),AND(Q$5&gt;0,Q$5&lt;100)),
VLOOKUP(FLOOR(('Final Term'!Q71/Q$5)*100,1),new_transmute,2,FALSE),
VLOOKUP('Final Term'!Q71,new_transmute,2,FALSE)
),
IF(Info!$B$4="Board program",
IF(OR(AND(Q$5&gt;0,Q$5&gt;100),AND(Q$5&gt;0,Q$5&lt;100)),
VLOOKUP(FLOOR(('Final Term'!Q71/Q$5)*100,1),new_transmute,3,FALSE),
VLOOKUP('Final Term'!Q71,new_transmute,3,FALSE)
),
IF(Info!$B$4="Board program (Medicine)",
IF(OR(AND(Q$5&gt;0,Q$5&gt;100),AND(Q$5&gt;0,Q$5&lt;100)),
VLOOKUP(FLOOR(('Final Term'!Q71/Q$5)*100,1),new_transmute,4,FALSE),
VLOOKUP('Final Term'!Q71,new_transmute,4,FALSE)
),
""
)
)
)
)
)
)
)
)
))</f>
        <v/>
      </c>
      <c r="R71" s="73" t="str">
        <f>IF($B71="","",
IF(R$5="","",
IF('Final Term'!R71="",0,
IF(NOT(ISNUMBER('Final Term'!R71)),"NAN",
IF('Final Term'!R71&lt;0,"NEG",
IF('Final Term'!R71&gt;R$5,"OVER",
IF(AND(R$5&lt;=100,'Final Term'!R71&gt;100),"ERR",
IF(Info!$B$4="Non-board program",
IF(OR(AND(R$5&gt;0,R$5&gt;100),AND(R$5&gt;0,R$5&lt;100)),
VLOOKUP(FLOOR(('Final Term'!R71/R$5)*100,1),new_transmute,2,FALSE),
VLOOKUP('Final Term'!R71,new_transmute,2,FALSE)
),
IF(Info!$B$4="Board program",
IF(OR(AND(R$5&gt;0,R$5&gt;100),AND(R$5&gt;0,R$5&lt;100)),
VLOOKUP(FLOOR(('Final Term'!R71/R$5)*100,1),new_transmute,3,FALSE),
VLOOKUP('Final Term'!R71,new_transmute,3,FALSE)
),
IF(Info!$B$4="Board program (Medicine)",
IF(OR(AND(R$5&gt;0,R$5&gt;100),AND(R$5&gt;0,R$5&lt;100)),
VLOOKUP(FLOOR(('Final Term'!R71/R$5)*100,1),new_transmute,4,FALSE),
VLOOKUP('Final Term'!R71,new_transmute,4,FALSE)
),
""
)
)
)
)
)
)
)
)
))</f>
        <v/>
      </c>
      <c r="S71" s="115" t="str">
        <f t="shared" ref="S71:S90" si="13">IF(B71="", "", IF(COUNTIF(N71:R71, "OVER") &gt; 0, "OVER", IFERROR(AVERAGEIF(N71:R71, "&lt;&gt;OVER"), 0)))</f>
        <v/>
      </c>
      <c r="T71" s="73" t="str">
        <f>IF($B71="","",
IF(T$5="","",
IF('Final Term'!T71="",0,
IF(NOT(ISNUMBER('Final Term'!T71)),"NAN",
IF('Final Term'!T71&lt;0,"NEG",
IF('Final Term'!T71&gt;T$5,"OVER",
IF(AND(T$5&lt;=100,'Final Term'!T71&gt;100),"ERR",
IF(Info!$B$4="Non-board program",
IF(OR(AND(T$5&gt;0,T$5&gt;100),AND(T$5&gt;0,T$5&lt;100)),
VLOOKUP(FLOOR(('Final Term'!T71/T$5)*100,1),new_transmute,2,FALSE),
VLOOKUP('Final Term'!T71,new_transmute,2,FALSE)
),
IF(Info!$B$4="Board program",
IF(OR(AND(T$5&gt;0,T$5&gt;100),AND(T$5&gt;0,T$5&lt;100)),
VLOOKUP(FLOOR(('Final Term'!T71/T$5)*100,1),new_transmute,3,FALSE),
VLOOKUP('Final Term'!T71,new_transmute,3,FALSE)
),
IF(Info!$B$4="Board program (Medicine)",
IF(OR(AND(T$5&gt;0,T$5&gt;100),AND(T$5&gt;0,T$5&lt;100)),
VLOOKUP(FLOOR(('Final Term'!T71/T$5)*100,1),new_transmute,4,FALSE),
VLOOKUP('Final Term'!T71,new_transmute,4,FALSE)
),
""
)
)
)
)
)
)
)
)
))</f>
        <v/>
      </c>
      <c r="U71" s="73" t="str">
        <f>IF($B71="","",
IF(U$5="","",
IF('Final Term'!U71="",0,
IF(NOT(ISNUMBER('Final Term'!U71)),"NAN",
IF('Final Term'!U71&lt;0,"NEG",
IF('Final Term'!U71&gt;U$5,"OVER",
IF(AND(U$5&lt;=100,'Final Term'!U71&gt;100),"ERR",
IF(Info!$B$4="Non-board program",
IF(OR(AND(U$5&gt;0,U$5&gt;100),AND(U$5&gt;0,U$5&lt;100)),
VLOOKUP(FLOOR(('Final Term'!U71/U$5)*100,1),new_transmute,2,FALSE),
VLOOKUP('Final Term'!U71,new_transmute,2,FALSE)
),
IF(Info!$B$4="Board program",
IF(OR(AND(U$5&gt;0,U$5&gt;100),AND(U$5&gt;0,U$5&lt;100)),
VLOOKUP(FLOOR(('Final Term'!U71/U$5)*100,1),new_transmute,3,FALSE),
VLOOKUP('Final Term'!U71,new_transmute,3,FALSE)
),
IF(Info!$B$4="Board program (Medicine)",
IF(OR(AND(U$5&gt;0,U$5&gt;100),AND(U$5&gt;0,U$5&lt;100)),
VLOOKUP(FLOOR(('Final Term'!U71/U$5)*100,1),new_transmute,4,FALSE),
VLOOKUP('Final Term'!U71,new_transmute,4,FALSE)
),
""
)
)
)
)
)
)
)
)
))</f>
        <v/>
      </c>
      <c r="V71" s="73" t="str">
        <f>IF($B71="","",
IF(V$5="","",
IF('Final Term'!V71="",0,
IF(NOT(ISNUMBER('Final Term'!V71)),"NAN",
IF('Final Term'!V71&lt;0,"NEG",
IF('Final Term'!V71&gt;V$5,"OVER",
IF(AND(V$5&lt;=100,'Final Term'!V71&gt;100),"ERR",
IF(Info!$B$4="Non-board program",
IF(OR(AND(V$5&gt;0,V$5&gt;100),AND(V$5&gt;0,V$5&lt;100)),
VLOOKUP(FLOOR(('Final Term'!V71/V$5)*100,1),new_transmute,2,FALSE),
VLOOKUP('Final Term'!V71,new_transmute,2,FALSE)
),
IF(Info!$B$4="Board program",
IF(OR(AND(V$5&gt;0,V$5&gt;100),AND(V$5&gt;0,V$5&lt;100)),
VLOOKUP(FLOOR(('Final Term'!V71/V$5)*100,1),new_transmute,3,FALSE),
VLOOKUP('Final Term'!V71,new_transmute,3,FALSE)
),
IF(Info!$B$4="Board program (Medicine)",
IF(OR(AND(V$5&gt;0,V$5&gt;100),AND(V$5&gt;0,V$5&lt;100)),
VLOOKUP(FLOOR(('Final Term'!V71/V$5)*100,1),new_transmute,4,FALSE),
VLOOKUP('Final Term'!V71,new_transmute,4,FALSE)
),
""
)
)
)
)
)
)
)
)
))</f>
        <v/>
      </c>
      <c r="W71" s="73" t="str">
        <f>IF($B71="","",
IF(W$5="","",
IF('Final Term'!W71="",0,
IF(NOT(ISNUMBER('Final Term'!W71)),"NAN",
IF('Final Term'!W71&lt;0,"NEG",
IF('Final Term'!W71&gt;W$5,"OVER",
IF(AND(W$5&lt;=100,'Final Term'!W71&gt;100),"ERR",
IF(Info!$B$4="Non-board program",
IF(OR(AND(W$5&gt;0,W$5&gt;100),AND(W$5&gt;0,W$5&lt;100)),
VLOOKUP(FLOOR(('Final Term'!W71/W$5)*100,1),new_transmute,2,FALSE),
VLOOKUP('Final Term'!W71,new_transmute,2,FALSE)
),
IF(Info!$B$4="Board program",
IF(OR(AND(W$5&gt;0,W$5&gt;100),AND(W$5&gt;0,W$5&lt;100)),
VLOOKUP(FLOOR(('Final Term'!W71/W$5)*100,1),new_transmute,3,FALSE),
VLOOKUP('Final Term'!W71,new_transmute,3,FALSE)
),
IF(Info!$B$4="Board program (Medicine)",
IF(OR(AND(W$5&gt;0,W$5&gt;100),AND(W$5&gt;0,W$5&lt;100)),
VLOOKUP(FLOOR(('Final Term'!W71/W$5)*100,1),new_transmute,4,FALSE),
VLOOKUP('Final Term'!W71,new_transmute,4,FALSE)
),
""
)
)
)
)
)
)
)
)
))</f>
        <v/>
      </c>
      <c r="X71" s="73" t="str">
        <f>IF($B71="","",
IF(X$5="","",
IF('Final Term'!X71="",0,
IF(NOT(ISNUMBER('Final Term'!X71)),"NAN",
IF('Final Term'!X71&lt;0,"NEG",
IF('Final Term'!X71&gt;X$5,"OVER",
IF(AND(X$5&lt;=100,'Final Term'!X71&gt;100),"ERR",
IF(Info!$B$4="Non-board program",
IF(OR(AND(X$5&gt;0,X$5&gt;100),AND(X$5&gt;0,X$5&lt;100)),
VLOOKUP(FLOOR(('Final Term'!X71/X$5)*100,1),new_transmute,2,FALSE),
VLOOKUP('Final Term'!X71,new_transmute,2,FALSE)
),
IF(Info!$B$4="Board program",
IF(OR(AND(X$5&gt;0,X$5&gt;100),AND(X$5&gt;0,X$5&lt;100)),
VLOOKUP(FLOOR(('Final Term'!X71/X$5)*100,1),new_transmute,3,FALSE),
VLOOKUP('Final Term'!X71,new_transmute,3,FALSE)
),
IF(Info!$B$4="Board program (Medicine)",
IF(OR(AND(X$5&gt;0,X$5&gt;100),AND(X$5&gt;0,X$5&lt;100)),
VLOOKUP(FLOOR(('Final Term'!X71/X$5)*100,1),new_transmute,4,FALSE),
VLOOKUP('Final Term'!X71,new_transmute,4,FALSE)
),
""
)
)
)
)
)
)
)
)
))</f>
        <v/>
      </c>
      <c r="Y71" s="112" t="str">
        <f t="shared" ref="Y71:Y90" si="14">IF(B71="", "", IF(COUNTIF(T71:X71, "OVER") &gt; 0, "OVER", IFERROR(AVERAGEIF(T71:X71, "&lt;&gt;OVER"), 0)))</f>
        <v/>
      </c>
      <c r="Z71" s="73" t="str">
        <f>IF($B71="","",
IF(Z$5="","",
IF('Final Term'!Z71="",0,
IF(NOT(ISNUMBER('Final Term'!Z71)),"NAN",
IF('Final Term'!Z71&lt;0,"NEG",
IF('Final Term'!Z71&gt;Z$5,"OVER",
IF(AND(Z$5&lt;=100,'Final Term'!Z71&gt;100),"ERR",
IF(Info!$B$4="Non-board program",
IF(OR(AND(Z$5&gt;0,Z$5&gt;100),AND(Z$5&gt;0,Z$5&lt;100)),
VLOOKUP(FLOOR(('Final Term'!Z71/Z$5)*100,1),new_transmute,2,FALSE),
VLOOKUP('Final Term'!Z71,new_transmute,2,FALSE)
),
IF(Info!$B$4="Board program",
IF(OR(AND(Z$5&gt;0,Z$5&gt;100),AND(Z$5&gt;0,Z$5&lt;100)),
VLOOKUP(FLOOR(('Final Term'!Z71/Z$5)*100,1),new_transmute,3,FALSE),
VLOOKUP('Final Term'!Z71,new_transmute,3,FALSE)
),
IF(Info!$B$4="Board program (Medicine)",
IF(OR(AND(Z$5&gt;0,Z$5&gt;100),AND(Z$5&gt;0,Z$5&lt;100)),
VLOOKUP(FLOOR(('Final Term'!Z71/Z$5)*100,1),new_transmute,4,FALSE),
VLOOKUP('Final Term'!Z71,new_transmute,4,FALSE)
),
""
)
)
)
)
)
)
)
)
))</f>
        <v/>
      </c>
      <c r="AA71" s="73" t="str">
        <f>IF($B71="","",
IF(AA$5="","",
IF('Final Term'!AA71="",0,
IF(NOT(ISNUMBER('Final Term'!AA71)),"NAN",
IF('Final Term'!AA71&lt;0,"NEG",
IF('Final Term'!AA71&gt;AA$5,"OVER",
IF(AND(AA$5&lt;=100,'Final Term'!AA71&gt;100),"ERR",
IF(Info!$B$4="Non-board program",
IF(OR(AND(AA$5&gt;0,AA$5&gt;100),AND(AA$5&gt;0,AA$5&lt;100)),
VLOOKUP(FLOOR(('Final Term'!AA71/AA$5)*100,1),new_transmute,2,FALSE),
VLOOKUP('Final Term'!AA71,new_transmute,2,FALSE)
),
IF(Info!$B$4="Board program",
IF(OR(AND(AA$5&gt;0,AA$5&gt;100),AND(AA$5&gt;0,AA$5&lt;100)),
VLOOKUP(FLOOR(('Final Term'!AA71/AA$5)*100,1),new_transmute,3,FALSE),
VLOOKUP('Final Term'!AA71,new_transmute,3,FALSE)
),
IF(Info!$B$4="Board program (Medicine)",
IF(OR(AND(AA$5&gt;0,AA$5&gt;100),AND(AA$5&gt;0,AA$5&lt;100)),
VLOOKUP(FLOOR(('Final Term'!AA71/AA$5)*100,1),new_transmute,4,FALSE),
VLOOKUP('Final Term'!AA71,new_transmute,4,FALSE)
),
""
)
)
)
)
)
)
)
)
))</f>
        <v/>
      </c>
      <c r="AB71" s="73" t="str">
        <f>IF($B71="","",
IF(AB$5="","",
IF('Final Term'!AB71="",0,
IF(NOT(ISNUMBER('Final Term'!AB71)),"NAN",
IF('Final Term'!AB71&lt;0,"NEG",
IF('Final Term'!AB71&gt;AB$5,"OVER",
IF(AND(AB$5&lt;=100,'Final Term'!AB71&gt;100),"ERR",
IF(Info!$B$4="Non-board program",
IF(OR(AND(AB$5&gt;0,AB$5&gt;100),AND(AB$5&gt;0,AB$5&lt;100)),
VLOOKUP(FLOOR(('Final Term'!AB71/AB$5)*100,1),new_transmute,2,FALSE),
VLOOKUP('Final Term'!AB71,new_transmute,2,FALSE)
),
IF(Info!$B$4="Board program",
IF(OR(AND(AB$5&gt;0,AB$5&gt;100),AND(AB$5&gt;0,AB$5&lt;100)),
VLOOKUP(FLOOR(('Final Term'!AB71/AB$5)*100,1),new_transmute,3,FALSE),
VLOOKUP('Final Term'!AB71,new_transmute,3,FALSE)
),
IF(Info!$B$4="Board program (Medicine)",
IF(OR(AND(AB$5&gt;0,AB$5&gt;100),AND(AB$5&gt;0,AB$5&lt;100)),
VLOOKUP(FLOOR(('Final Term'!AB71/AB$5)*100,1),new_transmute,4,FALSE),
VLOOKUP('Final Term'!AB71,new_transmute,4,FALSE)
),
""
)
)
)
)
)
)
)
)
))</f>
        <v/>
      </c>
      <c r="AC71" s="73" t="str">
        <f>IF($B71="","",
IF(AC$5="","",
IF('Final Term'!AC71="",0,
IF(NOT(ISNUMBER('Final Term'!AC71)),"NAN",
IF('Final Term'!AC71&lt;0,"NEG",
IF('Final Term'!AC71&gt;AC$5,"OVER",
IF(AND(AC$5&lt;=100,'Final Term'!AC71&gt;100),"ERR",
IF(Info!$B$4="Non-board program",
IF(OR(AND(AC$5&gt;0,AC$5&gt;100),AND(AC$5&gt;0,AC$5&lt;100)),
VLOOKUP(FLOOR(('Final Term'!AC71/AC$5)*100,1),new_transmute,2,FALSE),
VLOOKUP('Final Term'!AC71,new_transmute,2,FALSE)
),
IF(Info!$B$4="Board program",
IF(OR(AND(AC$5&gt;0,AC$5&gt;100),AND(AC$5&gt;0,AC$5&lt;100)),
VLOOKUP(FLOOR(('Final Term'!AC71/AC$5)*100,1),new_transmute,3,FALSE),
VLOOKUP('Final Term'!AC71,new_transmute,3,FALSE)
),
IF(Info!$B$4="Board program (Medicine)",
IF(OR(AND(AC$5&gt;0,AC$5&gt;100),AND(AC$5&gt;0,AC$5&lt;100)),
VLOOKUP(FLOOR(('Final Term'!AC71/AC$5)*100,1),new_transmute,4,FALSE),
VLOOKUP('Final Term'!AC71,new_transmute,4,FALSE)
),
""
)
)
)
)
)
)
)
)
))</f>
        <v/>
      </c>
      <c r="AD71" s="73" t="str">
        <f>IF($B71="","",
IF(AD$5="","",
IF('Final Term'!AD71="",0,
IF(NOT(ISNUMBER('Final Term'!AD71)),"NAN",
IF('Final Term'!AD71&lt;0,"NEG",
IF('Final Term'!AD71&gt;AD$5,"OVER",
IF(AND(AD$5&lt;=100,'Final Term'!AD71&gt;100),"ERR",
IF(Info!$B$4="Non-board program",
IF(OR(AND(AD$5&gt;0,AD$5&gt;100),AND(AD$5&gt;0,AD$5&lt;100)),
VLOOKUP(FLOOR(('Final Term'!AD71/AD$5)*100,1),new_transmute,2,FALSE),
VLOOKUP('Final Term'!AD71,new_transmute,2,FALSE)
),
IF(Info!$B$4="Board program",
IF(OR(AND(AD$5&gt;0,AD$5&gt;100),AND(AD$5&gt;0,AD$5&lt;100)),
VLOOKUP(FLOOR(('Final Term'!AD71/AD$5)*100,1),new_transmute,3,FALSE),
VLOOKUP('Final Term'!AD71,new_transmute,3,FALSE)
),
IF(Info!$B$4="Board program (Medicine)",
IF(OR(AND(AD$5&gt;0,AD$5&gt;100),AND(AD$5&gt;0,AD$5&lt;100)),
VLOOKUP(FLOOR(('Final Term'!AD71/AD$5)*100,1),new_transmute,4,FALSE),
VLOOKUP('Final Term'!AD71,new_transmute,4,FALSE)
),
""
)
)
)
)
)
)
)
)
))</f>
        <v/>
      </c>
      <c r="AE71" s="58" t="str">
        <f t="shared" ref="AE71:AE90" si="15">IF(B71="", "", IF(COUNTIF(Z71:AD71, "OVER") &gt; 0, "OVER", IFERROR(AVERAGEIF(Z71:AD71, "&lt;&gt;OVER"), 0)))</f>
        <v/>
      </c>
      <c r="AF71" s="73" t="str">
        <f>IF($B71="","",
IF(AF$5="","",
IF('Final Term'!AF71="",0,
IF(NOT(ISNUMBER('Final Term'!AF71)),"NAN",
IF('Final Term'!AF71&lt;0,"NEG",
IF('Final Term'!AF71&gt;AF$5,"OVER",
IF(AND(AF$5&lt;=100,'Final Term'!AF71&gt;100),"ERR",
IF(Info!$B$4="Non-board program",
IF(OR(AND(AF$5&gt;0,AF$5&gt;100),AND(AF$5&gt;0,AF$5&lt;100)),
VLOOKUP(FLOOR(('Final Term'!AF71/AF$5)*100,1),new_transmute,2,FALSE),
VLOOKUP('Final Term'!AF71,new_transmute,2,FALSE)
),
IF(Info!$B$4="Board program",
IF(OR(AND(AF$5&gt;0,AF$5&gt;100),AND(AF$5&gt;0,AF$5&lt;100)),
VLOOKUP(FLOOR(('Final Term'!AF71/AF$5)*100,1),new_transmute,3,FALSE),
VLOOKUP('Final Term'!AF71,new_transmute,3,FALSE)
),
IF(Info!$B$4="Board program (Medicine)",
IF(OR(AND(AF$5&gt;0,AF$5&gt;100),AND(AF$5&gt;0,AF$5&lt;100)),
VLOOKUP(FLOOR(('Final Term'!AF71/AF$5)*100,1),new_transmute,4,FALSE),
VLOOKUP('Final Term'!AF71,new_transmute,4,FALSE)
),
""
)
)
)
)
)
)
)
)
))</f>
        <v/>
      </c>
      <c r="AG71" s="73" t="str">
        <f>IF($B71="","",
IF(AG$5="","",
IF('Final Term'!AG71="",0,
IF(NOT(ISNUMBER('Final Term'!AG71)),"NAN",
IF('Final Term'!AG71&lt;0,"NEG",
IF('Final Term'!AG71&gt;AG$5,"OVER",
IF(AND(AG$5&lt;=100,'Final Term'!AG71&gt;100),"ERR",
IF(Info!$B$4="Non-board program",
IF(OR(AND(AG$5&gt;0,AG$5&gt;100),AND(AG$5&gt;0,AG$5&lt;100)),
VLOOKUP(FLOOR(('Final Term'!AG71/AG$5)*100,1),new_transmute,2,FALSE),
VLOOKUP('Final Term'!AG71,new_transmute,2,FALSE)
),
IF(Info!$B$4="Board program",
IF(OR(AND(AG$5&gt;0,AG$5&gt;100),AND(AG$5&gt;0,AG$5&lt;100)),
VLOOKUP(FLOOR(('Final Term'!AG71/AG$5)*100,1),new_transmute,3,FALSE),
VLOOKUP('Final Term'!AG71,new_transmute,3,FALSE)
),
IF(Info!$B$4="Board program (Medicine)",
IF(OR(AND(AG$5&gt;0,AG$5&gt;100),AND(AG$5&gt;0,AG$5&lt;100)),
VLOOKUP(FLOOR(('Final Term'!AG71/AG$5)*100,1),new_transmute,4,FALSE),
VLOOKUP('Final Term'!AG71,new_transmute,4,FALSE)
),
""
)
)
)
)
)
)
)
)
))</f>
        <v/>
      </c>
      <c r="AH71" s="73" t="str">
        <f>IF($B71="","",
IF(AH$5="","",
IF('Final Term'!AH71="",0,
IF(NOT(ISNUMBER('Final Term'!AH71)),"NAN",
IF('Final Term'!AH71&lt;0,"NEG",
IF('Final Term'!AH71&gt;AH$5,"OVER",
IF(AND(AH$5&lt;=100,'Final Term'!AH71&gt;100),"ERR",
IF(Info!$B$4="Non-board program",
IF(OR(AND(AH$5&gt;0,AH$5&gt;100),AND(AH$5&gt;0,AH$5&lt;100)),
VLOOKUP(FLOOR(('Final Term'!AH71/AH$5)*100,1),new_transmute,2,FALSE),
VLOOKUP('Final Term'!AH71,new_transmute,2,FALSE)
),
IF(Info!$B$4="Board program",
IF(OR(AND(AH$5&gt;0,AH$5&gt;100),AND(AH$5&gt;0,AH$5&lt;100)),
VLOOKUP(FLOOR(('Final Term'!AH71/AH$5)*100,1),new_transmute,3,FALSE),
VLOOKUP('Final Term'!AH71,new_transmute,3,FALSE)
),
IF(Info!$B$4="Board program (Medicine)",
IF(OR(AND(AH$5&gt;0,AH$5&gt;100),AND(AH$5&gt;0,AH$5&lt;100)),
VLOOKUP(FLOOR(('Final Term'!AH71/AH$5)*100,1),new_transmute,4,FALSE),
VLOOKUP('Final Term'!AH71,new_transmute,4,FALSE)
),
""
)
)
)
)
)
)
)
)
))</f>
        <v/>
      </c>
      <c r="AI71" s="73" t="str">
        <f>IF($B71="","",
IF(AI$5="","",
IF('Final Term'!AI71="",0,
IF(NOT(ISNUMBER('Final Term'!AI71)),"NAN",
IF('Final Term'!AI71&lt;0,"NEG",
IF('Final Term'!AI71&gt;AI$5,"OVER",
IF(AND(AI$5&lt;=100,'Final Term'!AI71&gt;100),"ERR",
IF(Info!$B$4="Non-board program",
IF(OR(AND(AI$5&gt;0,AI$5&gt;100),AND(AI$5&gt;0,AI$5&lt;100)),
VLOOKUP(FLOOR(('Final Term'!AI71/AI$5)*100,1),new_transmute,2,FALSE),
VLOOKUP('Final Term'!AI71,new_transmute,2,FALSE)
),
IF(Info!$B$4="Board program",
IF(OR(AND(AI$5&gt;0,AI$5&gt;100),AND(AI$5&gt;0,AI$5&lt;100)),
VLOOKUP(FLOOR(('Final Term'!AI71/AI$5)*100,1),new_transmute,3,FALSE),
VLOOKUP('Final Term'!AI71,new_transmute,3,FALSE)
),
IF(Info!$B$4="Board program (Medicine)",
IF(OR(AND(AI$5&gt;0,AI$5&gt;100),AND(AI$5&gt;0,AI$5&lt;100)),
VLOOKUP(FLOOR(('Final Term'!AI71/AI$5)*100,1),new_transmute,4,FALSE),
VLOOKUP('Final Term'!AI71,new_transmute,4,FALSE)
),
""
)
)
)
)
)
)
)
)
))</f>
        <v/>
      </c>
      <c r="AJ71" s="73" t="str">
        <f>IF($B71="","",
IF(AJ$5="","",
IF('Final Term'!AJ71="",0,
IF(NOT(ISNUMBER('Final Term'!AJ71)),"NAN",
IF('Final Term'!AJ71&lt;0,"NEG",
IF('Final Term'!AJ71&gt;AJ$5,"OVER",
IF(AND(AJ$5&lt;=100,'Final Term'!AJ71&gt;100),"ERR",
IF(Info!$B$4="Non-board program",
IF(OR(AND(AJ$5&gt;0,AJ$5&gt;100),AND(AJ$5&gt;0,AJ$5&lt;100)),
VLOOKUP(FLOOR(('Final Term'!AJ71/AJ$5)*100,1),new_transmute,2,FALSE),
VLOOKUP('Final Term'!AJ71,new_transmute,2,FALSE)
),
IF(Info!$B$4="Board program",
IF(OR(AND(AJ$5&gt;0,AJ$5&gt;100),AND(AJ$5&gt;0,AJ$5&lt;100)),
VLOOKUP(FLOOR(('Final Term'!AJ71/AJ$5)*100,1),new_transmute,3,FALSE),
VLOOKUP('Final Term'!AJ71,new_transmute,3,FALSE)
),
IF(Info!$B$4="Board program (Medicine)",
IF(OR(AND(AJ$5&gt;0,AJ$5&gt;100),AND(AJ$5&gt;0,AJ$5&lt;100)),
VLOOKUP(FLOOR(('Final Term'!AJ71/AJ$5)*100,1),new_transmute,4,FALSE),
VLOOKUP('Final Term'!AJ71,new_transmute,4,FALSE)
),
""
)
)
)
)
)
)
)
)
))</f>
        <v/>
      </c>
      <c r="AK71" s="59" t="str">
        <f t="shared" ref="AK71:AK90" si="16">IF(B71="", "", IF(COUNTIF(AF71:AJ71, "OVER") &gt; 0, "OVER", IFERROR(AVERAGEIF(AF71:AJ71, "&lt;&gt;OVER"), 0)))</f>
        <v/>
      </c>
      <c r="AL71" s="60" t="str">
        <f>IF(B71="", "",
    IF(OR(M71="OVER", S71="OVER", Y71="OVER", AE71="OVER", AK71="OVER"),
        "OVER",
        IF(Info!$B$4="Non-board program",
            VLOOKUP(IFERROR(FLOOR(SUM((M71*$M$4), (S71*$S$4), (Y71*$Y$4), (AE71*$AE$4), (AK71*$AK$4)) * (100 / 60), 1), 0), new_transmute, 2, FALSE),
            IF(Info!$B$4="Board program",
                VLOOKUP(IFERROR(FLOOR(SUM((M71*$M$4), (S71*$S$4), (Y71*$Y$4), (AE71*$AE$4), (AK71*$AK$4)) * (100 / 60), 1), 0), new_transmute, 3, FALSE),
                IF(Info!$B$4="Board program (Medicine)",
                    VLOOKUP(IFERROR(FLOOR(SUM((M71*$M$4), (S71*$S$4), (Y71*$Y$4), (AE71*$AE$4), (AK71*$AK$4)) * (100 / 60), 1), 0), new_transmute, 4, FALSE),
                    ""
                )
            )
        )
    )
)</f>
        <v/>
      </c>
      <c r="AM71" s="73" t="str">
        <f>IF($B71="","",
IF(AM$5="","",
IF('Final Term'!AM71="",0,
IF(NOT(ISNUMBER('Final Term'!AM71)),"NAN",
IF('Final Term'!AM71&lt;0,"NEG",
IF('Final Term'!AM71&gt;AM$5,"OVER",
IF(AND(AM$5&lt;=100,'Final Term'!AM71&gt;100),"ERR",
IF(Info!$B$4="Non-board program",
IF(OR(AND(AM$5&gt;0,AM$5&gt;100),AND(AM$5&gt;0,AM$5&lt;100)),
VLOOKUP(FLOOR(('Final Term'!AM71/AM$5)*100,1),new_transmute,2,FALSE),
VLOOKUP('Final Term'!AM71,new_transmute,2,FALSE)
),
IF(Info!$B$4="Board program",
IF(OR(AND(AM$5&gt;0,AM$5&gt;100),AND(AM$5&gt;0,AM$5&lt;100)),
VLOOKUP(FLOOR(('Final Term'!AM71/AM$5)*100,1),new_transmute,3,FALSE),
VLOOKUP('Final Term'!AM71,new_transmute,3,FALSE)
),
IF(Info!$B$4="Board program (Medicine)",
IF(OR(AND(AM$5&gt;0,AM$5&gt;100),AND(AM$5&gt;0,AM$5&lt;100)),
VLOOKUP(FLOOR(('Final Term'!AM71/AM$5)*100,1),new_transmute,4,FALSE),
VLOOKUP('Final Term'!AM71,new_transmute,4,FALSE)
),
""
)
)
)
)
)
)
)
)
))</f>
        <v/>
      </c>
      <c r="AN71" s="73" t="str">
        <f>IF($B71="","",
IF(AN$5="","",
IF('Final Term'!AN71="",0,
IF(NOT(ISNUMBER('Final Term'!AN71)),"NAN",
IF('Final Term'!AN71&lt;0,"NEG",
IF('Final Term'!AN71&gt;AN$5,"OVER",
IF(AND(AN$5&lt;=100,'Final Term'!AN71&gt;100),"ERR",
IF(Info!$B$4="Non-board program",
IF(OR(AND(AN$5&gt;0,AN$5&gt;100),AND(AN$5&gt;0,AN$5&lt;100)),
VLOOKUP(FLOOR(('Final Term'!AN71/AN$5)*100,1),new_transmute,2,FALSE),
VLOOKUP('Final Term'!AN71,new_transmute,2,FALSE)
),
IF(Info!$B$4="Board program",
IF(OR(AND(AN$5&gt;0,AN$5&gt;100),AND(AN$5&gt;0,AN$5&lt;100)),
VLOOKUP(FLOOR(('Final Term'!AN71/AN$5)*100,1),new_transmute,3,FALSE),
VLOOKUP('Final Term'!AN71,new_transmute,3,FALSE)
),
IF(Info!$B$4="Board program (Medicine)",
IF(OR(AND(AN$5&gt;0,AN$5&gt;100),AND(AN$5&gt;0,AN$5&lt;100)),
VLOOKUP(FLOOR(('Final Term'!AN71/AN$5)*100,1),new_transmute,4,FALSE),
VLOOKUP('Final Term'!AN71,new_transmute,4,FALSE)
),
""
)
)
)
)
)
)
)
)
))</f>
        <v/>
      </c>
      <c r="AO71" s="73" t="str">
        <f>IF($B71="","",
IF(AO$5="","",
IF('Final Term'!AO71="",0,
IF(NOT(ISNUMBER('Final Term'!AO71)),"NAN",
IF('Final Term'!AO71&lt;0,"NEG",
IF('Final Term'!AO71&gt;AO$5,"OVER",
IF(AND(AO$5&lt;=100,'Final Term'!AO71&gt;100),"ERR",
IF(Info!$B$4="Non-board program",
IF(OR(AND(AO$5&gt;0,AO$5&gt;100),AND(AO$5&gt;0,AO$5&lt;100)),
VLOOKUP(FLOOR(('Final Term'!AO71/AO$5)*100,1),new_transmute,2,FALSE),
VLOOKUP('Final Term'!AO71,new_transmute,2,FALSE)
),
IF(Info!$B$4="Board program",
IF(OR(AND(AO$5&gt;0,AO$5&gt;100),AND(AO$5&gt;0,AO$5&lt;100)),
VLOOKUP(FLOOR(('Final Term'!AO71/AO$5)*100,1),new_transmute,3,FALSE),
VLOOKUP('Final Term'!AO71,new_transmute,3,FALSE)
),
IF(Info!$B$4="Board program (Medicine)",
IF(OR(AND(AO$5&gt;0,AO$5&gt;100),AND(AO$5&gt;0,AO$5&lt;100)),
VLOOKUP(FLOOR(('Final Term'!AO71/AO$5)*100,1),new_transmute,4,FALSE),
VLOOKUP('Final Term'!AO71,new_transmute,4,FALSE)
),
""
)
)
)
)
)
)
)
)
))</f>
        <v/>
      </c>
      <c r="AP71" s="73" t="str">
        <f>IF($B71="","",
IF(AP$5="","",
IF('Final Term'!AP71="",0,
IF(NOT(ISNUMBER('Final Term'!AP71)),"NAN",
IF('Final Term'!AP71&lt;0,"NEG",
IF('Final Term'!AP71&gt;AP$5,"OVER",
IF(AND(AP$5&lt;=100,'Final Term'!AP71&gt;100),"ERR",
IF(Info!$B$4="Non-board program",
IF(OR(AND(AP$5&gt;0,AP$5&gt;100),AND(AP$5&gt;0,AP$5&lt;100)),
VLOOKUP(FLOOR(('Final Term'!AP71/AP$5)*100,1),new_transmute,2,FALSE),
VLOOKUP('Final Term'!AP71,new_transmute,2,FALSE)
),
IF(Info!$B$4="Board program",
IF(OR(AND(AP$5&gt;0,AP$5&gt;100),AND(AP$5&gt;0,AP$5&lt;100)),
VLOOKUP(FLOOR(('Final Term'!AP71/AP$5)*100,1),new_transmute,3,FALSE),
VLOOKUP('Final Term'!AP71,new_transmute,3,FALSE)
),
IF(Info!$B$4="Board program (Medicine)",
IF(OR(AND(AP$5&gt;0,AP$5&gt;100),AND(AP$5&gt;0,AP$5&lt;100)),
VLOOKUP(FLOOR(('Final Term'!AP71/AP$5)*100,1),new_transmute,4,FALSE),
VLOOKUP('Final Term'!AP71,new_transmute,4,FALSE)
),
""
)
)
)
)
)
)
)
)
))</f>
        <v/>
      </c>
      <c r="AQ71" s="61" t="str">
        <f t="shared" ref="AQ71:AQ90" si="17">IF(B71="", "", IF(COUNTIF(AM71:AP71, "OVER") &gt; 0, "OVER", IFERROR(AVERAGEIF(AM71:AP71, "&lt;&gt;OVER"), 0)))</f>
        <v/>
      </c>
      <c r="AR71" s="48" t="str">
        <f>IF('Final Term'!AR71="","",'Final Term'!AR71)</f>
        <v/>
      </c>
      <c r="AS71" s="165" t="str">
        <f t="shared" ref="AS71:AS90" si="18">IF(B71="", "",
    IF(E71="DRP",
        "DRP",
        IF(E71="WF",
            "WF",
            IF(E71="INC",
                "INC",
                IFERROR(SUM(G71*$G$4, M71*$M$4, S71*$S$4, Y71*$Y$4, AE71*$AE$4, AK71*$AK$4, AQ71*$AQ$4, AR71), "ERR")
            )
        )
    )
)</f>
        <v/>
      </c>
      <c r="AT71" s="14" t="str">
        <f t="shared" si="10"/>
        <v/>
      </c>
      <c r="AU71" s="13" t="str">
        <f>IF(B71="","",VLOOKUP(AT71,'New Grade Equivalent'!$B$3:$C$47,2,FALSE))</f>
        <v/>
      </c>
    </row>
    <row r="72" spans="1:47" x14ac:dyDescent="0.25">
      <c r="A72" s="8">
        <v>67</v>
      </c>
      <c r="B72" s="2" t="str">
        <f>IF('Student List'!C76="","",UPPER(LEFT('Student List'!C76,FIND(",",'Student List'!C76)-1)))</f>
        <v/>
      </c>
      <c r="C72" s="12" t="str">
        <f>IF('Student List'!C76="","",PROPER(MID('Student List'!C76, FIND(",", 'Student List'!C76) + 2, LEN('Student List'!C76) - FIND(",", 'Student List'!C76) - 1)))</f>
        <v/>
      </c>
      <c r="D72" s="127" t="str">
        <f>IF('Final Term'!D72="","",'Final Term'!D72)</f>
        <v/>
      </c>
      <c r="E72" s="8" t="str">
        <f>IF(MidCom!E72="FA", "FA",
    IF(MidCom!E72="DRP", "DRP",
        IF(MidCom!E72="WF", "WF",
            IF(D72="Yes", "INC",
               IF((SUM('MT Attendance'!AW70) / 3 + SUM('MT Attendance'!AY70) + SUM('FT Attendance'!AW70) / 3 + SUM('FT Attendance'!AY70)) &gt;= 0.2 * (SUMPRODUCT(--(ISTEXT('MT Attendance'!$C$2:$AU$2))) + SUMPRODUCT(--(ISTEXT('FT Attendance'!$C$2:$AU$2)))), "FA",
                   MidCom!E72
                )
            )
        )
    )
)</f>
        <v/>
      </c>
      <c r="F72" s="73" t="str">
        <f>IF($B72="","",
IF(F$5="","",
IF('Final Term'!F72="",0,
IF(NOT(ISNUMBER('Final Term'!F72)),"NAN",
IF('Final Term'!F72&lt;0,"NEG",
IF('Final Term'!F72&gt;F$5,"OVER",
IF(AND(F$5&lt;=100,'Final Term'!F72&gt;100),"ERR",
IF(Info!$B$4="Non-board program",
IF(OR(AND(F$5&gt;0,F$5&gt;100),AND(F$5&gt;0,F$5&lt;100)),
VLOOKUP(FLOOR(('Final Term'!F72/F$5)*100,1),new_transmute,2,FALSE),
VLOOKUP('Final Term'!F72,new_transmute,2,FALSE)
),
IF(Info!$B$4="Board program",
IF(OR(AND(F$5&gt;0,F$5&gt;100),AND(F$5&gt;0,F$5&lt;100)),
VLOOKUP(FLOOR(('Final Term'!F72/F$5)*100,1),new_transmute,3,FALSE),
VLOOKUP('Final Term'!F72,new_transmute,3,FALSE)
),
IF(Info!$B$4="Board program (Medicine)",
IF(OR(AND(F$5&gt;0,F$5&gt;100),AND(F$5&gt;0,F$5&lt;100)),
VLOOKUP(FLOOR(('Final Term'!F72/F$5)*100,1),new_transmute,4,FALSE),
VLOOKUP('Final Term'!F72,new_transmute,4,FALSE)
),
""
)
)
)
)
)
)
)
)
))</f>
        <v/>
      </c>
      <c r="G72" s="57" t="str">
        <f t="shared" si="11"/>
        <v/>
      </c>
      <c r="H72" s="73" t="str">
        <f>IF($B72="","",
IF(H$5="","",
IF('Final Term'!H72="",0,
IF(NOT(ISNUMBER('Final Term'!H72)),"NAN",
IF('Final Term'!H72&lt;0,"NEG",
IF('Final Term'!H72&gt;H$5,"OVER",
IF(AND(H$5&lt;=100,'Final Term'!H72&gt;100),"ERR",
IF(Info!$B$4="Non-board program",
IF(OR(AND(H$5&gt;0,H$5&gt;100),AND(H$5&gt;0,H$5&lt;100)),
VLOOKUP(FLOOR(('Final Term'!H72/H$5)*100,1),new_transmute,2,FALSE),
VLOOKUP('Final Term'!H72,new_transmute,2,FALSE)
),
IF(Info!$B$4="Board program",
IF(OR(AND(H$5&gt;0,H$5&gt;100),AND(H$5&gt;0,H$5&lt;100)),
VLOOKUP(FLOOR(('Final Term'!H72/H$5)*100,1),new_transmute,3,FALSE),
VLOOKUP('Final Term'!H72,new_transmute,3,FALSE)
),
IF(Info!$B$4="Board program (Medicine)",
IF(OR(AND(H$5&gt;0,H$5&gt;100),AND(H$5&gt;0,H$5&lt;100)),
VLOOKUP(FLOOR(('Final Term'!H72/H$5)*100,1),new_transmute,4,FALSE),
VLOOKUP('Final Term'!H72,new_transmute,4,FALSE)
),
""
)
)
)
)
)
)
)
)
))</f>
        <v/>
      </c>
      <c r="I72" s="73" t="str">
        <f>IF($B72="","",
IF(I$5="","",
IF('Final Term'!I72="",0,
IF(NOT(ISNUMBER('Final Term'!I72)),"NAN",
IF('Final Term'!I72&lt;0,"NEG",
IF('Final Term'!I72&gt;I$5,"OVER",
IF(AND(I$5&lt;=100,'Final Term'!I72&gt;100),"ERR",
IF(Info!$B$4="Non-board program",
IF(OR(AND(I$5&gt;0,I$5&gt;100),AND(I$5&gt;0,I$5&lt;100)),
VLOOKUP(FLOOR(('Final Term'!I72/I$5)*100,1),new_transmute,2,FALSE),
VLOOKUP('Final Term'!I72,new_transmute,2,FALSE)
),
IF(Info!$B$4="Board program",
IF(OR(AND(I$5&gt;0,I$5&gt;100),AND(I$5&gt;0,I$5&lt;100)),
VLOOKUP(FLOOR(('Final Term'!I72/I$5)*100,1),new_transmute,3,FALSE),
VLOOKUP('Final Term'!I72,new_transmute,3,FALSE)
),
IF(Info!$B$4="Board program (Medicine)",
IF(OR(AND(I$5&gt;0,I$5&gt;100),AND(I$5&gt;0,I$5&lt;100)),
VLOOKUP(FLOOR(('Final Term'!I72/I$5)*100,1),new_transmute,4,FALSE),
VLOOKUP('Final Term'!I72,new_transmute,4,FALSE)
),
""
)
)
)
)
)
)
)
)
))</f>
        <v/>
      </c>
      <c r="J72" s="73" t="str">
        <f>IF($B72="","",
IF(J$5="","",
IF('Final Term'!J72="",0,
IF(NOT(ISNUMBER('Final Term'!J72)),"NAN",
IF('Final Term'!J72&lt;0,"NEG",
IF('Final Term'!J72&gt;J$5,"OVER",
IF(AND(J$5&lt;=100,'Final Term'!J72&gt;100),"ERR",
IF(Info!$B$4="Non-board program",
IF(OR(AND(J$5&gt;0,J$5&gt;100),AND(J$5&gt;0,J$5&lt;100)),
VLOOKUP(FLOOR(('Final Term'!J72/J$5)*100,1),new_transmute,2,FALSE),
VLOOKUP('Final Term'!J72,new_transmute,2,FALSE)
),
IF(Info!$B$4="Board program",
IF(OR(AND(J$5&gt;0,J$5&gt;100),AND(J$5&gt;0,J$5&lt;100)),
VLOOKUP(FLOOR(('Final Term'!J72/J$5)*100,1),new_transmute,3,FALSE),
VLOOKUP('Final Term'!J72,new_transmute,3,FALSE)
),
IF(Info!$B$4="Board program (Medicine)",
IF(OR(AND(J$5&gt;0,J$5&gt;100),AND(J$5&gt;0,J$5&lt;100)),
VLOOKUP(FLOOR(('Final Term'!J72/J$5)*100,1),new_transmute,4,FALSE),
VLOOKUP('Final Term'!J72,new_transmute,4,FALSE)
),
""
)
)
)
)
)
)
)
)
))</f>
        <v/>
      </c>
      <c r="K72" s="73" t="str">
        <f>IF($B72="","",
IF(K$5="","",
IF('Final Term'!K72="",0,
IF(NOT(ISNUMBER('Final Term'!K72)),"NAN",
IF('Final Term'!K72&lt;0,"NEG",
IF('Final Term'!K72&gt;K$5,"OVER",
IF(AND(K$5&lt;=100,'Final Term'!K72&gt;100),"ERR",
IF(Info!$B$4="Non-board program",
IF(OR(AND(K$5&gt;0,K$5&gt;100),AND(K$5&gt;0,K$5&lt;100)),
VLOOKUP(FLOOR(('Final Term'!K72/K$5)*100,1),new_transmute,2,FALSE),
VLOOKUP('Final Term'!K72,new_transmute,2,FALSE)
),
IF(Info!$B$4="Board program",
IF(OR(AND(K$5&gt;0,K$5&gt;100),AND(K$5&gt;0,K$5&lt;100)),
VLOOKUP(FLOOR(('Final Term'!K72/K$5)*100,1),new_transmute,3,FALSE),
VLOOKUP('Final Term'!K72,new_transmute,3,FALSE)
),
IF(Info!$B$4="Board program (Medicine)",
IF(OR(AND(K$5&gt;0,K$5&gt;100),AND(K$5&gt;0,K$5&lt;100)),
VLOOKUP(FLOOR(('Final Term'!K72/K$5)*100,1),new_transmute,4,FALSE),
VLOOKUP('Final Term'!K72,new_transmute,4,FALSE)
),
""
)
)
)
)
)
)
)
)
))</f>
        <v/>
      </c>
      <c r="L72" s="73" t="str">
        <f>IF($B72="","",
IF(L$5="","",
IF('Final Term'!L72="",0,
IF(NOT(ISNUMBER('Final Term'!L72)),"NAN",
IF('Final Term'!L72&lt;0,"NEG",
IF('Final Term'!L72&gt;L$5,"OVER",
IF(AND(L$5&lt;=100,'Final Term'!L72&gt;100),"ERR",
IF(Info!$B$4="Non-board program",
IF(OR(AND(L$5&gt;0,L$5&gt;100),AND(L$5&gt;0,L$5&lt;100)),
VLOOKUP(FLOOR(('Final Term'!L72/L$5)*100,1),new_transmute,2,FALSE),
VLOOKUP('Final Term'!L72,new_transmute,2,FALSE)
),
IF(Info!$B$4="Board program",
IF(OR(AND(L$5&gt;0,L$5&gt;100),AND(L$5&gt;0,L$5&lt;100)),
VLOOKUP(FLOOR(('Final Term'!L72/L$5)*100,1),new_transmute,3,FALSE),
VLOOKUP('Final Term'!L72,new_transmute,3,FALSE)
),
IF(Info!$B$4="Board program (Medicine)",
IF(OR(AND(L$5&gt;0,L$5&gt;100),AND(L$5&gt;0,L$5&lt;100)),
VLOOKUP(FLOOR(('Final Term'!L72/L$5)*100,1),new_transmute,4,FALSE),
VLOOKUP('Final Term'!L72,new_transmute,4,FALSE)
),
""
)
)
)
)
)
)
)
)
))</f>
        <v/>
      </c>
      <c r="M72" s="111" t="str">
        <f t="shared" si="12"/>
        <v/>
      </c>
      <c r="N72" s="73" t="str">
        <f>IF($B72="","",
IF(N$5="","",
IF('Final Term'!N72="",0,
IF(NOT(ISNUMBER('Final Term'!N72)),"NAN",
IF('Final Term'!N72&lt;0,"NEG",
IF('Final Term'!N72&gt;N$5,"OVER",
IF(AND(N$5&lt;=100,'Final Term'!N72&gt;100),"ERR",
IF(Info!$B$4="Non-board program",
IF(OR(AND(N$5&gt;0,N$5&gt;100),AND(N$5&gt;0,N$5&lt;100)),
VLOOKUP(FLOOR(('Final Term'!N72/N$5)*100,1),new_transmute,2,FALSE),
VLOOKUP('Final Term'!N72,new_transmute,2,FALSE)
),
IF(Info!$B$4="Board program",
IF(OR(AND(N$5&gt;0,N$5&gt;100),AND(N$5&gt;0,N$5&lt;100)),
VLOOKUP(FLOOR(('Final Term'!N72/N$5)*100,1),new_transmute,3,FALSE),
VLOOKUP('Final Term'!N72,new_transmute,3,FALSE)
),
IF(Info!$B$4="Board program (Medicine)",
IF(OR(AND(N$5&gt;0,N$5&gt;100),AND(N$5&gt;0,N$5&lt;100)),
VLOOKUP(FLOOR(('Final Term'!N72/N$5)*100,1),new_transmute,4,FALSE),
VLOOKUP('Final Term'!N72,new_transmute,4,FALSE)
),
""
)
)
)
)
)
)
)
)
))</f>
        <v/>
      </c>
      <c r="O72" s="73" t="str">
        <f>IF($B72="","",
IF(O$5="","",
IF('Final Term'!O72="",0,
IF(NOT(ISNUMBER('Final Term'!O72)),"NAN",
IF('Final Term'!O72&lt;0,"NEG",
IF('Final Term'!O72&gt;O$5,"OVER",
IF(AND(O$5&lt;=100,'Final Term'!O72&gt;100),"ERR",
IF(Info!$B$4="Non-board program",
IF(OR(AND(O$5&gt;0,O$5&gt;100),AND(O$5&gt;0,O$5&lt;100)),
VLOOKUP(FLOOR(('Final Term'!O72/O$5)*100,1),new_transmute,2,FALSE),
VLOOKUP('Final Term'!O72,new_transmute,2,FALSE)
),
IF(Info!$B$4="Board program",
IF(OR(AND(O$5&gt;0,O$5&gt;100),AND(O$5&gt;0,O$5&lt;100)),
VLOOKUP(FLOOR(('Final Term'!O72/O$5)*100,1),new_transmute,3,FALSE),
VLOOKUP('Final Term'!O72,new_transmute,3,FALSE)
),
IF(Info!$B$4="Board program (Medicine)",
IF(OR(AND(O$5&gt;0,O$5&gt;100),AND(O$5&gt;0,O$5&lt;100)),
VLOOKUP(FLOOR(('Final Term'!O72/O$5)*100,1),new_transmute,4,FALSE),
VLOOKUP('Final Term'!O72,new_transmute,4,FALSE)
),
""
)
)
)
)
)
)
)
)
))</f>
        <v/>
      </c>
      <c r="P72" s="73" t="str">
        <f>IF($B72="","",
IF(P$5="","",
IF('Final Term'!P72="",0,
IF(NOT(ISNUMBER('Final Term'!P72)),"NAN",
IF('Final Term'!P72&lt;0,"NEG",
IF('Final Term'!P72&gt;P$5,"OVER",
IF(AND(P$5&lt;=100,'Final Term'!P72&gt;100),"ERR",
IF(Info!$B$4="Non-board program",
IF(OR(AND(P$5&gt;0,P$5&gt;100),AND(P$5&gt;0,P$5&lt;100)),
VLOOKUP(FLOOR(('Final Term'!P72/P$5)*100,1),new_transmute,2,FALSE),
VLOOKUP('Final Term'!P72,new_transmute,2,FALSE)
),
IF(Info!$B$4="Board program",
IF(OR(AND(P$5&gt;0,P$5&gt;100),AND(P$5&gt;0,P$5&lt;100)),
VLOOKUP(FLOOR(('Final Term'!P72/P$5)*100,1),new_transmute,3,FALSE),
VLOOKUP('Final Term'!P72,new_transmute,3,FALSE)
),
IF(Info!$B$4="Board program (Medicine)",
IF(OR(AND(P$5&gt;0,P$5&gt;100),AND(P$5&gt;0,P$5&lt;100)),
VLOOKUP(FLOOR(('Final Term'!P72/P$5)*100,1),new_transmute,4,FALSE),
VLOOKUP('Final Term'!P72,new_transmute,4,FALSE)
),
""
)
)
)
)
)
)
)
)
))</f>
        <v/>
      </c>
      <c r="Q72" s="73" t="str">
        <f>IF($B72="","",
IF(Q$5="","",
IF('Final Term'!Q72="",0,
IF(NOT(ISNUMBER('Final Term'!Q72)),"NAN",
IF('Final Term'!Q72&lt;0,"NEG",
IF('Final Term'!Q72&gt;Q$5,"OVER",
IF(AND(Q$5&lt;=100,'Final Term'!Q72&gt;100),"ERR",
IF(Info!$B$4="Non-board program",
IF(OR(AND(Q$5&gt;0,Q$5&gt;100),AND(Q$5&gt;0,Q$5&lt;100)),
VLOOKUP(FLOOR(('Final Term'!Q72/Q$5)*100,1),new_transmute,2,FALSE),
VLOOKUP('Final Term'!Q72,new_transmute,2,FALSE)
),
IF(Info!$B$4="Board program",
IF(OR(AND(Q$5&gt;0,Q$5&gt;100),AND(Q$5&gt;0,Q$5&lt;100)),
VLOOKUP(FLOOR(('Final Term'!Q72/Q$5)*100,1),new_transmute,3,FALSE),
VLOOKUP('Final Term'!Q72,new_transmute,3,FALSE)
),
IF(Info!$B$4="Board program (Medicine)",
IF(OR(AND(Q$5&gt;0,Q$5&gt;100),AND(Q$5&gt;0,Q$5&lt;100)),
VLOOKUP(FLOOR(('Final Term'!Q72/Q$5)*100,1),new_transmute,4,FALSE),
VLOOKUP('Final Term'!Q72,new_transmute,4,FALSE)
),
""
)
)
)
)
)
)
)
)
))</f>
        <v/>
      </c>
      <c r="R72" s="73" t="str">
        <f>IF($B72="","",
IF(R$5="","",
IF('Final Term'!R72="",0,
IF(NOT(ISNUMBER('Final Term'!R72)),"NAN",
IF('Final Term'!R72&lt;0,"NEG",
IF('Final Term'!R72&gt;R$5,"OVER",
IF(AND(R$5&lt;=100,'Final Term'!R72&gt;100),"ERR",
IF(Info!$B$4="Non-board program",
IF(OR(AND(R$5&gt;0,R$5&gt;100),AND(R$5&gt;0,R$5&lt;100)),
VLOOKUP(FLOOR(('Final Term'!R72/R$5)*100,1),new_transmute,2,FALSE),
VLOOKUP('Final Term'!R72,new_transmute,2,FALSE)
),
IF(Info!$B$4="Board program",
IF(OR(AND(R$5&gt;0,R$5&gt;100),AND(R$5&gt;0,R$5&lt;100)),
VLOOKUP(FLOOR(('Final Term'!R72/R$5)*100,1),new_transmute,3,FALSE),
VLOOKUP('Final Term'!R72,new_transmute,3,FALSE)
),
IF(Info!$B$4="Board program (Medicine)",
IF(OR(AND(R$5&gt;0,R$5&gt;100),AND(R$5&gt;0,R$5&lt;100)),
VLOOKUP(FLOOR(('Final Term'!R72/R$5)*100,1),new_transmute,4,FALSE),
VLOOKUP('Final Term'!R72,new_transmute,4,FALSE)
),
""
)
)
)
)
)
)
)
)
))</f>
        <v/>
      </c>
      <c r="S72" s="115" t="str">
        <f t="shared" si="13"/>
        <v/>
      </c>
      <c r="T72" s="73" t="str">
        <f>IF($B72="","",
IF(T$5="","",
IF('Final Term'!T72="",0,
IF(NOT(ISNUMBER('Final Term'!T72)),"NAN",
IF('Final Term'!T72&lt;0,"NEG",
IF('Final Term'!T72&gt;T$5,"OVER",
IF(AND(T$5&lt;=100,'Final Term'!T72&gt;100),"ERR",
IF(Info!$B$4="Non-board program",
IF(OR(AND(T$5&gt;0,T$5&gt;100),AND(T$5&gt;0,T$5&lt;100)),
VLOOKUP(FLOOR(('Final Term'!T72/T$5)*100,1),new_transmute,2,FALSE),
VLOOKUP('Final Term'!T72,new_transmute,2,FALSE)
),
IF(Info!$B$4="Board program",
IF(OR(AND(T$5&gt;0,T$5&gt;100),AND(T$5&gt;0,T$5&lt;100)),
VLOOKUP(FLOOR(('Final Term'!T72/T$5)*100,1),new_transmute,3,FALSE),
VLOOKUP('Final Term'!T72,new_transmute,3,FALSE)
),
IF(Info!$B$4="Board program (Medicine)",
IF(OR(AND(T$5&gt;0,T$5&gt;100),AND(T$5&gt;0,T$5&lt;100)),
VLOOKUP(FLOOR(('Final Term'!T72/T$5)*100,1),new_transmute,4,FALSE),
VLOOKUP('Final Term'!T72,new_transmute,4,FALSE)
),
""
)
)
)
)
)
)
)
)
))</f>
        <v/>
      </c>
      <c r="U72" s="73" t="str">
        <f>IF($B72="","",
IF(U$5="","",
IF('Final Term'!U72="",0,
IF(NOT(ISNUMBER('Final Term'!U72)),"NAN",
IF('Final Term'!U72&lt;0,"NEG",
IF('Final Term'!U72&gt;U$5,"OVER",
IF(AND(U$5&lt;=100,'Final Term'!U72&gt;100),"ERR",
IF(Info!$B$4="Non-board program",
IF(OR(AND(U$5&gt;0,U$5&gt;100),AND(U$5&gt;0,U$5&lt;100)),
VLOOKUP(FLOOR(('Final Term'!U72/U$5)*100,1),new_transmute,2,FALSE),
VLOOKUP('Final Term'!U72,new_transmute,2,FALSE)
),
IF(Info!$B$4="Board program",
IF(OR(AND(U$5&gt;0,U$5&gt;100),AND(U$5&gt;0,U$5&lt;100)),
VLOOKUP(FLOOR(('Final Term'!U72/U$5)*100,1),new_transmute,3,FALSE),
VLOOKUP('Final Term'!U72,new_transmute,3,FALSE)
),
IF(Info!$B$4="Board program (Medicine)",
IF(OR(AND(U$5&gt;0,U$5&gt;100),AND(U$5&gt;0,U$5&lt;100)),
VLOOKUP(FLOOR(('Final Term'!U72/U$5)*100,1),new_transmute,4,FALSE),
VLOOKUP('Final Term'!U72,new_transmute,4,FALSE)
),
""
)
)
)
)
)
)
)
)
))</f>
        <v/>
      </c>
      <c r="V72" s="73" t="str">
        <f>IF($B72="","",
IF(V$5="","",
IF('Final Term'!V72="",0,
IF(NOT(ISNUMBER('Final Term'!V72)),"NAN",
IF('Final Term'!V72&lt;0,"NEG",
IF('Final Term'!V72&gt;V$5,"OVER",
IF(AND(V$5&lt;=100,'Final Term'!V72&gt;100),"ERR",
IF(Info!$B$4="Non-board program",
IF(OR(AND(V$5&gt;0,V$5&gt;100),AND(V$5&gt;0,V$5&lt;100)),
VLOOKUP(FLOOR(('Final Term'!V72/V$5)*100,1),new_transmute,2,FALSE),
VLOOKUP('Final Term'!V72,new_transmute,2,FALSE)
),
IF(Info!$B$4="Board program",
IF(OR(AND(V$5&gt;0,V$5&gt;100),AND(V$5&gt;0,V$5&lt;100)),
VLOOKUP(FLOOR(('Final Term'!V72/V$5)*100,1),new_transmute,3,FALSE),
VLOOKUP('Final Term'!V72,new_transmute,3,FALSE)
),
IF(Info!$B$4="Board program (Medicine)",
IF(OR(AND(V$5&gt;0,V$5&gt;100),AND(V$5&gt;0,V$5&lt;100)),
VLOOKUP(FLOOR(('Final Term'!V72/V$5)*100,1),new_transmute,4,FALSE),
VLOOKUP('Final Term'!V72,new_transmute,4,FALSE)
),
""
)
)
)
)
)
)
)
)
))</f>
        <v/>
      </c>
      <c r="W72" s="73" t="str">
        <f>IF($B72="","",
IF(W$5="","",
IF('Final Term'!W72="",0,
IF(NOT(ISNUMBER('Final Term'!W72)),"NAN",
IF('Final Term'!W72&lt;0,"NEG",
IF('Final Term'!W72&gt;W$5,"OVER",
IF(AND(W$5&lt;=100,'Final Term'!W72&gt;100),"ERR",
IF(Info!$B$4="Non-board program",
IF(OR(AND(W$5&gt;0,W$5&gt;100),AND(W$5&gt;0,W$5&lt;100)),
VLOOKUP(FLOOR(('Final Term'!W72/W$5)*100,1),new_transmute,2,FALSE),
VLOOKUP('Final Term'!W72,new_transmute,2,FALSE)
),
IF(Info!$B$4="Board program",
IF(OR(AND(W$5&gt;0,W$5&gt;100),AND(W$5&gt;0,W$5&lt;100)),
VLOOKUP(FLOOR(('Final Term'!W72/W$5)*100,1),new_transmute,3,FALSE),
VLOOKUP('Final Term'!W72,new_transmute,3,FALSE)
),
IF(Info!$B$4="Board program (Medicine)",
IF(OR(AND(W$5&gt;0,W$5&gt;100),AND(W$5&gt;0,W$5&lt;100)),
VLOOKUP(FLOOR(('Final Term'!W72/W$5)*100,1),new_transmute,4,FALSE),
VLOOKUP('Final Term'!W72,new_transmute,4,FALSE)
),
""
)
)
)
)
)
)
)
)
))</f>
        <v/>
      </c>
      <c r="X72" s="73" t="str">
        <f>IF($B72="","",
IF(X$5="","",
IF('Final Term'!X72="",0,
IF(NOT(ISNUMBER('Final Term'!X72)),"NAN",
IF('Final Term'!X72&lt;0,"NEG",
IF('Final Term'!X72&gt;X$5,"OVER",
IF(AND(X$5&lt;=100,'Final Term'!X72&gt;100),"ERR",
IF(Info!$B$4="Non-board program",
IF(OR(AND(X$5&gt;0,X$5&gt;100),AND(X$5&gt;0,X$5&lt;100)),
VLOOKUP(FLOOR(('Final Term'!X72/X$5)*100,1),new_transmute,2,FALSE),
VLOOKUP('Final Term'!X72,new_transmute,2,FALSE)
),
IF(Info!$B$4="Board program",
IF(OR(AND(X$5&gt;0,X$5&gt;100),AND(X$5&gt;0,X$5&lt;100)),
VLOOKUP(FLOOR(('Final Term'!X72/X$5)*100,1),new_transmute,3,FALSE),
VLOOKUP('Final Term'!X72,new_transmute,3,FALSE)
),
IF(Info!$B$4="Board program (Medicine)",
IF(OR(AND(X$5&gt;0,X$5&gt;100),AND(X$5&gt;0,X$5&lt;100)),
VLOOKUP(FLOOR(('Final Term'!X72/X$5)*100,1),new_transmute,4,FALSE),
VLOOKUP('Final Term'!X72,new_transmute,4,FALSE)
),
""
)
)
)
)
)
)
)
)
))</f>
        <v/>
      </c>
      <c r="Y72" s="112" t="str">
        <f t="shared" si="14"/>
        <v/>
      </c>
      <c r="Z72" s="73" t="str">
        <f>IF($B72="","",
IF(Z$5="","",
IF('Final Term'!Z72="",0,
IF(NOT(ISNUMBER('Final Term'!Z72)),"NAN",
IF('Final Term'!Z72&lt;0,"NEG",
IF('Final Term'!Z72&gt;Z$5,"OVER",
IF(AND(Z$5&lt;=100,'Final Term'!Z72&gt;100),"ERR",
IF(Info!$B$4="Non-board program",
IF(OR(AND(Z$5&gt;0,Z$5&gt;100),AND(Z$5&gt;0,Z$5&lt;100)),
VLOOKUP(FLOOR(('Final Term'!Z72/Z$5)*100,1),new_transmute,2,FALSE),
VLOOKUP('Final Term'!Z72,new_transmute,2,FALSE)
),
IF(Info!$B$4="Board program",
IF(OR(AND(Z$5&gt;0,Z$5&gt;100),AND(Z$5&gt;0,Z$5&lt;100)),
VLOOKUP(FLOOR(('Final Term'!Z72/Z$5)*100,1),new_transmute,3,FALSE),
VLOOKUP('Final Term'!Z72,new_transmute,3,FALSE)
),
IF(Info!$B$4="Board program (Medicine)",
IF(OR(AND(Z$5&gt;0,Z$5&gt;100),AND(Z$5&gt;0,Z$5&lt;100)),
VLOOKUP(FLOOR(('Final Term'!Z72/Z$5)*100,1),new_transmute,4,FALSE),
VLOOKUP('Final Term'!Z72,new_transmute,4,FALSE)
),
""
)
)
)
)
)
)
)
)
))</f>
        <v/>
      </c>
      <c r="AA72" s="73" t="str">
        <f>IF($B72="","",
IF(AA$5="","",
IF('Final Term'!AA72="",0,
IF(NOT(ISNUMBER('Final Term'!AA72)),"NAN",
IF('Final Term'!AA72&lt;0,"NEG",
IF('Final Term'!AA72&gt;AA$5,"OVER",
IF(AND(AA$5&lt;=100,'Final Term'!AA72&gt;100),"ERR",
IF(Info!$B$4="Non-board program",
IF(OR(AND(AA$5&gt;0,AA$5&gt;100),AND(AA$5&gt;0,AA$5&lt;100)),
VLOOKUP(FLOOR(('Final Term'!AA72/AA$5)*100,1),new_transmute,2,FALSE),
VLOOKUP('Final Term'!AA72,new_transmute,2,FALSE)
),
IF(Info!$B$4="Board program",
IF(OR(AND(AA$5&gt;0,AA$5&gt;100),AND(AA$5&gt;0,AA$5&lt;100)),
VLOOKUP(FLOOR(('Final Term'!AA72/AA$5)*100,1),new_transmute,3,FALSE),
VLOOKUP('Final Term'!AA72,new_transmute,3,FALSE)
),
IF(Info!$B$4="Board program (Medicine)",
IF(OR(AND(AA$5&gt;0,AA$5&gt;100),AND(AA$5&gt;0,AA$5&lt;100)),
VLOOKUP(FLOOR(('Final Term'!AA72/AA$5)*100,1),new_transmute,4,FALSE),
VLOOKUP('Final Term'!AA72,new_transmute,4,FALSE)
),
""
)
)
)
)
)
)
)
)
))</f>
        <v/>
      </c>
      <c r="AB72" s="73" t="str">
        <f>IF($B72="","",
IF(AB$5="","",
IF('Final Term'!AB72="",0,
IF(NOT(ISNUMBER('Final Term'!AB72)),"NAN",
IF('Final Term'!AB72&lt;0,"NEG",
IF('Final Term'!AB72&gt;AB$5,"OVER",
IF(AND(AB$5&lt;=100,'Final Term'!AB72&gt;100),"ERR",
IF(Info!$B$4="Non-board program",
IF(OR(AND(AB$5&gt;0,AB$5&gt;100),AND(AB$5&gt;0,AB$5&lt;100)),
VLOOKUP(FLOOR(('Final Term'!AB72/AB$5)*100,1),new_transmute,2,FALSE),
VLOOKUP('Final Term'!AB72,new_transmute,2,FALSE)
),
IF(Info!$B$4="Board program",
IF(OR(AND(AB$5&gt;0,AB$5&gt;100),AND(AB$5&gt;0,AB$5&lt;100)),
VLOOKUP(FLOOR(('Final Term'!AB72/AB$5)*100,1),new_transmute,3,FALSE),
VLOOKUP('Final Term'!AB72,new_transmute,3,FALSE)
),
IF(Info!$B$4="Board program (Medicine)",
IF(OR(AND(AB$5&gt;0,AB$5&gt;100),AND(AB$5&gt;0,AB$5&lt;100)),
VLOOKUP(FLOOR(('Final Term'!AB72/AB$5)*100,1),new_transmute,4,FALSE),
VLOOKUP('Final Term'!AB72,new_transmute,4,FALSE)
),
""
)
)
)
)
)
)
)
)
))</f>
        <v/>
      </c>
      <c r="AC72" s="73" t="str">
        <f>IF($B72="","",
IF(AC$5="","",
IF('Final Term'!AC72="",0,
IF(NOT(ISNUMBER('Final Term'!AC72)),"NAN",
IF('Final Term'!AC72&lt;0,"NEG",
IF('Final Term'!AC72&gt;AC$5,"OVER",
IF(AND(AC$5&lt;=100,'Final Term'!AC72&gt;100),"ERR",
IF(Info!$B$4="Non-board program",
IF(OR(AND(AC$5&gt;0,AC$5&gt;100),AND(AC$5&gt;0,AC$5&lt;100)),
VLOOKUP(FLOOR(('Final Term'!AC72/AC$5)*100,1),new_transmute,2,FALSE),
VLOOKUP('Final Term'!AC72,new_transmute,2,FALSE)
),
IF(Info!$B$4="Board program",
IF(OR(AND(AC$5&gt;0,AC$5&gt;100),AND(AC$5&gt;0,AC$5&lt;100)),
VLOOKUP(FLOOR(('Final Term'!AC72/AC$5)*100,1),new_transmute,3,FALSE),
VLOOKUP('Final Term'!AC72,new_transmute,3,FALSE)
),
IF(Info!$B$4="Board program (Medicine)",
IF(OR(AND(AC$5&gt;0,AC$5&gt;100),AND(AC$5&gt;0,AC$5&lt;100)),
VLOOKUP(FLOOR(('Final Term'!AC72/AC$5)*100,1),new_transmute,4,FALSE),
VLOOKUP('Final Term'!AC72,new_transmute,4,FALSE)
),
""
)
)
)
)
)
)
)
)
))</f>
        <v/>
      </c>
      <c r="AD72" s="73" t="str">
        <f>IF($B72="","",
IF(AD$5="","",
IF('Final Term'!AD72="",0,
IF(NOT(ISNUMBER('Final Term'!AD72)),"NAN",
IF('Final Term'!AD72&lt;0,"NEG",
IF('Final Term'!AD72&gt;AD$5,"OVER",
IF(AND(AD$5&lt;=100,'Final Term'!AD72&gt;100),"ERR",
IF(Info!$B$4="Non-board program",
IF(OR(AND(AD$5&gt;0,AD$5&gt;100),AND(AD$5&gt;0,AD$5&lt;100)),
VLOOKUP(FLOOR(('Final Term'!AD72/AD$5)*100,1),new_transmute,2,FALSE),
VLOOKUP('Final Term'!AD72,new_transmute,2,FALSE)
),
IF(Info!$B$4="Board program",
IF(OR(AND(AD$5&gt;0,AD$5&gt;100),AND(AD$5&gt;0,AD$5&lt;100)),
VLOOKUP(FLOOR(('Final Term'!AD72/AD$5)*100,1),new_transmute,3,FALSE),
VLOOKUP('Final Term'!AD72,new_transmute,3,FALSE)
),
IF(Info!$B$4="Board program (Medicine)",
IF(OR(AND(AD$5&gt;0,AD$5&gt;100),AND(AD$5&gt;0,AD$5&lt;100)),
VLOOKUP(FLOOR(('Final Term'!AD72/AD$5)*100,1),new_transmute,4,FALSE),
VLOOKUP('Final Term'!AD72,new_transmute,4,FALSE)
),
""
)
)
)
)
)
)
)
)
))</f>
        <v/>
      </c>
      <c r="AE72" s="58" t="str">
        <f t="shared" si="15"/>
        <v/>
      </c>
      <c r="AF72" s="73" t="str">
        <f>IF($B72="","",
IF(AF$5="","",
IF('Final Term'!AF72="",0,
IF(NOT(ISNUMBER('Final Term'!AF72)),"NAN",
IF('Final Term'!AF72&lt;0,"NEG",
IF('Final Term'!AF72&gt;AF$5,"OVER",
IF(AND(AF$5&lt;=100,'Final Term'!AF72&gt;100),"ERR",
IF(Info!$B$4="Non-board program",
IF(OR(AND(AF$5&gt;0,AF$5&gt;100),AND(AF$5&gt;0,AF$5&lt;100)),
VLOOKUP(FLOOR(('Final Term'!AF72/AF$5)*100,1),new_transmute,2,FALSE),
VLOOKUP('Final Term'!AF72,new_transmute,2,FALSE)
),
IF(Info!$B$4="Board program",
IF(OR(AND(AF$5&gt;0,AF$5&gt;100),AND(AF$5&gt;0,AF$5&lt;100)),
VLOOKUP(FLOOR(('Final Term'!AF72/AF$5)*100,1),new_transmute,3,FALSE),
VLOOKUP('Final Term'!AF72,new_transmute,3,FALSE)
),
IF(Info!$B$4="Board program (Medicine)",
IF(OR(AND(AF$5&gt;0,AF$5&gt;100),AND(AF$5&gt;0,AF$5&lt;100)),
VLOOKUP(FLOOR(('Final Term'!AF72/AF$5)*100,1),new_transmute,4,FALSE),
VLOOKUP('Final Term'!AF72,new_transmute,4,FALSE)
),
""
)
)
)
)
)
)
)
)
))</f>
        <v/>
      </c>
      <c r="AG72" s="73" t="str">
        <f>IF($B72="","",
IF(AG$5="","",
IF('Final Term'!AG72="",0,
IF(NOT(ISNUMBER('Final Term'!AG72)),"NAN",
IF('Final Term'!AG72&lt;0,"NEG",
IF('Final Term'!AG72&gt;AG$5,"OVER",
IF(AND(AG$5&lt;=100,'Final Term'!AG72&gt;100),"ERR",
IF(Info!$B$4="Non-board program",
IF(OR(AND(AG$5&gt;0,AG$5&gt;100),AND(AG$5&gt;0,AG$5&lt;100)),
VLOOKUP(FLOOR(('Final Term'!AG72/AG$5)*100,1),new_transmute,2,FALSE),
VLOOKUP('Final Term'!AG72,new_transmute,2,FALSE)
),
IF(Info!$B$4="Board program",
IF(OR(AND(AG$5&gt;0,AG$5&gt;100),AND(AG$5&gt;0,AG$5&lt;100)),
VLOOKUP(FLOOR(('Final Term'!AG72/AG$5)*100,1),new_transmute,3,FALSE),
VLOOKUP('Final Term'!AG72,new_transmute,3,FALSE)
),
IF(Info!$B$4="Board program (Medicine)",
IF(OR(AND(AG$5&gt;0,AG$5&gt;100),AND(AG$5&gt;0,AG$5&lt;100)),
VLOOKUP(FLOOR(('Final Term'!AG72/AG$5)*100,1),new_transmute,4,FALSE),
VLOOKUP('Final Term'!AG72,new_transmute,4,FALSE)
),
""
)
)
)
)
)
)
)
)
))</f>
        <v/>
      </c>
      <c r="AH72" s="73" t="str">
        <f>IF($B72="","",
IF(AH$5="","",
IF('Final Term'!AH72="",0,
IF(NOT(ISNUMBER('Final Term'!AH72)),"NAN",
IF('Final Term'!AH72&lt;0,"NEG",
IF('Final Term'!AH72&gt;AH$5,"OVER",
IF(AND(AH$5&lt;=100,'Final Term'!AH72&gt;100),"ERR",
IF(Info!$B$4="Non-board program",
IF(OR(AND(AH$5&gt;0,AH$5&gt;100),AND(AH$5&gt;0,AH$5&lt;100)),
VLOOKUP(FLOOR(('Final Term'!AH72/AH$5)*100,1),new_transmute,2,FALSE),
VLOOKUP('Final Term'!AH72,new_transmute,2,FALSE)
),
IF(Info!$B$4="Board program",
IF(OR(AND(AH$5&gt;0,AH$5&gt;100),AND(AH$5&gt;0,AH$5&lt;100)),
VLOOKUP(FLOOR(('Final Term'!AH72/AH$5)*100,1),new_transmute,3,FALSE),
VLOOKUP('Final Term'!AH72,new_transmute,3,FALSE)
),
IF(Info!$B$4="Board program (Medicine)",
IF(OR(AND(AH$5&gt;0,AH$5&gt;100),AND(AH$5&gt;0,AH$5&lt;100)),
VLOOKUP(FLOOR(('Final Term'!AH72/AH$5)*100,1),new_transmute,4,FALSE),
VLOOKUP('Final Term'!AH72,new_transmute,4,FALSE)
),
""
)
)
)
)
)
)
)
)
))</f>
        <v/>
      </c>
      <c r="AI72" s="73" t="str">
        <f>IF($B72="","",
IF(AI$5="","",
IF('Final Term'!AI72="",0,
IF(NOT(ISNUMBER('Final Term'!AI72)),"NAN",
IF('Final Term'!AI72&lt;0,"NEG",
IF('Final Term'!AI72&gt;AI$5,"OVER",
IF(AND(AI$5&lt;=100,'Final Term'!AI72&gt;100),"ERR",
IF(Info!$B$4="Non-board program",
IF(OR(AND(AI$5&gt;0,AI$5&gt;100),AND(AI$5&gt;0,AI$5&lt;100)),
VLOOKUP(FLOOR(('Final Term'!AI72/AI$5)*100,1),new_transmute,2,FALSE),
VLOOKUP('Final Term'!AI72,new_transmute,2,FALSE)
),
IF(Info!$B$4="Board program",
IF(OR(AND(AI$5&gt;0,AI$5&gt;100),AND(AI$5&gt;0,AI$5&lt;100)),
VLOOKUP(FLOOR(('Final Term'!AI72/AI$5)*100,1),new_transmute,3,FALSE),
VLOOKUP('Final Term'!AI72,new_transmute,3,FALSE)
),
IF(Info!$B$4="Board program (Medicine)",
IF(OR(AND(AI$5&gt;0,AI$5&gt;100),AND(AI$5&gt;0,AI$5&lt;100)),
VLOOKUP(FLOOR(('Final Term'!AI72/AI$5)*100,1),new_transmute,4,FALSE),
VLOOKUP('Final Term'!AI72,new_transmute,4,FALSE)
),
""
)
)
)
)
)
)
)
)
))</f>
        <v/>
      </c>
      <c r="AJ72" s="73" t="str">
        <f>IF($B72="","",
IF(AJ$5="","",
IF('Final Term'!AJ72="",0,
IF(NOT(ISNUMBER('Final Term'!AJ72)),"NAN",
IF('Final Term'!AJ72&lt;0,"NEG",
IF('Final Term'!AJ72&gt;AJ$5,"OVER",
IF(AND(AJ$5&lt;=100,'Final Term'!AJ72&gt;100),"ERR",
IF(Info!$B$4="Non-board program",
IF(OR(AND(AJ$5&gt;0,AJ$5&gt;100),AND(AJ$5&gt;0,AJ$5&lt;100)),
VLOOKUP(FLOOR(('Final Term'!AJ72/AJ$5)*100,1),new_transmute,2,FALSE),
VLOOKUP('Final Term'!AJ72,new_transmute,2,FALSE)
),
IF(Info!$B$4="Board program",
IF(OR(AND(AJ$5&gt;0,AJ$5&gt;100),AND(AJ$5&gt;0,AJ$5&lt;100)),
VLOOKUP(FLOOR(('Final Term'!AJ72/AJ$5)*100,1),new_transmute,3,FALSE),
VLOOKUP('Final Term'!AJ72,new_transmute,3,FALSE)
),
IF(Info!$B$4="Board program (Medicine)",
IF(OR(AND(AJ$5&gt;0,AJ$5&gt;100),AND(AJ$5&gt;0,AJ$5&lt;100)),
VLOOKUP(FLOOR(('Final Term'!AJ72/AJ$5)*100,1),new_transmute,4,FALSE),
VLOOKUP('Final Term'!AJ72,new_transmute,4,FALSE)
),
""
)
)
)
)
)
)
)
)
))</f>
        <v/>
      </c>
      <c r="AK72" s="59" t="str">
        <f t="shared" si="16"/>
        <v/>
      </c>
      <c r="AL72" s="60" t="str">
        <f>IF(B72="", "",
    IF(OR(M72="OVER", S72="OVER", Y72="OVER", AE72="OVER", AK72="OVER"),
        "OVER",
        IF(Info!$B$4="Non-board program",
            VLOOKUP(IFERROR(FLOOR(SUM((M72*$M$4), (S72*$S$4), (Y72*$Y$4), (AE72*$AE$4), (AK72*$AK$4)) * (100 / 60), 1), 0), new_transmute, 2, FALSE),
            IF(Info!$B$4="Board program",
                VLOOKUP(IFERROR(FLOOR(SUM((M72*$M$4), (S72*$S$4), (Y72*$Y$4), (AE72*$AE$4), (AK72*$AK$4)) * (100 / 60), 1), 0), new_transmute, 3, FALSE),
                IF(Info!$B$4="Board program (Medicine)",
                    VLOOKUP(IFERROR(FLOOR(SUM((M72*$M$4), (S72*$S$4), (Y72*$Y$4), (AE72*$AE$4), (AK72*$AK$4)) * (100 / 60), 1), 0), new_transmute, 4, FALSE),
                    ""
                )
            )
        )
    )
)</f>
        <v/>
      </c>
      <c r="AM72" s="73" t="str">
        <f>IF($B72="","",
IF(AM$5="","",
IF('Final Term'!AM72="",0,
IF(NOT(ISNUMBER('Final Term'!AM72)),"NAN",
IF('Final Term'!AM72&lt;0,"NEG",
IF('Final Term'!AM72&gt;AM$5,"OVER",
IF(AND(AM$5&lt;=100,'Final Term'!AM72&gt;100),"ERR",
IF(Info!$B$4="Non-board program",
IF(OR(AND(AM$5&gt;0,AM$5&gt;100),AND(AM$5&gt;0,AM$5&lt;100)),
VLOOKUP(FLOOR(('Final Term'!AM72/AM$5)*100,1),new_transmute,2,FALSE),
VLOOKUP('Final Term'!AM72,new_transmute,2,FALSE)
),
IF(Info!$B$4="Board program",
IF(OR(AND(AM$5&gt;0,AM$5&gt;100),AND(AM$5&gt;0,AM$5&lt;100)),
VLOOKUP(FLOOR(('Final Term'!AM72/AM$5)*100,1),new_transmute,3,FALSE),
VLOOKUP('Final Term'!AM72,new_transmute,3,FALSE)
),
IF(Info!$B$4="Board program (Medicine)",
IF(OR(AND(AM$5&gt;0,AM$5&gt;100),AND(AM$5&gt;0,AM$5&lt;100)),
VLOOKUP(FLOOR(('Final Term'!AM72/AM$5)*100,1),new_transmute,4,FALSE),
VLOOKUP('Final Term'!AM72,new_transmute,4,FALSE)
),
""
)
)
)
)
)
)
)
)
))</f>
        <v/>
      </c>
      <c r="AN72" s="73" t="str">
        <f>IF($B72="","",
IF(AN$5="","",
IF('Final Term'!AN72="",0,
IF(NOT(ISNUMBER('Final Term'!AN72)),"NAN",
IF('Final Term'!AN72&lt;0,"NEG",
IF('Final Term'!AN72&gt;AN$5,"OVER",
IF(AND(AN$5&lt;=100,'Final Term'!AN72&gt;100),"ERR",
IF(Info!$B$4="Non-board program",
IF(OR(AND(AN$5&gt;0,AN$5&gt;100),AND(AN$5&gt;0,AN$5&lt;100)),
VLOOKUP(FLOOR(('Final Term'!AN72/AN$5)*100,1),new_transmute,2,FALSE),
VLOOKUP('Final Term'!AN72,new_transmute,2,FALSE)
),
IF(Info!$B$4="Board program",
IF(OR(AND(AN$5&gt;0,AN$5&gt;100),AND(AN$5&gt;0,AN$5&lt;100)),
VLOOKUP(FLOOR(('Final Term'!AN72/AN$5)*100,1),new_transmute,3,FALSE),
VLOOKUP('Final Term'!AN72,new_transmute,3,FALSE)
),
IF(Info!$B$4="Board program (Medicine)",
IF(OR(AND(AN$5&gt;0,AN$5&gt;100),AND(AN$5&gt;0,AN$5&lt;100)),
VLOOKUP(FLOOR(('Final Term'!AN72/AN$5)*100,1),new_transmute,4,FALSE),
VLOOKUP('Final Term'!AN72,new_transmute,4,FALSE)
),
""
)
)
)
)
)
)
)
)
))</f>
        <v/>
      </c>
      <c r="AO72" s="73" t="str">
        <f>IF($B72="","",
IF(AO$5="","",
IF('Final Term'!AO72="",0,
IF(NOT(ISNUMBER('Final Term'!AO72)),"NAN",
IF('Final Term'!AO72&lt;0,"NEG",
IF('Final Term'!AO72&gt;AO$5,"OVER",
IF(AND(AO$5&lt;=100,'Final Term'!AO72&gt;100),"ERR",
IF(Info!$B$4="Non-board program",
IF(OR(AND(AO$5&gt;0,AO$5&gt;100),AND(AO$5&gt;0,AO$5&lt;100)),
VLOOKUP(FLOOR(('Final Term'!AO72/AO$5)*100,1),new_transmute,2,FALSE),
VLOOKUP('Final Term'!AO72,new_transmute,2,FALSE)
),
IF(Info!$B$4="Board program",
IF(OR(AND(AO$5&gt;0,AO$5&gt;100),AND(AO$5&gt;0,AO$5&lt;100)),
VLOOKUP(FLOOR(('Final Term'!AO72/AO$5)*100,1),new_transmute,3,FALSE),
VLOOKUP('Final Term'!AO72,new_transmute,3,FALSE)
),
IF(Info!$B$4="Board program (Medicine)",
IF(OR(AND(AO$5&gt;0,AO$5&gt;100),AND(AO$5&gt;0,AO$5&lt;100)),
VLOOKUP(FLOOR(('Final Term'!AO72/AO$5)*100,1),new_transmute,4,FALSE),
VLOOKUP('Final Term'!AO72,new_transmute,4,FALSE)
),
""
)
)
)
)
)
)
)
)
))</f>
        <v/>
      </c>
      <c r="AP72" s="73" t="str">
        <f>IF($B72="","",
IF(AP$5="","",
IF('Final Term'!AP72="",0,
IF(NOT(ISNUMBER('Final Term'!AP72)),"NAN",
IF('Final Term'!AP72&lt;0,"NEG",
IF('Final Term'!AP72&gt;AP$5,"OVER",
IF(AND(AP$5&lt;=100,'Final Term'!AP72&gt;100),"ERR",
IF(Info!$B$4="Non-board program",
IF(OR(AND(AP$5&gt;0,AP$5&gt;100),AND(AP$5&gt;0,AP$5&lt;100)),
VLOOKUP(FLOOR(('Final Term'!AP72/AP$5)*100,1),new_transmute,2,FALSE),
VLOOKUP('Final Term'!AP72,new_transmute,2,FALSE)
),
IF(Info!$B$4="Board program",
IF(OR(AND(AP$5&gt;0,AP$5&gt;100),AND(AP$5&gt;0,AP$5&lt;100)),
VLOOKUP(FLOOR(('Final Term'!AP72/AP$5)*100,1),new_transmute,3,FALSE),
VLOOKUP('Final Term'!AP72,new_transmute,3,FALSE)
),
IF(Info!$B$4="Board program (Medicine)",
IF(OR(AND(AP$5&gt;0,AP$5&gt;100),AND(AP$5&gt;0,AP$5&lt;100)),
VLOOKUP(FLOOR(('Final Term'!AP72/AP$5)*100,1),new_transmute,4,FALSE),
VLOOKUP('Final Term'!AP72,new_transmute,4,FALSE)
),
""
)
)
)
)
)
)
)
)
))</f>
        <v/>
      </c>
      <c r="AQ72" s="61" t="str">
        <f t="shared" si="17"/>
        <v/>
      </c>
      <c r="AR72" s="48" t="str">
        <f>IF('Final Term'!AR72="","",'Final Term'!AR72)</f>
        <v/>
      </c>
      <c r="AS72" s="165" t="str">
        <f t="shared" si="18"/>
        <v/>
      </c>
      <c r="AT72" s="14" t="str">
        <f t="shared" ref="AT72:AT90" si="19">IF(B72="", "",
    IF(AS72="ERR", "ERR",
        IF(AS72="INC",
            VLOOKUP(AS72, Equivalent, 1, FALSE),
            IF(AS72="DRP",
                VLOOKUP(AS72, Equivalent, 1, FALSE),
                IF(AS72="WF",
                    VLOOKUP(AS72, Equivalent, 1, FALSE),
                    IF(E72="FA",
                        VLOOKUP(E72, Equivalent, 1, FALSE),
                        IF(AS72&lt;60,
                            5,
                            VLOOKUP(FLOOR(AS72, 1), Equivalent, 2, FALSE)
                        )
                    )
                )
            )
        )
    )
)</f>
        <v/>
      </c>
      <c r="AU72" s="13" t="str">
        <f>IF(B72="","",VLOOKUP(AT72,'New Grade Equivalent'!$B$3:$C$47,2,FALSE))</f>
        <v/>
      </c>
    </row>
    <row r="73" spans="1:47" x14ac:dyDescent="0.25">
      <c r="A73" s="8">
        <v>68</v>
      </c>
      <c r="B73" s="2" t="str">
        <f>IF('Student List'!C77="","",UPPER(LEFT('Student List'!C77,FIND(",",'Student List'!C77)-1)))</f>
        <v/>
      </c>
      <c r="C73" s="12" t="str">
        <f>IF('Student List'!C77="","",PROPER(MID('Student List'!C77, FIND(",", 'Student List'!C77) + 2, LEN('Student List'!C77) - FIND(",", 'Student List'!C77) - 1)))</f>
        <v/>
      </c>
      <c r="D73" s="127" t="str">
        <f>IF('Final Term'!D73="","",'Final Term'!D73)</f>
        <v/>
      </c>
      <c r="E73" s="8" t="str">
        <f>IF(MidCom!E73="FA", "FA",
    IF(MidCom!E73="DRP", "DRP",
        IF(MidCom!E73="WF", "WF",
            IF(D73="Yes", "INC",
               IF((SUM('MT Attendance'!AW71) / 3 + SUM('MT Attendance'!AY71) + SUM('FT Attendance'!AW71) / 3 + SUM('FT Attendance'!AY71)) &gt;= 0.2 * (SUMPRODUCT(--(ISTEXT('MT Attendance'!$C$2:$AU$2))) + SUMPRODUCT(--(ISTEXT('FT Attendance'!$C$2:$AU$2)))), "FA",
                   MidCom!E73
                )
            )
        )
    )
)</f>
        <v/>
      </c>
      <c r="F73" s="73" t="str">
        <f>IF($B73="","",
IF(F$5="","",
IF('Final Term'!F73="",0,
IF(NOT(ISNUMBER('Final Term'!F73)),"NAN",
IF('Final Term'!F73&lt;0,"NEG",
IF('Final Term'!F73&gt;F$5,"OVER",
IF(AND(F$5&lt;=100,'Final Term'!F73&gt;100),"ERR",
IF(Info!$B$4="Non-board program",
IF(OR(AND(F$5&gt;0,F$5&gt;100),AND(F$5&gt;0,F$5&lt;100)),
VLOOKUP(FLOOR(('Final Term'!F73/F$5)*100,1),new_transmute,2,FALSE),
VLOOKUP('Final Term'!F73,new_transmute,2,FALSE)
),
IF(Info!$B$4="Board program",
IF(OR(AND(F$5&gt;0,F$5&gt;100),AND(F$5&gt;0,F$5&lt;100)),
VLOOKUP(FLOOR(('Final Term'!F73/F$5)*100,1),new_transmute,3,FALSE),
VLOOKUP('Final Term'!F73,new_transmute,3,FALSE)
),
IF(Info!$B$4="Board program (Medicine)",
IF(OR(AND(F$5&gt;0,F$5&gt;100),AND(F$5&gt;0,F$5&lt;100)),
VLOOKUP(FLOOR(('Final Term'!F73/F$5)*100,1),new_transmute,4,FALSE),
VLOOKUP('Final Term'!F73,new_transmute,4,FALSE)
),
""
)
)
)
)
)
)
)
)
))</f>
        <v/>
      </c>
      <c r="G73" s="57" t="str">
        <f t="shared" si="11"/>
        <v/>
      </c>
      <c r="H73" s="73" t="str">
        <f>IF($B73="","",
IF(H$5="","",
IF('Final Term'!H73="",0,
IF(NOT(ISNUMBER('Final Term'!H73)),"NAN",
IF('Final Term'!H73&lt;0,"NEG",
IF('Final Term'!H73&gt;H$5,"OVER",
IF(AND(H$5&lt;=100,'Final Term'!H73&gt;100),"ERR",
IF(Info!$B$4="Non-board program",
IF(OR(AND(H$5&gt;0,H$5&gt;100),AND(H$5&gt;0,H$5&lt;100)),
VLOOKUP(FLOOR(('Final Term'!H73/H$5)*100,1),new_transmute,2,FALSE),
VLOOKUP('Final Term'!H73,new_transmute,2,FALSE)
),
IF(Info!$B$4="Board program",
IF(OR(AND(H$5&gt;0,H$5&gt;100),AND(H$5&gt;0,H$5&lt;100)),
VLOOKUP(FLOOR(('Final Term'!H73/H$5)*100,1),new_transmute,3,FALSE),
VLOOKUP('Final Term'!H73,new_transmute,3,FALSE)
),
IF(Info!$B$4="Board program (Medicine)",
IF(OR(AND(H$5&gt;0,H$5&gt;100),AND(H$5&gt;0,H$5&lt;100)),
VLOOKUP(FLOOR(('Final Term'!H73/H$5)*100,1),new_transmute,4,FALSE),
VLOOKUP('Final Term'!H73,new_transmute,4,FALSE)
),
""
)
)
)
)
)
)
)
)
))</f>
        <v/>
      </c>
      <c r="I73" s="73" t="str">
        <f>IF($B73="","",
IF(I$5="","",
IF('Final Term'!I73="",0,
IF(NOT(ISNUMBER('Final Term'!I73)),"NAN",
IF('Final Term'!I73&lt;0,"NEG",
IF('Final Term'!I73&gt;I$5,"OVER",
IF(AND(I$5&lt;=100,'Final Term'!I73&gt;100),"ERR",
IF(Info!$B$4="Non-board program",
IF(OR(AND(I$5&gt;0,I$5&gt;100),AND(I$5&gt;0,I$5&lt;100)),
VLOOKUP(FLOOR(('Final Term'!I73/I$5)*100,1),new_transmute,2,FALSE),
VLOOKUP('Final Term'!I73,new_transmute,2,FALSE)
),
IF(Info!$B$4="Board program",
IF(OR(AND(I$5&gt;0,I$5&gt;100),AND(I$5&gt;0,I$5&lt;100)),
VLOOKUP(FLOOR(('Final Term'!I73/I$5)*100,1),new_transmute,3,FALSE),
VLOOKUP('Final Term'!I73,new_transmute,3,FALSE)
),
IF(Info!$B$4="Board program (Medicine)",
IF(OR(AND(I$5&gt;0,I$5&gt;100),AND(I$5&gt;0,I$5&lt;100)),
VLOOKUP(FLOOR(('Final Term'!I73/I$5)*100,1),new_transmute,4,FALSE),
VLOOKUP('Final Term'!I73,new_transmute,4,FALSE)
),
""
)
)
)
)
)
)
)
)
))</f>
        <v/>
      </c>
      <c r="J73" s="73" t="str">
        <f>IF($B73="","",
IF(J$5="","",
IF('Final Term'!J73="",0,
IF(NOT(ISNUMBER('Final Term'!J73)),"NAN",
IF('Final Term'!J73&lt;0,"NEG",
IF('Final Term'!J73&gt;J$5,"OVER",
IF(AND(J$5&lt;=100,'Final Term'!J73&gt;100),"ERR",
IF(Info!$B$4="Non-board program",
IF(OR(AND(J$5&gt;0,J$5&gt;100),AND(J$5&gt;0,J$5&lt;100)),
VLOOKUP(FLOOR(('Final Term'!J73/J$5)*100,1),new_transmute,2,FALSE),
VLOOKUP('Final Term'!J73,new_transmute,2,FALSE)
),
IF(Info!$B$4="Board program",
IF(OR(AND(J$5&gt;0,J$5&gt;100),AND(J$5&gt;0,J$5&lt;100)),
VLOOKUP(FLOOR(('Final Term'!J73/J$5)*100,1),new_transmute,3,FALSE),
VLOOKUP('Final Term'!J73,new_transmute,3,FALSE)
),
IF(Info!$B$4="Board program (Medicine)",
IF(OR(AND(J$5&gt;0,J$5&gt;100),AND(J$5&gt;0,J$5&lt;100)),
VLOOKUP(FLOOR(('Final Term'!J73/J$5)*100,1),new_transmute,4,FALSE),
VLOOKUP('Final Term'!J73,new_transmute,4,FALSE)
),
""
)
)
)
)
)
)
)
)
))</f>
        <v/>
      </c>
      <c r="K73" s="73" t="str">
        <f>IF($B73="","",
IF(K$5="","",
IF('Final Term'!K73="",0,
IF(NOT(ISNUMBER('Final Term'!K73)),"NAN",
IF('Final Term'!K73&lt;0,"NEG",
IF('Final Term'!K73&gt;K$5,"OVER",
IF(AND(K$5&lt;=100,'Final Term'!K73&gt;100),"ERR",
IF(Info!$B$4="Non-board program",
IF(OR(AND(K$5&gt;0,K$5&gt;100),AND(K$5&gt;0,K$5&lt;100)),
VLOOKUP(FLOOR(('Final Term'!K73/K$5)*100,1),new_transmute,2,FALSE),
VLOOKUP('Final Term'!K73,new_transmute,2,FALSE)
),
IF(Info!$B$4="Board program",
IF(OR(AND(K$5&gt;0,K$5&gt;100),AND(K$5&gt;0,K$5&lt;100)),
VLOOKUP(FLOOR(('Final Term'!K73/K$5)*100,1),new_transmute,3,FALSE),
VLOOKUP('Final Term'!K73,new_transmute,3,FALSE)
),
IF(Info!$B$4="Board program (Medicine)",
IF(OR(AND(K$5&gt;0,K$5&gt;100),AND(K$5&gt;0,K$5&lt;100)),
VLOOKUP(FLOOR(('Final Term'!K73/K$5)*100,1),new_transmute,4,FALSE),
VLOOKUP('Final Term'!K73,new_transmute,4,FALSE)
),
""
)
)
)
)
)
)
)
)
))</f>
        <v/>
      </c>
      <c r="L73" s="73" t="str">
        <f>IF($B73="","",
IF(L$5="","",
IF('Final Term'!L73="",0,
IF(NOT(ISNUMBER('Final Term'!L73)),"NAN",
IF('Final Term'!L73&lt;0,"NEG",
IF('Final Term'!L73&gt;L$5,"OVER",
IF(AND(L$5&lt;=100,'Final Term'!L73&gt;100),"ERR",
IF(Info!$B$4="Non-board program",
IF(OR(AND(L$5&gt;0,L$5&gt;100),AND(L$5&gt;0,L$5&lt;100)),
VLOOKUP(FLOOR(('Final Term'!L73/L$5)*100,1),new_transmute,2,FALSE),
VLOOKUP('Final Term'!L73,new_transmute,2,FALSE)
),
IF(Info!$B$4="Board program",
IF(OR(AND(L$5&gt;0,L$5&gt;100),AND(L$5&gt;0,L$5&lt;100)),
VLOOKUP(FLOOR(('Final Term'!L73/L$5)*100,1),new_transmute,3,FALSE),
VLOOKUP('Final Term'!L73,new_transmute,3,FALSE)
),
IF(Info!$B$4="Board program (Medicine)",
IF(OR(AND(L$5&gt;0,L$5&gt;100),AND(L$5&gt;0,L$5&lt;100)),
VLOOKUP(FLOOR(('Final Term'!L73/L$5)*100,1),new_transmute,4,FALSE),
VLOOKUP('Final Term'!L73,new_transmute,4,FALSE)
),
""
)
)
)
)
)
)
)
)
))</f>
        <v/>
      </c>
      <c r="M73" s="111" t="str">
        <f t="shared" si="12"/>
        <v/>
      </c>
      <c r="N73" s="73" t="str">
        <f>IF($B73="","",
IF(N$5="","",
IF('Final Term'!N73="",0,
IF(NOT(ISNUMBER('Final Term'!N73)),"NAN",
IF('Final Term'!N73&lt;0,"NEG",
IF('Final Term'!N73&gt;N$5,"OVER",
IF(AND(N$5&lt;=100,'Final Term'!N73&gt;100),"ERR",
IF(Info!$B$4="Non-board program",
IF(OR(AND(N$5&gt;0,N$5&gt;100),AND(N$5&gt;0,N$5&lt;100)),
VLOOKUP(FLOOR(('Final Term'!N73/N$5)*100,1),new_transmute,2,FALSE),
VLOOKUP('Final Term'!N73,new_transmute,2,FALSE)
),
IF(Info!$B$4="Board program",
IF(OR(AND(N$5&gt;0,N$5&gt;100),AND(N$5&gt;0,N$5&lt;100)),
VLOOKUP(FLOOR(('Final Term'!N73/N$5)*100,1),new_transmute,3,FALSE),
VLOOKUP('Final Term'!N73,new_transmute,3,FALSE)
),
IF(Info!$B$4="Board program (Medicine)",
IF(OR(AND(N$5&gt;0,N$5&gt;100),AND(N$5&gt;0,N$5&lt;100)),
VLOOKUP(FLOOR(('Final Term'!N73/N$5)*100,1),new_transmute,4,FALSE),
VLOOKUP('Final Term'!N73,new_transmute,4,FALSE)
),
""
)
)
)
)
)
)
)
)
))</f>
        <v/>
      </c>
      <c r="O73" s="73" t="str">
        <f>IF($B73="","",
IF(O$5="","",
IF('Final Term'!O73="",0,
IF(NOT(ISNUMBER('Final Term'!O73)),"NAN",
IF('Final Term'!O73&lt;0,"NEG",
IF('Final Term'!O73&gt;O$5,"OVER",
IF(AND(O$5&lt;=100,'Final Term'!O73&gt;100),"ERR",
IF(Info!$B$4="Non-board program",
IF(OR(AND(O$5&gt;0,O$5&gt;100),AND(O$5&gt;0,O$5&lt;100)),
VLOOKUP(FLOOR(('Final Term'!O73/O$5)*100,1),new_transmute,2,FALSE),
VLOOKUP('Final Term'!O73,new_transmute,2,FALSE)
),
IF(Info!$B$4="Board program",
IF(OR(AND(O$5&gt;0,O$5&gt;100),AND(O$5&gt;0,O$5&lt;100)),
VLOOKUP(FLOOR(('Final Term'!O73/O$5)*100,1),new_transmute,3,FALSE),
VLOOKUP('Final Term'!O73,new_transmute,3,FALSE)
),
IF(Info!$B$4="Board program (Medicine)",
IF(OR(AND(O$5&gt;0,O$5&gt;100),AND(O$5&gt;0,O$5&lt;100)),
VLOOKUP(FLOOR(('Final Term'!O73/O$5)*100,1),new_transmute,4,FALSE),
VLOOKUP('Final Term'!O73,new_transmute,4,FALSE)
),
""
)
)
)
)
)
)
)
)
))</f>
        <v/>
      </c>
      <c r="P73" s="73" t="str">
        <f>IF($B73="","",
IF(P$5="","",
IF('Final Term'!P73="",0,
IF(NOT(ISNUMBER('Final Term'!P73)),"NAN",
IF('Final Term'!P73&lt;0,"NEG",
IF('Final Term'!P73&gt;P$5,"OVER",
IF(AND(P$5&lt;=100,'Final Term'!P73&gt;100),"ERR",
IF(Info!$B$4="Non-board program",
IF(OR(AND(P$5&gt;0,P$5&gt;100),AND(P$5&gt;0,P$5&lt;100)),
VLOOKUP(FLOOR(('Final Term'!P73/P$5)*100,1),new_transmute,2,FALSE),
VLOOKUP('Final Term'!P73,new_transmute,2,FALSE)
),
IF(Info!$B$4="Board program",
IF(OR(AND(P$5&gt;0,P$5&gt;100),AND(P$5&gt;0,P$5&lt;100)),
VLOOKUP(FLOOR(('Final Term'!P73/P$5)*100,1),new_transmute,3,FALSE),
VLOOKUP('Final Term'!P73,new_transmute,3,FALSE)
),
IF(Info!$B$4="Board program (Medicine)",
IF(OR(AND(P$5&gt;0,P$5&gt;100),AND(P$5&gt;0,P$5&lt;100)),
VLOOKUP(FLOOR(('Final Term'!P73/P$5)*100,1),new_transmute,4,FALSE),
VLOOKUP('Final Term'!P73,new_transmute,4,FALSE)
),
""
)
)
)
)
)
)
)
)
))</f>
        <v/>
      </c>
      <c r="Q73" s="73" t="str">
        <f>IF($B73="","",
IF(Q$5="","",
IF('Final Term'!Q73="",0,
IF(NOT(ISNUMBER('Final Term'!Q73)),"NAN",
IF('Final Term'!Q73&lt;0,"NEG",
IF('Final Term'!Q73&gt;Q$5,"OVER",
IF(AND(Q$5&lt;=100,'Final Term'!Q73&gt;100),"ERR",
IF(Info!$B$4="Non-board program",
IF(OR(AND(Q$5&gt;0,Q$5&gt;100),AND(Q$5&gt;0,Q$5&lt;100)),
VLOOKUP(FLOOR(('Final Term'!Q73/Q$5)*100,1),new_transmute,2,FALSE),
VLOOKUP('Final Term'!Q73,new_transmute,2,FALSE)
),
IF(Info!$B$4="Board program",
IF(OR(AND(Q$5&gt;0,Q$5&gt;100),AND(Q$5&gt;0,Q$5&lt;100)),
VLOOKUP(FLOOR(('Final Term'!Q73/Q$5)*100,1),new_transmute,3,FALSE),
VLOOKUP('Final Term'!Q73,new_transmute,3,FALSE)
),
IF(Info!$B$4="Board program (Medicine)",
IF(OR(AND(Q$5&gt;0,Q$5&gt;100),AND(Q$5&gt;0,Q$5&lt;100)),
VLOOKUP(FLOOR(('Final Term'!Q73/Q$5)*100,1),new_transmute,4,FALSE),
VLOOKUP('Final Term'!Q73,new_transmute,4,FALSE)
),
""
)
)
)
)
)
)
)
)
))</f>
        <v/>
      </c>
      <c r="R73" s="73" t="str">
        <f>IF($B73="","",
IF(R$5="","",
IF('Final Term'!R73="",0,
IF(NOT(ISNUMBER('Final Term'!R73)),"NAN",
IF('Final Term'!R73&lt;0,"NEG",
IF('Final Term'!R73&gt;R$5,"OVER",
IF(AND(R$5&lt;=100,'Final Term'!R73&gt;100),"ERR",
IF(Info!$B$4="Non-board program",
IF(OR(AND(R$5&gt;0,R$5&gt;100),AND(R$5&gt;0,R$5&lt;100)),
VLOOKUP(FLOOR(('Final Term'!R73/R$5)*100,1),new_transmute,2,FALSE),
VLOOKUP('Final Term'!R73,new_transmute,2,FALSE)
),
IF(Info!$B$4="Board program",
IF(OR(AND(R$5&gt;0,R$5&gt;100),AND(R$5&gt;0,R$5&lt;100)),
VLOOKUP(FLOOR(('Final Term'!R73/R$5)*100,1),new_transmute,3,FALSE),
VLOOKUP('Final Term'!R73,new_transmute,3,FALSE)
),
IF(Info!$B$4="Board program (Medicine)",
IF(OR(AND(R$5&gt;0,R$5&gt;100),AND(R$5&gt;0,R$5&lt;100)),
VLOOKUP(FLOOR(('Final Term'!R73/R$5)*100,1),new_transmute,4,FALSE),
VLOOKUP('Final Term'!R73,new_transmute,4,FALSE)
),
""
)
)
)
)
)
)
)
)
))</f>
        <v/>
      </c>
      <c r="S73" s="115" t="str">
        <f t="shared" si="13"/>
        <v/>
      </c>
      <c r="T73" s="73" t="str">
        <f>IF($B73="","",
IF(T$5="","",
IF('Final Term'!T73="",0,
IF(NOT(ISNUMBER('Final Term'!T73)),"NAN",
IF('Final Term'!T73&lt;0,"NEG",
IF('Final Term'!T73&gt;T$5,"OVER",
IF(AND(T$5&lt;=100,'Final Term'!T73&gt;100),"ERR",
IF(Info!$B$4="Non-board program",
IF(OR(AND(T$5&gt;0,T$5&gt;100),AND(T$5&gt;0,T$5&lt;100)),
VLOOKUP(FLOOR(('Final Term'!T73/T$5)*100,1),new_transmute,2,FALSE),
VLOOKUP('Final Term'!T73,new_transmute,2,FALSE)
),
IF(Info!$B$4="Board program",
IF(OR(AND(T$5&gt;0,T$5&gt;100),AND(T$5&gt;0,T$5&lt;100)),
VLOOKUP(FLOOR(('Final Term'!T73/T$5)*100,1),new_transmute,3,FALSE),
VLOOKUP('Final Term'!T73,new_transmute,3,FALSE)
),
IF(Info!$B$4="Board program (Medicine)",
IF(OR(AND(T$5&gt;0,T$5&gt;100),AND(T$5&gt;0,T$5&lt;100)),
VLOOKUP(FLOOR(('Final Term'!T73/T$5)*100,1),new_transmute,4,FALSE),
VLOOKUP('Final Term'!T73,new_transmute,4,FALSE)
),
""
)
)
)
)
)
)
)
)
))</f>
        <v/>
      </c>
      <c r="U73" s="73" t="str">
        <f>IF($B73="","",
IF(U$5="","",
IF('Final Term'!U73="",0,
IF(NOT(ISNUMBER('Final Term'!U73)),"NAN",
IF('Final Term'!U73&lt;0,"NEG",
IF('Final Term'!U73&gt;U$5,"OVER",
IF(AND(U$5&lt;=100,'Final Term'!U73&gt;100),"ERR",
IF(Info!$B$4="Non-board program",
IF(OR(AND(U$5&gt;0,U$5&gt;100),AND(U$5&gt;0,U$5&lt;100)),
VLOOKUP(FLOOR(('Final Term'!U73/U$5)*100,1),new_transmute,2,FALSE),
VLOOKUP('Final Term'!U73,new_transmute,2,FALSE)
),
IF(Info!$B$4="Board program",
IF(OR(AND(U$5&gt;0,U$5&gt;100),AND(U$5&gt;0,U$5&lt;100)),
VLOOKUP(FLOOR(('Final Term'!U73/U$5)*100,1),new_transmute,3,FALSE),
VLOOKUP('Final Term'!U73,new_transmute,3,FALSE)
),
IF(Info!$B$4="Board program (Medicine)",
IF(OR(AND(U$5&gt;0,U$5&gt;100),AND(U$5&gt;0,U$5&lt;100)),
VLOOKUP(FLOOR(('Final Term'!U73/U$5)*100,1),new_transmute,4,FALSE),
VLOOKUP('Final Term'!U73,new_transmute,4,FALSE)
),
""
)
)
)
)
)
)
)
)
))</f>
        <v/>
      </c>
      <c r="V73" s="73" t="str">
        <f>IF($B73="","",
IF(V$5="","",
IF('Final Term'!V73="",0,
IF(NOT(ISNUMBER('Final Term'!V73)),"NAN",
IF('Final Term'!V73&lt;0,"NEG",
IF('Final Term'!V73&gt;V$5,"OVER",
IF(AND(V$5&lt;=100,'Final Term'!V73&gt;100),"ERR",
IF(Info!$B$4="Non-board program",
IF(OR(AND(V$5&gt;0,V$5&gt;100),AND(V$5&gt;0,V$5&lt;100)),
VLOOKUP(FLOOR(('Final Term'!V73/V$5)*100,1),new_transmute,2,FALSE),
VLOOKUP('Final Term'!V73,new_transmute,2,FALSE)
),
IF(Info!$B$4="Board program",
IF(OR(AND(V$5&gt;0,V$5&gt;100),AND(V$5&gt;0,V$5&lt;100)),
VLOOKUP(FLOOR(('Final Term'!V73/V$5)*100,1),new_transmute,3,FALSE),
VLOOKUP('Final Term'!V73,new_transmute,3,FALSE)
),
IF(Info!$B$4="Board program (Medicine)",
IF(OR(AND(V$5&gt;0,V$5&gt;100),AND(V$5&gt;0,V$5&lt;100)),
VLOOKUP(FLOOR(('Final Term'!V73/V$5)*100,1),new_transmute,4,FALSE),
VLOOKUP('Final Term'!V73,new_transmute,4,FALSE)
),
""
)
)
)
)
)
)
)
)
))</f>
        <v/>
      </c>
      <c r="W73" s="73" t="str">
        <f>IF($B73="","",
IF(W$5="","",
IF('Final Term'!W73="",0,
IF(NOT(ISNUMBER('Final Term'!W73)),"NAN",
IF('Final Term'!W73&lt;0,"NEG",
IF('Final Term'!W73&gt;W$5,"OVER",
IF(AND(W$5&lt;=100,'Final Term'!W73&gt;100),"ERR",
IF(Info!$B$4="Non-board program",
IF(OR(AND(W$5&gt;0,W$5&gt;100),AND(W$5&gt;0,W$5&lt;100)),
VLOOKUP(FLOOR(('Final Term'!W73/W$5)*100,1),new_transmute,2,FALSE),
VLOOKUP('Final Term'!W73,new_transmute,2,FALSE)
),
IF(Info!$B$4="Board program",
IF(OR(AND(W$5&gt;0,W$5&gt;100),AND(W$5&gt;0,W$5&lt;100)),
VLOOKUP(FLOOR(('Final Term'!W73/W$5)*100,1),new_transmute,3,FALSE),
VLOOKUP('Final Term'!W73,new_transmute,3,FALSE)
),
IF(Info!$B$4="Board program (Medicine)",
IF(OR(AND(W$5&gt;0,W$5&gt;100),AND(W$5&gt;0,W$5&lt;100)),
VLOOKUP(FLOOR(('Final Term'!W73/W$5)*100,1),new_transmute,4,FALSE),
VLOOKUP('Final Term'!W73,new_transmute,4,FALSE)
),
""
)
)
)
)
)
)
)
)
))</f>
        <v/>
      </c>
      <c r="X73" s="73" t="str">
        <f>IF($B73="","",
IF(X$5="","",
IF('Final Term'!X73="",0,
IF(NOT(ISNUMBER('Final Term'!X73)),"NAN",
IF('Final Term'!X73&lt;0,"NEG",
IF('Final Term'!X73&gt;X$5,"OVER",
IF(AND(X$5&lt;=100,'Final Term'!X73&gt;100),"ERR",
IF(Info!$B$4="Non-board program",
IF(OR(AND(X$5&gt;0,X$5&gt;100),AND(X$5&gt;0,X$5&lt;100)),
VLOOKUP(FLOOR(('Final Term'!X73/X$5)*100,1),new_transmute,2,FALSE),
VLOOKUP('Final Term'!X73,new_transmute,2,FALSE)
),
IF(Info!$B$4="Board program",
IF(OR(AND(X$5&gt;0,X$5&gt;100),AND(X$5&gt;0,X$5&lt;100)),
VLOOKUP(FLOOR(('Final Term'!X73/X$5)*100,1),new_transmute,3,FALSE),
VLOOKUP('Final Term'!X73,new_transmute,3,FALSE)
),
IF(Info!$B$4="Board program (Medicine)",
IF(OR(AND(X$5&gt;0,X$5&gt;100),AND(X$5&gt;0,X$5&lt;100)),
VLOOKUP(FLOOR(('Final Term'!X73/X$5)*100,1),new_transmute,4,FALSE),
VLOOKUP('Final Term'!X73,new_transmute,4,FALSE)
),
""
)
)
)
)
)
)
)
)
))</f>
        <v/>
      </c>
      <c r="Y73" s="112" t="str">
        <f t="shared" si="14"/>
        <v/>
      </c>
      <c r="Z73" s="73" t="str">
        <f>IF($B73="","",
IF(Z$5="","",
IF('Final Term'!Z73="",0,
IF(NOT(ISNUMBER('Final Term'!Z73)),"NAN",
IF('Final Term'!Z73&lt;0,"NEG",
IF('Final Term'!Z73&gt;Z$5,"OVER",
IF(AND(Z$5&lt;=100,'Final Term'!Z73&gt;100),"ERR",
IF(Info!$B$4="Non-board program",
IF(OR(AND(Z$5&gt;0,Z$5&gt;100),AND(Z$5&gt;0,Z$5&lt;100)),
VLOOKUP(FLOOR(('Final Term'!Z73/Z$5)*100,1),new_transmute,2,FALSE),
VLOOKUP('Final Term'!Z73,new_transmute,2,FALSE)
),
IF(Info!$B$4="Board program",
IF(OR(AND(Z$5&gt;0,Z$5&gt;100),AND(Z$5&gt;0,Z$5&lt;100)),
VLOOKUP(FLOOR(('Final Term'!Z73/Z$5)*100,1),new_transmute,3,FALSE),
VLOOKUP('Final Term'!Z73,new_transmute,3,FALSE)
),
IF(Info!$B$4="Board program (Medicine)",
IF(OR(AND(Z$5&gt;0,Z$5&gt;100),AND(Z$5&gt;0,Z$5&lt;100)),
VLOOKUP(FLOOR(('Final Term'!Z73/Z$5)*100,1),new_transmute,4,FALSE),
VLOOKUP('Final Term'!Z73,new_transmute,4,FALSE)
),
""
)
)
)
)
)
)
)
)
))</f>
        <v/>
      </c>
      <c r="AA73" s="73" t="str">
        <f>IF($B73="","",
IF(AA$5="","",
IF('Final Term'!AA73="",0,
IF(NOT(ISNUMBER('Final Term'!AA73)),"NAN",
IF('Final Term'!AA73&lt;0,"NEG",
IF('Final Term'!AA73&gt;AA$5,"OVER",
IF(AND(AA$5&lt;=100,'Final Term'!AA73&gt;100),"ERR",
IF(Info!$B$4="Non-board program",
IF(OR(AND(AA$5&gt;0,AA$5&gt;100),AND(AA$5&gt;0,AA$5&lt;100)),
VLOOKUP(FLOOR(('Final Term'!AA73/AA$5)*100,1),new_transmute,2,FALSE),
VLOOKUP('Final Term'!AA73,new_transmute,2,FALSE)
),
IF(Info!$B$4="Board program",
IF(OR(AND(AA$5&gt;0,AA$5&gt;100),AND(AA$5&gt;0,AA$5&lt;100)),
VLOOKUP(FLOOR(('Final Term'!AA73/AA$5)*100,1),new_transmute,3,FALSE),
VLOOKUP('Final Term'!AA73,new_transmute,3,FALSE)
),
IF(Info!$B$4="Board program (Medicine)",
IF(OR(AND(AA$5&gt;0,AA$5&gt;100),AND(AA$5&gt;0,AA$5&lt;100)),
VLOOKUP(FLOOR(('Final Term'!AA73/AA$5)*100,1),new_transmute,4,FALSE),
VLOOKUP('Final Term'!AA73,new_transmute,4,FALSE)
),
""
)
)
)
)
)
)
)
)
))</f>
        <v/>
      </c>
      <c r="AB73" s="73" t="str">
        <f>IF($B73="","",
IF(AB$5="","",
IF('Final Term'!AB73="",0,
IF(NOT(ISNUMBER('Final Term'!AB73)),"NAN",
IF('Final Term'!AB73&lt;0,"NEG",
IF('Final Term'!AB73&gt;AB$5,"OVER",
IF(AND(AB$5&lt;=100,'Final Term'!AB73&gt;100),"ERR",
IF(Info!$B$4="Non-board program",
IF(OR(AND(AB$5&gt;0,AB$5&gt;100),AND(AB$5&gt;0,AB$5&lt;100)),
VLOOKUP(FLOOR(('Final Term'!AB73/AB$5)*100,1),new_transmute,2,FALSE),
VLOOKUP('Final Term'!AB73,new_transmute,2,FALSE)
),
IF(Info!$B$4="Board program",
IF(OR(AND(AB$5&gt;0,AB$5&gt;100),AND(AB$5&gt;0,AB$5&lt;100)),
VLOOKUP(FLOOR(('Final Term'!AB73/AB$5)*100,1),new_transmute,3,FALSE),
VLOOKUP('Final Term'!AB73,new_transmute,3,FALSE)
),
IF(Info!$B$4="Board program (Medicine)",
IF(OR(AND(AB$5&gt;0,AB$5&gt;100),AND(AB$5&gt;0,AB$5&lt;100)),
VLOOKUP(FLOOR(('Final Term'!AB73/AB$5)*100,1),new_transmute,4,FALSE),
VLOOKUP('Final Term'!AB73,new_transmute,4,FALSE)
),
""
)
)
)
)
)
)
)
)
))</f>
        <v/>
      </c>
      <c r="AC73" s="73" t="str">
        <f>IF($B73="","",
IF(AC$5="","",
IF('Final Term'!AC73="",0,
IF(NOT(ISNUMBER('Final Term'!AC73)),"NAN",
IF('Final Term'!AC73&lt;0,"NEG",
IF('Final Term'!AC73&gt;AC$5,"OVER",
IF(AND(AC$5&lt;=100,'Final Term'!AC73&gt;100),"ERR",
IF(Info!$B$4="Non-board program",
IF(OR(AND(AC$5&gt;0,AC$5&gt;100),AND(AC$5&gt;0,AC$5&lt;100)),
VLOOKUP(FLOOR(('Final Term'!AC73/AC$5)*100,1),new_transmute,2,FALSE),
VLOOKUP('Final Term'!AC73,new_transmute,2,FALSE)
),
IF(Info!$B$4="Board program",
IF(OR(AND(AC$5&gt;0,AC$5&gt;100),AND(AC$5&gt;0,AC$5&lt;100)),
VLOOKUP(FLOOR(('Final Term'!AC73/AC$5)*100,1),new_transmute,3,FALSE),
VLOOKUP('Final Term'!AC73,new_transmute,3,FALSE)
),
IF(Info!$B$4="Board program (Medicine)",
IF(OR(AND(AC$5&gt;0,AC$5&gt;100),AND(AC$5&gt;0,AC$5&lt;100)),
VLOOKUP(FLOOR(('Final Term'!AC73/AC$5)*100,1),new_transmute,4,FALSE),
VLOOKUP('Final Term'!AC73,new_transmute,4,FALSE)
),
""
)
)
)
)
)
)
)
)
))</f>
        <v/>
      </c>
      <c r="AD73" s="73" t="str">
        <f>IF($B73="","",
IF(AD$5="","",
IF('Final Term'!AD73="",0,
IF(NOT(ISNUMBER('Final Term'!AD73)),"NAN",
IF('Final Term'!AD73&lt;0,"NEG",
IF('Final Term'!AD73&gt;AD$5,"OVER",
IF(AND(AD$5&lt;=100,'Final Term'!AD73&gt;100),"ERR",
IF(Info!$B$4="Non-board program",
IF(OR(AND(AD$5&gt;0,AD$5&gt;100),AND(AD$5&gt;0,AD$5&lt;100)),
VLOOKUP(FLOOR(('Final Term'!AD73/AD$5)*100,1),new_transmute,2,FALSE),
VLOOKUP('Final Term'!AD73,new_transmute,2,FALSE)
),
IF(Info!$B$4="Board program",
IF(OR(AND(AD$5&gt;0,AD$5&gt;100),AND(AD$5&gt;0,AD$5&lt;100)),
VLOOKUP(FLOOR(('Final Term'!AD73/AD$5)*100,1),new_transmute,3,FALSE),
VLOOKUP('Final Term'!AD73,new_transmute,3,FALSE)
),
IF(Info!$B$4="Board program (Medicine)",
IF(OR(AND(AD$5&gt;0,AD$5&gt;100),AND(AD$5&gt;0,AD$5&lt;100)),
VLOOKUP(FLOOR(('Final Term'!AD73/AD$5)*100,1),new_transmute,4,FALSE),
VLOOKUP('Final Term'!AD73,new_transmute,4,FALSE)
),
""
)
)
)
)
)
)
)
)
))</f>
        <v/>
      </c>
      <c r="AE73" s="58" t="str">
        <f t="shared" si="15"/>
        <v/>
      </c>
      <c r="AF73" s="73" t="str">
        <f>IF($B73="","",
IF(AF$5="","",
IF('Final Term'!AF73="",0,
IF(NOT(ISNUMBER('Final Term'!AF73)),"NAN",
IF('Final Term'!AF73&lt;0,"NEG",
IF('Final Term'!AF73&gt;AF$5,"OVER",
IF(AND(AF$5&lt;=100,'Final Term'!AF73&gt;100),"ERR",
IF(Info!$B$4="Non-board program",
IF(OR(AND(AF$5&gt;0,AF$5&gt;100),AND(AF$5&gt;0,AF$5&lt;100)),
VLOOKUP(FLOOR(('Final Term'!AF73/AF$5)*100,1),new_transmute,2,FALSE),
VLOOKUP('Final Term'!AF73,new_transmute,2,FALSE)
),
IF(Info!$B$4="Board program",
IF(OR(AND(AF$5&gt;0,AF$5&gt;100),AND(AF$5&gt;0,AF$5&lt;100)),
VLOOKUP(FLOOR(('Final Term'!AF73/AF$5)*100,1),new_transmute,3,FALSE),
VLOOKUP('Final Term'!AF73,new_transmute,3,FALSE)
),
IF(Info!$B$4="Board program (Medicine)",
IF(OR(AND(AF$5&gt;0,AF$5&gt;100),AND(AF$5&gt;0,AF$5&lt;100)),
VLOOKUP(FLOOR(('Final Term'!AF73/AF$5)*100,1),new_transmute,4,FALSE),
VLOOKUP('Final Term'!AF73,new_transmute,4,FALSE)
),
""
)
)
)
)
)
)
)
)
))</f>
        <v/>
      </c>
      <c r="AG73" s="73" t="str">
        <f>IF($B73="","",
IF(AG$5="","",
IF('Final Term'!AG73="",0,
IF(NOT(ISNUMBER('Final Term'!AG73)),"NAN",
IF('Final Term'!AG73&lt;0,"NEG",
IF('Final Term'!AG73&gt;AG$5,"OVER",
IF(AND(AG$5&lt;=100,'Final Term'!AG73&gt;100),"ERR",
IF(Info!$B$4="Non-board program",
IF(OR(AND(AG$5&gt;0,AG$5&gt;100),AND(AG$5&gt;0,AG$5&lt;100)),
VLOOKUP(FLOOR(('Final Term'!AG73/AG$5)*100,1),new_transmute,2,FALSE),
VLOOKUP('Final Term'!AG73,new_transmute,2,FALSE)
),
IF(Info!$B$4="Board program",
IF(OR(AND(AG$5&gt;0,AG$5&gt;100),AND(AG$5&gt;0,AG$5&lt;100)),
VLOOKUP(FLOOR(('Final Term'!AG73/AG$5)*100,1),new_transmute,3,FALSE),
VLOOKUP('Final Term'!AG73,new_transmute,3,FALSE)
),
IF(Info!$B$4="Board program (Medicine)",
IF(OR(AND(AG$5&gt;0,AG$5&gt;100),AND(AG$5&gt;0,AG$5&lt;100)),
VLOOKUP(FLOOR(('Final Term'!AG73/AG$5)*100,1),new_transmute,4,FALSE),
VLOOKUP('Final Term'!AG73,new_transmute,4,FALSE)
),
""
)
)
)
)
)
)
)
)
))</f>
        <v/>
      </c>
      <c r="AH73" s="73" t="str">
        <f>IF($B73="","",
IF(AH$5="","",
IF('Final Term'!AH73="",0,
IF(NOT(ISNUMBER('Final Term'!AH73)),"NAN",
IF('Final Term'!AH73&lt;0,"NEG",
IF('Final Term'!AH73&gt;AH$5,"OVER",
IF(AND(AH$5&lt;=100,'Final Term'!AH73&gt;100),"ERR",
IF(Info!$B$4="Non-board program",
IF(OR(AND(AH$5&gt;0,AH$5&gt;100),AND(AH$5&gt;0,AH$5&lt;100)),
VLOOKUP(FLOOR(('Final Term'!AH73/AH$5)*100,1),new_transmute,2,FALSE),
VLOOKUP('Final Term'!AH73,new_transmute,2,FALSE)
),
IF(Info!$B$4="Board program",
IF(OR(AND(AH$5&gt;0,AH$5&gt;100),AND(AH$5&gt;0,AH$5&lt;100)),
VLOOKUP(FLOOR(('Final Term'!AH73/AH$5)*100,1),new_transmute,3,FALSE),
VLOOKUP('Final Term'!AH73,new_transmute,3,FALSE)
),
IF(Info!$B$4="Board program (Medicine)",
IF(OR(AND(AH$5&gt;0,AH$5&gt;100),AND(AH$5&gt;0,AH$5&lt;100)),
VLOOKUP(FLOOR(('Final Term'!AH73/AH$5)*100,1),new_transmute,4,FALSE),
VLOOKUP('Final Term'!AH73,new_transmute,4,FALSE)
),
""
)
)
)
)
)
)
)
)
))</f>
        <v/>
      </c>
      <c r="AI73" s="73" t="str">
        <f>IF($B73="","",
IF(AI$5="","",
IF('Final Term'!AI73="",0,
IF(NOT(ISNUMBER('Final Term'!AI73)),"NAN",
IF('Final Term'!AI73&lt;0,"NEG",
IF('Final Term'!AI73&gt;AI$5,"OVER",
IF(AND(AI$5&lt;=100,'Final Term'!AI73&gt;100),"ERR",
IF(Info!$B$4="Non-board program",
IF(OR(AND(AI$5&gt;0,AI$5&gt;100),AND(AI$5&gt;0,AI$5&lt;100)),
VLOOKUP(FLOOR(('Final Term'!AI73/AI$5)*100,1),new_transmute,2,FALSE),
VLOOKUP('Final Term'!AI73,new_transmute,2,FALSE)
),
IF(Info!$B$4="Board program",
IF(OR(AND(AI$5&gt;0,AI$5&gt;100),AND(AI$5&gt;0,AI$5&lt;100)),
VLOOKUP(FLOOR(('Final Term'!AI73/AI$5)*100,1),new_transmute,3,FALSE),
VLOOKUP('Final Term'!AI73,new_transmute,3,FALSE)
),
IF(Info!$B$4="Board program (Medicine)",
IF(OR(AND(AI$5&gt;0,AI$5&gt;100),AND(AI$5&gt;0,AI$5&lt;100)),
VLOOKUP(FLOOR(('Final Term'!AI73/AI$5)*100,1),new_transmute,4,FALSE),
VLOOKUP('Final Term'!AI73,new_transmute,4,FALSE)
),
""
)
)
)
)
)
)
)
)
))</f>
        <v/>
      </c>
      <c r="AJ73" s="73" t="str">
        <f>IF($B73="","",
IF(AJ$5="","",
IF('Final Term'!AJ73="",0,
IF(NOT(ISNUMBER('Final Term'!AJ73)),"NAN",
IF('Final Term'!AJ73&lt;0,"NEG",
IF('Final Term'!AJ73&gt;AJ$5,"OVER",
IF(AND(AJ$5&lt;=100,'Final Term'!AJ73&gt;100),"ERR",
IF(Info!$B$4="Non-board program",
IF(OR(AND(AJ$5&gt;0,AJ$5&gt;100),AND(AJ$5&gt;0,AJ$5&lt;100)),
VLOOKUP(FLOOR(('Final Term'!AJ73/AJ$5)*100,1),new_transmute,2,FALSE),
VLOOKUP('Final Term'!AJ73,new_transmute,2,FALSE)
),
IF(Info!$B$4="Board program",
IF(OR(AND(AJ$5&gt;0,AJ$5&gt;100),AND(AJ$5&gt;0,AJ$5&lt;100)),
VLOOKUP(FLOOR(('Final Term'!AJ73/AJ$5)*100,1),new_transmute,3,FALSE),
VLOOKUP('Final Term'!AJ73,new_transmute,3,FALSE)
),
IF(Info!$B$4="Board program (Medicine)",
IF(OR(AND(AJ$5&gt;0,AJ$5&gt;100),AND(AJ$5&gt;0,AJ$5&lt;100)),
VLOOKUP(FLOOR(('Final Term'!AJ73/AJ$5)*100,1),new_transmute,4,FALSE),
VLOOKUP('Final Term'!AJ73,new_transmute,4,FALSE)
),
""
)
)
)
)
)
)
)
)
))</f>
        <v/>
      </c>
      <c r="AK73" s="59" t="str">
        <f t="shared" si="16"/>
        <v/>
      </c>
      <c r="AL73" s="60" t="str">
        <f>IF(B73="", "",
    IF(OR(M73="OVER", S73="OVER", Y73="OVER", AE73="OVER", AK73="OVER"),
        "OVER",
        IF(Info!$B$4="Non-board program",
            VLOOKUP(IFERROR(FLOOR(SUM((M73*$M$4), (S73*$S$4), (Y73*$Y$4), (AE73*$AE$4), (AK73*$AK$4)) * (100 / 60), 1), 0), new_transmute, 2, FALSE),
            IF(Info!$B$4="Board program",
                VLOOKUP(IFERROR(FLOOR(SUM((M73*$M$4), (S73*$S$4), (Y73*$Y$4), (AE73*$AE$4), (AK73*$AK$4)) * (100 / 60), 1), 0), new_transmute, 3, FALSE),
                IF(Info!$B$4="Board program (Medicine)",
                    VLOOKUP(IFERROR(FLOOR(SUM((M73*$M$4), (S73*$S$4), (Y73*$Y$4), (AE73*$AE$4), (AK73*$AK$4)) * (100 / 60), 1), 0), new_transmute, 4, FALSE),
                    ""
                )
            )
        )
    )
)</f>
        <v/>
      </c>
      <c r="AM73" s="73" t="str">
        <f>IF($B73="","",
IF(AM$5="","",
IF('Final Term'!AM73="",0,
IF(NOT(ISNUMBER('Final Term'!AM73)),"NAN",
IF('Final Term'!AM73&lt;0,"NEG",
IF('Final Term'!AM73&gt;AM$5,"OVER",
IF(AND(AM$5&lt;=100,'Final Term'!AM73&gt;100),"ERR",
IF(Info!$B$4="Non-board program",
IF(OR(AND(AM$5&gt;0,AM$5&gt;100),AND(AM$5&gt;0,AM$5&lt;100)),
VLOOKUP(FLOOR(('Final Term'!AM73/AM$5)*100,1),new_transmute,2,FALSE),
VLOOKUP('Final Term'!AM73,new_transmute,2,FALSE)
),
IF(Info!$B$4="Board program",
IF(OR(AND(AM$5&gt;0,AM$5&gt;100),AND(AM$5&gt;0,AM$5&lt;100)),
VLOOKUP(FLOOR(('Final Term'!AM73/AM$5)*100,1),new_transmute,3,FALSE),
VLOOKUP('Final Term'!AM73,new_transmute,3,FALSE)
),
IF(Info!$B$4="Board program (Medicine)",
IF(OR(AND(AM$5&gt;0,AM$5&gt;100),AND(AM$5&gt;0,AM$5&lt;100)),
VLOOKUP(FLOOR(('Final Term'!AM73/AM$5)*100,1),new_transmute,4,FALSE),
VLOOKUP('Final Term'!AM73,new_transmute,4,FALSE)
),
""
)
)
)
)
)
)
)
)
))</f>
        <v/>
      </c>
      <c r="AN73" s="73" t="str">
        <f>IF($B73="","",
IF(AN$5="","",
IF('Final Term'!AN73="",0,
IF(NOT(ISNUMBER('Final Term'!AN73)),"NAN",
IF('Final Term'!AN73&lt;0,"NEG",
IF('Final Term'!AN73&gt;AN$5,"OVER",
IF(AND(AN$5&lt;=100,'Final Term'!AN73&gt;100),"ERR",
IF(Info!$B$4="Non-board program",
IF(OR(AND(AN$5&gt;0,AN$5&gt;100),AND(AN$5&gt;0,AN$5&lt;100)),
VLOOKUP(FLOOR(('Final Term'!AN73/AN$5)*100,1),new_transmute,2,FALSE),
VLOOKUP('Final Term'!AN73,new_transmute,2,FALSE)
),
IF(Info!$B$4="Board program",
IF(OR(AND(AN$5&gt;0,AN$5&gt;100),AND(AN$5&gt;0,AN$5&lt;100)),
VLOOKUP(FLOOR(('Final Term'!AN73/AN$5)*100,1),new_transmute,3,FALSE),
VLOOKUP('Final Term'!AN73,new_transmute,3,FALSE)
),
IF(Info!$B$4="Board program (Medicine)",
IF(OR(AND(AN$5&gt;0,AN$5&gt;100),AND(AN$5&gt;0,AN$5&lt;100)),
VLOOKUP(FLOOR(('Final Term'!AN73/AN$5)*100,1),new_transmute,4,FALSE),
VLOOKUP('Final Term'!AN73,new_transmute,4,FALSE)
),
""
)
)
)
)
)
)
)
)
))</f>
        <v/>
      </c>
      <c r="AO73" s="73" t="str">
        <f>IF($B73="","",
IF(AO$5="","",
IF('Final Term'!AO73="",0,
IF(NOT(ISNUMBER('Final Term'!AO73)),"NAN",
IF('Final Term'!AO73&lt;0,"NEG",
IF('Final Term'!AO73&gt;AO$5,"OVER",
IF(AND(AO$5&lt;=100,'Final Term'!AO73&gt;100),"ERR",
IF(Info!$B$4="Non-board program",
IF(OR(AND(AO$5&gt;0,AO$5&gt;100),AND(AO$5&gt;0,AO$5&lt;100)),
VLOOKUP(FLOOR(('Final Term'!AO73/AO$5)*100,1),new_transmute,2,FALSE),
VLOOKUP('Final Term'!AO73,new_transmute,2,FALSE)
),
IF(Info!$B$4="Board program",
IF(OR(AND(AO$5&gt;0,AO$5&gt;100),AND(AO$5&gt;0,AO$5&lt;100)),
VLOOKUP(FLOOR(('Final Term'!AO73/AO$5)*100,1),new_transmute,3,FALSE),
VLOOKUP('Final Term'!AO73,new_transmute,3,FALSE)
),
IF(Info!$B$4="Board program (Medicine)",
IF(OR(AND(AO$5&gt;0,AO$5&gt;100),AND(AO$5&gt;0,AO$5&lt;100)),
VLOOKUP(FLOOR(('Final Term'!AO73/AO$5)*100,1),new_transmute,4,FALSE),
VLOOKUP('Final Term'!AO73,new_transmute,4,FALSE)
),
""
)
)
)
)
)
)
)
)
))</f>
        <v/>
      </c>
      <c r="AP73" s="73" t="str">
        <f>IF($B73="","",
IF(AP$5="","",
IF('Final Term'!AP73="",0,
IF(NOT(ISNUMBER('Final Term'!AP73)),"NAN",
IF('Final Term'!AP73&lt;0,"NEG",
IF('Final Term'!AP73&gt;AP$5,"OVER",
IF(AND(AP$5&lt;=100,'Final Term'!AP73&gt;100),"ERR",
IF(Info!$B$4="Non-board program",
IF(OR(AND(AP$5&gt;0,AP$5&gt;100),AND(AP$5&gt;0,AP$5&lt;100)),
VLOOKUP(FLOOR(('Final Term'!AP73/AP$5)*100,1),new_transmute,2,FALSE),
VLOOKUP('Final Term'!AP73,new_transmute,2,FALSE)
),
IF(Info!$B$4="Board program",
IF(OR(AND(AP$5&gt;0,AP$5&gt;100),AND(AP$5&gt;0,AP$5&lt;100)),
VLOOKUP(FLOOR(('Final Term'!AP73/AP$5)*100,1),new_transmute,3,FALSE),
VLOOKUP('Final Term'!AP73,new_transmute,3,FALSE)
),
IF(Info!$B$4="Board program (Medicine)",
IF(OR(AND(AP$5&gt;0,AP$5&gt;100),AND(AP$5&gt;0,AP$5&lt;100)),
VLOOKUP(FLOOR(('Final Term'!AP73/AP$5)*100,1),new_transmute,4,FALSE),
VLOOKUP('Final Term'!AP73,new_transmute,4,FALSE)
),
""
)
)
)
)
)
)
)
)
))</f>
        <v/>
      </c>
      <c r="AQ73" s="61" t="str">
        <f t="shared" si="17"/>
        <v/>
      </c>
      <c r="AR73" s="48" t="str">
        <f>IF('Final Term'!AR73="","",'Final Term'!AR73)</f>
        <v/>
      </c>
      <c r="AS73" s="165" t="str">
        <f t="shared" si="18"/>
        <v/>
      </c>
      <c r="AT73" s="14" t="str">
        <f t="shared" si="19"/>
        <v/>
      </c>
      <c r="AU73" s="13" t="str">
        <f>IF(B73="","",VLOOKUP(AT73,'New Grade Equivalent'!$B$3:$C$47,2,FALSE))</f>
        <v/>
      </c>
    </row>
    <row r="74" spans="1:47" x14ac:dyDescent="0.25">
      <c r="A74" s="8">
        <v>69</v>
      </c>
      <c r="B74" s="2" t="str">
        <f>IF('Student List'!C78="","",UPPER(LEFT('Student List'!C78,FIND(",",'Student List'!C78)-1)))</f>
        <v/>
      </c>
      <c r="C74" s="12" t="str">
        <f>IF('Student List'!C78="","",PROPER(MID('Student List'!C78, FIND(",", 'Student List'!C78) + 2, LEN('Student List'!C78) - FIND(",", 'Student List'!C78) - 1)))</f>
        <v/>
      </c>
      <c r="D74" s="127" t="str">
        <f>IF('Final Term'!D74="","",'Final Term'!D74)</f>
        <v/>
      </c>
      <c r="E74" s="8" t="str">
        <f>IF(MidCom!E74="FA", "FA",
    IF(MidCom!E74="DRP", "DRP",
        IF(MidCom!E74="WF", "WF",
            IF(D74="Yes", "INC",
               IF((SUM('MT Attendance'!AW72) / 3 + SUM('MT Attendance'!AY72) + SUM('FT Attendance'!AW72) / 3 + SUM('FT Attendance'!AY72)) &gt;= 0.2 * (SUMPRODUCT(--(ISTEXT('MT Attendance'!$C$2:$AU$2))) + SUMPRODUCT(--(ISTEXT('FT Attendance'!$C$2:$AU$2)))), "FA",
                   MidCom!E74
                )
            )
        )
    )
)</f>
        <v/>
      </c>
      <c r="F74" s="73" t="str">
        <f>IF($B74="","",
IF(F$5="","",
IF('Final Term'!F74="",0,
IF(NOT(ISNUMBER('Final Term'!F74)),"NAN",
IF('Final Term'!F74&lt;0,"NEG",
IF('Final Term'!F74&gt;F$5,"OVER",
IF(AND(F$5&lt;=100,'Final Term'!F74&gt;100),"ERR",
IF(Info!$B$4="Non-board program",
IF(OR(AND(F$5&gt;0,F$5&gt;100),AND(F$5&gt;0,F$5&lt;100)),
VLOOKUP(FLOOR(('Final Term'!F74/F$5)*100,1),new_transmute,2,FALSE),
VLOOKUP('Final Term'!F74,new_transmute,2,FALSE)
),
IF(Info!$B$4="Board program",
IF(OR(AND(F$5&gt;0,F$5&gt;100),AND(F$5&gt;0,F$5&lt;100)),
VLOOKUP(FLOOR(('Final Term'!F74/F$5)*100,1),new_transmute,3,FALSE),
VLOOKUP('Final Term'!F74,new_transmute,3,FALSE)
),
IF(Info!$B$4="Board program (Medicine)",
IF(OR(AND(F$5&gt;0,F$5&gt;100),AND(F$5&gt;0,F$5&lt;100)),
VLOOKUP(FLOOR(('Final Term'!F74/F$5)*100,1),new_transmute,4,FALSE),
VLOOKUP('Final Term'!F74,new_transmute,4,FALSE)
),
""
)
)
)
)
)
)
)
)
))</f>
        <v/>
      </c>
      <c r="G74" s="57" t="str">
        <f t="shared" si="11"/>
        <v/>
      </c>
      <c r="H74" s="73" t="str">
        <f>IF($B74="","",
IF(H$5="","",
IF('Final Term'!H74="",0,
IF(NOT(ISNUMBER('Final Term'!H74)),"NAN",
IF('Final Term'!H74&lt;0,"NEG",
IF('Final Term'!H74&gt;H$5,"OVER",
IF(AND(H$5&lt;=100,'Final Term'!H74&gt;100),"ERR",
IF(Info!$B$4="Non-board program",
IF(OR(AND(H$5&gt;0,H$5&gt;100),AND(H$5&gt;0,H$5&lt;100)),
VLOOKUP(FLOOR(('Final Term'!H74/H$5)*100,1),new_transmute,2,FALSE),
VLOOKUP('Final Term'!H74,new_transmute,2,FALSE)
),
IF(Info!$B$4="Board program",
IF(OR(AND(H$5&gt;0,H$5&gt;100),AND(H$5&gt;0,H$5&lt;100)),
VLOOKUP(FLOOR(('Final Term'!H74/H$5)*100,1),new_transmute,3,FALSE),
VLOOKUP('Final Term'!H74,new_transmute,3,FALSE)
),
IF(Info!$B$4="Board program (Medicine)",
IF(OR(AND(H$5&gt;0,H$5&gt;100),AND(H$5&gt;0,H$5&lt;100)),
VLOOKUP(FLOOR(('Final Term'!H74/H$5)*100,1),new_transmute,4,FALSE),
VLOOKUP('Final Term'!H74,new_transmute,4,FALSE)
),
""
)
)
)
)
)
)
)
)
))</f>
        <v/>
      </c>
      <c r="I74" s="73" t="str">
        <f>IF($B74="","",
IF(I$5="","",
IF('Final Term'!I74="",0,
IF(NOT(ISNUMBER('Final Term'!I74)),"NAN",
IF('Final Term'!I74&lt;0,"NEG",
IF('Final Term'!I74&gt;I$5,"OVER",
IF(AND(I$5&lt;=100,'Final Term'!I74&gt;100),"ERR",
IF(Info!$B$4="Non-board program",
IF(OR(AND(I$5&gt;0,I$5&gt;100),AND(I$5&gt;0,I$5&lt;100)),
VLOOKUP(FLOOR(('Final Term'!I74/I$5)*100,1),new_transmute,2,FALSE),
VLOOKUP('Final Term'!I74,new_transmute,2,FALSE)
),
IF(Info!$B$4="Board program",
IF(OR(AND(I$5&gt;0,I$5&gt;100),AND(I$5&gt;0,I$5&lt;100)),
VLOOKUP(FLOOR(('Final Term'!I74/I$5)*100,1),new_transmute,3,FALSE),
VLOOKUP('Final Term'!I74,new_transmute,3,FALSE)
),
IF(Info!$B$4="Board program (Medicine)",
IF(OR(AND(I$5&gt;0,I$5&gt;100),AND(I$5&gt;0,I$5&lt;100)),
VLOOKUP(FLOOR(('Final Term'!I74/I$5)*100,1),new_transmute,4,FALSE),
VLOOKUP('Final Term'!I74,new_transmute,4,FALSE)
),
""
)
)
)
)
)
)
)
)
))</f>
        <v/>
      </c>
      <c r="J74" s="73" t="str">
        <f>IF($B74="","",
IF(J$5="","",
IF('Final Term'!J74="",0,
IF(NOT(ISNUMBER('Final Term'!J74)),"NAN",
IF('Final Term'!J74&lt;0,"NEG",
IF('Final Term'!J74&gt;J$5,"OVER",
IF(AND(J$5&lt;=100,'Final Term'!J74&gt;100),"ERR",
IF(Info!$B$4="Non-board program",
IF(OR(AND(J$5&gt;0,J$5&gt;100),AND(J$5&gt;0,J$5&lt;100)),
VLOOKUP(FLOOR(('Final Term'!J74/J$5)*100,1),new_transmute,2,FALSE),
VLOOKUP('Final Term'!J74,new_transmute,2,FALSE)
),
IF(Info!$B$4="Board program",
IF(OR(AND(J$5&gt;0,J$5&gt;100),AND(J$5&gt;0,J$5&lt;100)),
VLOOKUP(FLOOR(('Final Term'!J74/J$5)*100,1),new_transmute,3,FALSE),
VLOOKUP('Final Term'!J74,new_transmute,3,FALSE)
),
IF(Info!$B$4="Board program (Medicine)",
IF(OR(AND(J$5&gt;0,J$5&gt;100),AND(J$5&gt;0,J$5&lt;100)),
VLOOKUP(FLOOR(('Final Term'!J74/J$5)*100,1),new_transmute,4,FALSE),
VLOOKUP('Final Term'!J74,new_transmute,4,FALSE)
),
""
)
)
)
)
)
)
)
)
))</f>
        <v/>
      </c>
      <c r="K74" s="73" t="str">
        <f>IF($B74="","",
IF(K$5="","",
IF('Final Term'!K74="",0,
IF(NOT(ISNUMBER('Final Term'!K74)),"NAN",
IF('Final Term'!K74&lt;0,"NEG",
IF('Final Term'!K74&gt;K$5,"OVER",
IF(AND(K$5&lt;=100,'Final Term'!K74&gt;100),"ERR",
IF(Info!$B$4="Non-board program",
IF(OR(AND(K$5&gt;0,K$5&gt;100),AND(K$5&gt;0,K$5&lt;100)),
VLOOKUP(FLOOR(('Final Term'!K74/K$5)*100,1),new_transmute,2,FALSE),
VLOOKUP('Final Term'!K74,new_transmute,2,FALSE)
),
IF(Info!$B$4="Board program",
IF(OR(AND(K$5&gt;0,K$5&gt;100),AND(K$5&gt;0,K$5&lt;100)),
VLOOKUP(FLOOR(('Final Term'!K74/K$5)*100,1),new_transmute,3,FALSE),
VLOOKUP('Final Term'!K74,new_transmute,3,FALSE)
),
IF(Info!$B$4="Board program (Medicine)",
IF(OR(AND(K$5&gt;0,K$5&gt;100),AND(K$5&gt;0,K$5&lt;100)),
VLOOKUP(FLOOR(('Final Term'!K74/K$5)*100,1),new_transmute,4,FALSE),
VLOOKUP('Final Term'!K74,new_transmute,4,FALSE)
),
""
)
)
)
)
)
)
)
)
))</f>
        <v/>
      </c>
      <c r="L74" s="73" t="str">
        <f>IF($B74="","",
IF(L$5="","",
IF('Final Term'!L74="",0,
IF(NOT(ISNUMBER('Final Term'!L74)),"NAN",
IF('Final Term'!L74&lt;0,"NEG",
IF('Final Term'!L74&gt;L$5,"OVER",
IF(AND(L$5&lt;=100,'Final Term'!L74&gt;100),"ERR",
IF(Info!$B$4="Non-board program",
IF(OR(AND(L$5&gt;0,L$5&gt;100),AND(L$5&gt;0,L$5&lt;100)),
VLOOKUP(FLOOR(('Final Term'!L74/L$5)*100,1),new_transmute,2,FALSE),
VLOOKUP('Final Term'!L74,new_transmute,2,FALSE)
),
IF(Info!$B$4="Board program",
IF(OR(AND(L$5&gt;0,L$5&gt;100),AND(L$5&gt;0,L$5&lt;100)),
VLOOKUP(FLOOR(('Final Term'!L74/L$5)*100,1),new_transmute,3,FALSE),
VLOOKUP('Final Term'!L74,new_transmute,3,FALSE)
),
IF(Info!$B$4="Board program (Medicine)",
IF(OR(AND(L$5&gt;0,L$5&gt;100),AND(L$5&gt;0,L$5&lt;100)),
VLOOKUP(FLOOR(('Final Term'!L74/L$5)*100,1),new_transmute,4,FALSE),
VLOOKUP('Final Term'!L74,new_transmute,4,FALSE)
),
""
)
)
)
)
)
)
)
)
))</f>
        <v/>
      </c>
      <c r="M74" s="111" t="str">
        <f t="shared" si="12"/>
        <v/>
      </c>
      <c r="N74" s="73" t="str">
        <f>IF($B74="","",
IF(N$5="","",
IF('Final Term'!N74="",0,
IF(NOT(ISNUMBER('Final Term'!N74)),"NAN",
IF('Final Term'!N74&lt;0,"NEG",
IF('Final Term'!N74&gt;N$5,"OVER",
IF(AND(N$5&lt;=100,'Final Term'!N74&gt;100),"ERR",
IF(Info!$B$4="Non-board program",
IF(OR(AND(N$5&gt;0,N$5&gt;100),AND(N$5&gt;0,N$5&lt;100)),
VLOOKUP(FLOOR(('Final Term'!N74/N$5)*100,1),new_transmute,2,FALSE),
VLOOKUP('Final Term'!N74,new_transmute,2,FALSE)
),
IF(Info!$B$4="Board program",
IF(OR(AND(N$5&gt;0,N$5&gt;100),AND(N$5&gt;0,N$5&lt;100)),
VLOOKUP(FLOOR(('Final Term'!N74/N$5)*100,1),new_transmute,3,FALSE),
VLOOKUP('Final Term'!N74,new_transmute,3,FALSE)
),
IF(Info!$B$4="Board program (Medicine)",
IF(OR(AND(N$5&gt;0,N$5&gt;100),AND(N$5&gt;0,N$5&lt;100)),
VLOOKUP(FLOOR(('Final Term'!N74/N$5)*100,1),new_transmute,4,FALSE),
VLOOKUP('Final Term'!N74,new_transmute,4,FALSE)
),
""
)
)
)
)
)
)
)
)
))</f>
        <v/>
      </c>
      <c r="O74" s="73" t="str">
        <f>IF($B74="","",
IF(O$5="","",
IF('Final Term'!O74="",0,
IF(NOT(ISNUMBER('Final Term'!O74)),"NAN",
IF('Final Term'!O74&lt;0,"NEG",
IF('Final Term'!O74&gt;O$5,"OVER",
IF(AND(O$5&lt;=100,'Final Term'!O74&gt;100),"ERR",
IF(Info!$B$4="Non-board program",
IF(OR(AND(O$5&gt;0,O$5&gt;100),AND(O$5&gt;0,O$5&lt;100)),
VLOOKUP(FLOOR(('Final Term'!O74/O$5)*100,1),new_transmute,2,FALSE),
VLOOKUP('Final Term'!O74,new_transmute,2,FALSE)
),
IF(Info!$B$4="Board program",
IF(OR(AND(O$5&gt;0,O$5&gt;100),AND(O$5&gt;0,O$5&lt;100)),
VLOOKUP(FLOOR(('Final Term'!O74/O$5)*100,1),new_transmute,3,FALSE),
VLOOKUP('Final Term'!O74,new_transmute,3,FALSE)
),
IF(Info!$B$4="Board program (Medicine)",
IF(OR(AND(O$5&gt;0,O$5&gt;100),AND(O$5&gt;0,O$5&lt;100)),
VLOOKUP(FLOOR(('Final Term'!O74/O$5)*100,1),new_transmute,4,FALSE),
VLOOKUP('Final Term'!O74,new_transmute,4,FALSE)
),
""
)
)
)
)
)
)
)
)
))</f>
        <v/>
      </c>
      <c r="P74" s="73" t="str">
        <f>IF($B74="","",
IF(P$5="","",
IF('Final Term'!P74="",0,
IF(NOT(ISNUMBER('Final Term'!P74)),"NAN",
IF('Final Term'!P74&lt;0,"NEG",
IF('Final Term'!P74&gt;P$5,"OVER",
IF(AND(P$5&lt;=100,'Final Term'!P74&gt;100),"ERR",
IF(Info!$B$4="Non-board program",
IF(OR(AND(P$5&gt;0,P$5&gt;100),AND(P$5&gt;0,P$5&lt;100)),
VLOOKUP(FLOOR(('Final Term'!P74/P$5)*100,1),new_transmute,2,FALSE),
VLOOKUP('Final Term'!P74,new_transmute,2,FALSE)
),
IF(Info!$B$4="Board program",
IF(OR(AND(P$5&gt;0,P$5&gt;100),AND(P$5&gt;0,P$5&lt;100)),
VLOOKUP(FLOOR(('Final Term'!P74/P$5)*100,1),new_transmute,3,FALSE),
VLOOKUP('Final Term'!P74,new_transmute,3,FALSE)
),
IF(Info!$B$4="Board program (Medicine)",
IF(OR(AND(P$5&gt;0,P$5&gt;100),AND(P$5&gt;0,P$5&lt;100)),
VLOOKUP(FLOOR(('Final Term'!P74/P$5)*100,1),new_transmute,4,FALSE),
VLOOKUP('Final Term'!P74,new_transmute,4,FALSE)
),
""
)
)
)
)
)
)
)
)
))</f>
        <v/>
      </c>
      <c r="Q74" s="73" t="str">
        <f>IF($B74="","",
IF(Q$5="","",
IF('Final Term'!Q74="",0,
IF(NOT(ISNUMBER('Final Term'!Q74)),"NAN",
IF('Final Term'!Q74&lt;0,"NEG",
IF('Final Term'!Q74&gt;Q$5,"OVER",
IF(AND(Q$5&lt;=100,'Final Term'!Q74&gt;100),"ERR",
IF(Info!$B$4="Non-board program",
IF(OR(AND(Q$5&gt;0,Q$5&gt;100),AND(Q$5&gt;0,Q$5&lt;100)),
VLOOKUP(FLOOR(('Final Term'!Q74/Q$5)*100,1),new_transmute,2,FALSE),
VLOOKUP('Final Term'!Q74,new_transmute,2,FALSE)
),
IF(Info!$B$4="Board program",
IF(OR(AND(Q$5&gt;0,Q$5&gt;100),AND(Q$5&gt;0,Q$5&lt;100)),
VLOOKUP(FLOOR(('Final Term'!Q74/Q$5)*100,1),new_transmute,3,FALSE),
VLOOKUP('Final Term'!Q74,new_transmute,3,FALSE)
),
IF(Info!$B$4="Board program (Medicine)",
IF(OR(AND(Q$5&gt;0,Q$5&gt;100),AND(Q$5&gt;0,Q$5&lt;100)),
VLOOKUP(FLOOR(('Final Term'!Q74/Q$5)*100,1),new_transmute,4,FALSE),
VLOOKUP('Final Term'!Q74,new_transmute,4,FALSE)
),
""
)
)
)
)
)
)
)
)
))</f>
        <v/>
      </c>
      <c r="R74" s="73" t="str">
        <f>IF($B74="","",
IF(R$5="","",
IF('Final Term'!R74="",0,
IF(NOT(ISNUMBER('Final Term'!R74)),"NAN",
IF('Final Term'!R74&lt;0,"NEG",
IF('Final Term'!R74&gt;R$5,"OVER",
IF(AND(R$5&lt;=100,'Final Term'!R74&gt;100),"ERR",
IF(Info!$B$4="Non-board program",
IF(OR(AND(R$5&gt;0,R$5&gt;100),AND(R$5&gt;0,R$5&lt;100)),
VLOOKUP(FLOOR(('Final Term'!R74/R$5)*100,1),new_transmute,2,FALSE),
VLOOKUP('Final Term'!R74,new_transmute,2,FALSE)
),
IF(Info!$B$4="Board program",
IF(OR(AND(R$5&gt;0,R$5&gt;100),AND(R$5&gt;0,R$5&lt;100)),
VLOOKUP(FLOOR(('Final Term'!R74/R$5)*100,1),new_transmute,3,FALSE),
VLOOKUP('Final Term'!R74,new_transmute,3,FALSE)
),
IF(Info!$B$4="Board program (Medicine)",
IF(OR(AND(R$5&gt;0,R$5&gt;100),AND(R$5&gt;0,R$5&lt;100)),
VLOOKUP(FLOOR(('Final Term'!R74/R$5)*100,1),new_transmute,4,FALSE),
VLOOKUP('Final Term'!R74,new_transmute,4,FALSE)
),
""
)
)
)
)
)
)
)
)
))</f>
        <v/>
      </c>
      <c r="S74" s="115" t="str">
        <f t="shared" si="13"/>
        <v/>
      </c>
      <c r="T74" s="73" t="str">
        <f>IF($B74="","",
IF(T$5="","",
IF('Final Term'!T74="",0,
IF(NOT(ISNUMBER('Final Term'!T74)),"NAN",
IF('Final Term'!T74&lt;0,"NEG",
IF('Final Term'!T74&gt;T$5,"OVER",
IF(AND(T$5&lt;=100,'Final Term'!T74&gt;100),"ERR",
IF(Info!$B$4="Non-board program",
IF(OR(AND(T$5&gt;0,T$5&gt;100),AND(T$5&gt;0,T$5&lt;100)),
VLOOKUP(FLOOR(('Final Term'!T74/T$5)*100,1),new_transmute,2,FALSE),
VLOOKUP('Final Term'!T74,new_transmute,2,FALSE)
),
IF(Info!$B$4="Board program",
IF(OR(AND(T$5&gt;0,T$5&gt;100),AND(T$5&gt;0,T$5&lt;100)),
VLOOKUP(FLOOR(('Final Term'!T74/T$5)*100,1),new_transmute,3,FALSE),
VLOOKUP('Final Term'!T74,new_transmute,3,FALSE)
),
IF(Info!$B$4="Board program (Medicine)",
IF(OR(AND(T$5&gt;0,T$5&gt;100),AND(T$5&gt;0,T$5&lt;100)),
VLOOKUP(FLOOR(('Final Term'!T74/T$5)*100,1),new_transmute,4,FALSE),
VLOOKUP('Final Term'!T74,new_transmute,4,FALSE)
),
""
)
)
)
)
)
)
)
)
))</f>
        <v/>
      </c>
      <c r="U74" s="73" t="str">
        <f>IF($B74="","",
IF(U$5="","",
IF('Final Term'!U74="",0,
IF(NOT(ISNUMBER('Final Term'!U74)),"NAN",
IF('Final Term'!U74&lt;0,"NEG",
IF('Final Term'!U74&gt;U$5,"OVER",
IF(AND(U$5&lt;=100,'Final Term'!U74&gt;100),"ERR",
IF(Info!$B$4="Non-board program",
IF(OR(AND(U$5&gt;0,U$5&gt;100),AND(U$5&gt;0,U$5&lt;100)),
VLOOKUP(FLOOR(('Final Term'!U74/U$5)*100,1),new_transmute,2,FALSE),
VLOOKUP('Final Term'!U74,new_transmute,2,FALSE)
),
IF(Info!$B$4="Board program",
IF(OR(AND(U$5&gt;0,U$5&gt;100),AND(U$5&gt;0,U$5&lt;100)),
VLOOKUP(FLOOR(('Final Term'!U74/U$5)*100,1),new_transmute,3,FALSE),
VLOOKUP('Final Term'!U74,new_transmute,3,FALSE)
),
IF(Info!$B$4="Board program (Medicine)",
IF(OR(AND(U$5&gt;0,U$5&gt;100),AND(U$5&gt;0,U$5&lt;100)),
VLOOKUP(FLOOR(('Final Term'!U74/U$5)*100,1),new_transmute,4,FALSE),
VLOOKUP('Final Term'!U74,new_transmute,4,FALSE)
),
""
)
)
)
)
)
)
)
)
))</f>
        <v/>
      </c>
      <c r="V74" s="73" t="str">
        <f>IF($B74="","",
IF(V$5="","",
IF('Final Term'!V74="",0,
IF(NOT(ISNUMBER('Final Term'!V74)),"NAN",
IF('Final Term'!V74&lt;0,"NEG",
IF('Final Term'!V74&gt;V$5,"OVER",
IF(AND(V$5&lt;=100,'Final Term'!V74&gt;100),"ERR",
IF(Info!$B$4="Non-board program",
IF(OR(AND(V$5&gt;0,V$5&gt;100),AND(V$5&gt;0,V$5&lt;100)),
VLOOKUP(FLOOR(('Final Term'!V74/V$5)*100,1),new_transmute,2,FALSE),
VLOOKUP('Final Term'!V74,new_transmute,2,FALSE)
),
IF(Info!$B$4="Board program",
IF(OR(AND(V$5&gt;0,V$5&gt;100),AND(V$5&gt;0,V$5&lt;100)),
VLOOKUP(FLOOR(('Final Term'!V74/V$5)*100,1),new_transmute,3,FALSE),
VLOOKUP('Final Term'!V74,new_transmute,3,FALSE)
),
IF(Info!$B$4="Board program (Medicine)",
IF(OR(AND(V$5&gt;0,V$5&gt;100),AND(V$5&gt;0,V$5&lt;100)),
VLOOKUP(FLOOR(('Final Term'!V74/V$5)*100,1),new_transmute,4,FALSE),
VLOOKUP('Final Term'!V74,new_transmute,4,FALSE)
),
""
)
)
)
)
)
)
)
)
))</f>
        <v/>
      </c>
      <c r="W74" s="73" t="str">
        <f>IF($B74="","",
IF(W$5="","",
IF('Final Term'!W74="",0,
IF(NOT(ISNUMBER('Final Term'!W74)),"NAN",
IF('Final Term'!W74&lt;0,"NEG",
IF('Final Term'!W74&gt;W$5,"OVER",
IF(AND(W$5&lt;=100,'Final Term'!W74&gt;100),"ERR",
IF(Info!$B$4="Non-board program",
IF(OR(AND(W$5&gt;0,W$5&gt;100),AND(W$5&gt;0,W$5&lt;100)),
VLOOKUP(FLOOR(('Final Term'!W74/W$5)*100,1),new_transmute,2,FALSE),
VLOOKUP('Final Term'!W74,new_transmute,2,FALSE)
),
IF(Info!$B$4="Board program",
IF(OR(AND(W$5&gt;0,W$5&gt;100),AND(W$5&gt;0,W$5&lt;100)),
VLOOKUP(FLOOR(('Final Term'!W74/W$5)*100,1),new_transmute,3,FALSE),
VLOOKUP('Final Term'!W74,new_transmute,3,FALSE)
),
IF(Info!$B$4="Board program (Medicine)",
IF(OR(AND(W$5&gt;0,W$5&gt;100),AND(W$5&gt;0,W$5&lt;100)),
VLOOKUP(FLOOR(('Final Term'!W74/W$5)*100,1),new_transmute,4,FALSE),
VLOOKUP('Final Term'!W74,new_transmute,4,FALSE)
),
""
)
)
)
)
)
)
)
)
))</f>
        <v/>
      </c>
      <c r="X74" s="73" t="str">
        <f>IF($B74="","",
IF(X$5="","",
IF('Final Term'!X74="",0,
IF(NOT(ISNUMBER('Final Term'!X74)),"NAN",
IF('Final Term'!X74&lt;0,"NEG",
IF('Final Term'!X74&gt;X$5,"OVER",
IF(AND(X$5&lt;=100,'Final Term'!X74&gt;100),"ERR",
IF(Info!$B$4="Non-board program",
IF(OR(AND(X$5&gt;0,X$5&gt;100),AND(X$5&gt;0,X$5&lt;100)),
VLOOKUP(FLOOR(('Final Term'!X74/X$5)*100,1),new_transmute,2,FALSE),
VLOOKUP('Final Term'!X74,new_transmute,2,FALSE)
),
IF(Info!$B$4="Board program",
IF(OR(AND(X$5&gt;0,X$5&gt;100),AND(X$5&gt;0,X$5&lt;100)),
VLOOKUP(FLOOR(('Final Term'!X74/X$5)*100,1),new_transmute,3,FALSE),
VLOOKUP('Final Term'!X74,new_transmute,3,FALSE)
),
IF(Info!$B$4="Board program (Medicine)",
IF(OR(AND(X$5&gt;0,X$5&gt;100),AND(X$5&gt;0,X$5&lt;100)),
VLOOKUP(FLOOR(('Final Term'!X74/X$5)*100,1),new_transmute,4,FALSE),
VLOOKUP('Final Term'!X74,new_transmute,4,FALSE)
),
""
)
)
)
)
)
)
)
)
))</f>
        <v/>
      </c>
      <c r="Y74" s="112" t="str">
        <f t="shared" si="14"/>
        <v/>
      </c>
      <c r="Z74" s="73" t="str">
        <f>IF($B74="","",
IF(Z$5="","",
IF('Final Term'!Z74="",0,
IF(NOT(ISNUMBER('Final Term'!Z74)),"NAN",
IF('Final Term'!Z74&lt;0,"NEG",
IF('Final Term'!Z74&gt;Z$5,"OVER",
IF(AND(Z$5&lt;=100,'Final Term'!Z74&gt;100),"ERR",
IF(Info!$B$4="Non-board program",
IF(OR(AND(Z$5&gt;0,Z$5&gt;100),AND(Z$5&gt;0,Z$5&lt;100)),
VLOOKUP(FLOOR(('Final Term'!Z74/Z$5)*100,1),new_transmute,2,FALSE),
VLOOKUP('Final Term'!Z74,new_transmute,2,FALSE)
),
IF(Info!$B$4="Board program",
IF(OR(AND(Z$5&gt;0,Z$5&gt;100),AND(Z$5&gt;0,Z$5&lt;100)),
VLOOKUP(FLOOR(('Final Term'!Z74/Z$5)*100,1),new_transmute,3,FALSE),
VLOOKUP('Final Term'!Z74,new_transmute,3,FALSE)
),
IF(Info!$B$4="Board program (Medicine)",
IF(OR(AND(Z$5&gt;0,Z$5&gt;100),AND(Z$5&gt;0,Z$5&lt;100)),
VLOOKUP(FLOOR(('Final Term'!Z74/Z$5)*100,1),new_transmute,4,FALSE),
VLOOKUP('Final Term'!Z74,new_transmute,4,FALSE)
),
""
)
)
)
)
)
)
)
)
))</f>
        <v/>
      </c>
      <c r="AA74" s="73" t="str">
        <f>IF($B74="","",
IF(AA$5="","",
IF('Final Term'!AA74="",0,
IF(NOT(ISNUMBER('Final Term'!AA74)),"NAN",
IF('Final Term'!AA74&lt;0,"NEG",
IF('Final Term'!AA74&gt;AA$5,"OVER",
IF(AND(AA$5&lt;=100,'Final Term'!AA74&gt;100),"ERR",
IF(Info!$B$4="Non-board program",
IF(OR(AND(AA$5&gt;0,AA$5&gt;100),AND(AA$5&gt;0,AA$5&lt;100)),
VLOOKUP(FLOOR(('Final Term'!AA74/AA$5)*100,1),new_transmute,2,FALSE),
VLOOKUP('Final Term'!AA74,new_transmute,2,FALSE)
),
IF(Info!$B$4="Board program",
IF(OR(AND(AA$5&gt;0,AA$5&gt;100),AND(AA$5&gt;0,AA$5&lt;100)),
VLOOKUP(FLOOR(('Final Term'!AA74/AA$5)*100,1),new_transmute,3,FALSE),
VLOOKUP('Final Term'!AA74,new_transmute,3,FALSE)
),
IF(Info!$B$4="Board program (Medicine)",
IF(OR(AND(AA$5&gt;0,AA$5&gt;100),AND(AA$5&gt;0,AA$5&lt;100)),
VLOOKUP(FLOOR(('Final Term'!AA74/AA$5)*100,1),new_transmute,4,FALSE),
VLOOKUP('Final Term'!AA74,new_transmute,4,FALSE)
),
""
)
)
)
)
)
)
)
)
))</f>
        <v/>
      </c>
      <c r="AB74" s="73" t="str">
        <f>IF($B74="","",
IF(AB$5="","",
IF('Final Term'!AB74="",0,
IF(NOT(ISNUMBER('Final Term'!AB74)),"NAN",
IF('Final Term'!AB74&lt;0,"NEG",
IF('Final Term'!AB74&gt;AB$5,"OVER",
IF(AND(AB$5&lt;=100,'Final Term'!AB74&gt;100),"ERR",
IF(Info!$B$4="Non-board program",
IF(OR(AND(AB$5&gt;0,AB$5&gt;100),AND(AB$5&gt;0,AB$5&lt;100)),
VLOOKUP(FLOOR(('Final Term'!AB74/AB$5)*100,1),new_transmute,2,FALSE),
VLOOKUP('Final Term'!AB74,new_transmute,2,FALSE)
),
IF(Info!$B$4="Board program",
IF(OR(AND(AB$5&gt;0,AB$5&gt;100),AND(AB$5&gt;0,AB$5&lt;100)),
VLOOKUP(FLOOR(('Final Term'!AB74/AB$5)*100,1),new_transmute,3,FALSE),
VLOOKUP('Final Term'!AB74,new_transmute,3,FALSE)
),
IF(Info!$B$4="Board program (Medicine)",
IF(OR(AND(AB$5&gt;0,AB$5&gt;100),AND(AB$5&gt;0,AB$5&lt;100)),
VLOOKUP(FLOOR(('Final Term'!AB74/AB$5)*100,1),new_transmute,4,FALSE),
VLOOKUP('Final Term'!AB74,new_transmute,4,FALSE)
),
""
)
)
)
)
)
)
)
)
))</f>
        <v/>
      </c>
      <c r="AC74" s="73" t="str">
        <f>IF($B74="","",
IF(AC$5="","",
IF('Final Term'!AC74="",0,
IF(NOT(ISNUMBER('Final Term'!AC74)),"NAN",
IF('Final Term'!AC74&lt;0,"NEG",
IF('Final Term'!AC74&gt;AC$5,"OVER",
IF(AND(AC$5&lt;=100,'Final Term'!AC74&gt;100),"ERR",
IF(Info!$B$4="Non-board program",
IF(OR(AND(AC$5&gt;0,AC$5&gt;100),AND(AC$5&gt;0,AC$5&lt;100)),
VLOOKUP(FLOOR(('Final Term'!AC74/AC$5)*100,1),new_transmute,2,FALSE),
VLOOKUP('Final Term'!AC74,new_transmute,2,FALSE)
),
IF(Info!$B$4="Board program",
IF(OR(AND(AC$5&gt;0,AC$5&gt;100),AND(AC$5&gt;0,AC$5&lt;100)),
VLOOKUP(FLOOR(('Final Term'!AC74/AC$5)*100,1),new_transmute,3,FALSE),
VLOOKUP('Final Term'!AC74,new_transmute,3,FALSE)
),
IF(Info!$B$4="Board program (Medicine)",
IF(OR(AND(AC$5&gt;0,AC$5&gt;100),AND(AC$5&gt;0,AC$5&lt;100)),
VLOOKUP(FLOOR(('Final Term'!AC74/AC$5)*100,1),new_transmute,4,FALSE),
VLOOKUP('Final Term'!AC74,new_transmute,4,FALSE)
),
""
)
)
)
)
)
)
)
)
))</f>
        <v/>
      </c>
      <c r="AD74" s="73" t="str">
        <f>IF($B74="","",
IF(AD$5="","",
IF('Final Term'!AD74="",0,
IF(NOT(ISNUMBER('Final Term'!AD74)),"NAN",
IF('Final Term'!AD74&lt;0,"NEG",
IF('Final Term'!AD74&gt;AD$5,"OVER",
IF(AND(AD$5&lt;=100,'Final Term'!AD74&gt;100),"ERR",
IF(Info!$B$4="Non-board program",
IF(OR(AND(AD$5&gt;0,AD$5&gt;100),AND(AD$5&gt;0,AD$5&lt;100)),
VLOOKUP(FLOOR(('Final Term'!AD74/AD$5)*100,1),new_transmute,2,FALSE),
VLOOKUP('Final Term'!AD74,new_transmute,2,FALSE)
),
IF(Info!$B$4="Board program",
IF(OR(AND(AD$5&gt;0,AD$5&gt;100),AND(AD$5&gt;0,AD$5&lt;100)),
VLOOKUP(FLOOR(('Final Term'!AD74/AD$5)*100,1),new_transmute,3,FALSE),
VLOOKUP('Final Term'!AD74,new_transmute,3,FALSE)
),
IF(Info!$B$4="Board program (Medicine)",
IF(OR(AND(AD$5&gt;0,AD$5&gt;100),AND(AD$5&gt;0,AD$5&lt;100)),
VLOOKUP(FLOOR(('Final Term'!AD74/AD$5)*100,1),new_transmute,4,FALSE),
VLOOKUP('Final Term'!AD74,new_transmute,4,FALSE)
),
""
)
)
)
)
)
)
)
)
))</f>
        <v/>
      </c>
      <c r="AE74" s="58" t="str">
        <f t="shared" si="15"/>
        <v/>
      </c>
      <c r="AF74" s="73" t="str">
        <f>IF($B74="","",
IF(AF$5="","",
IF('Final Term'!AF74="",0,
IF(NOT(ISNUMBER('Final Term'!AF74)),"NAN",
IF('Final Term'!AF74&lt;0,"NEG",
IF('Final Term'!AF74&gt;AF$5,"OVER",
IF(AND(AF$5&lt;=100,'Final Term'!AF74&gt;100),"ERR",
IF(Info!$B$4="Non-board program",
IF(OR(AND(AF$5&gt;0,AF$5&gt;100),AND(AF$5&gt;0,AF$5&lt;100)),
VLOOKUP(FLOOR(('Final Term'!AF74/AF$5)*100,1),new_transmute,2,FALSE),
VLOOKUP('Final Term'!AF74,new_transmute,2,FALSE)
),
IF(Info!$B$4="Board program",
IF(OR(AND(AF$5&gt;0,AF$5&gt;100),AND(AF$5&gt;0,AF$5&lt;100)),
VLOOKUP(FLOOR(('Final Term'!AF74/AF$5)*100,1),new_transmute,3,FALSE),
VLOOKUP('Final Term'!AF74,new_transmute,3,FALSE)
),
IF(Info!$B$4="Board program (Medicine)",
IF(OR(AND(AF$5&gt;0,AF$5&gt;100),AND(AF$5&gt;0,AF$5&lt;100)),
VLOOKUP(FLOOR(('Final Term'!AF74/AF$5)*100,1),new_transmute,4,FALSE),
VLOOKUP('Final Term'!AF74,new_transmute,4,FALSE)
),
""
)
)
)
)
)
)
)
)
))</f>
        <v/>
      </c>
      <c r="AG74" s="73" t="str">
        <f>IF($B74="","",
IF(AG$5="","",
IF('Final Term'!AG74="",0,
IF(NOT(ISNUMBER('Final Term'!AG74)),"NAN",
IF('Final Term'!AG74&lt;0,"NEG",
IF('Final Term'!AG74&gt;AG$5,"OVER",
IF(AND(AG$5&lt;=100,'Final Term'!AG74&gt;100),"ERR",
IF(Info!$B$4="Non-board program",
IF(OR(AND(AG$5&gt;0,AG$5&gt;100),AND(AG$5&gt;0,AG$5&lt;100)),
VLOOKUP(FLOOR(('Final Term'!AG74/AG$5)*100,1),new_transmute,2,FALSE),
VLOOKUP('Final Term'!AG74,new_transmute,2,FALSE)
),
IF(Info!$B$4="Board program",
IF(OR(AND(AG$5&gt;0,AG$5&gt;100),AND(AG$5&gt;0,AG$5&lt;100)),
VLOOKUP(FLOOR(('Final Term'!AG74/AG$5)*100,1),new_transmute,3,FALSE),
VLOOKUP('Final Term'!AG74,new_transmute,3,FALSE)
),
IF(Info!$B$4="Board program (Medicine)",
IF(OR(AND(AG$5&gt;0,AG$5&gt;100),AND(AG$5&gt;0,AG$5&lt;100)),
VLOOKUP(FLOOR(('Final Term'!AG74/AG$5)*100,1),new_transmute,4,FALSE),
VLOOKUP('Final Term'!AG74,new_transmute,4,FALSE)
),
""
)
)
)
)
)
)
)
)
))</f>
        <v/>
      </c>
      <c r="AH74" s="73" t="str">
        <f>IF($B74="","",
IF(AH$5="","",
IF('Final Term'!AH74="",0,
IF(NOT(ISNUMBER('Final Term'!AH74)),"NAN",
IF('Final Term'!AH74&lt;0,"NEG",
IF('Final Term'!AH74&gt;AH$5,"OVER",
IF(AND(AH$5&lt;=100,'Final Term'!AH74&gt;100),"ERR",
IF(Info!$B$4="Non-board program",
IF(OR(AND(AH$5&gt;0,AH$5&gt;100),AND(AH$5&gt;0,AH$5&lt;100)),
VLOOKUP(FLOOR(('Final Term'!AH74/AH$5)*100,1),new_transmute,2,FALSE),
VLOOKUP('Final Term'!AH74,new_transmute,2,FALSE)
),
IF(Info!$B$4="Board program",
IF(OR(AND(AH$5&gt;0,AH$5&gt;100),AND(AH$5&gt;0,AH$5&lt;100)),
VLOOKUP(FLOOR(('Final Term'!AH74/AH$5)*100,1),new_transmute,3,FALSE),
VLOOKUP('Final Term'!AH74,new_transmute,3,FALSE)
),
IF(Info!$B$4="Board program (Medicine)",
IF(OR(AND(AH$5&gt;0,AH$5&gt;100),AND(AH$5&gt;0,AH$5&lt;100)),
VLOOKUP(FLOOR(('Final Term'!AH74/AH$5)*100,1),new_transmute,4,FALSE),
VLOOKUP('Final Term'!AH74,new_transmute,4,FALSE)
),
""
)
)
)
)
)
)
)
)
))</f>
        <v/>
      </c>
      <c r="AI74" s="73" t="str">
        <f>IF($B74="","",
IF(AI$5="","",
IF('Final Term'!AI74="",0,
IF(NOT(ISNUMBER('Final Term'!AI74)),"NAN",
IF('Final Term'!AI74&lt;0,"NEG",
IF('Final Term'!AI74&gt;AI$5,"OVER",
IF(AND(AI$5&lt;=100,'Final Term'!AI74&gt;100),"ERR",
IF(Info!$B$4="Non-board program",
IF(OR(AND(AI$5&gt;0,AI$5&gt;100),AND(AI$5&gt;0,AI$5&lt;100)),
VLOOKUP(FLOOR(('Final Term'!AI74/AI$5)*100,1),new_transmute,2,FALSE),
VLOOKUP('Final Term'!AI74,new_transmute,2,FALSE)
),
IF(Info!$B$4="Board program",
IF(OR(AND(AI$5&gt;0,AI$5&gt;100),AND(AI$5&gt;0,AI$5&lt;100)),
VLOOKUP(FLOOR(('Final Term'!AI74/AI$5)*100,1),new_transmute,3,FALSE),
VLOOKUP('Final Term'!AI74,new_transmute,3,FALSE)
),
IF(Info!$B$4="Board program (Medicine)",
IF(OR(AND(AI$5&gt;0,AI$5&gt;100),AND(AI$5&gt;0,AI$5&lt;100)),
VLOOKUP(FLOOR(('Final Term'!AI74/AI$5)*100,1),new_transmute,4,FALSE),
VLOOKUP('Final Term'!AI74,new_transmute,4,FALSE)
),
""
)
)
)
)
)
)
)
)
))</f>
        <v/>
      </c>
      <c r="AJ74" s="73" t="str">
        <f>IF($B74="","",
IF(AJ$5="","",
IF('Final Term'!AJ74="",0,
IF(NOT(ISNUMBER('Final Term'!AJ74)),"NAN",
IF('Final Term'!AJ74&lt;0,"NEG",
IF('Final Term'!AJ74&gt;AJ$5,"OVER",
IF(AND(AJ$5&lt;=100,'Final Term'!AJ74&gt;100),"ERR",
IF(Info!$B$4="Non-board program",
IF(OR(AND(AJ$5&gt;0,AJ$5&gt;100),AND(AJ$5&gt;0,AJ$5&lt;100)),
VLOOKUP(FLOOR(('Final Term'!AJ74/AJ$5)*100,1),new_transmute,2,FALSE),
VLOOKUP('Final Term'!AJ74,new_transmute,2,FALSE)
),
IF(Info!$B$4="Board program",
IF(OR(AND(AJ$5&gt;0,AJ$5&gt;100),AND(AJ$5&gt;0,AJ$5&lt;100)),
VLOOKUP(FLOOR(('Final Term'!AJ74/AJ$5)*100,1),new_transmute,3,FALSE),
VLOOKUP('Final Term'!AJ74,new_transmute,3,FALSE)
),
IF(Info!$B$4="Board program (Medicine)",
IF(OR(AND(AJ$5&gt;0,AJ$5&gt;100),AND(AJ$5&gt;0,AJ$5&lt;100)),
VLOOKUP(FLOOR(('Final Term'!AJ74/AJ$5)*100,1),new_transmute,4,FALSE),
VLOOKUP('Final Term'!AJ74,new_transmute,4,FALSE)
),
""
)
)
)
)
)
)
)
)
))</f>
        <v/>
      </c>
      <c r="AK74" s="59" t="str">
        <f t="shared" si="16"/>
        <v/>
      </c>
      <c r="AL74" s="60" t="str">
        <f>IF(B74="", "",
    IF(OR(M74="OVER", S74="OVER", Y74="OVER", AE74="OVER", AK74="OVER"),
        "OVER",
        IF(Info!$B$4="Non-board program",
            VLOOKUP(IFERROR(FLOOR(SUM((M74*$M$4), (S74*$S$4), (Y74*$Y$4), (AE74*$AE$4), (AK74*$AK$4)) * (100 / 60), 1), 0), new_transmute, 2, FALSE),
            IF(Info!$B$4="Board program",
                VLOOKUP(IFERROR(FLOOR(SUM((M74*$M$4), (S74*$S$4), (Y74*$Y$4), (AE74*$AE$4), (AK74*$AK$4)) * (100 / 60), 1), 0), new_transmute, 3, FALSE),
                IF(Info!$B$4="Board program (Medicine)",
                    VLOOKUP(IFERROR(FLOOR(SUM((M74*$M$4), (S74*$S$4), (Y74*$Y$4), (AE74*$AE$4), (AK74*$AK$4)) * (100 / 60), 1), 0), new_transmute, 4, FALSE),
                    ""
                )
            )
        )
    )
)</f>
        <v/>
      </c>
      <c r="AM74" s="73" t="str">
        <f>IF($B74="","",
IF(AM$5="","",
IF('Final Term'!AM74="",0,
IF(NOT(ISNUMBER('Final Term'!AM74)),"NAN",
IF('Final Term'!AM74&lt;0,"NEG",
IF('Final Term'!AM74&gt;AM$5,"OVER",
IF(AND(AM$5&lt;=100,'Final Term'!AM74&gt;100),"ERR",
IF(Info!$B$4="Non-board program",
IF(OR(AND(AM$5&gt;0,AM$5&gt;100),AND(AM$5&gt;0,AM$5&lt;100)),
VLOOKUP(FLOOR(('Final Term'!AM74/AM$5)*100,1),new_transmute,2,FALSE),
VLOOKUP('Final Term'!AM74,new_transmute,2,FALSE)
),
IF(Info!$B$4="Board program",
IF(OR(AND(AM$5&gt;0,AM$5&gt;100),AND(AM$5&gt;0,AM$5&lt;100)),
VLOOKUP(FLOOR(('Final Term'!AM74/AM$5)*100,1),new_transmute,3,FALSE),
VLOOKUP('Final Term'!AM74,new_transmute,3,FALSE)
),
IF(Info!$B$4="Board program (Medicine)",
IF(OR(AND(AM$5&gt;0,AM$5&gt;100),AND(AM$5&gt;0,AM$5&lt;100)),
VLOOKUP(FLOOR(('Final Term'!AM74/AM$5)*100,1),new_transmute,4,FALSE),
VLOOKUP('Final Term'!AM74,new_transmute,4,FALSE)
),
""
)
)
)
)
)
)
)
)
))</f>
        <v/>
      </c>
      <c r="AN74" s="73" t="str">
        <f>IF($B74="","",
IF(AN$5="","",
IF('Final Term'!AN74="",0,
IF(NOT(ISNUMBER('Final Term'!AN74)),"NAN",
IF('Final Term'!AN74&lt;0,"NEG",
IF('Final Term'!AN74&gt;AN$5,"OVER",
IF(AND(AN$5&lt;=100,'Final Term'!AN74&gt;100),"ERR",
IF(Info!$B$4="Non-board program",
IF(OR(AND(AN$5&gt;0,AN$5&gt;100),AND(AN$5&gt;0,AN$5&lt;100)),
VLOOKUP(FLOOR(('Final Term'!AN74/AN$5)*100,1),new_transmute,2,FALSE),
VLOOKUP('Final Term'!AN74,new_transmute,2,FALSE)
),
IF(Info!$B$4="Board program",
IF(OR(AND(AN$5&gt;0,AN$5&gt;100),AND(AN$5&gt;0,AN$5&lt;100)),
VLOOKUP(FLOOR(('Final Term'!AN74/AN$5)*100,1),new_transmute,3,FALSE),
VLOOKUP('Final Term'!AN74,new_transmute,3,FALSE)
),
IF(Info!$B$4="Board program (Medicine)",
IF(OR(AND(AN$5&gt;0,AN$5&gt;100),AND(AN$5&gt;0,AN$5&lt;100)),
VLOOKUP(FLOOR(('Final Term'!AN74/AN$5)*100,1),new_transmute,4,FALSE),
VLOOKUP('Final Term'!AN74,new_transmute,4,FALSE)
),
""
)
)
)
)
)
)
)
)
))</f>
        <v/>
      </c>
      <c r="AO74" s="73" t="str">
        <f>IF($B74="","",
IF(AO$5="","",
IF('Final Term'!AO74="",0,
IF(NOT(ISNUMBER('Final Term'!AO74)),"NAN",
IF('Final Term'!AO74&lt;0,"NEG",
IF('Final Term'!AO74&gt;AO$5,"OVER",
IF(AND(AO$5&lt;=100,'Final Term'!AO74&gt;100),"ERR",
IF(Info!$B$4="Non-board program",
IF(OR(AND(AO$5&gt;0,AO$5&gt;100),AND(AO$5&gt;0,AO$5&lt;100)),
VLOOKUP(FLOOR(('Final Term'!AO74/AO$5)*100,1),new_transmute,2,FALSE),
VLOOKUP('Final Term'!AO74,new_transmute,2,FALSE)
),
IF(Info!$B$4="Board program",
IF(OR(AND(AO$5&gt;0,AO$5&gt;100),AND(AO$5&gt;0,AO$5&lt;100)),
VLOOKUP(FLOOR(('Final Term'!AO74/AO$5)*100,1),new_transmute,3,FALSE),
VLOOKUP('Final Term'!AO74,new_transmute,3,FALSE)
),
IF(Info!$B$4="Board program (Medicine)",
IF(OR(AND(AO$5&gt;0,AO$5&gt;100),AND(AO$5&gt;0,AO$5&lt;100)),
VLOOKUP(FLOOR(('Final Term'!AO74/AO$5)*100,1),new_transmute,4,FALSE),
VLOOKUP('Final Term'!AO74,new_transmute,4,FALSE)
),
""
)
)
)
)
)
)
)
)
))</f>
        <v/>
      </c>
      <c r="AP74" s="73" t="str">
        <f>IF($B74="","",
IF(AP$5="","",
IF('Final Term'!AP74="",0,
IF(NOT(ISNUMBER('Final Term'!AP74)),"NAN",
IF('Final Term'!AP74&lt;0,"NEG",
IF('Final Term'!AP74&gt;AP$5,"OVER",
IF(AND(AP$5&lt;=100,'Final Term'!AP74&gt;100),"ERR",
IF(Info!$B$4="Non-board program",
IF(OR(AND(AP$5&gt;0,AP$5&gt;100),AND(AP$5&gt;0,AP$5&lt;100)),
VLOOKUP(FLOOR(('Final Term'!AP74/AP$5)*100,1),new_transmute,2,FALSE),
VLOOKUP('Final Term'!AP74,new_transmute,2,FALSE)
),
IF(Info!$B$4="Board program",
IF(OR(AND(AP$5&gt;0,AP$5&gt;100),AND(AP$5&gt;0,AP$5&lt;100)),
VLOOKUP(FLOOR(('Final Term'!AP74/AP$5)*100,1),new_transmute,3,FALSE),
VLOOKUP('Final Term'!AP74,new_transmute,3,FALSE)
),
IF(Info!$B$4="Board program (Medicine)",
IF(OR(AND(AP$5&gt;0,AP$5&gt;100),AND(AP$5&gt;0,AP$5&lt;100)),
VLOOKUP(FLOOR(('Final Term'!AP74/AP$5)*100,1),new_transmute,4,FALSE),
VLOOKUP('Final Term'!AP74,new_transmute,4,FALSE)
),
""
)
)
)
)
)
)
)
)
))</f>
        <v/>
      </c>
      <c r="AQ74" s="61" t="str">
        <f t="shared" si="17"/>
        <v/>
      </c>
      <c r="AR74" s="48" t="str">
        <f>IF('Final Term'!AR74="","",'Final Term'!AR74)</f>
        <v/>
      </c>
      <c r="AS74" s="165" t="str">
        <f t="shared" si="18"/>
        <v/>
      </c>
      <c r="AT74" s="14" t="str">
        <f t="shared" si="19"/>
        <v/>
      </c>
      <c r="AU74" s="13" t="str">
        <f>IF(B74="","",VLOOKUP(AT74,'New Grade Equivalent'!$B$3:$C$47,2,FALSE))</f>
        <v/>
      </c>
    </row>
    <row r="75" spans="1:47" x14ac:dyDescent="0.25">
      <c r="A75" s="8">
        <v>70</v>
      </c>
      <c r="B75" s="2" t="str">
        <f>IF('Student List'!C79="","",UPPER(LEFT('Student List'!C79,FIND(",",'Student List'!C79)-1)))</f>
        <v/>
      </c>
      <c r="C75" s="12" t="str">
        <f>IF('Student List'!C79="","",PROPER(MID('Student List'!C79, FIND(",", 'Student List'!C79) + 2, LEN('Student List'!C79) - FIND(",", 'Student List'!C79) - 1)))</f>
        <v/>
      </c>
      <c r="D75" s="127" t="str">
        <f>IF('Final Term'!D75="","",'Final Term'!D75)</f>
        <v/>
      </c>
      <c r="E75" s="8" t="str">
        <f>IF(MidCom!E75="FA", "FA",
    IF(MidCom!E75="DRP", "DRP",
        IF(MidCom!E75="WF", "WF",
            IF(D75="Yes", "INC",
               IF((SUM('MT Attendance'!AW73) / 3 + SUM('MT Attendance'!AY73) + SUM('FT Attendance'!AW73) / 3 + SUM('FT Attendance'!AY73)) &gt;= 0.2 * (SUMPRODUCT(--(ISTEXT('MT Attendance'!$C$2:$AU$2))) + SUMPRODUCT(--(ISTEXT('FT Attendance'!$C$2:$AU$2)))), "FA",
                   MidCom!E75
                )
            )
        )
    )
)</f>
        <v/>
      </c>
      <c r="F75" s="73" t="str">
        <f>IF($B75="","",
IF(F$5="","",
IF('Final Term'!F75="",0,
IF(NOT(ISNUMBER('Final Term'!F75)),"NAN",
IF('Final Term'!F75&lt;0,"NEG",
IF('Final Term'!F75&gt;F$5,"OVER",
IF(AND(F$5&lt;=100,'Final Term'!F75&gt;100),"ERR",
IF(Info!$B$4="Non-board program",
IF(OR(AND(F$5&gt;0,F$5&gt;100),AND(F$5&gt;0,F$5&lt;100)),
VLOOKUP(FLOOR(('Final Term'!F75/F$5)*100,1),new_transmute,2,FALSE),
VLOOKUP('Final Term'!F75,new_transmute,2,FALSE)
),
IF(Info!$B$4="Board program",
IF(OR(AND(F$5&gt;0,F$5&gt;100),AND(F$5&gt;0,F$5&lt;100)),
VLOOKUP(FLOOR(('Final Term'!F75/F$5)*100,1),new_transmute,3,FALSE),
VLOOKUP('Final Term'!F75,new_transmute,3,FALSE)
),
IF(Info!$B$4="Board program (Medicine)",
IF(OR(AND(F$5&gt;0,F$5&gt;100),AND(F$5&gt;0,F$5&lt;100)),
VLOOKUP(FLOOR(('Final Term'!F75/F$5)*100,1),new_transmute,4,FALSE),
VLOOKUP('Final Term'!F75,new_transmute,4,FALSE)
),
""
)
)
)
)
)
)
)
)
))</f>
        <v/>
      </c>
      <c r="G75" s="57" t="str">
        <f t="shared" si="11"/>
        <v/>
      </c>
      <c r="H75" s="73" t="str">
        <f>IF($B75="","",
IF(H$5="","",
IF('Final Term'!H75="",0,
IF(NOT(ISNUMBER('Final Term'!H75)),"NAN",
IF('Final Term'!H75&lt;0,"NEG",
IF('Final Term'!H75&gt;H$5,"OVER",
IF(AND(H$5&lt;=100,'Final Term'!H75&gt;100),"ERR",
IF(Info!$B$4="Non-board program",
IF(OR(AND(H$5&gt;0,H$5&gt;100),AND(H$5&gt;0,H$5&lt;100)),
VLOOKUP(FLOOR(('Final Term'!H75/H$5)*100,1),new_transmute,2,FALSE),
VLOOKUP('Final Term'!H75,new_transmute,2,FALSE)
),
IF(Info!$B$4="Board program",
IF(OR(AND(H$5&gt;0,H$5&gt;100),AND(H$5&gt;0,H$5&lt;100)),
VLOOKUP(FLOOR(('Final Term'!H75/H$5)*100,1),new_transmute,3,FALSE),
VLOOKUP('Final Term'!H75,new_transmute,3,FALSE)
),
IF(Info!$B$4="Board program (Medicine)",
IF(OR(AND(H$5&gt;0,H$5&gt;100),AND(H$5&gt;0,H$5&lt;100)),
VLOOKUP(FLOOR(('Final Term'!H75/H$5)*100,1),new_transmute,4,FALSE),
VLOOKUP('Final Term'!H75,new_transmute,4,FALSE)
),
""
)
)
)
)
)
)
)
)
))</f>
        <v/>
      </c>
      <c r="I75" s="73" t="str">
        <f>IF($B75="","",
IF(I$5="","",
IF('Final Term'!I75="",0,
IF(NOT(ISNUMBER('Final Term'!I75)),"NAN",
IF('Final Term'!I75&lt;0,"NEG",
IF('Final Term'!I75&gt;I$5,"OVER",
IF(AND(I$5&lt;=100,'Final Term'!I75&gt;100),"ERR",
IF(Info!$B$4="Non-board program",
IF(OR(AND(I$5&gt;0,I$5&gt;100),AND(I$5&gt;0,I$5&lt;100)),
VLOOKUP(FLOOR(('Final Term'!I75/I$5)*100,1),new_transmute,2,FALSE),
VLOOKUP('Final Term'!I75,new_transmute,2,FALSE)
),
IF(Info!$B$4="Board program",
IF(OR(AND(I$5&gt;0,I$5&gt;100),AND(I$5&gt;0,I$5&lt;100)),
VLOOKUP(FLOOR(('Final Term'!I75/I$5)*100,1),new_transmute,3,FALSE),
VLOOKUP('Final Term'!I75,new_transmute,3,FALSE)
),
IF(Info!$B$4="Board program (Medicine)",
IF(OR(AND(I$5&gt;0,I$5&gt;100),AND(I$5&gt;0,I$5&lt;100)),
VLOOKUP(FLOOR(('Final Term'!I75/I$5)*100,1),new_transmute,4,FALSE),
VLOOKUP('Final Term'!I75,new_transmute,4,FALSE)
),
""
)
)
)
)
)
)
)
)
))</f>
        <v/>
      </c>
      <c r="J75" s="73" t="str">
        <f>IF($B75="","",
IF(J$5="","",
IF('Final Term'!J75="",0,
IF(NOT(ISNUMBER('Final Term'!J75)),"NAN",
IF('Final Term'!J75&lt;0,"NEG",
IF('Final Term'!J75&gt;J$5,"OVER",
IF(AND(J$5&lt;=100,'Final Term'!J75&gt;100),"ERR",
IF(Info!$B$4="Non-board program",
IF(OR(AND(J$5&gt;0,J$5&gt;100),AND(J$5&gt;0,J$5&lt;100)),
VLOOKUP(FLOOR(('Final Term'!J75/J$5)*100,1),new_transmute,2,FALSE),
VLOOKUP('Final Term'!J75,new_transmute,2,FALSE)
),
IF(Info!$B$4="Board program",
IF(OR(AND(J$5&gt;0,J$5&gt;100),AND(J$5&gt;0,J$5&lt;100)),
VLOOKUP(FLOOR(('Final Term'!J75/J$5)*100,1),new_transmute,3,FALSE),
VLOOKUP('Final Term'!J75,new_transmute,3,FALSE)
),
IF(Info!$B$4="Board program (Medicine)",
IF(OR(AND(J$5&gt;0,J$5&gt;100),AND(J$5&gt;0,J$5&lt;100)),
VLOOKUP(FLOOR(('Final Term'!J75/J$5)*100,1),new_transmute,4,FALSE),
VLOOKUP('Final Term'!J75,new_transmute,4,FALSE)
),
""
)
)
)
)
)
)
)
)
))</f>
        <v/>
      </c>
      <c r="K75" s="73" t="str">
        <f>IF($B75="","",
IF(K$5="","",
IF('Final Term'!K75="",0,
IF(NOT(ISNUMBER('Final Term'!K75)),"NAN",
IF('Final Term'!K75&lt;0,"NEG",
IF('Final Term'!K75&gt;K$5,"OVER",
IF(AND(K$5&lt;=100,'Final Term'!K75&gt;100),"ERR",
IF(Info!$B$4="Non-board program",
IF(OR(AND(K$5&gt;0,K$5&gt;100),AND(K$5&gt;0,K$5&lt;100)),
VLOOKUP(FLOOR(('Final Term'!K75/K$5)*100,1),new_transmute,2,FALSE),
VLOOKUP('Final Term'!K75,new_transmute,2,FALSE)
),
IF(Info!$B$4="Board program",
IF(OR(AND(K$5&gt;0,K$5&gt;100),AND(K$5&gt;0,K$5&lt;100)),
VLOOKUP(FLOOR(('Final Term'!K75/K$5)*100,1),new_transmute,3,FALSE),
VLOOKUP('Final Term'!K75,new_transmute,3,FALSE)
),
IF(Info!$B$4="Board program (Medicine)",
IF(OR(AND(K$5&gt;0,K$5&gt;100),AND(K$5&gt;0,K$5&lt;100)),
VLOOKUP(FLOOR(('Final Term'!K75/K$5)*100,1),new_transmute,4,FALSE),
VLOOKUP('Final Term'!K75,new_transmute,4,FALSE)
),
""
)
)
)
)
)
)
)
)
))</f>
        <v/>
      </c>
      <c r="L75" s="73" t="str">
        <f>IF($B75="","",
IF(L$5="","",
IF('Final Term'!L75="",0,
IF(NOT(ISNUMBER('Final Term'!L75)),"NAN",
IF('Final Term'!L75&lt;0,"NEG",
IF('Final Term'!L75&gt;L$5,"OVER",
IF(AND(L$5&lt;=100,'Final Term'!L75&gt;100),"ERR",
IF(Info!$B$4="Non-board program",
IF(OR(AND(L$5&gt;0,L$5&gt;100),AND(L$5&gt;0,L$5&lt;100)),
VLOOKUP(FLOOR(('Final Term'!L75/L$5)*100,1),new_transmute,2,FALSE),
VLOOKUP('Final Term'!L75,new_transmute,2,FALSE)
),
IF(Info!$B$4="Board program",
IF(OR(AND(L$5&gt;0,L$5&gt;100),AND(L$5&gt;0,L$5&lt;100)),
VLOOKUP(FLOOR(('Final Term'!L75/L$5)*100,1),new_transmute,3,FALSE),
VLOOKUP('Final Term'!L75,new_transmute,3,FALSE)
),
IF(Info!$B$4="Board program (Medicine)",
IF(OR(AND(L$5&gt;0,L$5&gt;100),AND(L$5&gt;0,L$5&lt;100)),
VLOOKUP(FLOOR(('Final Term'!L75/L$5)*100,1),new_transmute,4,FALSE),
VLOOKUP('Final Term'!L75,new_transmute,4,FALSE)
),
""
)
)
)
)
)
)
)
)
))</f>
        <v/>
      </c>
      <c r="M75" s="111" t="str">
        <f t="shared" si="12"/>
        <v/>
      </c>
      <c r="N75" s="73" t="str">
        <f>IF($B75="","",
IF(N$5="","",
IF('Final Term'!N75="",0,
IF(NOT(ISNUMBER('Final Term'!N75)),"NAN",
IF('Final Term'!N75&lt;0,"NEG",
IF('Final Term'!N75&gt;N$5,"OVER",
IF(AND(N$5&lt;=100,'Final Term'!N75&gt;100),"ERR",
IF(Info!$B$4="Non-board program",
IF(OR(AND(N$5&gt;0,N$5&gt;100),AND(N$5&gt;0,N$5&lt;100)),
VLOOKUP(FLOOR(('Final Term'!N75/N$5)*100,1),new_transmute,2,FALSE),
VLOOKUP('Final Term'!N75,new_transmute,2,FALSE)
),
IF(Info!$B$4="Board program",
IF(OR(AND(N$5&gt;0,N$5&gt;100),AND(N$5&gt;0,N$5&lt;100)),
VLOOKUP(FLOOR(('Final Term'!N75/N$5)*100,1),new_transmute,3,FALSE),
VLOOKUP('Final Term'!N75,new_transmute,3,FALSE)
),
IF(Info!$B$4="Board program (Medicine)",
IF(OR(AND(N$5&gt;0,N$5&gt;100),AND(N$5&gt;0,N$5&lt;100)),
VLOOKUP(FLOOR(('Final Term'!N75/N$5)*100,1),new_transmute,4,FALSE),
VLOOKUP('Final Term'!N75,new_transmute,4,FALSE)
),
""
)
)
)
)
)
)
)
)
))</f>
        <v/>
      </c>
      <c r="O75" s="73" t="str">
        <f>IF($B75="","",
IF(O$5="","",
IF('Final Term'!O75="",0,
IF(NOT(ISNUMBER('Final Term'!O75)),"NAN",
IF('Final Term'!O75&lt;0,"NEG",
IF('Final Term'!O75&gt;O$5,"OVER",
IF(AND(O$5&lt;=100,'Final Term'!O75&gt;100),"ERR",
IF(Info!$B$4="Non-board program",
IF(OR(AND(O$5&gt;0,O$5&gt;100),AND(O$5&gt;0,O$5&lt;100)),
VLOOKUP(FLOOR(('Final Term'!O75/O$5)*100,1),new_transmute,2,FALSE),
VLOOKUP('Final Term'!O75,new_transmute,2,FALSE)
),
IF(Info!$B$4="Board program",
IF(OR(AND(O$5&gt;0,O$5&gt;100),AND(O$5&gt;0,O$5&lt;100)),
VLOOKUP(FLOOR(('Final Term'!O75/O$5)*100,1),new_transmute,3,FALSE),
VLOOKUP('Final Term'!O75,new_transmute,3,FALSE)
),
IF(Info!$B$4="Board program (Medicine)",
IF(OR(AND(O$5&gt;0,O$5&gt;100),AND(O$5&gt;0,O$5&lt;100)),
VLOOKUP(FLOOR(('Final Term'!O75/O$5)*100,1),new_transmute,4,FALSE),
VLOOKUP('Final Term'!O75,new_transmute,4,FALSE)
),
""
)
)
)
)
)
)
)
)
))</f>
        <v/>
      </c>
      <c r="P75" s="73" t="str">
        <f>IF($B75="","",
IF(P$5="","",
IF('Final Term'!P75="",0,
IF(NOT(ISNUMBER('Final Term'!P75)),"NAN",
IF('Final Term'!P75&lt;0,"NEG",
IF('Final Term'!P75&gt;P$5,"OVER",
IF(AND(P$5&lt;=100,'Final Term'!P75&gt;100),"ERR",
IF(Info!$B$4="Non-board program",
IF(OR(AND(P$5&gt;0,P$5&gt;100),AND(P$5&gt;0,P$5&lt;100)),
VLOOKUP(FLOOR(('Final Term'!P75/P$5)*100,1),new_transmute,2,FALSE),
VLOOKUP('Final Term'!P75,new_transmute,2,FALSE)
),
IF(Info!$B$4="Board program",
IF(OR(AND(P$5&gt;0,P$5&gt;100),AND(P$5&gt;0,P$5&lt;100)),
VLOOKUP(FLOOR(('Final Term'!P75/P$5)*100,1),new_transmute,3,FALSE),
VLOOKUP('Final Term'!P75,new_transmute,3,FALSE)
),
IF(Info!$B$4="Board program (Medicine)",
IF(OR(AND(P$5&gt;0,P$5&gt;100),AND(P$5&gt;0,P$5&lt;100)),
VLOOKUP(FLOOR(('Final Term'!P75/P$5)*100,1),new_transmute,4,FALSE),
VLOOKUP('Final Term'!P75,new_transmute,4,FALSE)
),
""
)
)
)
)
)
)
)
)
))</f>
        <v/>
      </c>
      <c r="Q75" s="73" t="str">
        <f>IF($B75="","",
IF(Q$5="","",
IF('Final Term'!Q75="",0,
IF(NOT(ISNUMBER('Final Term'!Q75)),"NAN",
IF('Final Term'!Q75&lt;0,"NEG",
IF('Final Term'!Q75&gt;Q$5,"OVER",
IF(AND(Q$5&lt;=100,'Final Term'!Q75&gt;100),"ERR",
IF(Info!$B$4="Non-board program",
IF(OR(AND(Q$5&gt;0,Q$5&gt;100),AND(Q$5&gt;0,Q$5&lt;100)),
VLOOKUP(FLOOR(('Final Term'!Q75/Q$5)*100,1),new_transmute,2,FALSE),
VLOOKUP('Final Term'!Q75,new_transmute,2,FALSE)
),
IF(Info!$B$4="Board program",
IF(OR(AND(Q$5&gt;0,Q$5&gt;100),AND(Q$5&gt;0,Q$5&lt;100)),
VLOOKUP(FLOOR(('Final Term'!Q75/Q$5)*100,1),new_transmute,3,FALSE),
VLOOKUP('Final Term'!Q75,new_transmute,3,FALSE)
),
IF(Info!$B$4="Board program (Medicine)",
IF(OR(AND(Q$5&gt;0,Q$5&gt;100),AND(Q$5&gt;0,Q$5&lt;100)),
VLOOKUP(FLOOR(('Final Term'!Q75/Q$5)*100,1),new_transmute,4,FALSE),
VLOOKUP('Final Term'!Q75,new_transmute,4,FALSE)
),
""
)
)
)
)
)
)
)
)
))</f>
        <v/>
      </c>
      <c r="R75" s="73" t="str">
        <f>IF($B75="","",
IF(R$5="","",
IF('Final Term'!R75="",0,
IF(NOT(ISNUMBER('Final Term'!R75)),"NAN",
IF('Final Term'!R75&lt;0,"NEG",
IF('Final Term'!R75&gt;R$5,"OVER",
IF(AND(R$5&lt;=100,'Final Term'!R75&gt;100),"ERR",
IF(Info!$B$4="Non-board program",
IF(OR(AND(R$5&gt;0,R$5&gt;100),AND(R$5&gt;0,R$5&lt;100)),
VLOOKUP(FLOOR(('Final Term'!R75/R$5)*100,1),new_transmute,2,FALSE),
VLOOKUP('Final Term'!R75,new_transmute,2,FALSE)
),
IF(Info!$B$4="Board program",
IF(OR(AND(R$5&gt;0,R$5&gt;100),AND(R$5&gt;0,R$5&lt;100)),
VLOOKUP(FLOOR(('Final Term'!R75/R$5)*100,1),new_transmute,3,FALSE),
VLOOKUP('Final Term'!R75,new_transmute,3,FALSE)
),
IF(Info!$B$4="Board program (Medicine)",
IF(OR(AND(R$5&gt;0,R$5&gt;100),AND(R$5&gt;0,R$5&lt;100)),
VLOOKUP(FLOOR(('Final Term'!R75/R$5)*100,1),new_transmute,4,FALSE),
VLOOKUP('Final Term'!R75,new_transmute,4,FALSE)
),
""
)
)
)
)
)
)
)
)
))</f>
        <v/>
      </c>
      <c r="S75" s="115" t="str">
        <f t="shared" si="13"/>
        <v/>
      </c>
      <c r="T75" s="73" t="str">
        <f>IF($B75="","",
IF(T$5="","",
IF('Final Term'!T75="",0,
IF(NOT(ISNUMBER('Final Term'!T75)),"NAN",
IF('Final Term'!T75&lt;0,"NEG",
IF('Final Term'!T75&gt;T$5,"OVER",
IF(AND(T$5&lt;=100,'Final Term'!T75&gt;100),"ERR",
IF(Info!$B$4="Non-board program",
IF(OR(AND(T$5&gt;0,T$5&gt;100),AND(T$5&gt;0,T$5&lt;100)),
VLOOKUP(FLOOR(('Final Term'!T75/T$5)*100,1),new_transmute,2,FALSE),
VLOOKUP('Final Term'!T75,new_transmute,2,FALSE)
),
IF(Info!$B$4="Board program",
IF(OR(AND(T$5&gt;0,T$5&gt;100),AND(T$5&gt;0,T$5&lt;100)),
VLOOKUP(FLOOR(('Final Term'!T75/T$5)*100,1),new_transmute,3,FALSE),
VLOOKUP('Final Term'!T75,new_transmute,3,FALSE)
),
IF(Info!$B$4="Board program (Medicine)",
IF(OR(AND(T$5&gt;0,T$5&gt;100),AND(T$5&gt;0,T$5&lt;100)),
VLOOKUP(FLOOR(('Final Term'!T75/T$5)*100,1),new_transmute,4,FALSE),
VLOOKUP('Final Term'!T75,new_transmute,4,FALSE)
),
""
)
)
)
)
)
)
)
)
))</f>
        <v/>
      </c>
      <c r="U75" s="73" t="str">
        <f>IF($B75="","",
IF(U$5="","",
IF('Final Term'!U75="",0,
IF(NOT(ISNUMBER('Final Term'!U75)),"NAN",
IF('Final Term'!U75&lt;0,"NEG",
IF('Final Term'!U75&gt;U$5,"OVER",
IF(AND(U$5&lt;=100,'Final Term'!U75&gt;100),"ERR",
IF(Info!$B$4="Non-board program",
IF(OR(AND(U$5&gt;0,U$5&gt;100),AND(U$5&gt;0,U$5&lt;100)),
VLOOKUP(FLOOR(('Final Term'!U75/U$5)*100,1),new_transmute,2,FALSE),
VLOOKUP('Final Term'!U75,new_transmute,2,FALSE)
),
IF(Info!$B$4="Board program",
IF(OR(AND(U$5&gt;0,U$5&gt;100),AND(U$5&gt;0,U$5&lt;100)),
VLOOKUP(FLOOR(('Final Term'!U75/U$5)*100,1),new_transmute,3,FALSE),
VLOOKUP('Final Term'!U75,new_transmute,3,FALSE)
),
IF(Info!$B$4="Board program (Medicine)",
IF(OR(AND(U$5&gt;0,U$5&gt;100),AND(U$5&gt;0,U$5&lt;100)),
VLOOKUP(FLOOR(('Final Term'!U75/U$5)*100,1),new_transmute,4,FALSE),
VLOOKUP('Final Term'!U75,new_transmute,4,FALSE)
),
""
)
)
)
)
)
)
)
)
))</f>
        <v/>
      </c>
      <c r="V75" s="73" t="str">
        <f>IF($B75="","",
IF(V$5="","",
IF('Final Term'!V75="",0,
IF(NOT(ISNUMBER('Final Term'!V75)),"NAN",
IF('Final Term'!V75&lt;0,"NEG",
IF('Final Term'!V75&gt;V$5,"OVER",
IF(AND(V$5&lt;=100,'Final Term'!V75&gt;100),"ERR",
IF(Info!$B$4="Non-board program",
IF(OR(AND(V$5&gt;0,V$5&gt;100),AND(V$5&gt;0,V$5&lt;100)),
VLOOKUP(FLOOR(('Final Term'!V75/V$5)*100,1),new_transmute,2,FALSE),
VLOOKUP('Final Term'!V75,new_transmute,2,FALSE)
),
IF(Info!$B$4="Board program",
IF(OR(AND(V$5&gt;0,V$5&gt;100),AND(V$5&gt;0,V$5&lt;100)),
VLOOKUP(FLOOR(('Final Term'!V75/V$5)*100,1),new_transmute,3,FALSE),
VLOOKUP('Final Term'!V75,new_transmute,3,FALSE)
),
IF(Info!$B$4="Board program (Medicine)",
IF(OR(AND(V$5&gt;0,V$5&gt;100),AND(V$5&gt;0,V$5&lt;100)),
VLOOKUP(FLOOR(('Final Term'!V75/V$5)*100,1),new_transmute,4,FALSE),
VLOOKUP('Final Term'!V75,new_transmute,4,FALSE)
),
""
)
)
)
)
)
)
)
)
))</f>
        <v/>
      </c>
      <c r="W75" s="73" t="str">
        <f>IF($B75="","",
IF(W$5="","",
IF('Final Term'!W75="",0,
IF(NOT(ISNUMBER('Final Term'!W75)),"NAN",
IF('Final Term'!W75&lt;0,"NEG",
IF('Final Term'!W75&gt;W$5,"OVER",
IF(AND(W$5&lt;=100,'Final Term'!W75&gt;100),"ERR",
IF(Info!$B$4="Non-board program",
IF(OR(AND(W$5&gt;0,W$5&gt;100),AND(W$5&gt;0,W$5&lt;100)),
VLOOKUP(FLOOR(('Final Term'!W75/W$5)*100,1),new_transmute,2,FALSE),
VLOOKUP('Final Term'!W75,new_transmute,2,FALSE)
),
IF(Info!$B$4="Board program",
IF(OR(AND(W$5&gt;0,W$5&gt;100),AND(W$5&gt;0,W$5&lt;100)),
VLOOKUP(FLOOR(('Final Term'!W75/W$5)*100,1),new_transmute,3,FALSE),
VLOOKUP('Final Term'!W75,new_transmute,3,FALSE)
),
IF(Info!$B$4="Board program (Medicine)",
IF(OR(AND(W$5&gt;0,W$5&gt;100),AND(W$5&gt;0,W$5&lt;100)),
VLOOKUP(FLOOR(('Final Term'!W75/W$5)*100,1),new_transmute,4,FALSE),
VLOOKUP('Final Term'!W75,new_transmute,4,FALSE)
),
""
)
)
)
)
)
)
)
)
))</f>
        <v/>
      </c>
      <c r="X75" s="73" t="str">
        <f>IF($B75="","",
IF(X$5="","",
IF('Final Term'!X75="",0,
IF(NOT(ISNUMBER('Final Term'!X75)),"NAN",
IF('Final Term'!X75&lt;0,"NEG",
IF('Final Term'!X75&gt;X$5,"OVER",
IF(AND(X$5&lt;=100,'Final Term'!X75&gt;100),"ERR",
IF(Info!$B$4="Non-board program",
IF(OR(AND(X$5&gt;0,X$5&gt;100),AND(X$5&gt;0,X$5&lt;100)),
VLOOKUP(FLOOR(('Final Term'!X75/X$5)*100,1),new_transmute,2,FALSE),
VLOOKUP('Final Term'!X75,new_transmute,2,FALSE)
),
IF(Info!$B$4="Board program",
IF(OR(AND(X$5&gt;0,X$5&gt;100),AND(X$5&gt;0,X$5&lt;100)),
VLOOKUP(FLOOR(('Final Term'!X75/X$5)*100,1),new_transmute,3,FALSE),
VLOOKUP('Final Term'!X75,new_transmute,3,FALSE)
),
IF(Info!$B$4="Board program (Medicine)",
IF(OR(AND(X$5&gt;0,X$5&gt;100),AND(X$5&gt;0,X$5&lt;100)),
VLOOKUP(FLOOR(('Final Term'!X75/X$5)*100,1),new_transmute,4,FALSE),
VLOOKUP('Final Term'!X75,new_transmute,4,FALSE)
),
""
)
)
)
)
)
)
)
)
))</f>
        <v/>
      </c>
      <c r="Y75" s="112" t="str">
        <f t="shared" si="14"/>
        <v/>
      </c>
      <c r="Z75" s="73" t="str">
        <f>IF($B75="","",
IF(Z$5="","",
IF('Final Term'!Z75="",0,
IF(NOT(ISNUMBER('Final Term'!Z75)),"NAN",
IF('Final Term'!Z75&lt;0,"NEG",
IF('Final Term'!Z75&gt;Z$5,"OVER",
IF(AND(Z$5&lt;=100,'Final Term'!Z75&gt;100),"ERR",
IF(Info!$B$4="Non-board program",
IF(OR(AND(Z$5&gt;0,Z$5&gt;100),AND(Z$5&gt;0,Z$5&lt;100)),
VLOOKUP(FLOOR(('Final Term'!Z75/Z$5)*100,1),new_transmute,2,FALSE),
VLOOKUP('Final Term'!Z75,new_transmute,2,FALSE)
),
IF(Info!$B$4="Board program",
IF(OR(AND(Z$5&gt;0,Z$5&gt;100),AND(Z$5&gt;0,Z$5&lt;100)),
VLOOKUP(FLOOR(('Final Term'!Z75/Z$5)*100,1),new_transmute,3,FALSE),
VLOOKUP('Final Term'!Z75,new_transmute,3,FALSE)
),
IF(Info!$B$4="Board program (Medicine)",
IF(OR(AND(Z$5&gt;0,Z$5&gt;100),AND(Z$5&gt;0,Z$5&lt;100)),
VLOOKUP(FLOOR(('Final Term'!Z75/Z$5)*100,1),new_transmute,4,FALSE),
VLOOKUP('Final Term'!Z75,new_transmute,4,FALSE)
),
""
)
)
)
)
)
)
)
)
))</f>
        <v/>
      </c>
      <c r="AA75" s="73" t="str">
        <f>IF($B75="","",
IF(AA$5="","",
IF('Final Term'!AA75="",0,
IF(NOT(ISNUMBER('Final Term'!AA75)),"NAN",
IF('Final Term'!AA75&lt;0,"NEG",
IF('Final Term'!AA75&gt;AA$5,"OVER",
IF(AND(AA$5&lt;=100,'Final Term'!AA75&gt;100),"ERR",
IF(Info!$B$4="Non-board program",
IF(OR(AND(AA$5&gt;0,AA$5&gt;100),AND(AA$5&gt;0,AA$5&lt;100)),
VLOOKUP(FLOOR(('Final Term'!AA75/AA$5)*100,1),new_transmute,2,FALSE),
VLOOKUP('Final Term'!AA75,new_transmute,2,FALSE)
),
IF(Info!$B$4="Board program",
IF(OR(AND(AA$5&gt;0,AA$5&gt;100),AND(AA$5&gt;0,AA$5&lt;100)),
VLOOKUP(FLOOR(('Final Term'!AA75/AA$5)*100,1),new_transmute,3,FALSE),
VLOOKUP('Final Term'!AA75,new_transmute,3,FALSE)
),
IF(Info!$B$4="Board program (Medicine)",
IF(OR(AND(AA$5&gt;0,AA$5&gt;100),AND(AA$5&gt;0,AA$5&lt;100)),
VLOOKUP(FLOOR(('Final Term'!AA75/AA$5)*100,1),new_transmute,4,FALSE),
VLOOKUP('Final Term'!AA75,new_transmute,4,FALSE)
),
""
)
)
)
)
)
)
)
)
))</f>
        <v/>
      </c>
      <c r="AB75" s="73" t="str">
        <f>IF($B75="","",
IF(AB$5="","",
IF('Final Term'!AB75="",0,
IF(NOT(ISNUMBER('Final Term'!AB75)),"NAN",
IF('Final Term'!AB75&lt;0,"NEG",
IF('Final Term'!AB75&gt;AB$5,"OVER",
IF(AND(AB$5&lt;=100,'Final Term'!AB75&gt;100),"ERR",
IF(Info!$B$4="Non-board program",
IF(OR(AND(AB$5&gt;0,AB$5&gt;100),AND(AB$5&gt;0,AB$5&lt;100)),
VLOOKUP(FLOOR(('Final Term'!AB75/AB$5)*100,1),new_transmute,2,FALSE),
VLOOKUP('Final Term'!AB75,new_transmute,2,FALSE)
),
IF(Info!$B$4="Board program",
IF(OR(AND(AB$5&gt;0,AB$5&gt;100),AND(AB$5&gt;0,AB$5&lt;100)),
VLOOKUP(FLOOR(('Final Term'!AB75/AB$5)*100,1),new_transmute,3,FALSE),
VLOOKUP('Final Term'!AB75,new_transmute,3,FALSE)
),
IF(Info!$B$4="Board program (Medicine)",
IF(OR(AND(AB$5&gt;0,AB$5&gt;100),AND(AB$5&gt;0,AB$5&lt;100)),
VLOOKUP(FLOOR(('Final Term'!AB75/AB$5)*100,1),new_transmute,4,FALSE),
VLOOKUP('Final Term'!AB75,new_transmute,4,FALSE)
),
""
)
)
)
)
)
)
)
)
))</f>
        <v/>
      </c>
      <c r="AC75" s="73" t="str">
        <f>IF($B75="","",
IF(AC$5="","",
IF('Final Term'!AC75="",0,
IF(NOT(ISNUMBER('Final Term'!AC75)),"NAN",
IF('Final Term'!AC75&lt;0,"NEG",
IF('Final Term'!AC75&gt;AC$5,"OVER",
IF(AND(AC$5&lt;=100,'Final Term'!AC75&gt;100),"ERR",
IF(Info!$B$4="Non-board program",
IF(OR(AND(AC$5&gt;0,AC$5&gt;100),AND(AC$5&gt;0,AC$5&lt;100)),
VLOOKUP(FLOOR(('Final Term'!AC75/AC$5)*100,1),new_transmute,2,FALSE),
VLOOKUP('Final Term'!AC75,new_transmute,2,FALSE)
),
IF(Info!$B$4="Board program",
IF(OR(AND(AC$5&gt;0,AC$5&gt;100),AND(AC$5&gt;0,AC$5&lt;100)),
VLOOKUP(FLOOR(('Final Term'!AC75/AC$5)*100,1),new_transmute,3,FALSE),
VLOOKUP('Final Term'!AC75,new_transmute,3,FALSE)
),
IF(Info!$B$4="Board program (Medicine)",
IF(OR(AND(AC$5&gt;0,AC$5&gt;100),AND(AC$5&gt;0,AC$5&lt;100)),
VLOOKUP(FLOOR(('Final Term'!AC75/AC$5)*100,1),new_transmute,4,FALSE),
VLOOKUP('Final Term'!AC75,new_transmute,4,FALSE)
),
""
)
)
)
)
)
)
)
)
))</f>
        <v/>
      </c>
      <c r="AD75" s="73" t="str">
        <f>IF($B75="","",
IF(AD$5="","",
IF('Final Term'!AD75="",0,
IF(NOT(ISNUMBER('Final Term'!AD75)),"NAN",
IF('Final Term'!AD75&lt;0,"NEG",
IF('Final Term'!AD75&gt;AD$5,"OVER",
IF(AND(AD$5&lt;=100,'Final Term'!AD75&gt;100),"ERR",
IF(Info!$B$4="Non-board program",
IF(OR(AND(AD$5&gt;0,AD$5&gt;100),AND(AD$5&gt;0,AD$5&lt;100)),
VLOOKUP(FLOOR(('Final Term'!AD75/AD$5)*100,1),new_transmute,2,FALSE),
VLOOKUP('Final Term'!AD75,new_transmute,2,FALSE)
),
IF(Info!$B$4="Board program",
IF(OR(AND(AD$5&gt;0,AD$5&gt;100),AND(AD$5&gt;0,AD$5&lt;100)),
VLOOKUP(FLOOR(('Final Term'!AD75/AD$5)*100,1),new_transmute,3,FALSE),
VLOOKUP('Final Term'!AD75,new_transmute,3,FALSE)
),
IF(Info!$B$4="Board program (Medicine)",
IF(OR(AND(AD$5&gt;0,AD$5&gt;100),AND(AD$5&gt;0,AD$5&lt;100)),
VLOOKUP(FLOOR(('Final Term'!AD75/AD$5)*100,1),new_transmute,4,FALSE),
VLOOKUP('Final Term'!AD75,new_transmute,4,FALSE)
),
""
)
)
)
)
)
)
)
)
))</f>
        <v/>
      </c>
      <c r="AE75" s="58" t="str">
        <f t="shared" si="15"/>
        <v/>
      </c>
      <c r="AF75" s="73" t="str">
        <f>IF($B75="","",
IF(AF$5="","",
IF('Final Term'!AF75="",0,
IF(NOT(ISNUMBER('Final Term'!AF75)),"NAN",
IF('Final Term'!AF75&lt;0,"NEG",
IF('Final Term'!AF75&gt;AF$5,"OVER",
IF(AND(AF$5&lt;=100,'Final Term'!AF75&gt;100),"ERR",
IF(Info!$B$4="Non-board program",
IF(OR(AND(AF$5&gt;0,AF$5&gt;100),AND(AF$5&gt;0,AF$5&lt;100)),
VLOOKUP(FLOOR(('Final Term'!AF75/AF$5)*100,1),new_transmute,2,FALSE),
VLOOKUP('Final Term'!AF75,new_transmute,2,FALSE)
),
IF(Info!$B$4="Board program",
IF(OR(AND(AF$5&gt;0,AF$5&gt;100),AND(AF$5&gt;0,AF$5&lt;100)),
VLOOKUP(FLOOR(('Final Term'!AF75/AF$5)*100,1),new_transmute,3,FALSE),
VLOOKUP('Final Term'!AF75,new_transmute,3,FALSE)
),
IF(Info!$B$4="Board program (Medicine)",
IF(OR(AND(AF$5&gt;0,AF$5&gt;100),AND(AF$5&gt;0,AF$5&lt;100)),
VLOOKUP(FLOOR(('Final Term'!AF75/AF$5)*100,1),new_transmute,4,FALSE),
VLOOKUP('Final Term'!AF75,new_transmute,4,FALSE)
),
""
)
)
)
)
)
)
)
)
))</f>
        <v/>
      </c>
      <c r="AG75" s="73" t="str">
        <f>IF($B75="","",
IF(AG$5="","",
IF('Final Term'!AG75="",0,
IF(NOT(ISNUMBER('Final Term'!AG75)),"NAN",
IF('Final Term'!AG75&lt;0,"NEG",
IF('Final Term'!AG75&gt;AG$5,"OVER",
IF(AND(AG$5&lt;=100,'Final Term'!AG75&gt;100),"ERR",
IF(Info!$B$4="Non-board program",
IF(OR(AND(AG$5&gt;0,AG$5&gt;100),AND(AG$5&gt;0,AG$5&lt;100)),
VLOOKUP(FLOOR(('Final Term'!AG75/AG$5)*100,1),new_transmute,2,FALSE),
VLOOKUP('Final Term'!AG75,new_transmute,2,FALSE)
),
IF(Info!$B$4="Board program",
IF(OR(AND(AG$5&gt;0,AG$5&gt;100),AND(AG$5&gt;0,AG$5&lt;100)),
VLOOKUP(FLOOR(('Final Term'!AG75/AG$5)*100,1),new_transmute,3,FALSE),
VLOOKUP('Final Term'!AG75,new_transmute,3,FALSE)
),
IF(Info!$B$4="Board program (Medicine)",
IF(OR(AND(AG$5&gt;0,AG$5&gt;100),AND(AG$5&gt;0,AG$5&lt;100)),
VLOOKUP(FLOOR(('Final Term'!AG75/AG$5)*100,1),new_transmute,4,FALSE),
VLOOKUP('Final Term'!AG75,new_transmute,4,FALSE)
),
""
)
)
)
)
)
)
)
)
))</f>
        <v/>
      </c>
      <c r="AH75" s="73" t="str">
        <f>IF($B75="","",
IF(AH$5="","",
IF('Final Term'!AH75="",0,
IF(NOT(ISNUMBER('Final Term'!AH75)),"NAN",
IF('Final Term'!AH75&lt;0,"NEG",
IF('Final Term'!AH75&gt;AH$5,"OVER",
IF(AND(AH$5&lt;=100,'Final Term'!AH75&gt;100),"ERR",
IF(Info!$B$4="Non-board program",
IF(OR(AND(AH$5&gt;0,AH$5&gt;100),AND(AH$5&gt;0,AH$5&lt;100)),
VLOOKUP(FLOOR(('Final Term'!AH75/AH$5)*100,1),new_transmute,2,FALSE),
VLOOKUP('Final Term'!AH75,new_transmute,2,FALSE)
),
IF(Info!$B$4="Board program",
IF(OR(AND(AH$5&gt;0,AH$5&gt;100),AND(AH$5&gt;0,AH$5&lt;100)),
VLOOKUP(FLOOR(('Final Term'!AH75/AH$5)*100,1),new_transmute,3,FALSE),
VLOOKUP('Final Term'!AH75,new_transmute,3,FALSE)
),
IF(Info!$B$4="Board program (Medicine)",
IF(OR(AND(AH$5&gt;0,AH$5&gt;100),AND(AH$5&gt;0,AH$5&lt;100)),
VLOOKUP(FLOOR(('Final Term'!AH75/AH$5)*100,1),new_transmute,4,FALSE),
VLOOKUP('Final Term'!AH75,new_transmute,4,FALSE)
),
""
)
)
)
)
)
)
)
)
))</f>
        <v/>
      </c>
      <c r="AI75" s="73" t="str">
        <f>IF($B75="","",
IF(AI$5="","",
IF('Final Term'!AI75="",0,
IF(NOT(ISNUMBER('Final Term'!AI75)),"NAN",
IF('Final Term'!AI75&lt;0,"NEG",
IF('Final Term'!AI75&gt;AI$5,"OVER",
IF(AND(AI$5&lt;=100,'Final Term'!AI75&gt;100),"ERR",
IF(Info!$B$4="Non-board program",
IF(OR(AND(AI$5&gt;0,AI$5&gt;100),AND(AI$5&gt;0,AI$5&lt;100)),
VLOOKUP(FLOOR(('Final Term'!AI75/AI$5)*100,1),new_transmute,2,FALSE),
VLOOKUP('Final Term'!AI75,new_transmute,2,FALSE)
),
IF(Info!$B$4="Board program",
IF(OR(AND(AI$5&gt;0,AI$5&gt;100),AND(AI$5&gt;0,AI$5&lt;100)),
VLOOKUP(FLOOR(('Final Term'!AI75/AI$5)*100,1),new_transmute,3,FALSE),
VLOOKUP('Final Term'!AI75,new_transmute,3,FALSE)
),
IF(Info!$B$4="Board program (Medicine)",
IF(OR(AND(AI$5&gt;0,AI$5&gt;100),AND(AI$5&gt;0,AI$5&lt;100)),
VLOOKUP(FLOOR(('Final Term'!AI75/AI$5)*100,1),new_transmute,4,FALSE),
VLOOKUP('Final Term'!AI75,new_transmute,4,FALSE)
),
""
)
)
)
)
)
)
)
)
))</f>
        <v/>
      </c>
      <c r="AJ75" s="73" t="str">
        <f>IF($B75="","",
IF(AJ$5="","",
IF('Final Term'!AJ75="",0,
IF(NOT(ISNUMBER('Final Term'!AJ75)),"NAN",
IF('Final Term'!AJ75&lt;0,"NEG",
IF('Final Term'!AJ75&gt;AJ$5,"OVER",
IF(AND(AJ$5&lt;=100,'Final Term'!AJ75&gt;100),"ERR",
IF(Info!$B$4="Non-board program",
IF(OR(AND(AJ$5&gt;0,AJ$5&gt;100),AND(AJ$5&gt;0,AJ$5&lt;100)),
VLOOKUP(FLOOR(('Final Term'!AJ75/AJ$5)*100,1),new_transmute,2,FALSE),
VLOOKUP('Final Term'!AJ75,new_transmute,2,FALSE)
),
IF(Info!$B$4="Board program",
IF(OR(AND(AJ$5&gt;0,AJ$5&gt;100),AND(AJ$5&gt;0,AJ$5&lt;100)),
VLOOKUP(FLOOR(('Final Term'!AJ75/AJ$5)*100,1),new_transmute,3,FALSE),
VLOOKUP('Final Term'!AJ75,new_transmute,3,FALSE)
),
IF(Info!$B$4="Board program (Medicine)",
IF(OR(AND(AJ$5&gt;0,AJ$5&gt;100),AND(AJ$5&gt;0,AJ$5&lt;100)),
VLOOKUP(FLOOR(('Final Term'!AJ75/AJ$5)*100,1),new_transmute,4,FALSE),
VLOOKUP('Final Term'!AJ75,new_transmute,4,FALSE)
),
""
)
)
)
)
)
)
)
)
))</f>
        <v/>
      </c>
      <c r="AK75" s="59" t="str">
        <f t="shared" si="16"/>
        <v/>
      </c>
      <c r="AL75" s="60" t="str">
        <f>IF(B75="", "",
    IF(OR(M75="OVER", S75="OVER", Y75="OVER", AE75="OVER", AK75="OVER"),
        "OVER",
        IF(Info!$B$4="Non-board program",
            VLOOKUP(IFERROR(FLOOR(SUM((M75*$M$4), (S75*$S$4), (Y75*$Y$4), (AE75*$AE$4), (AK75*$AK$4)) * (100 / 60), 1), 0), new_transmute, 2, FALSE),
            IF(Info!$B$4="Board program",
                VLOOKUP(IFERROR(FLOOR(SUM((M75*$M$4), (S75*$S$4), (Y75*$Y$4), (AE75*$AE$4), (AK75*$AK$4)) * (100 / 60), 1), 0), new_transmute, 3, FALSE),
                IF(Info!$B$4="Board program (Medicine)",
                    VLOOKUP(IFERROR(FLOOR(SUM((M75*$M$4), (S75*$S$4), (Y75*$Y$4), (AE75*$AE$4), (AK75*$AK$4)) * (100 / 60), 1), 0), new_transmute, 4, FALSE),
                    ""
                )
            )
        )
    )
)</f>
        <v/>
      </c>
      <c r="AM75" s="73" t="str">
        <f>IF($B75="","",
IF(AM$5="","",
IF('Final Term'!AM75="",0,
IF(NOT(ISNUMBER('Final Term'!AM75)),"NAN",
IF('Final Term'!AM75&lt;0,"NEG",
IF('Final Term'!AM75&gt;AM$5,"OVER",
IF(AND(AM$5&lt;=100,'Final Term'!AM75&gt;100),"ERR",
IF(Info!$B$4="Non-board program",
IF(OR(AND(AM$5&gt;0,AM$5&gt;100),AND(AM$5&gt;0,AM$5&lt;100)),
VLOOKUP(FLOOR(('Final Term'!AM75/AM$5)*100,1),new_transmute,2,FALSE),
VLOOKUP('Final Term'!AM75,new_transmute,2,FALSE)
),
IF(Info!$B$4="Board program",
IF(OR(AND(AM$5&gt;0,AM$5&gt;100),AND(AM$5&gt;0,AM$5&lt;100)),
VLOOKUP(FLOOR(('Final Term'!AM75/AM$5)*100,1),new_transmute,3,FALSE),
VLOOKUP('Final Term'!AM75,new_transmute,3,FALSE)
),
IF(Info!$B$4="Board program (Medicine)",
IF(OR(AND(AM$5&gt;0,AM$5&gt;100),AND(AM$5&gt;0,AM$5&lt;100)),
VLOOKUP(FLOOR(('Final Term'!AM75/AM$5)*100,1),new_transmute,4,FALSE),
VLOOKUP('Final Term'!AM75,new_transmute,4,FALSE)
),
""
)
)
)
)
)
)
)
)
))</f>
        <v/>
      </c>
      <c r="AN75" s="73" t="str">
        <f>IF($B75="","",
IF(AN$5="","",
IF('Final Term'!AN75="",0,
IF(NOT(ISNUMBER('Final Term'!AN75)),"NAN",
IF('Final Term'!AN75&lt;0,"NEG",
IF('Final Term'!AN75&gt;AN$5,"OVER",
IF(AND(AN$5&lt;=100,'Final Term'!AN75&gt;100),"ERR",
IF(Info!$B$4="Non-board program",
IF(OR(AND(AN$5&gt;0,AN$5&gt;100),AND(AN$5&gt;0,AN$5&lt;100)),
VLOOKUP(FLOOR(('Final Term'!AN75/AN$5)*100,1),new_transmute,2,FALSE),
VLOOKUP('Final Term'!AN75,new_transmute,2,FALSE)
),
IF(Info!$B$4="Board program",
IF(OR(AND(AN$5&gt;0,AN$5&gt;100),AND(AN$5&gt;0,AN$5&lt;100)),
VLOOKUP(FLOOR(('Final Term'!AN75/AN$5)*100,1),new_transmute,3,FALSE),
VLOOKUP('Final Term'!AN75,new_transmute,3,FALSE)
),
IF(Info!$B$4="Board program (Medicine)",
IF(OR(AND(AN$5&gt;0,AN$5&gt;100),AND(AN$5&gt;0,AN$5&lt;100)),
VLOOKUP(FLOOR(('Final Term'!AN75/AN$5)*100,1),new_transmute,4,FALSE),
VLOOKUP('Final Term'!AN75,new_transmute,4,FALSE)
),
""
)
)
)
)
)
)
)
)
))</f>
        <v/>
      </c>
      <c r="AO75" s="73" t="str">
        <f>IF($B75="","",
IF(AO$5="","",
IF('Final Term'!AO75="",0,
IF(NOT(ISNUMBER('Final Term'!AO75)),"NAN",
IF('Final Term'!AO75&lt;0,"NEG",
IF('Final Term'!AO75&gt;AO$5,"OVER",
IF(AND(AO$5&lt;=100,'Final Term'!AO75&gt;100),"ERR",
IF(Info!$B$4="Non-board program",
IF(OR(AND(AO$5&gt;0,AO$5&gt;100),AND(AO$5&gt;0,AO$5&lt;100)),
VLOOKUP(FLOOR(('Final Term'!AO75/AO$5)*100,1),new_transmute,2,FALSE),
VLOOKUP('Final Term'!AO75,new_transmute,2,FALSE)
),
IF(Info!$B$4="Board program",
IF(OR(AND(AO$5&gt;0,AO$5&gt;100),AND(AO$5&gt;0,AO$5&lt;100)),
VLOOKUP(FLOOR(('Final Term'!AO75/AO$5)*100,1),new_transmute,3,FALSE),
VLOOKUP('Final Term'!AO75,new_transmute,3,FALSE)
),
IF(Info!$B$4="Board program (Medicine)",
IF(OR(AND(AO$5&gt;0,AO$5&gt;100),AND(AO$5&gt;0,AO$5&lt;100)),
VLOOKUP(FLOOR(('Final Term'!AO75/AO$5)*100,1),new_transmute,4,FALSE),
VLOOKUP('Final Term'!AO75,new_transmute,4,FALSE)
),
""
)
)
)
)
)
)
)
)
))</f>
        <v/>
      </c>
      <c r="AP75" s="73" t="str">
        <f>IF($B75="","",
IF(AP$5="","",
IF('Final Term'!AP75="",0,
IF(NOT(ISNUMBER('Final Term'!AP75)),"NAN",
IF('Final Term'!AP75&lt;0,"NEG",
IF('Final Term'!AP75&gt;AP$5,"OVER",
IF(AND(AP$5&lt;=100,'Final Term'!AP75&gt;100),"ERR",
IF(Info!$B$4="Non-board program",
IF(OR(AND(AP$5&gt;0,AP$5&gt;100),AND(AP$5&gt;0,AP$5&lt;100)),
VLOOKUP(FLOOR(('Final Term'!AP75/AP$5)*100,1),new_transmute,2,FALSE),
VLOOKUP('Final Term'!AP75,new_transmute,2,FALSE)
),
IF(Info!$B$4="Board program",
IF(OR(AND(AP$5&gt;0,AP$5&gt;100),AND(AP$5&gt;0,AP$5&lt;100)),
VLOOKUP(FLOOR(('Final Term'!AP75/AP$5)*100,1),new_transmute,3,FALSE),
VLOOKUP('Final Term'!AP75,new_transmute,3,FALSE)
),
IF(Info!$B$4="Board program (Medicine)",
IF(OR(AND(AP$5&gt;0,AP$5&gt;100),AND(AP$5&gt;0,AP$5&lt;100)),
VLOOKUP(FLOOR(('Final Term'!AP75/AP$5)*100,1),new_transmute,4,FALSE),
VLOOKUP('Final Term'!AP75,new_transmute,4,FALSE)
),
""
)
)
)
)
)
)
)
)
))</f>
        <v/>
      </c>
      <c r="AQ75" s="61" t="str">
        <f t="shared" si="17"/>
        <v/>
      </c>
      <c r="AR75" s="48" t="str">
        <f>IF('Final Term'!AR75="","",'Final Term'!AR75)</f>
        <v/>
      </c>
      <c r="AS75" s="165" t="str">
        <f t="shared" si="18"/>
        <v/>
      </c>
      <c r="AT75" s="14" t="str">
        <f t="shared" si="19"/>
        <v/>
      </c>
      <c r="AU75" s="13" t="str">
        <f>IF(B75="","",VLOOKUP(AT75,'New Grade Equivalent'!$B$3:$C$47,2,FALSE))</f>
        <v/>
      </c>
    </row>
    <row r="76" spans="1:47" x14ac:dyDescent="0.25">
      <c r="A76" s="8">
        <v>71</v>
      </c>
      <c r="B76" s="2" t="str">
        <f>IF('Student List'!C80="","",UPPER(LEFT('Student List'!C80,FIND(",",'Student List'!C80)-1)))</f>
        <v/>
      </c>
      <c r="C76" s="12" t="str">
        <f>IF('Student List'!C80="","",PROPER(MID('Student List'!C80, FIND(",", 'Student List'!C80) + 2, LEN('Student List'!C80) - FIND(",", 'Student List'!C80) - 1)))</f>
        <v/>
      </c>
      <c r="D76" s="127" t="str">
        <f>IF('Final Term'!D76="","",'Final Term'!D76)</f>
        <v/>
      </c>
      <c r="E76" s="8" t="str">
        <f>IF(MidCom!E76="FA", "FA",
    IF(MidCom!E76="DRP", "DRP",
        IF(MidCom!E76="WF", "WF",
            IF(D76="Yes", "INC",
               IF((SUM('MT Attendance'!AW74) / 3 + SUM('MT Attendance'!AY74) + SUM('FT Attendance'!AW74) / 3 + SUM('FT Attendance'!AY74)) &gt;= 0.2 * (SUMPRODUCT(--(ISTEXT('MT Attendance'!$C$2:$AU$2))) + SUMPRODUCT(--(ISTEXT('FT Attendance'!$C$2:$AU$2)))), "FA",
                   MidCom!E76
                )
            )
        )
    )
)</f>
        <v/>
      </c>
      <c r="F76" s="73" t="str">
        <f>IF($B76="","",
IF(F$5="","",
IF('Final Term'!F76="",0,
IF(NOT(ISNUMBER('Final Term'!F76)),"NAN",
IF('Final Term'!F76&lt;0,"NEG",
IF('Final Term'!F76&gt;F$5,"OVER",
IF(AND(F$5&lt;=100,'Final Term'!F76&gt;100),"ERR",
IF(Info!$B$4="Non-board program",
IF(OR(AND(F$5&gt;0,F$5&gt;100),AND(F$5&gt;0,F$5&lt;100)),
VLOOKUP(FLOOR(('Final Term'!F76/F$5)*100,1),new_transmute,2,FALSE),
VLOOKUP('Final Term'!F76,new_transmute,2,FALSE)
),
IF(Info!$B$4="Board program",
IF(OR(AND(F$5&gt;0,F$5&gt;100),AND(F$5&gt;0,F$5&lt;100)),
VLOOKUP(FLOOR(('Final Term'!F76/F$5)*100,1),new_transmute,3,FALSE),
VLOOKUP('Final Term'!F76,new_transmute,3,FALSE)
),
IF(Info!$B$4="Board program (Medicine)",
IF(OR(AND(F$5&gt;0,F$5&gt;100),AND(F$5&gt;0,F$5&lt;100)),
VLOOKUP(FLOOR(('Final Term'!F76/F$5)*100,1),new_transmute,4,FALSE),
VLOOKUP('Final Term'!F76,new_transmute,4,FALSE)
),
""
)
)
)
)
)
)
)
)
))</f>
        <v/>
      </c>
      <c r="G76" s="57" t="str">
        <f t="shared" si="11"/>
        <v/>
      </c>
      <c r="H76" s="73" t="str">
        <f>IF($B76="","",
IF(H$5="","",
IF('Final Term'!H76="",0,
IF(NOT(ISNUMBER('Final Term'!H76)),"NAN",
IF('Final Term'!H76&lt;0,"NEG",
IF('Final Term'!H76&gt;H$5,"OVER",
IF(AND(H$5&lt;=100,'Final Term'!H76&gt;100),"ERR",
IF(Info!$B$4="Non-board program",
IF(OR(AND(H$5&gt;0,H$5&gt;100),AND(H$5&gt;0,H$5&lt;100)),
VLOOKUP(FLOOR(('Final Term'!H76/H$5)*100,1),new_transmute,2,FALSE),
VLOOKUP('Final Term'!H76,new_transmute,2,FALSE)
),
IF(Info!$B$4="Board program",
IF(OR(AND(H$5&gt;0,H$5&gt;100),AND(H$5&gt;0,H$5&lt;100)),
VLOOKUP(FLOOR(('Final Term'!H76/H$5)*100,1),new_transmute,3,FALSE),
VLOOKUP('Final Term'!H76,new_transmute,3,FALSE)
),
IF(Info!$B$4="Board program (Medicine)",
IF(OR(AND(H$5&gt;0,H$5&gt;100),AND(H$5&gt;0,H$5&lt;100)),
VLOOKUP(FLOOR(('Final Term'!H76/H$5)*100,1),new_transmute,4,FALSE),
VLOOKUP('Final Term'!H76,new_transmute,4,FALSE)
),
""
)
)
)
)
)
)
)
)
))</f>
        <v/>
      </c>
      <c r="I76" s="73" t="str">
        <f>IF($B76="","",
IF(I$5="","",
IF('Final Term'!I76="",0,
IF(NOT(ISNUMBER('Final Term'!I76)),"NAN",
IF('Final Term'!I76&lt;0,"NEG",
IF('Final Term'!I76&gt;I$5,"OVER",
IF(AND(I$5&lt;=100,'Final Term'!I76&gt;100),"ERR",
IF(Info!$B$4="Non-board program",
IF(OR(AND(I$5&gt;0,I$5&gt;100),AND(I$5&gt;0,I$5&lt;100)),
VLOOKUP(FLOOR(('Final Term'!I76/I$5)*100,1),new_transmute,2,FALSE),
VLOOKUP('Final Term'!I76,new_transmute,2,FALSE)
),
IF(Info!$B$4="Board program",
IF(OR(AND(I$5&gt;0,I$5&gt;100),AND(I$5&gt;0,I$5&lt;100)),
VLOOKUP(FLOOR(('Final Term'!I76/I$5)*100,1),new_transmute,3,FALSE),
VLOOKUP('Final Term'!I76,new_transmute,3,FALSE)
),
IF(Info!$B$4="Board program (Medicine)",
IF(OR(AND(I$5&gt;0,I$5&gt;100),AND(I$5&gt;0,I$5&lt;100)),
VLOOKUP(FLOOR(('Final Term'!I76/I$5)*100,1),new_transmute,4,FALSE),
VLOOKUP('Final Term'!I76,new_transmute,4,FALSE)
),
""
)
)
)
)
)
)
)
)
))</f>
        <v/>
      </c>
      <c r="J76" s="73" t="str">
        <f>IF($B76="","",
IF(J$5="","",
IF('Final Term'!J76="",0,
IF(NOT(ISNUMBER('Final Term'!J76)),"NAN",
IF('Final Term'!J76&lt;0,"NEG",
IF('Final Term'!J76&gt;J$5,"OVER",
IF(AND(J$5&lt;=100,'Final Term'!J76&gt;100),"ERR",
IF(Info!$B$4="Non-board program",
IF(OR(AND(J$5&gt;0,J$5&gt;100),AND(J$5&gt;0,J$5&lt;100)),
VLOOKUP(FLOOR(('Final Term'!J76/J$5)*100,1),new_transmute,2,FALSE),
VLOOKUP('Final Term'!J76,new_transmute,2,FALSE)
),
IF(Info!$B$4="Board program",
IF(OR(AND(J$5&gt;0,J$5&gt;100),AND(J$5&gt;0,J$5&lt;100)),
VLOOKUP(FLOOR(('Final Term'!J76/J$5)*100,1),new_transmute,3,FALSE),
VLOOKUP('Final Term'!J76,new_transmute,3,FALSE)
),
IF(Info!$B$4="Board program (Medicine)",
IF(OR(AND(J$5&gt;0,J$5&gt;100),AND(J$5&gt;0,J$5&lt;100)),
VLOOKUP(FLOOR(('Final Term'!J76/J$5)*100,1),new_transmute,4,FALSE),
VLOOKUP('Final Term'!J76,new_transmute,4,FALSE)
),
""
)
)
)
)
)
)
)
)
))</f>
        <v/>
      </c>
      <c r="K76" s="73" t="str">
        <f>IF($B76="","",
IF(K$5="","",
IF('Final Term'!K76="",0,
IF(NOT(ISNUMBER('Final Term'!K76)),"NAN",
IF('Final Term'!K76&lt;0,"NEG",
IF('Final Term'!K76&gt;K$5,"OVER",
IF(AND(K$5&lt;=100,'Final Term'!K76&gt;100),"ERR",
IF(Info!$B$4="Non-board program",
IF(OR(AND(K$5&gt;0,K$5&gt;100),AND(K$5&gt;0,K$5&lt;100)),
VLOOKUP(FLOOR(('Final Term'!K76/K$5)*100,1),new_transmute,2,FALSE),
VLOOKUP('Final Term'!K76,new_transmute,2,FALSE)
),
IF(Info!$B$4="Board program",
IF(OR(AND(K$5&gt;0,K$5&gt;100),AND(K$5&gt;0,K$5&lt;100)),
VLOOKUP(FLOOR(('Final Term'!K76/K$5)*100,1),new_transmute,3,FALSE),
VLOOKUP('Final Term'!K76,new_transmute,3,FALSE)
),
IF(Info!$B$4="Board program (Medicine)",
IF(OR(AND(K$5&gt;0,K$5&gt;100),AND(K$5&gt;0,K$5&lt;100)),
VLOOKUP(FLOOR(('Final Term'!K76/K$5)*100,1),new_transmute,4,FALSE),
VLOOKUP('Final Term'!K76,new_transmute,4,FALSE)
),
""
)
)
)
)
)
)
)
)
))</f>
        <v/>
      </c>
      <c r="L76" s="73" t="str">
        <f>IF($B76="","",
IF(L$5="","",
IF('Final Term'!L76="",0,
IF(NOT(ISNUMBER('Final Term'!L76)),"NAN",
IF('Final Term'!L76&lt;0,"NEG",
IF('Final Term'!L76&gt;L$5,"OVER",
IF(AND(L$5&lt;=100,'Final Term'!L76&gt;100),"ERR",
IF(Info!$B$4="Non-board program",
IF(OR(AND(L$5&gt;0,L$5&gt;100),AND(L$5&gt;0,L$5&lt;100)),
VLOOKUP(FLOOR(('Final Term'!L76/L$5)*100,1),new_transmute,2,FALSE),
VLOOKUP('Final Term'!L76,new_transmute,2,FALSE)
),
IF(Info!$B$4="Board program",
IF(OR(AND(L$5&gt;0,L$5&gt;100),AND(L$5&gt;0,L$5&lt;100)),
VLOOKUP(FLOOR(('Final Term'!L76/L$5)*100,1),new_transmute,3,FALSE),
VLOOKUP('Final Term'!L76,new_transmute,3,FALSE)
),
IF(Info!$B$4="Board program (Medicine)",
IF(OR(AND(L$5&gt;0,L$5&gt;100),AND(L$5&gt;0,L$5&lt;100)),
VLOOKUP(FLOOR(('Final Term'!L76/L$5)*100,1),new_transmute,4,FALSE),
VLOOKUP('Final Term'!L76,new_transmute,4,FALSE)
),
""
)
)
)
)
)
)
)
)
))</f>
        <v/>
      </c>
      <c r="M76" s="111" t="str">
        <f t="shared" si="12"/>
        <v/>
      </c>
      <c r="N76" s="73" t="str">
        <f>IF($B76="","",
IF(N$5="","",
IF('Final Term'!N76="",0,
IF(NOT(ISNUMBER('Final Term'!N76)),"NAN",
IF('Final Term'!N76&lt;0,"NEG",
IF('Final Term'!N76&gt;N$5,"OVER",
IF(AND(N$5&lt;=100,'Final Term'!N76&gt;100),"ERR",
IF(Info!$B$4="Non-board program",
IF(OR(AND(N$5&gt;0,N$5&gt;100),AND(N$5&gt;0,N$5&lt;100)),
VLOOKUP(FLOOR(('Final Term'!N76/N$5)*100,1),new_transmute,2,FALSE),
VLOOKUP('Final Term'!N76,new_transmute,2,FALSE)
),
IF(Info!$B$4="Board program",
IF(OR(AND(N$5&gt;0,N$5&gt;100),AND(N$5&gt;0,N$5&lt;100)),
VLOOKUP(FLOOR(('Final Term'!N76/N$5)*100,1),new_transmute,3,FALSE),
VLOOKUP('Final Term'!N76,new_transmute,3,FALSE)
),
IF(Info!$B$4="Board program (Medicine)",
IF(OR(AND(N$5&gt;0,N$5&gt;100),AND(N$5&gt;0,N$5&lt;100)),
VLOOKUP(FLOOR(('Final Term'!N76/N$5)*100,1),new_transmute,4,FALSE),
VLOOKUP('Final Term'!N76,new_transmute,4,FALSE)
),
""
)
)
)
)
)
)
)
)
))</f>
        <v/>
      </c>
      <c r="O76" s="73" t="str">
        <f>IF($B76="","",
IF(O$5="","",
IF('Final Term'!O76="",0,
IF(NOT(ISNUMBER('Final Term'!O76)),"NAN",
IF('Final Term'!O76&lt;0,"NEG",
IF('Final Term'!O76&gt;O$5,"OVER",
IF(AND(O$5&lt;=100,'Final Term'!O76&gt;100),"ERR",
IF(Info!$B$4="Non-board program",
IF(OR(AND(O$5&gt;0,O$5&gt;100),AND(O$5&gt;0,O$5&lt;100)),
VLOOKUP(FLOOR(('Final Term'!O76/O$5)*100,1),new_transmute,2,FALSE),
VLOOKUP('Final Term'!O76,new_transmute,2,FALSE)
),
IF(Info!$B$4="Board program",
IF(OR(AND(O$5&gt;0,O$5&gt;100),AND(O$5&gt;0,O$5&lt;100)),
VLOOKUP(FLOOR(('Final Term'!O76/O$5)*100,1),new_transmute,3,FALSE),
VLOOKUP('Final Term'!O76,new_transmute,3,FALSE)
),
IF(Info!$B$4="Board program (Medicine)",
IF(OR(AND(O$5&gt;0,O$5&gt;100),AND(O$5&gt;0,O$5&lt;100)),
VLOOKUP(FLOOR(('Final Term'!O76/O$5)*100,1),new_transmute,4,FALSE),
VLOOKUP('Final Term'!O76,new_transmute,4,FALSE)
),
""
)
)
)
)
)
)
)
)
))</f>
        <v/>
      </c>
      <c r="P76" s="73" t="str">
        <f>IF($B76="","",
IF(P$5="","",
IF('Final Term'!P76="",0,
IF(NOT(ISNUMBER('Final Term'!P76)),"NAN",
IF('Final Term'!P76&lt;0,"NEG",
IF('Final Term'!P76&gt;P$5,"OVER",
IF(AND(P$5&lt;=100,'Final Term'!P76&gt;100),"ERR",
IF(Info!$B$4="Non-board program",
IF(OR(AND(P$5&gt;0,P$5&gt;100),AND(P$5&gt;0,P$5&lt;100)),
VLOOKUP(FLOOR(('Final Term'!P76/P$5)*100,1),new_transmute,2,FALSE),
VLOOKUP('Final Term'!P76,new_transmute,2,FALSE)
),
IF(Info!$B$4="Board program",
IF(OR(AND(P$5&gt;0,P$5&gt;100),AND(P$5&gt;0,P$5&lt;100)),
VLOOKUP(FLOOR(('Final Term'!P76/P$5)*100,1),new_transmute,3,FALSE),
VLOOKUP('Final Term'!P76,new_transmute,3,FALSE)
),
IF(Info!$B$4="Board program (Medicine)",
IF(OR(AND(P$5&gt;0,P$5&gt;100),AND(P$5&gt;0,P$5&lt;100)),
VLOOKUP(FLOOR(('Final Term'!P76/P$5)*100,1),new_transmute,4,FALSE),
VLOOKUP('Final Term'!P76,new_transmute,4,FALSE)
),
""
)
)
)
)
)
)
)
)
))</f>
        <v/>
      </c>
      <c r="Q76" s="73" t="str">
        <f>IF($B76="","",
IF(Q$5="","",
IF('Final Term'!Q76="",0,
IF(NOT(ISNUMBER('Final Term'!Q76)),"NAN",
IF('Final Term'!Q76&lt;0,"NEG",
IF('Final Term'!Q76&gt;Q$5,"OVER",
IF(AND(Q$5&lt;=100,'Final Term'!Q76&gt;100),"ERR",
IF(Info!$B$4="Non-board program",
IF(OR(AND(Q$5&gt;0,Q$5&gt;100),AND(Q$5&gt;0,Q$5&lt;100)),
VLOOKUP(FLOOR(('Final Term'!Q76/Q$5)*100,1),new_transmute,2,FALSE),
VLOOKUP('Final Term'!Q76,new_transmute,2,FALSE)
),
IF(Info!$B$4="Board program",
IF(OR(AND(Q$5&gt;0,Q$5&gt;100),AND(Q$5&gt;0,Q$5&lt;100)),
VLOOKUP(FLOOR(('Final Term'!Q76/Q$5)*100,1),new_transmute,3,FALSE),
VLOOKUP('Final Term'!Q76,new_transmute,3,FALSE)
),
IF(Info!$B$4="Board program (Medicine)",
IF(OR(AND(Q$5&gt;0,Q$5&gt;100),AND(Q$5&gt;0,Q$5&lt;100)),
VLOOKUP(FLOOR(('Final Term'!Q76/Q$5)*100,1),new_transmute,4,FALSE),
VLOOKUP('Final Term'!Q76,new_transmute,4,FALSE)
),
""
)
)
)
)
)
)
)
)
))</f>
        <v/>
      </c>
      <c r="R76" s="73" t="str">
        <f>IF($B76="","",
IF(R$5="","",
IF('Final Term'!R76="",0,
IF(NOT(ISNUMBER('Final Term'!R76)),"NAN",
IF('Final Term'!R76&lt;0,"NEG",
IF('Final Term'!R76&gt;R$5,"OVER",
IF(AND(R$5&lt;=100,'Final Term'!R76&gt;100),"ERR",
IF(Info!$B$4="Non-board program",
IF(OR(AND(R$5&gt;0,R$5&gt;100),AND(R$5&gt;0,R$5&lt;100)),
VLOOKUP(FLOOR(('Final Term'!R76/R$5)*100,1),new_transmute,2,FALSE),
VLOOKUP('Final Term'!R76,new_transmute,2,FALSE)
),
IF(Info!$B$4="Board program",
IF(OR(AND(R$5&gt;0,R$5&gt;100),AND(R$5&gt;0,R$5&lt;100)),
VLOOKUP(FLOOR(('Final Term'!R76/R$5)*100,1),new_transmute,3,FALSE),
VLOOKUP('Final Term'!R76,new_transmute,3,FALSE)
),
IF(Info!$B$4="Board program (Medicine)",
IF(OR(AND(R$5&gt;0,R$5&gt;100),AND(R$5&gt;0,R$5&lt;100)),
VLOOKUP(FLOOR(('Final Term'!R76/R$5)*100,1),new_transmute,4,FALSE),
VLOOKUP('Final Term'!R76,new_transmute,4,FALSE)
),
""
)
)
)
)
)
)
)
)
))</f>
        <v/>
      </c>
      <c r="S76" s="115" t="str">
        <f t="shared" si="13"/>
        <v/>
      </c>
      <c r="T76" s="73" t="str">
        <f>IF($B76="","",
IF(T$5="","",
IF('Final Term'!T76="",0,
IF(NOT(ISNUMBER('Final Term'!T76)),"NAN",
IF('Final Term'!T76&lt;0,"NEG",
IF('Final Term'!T76&gt;T$5,"OVER",
IF(AND(T$5&lt;=100,'Final Term'!T76&gt;100),"ERR",
IF(Info!$B$4="Non-board program",
IF(OR(AND(T$5&gt;0,T$5&gt;100),AND(T$5&gt;0,T$5&lt;100)),
VLOOKUP(FLOOR(('Final Term'!T76/T$5)*100,1),new_transmute,2,FALSE),
VLOOKUP('Final Term'!T76,new_transmute,2,FALSE)
),
IF(Info!$B$4="Board program",
IF(OR(AND(T$5&gt;0,T$5&gt;100),AND(T$5&gt;0,T$5&lt;100)),
VLOOKUP(FLOOR(('Final Term'!T76/T$5)*100,1),new_transmute,3,FALSE),
VLOOKUP('Final Term'!T76,new_transmute,3,FALSE)
),
IF(Info!$B$4="Board program (Medicine)",
IF(OR(AND(T$5&gt;0,T$5&gt;100),AND(T$5&gt;0,T$5&lt;100)),
VLOOKUP(FLOOR(('Final Term'!T76/T$5)*100,1),new_transmute,4,FALSE),
VLOOKUP('Final Term'!T76,new_transmute,4,FALSE)
),
""
)
)
)
)
)
)
)
)
))</f>
        <v/>
      </c>
      <c r="U76" s="73" t="str">
        <f>IF($B76="","",
IF(U$5="","",
IF('Final Term'!U76="",0,
IF(NOT(ISNUMBER('Final Term'!U76)),"NAN",
IF('Final Term'!U76&lt;0,"NEG",
IF('Final Term'!U76&gt;U$5,"OVER",
IF(AND(U$5&lt;=100,'Final Term'!U76&gt;100),"ERR",
IF(Info!$B$4="Non-board program",
IF(OR(AND(U$5&gt;0,U$5&gt;100),AND(U$5&gt;0,U$5&lt;100)),
VLOOKUP(FLOOR(('Final Term'!U76/U$5)*100,1),new_transmute,2,FALSE),
VLOOKUP('Final Term'!U76,new_transmute,2,FALSE)
),
IF(Info!$B$4="Board program",
IF(OR(AND(U$5&gt;0,U$5&gt;100),AND(U$5&gt;0,U$5&lt;100)),
VLOOKUP(FLOOR(('Final Term'!U76/U$5)*100,1),new_transmute,3,FALSE),
VLOOKUP('Final Term'!U76,new_transmute,3,FALSE)
),
IF(Info!$B$4="Board program (Medicine)",
IF(OR(AND(U$5&gt;0,U$5&gt;100),AND(U$5&gt;0,U$5&lt;100)),
VLOOKUP(FLOOR(('Final Term'!U76/U$5)*100,1),new_transmute,4,FALSE),
VLOOKUP('Final Term'!U76,new_transmute,4,FALSE)
),
""
)
)
)
)
)
)
)
)
))</f>
        <v/>
      </c>
      <c r="V76" s="73" t="str">
        <f>IF($B76="","",
IF(V$5="","",
IF('Final Term'!V76="",0,
IF(NOT(ISNUMBER('Final Term'!V76)),"NAN",
IF('Final Term'!V76&lt;0,"NEG",
IF('Final Term'!V76&gt;V$5,"OVER",
IF(AND(V$5&lt;=100,'Final Term'!V76&gt;100),"ERR",
IF(Info!$B$4="Non-board program",
IF(OR(AND(V$5&gt;0,V$5&gt;100),AND(V$5&gt;0,V$5&lt;100)),
VLOOKUP(FLOOR(('Final Term'!V76/V$5)*100,1),new_transmute,2,FALSE),
VLOOKUP('Final Term'!V76,new_transmute,2,FALSE)
),
IF(Info!$B$4="Board program",
IF(OR(AND(V$5&gt;0,V$5&gt;100),AND(V$5&gt;0,V$5&lt;100)),
VLOOKUP(FLOOR(('Final Term'!V76/V$5)*100,1),new_transmute,3,FALSE),
VLOOKUP('Final Term'!V76,new_transmute,3,FALSE)
),
IF(Info!$B$4="Board program (Medicine)",
IF(OR(AND(V$5&gt;0,V$5&gt;100),AND(V$5&gt;0,V$5&lt;100)),
VLOOKUP(FLOOR(('Final Term'!V76/V$5)*100,1),new_transmute,4,FALSE),
VLOOKUP('Final Term'!V76,new_transmute,4,FALSE)
),
""
)
)
)
)
)
)
)
)
))</f>
        <v/>
      </c>
      <c r="W76" s="73" t="str">
        <f>IF($B76="","",
IF(W$5="","",
IF('Final Term'!W76="",0,
IF(NOT(ISNUMBER('Final Term'!W76)),"NAN",
IF('Final Term'!W76&lt;0,"NEG",
IF('Final Term'!W76&gt;W$5,"OVER",
IF(AND(W$5&lt;=100,'Final Term'!W76&gt;100),"ERR",
IF(Info!$B$4="Non-board program",
IF(OR(AND(W$5&gt;0,W$5&gt;100),AND(W$5&gt;0,W$5&lt;100)),
VLOOKUP(FLOOR(('Final Term'!W76/W$5)*100,1),new_transmute,2,FALSE),
VLOOKUP('Final Term'!W76,new_transmute,2,FALSE)
),
IF(Info!$B$4="Board program",
IF(OR(AND(W$5&gt;0,W$5&gt;100),AND(W$5&gt;0,W$5&lt;100)),
VLOOKUP(FLOOR(('Final Term'!W76/W$5)*100,1),new_transmute,3,FALSE),
VLOOKUP('Final Term'!W76,new_transmute,3,FALSE)
),
IF(Info!$B$4="Board program (Medicine)",
IF(OR(AND(W$5&gt;0,W$5&gt;100),AND(W$5&gt;0,W$5&lt;100)),
VLOOKUP(FLOOR(('Final Term'!W76/W$5)*100,1),new_transmute,4,FALSE),
VLOOKUP('Final Term'!W76,new_transmute,4,FALSE)
),
""
)
)
)
)
)
)
)
)
))</f>
        <v/>
      </c>
      <c r="X76" s="73" t="str">
        <f>IF($B76="","",
IF(X$5="","",
IF('Final Term'!X76="",0,
IF(NOT(ISNUMBER('Final Term'!X76)),"NAN",
IF('Final Term'!X76&lt;0,"NEG",
IF('Final Term'!X76&gt;X$5,"OVER",
IF(AND(X$5&lt;=100,'Final Term'!X76&gt;100),"ERR",
IF(Info!$B$4="Non-board program",
IF(OR(AND(X$5&gt;0,X$5&gt;100),AND(X$5&gt;0,X$5&lt;100)),
VLOOKUP(FLOOR(('Final Term'!X76/X$5)*100,1),new_transmute,2,FALSE),
VLOOKUP('Final Term'!X76,new_transmute,2,FALSE)
),
IF(Info!$B$4="Board program",
IF(OR(AND(X$5&gt;0,X$5&gt;100),AND(X$5&gt;0,X$5&lt;100)),
VLOOKUP(FLOOR(('Final Term'!X76/X$5)*100,1),new_transmute,3,FALSE),
VLOOKUP('Final Term'!X76,new_transmute,3,FALSE)
),
IF(Info!$B$4="Board program (Medicine)",
IF(OR(AND(X$5&gt;0,X$5&gt;100),AND(X$5&gt;0,X$5&lt;100)),
VLOOKUP(FLOOR(('Final Term'!X76/X$5)*100,1),new_transmute,4,FALSE),
VLOOKUP('Final Term'!X76,new_transmute,4,FALSE)
),
""
)
)
)
)
)
)
)
)
))</f>
        <v/>
      </c>
      <c r="Y76" s="112" t="str">
        <f t="shared" si="14"/>
        <v/>
      </c>
      <c r="Z76" s="73" t="str">
        <f>IF($B76="","",
IF(Z$5="","",
IF('Final Term'!Z76="",0,
IF(NOT(ISNUMBER('Final Term'!Z76)),"NAN",
IF('Final Term'!Z76&lt;0,"NEG",
IF('Final Term'!Z76&gt;Z$5,"OVER",
IF(AND(Z$5&lt;=100,'Final Term'!Z76&gt;100),"ERR",
IF(Info!$B$4="Non-board program",
IF(OR(AND(Z$5&gt;0,Z$5&gt;100),AND(Z$5&gt;0,Z$5&lt;100)),
VLOOKUP(FLOOR(('Final Term'!Z76/Z$5)*100,1),new_transmute,2,FALSE),
VLOOKUP('Final Term'!Z76,new_transmute,2,FALSE)
),
IF(Info!$B$4="Board program",
IF(OR(AND(Z$5&gt;0,Z$5&gt;100),AND(Z$5&gt;0,Z$5&lt;100)),
VLOOKUP(FLOOR(('Final Term'!Z76/Z$5)*100,1),new_transmute,3,FALSE),
VLOOKUP('Final Term'!Z76,new_transmute,3,FALSE)
),
IF(Info!$B$4="Board program (Medicine)",
IF(OR(AND(Z$5&gt;0,Z$5&gt;100),AND(Z$5&gt;0,Z$5&lt;100)),
VLOOKUP(FLOOR(('Final Term'!Z76/Z$5)*100,1),new_transmute,4,FALSE),
VLOOKUP('Final Term'!Z76,new_transmute,4,FALSE)
),
""
)
)
)
)
)
)
)
)
))</f>
        <v/>
      </c>
      <c r="AA76" s="73" t="str">
        <f>IF($B76="","",
IF(AA$5="","",
IF('Final Term'!AA76="",0,
IF(NOT(ISNUMBER('Final Term'!AA76)),"NAN",
IF('Final Term'!AA76&lt;0,"NEG",
IF('Final Term'!AA76&gt;AA$5,"OVER",
IF(AND(AA$5&lt;=100,'Final Term'!AA76&gt;100),"ERR",
IF(Info!$B$4="Non-board program",
IF(OR(AND(AA$5&gt;0,AA$5&gt;100),AND(AA$5&gt;0,AA$5&lt;100)),
VLOOKUP(FLOOR(('Final Term'!AA76/AA$5)*100,1),new_transmute,2,FALSE),
VLOOKUP('Final Term'!AA76,new_transmute,2,FALSE)
),
IF(Info!$B$4="Board program",
IF(OR(AND(AA$5&gt;0,AA$5&gt;100),AND(AA$5&gt;0,AA$5&lt;100)),
VLOOKUP(FLOOR(('Final Term'!AA76/AA$5)*100,1),new_transmute,3,FALSE),
VLOOKUP('Final Term'!AA76,new_transmute,3,FALSE)
),
IF(Info!$B$4="Board program (Medicine)",
IF(OR(AND(AA$5&gt;0,AA$5&gt;100),AND(AA$5&gt;0,AA$5&lt;100)),
VLOOKUP(FLOOR(('Final Term'!AA76/AA$5)*100,1),new_transmute,4,FALSE),
VLOOKUP('Final Term'!AA76,new_transmute,4,FALSE)
),
""
)
)
)
)
)
)
)
)
))</f>
        <v/>
      </c>
      <c r="AB76" s="73" t="str">
        <f>IF($B76="","",
IF(AB$5="","",
IF('Final Term'!AB76="",0,
IF(NOT(ISNUMBER('Final Term'!AB76)),"NAN",
IF('Final Term'!AB76&lt;0,"NEG",
IF('Final Term'!AB76&gt;AB$5,"OVER",
IF(AND(AB$5&lt;=100,'Final Term'!AB76&gt;100),"ERR",
IF(Info!$B$4="Non-board program",
IF(OR(AND(AB$5&gt;0,AB$5&gt;100),AND(AB$5&gt;0,AB$5&lt;100)),
VLOOKUP(FLOOR(('Final Term'!AB76/AB$5)*100,1),new_transmute,2,FALSE),
VLOOKUP('Final Term'!AB76,new_transmute,2,FALSE)
),
IF(Info!$B$4="Board program",
IF(OR(AND(AB$5&gt;0,AB$5&gt;100),AND(AB$5&gt;0,AB$5&lt;100)),
VLOOKUP(FLOOR(('Final Term'!AB76/AB$5)*100,1),new_transmute,3,FALSE),
VLOOKUP('Final Term'!AB76,new_transmute,3,FALSE)
),
IF(Info!$B$4="Board program (Medicine)",
IF(OR(AND(AB$5&gt;0,AB$5&gt;100),AND(AB$5&gt;0,AB$5&lt;100)),
VLOOKUP(FLOOR(('Final Term'!AB76/AB$5)*100,1),new_transmute,4,FALSE),
VLOOKUP('Final Term'!AB76,new_transmute,4,FALSE)
),
""
)
)
)
)
)
)
)
)
))</f>
        <v/>
      </c>
      <c r="AC76" s="73" t="str">
        <f>IF($B76="","",
IF(AC$5="","",
IF('Final Term'!AC76="",0,
IF(NOT(ISNUMBER('Final Term'!AC76)),"NAN",
IF('Final Term'!AC76&lt;0,"NEG",
IF('Final Term'!AC76&gt;AC$5,"OVER",
IF(AND(AC$5&lt;=100,'Final Term'!AC76&gt;100),"ERR",
IF(Info!$B$4="Non-board program",
IF(OR(AND(AC$5&gt;0,AC$5&gt;100),AND(AC$5&gt;0,AC$5&lt;100)),
VLOOKUP(FLOOR(('Final Term'!AC76/AC$5)*100,1),new_transmute,2,FALSE),
VLOOKUP('Final Term'!AC76,new_transmute,2,FALSE)
),
IF(Info!$B$4="Board program",
IF(OR(AND(AC$5&gt;0,AC$5&gt;100),AND(AC$5&gt;0,AC$5&lt;100)),
VLOOKUP(FLOOR(('Final Term'!AC76/AC$5)*100,1),new_transmute,3,FALSE),
VLOOKUP('Final Term'!AC76,new_transmute,3,FALSE)
),
IF(Info!$B$4="Board program (Medicine)",
IF(OR(AND(AC$5&gt;0,AC$5&gt;100),AND(AC$5&gt;0,AC$5&lt;100)),
VLOOKUP(FLOOR(('Final Term'!AC76/AC$5)*100,1),new_transmute,4,FALSE),
VLOOKUP('Final Term'!AC76,new_transmute,4,FALSE)
),
""
)
)
)
)
)
)
)
)
))</f>
        <v/>
      </c>
      <c r="AD76" s="73" t="str">
        <f>IF($B76="","",
IF(AD$5="","",
IF('Final Term'!AD76="",0,
IF(NOT(ISNUMBER('Final Term'!AD76)),"NAN",
IF('Final Term'!AD76&lt;0,"NEG",
IF('Final Term'!AD76&gt;AD$5,"OVER",
IF(AND(AD$5&lt;=100,'Final Term'!AD76&gt;100),"ERR",
IF(Info!$B$4="Non-board program",
IF(OR(AND(AD$5&gt;0,AD$5&gt;100),AND(AD$5&gt;0,AD$5&lt;100)),
VLOOKUP(FLOOR(('Final Term'!AD76/AD$5)*100,1),new_transmute,2,FALSE),
VLOOKUP('Final Term'!AD76,new_transmute,2,FALSE)
),
IF(Info!$B$4="Board program",
IF(OR(AND(AD$5&gt;0,AD$5&gt;100),AND(AD$5&gt;0,AD$5&lt;100)),
VLOOKUP(FLOOR(('Final Term'!AD76/AD$5)*100,1),new_transmute,3,FALSE),
VLOOKUP('Final Term'!AD76,new_transmute,3,FALSE)
),
IF(Info!$B$4="Board program (Medicine)",
IF(OR(AND(AD$5&gt;0,AD$5&gt;100),AND(AD$5&gt;0,AD$5&lt;100)),
VLOOKUP(FLOOR(('Final Term'!AD76/AD$5)*100,1),new_transmute,4,FALSE),
VLOOKUP('Final Term'!AD76,new_transmute,4,FALSE)
),
""
)
)
)
)
)
)
)
)
))</f>
        <v/>
      </c>
      <c r="AE76" s="58" t="str">
        <f t="shared" si="15"/>
        <v/>
      </c>
      <c r="AF76" s="73" t="str">
        <f>IF($B76="","",
IF(AF$5="","",
IF('Final Term'!AF76="",0,
IF(NOT(ISNUMBER('Final Term'!AF76)),"NAN",
IF('Final Term'!AF76&lt;0,"NEG",
IF('Final Term'!AF76&gt;AF$5,"OVER",
IF(AND(AF$5&lt;=100,'Final Term'!AF76&gt;100),"ERR",
IF(Info!$B$4="Non-board program",
IF(OR(AND(AF$5&gt;0,AF$5&gt;100),AND(AF$5&gt;0,AF$5&lt;100)),
VLOOKUP(FLOOR(('Final Term'!AF76/AF$5)*100,1),new_transmute,2,FALSE),
VLOOKUP('Final Term'!AF76,new_transmute,2,FALSE)
),
IF(Info!$B$4="Board program",
IF(OR(AND(AF$5&gt;0,AF$5&gt;100),AND(AF$5&gt;0,AF$5&lt;100)),
VLOOKUP(FLOOR(('Final Term'!AF76/AF$5)*100,1),new_transmute,3,FALSE),
VLOOKUP('Final Term'!AF76,new_transmute,3,FALSE)
),
IF(Info!$B$4="Board program (Medicine)",
IF(OR(AND(AF$5&gt;0,AF$5&gt;100),AND(AF$5&gt;0,AF$5&lt;100)),
VLOOKUP(FLOOR(('Final Term'!AF76/AF$5)*100,1),new_transmute,4,FALSE),
VLOOKUP('Final Term'!AF76,new_transmute,4,FALSE)
),
""
)
)
)
)
)
)
)
)
))</f>
        <v/>
      </c>
      <c r="AG76" s="73" t="str">
        <f>IF($B76="","",
IF(AG$5="","",
IF('Final Term'!AG76="",0,
IF(NOT(ISNUMBER('Final Term'!AG76)),"NAN",
IF('Final Term'!AG76&lt;0,"NEG",
IF('Final Term'!AG76&gt;AG$5,"OVER",
IF(AND(AG$5&lt;=100,'Final Term'!AG76&gt;100),"ERR",
IF(Info!$B$4="Non-board program",
IF(OR(AND(AG$5&gt;0,AG$5&gt;100),AND(AG$5&gt;0,AG$5&lt;100)),
VLOOKUP(FLOOR(('Final Term'!AG76/AG$5)*100,1),new_transmute,2,FALSE),
VLOOKUP('Final Term'!AG76,new_transmute,2,FALSE)
),
IF(Info!$B$4="Board program",
IF(OR(AND(AG$5&gt;0,AG$5&gt;100),AND(AG$5&gt;0,AG$5&lt;100)),
VLOOKUP(FLOOR(('Final Term'!AG76/AG$5)*100,1),new_transmute,3,FALSE),
VLOOKUP('Final Term'!AG76,new_transmute,3,FALSE)
),
IF(Info!$B$4="Board program (Medicine)",
IF(OR(AND(AG$5&gt;0,AG$5&gt;100),AND(AG$5&gt;0,AG$5&lt;100)),
VLOOKUP(FLOOR(('Final Term'!AG76/AG$5)*100,1),new_transmute,4,FALSE),
VLOOKUP('Final Term'!AG76,new_transmute,4,FALSE)
),
""
)
)
)
)
)
)
)
)
))</f>
        <v/>
      </c>
      <c r="AH76" s="73" t="str">
        <f>IF($B76="","",
IF(AH$5="","",
IF('Final Term'!AH76="",0,
IF(NOT(ISNUMBER('Final Term'!AH76)),"NAN",
IF('Final Term'!AH76&lt;0,"NEG",
IF('Final Term'!AH76&gt;AH$5,"OVER",
IF(AND(AH$5&lt;=100,'Final Term'!AH76&gt;100),"ERR",
IF(Info!$B$4="Non-board program",
IF(OR(AND(AH$5&gt;0,AH$5&gt;100),AND(AH$5&gt;0,AH$5&lt;100)),
VLOOKUP(FLOOR(('Final Term'!AH76/AH$5)*100,1),new_transmute,2,FALSE),
VLOOKUP('Final Term'!AH76,new_transmute,2,FALSE)
),
IF(Info!$B$4="Board program",
IF(OR(AND(AH$5&gt;0,AH$5&gt;100),AND(AH$5&gt;0,AH$5&lt;100)),
VLOOKUP(FLOOR(('Final Term'!AH76/AH$5)*100,1),new_transmute,3,FALSE),
VLOOKUP('Final Term'!AH76,new_transmute,3,FALSE)
),
IF(Info!$B$4="Board program (Medicine)",
IF(OR(AND(AH$5&gt;0,AH$5&gt;100),AND(AH$5&gt;0,AH$5&lt;100)),
VLOOKUP(FLOOR(('Final Term'!AH76/AH$5)*100,1),new_transmute,4,FALSE),
VLOOKUP('Final Term'!AH76,new_transmute,4,FALSE)
),
""
)
)
)
)
)
)
)
)
))</f>
        <v/>
      </c>
      <c r="AI76" s="73" t="str">
        <f>IF($B76="","",
IF(AI$5="","",
IF('Final Term'!AI76="",0,
IF(NOT(ISNUMBER('Final Term'!AI76)),"NAN",
IF('Final Term'!AI76&lt;0,"NEG",
IF('Final Term'!AI76&gt;AI$5,"OVER",
IF(AND(AI$5&lt;=100,'Final Term'!AI76&gt;100),"ERR",
IF(Info!$B$4="Non-board program",
IF(OR(AND(AI$5&gt;0,AI$5&gt;100),AND(AI$5&gt;0,AI$5&lt;100)),
VLOOKUP(FLOOR(('Final Term'!AI76/AI$5)*100,1),new_transmute,2,FALSE),
VLOOKUP('Final Term'!AI76,new_transmute,2,FALSE)
),
IF(Info!$B$4="Board program",
IF(OR(AND(AI$5&gt;0,AI$5&gt;100),AND(AI$5&gt;0,AI$5&lt;100)),
VLOOKUP(FLOOR(('Final Term'!AI76/AI$5)*100,1),new_transmute,3,FALSE),
VLOOKUP('Final Term'!AI76,new_transmute,3,FALSE)
),
IF(Info!$B$4="Board program (Medicine)",
IF(OR(AND(AI$5&gt;0,AI$5&gt;100),AND(AI$5&gt;0,AI$5&lt;100)),
VLOOKUP(FLOOR(('Final Term'!AI76/AI$5)*100,1),new_transmute,4,FALSE),
VLOOKUP('Final Term'!AI76,new_transmute,4,FALSE)
),
""
)
)
)
)
)
)
)
)
))</f>
        <v/>
      </c>
      <c r="AJ76" s="73" t="str">
        <f>IF($B76="","",
IF(AJ$5="","",
IF('Final Term'!AJ76="",0,
IF(NOT(ISNUMBER('Final Term'!AJ76)),"NAN",
IF('Final Term'!AJ76&lt;0,"NEG",
IF('Final Term'!AJ76&gt;AJ$5,"OVER",
IF(AND(AJ$5&lt;=100,'Final Term'!AJ76&gt;100),"ERR",
IF(Info!$B$4="Non-board program",
IF(OR(AND(AJ$5&gt;0,AJ$5&gt;100),AND(AJ$5&gt;0,AJ$5&lt;100)),
VLOOKUP(FLOOR(('Final Term'!AJ76/AJ$5)*100,1),new_transmute,2,FALSE),
VLOOKUP('Final Term'!AJ76,new_transmute,2,FALSE)
),
IF(Info!$B$4="Board program",
IF(OR(AND(AJ$5&gt;0,AJ$5&gt;100),AND(AJ$5&gt;0,AJ$5&lt;100)),
VLOOKUP(FLOOR(('Final Term'!AJ76/AJ$5)*100,1),new_transmute,3,FALSE),
VLOOKUP('Final Term'!AJ76,new_transmute,3,FALSE)
),
IF(Info!$B$4="Board program (Medicine)",
IF(OR(AND(AJ$5&gt;0,AJ$5&gt;100),AND(AJ$5&gt;0,AJ$5&lt;100)),
VLOOKUP(FLOOR(('Final Term'!AJ76/AJ$5)*100,1),new_transmute,4,FALSE),
VLOOKUP('Final Term'!AJ76,new_transmute,4,FALSE)
),
""
)
)
)
)
)
)
)
)
))</f>
        <v/>
      </c>
      <c r="AK76" s="59" t="str">
        <f t="shared" si="16"/>
        <v/>
      </c>
      <c r="AL76" s="60" t="str">
        <f>IF(B76="", "",
    IF(OR(M76="OVER", S76="OVER", Y76="OVER", AE76="OVER", AK76="OVER"),
        "OVER",
        IF(Info!$B$4="Non-board program",
            VLOOKUP(IFERROR(FLOOR(SUM((M76*$M$4), (S76*$S$4), (Y76*$Y$4), (AE76*$AE$4), (AK76*$AK$4)) * (100 / 60), 1), 0), new_transmute, 2, FALSE),
            IF(Info!$B$4="Board program",
                VLOOKUP(IFERROR(FLOOR(SUM((M76*$M$4), (S76*$S$4), (Y76*$Y$4), (AE76*$AE$4), (AK76*$AK$4)) * (100 / 60), 1), 0), new_transmute, 3, FALSE),
                IF(Info!$B$4="Board program (Medicine)",
                    VLOOKUP(IFERROR(FLOOR(SUM((M76*$M$4), (S76*$S$4), (Y76*$Y$4), (AE76*$AE$4), (AK76*$AK$4)) * (100 / 60), 1), 0), new_transmute, 4, FALSE),
                    ""
                )
            )
        )
    )
)</f>
        <v/>
      </c>
      <c r="AM76" s="73" t="str">
        <f>IF($B76="","",
IF(AM$5="","",
IF('Final Term'!AM76="",0,
IF(NOT(ISNUMBER('Final Term'!AM76)),"NAN",
IF('Final Term'!AM76&lt;0,"NEG",
IF('Final Term'!AM76&gt;AM$5,"OVER",
IF(AND(AM$5&lt;=100,'Final Term'!AM76&gt;100),"ERR",
IF(Info!$B$4="Non-board program",
IF(OR(AND(AM$5&gt;0,AM$5&gt;100),AND(AM$5&gt;0,AM$5&lt;100)),
VLOOKUP(FLOOR(('Final Term'!AM76/AM$5)*100,1),new_transmute,2,FALSE),
VLOOKUP('Final Term'!AM76,new_transmute,2,FALSE)
),
IF(Info!$B$4="Board program",
IF(OR(AND(AM$5&gt;0,AM$5&gt;100),AND(AM$5&gt;0,AM$5&lt;100)),
VLOOKUP(FLOOR(('Final Term'!AM76/AM$5)*100,1),new_transmute,3,FALSE),
VLOOKUP('Final Term'!AM76,new_transmute,3,FALSE)
),
IF(Info!$B$4="Board program (Medicine)",
IF(OR(AND(AM$5&gt;0,AM$5&gt;100),AND(AM$5&gt;0,AM$5&lt;100)),
VLOOKUP(FLOOR(('Final Term'!AM76/AM$5)*100,1),new_transmute,4,FALSE),
VLOOKUP('Final Term'!AM76,new_transmute,4,FALSE)
),
""
)
)
)
)
)
)
)
)
))</f>
        <v/>
      </c>
      <c r="AN76" s="73" t="str">
        <f>IF($B76="","",
IF(AN$5="","",
IF('Final Term'!AN76="",0,
IF(NOT(ISNUMBER('Final Term'!AN76)),"NAN",
IF('Final Term'!AN76&lt;0,"NEG",
IF('Final Term'!AN76&gt;AN$5,"OVER",
IF(AND(AN$5&lt;=100,'Final Term'!AN76&gt;100),"ERR",
IF(Info!$B$4="Non-board program",
IF(OR(AND(AN$5&gt;0,AN$5&gt;100),AND(AN$5&gt;0,AN$5&lt;100)),
VLOOKUP(FLOOR(('Final Term'!AN76/AN$5)*100,1),new_transmute,2,FALSE),
VLOOKUP('Final Term'!AN76,new_transmute,2,FALSE)
),
IF(Info!$B$4="Board program",
IF(OR(AND(AN$5&gt;0,AN$5&gt;100),AND(AN$5&gt;0,AN$5&lt;100)),
VLOOKUP(FLOOR(('Final Term'!AN76/AN$5)*100,1),new_transmute,3,FALSE),
VLOOKUP('Final Term'!AN76,new_transmute,3,FALSE)
),
IF(Info!$B$4="Board program (Medicine)",
IF(OR(AND(AN$5&gt;0,AN$5&gt;100),AND(AN$5&gt;0,AN$5&lt;100)),
VLOOKUP(FLOOR(('Final Term'!AN76/AN$5)*100,1),new_transmute,4,FALSE),
VLOOKUP('Final Term'!AN76,new_transmute,4,FALSE)
),
""
)
)
)
)
)
)
)
)
))</f>
        <v/>
      </c>
      <c r="AO76" s="73" t="str">
        <f>IF($B76="","",
IF(AO$5="","",
IF('Final Term'!AO76="",0,
IF(NOT(ISNUMBER('Final Term'!AO76)),"NAN",
IF('Final Term'!AO76&lt;0,"NEG",
IF('Final Term'!AO76&gt;AO$5,"OVER",
IF(AND(AO$5&lt;=100,'Final Term'!AO76&gt;100),"ERR",
IF(Info!$B$4="Non-board program",
IF(OR(AND(AO$5&gt;0,AO$5&gt;100),AND(AO$5&gt;0,AO$5&lt;100)),
VLOOKUP(FLOOR(('Final Term'!AO76/AO$5)*100,1),new_transmute,2,FALSE),
VLOOKUP('Final Term'!AO76,new_transmute,2,FALSE)
),
IF(Info!$B$4="Board program",
IF(OR(AND(AO$5&gt;0,AO$5&gt;100),AND(AO$5&gt;0,AO$5&lt;100)),
VLOOKUP(FLOOR(('Final Term'!AO76/AO$5)*100,1),new_transmute,3,FALSE),
VLOOKUP('Final Term'!AO76,new_transmute,3,FALSE)
),
IF(Info!$B$4="Board program (Medicine)",
IF(OR(AND(AO$5&gt;0,AO$5&gt;100),AND(AO$5&gt;0,AO$5&lt;100)),
VLOOKUP(FLOOR(('Final Term'!AO76/AO$5)*100,1),new_transmute,4,FALSE),
VLOOKUP('Final Term'!AO76,new_transmute,4,FALSE)
),
""
)
)
)
)
)
)
)
)
))</f>
        <v/>
      </c>
      <c r="AP76" s="73" t="str">
        <f>IF($B76="","",
IF(AP$5="","",
IF('Final Term'!AP76="",0,
IF(NOT(ISNUMBER('Final Term'!AP76)),"NAN",
IF('Final Term'!AP76&lt;0,"NEG",
IF('Final Term'!AP76&gt;AP$5,"OVER",
IF(AND(AP$5&lt;=100,'Final Term'!AP76&gt;100),"ERR",
IF(Info!$B$4="Non-board program",
IF(OR(AND(AP$5&gt;0,AP$5&gt;100),AND(AP$5&gt;0,AP$5&lt;100)),
VLOOKUP(FLOOR(('Final Term'!AP76/AP$5)*100,1),new_transmute,2,FALSE),
VLOOKUP('Final Term'!AP76,new_transmute,2,FALSE)
),
IF(Info!$B$4="Board program",
IF(OR(AND(AP$5&gt;0,AP$5&gt;100),AND(AP$5&gt;0,AP$5&lt;100)),
VLOOKUP(FLOOR(('Final Term'!AP76/AP$5)*100,1),new_transmute,3,FALSE),
VLOOKUP('Final Term'!AP76,new_transmute,3,FALSE)
),
IF(Info!$B$4="Board program (Medicine)",
IF(OR(AND(AP$5&gt;0,AP$5&gt;100),AND(AP$5&gt;0,AP$5&lt;100)),
VLOOKUP(FLOOR(('Final Term'!AP76/AP$5)*100,1),new_transmute,4,FALSE),
VLOOKUP('Final Term'!AP76,new_transmute,4,FALSE)
),
""
)
)
)
)
)
)
)
)
))</f>
        <v/>
      </c>
      <c r="AQ76" s="61" t="str">
        <f t="shared" si="17"/>
        <v/>
      </c>
      <c r="AR76" s="48" t="str">
        <f>IF('Final Term'!AR76="","",'Final Term'!AR76)</f>
        <v/>
      </c>
      <c r="AS76" s="165" t="str">
        <f t="shared" si="18"/>
        <v/>
      </c>
      <c r="AT76" s="14" t="str">
        <f t="shared" si="19"/>
        <v/>
      </c>
      <c r="AU76" s="13" t="str">
        <f>IF(B76="","",VLOOKUP(AT76,'New Grade Equivalent'!$B$3:$C$47,2,FALSE))</f>
        <v/>
      </c>
    </row>
    <row r="77" spans="1:47" x14ac:dyDescent="0.25">
      <c r="A77" s="8">
        <v>72</v>
      </c>
      <c r="B77" s="2" t="str">
        <f>IF('Student List'!C81="","",UPPER(LEFT('Student List'!C81,FIND(",",'Student List'!C81)-1)))</f>
        <v/>
      </c>
      <c r="C77" s="12" t="str">
        <f>IF('Student List'!C81="","",PROPER(MID('Student List'!C81, FIND(",", 'Student List'!C81) + 2, LEN('Student List'!C81) - FIND(",", 'Student List'!C81) - 1)))</f>
        <v/>
      </c>
      <c r="D77" s="127" t="str">
        <f>IF('Final Term'!D77="","",'Final Term'!D77)</f>
        <v/>
      </c>
      <c r="E77" s="8" t="str">
        <f>IF(MidCom!E77="FA", "FA",
    IF(MidCom!E77="DRP", "DRP",
        IF(MidCom!E77="WF", "WF",
            IF(D77="Yes", "INC",
               IF((SUM('MT Attendance'!AW75) / 3 + SUM('MT Attendance'!AY75) + SUM('FT Attendance'!AW75) / 3 + SUM('FT Attendance'!AY75)) &gt;= 0.2 * (SUMPRODUCT(--(ISTEXT('MT Attendance'!$C$2:$AU$2))) + SUMPRODUCT(--(ISTEXT('FT Attendance'!$C$2:$AU$2)))), "FA",
                   MidCom!E77
                )
            )
        )
    )
)</f>
        <v/>
      </c>
      <c r="F77" s="73" t="str">
        <f>IF($B77="","",
IF(F$5="","",
IF('Final Term'!F77="",0,
IF(NOT(ISNUMBER('Final Term'!F77)),"NAN",
IF('Final Term'!F77&lt;0,"NEG",
IF('Final Term'!F77&gt;F$5,"OVER",
IF(AND(F$5&lt;=100,'Final Term'!F77&gt;100),"ERR",
IF(Info!$B$4="Non-board program",
IF(OR(AND(F$5&gt;0,F$5&gt;100),AND(F$5&gt;0,F$5&lt;100)),
VLOOKUP(FLOOR(('Final Term'!F77/F$5)*100,1),new_transmute,2,FALSE),
VLOOKUP('Final Term'!F77,new_transmute,2,FALSE)
),
IF(Info!$B$4="Board program",
IF(OR(AND(F$5&gt;0,F$5&gt;100),AND(F$5&gt;0,F$5&lt;100)),
VLOOKUP(FLOOR(('Final Term'!F77/F$5)*100,1),new_transmute,3,FALSE),
VLOOKUP('Final Term'!F77,new_transmute,3,FALSE)
),
IF(Info!$B$4="Board program (Medicine)",
IF(OR(AND(F$5&gt;0,F$5&gt;100),AND(F$5&gt;0,F$5&lt;100)),
VLOOKUP(FLOOR(('Final Term'!F77/F$5)*100,1),new_transmute,4,FALSE),
VLOOKUP('Final Term'!F77,new_transmute,4,FALSE)
),
""
)
)
)
)
)
)
)
)
))</f>
        <v/>
      </c>
      <c r="G77" s="57" t="str">
        <f t="shared" si="11"/>
        <v/>
      </c>
      <c r="H77" s="73" t="str">
        <f>IF($B77="","",
IF(H$5="","",
IF('Final Term'!H77="",0,
IF(NOT(ISNUMBER('Final Term'!H77)),"NAN",
IF('Final Term'!H77&lt;0,"NEG",
IF('Final Term'!H77&gt;H$5,"OVER",
IF(AND(H$5&lt;=100,'Final Term'!H77&gt;100),"ERR",
IF(Info!$B$4="Non-board program",
IF(OR(AND(H$5&gt;0,H$5&gt;100),AND(H$5&gt;0,H$5&lt;100)),
VLOOKUP(FLOOR(('Final Term'!H77/H$5)*100,1),new_transmute,2,FALSE),
VLOOKUP('Final Term'!H77,new_transmute,2,FALSE)
),
IF(Info!$B$4="Board program",
IF(OR(AND(H$5&gt;0,H$5&gt;100),AND(H$5&gt;0,H$5&lt;100)),
VLOOKUP(FLOOR(('Final Term'!H77/H$5)*100,1),new_transmute,3,FALSE),
VLOOKUP('Final Term'!H77,new_transmute,3,FALSE)
),
IF(Info!$B$4="Board program (Medicine)",
IF(OR(AND(H$5&gt;0,H$5&gt;100),AND(H$5&gt;0,H$5&lt;100)),
VLOOKUP(FLOOR(('Final Term'!H77/H$5)*100,1),new_transmute,4,FALSE),
VLOOKUP('Final Term'!H77,new_transmute,4,FALSE)
),
""
)
)
)
)
)
)
)
)
))</f>
        <v/>
      </c>
      <c r="I77" s="73" t="str">
        <f>IF($B77="","",
IF(I$5="","",
IF('Final Term'!I77="",0,
IF(NOT(ISNUMBER('Final Term'!I77)),"NAN",
IF('Final Term'!I77&lt;0,"NEG",
IF('Final Term'!I77&gt;I$5,"OVER",
IF(AND(I$5&lt;=100,'Final Term'!I77&gt;100),"ERR",
IF(Info!$B$4="Non-board program",
IF(OR(AND(I$5&gt;0,I$5&gt;100),AND(I$5&gt;0,I$5&lt;100)),
VLOOKUP(FLOOR(('Final Term'!I77/I$5)*100,1),new_transmute,2,FALSE),
VLOOKUP('Final Term'!I77,new_transmute,2,FALSE)
),
IF(Info!$B$4="Board program",
IF(OR(AND(I$5&gt;0,I$5&gt;100),AND(I$5&gt;0,I$5&lt;100)),
VLOOKUP(FLOOR(('Final Term'!I77/I$5)*100,1),new_transmute,3,FALSE),
VLOOKUP('Final Term'!I77,new_transmute,3,FALSE)
),
IF(Info!$B$4="Board program (Medicine)",
IF(OR(AND(I$5&gt;0,I$5&gt;100),AND(I$5&gt;0,I$5&lt;100)),
VLOOKUP(FLOOR(('Final Term'!I77/I$5)*100,1),new_transmute,4,FALSE),
VLOOKUP('Final Term'!I77,new_transmute,4,FALSE)
),
""
)
)
)
)
)
)
)
)
))</f>
        <v/>
      </c>
      <c r="J77" s="73" t="str">
        <f>IF($B77="","",
IF(J$5="","",
IF('Final Term'!J77="",0,
IF(NOT(ISNUMBER('Final Term'!J77)),"NAN",
IF('Final Term'!J77&lt;0,"NEG",
IF('Final Term'!J77&gt;J$5,"OVER",
IF(AND(J$5&lt;=100,'Final Term'!J77&gt;100),"ERR",
IF(Info!$B$4="Non-board program",
IF(OR(AND(J$5&gt;0,J$5&gt;100),AND(J$5&gt;0,J$5&lt;100)),
VLOOKUP(FLOOR(('Final Term'!J77/J$5)*100,1),new_transmute,2,FALSE),
VLOOKUP('Final Term'!J77,new_transmute,2,FALSE)
),
IF(Info!$B$4="Board program",
IF(OR(AND(J$5&gt;0,J$5&gt;100),AND(J$5&gt;0,J$5&lt;100)),
VLOOKUP(FLOOR(('Final Term'!J77/J$5)*100,1),new_transmute,3,FALSE),
VLOOKUP('Final Term'!J77,new_transmute,3,FALSE)
),
IF(Info!$B$4="Board program (Medicine)",
IF(OR(AND(J$5&gt;0,J$5&gt;100),AND(J$5&gt;0,J$5&lt;100)),
VLOOKUP(FLOOR(('Final Term'!J77/J$5)*100,1),new_transmute,4,FALSE),
VLOOKUP('Final Term'!J77,new_transmute,4,FALSE)
),
""
)
)
)
)
)
)
)
)
))</f>
        <v/>
      </c>
      <c r="K77" s="73" t="str">
        <f>IF($B77="","",
IF(K$5="","",
IF('Final Term'!K77="",0,
IF(NOT(ISNUMBER('Final Term'!K77)),"NAN",
IF('Final Term'!K77&lt;0,"NEG",
IF('Final Term'!K77&gt;K$5,"OVER",
IF(AND(K$5&lt;=100,'Final Term'!K77&gt;100),"ERR",
IF(Info!$B$4="Non-board program",
IF(OR(AND(K$5&gt;0,K$5&gt;100),AND(K$5&gt;0,K$5&lt;100)),
VLOOKUP(FLOOR(('Final Term'!K77/K$5)*100,1),new_transmute,2,FALSE),
VLOOKUP('Final Term'!K77,new_transmute,2,FALSE)
),
IF(Info!$B$4="Board program",
IF(OR(AND(K$5&gt;0,K$5&gt;100),AND(K$5&gt;0,K$5&lt;100)),
VLOOKUP(FLOOR(('Final Term'!K77/K$5)*100,1),new_transmute,3,FALSE),
VLOOKUP('Final Term'!K77,new_transmute,3,FALSE)
),
IF(Info!$B$4="Board program (Medicine)",
IF(OR(AND(K$5&gt;0,K$5&gt;100),AND(K$5&gt;0,K$5&lt;100)),
VLOOKUP(FLOOR(('Final Term'!K77/K$5)*100,1),new_transmute,4,FALSE),
VLOOKUP('Final Term'!K77,new_transmute,4,FALSE)
),
""
)
)
)
)
)
)
)
)
))</f>
        <v/>
      </c>
      <c r="L77" s="73" t="str">
        <f>IF($B77="","",
IF(L$5="","",
IF('Final Term'!L77="",0,
IF(NOT(ISNUMBER('Final Term'!L77)),"NAN",
IF('Final Term'!L77&lt;0,"NEG",
IF('Final Term'!L77&gt;L$5,"OVER",
IF(AND(L$5&lt;=100,'Final Term'!L77&gt;100),"ERR",
IF(Info!$B$4="Non-board program",
IF(OR(AND(L$5&gt;0,L$5&gt;100),AND(L$5&gt;0,L$5&lt;100)),
VLOOKUP(FLOOR(('Final Term'!L77/L$5)*100,1),new_transmute,2,FALSE),
VLOOKUP('Final Term'!L77,new_transmute,2,FALSE)
),
IF(Info!$B$4="Board program",
IF(OR(AND(L$5&gt;0,L$5&gt;100),AND(L$5&gt;0,L$5&lt;100)),
VLOOKUP(FLOOR(('Final Term'!L77/L$5)*100,1),new_transmute,3,FALSE),
VLOOKUP('Final Term'!L77,new_transmute,3,FALSE)
),
IF(Info!$B$4="Board program (Medicine)",
IF(OR(AND(L$5&gt;0,L$5&gt;100),AND(L$5&gt;0,L$5&lt;100)),
VLOOKUP(FLOOR(('Final Term'!L77/L$5)*100,1),new_transmute,4,FALSE),
VLOOKUP('Final Term'!L77,new_transmute,4,FALSE)
),
""
)
)
)
)
)
)
)
)
))</f>
        <v/>
      </c>
      <c r="M77" s="111" t="str">
        <f t="shared" si="12"/>
        <v/>
      </c>
      <c r="N77" s="73" t="str">
        <f>IF($B77="","",
IF(N$5="","",
IF('Final Term'!N77="",0,
IF(NOT(ISNUMBER('Final Term'!N77)),"NAN",
IF('Final Term'!N77&lt;0,"NEG",
IF('Final Term'!N77&gt;N$5,"OVER",
IF(AND(N$5&lt;=100,'Final Term'!N77&gt;100),"ERR",
IF(Info!$B$4="Non-board program",
IF(OR(AND(N$5&gt;0,N$5&gt;100),AND(N$5&gt;0,N$5&lt;100)),
VLOOKUP(FLOOR(('Final Term'!N77/N$5)*100,1),new_transmute,2,FALSE),
VLOOKUP('Final Term'!N77,new_transmute,2,FALSE)
),
IF(Info!$B$4="Board program",
IF(OR(AND(N$5&gt;0,N$5&gt;100),AND(N$5&gt;0,N$5&lt;100)),
VLOOKUP(FLOOR(('Final Term'!N77/N$5)*100,1),new_transmute,3,FALSE),
VLOOKUP('Final Term'!N77,new_transmute,3,FALSE)
),
IF(Info!$B$4="Board program (Medicine)",
IF(OR(AND(N$5&gt;0,N$5&gt;100),AND(N$5&gt;0,N$5&lt;100)),
VLOOKUP(FLOOR(('Final Term'!N77/N$5)*100,1),new_transmute,4,FALSE),
VLOOKUP('Final Term'!N77,new_transmute,4,FALSE)
),
""
)
)
)
)
)
)
)
)
))</f>
        <v/>
      </c>
      <c r="O77" s="73" t="str">
        <f>IF($B77="","",
IF(O$5="","",
IF('Final Term'!O77="",0,
IF(NOT(ISNUMBER('Final Term'!O77)),"NAN",
IF('Final Term'!O77&lt;0,"NEG",
IF('Final Term'!O77&gt;O$5,"OVER",
IF(AND(O$5&lt;=100,'Final Term'!O77&gt;100),"ERR",
IF(Info!$B$4="Non-board program",
IF(OR(AND(O$5&gt;0,O$5&gt;100),AND(O$5&gt;0,O$5&lt;100)),
VLOOKUP(FLOOR(('Final Term'!O77/O$5)*100,1),new_transmute,2,FALSE),
VLOOKUP('Final Term'!O77,new_transmute,2,FALSE)
),
IF(Info!$B$4="Board program",
IF(OR(AND(O$5&gt;0,O$5&gt;100),AND(O$5&gt;0,O$5&lt;100)),
VLOOKUP(FLOOR(('Final Term'!O77/O$5)*100,1),new_transmute,3,FALSE),
VLOOKUP('Final Term'!O77,new_transmute,3,FALSE)
),
IF(Info!$B$4="Board program (Medicine)",
IF(OR(AND(O$5&gt;0,O$5&gt;100),AND(O$5&gt;0,O$5&lt;100)),
VLOOKUP(FLOOR(('Final Term'!O77/O$5)*100,1),new_transmute,4,FALSE),
VLOOKUP('Final Term'!O77,new_transmute,4,FALSE)
),
""
)
)
)
)
)
)
)
)
))</f>
        <v/>
      </c>
      <c r="P77" s="73" t="str">
        <f>IF($B77="","",
IF(P$5="","",
IF('Final Term'!P77="",0,
IF(NOT(ISNUMBER('Final Term'!P77)),"NAN",
IF('Final Term'!P77&lt;0,"NEG",
IF('Final Term'!P77&gt;P$5,"OVER",
IF(AND(P$5&lt;=100,'Final Term'!P77&gt;100),"ERR",
IF(Info!$B$4="Non-board program",
IF(OR(AND(P$5&gt;0,P$5&gt;100),AND(P$5&gt;0,P$5&lt;100)),
VLOOKUP(FLOOR(('Final Term'!P77/P$5)*100,1),new_transmute,2,FALSE),
VLOOKUP('Final Term'!P77,new_transmute,2,FALSE)
),
IF(Info!$B$4="Board program",
IF(OR(AND(P$5&gt;0,P$5&gt;100),AND(P$5&gt;0,P$5&lt;100)),
VLOOKUP(FLOOR(('Final Term'!P77/P$5)*100,1),new_transmute,3,FALSE),
VLOOKUP('Final Term'!P77,new_transmute,3,FALSE)
),
IF(Info!$B$4="Board program (Medicine)",
IF(OR(AND(P$5&gt;0,P$5&gt;100),AND(P$5&gt;0,P$5&lt;100)),
VLOOKUP(FLOOR(('Final Term'!P77/P$5)*100,1),new_transmute,4,FALSE),
VLOOKUP('Final Term'!P77,new_transmute,4,FALSE)
),
""
)
)
)
)
)
)
)
)
))</f>
        <v/>
      </c>
      <c r="Q77" s="73" t="str">
        <f>IF($B77="","",
IF(Q$5="","",
IF('Final Term'!Q77="",0,
IF(NOT(ISNUMBER('Final Term'!Q77)),"NAN",
IF('Final Term'!Q77&lt;0,"NEG",
IF('Final Term'!Q77&gt;Q$5,"OVER",
IF(AND(Q$5&lt;=100,'Final Term'!Q77&gt;100),"ERR",
IF(Info!$B$4="Non-board program",
IF(OR(AND(Q$5&gt;0,Q$5&gt;100),AND(Q$5&gt;0,Q$5&lt;100)),
VLOOKUP(FLOOR(('Final Term'!Q77/Q$5)*100,1),new_transmute,2,FALSE),
VLOOKUP('Final Term'!Q77,new_transmute,2,FALSE)
),
IF(Info!$B$4="Board program",
IF(OR(AND(Q$5&gt;0,Q$5&gt;100),AND(Q$5&gt;0,Q$5&lt;100)),
VLOOKUP(FLOOR(('Final Term'!Q77/Q$5)*100,1),new_transmute,3,FALSE),
VLOOKUP('Final Term'!Q77,new_transmute,3,FALSE)
),
IF(Info!$B$4="Board program (Medicine)",
IF(OR(AND(Q$5&gt;0,Q$5&gt;100),AND(Q$5&gt;0,Q$5&lt;100)),
VLOOKUP(FLOOR(('Final Term'!Q77/Q$5)*100,1),new_transmute,4,FALSE),
VLOOKUP('Final Term'!Q77,new_transmute,4,FALSE)
),
""
)
)
)
)
)
)
)
)
))</f>
        <v/>
      </c>
      <c r="R77" s="73" t="str">
        <f>IF($B77="","",
IF(R$5="","",
IF('Final Term'!R77="",0,
IF(NOT(ISNUMBER('Final Term'!R77)),"NAN",
IF('Final Term'!R77&lt;0,"NEG",
IF('Final Term'!R77&gt;R$5,"OVER",
IF(AND(R$5&lt;=100,'Final Term'!R77&gt;100),"ERR",
IF(Info!$B$4="Non-board program",
IF(OR(AND(R$5&gt;0,R$5&gt;100),AND(R$5&gt;0,R$5&lt;100)),
VLOOKUP(FLOOR(('Final Term'!R77/R$5)*100,1),new_transmute,2,FALSE),
VLOOKUP('Final Term'!R77,new_transmute,2,FALSE)
),
IF(Info!$B$4="Board program",
IF(OR(AND(R$5&gt;0,R$5&gt;100),AND(R$5&gt;0,R$5&lt;100)),
VLOOKUP(FLOOR(('Final Term'!R77/R$5)*100,1),new_transmute,3,FALSE),
VLOOKUP('Final Term'!R77,new_transmute,3,FALSE)
),
IF(Info!$B$4="Board program (Medicine)",
IF(OR(AND(R$5&gt;0,R$5&gt;100),AND(R$5&gt;0,R$5&lt;100)),
VLOOKUP(FLOOR(('Final Term'!R77/R$5)*100,1),new_transmute,4,FALSE),
VLOOKUP('Final Term'!R77,new_transmute,4,FALSE)
),
""
)
)
)
)
)
)
)
)
))</f>
        <v/>
      </c>
      <c r="S77" s="115" t="str">
        <f t="shared" si="13"/>
        <v/>
      </c>
      <c r="T77" s="73" t="str">
        <f>IF($B77="","",
IF(T$5="","",
IF('Final Term'!T77="",0,
IF(NOT(ISNUMBER('Final Term'!T77)),"NAN",
IF('Final Term'!T77&lt;0,"NEG",
IF('Final Term'!T77&gt;T$5,"OVER",
IF(AND(T$5&lt;=100,'Final Term'!T77&gt;100),"ERR",
IF(Info!$B$4="Non-board program",
IF(OR(AND(T$5&gt;0,T$5&gt;100),AND(T$5&gt;0,T$5&lt;100)),
VLOOKUP(FLOOR(('Final Term'!T77/T$5)*100,1),new_transmute,2,FALSE),
VLOOKUP('Final Term'!T77,new_transmute,2,FALSE)
),
IF(Info!$B$4="Board program",
IF(OR(AND(T$5&gt;0,T$5&gt;100),AND(T$5&gt;0,T$5&lt;100)),
VLOOKUP(FLOOR(('Final Term'!T77/T$5)*100,1),new_transmute,3,FALSE),
VLOOKUP('Final Term'!T77,new_transmute,3,FALSE)
),
IF(Info!$B$4="Board program (Medicine)",
IF(OR(AND(T$5&gt;0,T$5&gt;100),AND(T$5&gt;0,T$5&lt;100)),
VLOOKUP(FLOOR(('Final Term'!T77/T$5)*100,1),new_transmute,4,FALSE),
VLOOKUP('Final Term'!T77,new_transmute,4,FALSE)
),
""
)
)
)
)
)
)
)
)
))</f>
        <v/>
      </c>
      <c r="U77" s="73" t="str">
        <f>IF($B77="","",
IF(U$5="","",
IF('Final Term'!U77="",0,
IF(NOT(ISNUMBER('Final Term'!U77)),"NAN",
IF('Final Term'!U77&lt;0,"NEG",
IF('Final Term'!U77&gt;U$5,"OVER",
IF(AND(U$5&lt;=100,'Final Term'!U77&gt;100),"ERR",
IF(Info!$B$4="Non-board program",
IF(OR(AND(U$5&gt;0,U$5&gt;100),AND(U$5&gt;0,U$5&lt;100)),
VLOOKUP(FLOOR(('Final Term'!U77/U$5)*100,1),new_transmute,2,FALSE),
VLOOKUP('Final Term'!U77,new_transmute,2,FALSE)
),
IF(Info!$B$4="Board program",
IF(OR(AND(U$5&gt;0,U$5&gt;100),AND(U$5&gt;0,U$5&lt;100)),
VLOOKUP(FLOOR(('Final Term'!U77/U$5)*100,1),new_transmute,3,FALSE),
VLOOKUP('Final Term'!U77,new_transmute,3,FALSE)
),
IF(Info!$B$4="Board program (Medicine)",
IF(OR(AND(U$5&gt;0,U$5&gt;100),AND(U$5&gt;0,U$5&lt;100)),
VLOOKUP(FLOOR(('Final Term'!U77/U$5)*100,1),new_transmute,4,FALSE),
VLOOKUP('Final Term'!U77,new_transmute,4,FALSE)
),
""
)
)
)
)
)
)
)
)
))</f>
        <v/>
      </c>
      <c r="V77" s="73" t="str">
        <f>IF($B77="","",
IF(V$5="","",
IF('Final Term'!V77="",0,
IF(NOT(ISNUMBER('Final Term'!V77)),"NAN",
IF('Final Term'!V77&lt;0,"NEG",
IF('Final Term'!V77&gt;V$5,"OVER",
IF(AND(V$5&lt;=100,'Final Term'!V77&gt;100),"ERR",
IF(Info!$B$4="Non-board program",
IF(OR(AND(V$5&gt;0,V$5&gt;100),AND(V$5&gt;0,V$5&lt;100)),
VLOOKUP(FLOOR(('Final Term'!V77/V$5)*100,1),new_transmute,2,FALSE),
VLOOKUP('Final Term'!V77,new_transmute,2,FALSE)
),
IF(Info!$B$4="Board program",
IF(OR(AND(V$5&gt;0,V$5&gt;100),AND(V$5&gt;0,V$5&lt;100)),
VLOOKUP(FLOOR(('Final Term'!V77/V$5)*100,1),new_transmute,3,FALSE),
VLOOKUP('Final Term'!V77,new_transmute,3,FALSE)
),
IF(Info!$B$4="Board program (Medicine)",
IF(OR(AND(V$5&gt;0,V$5&gt;100),AND(V$5&gt;0,V$5&lt;100)),
VLOOKUP(FLOOR(('Final Term'!V77/V$5)*100,1),new_transmute,4,FALSE),
VLOOKUP('Final Term'!V77,new_transmute,4,FALSE)
),
""
)
)
)
)
)
)
)
)
))</f>
        <v/>
      </c>
      <c r="W77" s="73" t="str">
        <f>IF($B77="","",
IF(W$5="","",
IF('Final Term'!W77="",0,
IF(NOT(ISNUMBER('Final Term'!W77)),"NAN",
IF('Final Term'!W77&lt;0,"NEG",
IF('Final Term'!W77&gt;W$5,"OVER",
IF(AND(W$5&lt;=100,'Final Term'!W77&gt;100),"ERR",
IF(Info!$B$4="Non-board program",
IF(OR(AND(W$5&gt;0,W$5&gt;100),AND(W$5&gt;0,W$5&lt;100)),
VLOOKUP(FLOOR(('Final Term'!W77/W$5)*100,1),new_transmute,2,FALSE),
VLOOKUP('Final Term'!W77,new_transmute,2,FALSE)
),
IF(Info!$B$4="Board program",
IF(OR(AND(W$5&gt;0,W$5&gt;100),AND(W$5&gt;0,W$5&lt;100)),
VLOOKUP(FLOOR(('Final Term'!W77/W$5)*100,1),new_transmute,3,FALSE),
VLOOKUP('Final Term'!W77,new_transmute,3,FALSE)
),
IF(Info!$B$4="Board program (Medicine)",
IF(OR(AND(W$5&gt;0,W$5&gt;100),AND(W$5&gt;0,W$5&lt;100)),
VLOOKUP(FLOOR(('Final Term'!W77/W$5)*100,1),new_transmute,4,FALSE),
VLOOKUP('Final Term'!W77,new_transmute,4,FALSE)
),
""
)
)
)
)
)
)
)
)
))</f>
        <v/>
      </c>
      <c r="X77" s="73" t="str">
        <f>IF($B77="","",
IF(X$5="","",
IF('Final Term'!X77="",0,
IF(NOT(ISNUMBER('Final Term'!X77)),"NAN",
IF('Final Term'!X77&lt;0,"NEG",
IF('Final Term'!X77&gt;X$5,"OVER",
IF(AND(X$5&lt;=100,'Final Term'!X77&gt;100),"ERR",
IF(Info!$B$4="Non-board program",
IF(OR(AND(X$5&gt;0,X$5&gt;100),AND(X$5&gt;0,X$5&lt;100)),
VLOOKUP(FLOOR(('Final Term'!X77/X$5)*100,1),new_transmute,2,FALSE),
VLOOKUP('Final Term'!X77,new_transmute,2,FALSE)
),
IF(Info!$B$4="Board program",
IF(OR(AND(X$5&gt;0,X$5&gt;100),AND(X$5&gt;0,X$5&lt;100)),
VLOOKUP(FLOOR(('Final Term'!X77/X$5)*100,1),new_transmute,3,FALSE),
VLOOKUP('Final Term'!X77,new_transmute,3,FALSE)
),
IF(Info!$B$4="Board program (Medicine)",
IF(OR(AND(X$5&gt;0,X$5&gt;100),AND(X$5&gt;0,X$5&lt;100)),
VLOOKUP(FLOOR(('Final Term'!X77/X$5)*100,1),new_transmute,4,FALSE),
VLOOKUP('Final Term'!X77,new_transmute,4,FALSE)
),
""
)
)
)
)
)
)
)
)
))</f>
        <v/>
      </c>
      <c r="Y77" s="112" t="str">
        <f t="shared" si="14"/>
        <v/>
      </c>
      <c r="Z77" s="73" t="str">
        <f>IF($B77="","",
IF(Z$5="","",
IF('Final Term'!Z77="",0,
IF(NOT(ISNUMBER('Final Term'!Z77)),"NAN",
IF('Final Term'!Z77&lt;0,"NEG",
IF('Final Term'!Z77&gt;Z$5,"OVER",
IF(AND(Z$5&lt;=100,'Final Term'!Z77&gt;100),"ERR",
IF(Info!$B$4="Non-board program",
IF(OR(AND(Z$5&gt;0,Z$5&gt;100),AND(Z$5&gt;0,Z$5&lt;100)),
VLOOKUP(FLOOR(('Final Term'!Z77/Z$5)*100,1),new_transmute,2,FALSE),
VLOOKUP('Final Term'!Z77,new_transmute,2,FALSE)
),
IF(Info!$B$4="Board program",
IF(OR(AND(Z$5&gt;0,Z$5&gt;100),AND(Z$5&gt;0,Z$5&lt;100)),
VLOOKUP(FLOOR(('Final Term'!Z77/Z$5)*100,1),new_transmute,3,FALSE),
VLOOKUP('Final Term'!Z77,new_transmute,3,FALSE)
),
IF(Info!$B$4="Board program (Medicine)",
IF(OR(AND(Z$5&gt;0,Z$5&gt;100),AND(Z$5&gt;0,Z$5&lt;100)),
VLOOKUP(FLOOR(('Final Term'!Z77/Z$5)*100,1),new_transmute,4,FALSE),
VLOOKUP('Final Term'!Z77,new_transmute,4,FALSE)
),
""
)
)
)
)
)
)
)
)
))</f>
        <v/>
      </c>
      <c r="AA77" s="73" t="str">
        <f>IF($B77="","",
IF(AA$5="","",
IF('Final Term'!AA77="",0,
IF(NOT(ISNUMBER('Final Term'!AA77)),"NAN",
IF('Final Term'!AA77&lt;0,"NEG",
IF('Final Term'!AA77&gt;AA$5,"OVER",
IF(AND(AA$5&lt;=100,'Final Term'!AA77&gt;100),"ERR",
IF(Info!$B$4="Non-board program",
IF(OR(AND(AA$5&gt;0,AA$5&gt;100),AND(AA$5&gt;0,AA$5&lt;100)),
VLOOKUP(FLOOR(('Final Term'!AA77/AA$5)*100,1),new_transmute,2,FALSE),
VLOOKUP('Final Term'!AA77,new_transmute,2,FALSE)
),
IF(Info!$B$4="Board program",
IF(OR(AND(AA$5&gt;0,AA$5&gt;100),AND(AA$5&gt;0,AA$5&lt;100)),
VLOOKUP(FLOOR(('Final Term'!AA77/AA$5)*100,1),new_transmute,3,FALSE),
VLOOKUP('Final Term'!AA77,new_transmute,3,FALSE)
),
IF(Info!$B$4="Board program (Medicine)",
IF(OR(AND(AA$5&gt;0,AA$5&gt;100),AND(AA$5&gt;0,AA$5&lt;100)),
VLOOKUP(FLOOR(('Final Term'!AA77/AA$5)*100,1),new_transmute,4,FALSE),
VLOOKUP('Final Term'!AA77,new_transmute,4,FALSE)
),
""
)
)
)
)
)
)
)
)
))</f>
        <v/>
      </c>
      <c r="AB77" s="73" t="str">
        <f>IF($B77="","",
IF(AB$5="","",
IF('Final Term'!AB77="",0,
IF(NOT(ISNUMBER('Final Term'!AB77)),"NAN",
IF('Final Term'!AB77&lt;0,"NEG",
IF('Final Term'!AB77&gt;AB$5,"OVER",
IF(AND(AB$5&lt;=100,'Final Term'!AB77&gt;100),"ERR",
IF(Info!$B$4="Non-board program",
IF(OR(AND(AB$5&gt;0,AB$5&gt;100),AND(AB$5&gt;0,AB$5&lt;100)),
VLOOKUP(FLOOR(('Final Term'!AB77/AB$5)*100,1),new_transmute,2,FALSE),
VLOOKUP('Final Term'!AB77,new_transmute,2,FALSE)
),
IF(Info!$B$4="Board program",
IF(OR(AND(AB$5&gt;0,AB$5&gt;100),AND(AB$5&gt;0,AB$5&lt;100)),
VLOOKUP(FLOOR(('Final Term'!AB77/AB$5)*100,1),new_transmute,3,FALSE),
VLOOKUP('Final Term'!AB77,new_transmute,3,FALSE)
),
IF(Info!$B$4="Board program (Medicine)",
IF(OR(AND(AB$5&gt;0,AB$5&gt;100),AND(AB$5&gt;0,AB$5&lt;100)),
VLOOKUP(FLOOR(('Final Term'!AB77/AB$5)*100,1),new_transmute,4,FALSE),
VLOOKUP('Final Term'!AB77,new_transmute,4,FALSE)
),
""
)
)
)
)
)
)
)
)
))</f>
        <v/>
      </c>
      <c r="AC77" s="73" t="str">
        <f>IF($B77="","",
IF(AC$5="","",
IF('Final Term'!AC77="",0,
IF(NOT(ISNUMBER('Final Term'!AC77)),"NAN",
IF('Final Term'!AC77&lt;0,"NEG",
IF('Final Term'!AC77&gt;AC$5,"OVER",
IF(AND(AC$5&lt;=100,'Final Term'!AC77&gt;100),"ERR",
IF(Info!$B$4="Non-board program",
IF(OR(AND(AC$5&gt;0,AC$5&gt;100),AND(AC$5&gt;0,AC$5&lt;100)),
VLOOKUP(FLOOR(('Final Term'!AC77/AC$5)*100,1),new_transmute,2,FALSE),
VLOOKUP('Final Term'!AC77,new_transmute,2,FALSE)
),
IF(Info!$B$4="Board program",
IF(OR(AND(AC$5&gt;0,AC$5&gt;100),AND(AC$5&gt;0,AC$5&lt;100)),
VLOOKUP(FLOOR(('Final Term'!AC77/AC$5)*100,1),new_transmute,3,FALSE),
VLOOKUP('Final Term'!AC77,new_transmute,3,FALSE)
),
IF(Info!$B$4="Board program (Medicine)",
IF(OR(AND(AC$5&gt;0,AC$5&gt;100),AND(AC$5&gt;0,AC$5&lt;100)),
VLOOKUP(FLOOR(('Final Term'!AC77/AC$5)*100,1),new_transmute,4,FALSE),
VLOOKUP('Final Term'!AC77,new_transmute,4,FALSE)
),
""
)
)
)
)
)
)
)
)
))</f>
        <v/>
      </c>
      <c r="AD77" s="73" t="str">
        <f>IF($B77="","",
IF(AD$5="","",
IF('Final Term'!AD77="",0,
IF(NOT(ISNUMBER('Final Term'!AD77)),"NAN",
IF('Final Term'!AD77&lt;0,"NEG",
IF('Final Term'!AD77&gt;AD$5,"OVER",
IF(AND(AD$5&lt;=100,'Final Term'!AD77&gt;100),"ERR",
IF(Info!$B$4="Non-board program",
IF(OR(AND(AD$5&gt;0,AD$5&gt;100),AND(AD$5&gt;0,AD$5&lt;100)),
VLOOKUP(FLOOR(('Final Term'!AD77/AD$5)*100,1),new_transmute,2,FALSE),
VLOOKUP('Final Term'!AD77,new_transmute,2,FALSE)
),
IF(Info!$B$4="Board program",
IF(OR(AND(AD$5&gt;0,AD$5&gt;100),AND(AD$5&gt;0,AD$5&lt;100)),
VLOOKUP(FLOOR(('Final Term'!AD77/AD$5)*100,1),new_transmute,3,FALSE),
VLOOKUP('Final Term'!AD77,new_transmute,3,FALSE)
),
IF(Info!$B$4="Board program (Medicine)",
IF(OR(AND(AD$5&gt;0,AD$5&gt;100),AND(AD$5&gt;0,AD$5&lt;100)),
VLOOKUP(FLOOR(('Final Term'!AD77/AD$5)*100,1),new_transmute,4,FALSE),
VLOOKUP('Final Term'!AD77,new_transmute,4,FALSE)
),
""
)
)
)
)
)
)
)
)
))</f>
        <v/>
      </c>
      <c r="AE77" s="58" t="str">
        <f t="shared" si="15"/>
        <v/>
      </c>
      <c r="AF77" s="73" t="str">
        <f>IF($B77="","",
IF(AF$5="","",
IF('Final Term'!AF77="",0,
IF(NOT(ISNUMBER('Final Term'!AF77)),"NAN",
IF('Final Term'!AF77&lt;0,"NEG",
IF('Final Term'!AF77&gt;AF$5,"OVER",
IF(AND(AF$5&lt;=100,'Final Term'!AF77&gt;100),"ERR",
IF(Info!$B$4="Non-board program",
IF(OR(AND(AF$5&gt;0,AF$5&gt;100),AND(AF$5&gt;0,AF$5&lt;100)),
VLOOKUP(FLOOR(('Final Term'!AF77/AF$5)*100,1),new_transmute,2,FALSE),
VLOOKUP('Final Term'!AF77,new_transmute,2,FALSE)
),
IF(Info!$B$4="Board program",
IF(OR(AND(AF$5&gt;0,AF$5&gt;100),AND(AF$5&gt;0,AF$5&lt;100)),
VLOOKUP(FLOOR(('Final Term'!AF77/AF$5)*100,1),new_transmute,3,FALSE),
VLOOKUP('Final Term'!AF77,new_transmute,3,FALSE)
),
IF(Info!$B$4="Board program (Medicine)",
IF(OR(AND(AF$5&gt;0,AF$5&gt;100),AND(AF$5&gt;0,AF$5&lt;100)),
VLOOKUP(FLOOR(('Final Term'!AF77/AF$5)*100,1),new_transmute,4,FALSE),
VLOOKUP('Final Term'!AF77,new_transmute,4,FALSE)
),
""
)
)
)
)
)
)
)
)
))</f>
        <v/>
      </c>
      <c r="AG77" s="73" t="str">
        <f>IF($B77="","",
IF(AG$5="","",
IF('Final Term'!AG77="",0,
IF(NOT(ISNUMBER('Final Term'!AG77)),"NAN",
IF('Final Term'!AG77&lt;0,"NEG",
IF('Final Term'!AG77&gt;AG$5,"OVER",
IF(AND(AG$5&lt;=100,'Final Term'!AG77&gt;100),"ERR",
IF(Info!$B$4="Non-board program",
IF(OR(AND(AG$5&gt;0,AG$5&gt;100),AND(AG$5&gt;0,AG$5&lt;100)),
VLOOKUP(FLOOR(('Final Term'!AG77/AG$5)*100,1),new_transmute,2,FALSE),
VLOOKUP('Final Term'!AG77,new_transmute,2,FALSE)
),
IF(Info!$B$4="Board program",
IF(OR(AND(AG$5&gt;0,AG$5&gt;100),AND(AG$5&gt;0,AG$5&lt;100)),
VLOOKUP(FLOOR(('Final Term'!AG77/AG$5)*100,1),new_transmute,3,FALSE),
VLOOKUP('Final Term'!AG77,new_transmute,3,FALSE)
),
IF(Info!$B$4="Board program (Medicine)",
IF(OR(AND(AG$5&gt;0,AG$5&gt;100),AND(AG$5&gt;0,AG$5&lt;100)),
VLOOKUP(FLOOR(('Final Term'!AG77/AG$5)*100,1),new_transmute,4,FALSE),
VLOOKUP('Final Term'!AG77,new_transmute,4,FALSE)
),
""
)
)
)
)
)
)
)
)
))</f>
        <v/>
      </c>
      <c r="AH77" s="73" t="str">
        <f>IF($B77="","",
IF(AH$5="","",
IF('Final Term'!AH77="",0,
IF(NOT(ISNUMBER('Final Term'!AH77)),"NAN",
IF('Final Term'!AH77&lt;0,"NEG",
IF('Final Term'!AH77&gt;AH$5,"OVER",
IF(AND(AH$5&lt;=100,'Final Term'!AH77&gt;100),"ERR",
IF(Info!$B$4="Non-board program",
IF(OR(AND(AH$5&gt;0,AH$5&gt;100),AND(AH$5&gt;0,AH$5&lt;100)),
VLOOKUP(FLOOR(('Final Term'!AH77/AH$5)*100,1),new_transmute,2,FALSE),
VLOOKUP('Final Term'!AH77,new_transmute,2,FALSE)
),
IF(Info!$B$4="Board program",
IF(OR(AND(AH$5&gt;0,AH$5&gt;100),AND(AH$5&gt;0,AH$5&lt;100)),
VLOOKUP(FLOOR(('Final Term'!AH77/AH$5)*100,1),new_transmute,3,FALSE),
VLOOKUP('Final Term'!AH77,new_transmute,3,FALSE)
),
IF(Info!$B$4="Board program (Medicine)",
IF(OR(AND(AH$5&gt;0,AH$5&gt;100),AND(AH$5&gt;0,AH$5&lt;100)),
VLOOKUP(FLOOR(('Final Term'!AH77/AH$5)*100,1),new_transmute,4,FALSE),
VLOOKUP('Final Term'!AH77,new_transmute,4,FALSE)
),
""
)
)
)
)
)
)
)
)
))</f>
        <v/>
      </c>
      <c r="AI77" s="73" t="str">
        <f>IF($B77="","",
IF(AI$5="","",
IF('Final Term'!AI77="",0,
IF(NOT(ISNUMBER('Final Term'!AI77)),"NAN",
IF('Final Term'!AI77&lt;0,"NEG",
IF('Final Term'!AI77&gt;AI$5,"OVER",
IF(AND(AI$5&lt;=100,'Final Term'!AI77&gt;100),"ERR",
IF(Info!$B$4="Non-board program",
IF(OR(AND(AI$5&gt;0,AI$5&gt;100),AND(AI$5&gt;0,AI$5&lt;100)),
VLOOKUP(FLOOR(('Final Term'!AI77/AI$5)*100,1),new_transmute,2,FALSE),
VLOOKUP('Final Term'!AI77,new_transmute,2,FALSE)
),
IF(Info!$B$4="Board program",
IF(OR(AND(AI$5&gt;0,AI$5&gt;100),AND(AI$5&gt;0,AI$5&lt;100)),
VLOOKUP(FLOOR(('Final Term'!AI77/AI$5)*100,1),new_transmute,3,FALSE),
VLOOKUP('Final Term'!AI77,new_transmute,3,FALSE)
),
IF(Info!$B$4="Board program (Medicine)",
IF(OR(AND(AI$5&gt;0,AI$5&gt;100),AND(AI$5&gt;0,AI$5&lt;100)),
VLOOKUP(FLOOR(('Final Term'!AI77/AI$5)*100,1),new_transmute,4,FALSE),
VLOOKUP('Final Term'!AI77,new_transmute,4,FALSE)
),
""
)
)
)
)
)
)
)
)
))</f>
        <v/>
      </c>
      <c r="AJ77" s="73" t="str">
        <f>IF($B77="","",
IF(AJ$5="","",
IF('Final Term'!AJ77="",0,
IF(NOT(ISNUMBER('Final Term'!AJ77)),"NAN",
IF('Final Term'!AJ77&lt;0,"NEG",
IF('Final Term'!AJ77&gt;AJ$5,"OVER",
IF(AND(AJ$5&lt;=100,'Final Term'!AJ77&gt;100),"ERR",
IF(Info!$B$4="Non-board program",
IF(OR(AND(AJ$5&gt;0,AJ$5&gt;100),AND(AJ$5&gt;0,AJ$5&lt;100)),
VLOOKUP(FLOOR(('Final Term'!AJ77/AJ$5)*100,1),new_transmute,2,FALSE),
VLOOKUP('Final Term'!AJ77,new_transmute,2,FALSE)
),
IF(Info!$B$4="Board program",
IF(OR(AND(AJ$5&gt;0,AJ$5&gt;100),AND(AJ$5&gt;0,AJ$5&lt;100)),
VLOOKUP(FLOOR(('Final Term'!AJ77/AJ$5)*100,1),new_transmute,3,FALSE),
VLOOKUP('Final Term'!AJ77,new_transmute,3,FALSE)
),
IF(Info!$B$4="Board program (Medicine)",
IF(OR(AND(AJ$5&gt;0,AJ$5&gt;100),AND(AJ$5&gt;0,AJ$5&lt;100)),
VLOOKUP(FLOOR(('Final Term'!AJ77/AJ$5)*100,1),new_transmute,4,FALSE),
VLOOKUP('Final Term'!AJ77,new_transmute,4,FALSE)
),
""
)
)
)
)
)
)
)
)
))</f>
        <v/>
      </c>
      <c r="AK77" s="59" t="str">
        <f t="shared" si="16"/>
        <v/>
      </c>
      <c r="AL77" s="60" t="str">
        <f>IF(B77="", "",
    IF(OR(M77="OVER", S77="OVER", Y77="OVER", AE77="OVER", AK77="OVER"),
        "OVER",
        IF(Info!$B$4="Non-board program",
            VLOOKUP(IFERROR(FLOOR(SUM((M77*$M$4), (S77*$S$4), (Y77*$Y$4), (AE77*$AE$4), (AK77*$AK$4)) * (100 / 60), 1), 0), new_transmute, 2, FALSE),
            IF(Info!$B$4="Board program",
                VLOOKUP(IFERROR(FLOOR(SUM((M77*$M$4), (S77*$S$4), (Y77*$Y$4), (AE77*$AE$4), (AK77*$AK$4)) * (100 / 60), 1), 0), new_transmute, 3, FALSE),
                IF(Info!$B$4="Board program (Medicine)",
                    VLOOKUP(IFERROR(FLOOR(SUM((M77*$M$4), (S77*$S$4), (Y77*$Y$4), (AE77*$AE$4), (AK77*$AK$4)) * (100 / 60), 1), 0), new_transmute, 4, FALSE),
                    ""
                )
            )
        )
    )
)</f>
        <v/>
      </c>
      <c r="AM77" s="73" t="str">
        <f>IF($B77="","",
IF(AM$5="","",
IF('Final Term'!AM77="",0,
IF(NOT(ISNUMBER('Final Term'!AM77)),"NAN",
IF('Final Term'!AM77&lt;0,"NEG",
IF('Final Term'!AM77&gt;AM$5,"OVER",
IF(AND(AM$5&lt;=100,'Final Term'!AM77&gt;100),"ERR",
IF(Info!$B$4="Non-board program",
IF(OR(AND(AM$5&gt;0,AM$5&gt;100),AND(AM$5&gt;0,AM$5&lt;100)),
VLOOKUP(FLOOR(('Final Term'!AM77/AM$5)*100,1),new_transmute,2,FALSE),
VLOOKUP('Final Term'!AM77,new_transmute,2,FALSE)
),
IF(Info!$B$4="Board program",
IF(OR(AND(AM$5&gt;0,AM$5&gt;100),AND(AM$5&gt;0,AM$5&lt;100)),
VLOOKUP(FLOOR(('Final Term'!AM77/AM$5)*100,1),new_transmute,3,FALSE),
VLOOKUP('Final Term'!AM77,new_transmute,3,FALSE)
),
IF(Info!$B$4="Board program (Medicine)",
IF(OR(AND(AM$5&gt;0,AM$5&gt;100),AND(AM$5&gt;0,AM$5&lt;100)),
VLOOKUP(FLOOR(('Final Term'!AM77/AM$5)*100,1),new_transmute,4,FALSE),
VLOOKUP('Final Term'!AM77,new_transmute,4,FALSE)
),
""
)
)
)
)
)
)
)
)
))</f>
        <v/>
      </c>
      <c r="AN77" s="73" t="str">
        <f>IF($B77="","",
IF(AN$5="","",
IF('Final Term'!AN77="",0,
IF(NOT(ISNUMBER('Final Term'!AN77)),"NAN",
IF('Final Term'!AN77&lt;0,"NEG",
IF('Final Term'!AN77&gt;AN$5,"OVER",
IF(AND(AN$5&lt;=100,'Final Term'!AN77&gt;100),"ERR",
IF(Info!$B$4="Non-board program",
IF(OR(AND(AN$5&gt;0,AN$5&gt;100),AND(AN$5&gt;0,AN$5&lt;100)),
VLOOKUP(FLOOR(('Final Term'!AN77/AN$5)*100,1),new_transmute,2,FALSE),
VLOOKUP('Final Term'!AN77,new_transmute,2,FALSE)
),
IF(Info!$B$4="Board program",
IF(OR(AND(AN$5&gt;0,AN$5&gt;100),AND(AN$5&gt;0,AN$5&lt;100)),
VLOOKUP(FLOOR(('Final Term'!AN77/AN$5)*100,1),new_transmute,3,FALSE),
VLOOKUP('Final Term'!AN77,new_transmute,3,FALSE)
),
IF(Info!$B$4="Board program (Medicine)",
IF(OR(AND(AN$5&gt;0,AN$5&gt;100),AND(AN$5&gt;0,AN$5&lt;100)),
VLOOKUP(FLOOR(('Final Term'!AN77/AN$5)*100,1),new_transmute,4,FALSE),
VLOOKUP('Final Term'!AN77,new_transmute,4,FALSE)
),
""
)
)
)
)
)
)
)
)
))</f>
        <v/>
      </c>
      <c r="AO77" s="73" t="str">
        <f>IF($B77="","",
IF(AO$5="","",
IF('Final Term'!AO77="",0,
IF(NOT(ISNUMBER('Final Term'!AO77)),"NAN",
IF('Final Term'!AO77&lt;0,"NEG",
IF('Final Term'!AO77&gt;AO$5,"OVER",
IF(AND(AO$5&lt;=100,'Final Term'!AO77&gt;100),"ERR",
IF(Info!$B$4="Non-board program",
IF(OR(AND(AO$5&gt;0,AO$5&gt;100),AND(AO$5&gt;0,AO$5&lt;100)),
VLOOKUP(FLOOR(('Final Term'!AO77/AO$5)*100,1),new_transmute,2,FALSE),
VLOOKUP('Final Term'!AO77,new_transmute,2,FALSE)
),
IF(Info!$B$4="Board program",
IF(OR(AND(AO$5&gt;0,AO$5&gt;100),AND(AO$5&gt;0,AO$5&lt;100)),
VLOOKUP(FLOOR(('Final Term'!AO77/AO$5)*100,1),new_transmute,3,FALSE),
VLOOKUP('Final Term'!AO77,new_transmute,3,FALSE)
),
IF(Info!$B$4="Board program (Medicine)",
IF(OR(AND(AO$5&gt;0,AO$5&gt;100),AND(AO$5&gt;0,AO$5&lt;100)),
VLOOKUP(FLOOR(('Final Term'!AO77/AO$5)*100,1),new_transmute,4,FALSE),
VLOOKUP('Final Term'!AO77,new_transmute,4,FALSE)
),
""
)
)
)
)
)
)
)
)
))</f>
        <v/>
      </c>
      <c r="AP77" s="73" t="str">
        <f>IF($B77="","",
IF(AP$5="","",
IF('Final Term'!AP77="",0,
IF(NOT(ISNUMBER('Final Term'!AP77)),"NAN",
IF('Final Term'!AP77&lt;0,"NEG",
IF('Final Term'!AP77&gt;AP$5,"OVER",
IF(AND(AP$5&lt;=100,'Final Term'!AP77&gt;100),"ERR",
IF(Info!$B$4="Non-board program",
IF(OR(AND(AP$5&gt;0,AP$5&gt;100),AND(AP$5&gt;0,AP$5&lt;100)),
VLOOKUP(FLOOR(('Final Term'!AP77/AP$5)*100,1),new_transmute,2,FALSE),
VLOOKUP('Final Term'!AP77,new_transmute,2,FALSE)
),
IF(Info!$B$4="Board program",
IF(OR(AND(AP$5&gt;0,AP$5&gt;100),AND(AP$5&gt;0,AP$5&lt;100)),
VLOOKUP(FLOOR(('Final Term'!AP77/AP$5)*100,1),new_transmute,3,FALSE),
VLOOKUP('Final Term'!AP77,new_transmute,3,FALSE)
),
IF(Info!$B$4="Board program (Medicine)",
IF(OR(AND(AP$5&gt;0,AP$5&gt;100),AND(AP$5&gt;0,AP$5&lt;100)),
VLOOKUP(FLOOR(('Final Term'!AP77/AP$5)*100,1),new_transmute,4,FALSE),
VLOOKUP('Final Term'!AP77,new_transmute,4,FALSE)
),
""
)
)
)
)
)
)
)
)
))</f>
        <v/>
      </c>
      <c r="AQ77" s="61" t="str">
        <f t="shared" si="17"/>
        <v/>
      </c>
      <c r="AR77" s="48" t="str">
        <f>IF('Final Term'!AR77="","",'Final Term'!AR77)</f>
        <v/>
      </c>
      <c r="AS77" s="165" t="str">
        <f t="shared" si="18"/>
        <v/>
      </c>
      <c r="AT77" s="14" t="str">
        <f t="shared" si="19"/>
        <v/>
      </c>
      <c r="AU77" s="13" t="str">
        <f>IF(B77="","",VLOOKUP(AT77,'New Grade Equivalent'!$B$3:$C$47,2,FALSE))</f>
        <v/>
      </c>
    </row>
    <row r="78" spans="1:47" x14ac:dyDescent="0.25">
      <c r="A78" s="8">
        <v>73</v>
      </c>
      <c r="B78" s="2" t="str">
        <f>IF('Student List'!C82="","",UPPER(LEFT('Student List'!C82,FIND(",",'Student List'!C82)-1)))</f>
        <v/>
      </c>
      <c r="C78" s="12" t="str">
        <f>IF('Student List'!C82="","",PROPER(MID('Student List'!C82, FIND(",", 'Student List'!C82) + 2, LEN('Student List'!C82) - FIND(",", 'Student List'!C82) - 1)))</f>
        <v/>
      </c>
      <c r="D78" s="127" t="str">
        <f>IF('Final Term'!D78="","",'Final Term'!D78)</f>
        <v/>
      </c>
      <c r="E78" s="8" t="str">
        <f>IF(MidCom!E78="FA", "FA",
    IF(MidCom!E78="DRP", "DRP",
        IF(MidCom!E78="WF", "WF",
            IF(D78="Yes", "INC",
               IF((SUM('MT Attendance'!AW76) / 3 + SUM('MT Attendance'!AY76) + SUM('FT Attendance'!AW76) / 3 + SUM('FT Attendance'!AY76)) &gt;= 0.2 * (SUMPRODUCT(--(ISTEXT('MT Attendance'!$C$2:$AU$2))) + SUMPRODUCT(--(ISTEXT('FT Attendance'!$C$2:$AU$2)))), "FA",
                   MidCom!E78
                )
            )
        )
    )
)</f>
        <v/>
      </c>
      <c r="F78" s="73" t="str">
        <f>IF($B78="","",
IF(F$5="","",
IF('Final Term'!F78="",0,
IF(NOT(ISNUMBER('Final Term'!F78)),"NAN",
IF('Final Term'!F78&lt;0,"NEG",
IF('Final Term'!F78&gt;F$5,"OVER",
IF(AND(F$5&lt;=100,'Final Term'!F78&gt;100),"ERR",
IF(Info!$B$4="Non-board program",
IF(OR(AND(F$5&gt;0,F$5&gt;100),AND(F$5&gt;0,F$5&lt;100)),
VLOOKUP(FLOOR(('Final Term'!F78/F$5)*100,1),new_transmute,2,FALSE),
VLOOKUP('Final Term'!F78,new_transmute,2,FALSE)
),
IF(Info!$B$4="Board program",
IF(OR(AND(F$5&gt;0,F$5&gt;100),AND(F$5&gt;0,F$5&lt;100)),
VLOOKUP(FLOOR(('Final Term'!F78/F$5)*100,1),new_transmute,3,FALSE),
VLOOKUP('Final Term'!F78,new_transmute,3,FALSE)
),
IF(Info!$B$4="Board program (Medicine)",
IF(OR(AND(F$5&gt;0,F$5&gt;100),AND(F$5&gt;0,F$5&lt;100)),
VLOOKUP(FLOOR(('Final Term'!F78/F$5)*100,1),new_transmute,4,FALSE),
VLOOKUP('Final Term'!F78,new_transmute,4,FALSE)
),
""
)
)
)
)
)
)
)
)
))</f>
        <v/>
      </c>
      <c r="G78" s="57" t="str">
        <f t="shared" si="11"/>
        <v/>
      </c>
      <c r="H78" s="73" t="str">
        <f>IF($B78="","",
IF(H$5="","",
IF('Final Term'!H78="",0,
IF(NOT(ISNUMBER('Final Term'!H78)),"NAN",
IF('Final Term'!H78&lt;0,"NEG",
IF('Final Term'!H78&gt;H$5,"OVER",
IF(AND(H$5&lt;=100,'Final Term'!H78&gt;100),"ERR",
IF(Info!$B$4="Non-board program",
IF(OR(AND(H$5&gt;0,H$5&gt;100),AND(H$5&gt;0,H$5&lt;100)),
VLOOKUP(FLOOR(('Final Term'!H78/H$5)*100,1),new_transmute,2,FALSE),
VLOOKUP('Final Term'!H78,new_transmute,2,FALSE)
),
IF(Info!$B$4="Board program",
IF(OR(AND(H$5&gt;0,H$5&gt;100),AND(H$5&gt;0,H$5&lt;100)),
VLOOKUP(FLOOR(('Final Term'!H78/H$5)*100,1),new_transmute,3,FALSE),
VLOOKUP('Final Term'!H78,new_transmute,3,FALSE)
),
IF(Info!$B$4="Board program (Medicine)",
IF(OR(AND(H$5&gt;0,H$5&gt;100),AND(H$5&gt;0,H$5&lt;100)),
VLOOKUP(FLOOR(('Final Term'!H78/H$5)*100,1),new_transmute,4,FALSE),
VLOOKUP('Final Term'!H78,new_transmute,4,FALSE)
),
""
)
)
)
)
)
)
)
)
))</f>
        <v/>
      </c>
      <c r="I78" s="73" t="str">
        <f>IF($B78="","",
IF(I$5="","",
IF('Final Term'!I78="",0,
IF(NOT(ISNUMBER('Final Term'!I78)),"NAN",
IF('Final Term'!I78&lt;0,"NEG",
IF('Final Term'!I78&gt;I$5,"OVER",
IF(AND(I$5&lt;=100,'Final Term'!I78&gt;100),"ERR",
IF(Info!$B$4="Non-board program",
IF(OR(AND(I$5&gt;0,I$5&gt;100),AND(I$5&gt;0,I$5&lt;100)),
VLOOKUP(FLOOR(('Final Term'!I78/I$5)*100,1),new_transmute,2,FALSE),
VLOOKUP('Final Term'!I78,new_transmute,2,FALSE)
),
IF(Info!$B$4="Board program",
IF(OR(AND(I$5&gt;0,I$5&gt;100),AND(I$5&gt;0,I$5&lt;100)),
VLOOKUP(FLOOR(('Final Term'!I78/I$5)*100,1),new_transmute,3,FALSE),
VLOOKUP('Final Term'!I78,new_transmute,3,FALSE)
),
IF(Info!$B$4="Board program (Medicine)",
IF(OR(AND(I$5&gt;0,I$5&gt;100),AND(I$5&gt;0,I$5&lt;100)),
VLOOKUP(FLOOR(('Final Term'!I78/I$5)*100,1),new_transmute,4,FALSE),
VLOOKUP('Final Term'!I78,new_transmute,4,FALSE)
),
""
)
)
)
)
)
)
)
)
))</f>
        <v/>
      </c>
      <c r="J78" s="73" t="str">
        <f>IF($B78="","",
IF(J$5="","",
IF('Final Term'!J78="",0,
IF(NOT(ISNUMBER('Final Term'!J78)),"NAN",
IF('Final Term'!J78&lt;0,"NEG",
IF('Final Term'!J78&gt;J$5,"OVER",
IF(AND(J$5&lt;=100,'Final Term'!J78&gt;100),"ERR",
IF(Info!$B$4="Non-board program",
IF(OR(AND(J$5&gt;0,J$5&gt;100),AND(J$5&gt;0,J$5&lt;100)),
VLOOKUP(FLOOR(('Final Term'!J78/J$5)*100,1),new_transmute,2,FALSE),
VLOOKUP('Final Term'!J78,new_transmute,2,FALSE)
),
IF(Info!$B$4="Board program",
IF(OR(AND(J$5&gt;0,J$5&gt;100),AND(J$5&gt;0,J$5&lt;100)),
VLOOKUP(FLOOR(('Final Term'!J78/J$5)*100,1),new_transmute,3,FALSE),
VLOOKUP('Final Term'!J78,new_transmute,3,FALSE)
),
IF(Info!$B$4="Board program (Medicine)",
IF(OR(AND(J$5&gt;0,J$5&gt;100),AND(J$5&gt;0,J$5&lt;100)),
VLOOKUP(FLOOR(('Final Term'!J78/J$5)*100,1),new_transmute,4,FALSE),
VLOOKUP('Final Term'!J78,new_transmute,4,FALSE)
),
""
)
)
)
)
)
)
)
)
))</f>
        <v/>
      </c>
      <c r="K78" s="73" t="str">
        <f>IF($B78="","",
IF(K$5="","",
IF('Final Term'!K78="",0,
IF(NOT(ISNUMBER('Final Term'!K78)),"NAN",
IF('Final Term'!K78&lt;0,"NEG",
IF('Final Term'!K78&gt;K$5,"OVER",
IF(AND(K$5&lt;=100,'Final Term'!K78&gt;100),"ERR",
IF(Info!$B$4="Non-board program",
IF(OR(AND(K$5&gt;0,K$5&gt;100),AND(K$5&gt;0,K$5&lt;100)),
VLOOKUP(FLOOR(('Final Term'!K78/K$5)*100,1),new_transmute,2,FALSE),
VLOOKUP('Final Term'!K78,new_transmute,2,FALSE)
),
IF(Info!$B$4="Board program",
IF(OR(AND(K$5&gt;0,K$5&gt;100),AND(K$5&gt;0,K$5&lt;100)),
VLOOKUP(FLOOR(('Final Term'!K78/K$5)*100,1),new_transmute,3,FALSE),
VLOOKUP('Final Term'!K78,new_transmute,3,FALSE)
),
IF(Info!$B$4="Board program (Medicine)",
IF(OR(AND(K$5&gt;0,K$5&gt;100),AND(K$5&gt;0,K$5&lt;100)),
VLOOKUP(FLOOR(('Final Term'!K78/K$5)*100,1),new_transmute,4,FALSE),
VLOOKUP('Final Term'!K78,new_transmute,4,FALSE)
),
""
)
)
)
)
)
)
)
)
))</f>
        <v/>
      </c>
      <c r="L78" s="73" t="str">
        <f>IF($B78="","",
IF(L$5="","",
IF('Final Term'!L78="",0,
IF(NOT(ISNUMBER('Final Term'!L78)),"NAN",
IF('Final Term'!L78&lt;0,"NEG",
IF('Final Term'!L78&gt;L$5,"OVER",
IF(AND(L$5&lt;=100,'Final Term'!L78&gt;100),"ERR",
IF(Info!$B$4="Non-board program",
IF(OR(AND(L$5&gt;0,L$5&gt;100),AND(L$5&gt;0,L$5&lt;100)),
VLOOKUP(FLOOR(('Final Term'!L78/L$5)*100,1),new_transmute,2,FALSE),
VLOOKUP('Final Term'!L78,new_transmute,2,FALSE)
),
IF(Info!$B$4="Board program",
IF(OR(AND(L$5&gt;0,L$5&gt;100),AND(L$5&gt;0,L$5&lt;100)),
VLOOKUP(FLOOR(('Final Term'!L78/L$5)*100,1),new_transmute,3,FALSE),
VLOOKUP('Final Term'!L78,new_transmute,3,FALSE)
),
IF(Info!$B$4="Board program (Medicine)",
IF(OR(AND(L$5&gt;0,L$5&gt;100),AND(L$5&gt;0,L$5&lt;100)),
VLOOKUP(FLOOR(('Final Term'!L78/L$5)*100,1),new_transmute,4,FALSE),
VLOOKUP('Final Term'!L78,new_transmute,4,FALSE)
),
""
)
)
)
)
)
)
)
)
))</f>
        <v/>
      </c>
      <c r="M78" s="111" t="str">
        <f t="shared" si="12"/>
        <v/>
      </c>
      <c r="N78" s="73" t="str">
        <f>IF($B78="","",
IF(N$5="","",
IF('Final Term'!N78="",0,
IF(NOT(ISNUMBER('Final Term'!N78)),"NAN",
IF('Final Term'!N78&lt;0,"NEG",
IF('Final Term'!N78&gt;N$5,"OVER",
IF(AND(N$5&lt;=100,'Final Term'!N78&gt;100),"ERR",
IF(Info!$B$4="Non-board program",
IF(OR(AND(N$5&gt;0,N$5&gt;100),AND(N$5&gt;0,N$5&lt;100)),
VLOOKUP(FLOOR(('Final Term'!N78/N$5)*100,1),new_transmute,2,FALSE),
VLOOKUP('Final Term'!N78,new_transmute,2,FALSE)
),
IF(Info!$B$4="Board program",
IF(OR(AND(N$5&gt;0,N$5&gt;100),AND(N$5&gt;0,N$5&lt;100)),
VLOOKUP(FLOOR(('Final Term'!N78/N$5)*100,1),new_transmute,3,FALSE),
VLOOKUP('Final Term'!N78,new_transmute,3,FALSE)
),
IF(Info!$B$4="Board program (Medicine)",
IF(OR(AND(N$5&gt;0,N$5&gt;100),AND(N$5&gt;0,N$5&lt;100)),
VLOOKUP(FLOOR(('Final Term'!N78/N$5)*100,1),new_transmute,4,FALSE),
VLOOKUP('Final Term'!N78,new_transmute,4,FALSE)
),
""
)
)
)
)
)
)
)
)
))</f>
        <v/>
      </c>
      <c r="O78" s="73" t="str">
        <f>IF($B78="","",
IF(O$5="","",
IF('Final Term'!O78="",0,
IF(NOT(ISNUMBER('Final Term'!O78)),"NAN",
IF('Final Term'!O78&lt;0,"NEG",
IF('Final Term'!O78&gt;O$5,"OVER",
IF(AND(O$5&lt;=100,'Final Term'!O78&gt;100),"ERR",
IF(Info!$B$4="Non-board program",
IF(OR(AND(O$5&gt;0,O$5&gt;100),AND(O$5&gt;0,O$5&lt;100)),
VLOOKUP(FLOOR(('Final Term'!O78/O$5)*100,1),new_transmute,2,FALSE),
VLOOKUP('Final Term'!O78,new_transmute,2,FALSE)
),
IF(Info!$B$4="Board program",
IF(OR(AND(O$5&gt;0,O$5&gt;100),AND(O$5&gt;0,O$5&lt;100)),
VLOOKUP(FLOOR(('Final Term'!O78/O$5)*100,1),new_transmute,3,FALSE),
VLOOKUP('Final Term'!O78,new_transmute,3,FALSE)
),
IF(Info!$B$4="Board program (Medicine)",
IF(OR(AND(O$5&gt;0,O$5&gt;100),AND(O$5&gt;0,O$5&lt;100)),
VLOOKUP(FLOOR(('Final Term'!O78/O$5)*100,1),new_transmute,4,FALSE),
VLOOKUP('Final Term'!O78,new_transmute,4,FALSE)
),
""
)
)
)
)
)
)
)
)
))</f>
        <v/>
      </c>
      <c r="P78" s="73" t="str">
        <f>IF($B78="","",
IF(P$5="","",
IF('Final Term'!P78="",0,
IF(NOT(ISNUMBER('Final Term'!P78)),"NAN",
IF('Final Term'!P78&lt;0,"NEG",
IF('Final Term'!P78&gt;P$5,"OVER",
IF(AND(P$5&lt;=100,'Final Term'!P78&gt;100),"ERR",
IF(Info!$B$4="Non-board program",
IF(OR(AND(P$5&gt;0,P$5&gt;100),AND(P$5&gt;0,P$5&lt;100)),
VLOOKUP(FLOOR(('Final Term'!P78/P$5)*100,1),new_transmute,2,FALSE),
VLOOKUP('Final Term'!P78,new_transmute,2,FALSE)
),
IF(Info!$B$4="Board program",
IF(OR(AND(P$5&gt;0,P$5&gt;100),AND(P$5&gt;0,P$5&lt;100)),
VLOOKUP(FLOOR(('Final Term'!P78/P$5)*100,1),new_transmute,3,FALSE),
VLOOKUP('Final Term'!P78,new_transmute,3,FALSE)
),
IF(Info!$B$4="Board program (Medicine)",
IF(OR(AND(P$5&gt;0,P$5&gt;100),AND(P$5&gt;0,P$5&lt;100)),
VLOOKUP(FLOOR(('Final Term'!P78/P$5)*100,1),new_transmute,4,FALSE),
VLOOKUP('Final Term'!P78,new_transmute,4,FALSE)
),
""
)
)
)
)
)
)
)
)
))</f>
        <v/>
      </c>
      <c r="Q78" s="73" t="str">
        <f>IF($B78="","",
IF(Q$5="","",
IF('Final Term'!Q78="",0,
IF(NOT(ISNUMBER('Final Term'!Q78)),"NAN",
IF('Final Term'!Q78&lt;0,"NEG",
IF('Final Term'!Q78&gt;Q$5,"OVER",
IF(AND(Q$5&lt;=100,'Final Term'!Q78&gt;100),"ERR",
IF(Info!$B$4="Non-board program",
IF(OR(AND(Q$5&gt;0,Q$5&gt;100),AND(Q$5&gt;0,Q$5&lt;100)),
VLOOKUP(FLOOR(('Final Term'!Q78/Q$5)*100,1),new_transmute,2,FALSE),
VLOOKUP('Final Term'!Q78,new_transmute,2,FALSE)
),
IF(Info!$B$4="Board program",
IF(OR(AND(Q$5&gt;0,Q$5&gt;100),AND(Q$5&gt;0,Q$5&lt;100)),
VLOOKUP(FLOOR(('Final Term'!Q78/Q$5)*100,1),new_transmute,3,FALSE),
VLOOKUP('Final Term'!Q78,new_transmute,3,FALSE)
),
IF(Info!$B$4="Board program (Medicine)",
IF(OR(AND(Q$5&gt;0,Q$5&gt;100),AND(Q$5&gt;0,Q$5&lt;100)),
VLOOKUP(FLOOR(('Final Term'!Q78/Q$5)*100,1),new_transmute,4,FALSE),
VLOOKUP('Final Term'!Q78,new_transmute,4,FALSE)
),
""
)
)
)
)
)
)
)
)
))</f>
        <v/>
      </c>
      <c r="R78" s="73" t="str">
        <f>IF($B78="","",
IF(R$5="","",
IF('Final Term'!R78="",0,
IF(NOT(ISNUMBER('Final Term'!R78)),"NAN",
IF('Final Term'!R78&lt;0,"NEG",
IF('Final Term'!R78&gt;R$5,"OVER",
IF(AND(R$5&lt;=100,'Final Term'!R78&gt;100),"ERR",
IF(Info!$B$4="Non-board program",
IF(OR(AND(R$5&gt;0,R$5&gt;100),AND(R$5&gt;0,R$5&lt;100)),
VLOOKUP(FLOOR(('Final Term'!R78/R$5)*100,1),new_transmute,2,FALSE),
VLOOKUP('Final Term'!R78,new_transmute,2,FALSE)
),
IF(Info!$B$4="Board program",
IF(OR(AND(R$5&gt;0,R$5&gt;100),AND(R$5&gt;0,R$5&lt;100)),
VLOOKUP(FLOOR(('Final Term'!R78/R$5)*100,1),new_transmute,3,FALSE),
VLOOKUP('Final Term'!R78,new_transmute,3,FALSE)
),
IF(Info!$B$4="Board program (Medicine)",
IF(OR(AND(R$5&gt;0,R$5&gt;100),AND(R$5&gt;0,R$5&lt;100)),
VLOOKUP(FLOOR(('Final Term'!R78/R$5)*100,1),new_transmute,4,FALSE),
VLOOKUP('Final Term'!R78,new_transmute,4,FALSE)
),
""
)
)
)
)
)
)
)
)
))</f>
        <v/>
      </c>
      <c r="S78" s="115" t="str">
        <f t="shared" si="13"/>
        <v/>
      </c>
      <c r="T78" s="73" t="str">
        <f>IF($B78="","",
IF(T$5="","",
IF('Final Term'!T78="",0,
IF(NOT(ISNUMBER('Final Term'!T78)),"NAN",
IF('Final Term'!T78&lt;0,"NEG",
IF('Final Term'!T78&gt;T$5,"OVER",
IF(AND(T$5&lt;=100,'Final Term'!T78&gt;100),"ERR",
IF(Info!$B$4="Non-board program",
IF(OR(AND(T$5&gt;0,T$5&gt;100),AND(T$5&gt;0,T$5&lt;100)),
VLOOKUP(FLOOR(('Final Term'!T78/T$5)*100,1),new_transmute,2,FALSE),
VLOOKUP('Final Term'!T78,new_transmute,2,FALSE)
),
IF(Info!$B$4="Board program",
IF(OR(AND(T$5&gt;0,T$5&gt;100),AND(T$5&gt;0,T$5&lt;100)),
VLOOKUP(FLOOR(('Final Term'!T78/T$5)*100,1),new_transmute,3,FALSE),
VLOOKUP('Final Term'!T78,new_transmute,3,FALSE)
),
IF(Info!$B$4="Board program (Medicine)",
IF(OR(AND(T$5&gt;0,T$5&gt;100),AND(T$5&gt;0,T$5&lt;100)),
VLOOKUP(FLOOR(('Final Term'!T78/T$5)*100,1),new_transmute,4,FALSE),
VLOOKUP('Final Term'!T78,new_transmute,4,FALSE)
),
""
)
)
)
)
)
)
)
)
))</f>
        <v/>
      </c>
      <c r="U78" s="73" t="str">
        <f>IF($B78="","",
IF(U$5="","",
IF('Final Term'!U78="",0,
IF(NOT(ISNUMBER('Final Term'!U78)),"NAN",
IF('Final Term'!U78&lt;0,"NEG",
IF('Final Term'!U78&gt;U$5,"OVER",
IF(AND(U$5&lt;=100,'Final Term'!U78&gt;100),"ERR",
IF(Info!$B$4="Non-board program",
IF(OR(AND(U$5&gt;0,U$5&gt;100),AND(U$5&gt;0,U$5&lt;100)),
VLOOKUP(FLOOR(('Final Term'!U78/U$5)*100,1),new_transmute,2,FALSE),
VLOOKUP('Final Term'!U78,new_transmute,2,FALSE)
),
IF(Info!$B$4="Board program",
IF(OR(AND(U$5&gt;0,U$5&gt;100),AND(U$5&gt;0,U$5&lt;100)),
VLOOKUP(FLOOR(('Final Term'!U78/U$5)*100,1),new_transmute,3,FALSE),
VLOOKUP('Final Term'!U78,new_transmute,3,FALSE)
),
IF(Info!$B$4="Board program (Medicine)",
IF(OR(AND(U$5&gt;0,U$5&gt;100),AND(U$5&gt;0,U$5&lt;100)),
VLOOKUP(FLOOR(('Final Term'!U78/U$5)*100,1),new_transmute,4,FALSE),
VLOOKUP('Final Term'!U78,new_transmute,4,FALSE)
),
""
)
)
)
)
)
)
)
)
))</f>
        <v/>
      </c>
      <c r="V78" s="73" t="str">
        <f>IF($B78="","",
IF(V$5="","",
IF('Final Term'!V78="",0,
IF(NOT(ISNUMBER('Final Term'!V78)),"NAN",
IF('Final Term'!V78&lt;0,"NEG",
IF('Final Term'!V78&gt;V$5,"OVER",
IF(AND(V$5&lt;=100,'Final Term'!V78&gt;100),"ERR",
IF(Info!$B$4="Non-board program",
IF(OR(AND(V$5&gt;0,V$5&gt;100),AND(V$5&gt;0,V$5&lt;100)),
VLOOKUP(FLOOR(('Final Term'!V78/V$5)*100,1),new_transmute,2,FALSE),
VLOOKUP('Final Term'!V78,new_transmute,2,FALSE)
),
IF(Info!$B$4="Board program",
IF(OR(AND(V$5&gt;0,V$5&gt;100),AND(V$5&gt;0,V$5&lt;100)),
VLOOKUP(FLOOR(('Final Term'!V78/V$5)*100,1),new_transmute,3,FALSE),
VLOOKUP('Final Term'!V78,new_transmute,3,FALSE)
),
IF(Info!$B$4="Board program (Medicine)",
IF(OR(AND(V$5&gt;0,V$5&gt;100),AND(V$5&gt;0,V$5&lt;100)),
VLOOKUP(FLOOR(('Final Term'!V78/V$5)*100,1),new_transmute,4,FALSE),
VLOOKUP('Final Term'!V78,new_transmute,4,FALSE)
),
""
)
)
)
)
)
)
)
)
))</f>
        <v/>
      </c>
      <c r="W78" s="73" t="str">
        <f>IF($B78="","",
IF(W$5="","",
IF('Final Term'!W78="",0,
IF(NOT(ISNUMBER('Final Term'!W78)),"NAN",
IF('Final Term'!W78&lt;0,"NEG",
IF('Final Term'!W78&gt;W$5,"OVER",
IF(AND(W$5&lt;=100,'Final Term'!W78&gt;100),"ERR",
IF(Info!$B$4="Non-board program",
IF(OR(AND(W$5&gt;0,W$5&gt;100),AND(W$5&gt;0,W$5&lt;100)),
VLOOKUP(FLOOR(('Final Term'!W78/W$5)*100,1),new_transmute,2,FALSE),
VLOOKUP('Final Term'!W78,new_transmute,2,FALSE)
),
IF(Info!$B$4="Board program",
IF(OR(AND(W$5&gt;0,W$5&gt;100),AND(W$5&gt;0,W$5&lt;100)),
VLOOKUP(FLOOR(('Final Term'!W78/W$5)*100,1),new_transmute,3,FALSE),
VLOOKUP('Final Term'!W78,new_transmute,3,FALSE)
),
IF(Info!$B$4="Board program (Medicine)",
IF(OR(AND(W$5&gt;0,W$5&gt;100),AND(W$5&gt;0,W$5&lt;100)),
VLOOKUP(FLOOR(('Final Term'!W78/W$5)*100,1),new_transmute,4,FALSE),
VLOOKUP('Final Term'!W78,new_transmute,4,FALSE)
),
""
)
)
)
)
)
)
)
)
))</f>
        <v/>
      </c>
      <c r="X78" s="73" t="str">
        <f>IF($B78="","",
IF(X$5="","",
IF('Final Term'!X78="",0,
IF(NOT(ISNUMBER('Final Term'!X78)),"NAN",
IF('Final Term'!X78&lt;0,"NEG",
IF('Final Term'!X78&gt;X$5,"OVER",
IF(AND(X$5&lt;=100,'Final Term'!X78&gt;100),"ERR",
IF(Info!$B$4="Non-board program",
IF(OR(AND(X$5&gt;0,X$5&gt;100),AND(X$5&gt;0,X$5&lt;100)),
VLOOKUP(FLOOR(('Final Term'!X78/X$5)*100,1),new_transmute,2,FALSE),
VLOOKUP('Final Term'!X78,new_transmute,2,FALSE)
),
IF(Info!$B$4="Board program",
IF(OR(AND(X$5&gt;0,X$5&gt;100),AND(X$5&gt;0,X$5&lt;100)),
VLOOKUP(FLOOR(('Final Term'!X78/X$5)*100,1),new_transmute,3,FALSE),
VLOOKUP('Final Term'!X78,new_transmute,3,FALSE)
),
IF(Info!$B$4="Board program (Medicine)",
IF(OR(AND(X$5&gt;0,X$5&gt;100),AND(X$5&gt;0,X$5&lt;100)),
VLOOKUP(FLOOR(('Final Term'!X78/X$5)*100,1),new_transmute,4,FALSE),
VLOOKUP('Final Term'!X78,new_transmute,4,FALSE)
),
""
)
)
)
)
)
)
)
)
))</f>
        <v/>
      </c>
      <c r="Y78" s="112" t="str">
        <f t="shared" si="14"/>
        <v/>
      </c>
      <c r="Z78" s="73" t="str">
        <f>IF($B78="","",
IF(Z$5="","",
IF('Final Term'!Z78="",0,
IF(NOT(ISNUMBER('Final Term'!Z78)),"NAN",
IF('Final Term'!Z78&lt;0,"NEG",
IF('Final Term'!Z78&gt;Z$5,"OVER",
IF(AND(Z$5&lt;=100,'Final Term'!Z78&gt;100),"ERR",
IF(Info!$B$4="Non-board program",
IF(OR(AND(Z$5&gt;0,Z$5&gt;100),AND(Z$5&gt;0,Z$5&lt;100)),
VLOOKUP(FLOOR(('Final Term'!Z78/Z$5)*100,1),new_transmute,2,FALSE),
VLOOKUP('Final Term'!Z78,new_transmute,2,FALSE)
),
IF(Info!$B$4="Board program",
IF(OR(AND(Z$5&gt;0,Z$5&gt;100),AND(Z$5&gt;0,Z$5&lt;100)),
VLOOKUP(FLOOR(('Final Term'!Z78/Z$5)*100,1),new_transmute,3,FALSE),
VLOOKUP('Final Term'!Z78,new_transmute,3,FALSE)
),
IF(Info!$B$4="Board program (Medicine)",
IF(OR(AND(Z$5&gt;0,Z$5&gt;100),AND(Z$5&gt;0,Z$5&lt;100)),
VLOOKUP(FLOOR(('Final Term'!Z78/Z$5)*100,1),new_transmute,4,FALSE),
VLOOKUP('Final Term'!Z78,new_transmute,4,FALSE)
),
""
)
)
)
)
)
)
)
)
))</f>
        <v/>
      </c>
      <c r="AA78" s="73" t="str">
        <f>IF($B78="","",
IF(AA$5="","",
IF('Final Term'!AA78="",0,
IF(NOT(ISNUMBER('Final Term'!AA78)),"NAN",
IF('Final Term'!AA78&lt;0,"NEG",
IF('Final Term'!AA78&gt;AA$5,"OVER",
IF(AND(AA$5&lt;=100,'Final Term'!AA78&gt;100),"ERR",
IF(Info!$B$4="Non-board program",
IF(OR(AND(AA$5&gt;0,AA$5&gt;100),AND(AA$5&gt;0,AA$5&lt;100)),
VLOOKUP(FLOOR(('Final Term'!AA78/AA$5)*100,1),new_transmute,2,FALSE),
VLOOKUP('Final Term'!AA78,new_transmute,2,FALSE)
),
IF(Info!$B$4="Board program",
IF(OR(AND(AA$5&gt;0,AA$5&gt;100),AND(AA$5&gt;0,AA$5&lt;100)),
VLOOKUP(FLOOR(('Final Term'!AA78/AA$5)*100,1),new_transmute,3,FALSE),
VLOOKUP('Final Term'!AA78,new_transmute,3,FALSE)
),
IF(Info!$B$4="Board program (Medicine)",
IF(OR(AND(AA$5&gt;0,AA$5&gt;100),AND(AA$5&gt;0,AA$5&lt;100)),
VLOOKUP(FLOOR(('Final Term'!AA78/AA$5)*100,1),new_transmute,4,FALSE),
VLOOKUP('Final Term'!AA78,new_transmute,4,FALSE)
),
""
)
)
)
)
)
)
)
)
))</f>
        <v/>
      </c>
      <c r="AB78" s="73" t="str">
        <f>IF($B78="","",
IF(AB$5="","",
IF('Final Term'!AB78="",0,
IF(NOT(ISNUMBER('Final Term'!AB78)),"NAN",
IF('Final Term'!AB78&lt;0,"NEG",
IF('Final Term'!AB78&gt;AB$5,"OVER",
IF(AND(AB$5&lt;=100,'Final Term'!AB78&gt;100),"ERR",
IF(Info!$B$4="Non-board program",
IF(OR(AND(AB$5&gt;0,AB$5&gt;100),AND(AB$5&gt;0,AB$5&lt;100)),
VLOOKUP(FLOOR(('Final Term'!AB78/AB$5)*100,1),new_transmute,2,FALSE),
VLOOKUP('Final Term'!AB78,new_transmute,2,FALSE)
),
IF(Info!$B$4="Board program",
IF(OR(AND(AB$5&gt;0,AB$5&gt;100),AND(AB$5&gt;0,AB$5&lt;100)),
VLOOKUP(FLOOR(('Final Term'!AB78/AB$5)*100,1),new_transmute,3,FALSE),
VLOOKUP('Final Term'!AB78,new_transmute,3,FALSE)
),
IF(Info!$B$4="Board program (Medicine)",
IF(OR(AND(AB$5&gt;0,AB$5&gt;100),AND(AB$5&gt;0,AB$5&lt;100)),
VLOOKUP(FLOOR(('Final Term'!AB78/AB$5)*100,1),new_transmute,4,FALSE),
VLOOKUP('Final Term'!AB78,new_transmute,4,FALSE)
),
""
)
)
)
)
)
)
)
)
))</f>
        <v/>
      </c>
      <c r="AC78" s="73" t="str">
        <f>IF($B78="","",
IF(AC$5="","",
IF('Final Term'!AC78="",0,
IF(NOT(ISNUMBER('Final Term'!AC78)),"NAN",
IF('Final Term'!AC78&lt;0,"NEG",
IF('Final Term'!AC78&gt;AC$5,"OVER",
IF(AND(AC$5&lt;=100,'Final Term'!AC78&gt;100),"ERR",
IF(Info!$B$4="Non-board program",
IF(OR(AND(AC$5&gt;0,AC$5&gt;100),AND(AC$5&gt;0,AC$5&lt;100)),
VLOOKUP(FLOOR(('Final Term'!AC78/AC$5)*100,1),new_transmute,2,FALSE),
VLOOKUP('Final Term'!AC78,new_transmute,2,FALSE)
),
IF(Info!$B$4="Board program",
IF(OR(AND(AC$5&gt;0,AC$5&gt;100),AND(AC$5&gt;0,AC$5&lt;100)),
VLOOKUP(FLOOR(('Final Term'!AC78/AC$5)*100,1),new_transmute,3,FALSE),
VLOOKUP('Final Term'!AC78,new_transmute,3,FALSE)
),
IF(Info!$B$4="Board program (Medicine)",
IF(OR(AND(AC$5&gt;0,AC$5&gt;100),AND(AC$5&gt;0,AC$5&lt;100)),
VLOOKUP(FLOOR(('Final Term'!AC78/AC$5)*100,1),new_transmute,4,FALSE),
VLOOKUP('Final Term'!AC78,new_transmute,4,FALSE)
),
""
)
)
)
)
)
)
)
)
))</f>
        <v/>
      </c>
      <c r="AD78" s="73" t="str">
        <f>IF($B78="","",
IF(AD$5="","",
IF('Final Term'!AD78="",0,
IF(NOT(ISNUMBER('Final Term'!AD78)),"NAN",
IF('Final Term'!AD78&lt;0,"NEG",
IF('Final Term'!AD78&gt;AD$5,"OVER",
IF(AND(AD$5&lt;=100,'Final Term'!AD78&gt;100),"ERR",
IF(Info!$B$4="Non-board program",
IF(OR(AND(AD$5&gt;0,AD$5&gt;100),AND(AD$5&gt;0,AD$5&lt;100)),
VLOOKUP(FLOOR(('Final Term'!AD78/AD$5)*100,1),new_transmute,2,FALSE),
VLOOKUP('Final Term'!AD78,new_transmute,2,FALSE)
),
IF(Info!$B$4="Board program",
IF(OR(AND(AD$5&gt;0,AD$5&gt;100),AND(AD$5&gt;0,AD$5&lt;100)),
VLOOKUP(FLOOR(('Final Term'!AD78/AD$5)*100,1),new_transmute,3,FALSE),
VLOOKUP('Final Term'!AD78,new_transmute,3,FALSE)
),
IF(Info!$B$4="Board program (Medicine)",
IF(OR(AND(AD$5&gt;0,AD$5&gt;100),AND(AD$5&gt;0,AD$5&lt;100)),
VLOOKUP(FLOOR(('Final Term'!AD78/AD$5)*100,1),new_transmute,4,FALSE),
VLOOKUP('Final Term'!AD78,new_transmute,4,FALSE)
),
""
)
)
)
)
)
)
)
)
))</f>
        <v/>
      </c>
      <c r="AE78" s="58" t="str">
        <f t="shared" si="15"/>
        <v/>
      </c>
      <c r="AF78" s="73" t="str">
        <f>IF($B78="","",
IF(AF$5="","",
IF('Final Term'!AF78="",0,
IF(NOT(ISNUMBER('Final Term'!AF78)),"NAN",
IF('Final Term'!AF78&lt;0,"NEG",
IF('Final Term'!AF78&gt;AF$5,"OVER",
IF(AND(AF$5&lt;=100,'Final Term'!AF78&gt;100),"ERR",
IF(Info!$B$4="Non-board program",
IF(OR(AND(AF$5&gt;0,AF$5&gt;100),AND(AF$5&gt;0,AF$5&lt;100)),
VLOOKUP(FLOOR(('Final Term'!AF78/AF$5)*100,1),new_transmute,2,FALSE),
VLOOKUP('Final Term'!AF78,new_transmute,2,FALSE)
),
IF(Info!$B$4="Board program",
IF(OR(AND(AF$5&gt;0,AF$5&gt;100),AND(AF$5&gt;0,AF$5&lt;100)),
VLOOKUP(FLOOR(('Final Term'!AF78/AF$5)*100,1),new_transmute,3,FALSE),
VLOOKUP('Final Term'!AF78,new_transmute,3,FALSE)
),
IF(Info!$B$4="Board program (Medicine)",
IF(OR(AND(AF$5&gt;0,AF$5&gt;100),AND(AF$5&gt;0,AF$5&lt;100)),
VLOOKUP(FLOOR(('Final Term'!AF78/AF$5)*100,1),new_transmute,4,FALSE),
VLOOKUP('Final Term'!AF78,new_transmute,4,FALSE)
),
""
)
)
)
)
)
)
)
)
))</f>
        <v/>
      </c>
      <c r="AG78" s="73" t="str">
        <f>IF($B78="","",
IF(AG$5="","",
IF('Final Term'!AG78="",0,
IF(NOT(ISNUMBER('Final Term'!AG78)),"NAN",
IF('Final Term'!AG78&lt;0,"NEG",
IF('Final Term'!AG78&gt;AG$5,"OVER",
IF(AND(AG$5&lt;=100,'Final Term'!AG78&gt;100),"ERR",
IF(Info!$B$4="Non-board program",
IF(OR(AND(AG$5&gt;0,AG$5&gt;100),AND(AG$5&gt;0,AG$5&lt;100)),
VLOOKUP(FLOOR(('Final Term'!AG78/AG$5)*100,1),new_transmute,2,FALSE),
VLOOKUP('Final Term'!AG78,new_transmute,2,FALSE)
),
IF(Info!$B$4="Board program",
IF(OR(AND(AG$5&gt;0,AG$5&gt;100),AND(AG$5&gt;0,AG$5&lt;100)),
VLOOKUP(FLOOR(('Final Term'!AG78/AG$5)*100,1),new_transmute,3,FALSE),
VLOOKUP('Final Term'!AG78,new_transmute,3,FALSE)
),
IF(Info!$B$4="Board program (Medicine)",
IF(OR(AND(AG$5&gt;0,AG$5&gt;100),AND(AG$5&gt;0,AG$5&lt;100)),
VLOOKUP(FLOOR(('Final Term'!AG78/AG$5)*100,1),new_transmute,4,FALSE),
VLOOKUP('Final Term'!AG78,new_transmute,4,FALSE)
),
""
)
)
)
)
)
)
)
)
))</f>
        <v/>
      </c>
      <c r="AH78" s="73" t="str">
        <f>IF($B78="","",
IF(AH$5="","",
IF('Final Term'!AH78="",0,
IF(NOT(ISNUMBER('Final Term'!AH78)),"NAN",
IF('Final Term'!AH78&lt;0,"NEG",
IF('Final Term'!AH78&gt;AH$5,"OVER",
IF(AND(AH$5&lt;=100,'Final Term'!AH78&gt;100),"ERR",
IF(Info!$B$4="Non-board program",
IF(OR(AND(AH$5&gt;0,AH$5&gt;100),AND(AH$5&gt;0,AH$5&lt;100)),
VLOOKUP(FLOOR(('Final Term'!AH78/AH$5)*100,1),new_transmute,2,FALSE),
VLOOKUP('Final Term'!AH78,new_transmute,2,FALSE)
),
IF(Info!$B$4="Board program",
IF(OR(AND(AH$5&gt;0,AH$5&gt;100),AND(AH$5&gt;0,AH$5&lt;100)),
VLOOKUP(FLOOR(('Final Term'!AH78/AH$5)*100,1),new_transmute,3,FALSE),
VLOOKUP('Final Term'!AH78,new_transmute,3,FALSE)
),
IF(Info!$B$4="Board program (Medicine)",
IF(OR(AND(AH$5&gt;0,AH$5&gt;100),AND(AH$5&gt;0,AH$5&lt;100)),
VLOOKUP(FLOOR(('Final Term'!AH78/AH$5)*100,1),new_transmute,4,FALSE),
VLOOKUP('Final Term'!AH78,new_transmute,4,FALSE)
),
""
)
)
)
)
)
)
)
)
))</f>
        <v/>
      </c>
      <c r="AI78" s="73" t="str">
        <f>IF($B78="","",
IF(AI$5="","",
IF('Final Term'!AI78="",0,
IF(NOT(ISNUMBER('Final Term'!AI78)),"NAN",
IF('Final Term'!AI78&lt;0,"NEG",
IF('Final Term'!AI78&gt;AI$5,"OVER",
IF(AND(AI$5&lt;=100,'Final Term'!AI78&gt;100),"ERR",
IF(Info!$B$4="Non-board program",
IF(OR(AND(AI$5&gt;0,AI$5&gt;100),AND(AI$5&gt;0,AI$5&lt;100)),
VLOOKUP(FLOOR(('Final Term'!AI78/AI$5)*100,1),new_transmute,2,FALSE),
VLOOKUP('Final Term'!AI78,new_transmute,2,FALSE)
),
IF(Info!$B$4="Board program",
IF(OR(AND(AI$5&gt;0,AI$5&gt;100),AND(AI$5&gt;0,AI$5&lt;100)),
VLOOKUP(FLOOR(('Final Term'!AI78/AI$5)*100,1),new_transmute,3,FALSE),
VLOOKUP('Final Term'!AI78,new_transmute,3,FALSE)
),
IF(Info!$B$4="Board program (Medicine)",
IF(OR(AND(AI$5&gt;0,AI$5&gt;100),AND(AI$5&gt;0,AI$5&lt;100)),
VLOOKUP(FLOOR(('Final Term'!AI78/AI$5)*100,1),new_transmute,4,FALSE),
VLOOKUP('Final Term'!AI78,new_transmute,4,FALSE)
),
""
)
)
)
)
)
)
)
)
))</f>
        <v/>
      </c>
      <c r="AJ78" s="73" t="str">
        <f>IF($B78="","",
IF(AJ$5="","",
IF('Final Term'!AJ78="",0,
IF(NOT(ISNUMBER('Final Term'!AJ78)),"NAN",
IF('Final Term'!AJ78&lt;0,"NEG",
IF('Final Term'!AJ78&gt;AJ$5,"OVER",
IF(AND(AJ$5&lt;=100,'Final Term'!AJ78&gt;100),"ERR",
IF(Info!$B$4="Non-board program",
IF(OR(AND(AJ$5&gt;0,AJ$5&gt;100),AND(AJ$5&gt;0,AJ$5&lt;100)),
VLOOKUP(FLOOR(('Final Term'!AJ78/AJ$5)*100,1),new_transmute,2,FALSE),
VLOOKUP('Final Term'!AJ78,new_transmute,2,FALSE)
),
IF(Info!$B$4="Board program",
IF(OR(AND(AJ$5&gt;0,AJ$5&gt;100),AND(AJ$5&gt;0,AJ$5&lt;100)),
VLOOKUP(FLOOR(('Final Term'!AJ78/AJ$5)*100,1),new_transmute,3,FALSE),
VLOOKUP('Final Term'!AJ78,new_transmute,3,FALSE)
),
IF(Info!$B$4="Board program (Medicine)",
IF(OR(AND(AJ$5&gt;0,AJ$5&gt;100),AND(AJ$5&gt;0,AJ$5&lt;100)),
VLOOKUP(FLOOR(('Final Term'!AJ78/AJ$5)*100,1),new_transmute,4,FALSE),
VLOOKUP('Final Term'!AJ78,new_transmute,4,FALSE)
),
""
)
)
)
)
)
)
)
)
))</f>
        <v/>
      </c>
      <c r="AK78" s="59" t="str">
        <f t="shared" si="16"/>
        <v/>
      </c>
      <c r="AL78" s="60" t="str">
        <f>IF(B78="", "",
    IF(OR(M78="OVER", S78="OVER", Y78="OVER", AE78="OVER", AK78="OVER"),
        "OVER",
        IF(Info!$B$4="Non-board program",
            VLOOKUP(IFERROR(FLOOR(SUM((M78*$M$4), (S78*$S$4), (Y78*$Y$4), (AE78*$AE$4), (AK78*$AK$4)) * (100 / 60), 1), 0), new_transmute, 2, FALSE),
            IF(Info!$B$4="Board program",
                VLOOKUP(IFERROR(FLOOR(SUM((M78*$M$4), (S78*$S$4), (Y78*$Y$4), (AE78*$AE$4), (AK78*$AK$4)) * (100 / 60), 1), 0), new_transmute, 3, FALSE),
                IF(Info!$B$4="Board program (Medicine)",
                    VLOOKUP(IFERROR(FLOOR(SUM((M78*$M$4), (S78*$S$4), (Y78*$Y$4), (AE78*$AE$4), (AK78*$AK$4)) * (100 / 60), 1), 0), new_transmute, 4, FALSE),
                    ""
                )
            )
        )
    )
)</f>
        <v/>
      </c>
      <c r="AM78" s="73" t="str">
        <f>IF($B78="","",
IF(AM$5="","",
IF('Final Term'!AM78="",0,
IF(NOT(ISNUMBER('Final Term'!AM78)),"NAN",
IF('Final Term'!AM78&lt;0,"NEG",
IF('Final Term'!AM78&gt;AM$5,"OVER",
IF(AND(AM$5&lt;=100,'Final Term'!AM78&gt;100),"ERR",
IF(Info!$B$4="Non-board program",
IF(OR(AND(AM$5&gt;0,AM$5&gt;100),AND(AM$5&gt;0,AM$5&lt;100)),
VLOOKUP(FLOOR(('Final Term'!AM78/AM$5)*100,1),new_transmute,2,FALSE),
VLOOKUP('Final Term'!AM78,new_transmute,2,FALSE)
),
IF(Info!$B$4="Board program",
IF(OR(AND(AM$5&gt;0,AM$5&gt;100),AND(AM$5&gt;0,AM$5&lt;100)),
VLOOKUP(FLOOR(('Final Term'!AM78/AM$5)*100,1),new_transmute,3,FALSE),
VLOOKUP('Final Term'!AM78,new_transmute,3,FALSE)
),
IF(Info!$B$4="Board program (Medicine)",
IF(OR(AND(AM$5&gt;0,AM$5&gt;100),AND(AM$5&gt;0,AM$5&lt;100)),
VLOOKUP(FLOOR(('Final Term'!AM78/AM$5)*100,1),new_transmute,4,FALSE),
VLOOKUP('Final Term'!AM78,new_transmute,4,FALSE)
),
""
)
)
)
)
)
)
)
)
))</f>
        <v/>
      </c>
      <c r="AN78" s="73" t="str">
        <f>IF($B78="","",
IF(AN$5="","",
IF('Final Term'!AN78="",0,
IF(NOT(ISNUMBER('Final Term'!AN78)),"NAN",
IF('Final Term'!AN78&lt;0,"NEG",
IF('Final Term'!AN78&gt;AN$5,"OVER",
IF(AND(AN$5&lt;=100,'Final Term'!AN78&gt;100),"ERR",
IF(Info!$B$4="Non-board program",
IF(OR(AND(AN$5&gt;0,AN$5&gt;100),AND(AN$5&gt;0,AN$5&lt;100)),
VLOOKUP(FLOOR(('Final Term'!AN78/AN$5)*100,1),new_transmute,2,FALSE),
VLOOKUP('Final Term'!AN78,new_transmute,2,FALSE)
),
IF(Info!$B$4="Board program",
IF(OR(AND(AN$5&gt;0,AN$5&gt;100),AND(AN$5&gt;0,AN$5&lt;100)),
VLOOKUP(FLOOR(('Final Term'!AN78/AN$5)*100,1),new_transmute,3,FALSE),
VLOOKUP('Final Term'!AN78,new_transmute,3,FALSE)
),
IF(Info!$B$4="Board program (Medicine)",
IF(OR(AND(AN$5&gt;0,AN$5&gt;100),AND(AN$5&gt;0,AN$5&lt;100)),
VLOOKUP(FLOOR(('Final Term'!AN78/AN$5)*100,1),new_transmute,4,FALSE),
VLOOKUP('Final Term'!AN78,new_transmute,4,FALSE)
),
""
)
)
)
)
)
)
)
)
))</f>
        <v/>
      </c>
      <c r="AO78" s="73" t="str">
        <f>IF($B78="","",
IF(AO$5="","",
IF('Final Term'!AO78="",0,
IF(NOT(ISNUMBER('Final Term'!AO78)),"NAN",
IF('Final Term'!AO78&lt;0,"NEG",
IF('Final Term'!AO78&gt;AO$5,"OVER",
IF(AND(AO$5&lt;=100,'Final Term'!AO78&gt;100),"ERR",
IF(Info!$B$4="Non-board program",
IF(OR(AND(AO$5&gt;0,AO$5&gt;100),AND(AO$5&gt;0,AO$5&lt;100)),
VLOOKUP(FLOOR(('Final Term'!AO78/AO$5)*100,1),new_transmute,2,FALSE),
VLOOKUP('Final Term'!AO78,new_transmute,2,FALSE)
),
IF(Info!$B$4="Board program",
IF(OR(AND(AO$5&gt;0,AO$5&gt;100),AND(AO$5&gt;0,AO$5&lt;100)),
VLOOKUP(FLOOR(('Final Term'!AO78/AO$5)*100,1),new_transmute,3,FALSE),
VLOOKUP('Final Term'!AO78,new_transmute,3,FALSE)
),
IF(Info!$B$4="Board program (Medicine)",
IF(OR(AND(AO$5&gt;0,AO$5&gt;100),AND(AO$5&gt;0,AO$5&lt;100)),
VLOOKUP(FLOOR(('Final Term'!AO78/AO$5)*100,1),new_transmute,4,FALSE),
VLOOKUP('Final Term'!AO78,new_transmute,4,FALSE)
),
""
)
)
)
)
)
)
)
)
))</f>
        <v/>
      </c>
      <c r="AP78" s="73" t="str">
        <f>IF($B78="","",
IF(AP$5="","",
IF('Final Term'!AP78="",0,
IF(NOT(ISNUMBER('Final Term'!AP78)),"NAN",
IF('Final Term'!AP78&lt;0,"NEG",
IF('Final Term'!AP78&gt;AP$5,"OVER",
IF(AND(AP$5&lt;=100,'Final Term'!AP78&gt;100),"ERR",
IF(Info!$B$4="Non-board program",
IF(OR(AND(AP$5&gt;0,AP$5&gt;100),AND(AP$5&gt;0,AP$5&lt;100)),
VLOOKUP(FLOOR(('Final Term'!AP78/AP$5)*100,1),new_transmute,2,FALSE),
VLOOKUP('Final Term'!AP78,new_transmute,2,FALSE)
),
IF(Info!$B$4="Board program",
IF(OR(AND(AP$5&gt;0,AP$5&gt;100),AND(AP$5&gt;0,AP$5&lt;100)),
VLOOKUP(FLOOR(('Final Term'!AP78/AP$5)*100,1),new_transmute,3,FALSE),
VLOOKUP('Final Term'!AP78,new_transmute,3,FALSE)
),
IF(Info!$B$4="Board program (Medicine)",
IF(OR(AND(AP$5&gt;0,AP$5&gt;100),AND(AP$5&gt;0,AP$5&lt;100)),
VLOOKUP(FLOOR(('Final Term'!AP78/AP$5)*100,1),new_transmute,4,FALSE),
VLOOKUP('Final Term'!AP78,new_transmute,4,FALSE)
),
""
)
)
)
)
)
)
)
)
))</f>
        <v/>
      </c>
      <c r="AQ78" s="61" t="str">
        <f t="shared" si="17"/>
        <v/>
      </c>
      <c r="AR78" s="48" t="str">
        <f>IF('Final Term'!AR78="","",'Final Term'!AR78)</f>
        <v/>
      </c>
      <c r="AS78" s="165" t="str">
        <f t="shared" si="18"/>
        <v/>
      </c>
      <c r="AT78" s="14" t="str">
        <f t="shared" si="19"/>
        <v/>
      </c>
      <c r="AU78" s="13" t="str">
        <f>IF(B78="","",VLOOKUP(AT78,'New Grade Equivalent'!$B$3:$C$47,2,FALSE))</f>
        <v/>
      </c>
    </row>
    <row r="79" spans="1:47" x14ac:dyDescent="0.25">
      <c r="A79" s="8">
        <v>74</v>
      </c>
      <c r="B79" s="2" t="str">
        <f>IF('Student List'!C83="","",UPPER(LEFT('Student List'!C83,FIND(",",'Student List'!C83)-1)))</f>
        <v/>
      </c>
      <c r="C79" s="12" t="str">
        <f>IF('Student List'!C83="","",PROPER(MID('Student List'!C83, FIND(",", 'Student List'!C83) + 2, LEN('Student List'!C83) - FIND(",", 'Student List'!C83) - 1)))</f>
        <v/>
      </c>
      <c r="D79" s="127" t="str">
        <f>IF('Final Term'!D79="","",'Final Term'!D79)</f>
        <v/>
      </c>
      <c r="E79" s="8" t="str">
        <f>IF(MidCom!E79="FA", "FA",
    IF(MidCom!E79="DRP", "DRP",
        IF(MidCom!E79="WF", "WF",
            IF(D79="Yes", "INC",
               IF((SUM('MT Attendance'!AW77) / 3 + SUM('MT Attendance'!AY77) + SUM('FT Attendance'!AW77) / 3 + SUM('FT Attendance'!AY77)) &gt;= 0.2 * (SUMPRODUCT(--(ISTEXT('MT Attendance'!$C$2:$AU$2))) + SUMPRODUCT(--(ISTEXT('FT Attendance'!$C$2:$AU$2)))), "FA",
                   MidCom!E79
                )
            )
        )
    )
)</f>
        <v/>
      </c>
      <c r="F79" s="73" t="str">
        <f>IF($B79="","",
IF(F$5="","",
IF('Final Term'!F79="",0,
IF(NOT(ISNUMBER('Final Term'!F79)),"NAN",
IF('Final Term'!F79&lt;0,"NEG",
IF('Final Term'!F79&gt;F$5,"OVER",
IF(AND(F$5&lt;=100,'Final Term'!F79&gt;100),"ERR",
IF(Info!$B$4="Non-board program",
IF(OR(AND(F$5&gt;0,F$5&gt;100),AND(F$5&gt;0,F$5&lt;100)),
VLOOKUP(FLOOR(('Final Term'!F79/F$5)*100,1),new_transmute,2,FALSE),
VLOOKUP('Final Term'!F79,new_transmute,2,FALSE)
),
IF(Info!$B$4="Board program",
IF(OR(AND(F$5&gt;0,F$5&gt;100),AND(F$5&gt;0,F$5&lt;100)),
VLOOKUP(FLOOR(('Final Term'!F79/F$5)*100,1),new_transmute,3,FALSE),
VLOOKUP('Final Term'!F79,new_transmute,3,FALSE)
),
IF(Info!$B$4="Board program (Medicine)",
IF(OR(AND(F$5&gt;0,F$5&gt;100),AND(F$5&gt;0,F$5&lt;100)),
VLOOKUP(FLOOR(('Final Term'!F79/F$5)*100,1),new_transmute,4,FALSE),
VLOOKUP('Final Term'!F79,new_transmute,4,FALSE)
),
""
)
)
)
)
)
)
)
)
))</f>
        <v/>
      </c>
      <c r="G79" s="57" t="str">
        <f t="shared" si="11"/>
        <v/>
      </c>
      <c r="H79" s="73" t="str">
        <f>IF($B79="","",
IF(H$5="","",
IF('Final Term'!H79="",0,
IF(NOT(ISNUMBER('Final Term'!H79)),"NAN",
IF('Final Term'!H79&lt;0,"NEG",
IF('Final Term'!H79&gt;H$5,"OVER",
IF(AND(H$5&lt;=100,'Final Term'!H79&gt;100),"ERR",
IF(Info!$B$4="Non-board program",
IF(OR(AND(H$5&gt;0,H$5&gt;100),AND(H$5&gt;0,H$5&lt;100)),
VLOOKUP(FLOOR(('Final Term'!H79/H$5)*100,1),new_transmute,2,FALSE),
VLOOKUP('Final Term'!H79,new_transmute,2,FALSE)
),
IF(Info!$B$4="Board program",
IF(OR(AND(H$5&gt;0,H$5&gt;100),AND(H$5&gt;0,H$5&lt;100)),
VLOOKUP(FLOOR(('Final Term'!H79/H$5)*100,1),new_transmute,3,FALSE),
VLOOKUP('Final Term'!H79,new_transmute,3,FALSE)
),
IF(Info!$B$4="Board program (Medicine)",
IF(OR(AND(H$5&gt;0,H$5&gt;100),AND(H$5&gt;0,H$5&lt;100)),
VLOOKUP(FLOOR(('Final Term'!H79/H$5)*100,1),new_transmute,4,FALSE),
VLOOKUP('Final Term'!H79,new_transmute,4,FALSE)
),
""
)
)
)
)
)
)
)
)
))</f>
        <v/>
      </c>
      <c r="I79" s="73" t="str">
        <f>IF($B79="","",
IF(I$5="","",
IF('Final Term'!I79="",0,
IF(NOT(ISNUMBER('Final Term'!I79)),"NAN",
IF('Final Term'!I79&lt;0,"NEG",
IF('Final Term'!I79&gt;I$5,"OVER",
IF(AND(I$5&lt;=100,'Final Term'!I79&gt;100),"ERR",
IF(Info!$B$4="Non-board program",
IF(OR(AND(I$5&gt;0,I$5&gt;100),AND(I$5&gt;0,I$5&lt;100)),
VLOOKUP(FLOOR(('Final Term'!I79/I$5)*100,1),new_transmute,2,FALSE),
VLOOKUP('Final Term'!I79,new_transmute,2,FALSE)
),
IF(Info!$B$4="Board program",
IF(OR(AND(I$5&gt;0,I$5&gt;100),AND(I$5&gt;0,I$5&lt;100)),
VLOOKUP(FLOOR(('Final Term'!I79/I$5)*100,1),new_transmute,3,FALSE),
VLOOKUP('Final Term'!I79,new_transmute,3,FALSE)
),
IF(Info!$B$4="Board program (Medicine)",
IF(OR(AND(I$5&gt;0,I$5&gt;100),AND(I$5&gt;0,I$5&lt;100)),
VLOOKUP(FLOOR(('Final Term'!I79/I$5)*100,1),new_transmute,4,FALSE),
VLOOKUP('Final Term'!I79,new_transmute,4,FALSE)
),
""
)
)
)
)
)
)
)
)
))</f>
        <v/>
      </c>
      <c r="J79" s="73" t="str">
        <f>IF($B79="","",
IF(J$5="","",
IF('Final Term'!J79="",0,
IF(NOT(ISNUMBER('Final Term'!J79)),"NAN",
IF('Final Term'!J79&lt;0,"NEG",
IF('Final Term'!J79&gt;J$5,"OVER",
IF(AND(J$5&lt;=100,'Final Term'!J79&gt;100),"ERR",
IF(Info!$B$4="Non-board program",
IF(OR(AND(J$5&gt;0,J$5&gt;100),AND(J$5&gt;0,J$5&lt;100)),
VLOOKUP(FLOOR(('Final Term'!J79/J$5)*100,1),new_transmute,2,FALSE),
VLOOKUP('Final Term'!J79,new_transmute,2,FALSE)
),
IF(Info!$B$4="Board program",
IF(OR(AND(J$5&gt;0,J$5&gt;100),AND(J$5&gt;0,J$5&lt;100)),
VLOOKUP(FLOOR(('Final Term'!J79/J$5)*100,1),new_transmute,3,FALSE),
VLOOKUP('Final Term'!J79,new_transmute,3,FALSE)
),
IF(Info!$B$4="Board program (Medicine)",
IF(OR(AND(J$5&gt;0,J$5&gt;100),AND(J$5&gt;0,J$5&lt;100)),
VLOOKUP(FLOOR(('Final Term'!J79/J$5)*100,1),new_transmute,4,FALSE),
VLOOKUP('Final Term'!J79,new_transmute,4,FALSE)
),
""
)
)
)
)
)
)
)
)
))</f>
        <v/>
      </c>
      <c r="K79" s="73" t="str">
        <f>IF($B79="","",
IF(K$5="","",
IF('Final Term'!K79="",0,
IF(NOT(ISNUMBER('Final Term'!K79)),"NAN",
IF('Final Term'!K79&lt;0,"NEG",
IF('Final Term'!K79&gt;K$5,"OVER",
IF(AND(K$5&lt;=100,'Final Term'!K79&gt;100),"ERR",
IF(Info!$B$4="Non-board program",
IF(OR(AND(K$5&gt;0,K$5&gt;100),AND(K$5&gt;0,K$5&lt;100)),
VLOOKUP(FLOOR(('Final Term'!K79/K$5)*100,1),new_transmute,2,FALSE),
VLOOKUP('Final Term'!K79,new_transmute,2,FALSE)
),
IF(Info!$B$4="Board program",
IF(OR(AND(K$5&gt;0,K$5&gt;100),AND(K$5&gt;0,K$5&lt;100)),
VLOOKUP(FLOOR(('Final Term'!K79/K$5)*100,1),new_transmute,3,FALSE),
VLOOKUP('Final Term'!K79,new_transmute,3,FALSE)
),
IF(Info!$B$4="Board program (Medicine)",
IF(OR(AND(K$5&gt;0,K$5&gt;100),AND(K$5&gt;0,K$5&lt;100)),
VLOOKUP(FLOOR(('Final Term'!K79/K$5)*100,1),new_transmute,4,FALSE),
VLOOKUP('Final Term'!K79,new_transmute,4,FALSE)
),
""
)
)
)
)
)
)
)
)
))</f>
        <v/>
      </c>
      <c r="L79" s="73" t="str">
        <f>IF($B79="","",
IF(L$5="","",
IF('Final Term'!L79="",0,
IF(NOT(ISNUMBER('Final Term'!L79)),"NAN",
IF('Final Term'!L79&lt;0,"NEG",
IF('Final Term'!L79&gt;L$5,"OVER",
IF(AND(L$5&lt;=100,'Final Term'!L79&gt;100),"ERR",
IF(Info!$B$4="Non-board program",
IF(OR(AND(L$5&gt;0,L$5&gt;100),AND(L$5&gt;0,L$5&lt;100)),
VLOOKUP(FLOOR(('Final Term'!L79/L$5)*100,1),new_transmute,2,FALSE),
VLOOKUP('Final Term'!L79,new_transmute,2,FALSE)
),
IF(Info!$B$4="Board program",
IF(OR(AND(L$5&gt;0,L$5&gt;100),AND(L$5&gt;0,L$5&lt;100)),
VLOOKUP(FLOOR(('Final Term'!L79/L$5)*100,1),new_transmute,3,FALSE),
VLOOKUP('Final Term'!L79,new_transmute,3,FALSE)
),
IF(Info!$B$4="Board program (Medicine)",
IF(OR(AND(L$5&gt;0,L$5&gt;100),AND(L$5&gt;0,L$5&lt;100)),
VLOOKUP(FLOOR(('Final Term'!L79/L$5)*100,1),new_transmute,4,FALSE),
VLOOKUP('Final Term'!L79,new_transmute,4,FALSE)
),
""
)
)
)
)
)
)
)
)
))</f>
        <v/>
      </c>
      <c r="M79" s="111" t="str">
        <f t="shared" si="12"/>
        <v/>
      </c>
      <c r="N79" s="73" t="str">
        <f>IF($B79="","",
IF(N$5="","",
IF('Final Term'!N79="",0,
IF(NOT(ISNUMBER('Final Term'!N79)),"NAN",
IF('Final Term'!N79&lt;0,"NEG",
IF('Final Term'!N79&gt;N$5,"OVER",
IF(AND(N$5&lt;=100,'Final Term'!N79&gt;100),"ERR",
IF(Info!$B$4="Non-board program",
IF(OR(AND(N$5&gt;0,N$5&gt;100),AND(N$5&gt;0,N$5&lt;100)),
VLOOKUP(FLOOR(('Final Term'!N79/N$5)*100,1),new_transmute,2,FALSE),
VLOOKUP('Final Term'!N79,new_transmute,2,FALSE)
),
IF(Info!$B$4="Board program",
IF(OR(AND(N$5&gt;0,N$5&gt;100),AND(N$5&gt;0,N$5&lt;100)),
VLOOKUP(FLOOR(('Final Term'!N79/N$5)*100,1),new_transmute,3,FALSE),
VLOOKUP('Final Term'!N79,new_transmute,3,FALSE)
),
IF(Info!$B$4="Board program (Medicine)",
IF(OR(AND(N$5&gt;0,N$5&gt;100),AND(N$5&gt;0,N$5&lt;100)),
VLOOKUP(FLOOR(('Final Term'!N79/N$5)*100,1),new_transmute,4,FALSE),
VLOOKUP('Final Term'!N79,new_transmute,4,FALSE)
),
""
)
)
)
)
)
)
)
)
))</f>
        <v/>
      </c>
      <c r="O79" s="73" t="str">
        <f>IF($B79="","",
IF(O$5="","",
IF('Final Term'!O79="",0,
IF(NOT(ISNUMBER('Final Term'!O79)),"NAN",
IF('Final Term'!O79&lt;0,"NEG",
IF('Final Term'!O79&gt;O$5,"OVER",
IF(AND(O$5&lt;=100,'Final Term'!O79&gt;100),"ERR",
IF(Info!$B$4="Non-board program",
IF(OR(AND(O$5&gt;0,O$5&gt;100),AND(O$5&gt;0,O$5&lt;100)),
VLOOKUP(FLOOR(('Final Term'!O79/O$5)*100,1),new_transmute,2,FALSE),
VLOOKUP('Final Term'!O79,new_transmute,2,FALSE)
),
IF(Info!$B$4="Board program",
IF(OR(AND(O$5&gt;0,O$5&gt;100),AND(O$5&gt;0,O$5&lt;100)),
VLOOKUP(FLOOR(('Final Term'!O79/O$5)*100,1),new_transmute,3,FALSE),
VLOOKUP('Final Term'!O79,new_transmute,3,FALSE)
),
IF(Info!$B$4="Board program (Medicine)",
IF(OR(AND(O$5&gt;0,O$5&gt;100),AND(O$5&gt;0,O$5&lt;100)),
VLOOKUP(FLOOR(('Final Term'!O79/O$5)*100,1),new_transmute,4,FALSE),
VLOOKUP('Final Term'!O79,new_transmute,4,FALSE)
),
""
)
)
)
)
)
)
)
)
))</f>
        <v/>
      </c>
      <c r="P79" s="73" t="str">
        <f>IF($B79="","",
IF(P$5="","",
IF('Final Term'!P79="",0,
IF(NOT(ISNUMBER('Final Term'!P79)),"NAN",
IF('Final Term'!P79&lt;0,"NEG",
IF('Final Term'!P79&gt;P$5,"OVER",
IF(AND(P$5&lt;=100,'Final Term'!P79&gt;100),"ERR",
IF(Info!$B$4="Non-board program",
IF(OR(AND(P$5&gt;0,P$5&gt;100),AND(P$5&gt;0,P$5&lt;100)),
VLOOKUP(FLOOR(('Final Term'!P79/P$5)*100,1),new_transmute,2,FALSE),
VLOOKUP('Final Term'!P79,new_transmute,2,FALSE)
),
IF(Info!$B$4="Board program",
IF(OR(AND(P$5&gt;0,P$5&gt;100),AND(P$5&gt;0,P$5&lt;100)),
VLOOKUP(FLOOR(('Final Term'!P79/P$5)*100,1),new_transmute,3,FALSE),
VLOOKUP('Final Term'!P79,new_transmute,3,FALSE)
),
IF(Info!$B$4="Board program (Medicine)",
IF(OR(AND(P$5&gt;0,P$5&gt;100),AND(P$5&gt;0,P$5&lt;100)),
VLOOKUP(FLOOR(('Final Term'!P79/P$5)*100,1),new_transmute,4,FALSE),
VLOOKUP('Final Term'!P79,new_transmute,4,FALSE)
),
""
)
)
)
)
)
)
)
)
))</f>
        <v/>
      </c>
      <c r="Q79" s="73" t="str">
        <f>IF($B79="","",
IF(Q$5="","",
IF('Final Term'!Q79="",0,
IF(NOT(ISNUMBER('Final Term'!Q79)),"NAN",
IF('Final Term'!Q79&lt;0,"NEG",
IF('Final Term'!Q79&gt;Q$5,"OVER",
IF(AND(Q$5&lt;=100,'Final Term'!Q79&gt;100),"ERR",
IF(Info!$B$4="Non-board program",
IF(OR(AND(Q$5&gt;0,Q$5&gt;100),AND(Q$5&gt;0,Q$5&lt;100)),
VLOOKUP(FLOOR(('Final Term'!Q79/Q$5)*100,1),new_transmute,2,FALSE),
VLOOKUP('Final Term'!Q79,new_transmute,2,FALSE)
),
IF(Info!$B$4="Board program",
IF(OR(AND(Q$5&gt;0,Q$5&gt;100),AND(Q$5&gt;0,Q$5&lt;100)),
VLOOKUP(FLOOR(('Final Term'!Q79/Q$5)*100,1),new_transmute,3,FALSE),
VLOOKUP('Final Term'!Q79,new_transmute,3,FALSE)
),
IF(Info!$B$4="Board program (Medicine)",
IF(OR(AND(Q$5&gt;0,Q$5&gt;100),AND(Q$5&gt;0,Q$5&lt;100)),
VLOOKUP(FLOOR(('Final Term'!Q79/Q$5)*100,1),new_transmute,4,FALSE),
VLOOKUP('Final Term'!Q79,new_transmute,4,FALSE)
),
""
)
)
)
)
)
)
)
)
))</f>
        <v/>
      </c>
      <c r="R79" s="73" t="str">
        <f>IF($B79="","",
IF(R$5="","",
IF('Final Term'!R79="",0,
IF(NOT(ISNUMBER('Final Term'!R79)),"NAN",
IF('Final Term'!R79&lt;0,"NEG",
IF('Final Term'!R79&gt;R$5,"OVER",
IF(AND(R$5&lt;=100,'Final Term'!R79&gt;100),"ERR",
IF(Info!$B$4="Non-board program",
IF(OR(AND(R$5&gt;0,R$5&gt;100),AND(R$5&gt;0,R$5&lt;100)),
VLOOKUP(FLOOR(('Final Term'!R79/R$5)*100,1),new_transmute,2,FALSE),
VLOOKUP('Final Term'!R79,new_transmute,2,FALSE)
),
IF(Info!$B$4="Board program",
IF(OR(AND(R$5&gt;0,R$5&gt;100),AND(R$5&gt;0,R$5&lt;100)),
VLOOKUP(FLOOR(('Final Term'!R79/R$5)*100,1),new_transmute,3,FALSE),
VLOOKUP('Final Term'!R79,new_transmute,3,FALSE)
),
IF(Info!$B$4="Board program (Medicine)",
IF(OR(AND(R$5&gt;0,R$5&gt;100),AND(R$5&gt;0,R$5&lt;100)),
VLOOKUP(FLOOR(('Final Term'!R79/R$5)*100,1),new_transmute,4,FALSE),
VLOOKUP('Final Term'!R79,new_transmute,4,FALSE)
),
""
)
)
)
)
)
)
)
)
))</f>
        <v/>
      </c>
      <c r="S79" s="115" t="str">
        <f t="shared" si="13"/>
        <v/>
      </c>
      <c r="T79" s="73" t="str">
        <f>IF($B79="","",
IF(T$5="","",
IF('Final Term'!T79="",0,
IF(NOT(ISNUMBER('Final Term'!T79)),"NAN",
IF('Final Term'!T79&lt;0,"NEG",
IF('Final Term'!T79&gt;T$5,"OVER",
IF(AND(T$5&lt;=100,'Final Term'!T79&gt;100),"ERR",
IF(Info!$B$4="Non-board program",
IF(OR(AND(T$5&gt;0,T$5&gt;100),AND(T$5&gt;0,T$5&lt;100)),
VLOOKUP(FLOOR(('Final Term'!T79/T$5)*100,1),new_transmute,2,FALSE),
VLOOKUP('Final Term'!T79,new_transmute,2,FALSE)
),
IF(Info!$B$4="Board program",
IF(OR(AND(T$5&gt;0,T$5&gt;100),AND(T$5&gt;0,T$5&lt;100)),
VLOOKUP(FLOOR(('Final Term'!T79/T$5)*100,1),new_transmute,3,FALSE),
VLOOKUP('Final Term'!T79,new_transmute,3,FALSE)
),
IF(Info!$B$4="Board program (Medicine)",
IF(OR(AND(T$5&gt;0,T$5&gt;100),AND(T$5&gt;0,T$5&lt;100)),
VLOOKUP(FLOOR(('Final Term'!T79/T$5)*100,1),new_transmute,4,FALSE),
VLOOKUP('Final Term'!T79,new_transmute,4,FALSE)
),
""
)
)
)
)
)
)
)
)
))</f>
        <v/>
      </c>
      <c r="U79" s="73" t="str">
        <f>IF($B79="","",
IF(U$5="","",
IF('Final Term'!U79="",0,
IF(NOT(ISNUMBER('Final Term'!U79)),"NAN",
IF('Final Term'!U79&lt;0,"NEG",
IF('Final Term'!U79&gt;U$5,"OVER",
IF(AND(U$5&lt;=100,'Final Term'!U79&gt;100),"ERR",
IF(Info!$B$4="Non-board program",
IF(OR(AND(U$5&gt;0,U$5&gt;100),AND(U$5&gt;0,U$5&lt;100)),
VLOOKUP(FLOOR(('Final Term'!U79/U$5)*100,1),new_transmute,2,FALSE),
VLOOKUP('Final Term'!U79,new_transmute,2,FALSE)
),
IF(Info!$B$4="Board program",
IF(OR(AND(U$5&gt;0,U$5&gt;100),AND(U$5&gt;0,U$5&lt;100)),
VLOOKUP(FLOOR(('Final Term'!U79/U$5)*100,1),new_transmute,3,FALSE),
VLOOKUP('Final Term'!U79,new_transmute,3,FALSE)
),
IF(Info!$B$4="Board program (Medicine)",
IF(OR(AND(U$5&gt;0,U$5&gt;100),AND(U$5&gt;0,U$5&lt;100)),
VLOOKUP(FLOOR(('Final Term'!U79/U$5)*100,1),new_transmute,4,FALSE),
VLOOKUP('Final Term'!U79,new_transmute,4,FALSE)
),
""
)
)
)
)
)
)
)
)
))</f>
        <v/>
      </c>
      <c r="V79" s="73" t="str">
        <f>IF($B79="","",
IF(V$5="","",
IF('Final Term'!V79="",0,
IF(NOT(ISNUMBER('Final Term'!V79)),"NAN",
IF('Final Term'!V79&lt;0,"NEG",
IF('Final Term'!V79&gt;V$5,"OVER",
IF(AND(V$5&lt;=100,'Final Term'!V79&gt;100),"ERR",
IF(Info!$B$4="Non-board program",
IF(OR(AND(V$5&gt;0,V$5&gt;100),AND(V$5&gt;0,V$5&lt;100)),
VLOOKUP(FLOOR(('Final Term'!V79/V$5)*100,1),new_transmute,2,FALSE),
VLOOKUP('Final Term'!V79,new_transmute,2,FALSE)
),
IF(Info!$B$4="Board program",
IF(OR(AND(V$5&gt;0,V$5&gt;100),AND(V$5&gt;0,V$5&lt;100)),
VLOOKUP(FLOOR(('Final Term'!V79/V$5)*100,1),new_transmute,3,FALSE),
VLOOKUP('Final Term'!V79,new_transmute,3,FALSE)
),
IF(Info!$B$4="Board program (Medicine)",
IF(OR(AND(V$5&gt;0,V$5&gt;100),AND(V$5&gt;0,V$5&lt;100)),
VLOOKUP(FLOOR(('Final Term'!V79/V$5)*100,1),new_transmute,4,FALSE),
VLOOKUP('Final Term'!V79,new_transmute,4,FALSE)
),
""
)
)
)
)
)
)
)
)
))</f>
        <v/>
      </c>
      <c r="W79" s="73" t="str">
        <f>IF($B79="","",
IF(W$5="","",
IF('Final Term'!W79="",0,
IF(NOT(ISNUMBER('Final Term'!W79)),"NAN",
IF('Final Term'!W79&lt;0,"NEG",
IF('Final Term'!W79&gt;W$5,"OVER",
IF(AND(W$5&lt;=100,'Final Term'!W79&gt;100),"ERR",
IF(Info!$B$4="Non-board program",
IF(OR(AND(W$5&gt;0,W$5&gt;100),AND(W$5&gt;0,W$5&lt;100)),
VLOOKUP(FLOOR(('Final Term'!W79/W$5)*100,1),new_transmute,2,FALSE),
VLOOKUP('Final Term'!W79,new_transmute,2,FALSE)
),
IF(Info!$B$4="Board program",
IF(OR(AND(W$5&gt;0,W$5&gt;100),AND(W$5&gt;0,W$5&lt;100)),
VLOOKUP(FLOOR(('Final Term'!W79/W$5)*100,1),new_transmute,3,FALSE),
VLOOKUP('Final Term'!W79,new_transmute,3,FALSE)
),
IF(Info!$B$4="Board program (Medicine)",
IF(OR(AND(W$5&gt;0,W$5&gt;100),AND(W$5&gt;0,W$5&lt;100)),
VLOOKUP(FLOOR(('Final Term'!W79/W$5)*100,1),new_transmute,4,FALSE),
VLOOKUP('Final Term'!W79,new_transmute,4,FALSE)
),
""
)
)
)
)
)
)
)
)
))</f>
        <v/>
      </c>
      <c r="X79" s="73" t="str">
        <f>IF($B79="","",
IF(X$5="","",
IF('Final Term'!X79="",0,
IF(NOT(ISNUMBER('Final Term'!X79)),"NAN",
IF('Final Term'!X79&lt;0,"NEG",
IF('Final Term'!X79&gt;X$5,"OVER",
IF(AND(X$5&lt;=100,'Final Term'!X79&gt;100),"ERR",
IF(Info!$B$4="Non-board program",
IF(OR(AND(X$5&gt;0,X$5&gt;100),AND(X$5&gt;0,X$5&lt;100)),
VLOOKUP(FLOOR(('Final Term'!X79/X$5)*100,1),new_transmute,2,FALSE),
VLOOKUP('Final Term'!X79,new_transmute,2,FALSE)
),
IF(Info!$B$4="Board program",
IF(OR(AND(X$5&gt;0,X$5&gt;100),AND(X$5&gt;0,X$5&lt;100)),
VLOOKUP(FLOOR(('Final Term'!X79/X$5)*100,1),new_transmute,3,FALSE),
VLOOKUP('Final Term'!X79,new_transmute,3,FALSE)
),
IF(Info!$B$4="Board program (Medicine)",
IF(OR(AND(X$5&gt;0,X$5&gt;100),AND(X$5&gt;0,X$5&lt;100)),
VLOOKUP(FLOOR(('Final Term'!X79/X$5)*100,1),new_transmute,4,FALSE),
VLOOKUP('Final Term'!X79,new_transmute,4,FALSE)
),
""
)
)
)
)
)
)
)
)
))</f>
        <v/>
      </c>
      <c r="Y79" s="112" t="str">
        <f t="shared" si="14"/>
        <v/>
      </c>
      <c r="Z79" s="73" t="str">
        <f>IF($B79="","",
IF(Z$5="","",
IF('Final Term'!Z79="",0,
IF(NOT(ISNUMBER('Final Term'!Z79)),"NAN",
IF('Final Term'!Z79&lt;0,"NEG",
IF('Final Term'!Z79&gt;Z$5,"OVER",
IF(AND(Z$5&lt;=100,'Final Term'!Z79&gt;100),"ERR",
IF(Info!$B$4="Non-board program",
IF(OR(AND(Z$5&gt;0,Z$5&gt;100),AND(Z$5&gt;0,Z$5&lt;100)),
VLOOKUP(FLOOR(('Final Term'!Z79/Z$5)*100,1),new_transmute,2,FALSE),
VLOOKUP('Final Term'!Z79,new_transmute,2,FALSE)
),
IF(Info!$B$4="Board program",
IF(OR(AND(Z$5&gt;0,Z$5&gt;100),AND(Z$5&gt;0,Z$5&lt;100)),
VLOOKUP(FLOOR(('Final Term'!Z79/Z$5)*100,1),new_transmute,3,FALSE),
VLOOKUP('Final Term'!Z79,new_transmute,3,FALSE)
),
IF(Info!$B$4="Board program (Medicine)",
IF(OR(AND(Z$5&gt;0,Z$5&gt;100),AND(Z$5&gt;0,Z$5&lt;100)),
VLOOKUP(FLOOR(('Final Term'!Z79/Z$5)*100,1),new_transmute,4,FALSE),
VLOOKUP('Final Term'!Z79,new_transmute,4,FALSE)
),
""
)
)
)
)
)
)
)
)
))</f>
        <v/>
      </c>
      <c r="AA79" s="73" t="str">
        <f>IF($B79="","",
IF(AA$5="","",
IF('Final Term'!AA79="",0,
IF(NOT(ISNUMBER('Final Term'!AA79)),"NAN",
IF('Final Term'!AA79&lt;0,"NEG",
IF('Final Term'!AA79&gt;AA$5,"OVER",
IF(AND(AA$5&lt;=100,'Final Term'!AA79&gt;100),"ERR",
IF(Info!$B$4="Non-board program",
IF(OR(AND(AA$5&gt;0,AA$5&gt;100),AND(AA$5&gt;0,AA$5&lt;100)),
VLOOKUP(FLOOR(('Final Term'!AA79/AA$5)*100,1),new_transmute,2,FALSE),
VLOOKUP('Final Term'!AA79,new_transmute,2,FALSE)
),
IF(Info!$B$4="Board program",
IF(OR(AND(AA$5&gt;0,AA$5&gt;100),AND(AA$5&gt;0,AA$5&lt;100)),
VLOOKUP(FLOOR(('Final Term'!AA79/AA$5)*100,1),new_transmute,3,FALSE),
VLOOKUP('Final Term'!AA79,new_transmute,3,FALSE)
),
IF(Info!$B$4="Board program (Medicine)",
IF(OR(AND(AA$5&gt;0,AA$5&gt;100),AND(AA$5&gt;0,AA$5&lt;100)),
VLOOKUP(FLOOR(('Final Term'!AA79/AA$5)*100,1),new_transmute,4,FALSE),
VLOOKUP('Final Term'!AA79,new_transmute,4,FALSE)
),
""
)
)
)
)
)
)
)
)
))</f>
        <v/>
      </c>
      <c r="AB79" s="73" t="str">
        <f>IF($B79="","",
IF(AB$5="","",
IF('Final Term'!AB79="",0,
IF(NOT(ISNUMBER('Final Term'!AB79)),"NAN",
IF('Final Term'!AB79&lt;0,"NEG",
IF('Final Term'!AB79&gt;AB$5,"OVER",
IF(AND(AB$5&lt;=100,'Final Term'!AB79&gt;100),"ERR",
IF(Info!$B$4="Non-board program",
IF(OR(AND(AB$5&gt;0,AB$5&gt;100),AND(AB$5&gt;0,AB$5&lt;100)),
VLOOKUP(FLOOR(('Final Term'!AB79/AB$5)*100,1),new_transmute,2,FALSE),
VLOOKUP('Final Term'!AB79,new_transmute,2,FALSE)
),
IF(Info!$B$4="Board program",
IF(OR(AND(AB$5&gt;0,AB$5&gt;100),AND(AB$5&gt;0,AB$5&lt;100)),
VLOOKUP(FLOOR(('Final Term'!AB79/AB$5)*100,1),new_transmute,3,FALSE),
VLOOKUP('Final Term'!AB79,new_transmute,3,FALSE)
),
IF(Info!$B$4="Board program (Medicine)",
IF(OR(AND(AB$5&gt;0,AB$5&gt;100),AND(AB$5&gt;0,AB$5&lt;100)),
VLOOKUP(FLOOR(('Final Term'!AB79/AB$5)*100,1),new_transmute,4,FALSE),
VLOOKUP('Final Term'!AB79,new_transmute,4,FALSE)
),
""
)
)
)
)
)
)
)
)
))</f>
        <v/>
      </c>
      <c r="AC79" s="73" t="str">
        <f>IF($B79="","",
IF(AC$5="","",
IF('Final Term'!AC79="",0,
IF(NOT(ISNUMBER('Final Term'!AC79)),"NAN",
IF('Final Term'!AC79&lt;0,"NEG",
IF('Final Term'!AC79&gt;AC$5,"OVER",
IF(AND(AC$5&lt;=100,'Final Term'!AC79&gt;100),"ERR",
IF(Info!$B$4="Non-board program",
IF(OR(AND(AC$5&gt;0,AC$5&gt;100),AND(AC$5&gt;0,AC$5&lt;100)),
VLOOKUP(FLOOR(('Final Term'!AC79/AC$5)*100,1),new_transmute,2,FALSE),
VLOOKUP('Final Term'!AC79,new_transmute,2,FALSE)
),
IF(Info!$B$4="Board program",
IF(OR(AND(AC$5&gt;0,AC$5&gt;100),AND(AC$5&gt;0,AC$5&lt;100)),
VLOOKUP(FLOOR(('Final Term'!AC79/AC$5)*100,1),new_transmute,3,FALSE),
VLOOKUP('Final Term'!AC79,new_transmute,3,FALSE)
),
IF(Info!$B$4="Board program (Medicine)",
IF(OR(AND(AC$5&gt;0,AC$5&gt;100),AND(AC$5&gt;0,AC$5&lt;100)),
VLOOKUP(FLOOR(('Final Term'!AC79/AC$5)*100,1),new_transmute,4,FALSE),
VLOOKUP('Final Term'!AC79,new_transmute,4,FALSE)
),
""
)
)
)
)
)
)
)
)
))</f>
        <v/>
      </c>
      <c r="AD79" s="73" t="str">
        <f>IF($B79="","",
IF(AD$5="","",
IF('Final Term'!AD79="",0,
IF(NOT(ISNUMBER('Final Term'!AD79)),"NAN",
IF('Final Term'!AD79&lt;0,"NEG",
IF('Final Term'!AD79&gt;AD$5,"OVER",
IF(AND(AD$5&lt;=100,'Final Term'!AD79&gt;100),"ERR",
IF(Info!$B$4="Non-board program",
IF(OR(AND(AD$5&gt;0,AD$5&gt;100),AND(AD$5&gt;0,AD$5&lt;100)),
VLOOKUP(FLOOR(('Final Term'!AD79/AD$5)*100,1),new_transmute,2,FALSE),
VLOOKUP('Final Term'!AD79,new_transmute,2,FALSE)
),
IF(Info!$B$4="Board program",
IF(OR(AND(AD$5&gt;0,AD$5&gt;100),AND(AD$5&gt;0,AD$5&lt;100)),
VLOOKUP(FLOOR(('Final Term'!AD79/AD$5)*100,1),new_transmute,3,FALSE),
VLOOKUP('Final Term'!AD79,new_transmute,3,FALSE)
),
IF(Info!$B$4="Board program (Medicine)",
IF(OR(AND(AD$5&gt;0,AD$5&gt;100),AND(AD$5&gt;0,AD$5&lt;100)),
VLOOKUP(FLOOR(('Final Term'!AD79/AD$5)*100,1),new_transmute,4,FALSE),
VLOOKUP('Final Term'!AD79,new_transmute,4,FALSE)
),
""
)
)
)
)
)
)
)
)
))</f>
        <v/>
      </c>
      <c r="AE79" s="58" t="str">
        <f t="shared" si="15"/>
        <v/>
      </c>
      <c r="AF79" s="73" t="str">
        <f>IF($B79="","",
IF(AF$5="","",
IF('Final Term'!AF79="",0,
IF(NOT(ISNUMBER('Final Term'!AF79)),"NAN",
IF('Final Term'!AF79&lt;0,"NEG",
IF('Final Term'!AF79&gt;AF$5,"OVER",
IF(AND(AF$5&lt;=100,'Final Term'!AF79&gt;100),"ERR",
IF(Info!$B$4="Non-board program",
IF(OR(AND(AF$5&gt;0,AF$5&gt;100),AND(AF$5&gt;0,AF$5&lt;100)),
VLOOKUP(FLOOR(('Final Term'!AF79/AF$5)*100,1),new_transmute,2,FALSE),
VLOOKUP('Final Term'!AF79,new_transmute,2,FALSE)
),
IF(Info!$B$4="Board program",
IF(OR(AND(AF$5&gt;0,AF$5&gt;100),AND(AF$5&gt;0,AF$5&lt;100)),
VLOOKUP(FLOOR(('Final Term'!AF79/AF$5)*100,1),new_transmute,3,FALSE),
VLOOKUP('Final Term'!AF79,new_transmute,3,FALSE)
),
IF(Info!$B$4="Board program (Medicine)",
IF(OR(AND(AF$5&gt;0,AF$5&gt;100),AND(AF$5&gt;0,AF$5&lt;100)),
VLOOKUP(FLOOR(('Final Term'!AF79/AF$5)*100,1),new_transmute,4,FALSE),
VLOOKUP('Final Term'!AF79,new_transmute,4,FALSE)
),
""
)
)
)
)
)
)
)
)
))</f>
        <v/>
      </c>
      <c r="AG79" s="73" t="str">
        <f>IF($B79="","",
IF(AG$5="","",
IF('Final Term'!AG79="",0,
IF(NOT(ISNUMBER('Final Term'!AG79)),"NAN",
IF('Final Term'!AG79&lt;0,"NEG",
IF('Final Term'!AG79&gt;AG$5,"OVER",
IF(AND(AG$5&lt;=100,'Final Term'!AG79&gt;100),"ERR",
IF(Info!$B$4="Non-board program",
IF(OR(AND(AG$5&gt;0,AG$5&gt;100),AND(AG$5&gt;0,AG$5&lt;100)),
VLOOKUP(FLOOR(('Final Term'!AG79/AG$5)*100,1),new_transmute,2,FALSE),
VLOOKUP('Final Term'!AG79,new_transmute,2,FALSE)
),
IF(Info!$B$4="Board program",
IF(OR(AND(AG$5&gt;0,AG$5&gt;100),AND(AG$5&gt;0,AG$5&lt;100)),
VLOOKUP(FLOOR(('Final Term'!AG79/AG$5)*100,1),new_transmute,3,FALSE),
VLOOKUP('Final Term'!AG79,new_transmute,3,FALSE)
),
IF(Info!$B$4="Board program (Medicine)",
IF(OR(AND(AG$5&gt;0,AG$5&gt;100),AND(AG$5&gt;0,AG$5&lt;100)),
VLOOKUP(FLOOR(('Final Term'!AG79/AG$5)*100,1),new_transmute,4,FALSE),
VLOOKUP('Final Term'!AG79,new_transmute,4,FALSE)
),
""
)
)
)
)
)
)
)
)
))</f>
        <v/>
      </c>
      <c r="AH79" s="73" t="str">
        <f>IF($B79="","",
IF(AH$5="","",
IF('Final Term'!AH79="",0,
IF(NOT(ISNUMBER('Final Term'!AH79)),"NAN",
IF('Final Term'!AH79&lt;0,"NEG",
IF('Final Term'!AH79&gt;AH$5,"OVER",
IF(AND(AH$5&lt;=100,'Final Term'!AH79&gt;100),"ERR",
IF(Info!$B$4="Non-board program",
IF(OR(AND(AH$5&gt;0,AH$5&gt;100),AND(AH$5&gt;0,AH$5&lt;100)),
VLOOKUP(FLOOR(('Final Term'!AH79/AH$5)*100,1),new_transmute,2,FALSE),
VLOOKUP('Final Term'!AH79,new_transmute,2,FALSE)
),
IF(Info!$B$4="Board program",
IF(OR(AND(AH$5&gt;0,AH$5&gt;100),AND(AH$5&gt;0,AH$5&lt;100)),
VLOOKUP(FLOOR(('Final Term'!AH79/AH$5)*100,1),new_transmute,3,FALSE),
VLOOKUP('Final Term'!AH79,new_transmute,3,FALSE)
),
IF(Info!$B$4="Board program (Medicine)",
IF(OR(AND(AH$5&gt;0,AH$5&gt;100),AND(AH$5&gt;0,AH$5&lt;100)),
VLOOKUP(FLOOR(('Final Term'!AH79/AH$5)*100,1),new_transmute,4,FALSE),
VLOOKUP('Final Term'!AH79,new_transmute,4,FALSE)
),
""
)
)
)
)
)
)
)
)
))</f>
        <v/>
      </c>
      <c r="AI79" s="73" t="str">
        <f>IF($B79="","",
IF(AI$5="","",
IF('Final Term'!AI79="",0,
IF(NOT(ISNUMBER('Final Term'!AI79)),"NAN",
IF('Final Term'!AI79&lt;0,"NEG",
IF('Final Term'!AI79&gt;AI$5,"OVER",
IF(AND(AI$5&lt;=100,'Final Term'!AI79&gt;100),"ERR",
IF(Info!$B$4="Non-board program",
IF(OR(AND(AI$5&gt;0,AI$5&gt;100),AND(AI$5&gt;0,AI$5&lt;100)),
VLOOKUP(FLOOR(('Final Term'!AI79/AI$5)*100,1),new_transmute,2,FALSE),
VLOOKUP('Final Term'!AI79,new_transmute,2,FALSE)
),
IF(Info!$B$4="Board program",
IF(OR(AND(AI$5&gt;0,AI$5&gt;100),AND(AI$5&gt;0,AI$5&lt;100)),
VLOOKUP(FLOOR(('Final Term'!AI79/AI$5)*100,1),new_transmute,3,FALSE),
VLOOKUP('Final Term'!AI79,new_transmute,3,FALSE)
),
IF(Info!$B$4="Board program (Medicine)",
IF(OR(AND(AI$5&gt;0,AI$5&gt;100),AND(AI$5&gt;0,AI$5&lt;100)),
VLOOKUP(FLOOR(('Final Term'!AI79/AI$5)*100,1),new_transmute,4,FALSE),
VLOOKUP('Final Term'!AI79,new_transmute,4,FALSE)
),
""
)
)
)
)
)
)
)
)
))</f>
        <v/>
      </c>
      <c r="AJ79" s="73" t="str">
        <f>IF($B79="","",
IF(AJ$5="","",
IF('Final Term'!AJ79="",0,
IF(NOT(ISNUMBER('Final Term'!AJ79)),"NAN",
IF('Final Term'!AJ79&lt;0,"NEG",
IF('Final Term'!AJ79&gt;AJ$5,"OVER",
IF(AND(AJ$5&lt;=100,'Final Term'!AJ79&gt;100),"ERR",
IF(Info!$B$4="Non-board program",
IF(OR(AND(AJ$5&gt;0,AJ$5&gt;100),AND(AJ$5&gt;0,AJ$5&lt;100)),
VLOOKUP(FLOOR(('Final Term'!AJ79/AJ$5)*100,1),new_transmute,2,FALSE),
VLOOKUP('Final Term'!AJ79,new_transmute,2,FALSE)
),
IF(Info!$B$4="Board program",
IF(OR(AND(AJ$5&gt;0,AJ$5&gt;100),AND(AJ$5&gt;0,AJ$5&lt;100)),
VLOOKUP(FLOOR(('Final Term'!AJ79/AJ$5)*100,1),new_transmute,3,FALSE),
VLOOKUP('Final Term'!AJ79,new_transmute,3,FALSE)
),
IF(Info!$B$4="Board program (Medicine)",
IF(OR(AND(AJ$5&gt;0,AJ$5&gt;100),AND(AJ$5&gt;0,AJ$5&lt;100)),
VLOOKUP(FLOOR(('Final Term'!AJ79/AJ$5)*100,1),new_transmute,4,FALSE),
VLOOKUP('Final Term'!AJ79,new_transmute,4,FALSE)
),
""
)
)
)
)
)
)
)
)
))</f>
        <v/>
      </c>
      <c r="AK79" s="59" t="str">
        <f t="shared" si="16"/>
        <v/>
      </c>
      <c r="AL79" s="60" t="str">
        <f>IF(B79="", "",
    IF(OR(M79="OVER", S79="OVER", Y79="OVER", AE79="OVER", AK79="OVER"),
        "OVER",
        IF(Info!$B$4="Non-board program",
            VLOOKUP(IFERROR(FLOOR(SUM((M79*$M$4), (S79*$S$4), (Y79*$Y$4), (AE79*$AE$4), (AK79*$AK$4)) * (100 / 60), 1), 0), new_transmute, 2, FALSE),
            IF(Info!$B$4="Board program",
                VLOOKUP(IFERROR(FLOOR(SUM((M79*$M$4), (S79*$S$4), (Y79*$Y$4), (AE79*$AE$4), (AK79*$AK$4)) * (100 / 60), 1), 0), new_transmute, 3, FALSE),
                IF(Info!$B$4="Board program (Medicine)",
                    VLOOKUP(IFERROR(FLOOR(SUM((M79*$M$4), (S79*$S$4), (Y79*$Y$4), (AE79*$AE$4), (AK79*$AK$4)) * (100 / 60), 1), 0), new_transmute, 4, FALSE),
                    ""
                )
            )
        )
    )
)</f>
        <v/>
      </c>
      <c r="AM79" s="73" t="str">
        <f>IF($B79="","",
IF(AM$5="","",
IF('Final Term'!AM79="",0,
IF(NOT(ISNUMBER('Final Term'!AM79)),"NAN",
IF('Final Term'!AM79&lt;0,"NEG",
IF('Final Term'!AM79&gt;AM$5,"OVER",
IF(AND(AM$5&lt;=100,'Final Term'!AM79&gt;100),"ERR",
IF(Info!$B$4="Non-board program",
IF(OR(AND(AM$5&gt;0,AM$5&gt;100),AND(AM$5&gt;0,AM$5&lt;100)),
VLOOKUP(FLOOR(('Final Term'!AM79/AM$5)*100,1),new_transmute,2,FALSE),
VLOOKUP('Final Term'!AM79,new_transmute,2,FALSE)
),
IF(Info!$B$4="Board program",
IF(OR(AND(AM$5&gt;0,AM$5&gt;100),AND(AM$5&gt;0,AM$5&lt;100)),
VLOOKUP(FLOOR(('Final Term'!AM79/AM$5)*100,1),new_transmute,3,FALSE),
VLOOKUP('Final Term'!AM79,new_transmute,3,FALSE)
),
IF(Info!$B$4="Board program (Medicine)",
IF(OR(AND(AM$5&gt;0,AM$5&gt;100),AND(AM$5&gt;0,AM$5&lt;100)),
VLOOKUP(FLOOR(('Final Term'!AM79/AM$5)*100,1),new_transmute,4,FALSE),
VLOOKUP('Final Term'!AM79,new_transmute,4,FALSE)
),
""
)
)
)
)
)
)
)
)
))</f>
        <v/>
      </c>
      <c r="AN79" s="73" t="str">
        <f>IF($B79="","",
IF(AN$5="","",
IF('Final Term'!AN79="",0,
IF(NOT(ISNUMBER('Final Term'!AN79)),"NAN",
IF('Final Term'!AN79&lt;0,"NEG",
IF('Final Term'!AN79&gt;AN$5,"OVER",
IF(AND(AN$5&lt;=100,'Final Term'!AN79&gt;100),"ERR",
IF(Info!$B$4="Non-board program",
IF(OR(AND(AN$5&gt;0,AN$5&gt;100),AND(AN$5&gt;0,AN$5&lt;100)),
VLOOKUP(FLOOR(('Final Term'!AN79/AN$5)*100,1),new_transmute,2,FALSE),
VLOOKUP('Final Term'!AN79,new_transmute,2,FALSE)
),
IF(Info!$B$4="Board program",
IF(OR(AND(AN$5&gt;0,AN$5&gt;100),AND(AN$5&gt;0,AN$5&lt;100)),
VLOOKUP(FLOOR(('Final Term'!AN79/AN$5)*100,1),new_transmute,3,FALSE),
VLOOKUP('Final Term'!AN79,new_transmute,3,FALSE)
),
IF(Info!$B$4="Board program (Medicine)",
IF(OR(AND(AN$5&gt;0,AN$5&gt;100),AND(AN$5&gt;0,AN$5&lt;100)),
VLOOKUP(FLOOR(('Final Term'!AN79/AN$5)*100,1),new_transmute,4,FALSE),
VLOOKUP('Final Term'!AN79,new_transmute,4,FALSE)
),
""
)
)
)
)
)
)
)
)
))</f>
        <v/>
      </c>
      <c r="AO79" s="73" t="str">
        <f>IF($B79="","",
IF(AO$5="","",
IF('Final Term'!AO79="",0,
IF(NOT(ISNUMBER('Final Term'!AO79)),"NAN",
IF('Final Term'!AO79&lt;0,"NEG",
IF('Final Term'!AO79&gt;AO$5,"OVER",
IF(AND(AO$5&lt;=100,'Final Term'!AO79&gt;100),"ERR",
IF(Info!$B$4="Non-board program",
IF(OR(AND(AO$5&gt;0,AO$5&gt;100),AND(AO$5&gt;0,AO$5&lt;100)),
VLOOKUP(FLOOR(('Final Term'!AO79/AO$5)*100,1),new_transmute,2,FALSE),
VLOOKUP('Final Term'!AO79,new_transmute,2,FALSE)
),
IF(Info!$B$4="Board program",
IF(OR(AND(AO$5&gt;0,AO$5&gt;100),AND(AO$5&gt;0,AO$5&lt;100)),
VLOOKUP(FLOOR(('Final Term'!AO79/AO$5)*100,1),new_transmute,3,FALSE),
VLOOKUP('Final Term'!AO79,new_transmute,3,FALSE)
),
IF(Info!$B$4="Board program (Medicine)",
IF(OR(AND(AO$5&gt;0,AO$5&gt;100),AND(AO$5&gt;0,AO$5&lt;100)),
VLOOKUP(FLOOR(('Final Term'!AO79/AO$5)*100,1),new_transmute,4,FALSE),
VLOOKUP('Final Term'!AO79,new_transmute,4,FALSE)
),
""
)
)
)
)
)
)
)
)
))</f>
        <v/>
      </c>
      <c r="AP79" s="73" t="str">
        <f>IF($B79="","",
IF(AP$5="","",
IF('Final Term'!AP79="",0,
IF(NOT(ISNUMBER('Final Term'!AP79)),"NAN",
IF('Final Term'!AP79&lt;0,"NEG",
IF('Final Term'!AP79&gt;AP$5,"OVER",
IF(AND(AP$5&lt;=100,'Final Term'!AP79&gt;100),"ERR",
IF(Info!$B$4="Non-board program",
IF(OR(AND(AP$5&gt;0,AP$5&gt;100),AND(AP$5&gt;0,AP$5&lt;100)),
VLOOKUP(FLOOR(('Final Term'!AP79/AP$5)*100,1),new_transmute,2,FALSE),
VLOOKUP('Final Term'!AP79,new_transmute,2,FALSE)
),
IF(Info!$B$4="Board program",
IF(OR(AND(AP$5&gt;0,AP$5&gt;100),AND(AP$5&gt;0,AP$5&lt;100)),
VLOOKUP(FLOOR(('Final Term'!AP79/AP$5)*100,1),new_transmute,3,FALSE),
VLOOKUP('Final Term'!AP79,new_transmute,3,FALSE)
),
IF(Info!$B$4="Board program (Medicine)",
IF(OR(AND(AP$5&gt;0,AP$5&gt;100),AND(AP$5&gt;0,AP$5&lt;100)),
VLOOKUP(FLOOR(('Final Term'!AP79/AP$5)*100,1),new_transmute,4,FALSE),
VLOOKUP('Final Term'!AP79,new_transmute,4,FALSE)
),
""
)
)
)
)
)
)
)
)
))</f>
        <v/>
      </c>
      <c r="AQ79" s="61" t="str">
        <f t="shared" si="17"/>
        <v/>
      </c>
      <c r="AR79" s="48" t="str">
        <f>IF('Final Term'!AR79="","",'Final Term'!AR79)</f>
        <v/>
      </c>
      <c r="AS79" s="165" t="str">
        <f t="shared" si="18"/>
        <v/>
      </c>
      <c r="AT79" s="14" t="str">
        <f t="shared" si="19"/>
        <v/>
      </c>
      <c r="AU79" s="13" t="str">
        <f>IF(B79="","",VLOOKUP(AT79,'New Grade Equivalent'!$B$3:$C$47,2,FALSE))</f>
        <v/>
      </c>
    </row>
    <row r="80" spans="1:47" x14ac:dyDescent="0.25">
      <c r="A80" s="8">
        <v>75</v>
      </c>
      <c r="B80" s="2" t="str">
        <f>IF('Student List'!C84="","",UPPER(LEFT('Student List'!C84,FIND(",",'Student List'!C84)-1)))</f>
        <v/>
      </c>
      <c r="C80" s="12" t="str">
        <f>IF('Student List'!C84="","",PROPER(MID('Student List'!C84, FIND(",", 'Student List'!C84) + 2, LEN('Student List'!C84) - FIND(",", 'Student List'!C84) - 1)))</f>
        <v/>
      </c>
      <c r="D80" s="127" t="str">
        <f>IF('Final Term'!D80="","",'Final Term'!D80)</f>
        <v/>
      </c>
      <c r="E80" s="8" t="str">
        <f>IF(MidCom!E80="FA", "FA",
    IF(MidCom!E80="DRP", "DRP",
        IF(MidCom!E80="WF", "WF",
            IF(D80="Yes", "INC",
               IF((SUM('MT Attendance'!AW78) / 3 + SUM('MT Attendance'!AY78) + SUM('FT Attendance'!AW78) / 3 + SUM('FT Attendance'!AY78)) &gt;= 0.2 * (SUMPRODUCT(--(ISTEXT('MT Attendance'!$C$2:$AU$2))) + SUMPRODUCT(--(ISTEXT('FT Attendance'!$C$2:$AU$2)))), "FA",
                   MidCom!E80
                )
            )
        )
    )
)</f>
        <v/>
      </c>
      <c r="F80" s="73" t="str">
        <f>IF($B80="","",
IF(F$5="","",
IF('Final Term'!F80="",0,
IF(NOT(ISNUMBER('Final Term'!F80)),"NAN",
IF('Final Term'!F80&lt;0,"NEG",
IF('Final Term'!F80&gt;F$5,"OVER",
IF(AND(F$5&lt;=100,'Final Term'!F80&gt;100),"ERR",
IF(Info!$B$4="Non-board program",
IF(OR(AND(F$5&gt;0,F$5&gt;100),AND(F$5&gt;0,F$5&lt;100)),
VLOOKUP(FLOOR(('Final Term'!F80/F$5)*100,1),new_transmute,2,FALSE),
VLOOKUP('Final Term'!F80,new_transmute,2,FALSE)
),
IF(Info!$B$4="Board program",
IF(OR(AND(F$5&gt;0,F$5&gt;100),AND(F$5&gt;0,F$5&lt;100)),
VLOOKUP(FLOOR(('Final Term'!F80/F$5)*100,1),new_transmute,3,FALSE),
VLOOKUP('Final Term'!F80,new_transmute,3,FALSE)
),
IF(Info!$B$4="Board program (Medicine)",
IF(OR(AND(F$5&gt;0,F$5&gt;100),AND(F$5&gt;0,F$5&lt;100)),
VLOOKUP(FLOOR(('Final Term'!F80/F$5)*100,1),new_transmute,4,FALSE),
VLOOKUP('Final Term'!F80,new_transmute,4,FALSE)
),
""
)
)
)
)
)
)
)
)
))</f>
        <v/>
      </c>
      <c r="G80" s="57" t="str">
        <f t="shared" si="11"/>
        <v/>
      </c>
      <c r="H80" s="73" t="str">
        <f>IF($B80="","",
IF(H$5="","",
IF('Final Term'!H80="",0,
IF(NOT(ISNUMBER('Final Term'!H80)),"NAN",
IF('Final Term'!H80&lt;0,"NEG",
IF('Final Term'!H80&gt;H$5,"OVER",
IF(AND(H$5&lt;=100,'Final Term'!H80&gt;100),"ERR",
IF(Info!$B$4="Non-board program",
IF(OR(AND(H$5&gt;0,H$5&gt;100),AND(H$5&gt;0,H$5&lt;100)),
VLOOKUP(FLOOR(('Final Term'!H80/H$5)*100,1),new_transmute,2,FALSE),
VLOOKUP('Final Term'!H80,new_transmute,2,FALSE)
),
IF(Info!$B$4="Board program",
IF(OR(AND(H$5&gt;0,H$5&gt;100),AND(H$5&gt;0,H$5&lt;100)),
VLOOKUP(FLOOR(('Final Term'!H80/H$5)*100,1),new_transmute,3,FALSE),
VLOOKUP('Final Term'!H80,new_transmute,3,FALSE)
),
IF(Info!$B$4="Board program (Medicine)",
IF(OR(AND(H$5&gt;0,H$5&gt;100),AND(H$5&gt;0,H$5&lt;100)),
VLOOKUP(FLOOR(('Final Term'!H80/H$5)*100,1),new_transmute,4,FALSE),
VLOOKUP('Final Term'!H80,new_transmute,4,FALSE)
),
""
)
)
)
)
)
)
)
)
))</f>
        <v/>
      </c>
      <c r="I80" s="73" t="str">
        <f>IF($B80="","",
IF(I$5="","",
IF('Final Term'!I80="",0,
IF(NOT(ISNUMBER('Final Term'!I80)),"NAN",
IF('Final Term'!I80&lt;0,"NEG",
IF('Final Term'!I80&gt;I$5,"OVER",
IF(AND(I$5&lt;=100,'Final Term'!I80&gt;100),"ERR",
IF(Info!$B$4="Non-board program",
IF(OR(AND(I$5&gt;0,I$5&gt;100),AND(I$5&gt;0,I$5&lt;100)),
VLOOKUP(FLOOR(('Final Term'!I80/I$5)*100,1),new_transmute,2,FALSE),
VLOOKUP('Final Term'!I80,new_transmute,2,FALSE)
),
IF(Info!$B$4="Board program",
IF(OR(AND(I$5&gt;0,I$5&gt;100),AND(I$5&gt;0,I$5&lt;100)),
VLOOKUP(FLOOR(('Final Term'!I80/I$5)*100,1),new_transmute,3,FALSE),
VLOOKUP('Final Term'!I80,new_transmute,3,FALSE)
),
IF(Info!$B$4="Board program (Medicine)",
IF(OR(AND(I$5&gt;0,I$5&gt;100),AND(I$5&gt;0,I$5&lt;100)),
VLOOKUP(FLOOR(('Final Term'!I80/I$5)*100,1),new_transmute,4,FALSE),
VLOOKUP('Final Term'!I80,new_transmute,4,FALSE)
),
""
)
)
)
)
)
)
)
)
))</f>
        <v/>
      </c>
      <c r="J80" s="73" t="str">
        <f>IF($B80="","",
IF(J$5="","",
IF('Final Term'!J80="",0,
IF(NOT(ISNUMBER('Final Term'!J80)),"NAN",
IF('Final Term'!J80&lt;0,"NEG",
IF('Final Term'!J80&gt;J$5,"OVER",
IF(AND(J$5&lt;=100,'Final Term'!J80&gt;100),"ERR",
IF(Info!$B$4="Non-board program",
IF(OR(AND(J$5&gt;0,J$5&gt;100),AND(J$5&gt;0,J$5&lt;100)),
VLOOKUP(FLOOR(('Final Term'!J80/J$5)*100,1),new_transmute,2,FALSE),
VLOOKUP('Final Term'!J80,new_transmute,2,FALSE)
),
IF(Info!$B$4="Board program",
IF(OR(AND(J$5&gt;0,J$5&gt;100),AND(J$5&gt;0,J$5&lt;100)),
VLOOKUP(FLOOR(('Final Term'!J80/J$5)*100,1),new_transmute,3,FALSE),
VLOOKUP('Final Term'!J80,new_transmute,3,FALSE)
),
IF(Info!$B$4="Board program (Medicine)",
IF(OR(AND(J$5&gt;0,J$5&gt;100),AND(J$5&gt;0,J$5&lt;100)),
VLOOKUP(FLOOR(('Final Term'!J80/J$5)*100,1),new_transmute,4,FALSE),
VLOOKUP('Final Term'!J80,new_transmute,4,FALSE)
),
""
)
)
)
)
)
)
)
)
))</f>
        <v/>
      </c>
      <c r="K80" s="73" t="str">
        <f>IF($B80="","",
IF(K$5="","",
IF('Final Term'!K80="",0,
IF(NOT(ISNUMBER('Final Term'!K80)),"NAN",
IF('Final Term'!K80&lt;0,"NEG",
IF('Final Term'!K80&gt;K$5,"OVER",
IF(AND(K$5&lt;=100,'Final Term'!K80&gt;100),"ERR",
IF(Info!$B$4="Non-board program",
IF(OR(AND(K$5&gt;0,K$5&gt;100),AND(K$5&gt;0,K$5&lt;100)),
VLOOKUP(FLOOR(('Final Term'!K80/K$5)*100,1),new_transmute,2,FALSE),
VLOOKUP('Final Term'!K80,new_transmute,2,FALSE)
),
IF(Info!$B$4="Board program",
IF(OR(AND(K$5&gt;0,K$5&gt;100),AND(K$5&gt;0,K$5&lt;100)),
VLOOKUP(FLOOR(('Final Term'!K80/K$5)*100,1),new_transmute,3,FALSE),
VLOOKUP('Final Term'!K80,new_transmute,3,FALSE)
),
IF(Info!$B$4="Board program (Medicine)",
IF(OR(AND(K$5&gt;0,K$5&gt;100),AND(K$5&gt;0,K$5&lt;100)),
VLOOKUP(FLOOR(('Final Term'!K80/K$5)*100,1),new_transmute,4,FALSE),
VLOOKUP('Final Term'!K80,new_transmute,4,FALSE)
),
""
)
)
)
)
)
)
)
)
))</f>
        <v/>
      </c>
      <c r="L80" s="73" t="str">
        <f>IF($B80="","",
IF(L$5="","",
IF('Final Term'!L80="",0,
IF(NOT(ISNUMBER('Final Term'!L80)),"NAN",
IF('Final Term'!L80&lt;0,"NEG",
IF('Final Term'!L80&gt;L$5,"OVER",
IF(AND(L$5&lt;=100,'Final Term'!L80&gt;100),"ERR",
IF(Info!$B$4="Non-board program",
IF(OR(AND(L$5&gt;0,L$5&gt;100),AND(L$5&gt;0,L$5&lt;100)),
VLOOKUP(FLOOR(('Final Term'!L80/L$5)*100,1),new_transmute,2,FALSE),
VLOOKUP('Final Term'!L80,new_transmute,2,FALSE)
),
IF(Info!$B$4="Board program",
IF(OR(AND(L$5&gt;0,L$5&gt;100),AND(L$5&gt;0,L$5&lt;100)),
VLOOKUP(FLOOR(('Final Term'!L80/L$5)*100,1),new_transmute,3,FALSE),
VLOOKUP('Final Term'!L80,new_transmute,3,FALSE)
),
IF(Info!$B$4="Board program (Medicine)",
IF(OR(AND(L$5&gt;0,L$5&gt;100),AND(L$5&gt;0,L$5&lt;100)),
VLOOKUP(FLOOR(('Final Term'!L80/L$5)*100,1),new_transmute,4,FALSE),
VLOOKUP('Final Term'!L80,new_transmute,4,FALSE)
),
""
)
)
)
)
)
)
)
)
))</f>
        <v/>
      </c>
      <c r="M80" s="111" t="str">
        <f t="shared" si="12"/>
        <v/>
      </c>
      <c r="N80" s="73" t="str">
        <f>IF($B80="","",
IF(N$5="","",
IF('Final Term'!N80="",0,
IF(NOT(ISNUMBER('Final Term'!N80)),"NAN",
IF('Final Term'!N80&lt;0,"NEG",
IF('Final Term'!N80&gt;N$5,"OVER",
IF(AND(N$5&lt;=100,'Final Term'!N80&gt;100),"ERR",
IF(Info!$B$4="Non-board program",
IF(OR(AND(N$5&gt;0,N$5&gt;100),AND(N$5&gt;0,N$5&lt;100)),
VLOOKUP(FLOOR(('Final Term'!N80/N$5)*100,1),new_transmute,2,FALSE),
VLOOKUP('Final Term'!N80,new_transmute,2,FALSE)
),
IF(Info!$B$4="Board program",
IF(OR(AND(N$5&gt;0,N$5&gt;100),AND(N$5&gt;0,N$5&lt;100)),
VLOOKUP(FLOOR(('Final Term'!N80/N$5)*100,1),new_transmute,3,FALSE),
VLOOKUP('Final Term'!N80,new_transmute,3,FALSE)
),
IF(Info!$B$4="Board program (Medicine)",
IF(OR(AND(N$5&gt;0,N$5&gt;100),AND(N$5&gt;0,N$5&lt;100)),
VLOOKUP(FLOOR(('Final Term'!N80/N$5)*100,1),new_transmute,4,FALSE),
VLOOKUP('Final Term'!N80,new_transmute,4,FALSE)
),
""
)
)
)
)
)
)
)
)
))</f>
        <v/>
      </c>
      <c r="O80" s="73" t="str">
        <f>IF($B80="","",
IF(O$5="","",
IF('Final Term'!O80="",0,
IF(NOT(ISNUMBER('Final Term'!O80)),"NAN",
IF('Final Term'!O80&lt;0,"NEG",
IF('Final Term'!O80&gt;O$5,"OVER",
IF(AND(O$5&lt;=100,'Final Term'!O80&gt;100),"ERR",
IF(Info!$B$4="Non-board program",
IF(OR(AND(O$5&gt;0,O$5&gt;100),AND(O$5&gt;0,O$5&lt;100)),
VLOOKUP(FLOOR(('Final Term'!O80/O$5)*100,1),new_transmute,2,FALSE),
VLOOKUP('Final Term'!O80,new_transmute,2,FALSE)
),
IF(Info!$B$4="Board program",
IF(OR(AND(O$5&gt;0,O$5&gt;100),AND(O$5&gt;0,O$5&lt;100)),
VLOOKUP(FLOOR(('Final Term'!O80/O$5)*100,1),new_transmute,3,FALSE),
VLOOKUP('Final Term'!O80,new_transmute,3,FALSE)
),
IF(Info!$B$4="Board program (Medicine)",
IF(OR(AND(O$5&gt;0,O$5&gt;100),AND(O$5&gt;0,O$5&lt;100)),
VLOOKUP(FLOOR(('Final Term'!O80/O$5)*100,1),new_transmute,4,FALSE),
VLOOKUP('Final Term'!O80,new_transmute,4,FALSE)
),
""
)
)
)
)
)
)
)
)
))</f>
        <v/>
      </c>
      <c r="P80" s="73" t="str">
        <f>IF($B80="","",
IF(P$5="","",
IF('Final Term'!P80="",0,
IF(NOT(ISNUMBER('Final Term'!P80)),"NAN",
IF('Final Term'!P80&lt;0,"NEG",
IF('Final Term'!P80&gt;P$5,"OVER",
IF(AND(P$5&lt;=100,'Final Term'!P80&gt;100),"ERR",
IF(Info!$B$4="Non-board program",
IF(OR(AND(P$5&gt;0,P$5&gt;100),AND(P$5&gt;0,P$5&lt;100)),
VLOOKUP(FLOOR(('Final Term'!P80/P$5)*100,1),new_transmute,2,FALSE),
VLOOKUP('Final Term'!P80,new_transmute,2,FALSE)
),
IF(Info!$B$4="Board program",
IF(OR(AND(P$5&gt;0,P$5&gt;100),AND(P$5&gt;0,P$5&lt;100)),
VLOOKUP(FLOOR(('Final Term'!P80/P$5)*100,1),new_transmute,3,FALSE),
VLOOKUP('Final Term'!P80,new_transmute,3,FALSE)
),
IF(Info!$B$4="Board program (Medicine)",
IF(OR(AND(P$5&gt;0,P$5&gt;100),AND(P$5&gt;0,P$5&lt;100)),
VLOOKUP(FLOOR(('Final Term'!P80/P$5)*100,1),new_transmute,4,FALSE),
VLOOKUP('Final Term'!P80,new_transmute,4,FALSE)
),
""
)
)
)
)
)
)
)
)
))</f>
        <v/>
      </c>
      <c r="Q80" s="73" t="str">
        <f>IF($B80="","",
IF(Q$5="","",
IF('Final Term'!Q80="",0,
IF(NOT(ISNUMBER('Final Term'!Q80)),"NAN",
IF('Final Term'!Q80&lt;0,"NEG",
IF('Final Term'!Q80&gt;Q$5,"OVER",
IF(AND(Q$5&lt;=100,'Final Term'!Q80&gt;100),"ERR",
IF(Info!$B$4="Non-board program",
IF(OR(AND(Q$5&gt;0,Q$5&gt;100),AND(Q$5&gt;0,Q$5&lt;100)),
VLOOKUP(FLOOR(('Final Term'!Q80/Q$5)*100,1),new_transmute,2,FALSE),
VLOOKUP('Final Term'!Q80,new_transmute,2,FALSE)
),
IF(Info!$B$4="Board program",
IF(OR(AND(Q$5&gt;0,Q$5&gt;100),AND(Q$5&gt;0,Q$5&lt;100)),
VLOOKUP(FLOOR(('Final Term'!Q80/Q$5)*100,1),new_transmute,3,FALSE),
VLOOKUP('Final Term'!Q80,new_transmute,3,FALSE)
),
IF(Info!$B$4="Board program (Medicine)",
IF(OR(AND(Q$5&gt;0,Q$5&gt;100),AND(Q$5&gt;0,Q$5&lt;100)),
VLOOKUP(FLOOR(('Final Term'!Q80/Q$5)*100,1),new_transmute,4,FALSE),
VLOOKUP('Final Term'!Q80,new_transmute,4,FALSE)
),
""
)
)
)
)
)
)
)
)
))</f>
        <v/>
      </c>
      <c r="R80" s="73" t="str">
        <f>IF($B80="","",
IF(R$5="","",
IF('Final Term'!R80="",0,
IF(NOT(ISNUMBER('Final Term'!R80)),"NAN",
IF('Final Term'!R80&lt;0,"NEG",
IF('Final Term'!R80&gt;R$5,"OVER",
IF(AND(R$5&lt;=100,'Final Term'!R80&gt;100),"ERR",
IF(Info!$B$4="Non-board program",
IF(OR(AND(R$5&gt;0,R$5&gt;100),AND(R$5&gt;0,R$5&lt;100)),
VLOOKUP(FLOOR(('Final Term'!R80/R$5)*100,1),new_transmute,2,FALSE),
VLOOKUP('Final Term'!R80,new_transmute,2,FALSE)
),
IF(Info!$B$4="Board program",
IF(OR(AND(R$5&gt;0,R$5&gt;100),AND(R$5&gt;0,R$5&lt;100)),
VLOOKUP(FLOOR(('Final Term'!R80/R$5)*100,1),new_transmute,3,FALSE),
VLOOKUP('Final Term'!R80,new_transmute,3,FALSE)
),
IF(Info!$B$4="Board program (Medicine)",
IF(OR(AND(R$5&gt;0,R$5&gt;100),AND(R$5&gt;0,R$5&lt;100)),
VLOOKUP(FLOOR(('Final Term'!R80/R$5)*100,1),new_transmute,4,FALSE),
VLOOKUP('Final Term'!R80,new_transmute,4,FALSE)
),
""
)
)
)
)
)
)
)
)
))</f>
        <v/>
      </c>
      <c r="S80" s="115" t="str">
        <f t="shared" si="13"/>
        <v/>
      </c>
      <c r="T80" s="73" t="str">
        <f>IF($B80="","",
IF(T$5="","",
IF('Final Term'!T80="",0,
IF(NOT(ISNUMBER('Final Term'!T80)),"NAN",
IF('Final Term'!T80&lt;0,"NEG",
IF('Final Term'!T80&gt;T$5,"OVER",
IF(AND(T$5&lt;=100,'Final Term'!T80&gt;100),"ERR",
IF(Info!$B$4="Non-board program",
IF(OR(AND(T$5&gt;0,T$5&gt;100),AND(T$5&gt;0,T$5&lt;100)),
VLOOKUP(FLOOR(('Final Term'!T80/T$5)*100,1),new_transmute,2,FALSE),
VLOOKUP('Final Term'!T80,new_transmute,2,FALSE)
),
IF(Info!$B$4="Board program",
IF(OR(AND(T$5&gt;0,T$5&gt;100),AND(T$5&gt;0,T$5&lt;100)),
VLOOKUP(FLOOR(('Final Term'!T80/T$5)*100,1),new_transmute,3,FALSE),
VLOOKUP('Final Term'!T80,new_transmute,3,FALSE)
),
IF(Info!$B$4="Board program (Medicine)",
IF(OR(AND(T$5&gt;0,T$5&gt;100),AND(T$5&gt;0,T$5&lt;100)),
VLOOKUP(FLOOR(('Final Term'!T80/T$5)*100,1),new_transmute,4,FALSE),
VLOOKUP('Final Term'!T80,new_transmute,4,FALSE)
),
""
)
)
)
)
)
)
)
)
))</f>
        <v/>
      </c>
      <c r="U80" s="73" t="str">
        <f>IF($B80="","",
IF(U$5="","",
IF('Final Term'!U80="",0,
IF(NOT(ISNUMBER('Final Term'!U80)),"NAN",
IF('Final Term'!U80&lt;0,"NEG",
IF('Final Term'!U80&gt;U$5,"OVER",
IF(AND(U$5&lt;=100,'Final Term'!U80&gt;100),"ERR",
IF(Info!$B$4="Non-board program",
IF(OR(AND(U$5&gt;0,U$5&gt;100),AND(U$5&gt;0,U$5&lt;100)),
VLOOKUP(FLOOR(('Final Term'!U80/U$5)*100,1),new_transmute,2,FALSE),
VLOOKUP('Final Term'!U80,new_transmute,2,FALSE)
),
IF(Info!$B$4="Board program",
IF(OR(AND(U$5&gt;0,U$5&gt;100),AND(U$5&gt;0,U$5&lt;100)),
VLOOKUP(FLOOR(('Final Term'!U80/U$5)*100,1),new_transmute,3,FALSE),
VLOOKUP('Final Term'!U80,new_transmute,3,FALSE)
),
IF(Info!$B$4="Board program (Medicine)",
IF(OR(AND(U$5&gt;0,U$5&gt;100),AND(U$5&gt;0,U$5&lt;100)),
VLOOKUP(FLOOR(('Final Term'!U80/U$5)*100,1),new_transmute,4,FALSE),
VLOOKUP('Final Term'!U80,new_transmute,4,FALSE)
),
""
)
)
)
)
)
)
)
)
))</f>
        <v/>
      </c>
      <c r="V80" s="73" t="str">
        <f>IF($B80="","",
IF(V$5="","",
IF('Final Term'!V80="",0,
IF(NOT(ISNUMBER('Final Term'!V80)),"NAN",
IF('Final Term'!V80&lt;0,"NEG",
IF('Final Term'!V80&gt;V$5,"OVER",
IF(AND(V$5&lt;=100,'Final Term'!V80&gt;100),"ERR",
IF(Info!$B$4="Non-board program",
IF(OR(AND(V$5&gt;0,V$5&gt;100),AND(V$5&gt;0,V$5&lt;100)),
VLOOKUP(FLOOR(('Final Term'!V80/V$5)*100,1),new_transmute,2,FALSE),
VLOOKUP('Final Term'!V80,new_transmute,2,FALSE)
),
IF(Info!$B$4="Board program",
IF(OR(AND(V$5&gt;0,V$5&gt;100),AND(V$5&gt;0,V$5&lt;100)),
VLOOKUP(FLOOR(('Final Term'!V80/V$5)*100,1),new_transmute,3,FALSE),
VLOOKUP('Final Term'!V80,new_transmute,3,FALSE)
),
IF(Info!$B$4="Board program (Medicine)",
IF(OR(AND(V$5&gt;0,V$5&gt;100),AND(V$5&gt;0,V$5&lt;100)),
VLOOKUP(FLOOR(('Final Term'!V80/V$5)*100,1),new_transmute,4,FALSE),
VLOOKUP('Final Term'!V80,new_transmute,4,FALSE)
),
""
)
)
)
)
)
)
)
)
))</f>
        <v/>
      </c>
      <c r="W80" s="73" t="str">
        <f>IF($B80="","",
IF(W$5="","",
IF('Final Term'!W80="",0,
IF(NOT(ISNUMBER('Final Term'!W80)),"NAN",
IF('Final Term'!W80&lt;0,"NEG",
IF('Final Term'!W80&gt;W$5,"OVER",
IF(AND(W$5&lt;=100,'Final Term'!W80&gt;100),"ERR",
IF(Info!$B$4="Non-board program",
IF(OR(AND(W$5&gt;0,W$5&gt;100),AND(W$5&gt;0,W$5&lt;100)),
VLOOKUP(FLOOR(('Final Term'!W80/W$5)*100,1),new_transmute,2,FALSE),
VLOOKUP('Final Term'!W80,new_transmute,2,FALSE)
),
IF(Info!$B$4="Board program",
IF(OR(AND(W$5&gt;0,W$5&gt;100),AND(W$5&gt;0,W$5&lt;100)),
VLOOKUP(FLOOR(('Final Term'!W80/W$5)*100,1),new_transmute,3,FALSE),
VLOOKUP('Final Term'!W80,new_transmute,3,FALSE)
),
IF(Info!$B$4="Board program (Medicine)",
IF(OR(AND(W$5&gt;0,W$5&gt;100),AND(W$5&gt;0,W$5&lt;100)),
VLOOKUP(FLOOR(('Final Term'!W80/W$5)*100,1),new_transmute,4,FALSE),
VLOOKUP('Final Term'!W80,new_transmute,4,FALSE)
),
""
)
)
)
)
)
)
)
)
))</f>
        <v/>
      </c>
      <c r="X80" s="73" t="str">
        <f>IF($B80="","",
IF(X$5="","",
IF('Final Term'!X80="",0,
IF(NOT(ISNUMBER('Final Term'!X80)),"NAN",
IF('Final Term'!X80&lt;0,"NEG",
IF('Final Term'!X80&gt;X$5,"OVER",
IF(AND(X$5&lt;=100,'Final Term'!X80&gt;100),"ERR",
IF(Info!$B$4="Non-board program",
IF(OR(AND(X$5&gt;0,X$5&gt;100),AND(X$5&gt;0,X$5&lt;100)),
VLOOKUP(FLOOR(('Final Term'!X80/X$5)*100,1),new_transmute,2,FALSE),
VLOOKUP('Final Term'!X80,new_transmute,2,FALSE)
),
IF(Info!$B$4="Board program",
IF(OR(AND(X$5&gt;0,X$5&gt;100),AND(X$5&gt;0,X$5&lt;100)),
VLOOKUP(FLOOR(('Final Term'!X80/X$5)*100,1),new_transmute,3,FALSE),
VLOOKUP('Final Term'!X80,new_transmute,3,FALSE)
),
IF(Info!$B$4="Board program (Medicine)",
IF(OR(AND(X$5&gt;0,X$5&gt;100),AND(X$5&gt;0,X$5&lt;100)),
VLOOKUP(FLOOR(('Final Term'!X80/X$5)*100,1),new_transmute,4,FALSE),
VLOOKUP('Final Term'!X80,new_transmute,4,FALSE)
),
""
)
)
)
)
)
)
)
)
))</f>
        <v/>
      </c>
      <c r="Y80" s="112" t="str">
        <f t="shared" si="14"/>
        <v/>
      </c>
      <c r="Z80" s="73" t="str">
        <f>IF($B80="","",
IF(Z$5="","",
IF('Final Term'!Z80="",0,
IF(NOT(ISNUMBER('Final Term'!Z80)),"NAN",
IF('Final Term'!Z80&lt;0,"NEG",
IF('Final Term'!Z80&gt;Z$5,"OVER",
IF(AND(Z$5&lt;=100,'Final Term'!Z80&gt;100),"ERR",
IF(Info!$B$4="Non-board program",
IF(OR(AND(Z$5&gt;0,Z$5&gt;100),AND(Z$5&gt;0,Z$5&lt;100)),
VLOOKUP(FLOOR(('Final Term'!Z80/Z$5)*100,1),new_transmute,2,FALSE),
VLOOKUP('Final Term'!Z80,new_transmute,2,FALSE)
),
IF(Info!$B$4="Board program",
IF(OR(AND(Z$5&gt;0,Z$5&gt;100),AND(Z$5&gt;0,Z$5&lt;100)),
VLOOKUP(FLOOR(('Final Term'!Z80/Z$5)*100,1),new_transmute,3,FALSE),
VLOOKUP('Final Term'!Z80,new_transmute,3,FALSE)
),
IF(Info!$B$4="Board program (Medicine)",
IF(OR(AND(Z$5&gt;0,Z$5&gt;100),AND(Z$5&gt;0,Z$5&lt;100)),
VLOOKUP(FLOOR(('Final Term'!Z80/Z$5)*100,1),new_transmute,4,FALSE),
VLOOKUP('Final Term'!Z80,new_transmute,4,FALSE)
),
""
)
)
)
)
)
)
)
)
))</f>
        <v/>
      </c>
      <c r="AA80" s="73" t="str">
        <f>IF($B80="","",
IF(AA$5="","",
IF('Final Term'!AA80="",0,
IF(NOT(ISNUMBER('Final Term'!AA80)),"NAN",
IF('Final Term'!AA80&lt;0,"NEG",
IF('Final Term'!AA80&gt;AA$5,"OVER",
IF(AND(AA$5&lt;=100,'Final Term'!AA80&gt;100),"ERR",
IF(Info!$B$4="Non-board program",
IF(OR(AND(AA$5&gt;0,AA$5&gt;100),AND(AA$5&gt;0,AA$5&lt;100)),
VLOOKUP(FLOOR(('Final Term'!AA80/AA$5)*100,1),new_transmute,2,FALSE),
VLOOKUP('Final Term'!AA80,new_transmute,2,FALSE)
),
IF(Info!$B$4="Board program",
IF(OR(AND(AA$5&gt;0,AA$5&gt;100),AND(AA$5&gt;0,AA$5&lt;100)),
VLOOKUP(FLOOR(('Final Term'!AA80/AA$5)*100,1),new_transmute,3,FALSE),
VLOOKUP('Final Term'!AA80,new_transmute,3,FALSE)
),
IF(Info!$B$4="Board program (Medicine)",
IF(OR(AND(AA$5&gt;0,AA$5&gt;100),AND(AA$5&gt;0,AA$5&lt;100)),
VLOOKUP(FLOOR(('Final Term'!AA80/AA$5)*100,1),new_transmute,4,FALSE),
VLOOKUP('Final Term'!AA80,new_transmute,4,FALSE)
),
""
)
)
)
)
)
)
)
)
))</f>
        <v/>
      </c>
      <c r="AB80" s="73" t="str">
        <f>IF($B80="","",
IF(AB$5="","",
IF('Final Term'!AB80="",0,
IF(NOT(ISNUMBER('Final Term'!AB80)),"NAN",
IF('Final Term'!AB80&lt;0,"NEG",
IF('Final Term'!AB80&gt;AB$5,"OVER",
IF(AND(AB$5&lt;=100,'Final Term'!AB80&gt;100),"ERR",
IF(Info!$B$4="Non-board program",
IF(OR(AND(AB$5&gt;0,AB$5&gt;100),AND(AB$5&gt;0,AB$5&lt;100)),
VLOOKUP(FLOOR(('Final Term'!AB80/AB$5)*100,1),new_transmute,2,FALSE),
VLOOKUP('Final Term'!AB80,new_transmute,2,FALSE)
),
IF(Info!$B$4="Board program",
IF(OR(AND(AB$5&gt;0,AB$5&gt;100),AND(AB$5&gt;0,AB$5&lt;100)),
VLOOKUP(FLOOR(('Final Term'!AB80/AB$5)*100,1),new_transmute,3,FALSE),
VLOOKUP('Final Term'!AB80,new_transmute,3,FALSE)
),
IF(Info!$B$4="Board program (Medicine)",
IF(OR(AND(AB$5&gt;0,AB$5&gt;100),AND(AB$5&gt;0,AB$5&lt;100)),
VLOOKUP(FLOOR(('Final Term'!AB80/AB$5)*100,1),new_transmute,4,FALSE),
VLOOKUP('Final Term'!AB80,new_transmute,4,FALSE)
),
""
)
)
)
)
)
)
)
)
))</f>
        <v/>
      </c>
      <c r="AC80" s="73" t="str">
        <f>IF($B80="","",
IF(AC$5="","",
IF('Final Term'!AC80="",0,
IF(NOT(ISNUMBER('Final Term'!AC80)),"NAN",
IF('Final Term'!AC80&lt;0,"NEG",
IF('Final Term'!AC80&gt;AC$5,"OVER",
IF(AND(AC$5&lt;=100,'Final Term'!AC80&gt;100),"ERR",
IF(Info!$B$4="Non-board program",
IF(OR(AND(AC$5&gt;0,AC$5&gt;100),AND(AC$5&gt;0,AC$5&lt;100)),
VLOOKUP(FLOOR(('Final Term'!AC80/AC$5)*100,1),new_transmute,2,FALSE),
VLOOKUP('Final Term'!AC80,new_transmute,2,FALSE)
),
IF(Info!$B$4="Board program",
IF(OR(AND(AC$5&gt;0,AC$5&gt;100),AND(AC$5&gt;0,AC$5&lt;100)),
VLOOKUP(FLOOR(('Final Term'!AC80/AC$5)*100,1),new_transmute,3,FALSE),
VLOOKUP('Final Term'!AC80,new_transmute,3,FALSE)
),
IF(Info!$B$4="Board program (Medicine)",
IF(OR(AND(AC$5&gt;0,AC$5&gt;100),AND(AC$5&gt;0,AC$5&lt;100)),
VLOOKUP(FLOOR(('Final Term'!AC80/AC$5)*100,1),new_transmute,4,FALSE),
VLOOKUP('Final Term'!AC80,new_transmute,4,FALSE)
),
""
)
)
)
)
)
)
)
)
))</f>
        <v/>
      </c>
      <c r="AD80" s="73" t="str">
        <f>IF($B80="","",
IF(AD$5="","",
IF('Final Term'!AD80="",0,
IF(NOT(ISNUMBER('Final Term'!AD80)),"NAN",
IF('Final Term'!AD80&lt;0,"NEG",
IF('Final Term'!AD80&gt;AD$5,"OVER",
IF(AND(AD$5&lt;=100,'Final Term'!AD80&gt;100),"ERR",
IF(Info!$B$4="Non-board program",
IF(OR(AND(AD$5&gt;0,AD$5&gt;100),AND(AD$5&gt;0,AD$5&lt;100)),
VLOOKUP(FLOOR(('Final Term'!AD80/AD$5)*100,1),new_transmute,2,FALSE),
VLOOKUP('Final Term'!AD80,new_transmute,2,FALSE)
),
IF(Info!$B$4="Board program",
IF(OR(AND(AD$5&gt;0,AD$5&gt;100),AND(AD$5&gt;0,AD$5&lt;100)),
VLOOKUP(FLOOR(('Final Term'!AD80/AD$5)*100,1),new_transmute,3,FALSE),
VLOOKUP('Final Term'!AD80,new_transmute,3,FALSE)
),
IF(Info!$B$4="Board program (Medicine)",
IF(OR(AND(AD$5&gt;0,AD$5&gt;100),AND(AD$5&gt;0,AD$5&lt;100)),
VLOOKUP(FLOOR(('Final Term'!AD80/AD$5)*100,1),new_transmute,4,FALSE),
VLOOKUP('Final Term'!AD80,new_transmute,4,FALSE)
),
""
)
)
)
)
)
)
)
)
))</f>
        <v/>
      </c>
      <c r="AE80" s="58" t="str">
        <f t="shared" si="15"/>
        <v/>
      </c>
      <c r="AF80" s="73" t="str">
        <f>IF($B80="","",
IF(AF$5="","",
IF('Final Term'!AF80="",0,
IF(NOT(ISNUMBER('Final Term'!AF80)),"NAN",
IF('Final Term'!AF80&lt;0,"NEG",
IF('Final Term'!AF80&gt;AF$5,"OVER",
IF(AND(AF$5&lt;=100,'Final Term'!AF80&gt;100),"ERR",
IF(Info!$B$4="Non-board program",
IF(OR(AND(AF$5&gt;0,AF$5&gt;100),AND(AF$5&gt;0,AF$5&lt;100)),
VLOOKUP(FLOOR(('Final Term'!AF80/AF$5)*100,1),new_transmute,2,FALSE),
VLOOKUP('Final Term'!AF80,new_transmute,2,FALSE)
),
IF(Info!$B$4="Board program",
IF(OR(AND(AF$5&gt;0,AF$5&gt;100),AND(AF$5&gt;0,AF$5&lt;100)),
VLOOKUP(FLOOR(('Final Term'!AF80/AF$5)*100,1),new_transmute,3,FALSE),
VLOOKUP('Final Term'!AF80,new_transmute,3,FALSE)
),
IF(Info!$B$4="Board program (Medicine)",
IF(OR(AND(AF$5&gt;0,AF$5&gt;100),AND(AF$5&gt;0,AF$5&lt;100)),
VLOOKUP(FLOOR(('Final Term'!AF80/AF$5)*100,1),new_transmute,4,FALSE),
VLOOKUP('Final Term'!AF80,new_transmute,4,FALSE)
),
""
)
)
)
)
)
)
)
)
))</f>
        <v/>
      </c>
      <c r="AG80" s="73" t="str">
        <f>IF($B80="","",
IF(AG$5="","",
IF('Final Term'!AG80="",0,
IF(NOT(ISNUMBER('Final Term'!AG80)),"NAN",
IF('Final Term'!AG80&lt;0,"NEG",
IF('Final Term'!AG80&gt;AG$5,"OVER",
IF(AND(AG$5&lt;=100,'Final Term'!AG80&gt;100),"ERR",
IF(Info!$B$4="Non-board program",
IF(OR(AND(AG$5&gt;0,AG$5&gt;100),AND(AG$5&gt;0,AG$5&lt;100)),
VLOOKUP(FLOOR(('Final Term'!AG80/AG$5)*100,1),new_transmute,2,FALSE),
VLOOKUP('Final Term'!AG80,new_transmute,2,FALSE)
),
IF(Info!$B$4="Board program",
IF(OR(AND(AG$5&gt;0,AG$5&gt;100),AND(AG$5&gt;0,AG$5&lt;100)),
VLOOKUP(FLOOR(('Final Term'!AG80/AG$5)*100,1),new_transmute,3,FALSE),
VLOOKUP('Final Term'!AG80,new_transmute,3,FALSE)
),
IF(Info!$B$4="Board program (Medicine)",
IF(OR(AND(AG$5&gt;0,AG$5&gt;100),AND(AG$5&gt;0,AG$5&lt;100)),
VLOOKUP(FLOOR(('Final Term'!AG80/AG$5)*100,1),new_transmute,4,FALSE),
VLOOKUP('Final Term'!AG80,new_transmute,4,FALSE)
),
""
)
)
)
)
)
)
)
)
))</f>
        <v/>
      </c>
      <c r="AH80" s="73" t="str">
        <f>IF($B80="","",
IF(AH$5="","",
IF('Final Term'!AH80="",0,
IF(NOT(ISNUMBER('Final Term'!AH80)),"NAN",
IF('Final Term'!AH80&lt;0,"NEG",
IF('Final Term'!AH80&gt;AH$5,"OVER",
IF(AND(AH$5&lt;=100,'Final Term'!AH80&gt;100),"ERR",
IF(Info!$B$4="Non-board program",
IF(OR(AND(AH$5&gt;0,AH$5&gt;100),AND(AH$5&gt;0,AH$5&lt;100)),
VLOOKUP(FLOOR(('Final Term'!AH80/AH$5)*100,1),new_transmute,2,FALSE),
VLOOKUP('Final Term'!AH80,new_transmute,2,FALSE)
),
IF(Info!$B$4="Board program",
IF(OR(AND(AH$5&gt;0,AH$5&gt;100),AND(AH$5&gt;0,AH$5&lt;100)),
VLOOKUP(FLOOR(('Final Term'!AH80/AH$5)*100,1),new_transmute,3,FALSE),
VLOOKUP('Final Term'!AH80,new_transmute,3,FALSE)
),
IF(Info!$B$4="Board program (Medicine)",
IF(OR(AND(AH$5&gt;0,AH$5&gt;100),AND(AH$5&gt;0,AH$5&lt;100)),
VLOOKUP(FLOOR(('Final Term'!AH80/AH$5)*100,1),new_transmute,4,FALSE),
VLOOKUP('Final Term'!AH80,new_transmute,4,FALSE)
),
""
)
)
)
)
)
)
)
)
))</f>
        <v/>
      </c>
      <c r="AI80" s="73" t="str">
        <f>IF($B80="","",
IF(AI$5="","",
IF('Final Term'!AI80="",0,
IF(NOT(ISNUMBER('Final Term'!AI80)),"NAN",
IF('Final Term'!AI80&lt;0,"NEG",
IF('Final Term'!AI80&gt;AI$5,"OVER",
IF(AND(AI$5&lt;=100,'Final Term'!AI80&gt;100),"ERR",
IF(Info!$B$4="Non-board program",
IF(OR(AND(AI$5&gt;0,AI$5&gt;100),AND(AI$5&gt;0,AI$5&lt;100)),
VLOOKUP(FLOOR(('Final Term'!AI80/AI$5)*100,1),new_transmute,2,FALSE),
VLOOKUP('Final Term'!AI80,new_transmute,2,FALSE)
),
IF(Info!$B$4="Board program",
IF(OR(AND(AI$5&gt;0,AI$5&gt;100),AND(AI$5&gt;0,AI$5&lt;100)),
VLOOKUP(FLOOR(('Final Term'!AI80/AI$5)*100,1),new_transmute,3,FALSE),
VLOOKUP('Final Term'!AI80,new_transmute,3,FALSE)
),
IF(Info!$B$4="Board program (Medicine)",
IF(OR(AND(AI$5&gt;0,AI$5&gt;100),AND(AI$5&gt;0,AI$5&lt;100)),
VLOOKUP(FLOOR(('Final Term'!AI80/AI$5)*100,1),new_transmute,4,FALSE),
VLOOKUP('Final Term'!AI80,new_transmute,4,FALSE)
),
""
)
)
)
)
)
)
)
)
))</f>
        <v/>
      </c>
      <c r="AJ80" s="73" t="str">
        <f>IF($B80="","",
IF(AJ$5="","",
IF('Final Term'!AJ80="",0,
IF(NOT(ISNUMBER('Final Term'!AJ80)),"NAN",
IF('Final Term'!AJ80&lt;0,"NEG",
IF('Final Term'!AJ80&gt;AJ$5,"OVER",
IF(AND(AJ$5&lt;=100,'Final Term'!AJ80&gt;100),"ERR",
IF(Info!$B$4="Non-board program",
IF(OR(AND(AJ$5&gt;0,AJ$5&gt;100),AND(AJ$5&gt;0,AJ$5&lt;100)),
VLOOKUP(FLOOR(('Final Term'!AJ80/AJ$5)*100,1),new_transmute,2,FALSE),
VLOOKUP('Final Term'!AJ80,new_transmute,2,FALSE)
),
IF(Info!$B$4="Board program",
IF(OR(AND(AJ$5&gt;0,AJ$5&gt;100),AND(AJ$5&gt;0,AJ$5&lt;100)),
VLOOKUP(FLOOR(('Final Term'!AJ80/AJ$5)*100,1),new_transmute,3,FALSE),
VLOOKUP('Final Term'!AJ80,new_transmute,3,FALSE)
),
IF(Info!$B$4="Board program (Medicine)",
IF(OR(AND(AJ$5&gt;0,AJ$5&gt;100),AND(AJ$5&gt;0,AJ$5&lt;100)),
VLOOKUP(FLOOR(('Final Term'!AJ80/AJ$5)*100,1),new_transmute,4,FALSE),
VLOOKUP('Final Term'!AJ80,new_transmute,4,FALSE)
),
""
)
)
)
)
)
)
)
)
))</f>
        <v/>
      </c>
      <c r="AK80" s="59" t="str">
        <f t="shared" si="16"/>
        <v/>
      </c>
      <c r="AL80" s="60" t="str">
        <f>IF(B80="", "",
    IF(OR(M80="OVER", S80="OVER", Y80="OVER", AE80="OVER", AK80="OVER"),
        "OVER",
        IF(Info!$B$4="Non-board program",
            VLOOKUP(IFERROR(FLOOR(SUM((M80*$M$4), (S80*$S$4), (Y80*$Y$4), (AE80*$AE$4), (AK80*$AK$4)) * (100 / 60), 1), 0), new_transmute, 2, FALSE),
            IF(Info!$B$4="Board program",
                VLOOKUP(IFERROR(FLOOR(SUM((M80*$M$4), (S80*$S$4), (Y80*$Y$4), (AE80*$AE$4), (AK80*$AK$4)) * (100 / 60), 1), 0), new_transmute, 3, FALSE),
                IF(Info!$B$4="Board program (Medicine)",
                    VLOOKUP(IFERROR(FLOOR(SUM((M80*$M$4), (S80*$S$4), (Y80*$Y$4), (AE80*$AE$4), (AK80*$AK$4)) * (100 / 60), 1), 0), new_transmute, 4, FALSE),
                    ""
                )
            )
        )
    )
)</f>
        <v/>
      </c>
      <c r="AM80" s="73" t="str">
        <f>IF($B80="","",
IF(AM$5="","",
IF('Final Term'!AM80="",0,
IF(NOT(ISNUMBER('Final Term'!AM80)),"NAN",
IF('Final Term'!AM80&lt;0,"NEG",
IF('Final Term'!AM80&gt;AM$5,"OVER",
IF(AND(AM$5&lt;=100,'Final Term'!AM80&gt;100),"ERR",
IF(Info!$B$4="Non-board program",
IF(OR(AND(AM$5&gt;0,AM$5&gt;100),AND(AM$5&gt;0,AM$5&lt;100)),
VLOOKUP(FLOOR(('Final Term'!AM80/AM$5)*100,1),new_transmute,2,FALSE),
VLOOKUP('Final Term'!AM80,new_transmute,2,FALSE)
),
IF(Info!$B$4="Board program",
IF(OR(AND(AM$5&gt;0,AM$5&gt;100),AND(AM$5&gt;0,AM$5&lt;100)),
VLOOKUP(FLOOR(('Final Term'!AM80/AM$5)*100,1),new_transmute,3,FALSE),
VLOOKUP('Final Term'!AM80,new_transmute,3,FALSE)
),
IF(Info!$B$4="Board program (Medicine)",
IF(OR(AND(AM$5&gt;0,AM$5&gt;100),AND(AM$5&gt;0,AM$5&lt;100)),
VLOOKUP(FLOOR(('Final Term'!AM80/AM$5)*100,1),new_transmute,4,FALSE),
VLOOKUP('Final Term'!AM80,new_transmute,4,FALSE)
),
""
)
)
)
)
)
)
)
)
))</f>
        <v/>
      </c>
      <c r="AN80" s="73" t="str">
        <f>IF($B80="","",
IF(AN$5="","",
IF('Final Term'!AN80="",0,
IF(NOT(ISNUMBER('Final Term'!AN80)),"NAN",
IF('Final Term'!AN80&lt;0,"NEG",
IF('Final Term'!AN80&gt;AN$5,"OVER",
IF(AND(AN$5&lt;=100,'Final Term'!AN80&gt;100),"ERR",
IF(Info!$B$4="Non-board program",
IF(OR(AND(AN$5&gt;0,AN$5&gt;100),AND(AN$5&gt;0,AN$5&lt;100)),
VLOOKUP(FLOOR(('Final Term'!AN80/AN$5)*100,1),new_transmute,2,FALSE),
VLOOKUP('Final Term'!AN80,new_transmute,2,FALSE)
),
IF(Info!$B$4="Board program",
IF(OR(AND(AN$5&gt;0,AN$5&gt;100),AND(AN$5&gt;0,AN$5&lt;100)),
VLOOKUP(FLOOR(('Final Term'!AN80/AN$5)*100,1),new_transmute,3,FALSE),
VLOOKUP('Final Term'!AN80,new_transmute,3,FALSE)
),
IF(Info!$B$4="Board program (Medicine)",
IF(OR(AND(AN$5&gt;0,AN$5&gt;100),AND(AN$5&gt;0,AN$5&lt;100)),
VLOOKUP(FLOOR(('Final Term'!AN80/AN$5)*100,1),new_transmute,4,FALSE),
VLOOKUP('Final Term'!AN80,new_transmute,4,FALSE)
),
""
)
)
)
)
)
)
)
)
))</f>
        <v/>
      </c>
      <c r="AO80" s="73" t="str">
        <f>IF($B80="","",
IF(AO$5="","",
IF('Final Term'!AO80="",0,
IF(NOT(ISNUMBER('Final Term'!AO80)),"NAN",
IF('Final Term'!AO80&lt;0,"NEG",
IF('Final Term'!AO80&gt;AO$5,"OVER",
IF(AND(AO$5&lt;=100,'Final Term'!AO80&gt;100),"ERR",
IF(Info!$B$4="Non-board program",
IF(OR(AND(AO$5&gt;0,AO$5&gt;100),AND(AO$5&gt;0,AO$5&lt;100)),
VLOOKUP(FLOOR(('Final Term'!AO80/AO$5)*100,1),new_transmute,2,FALSE),
VLOOKUP('Final Term'!AO80,new_transmute,2,FALSE)
),
IF(Info!$B$4="Board program",
IF(OR(AND(AO$5&gt;0,AO$5&gt;100),AND(AO$5&gt;0,AO$5&lt;100)),
VLOOKUP(FLOOR(('Final Term'!AO80/AO$5)*100,1),new_transmute,3,FALSE),
VLOOKUP('Final Term'!AO80,new_transmute,3,FALSE)
),
IF(Info!$B$4="Board program (Medicine)",
IF(OR(AND(AO$5&gt;0,AO$5&gt;100),AND(AO$5&gt;0,AO$5&lt;100)),
VLOOKUP(FLOOR(('Final Term'!AO80/AO$5)*100,1),new_transmute,4,FALSE),
VLOOKUP('Final Term'!AO80,new_transmute,4,FALSE)
),
""
)
)
)
)
)
)
)
)
))</f>
        <v/>
      </c>
      <c r="AP80" s="73" t="str">
        <f>IF($B80="","",
IF(AP$5="","",
IF('Final Term'!AP80="",0,
IF(NOT(ISNUMBER('Final Term'!AP80)),"NAN",
IF('Final Term'!AP80&lt;0,"NEG",
IF('Final Term'!AP80&gt;AP$5,"OVER",
IF(AND(AP$5&lt;=100,'Final Term'!AP80&gt;100),"ERR",
IF(Info!$B$4="Non-board program",
IF(OR(AND(AP$5&gt;0,AP$5&gt;100),AND(AP$5&gt;0,AP$5&lt;100)),
VLOOKUP(FLOOR(('Final Term'!AP80/AP$5)*100,1),new_transmute,2,FALSE),
VLOOKUP('Final Term'!AP80,new_transmute,2,FALSE)
),
IF(Info!$B$4="Board program",
IF(OR(AND(AP$5&gt;0,AP$5&gt;100),AND(AP$5&gt;0,AP$5&lt;100)),
VLOOKUP(FLOOR(('Final Term'!AP80/AP$5)*100,1),new_transmute,3,FALSE),
VLOOKUP('Final Term'!AP80,new_transmute,3,FALSE)
),
IF(Info!$B$4="Board program (Medicine)",
IF(OR(AND(AP$5&gt;0,AP$5&gt;100),AND(AP$5&gt;0,AP$5&lt;100)),
VLOOKUP(FLOOR(('Final Term'!AP80/AP$5)*100,1),new_transmute,4,FALSE),
VLOOKUP('Final Term'!AP80,new_transmute,4,FALSE)
),
""
)
)
)
)
)
)
)
)
))</f>
        <v/>
      </c>
      <c r="AQ80" s="61" t="str">
        <f t="shared" si="17"/>
        <v/>
      </c>
      <c r="AR80" s="48" t="str">
        <f>IF('Final Term'!AR80="","",'Final Term'!AR80)</f>
        <v/>
      </c>
      <c r="AS80" s="165" t="str">
        <f t="shared" si="18"/>
        <v/>
      </c>
      <c r="AT80" s="14" t="str">
        <f t="shared" si="19"/>
        <v/>
      </c>
      <c r="AU80" s="13" t="str">
        <f>IF(B80="","",VLOOKUP(AT80,'New Grade Equivalent'!$B$3:$C$47,2,FALSE))</f>
        <v/>
      </c>
    </row>
    <row r="81" spans="1:47" x14ac:dyDescent="0.25">
      <c r="A81" s="8">
        <v>76</v>
      </c>
      <c r="B81" s="2" t="str">
        <f>IF('Student List'!C85="","",UPPER(LEFT('Student List'!C85,FIND(",",'Student List'!C85)-1)))</f>
        <v/>
      </c>
      <c r="C81" s="12" t="str">
        <f>IF('Student List'!C85="","",PROPER(MID('Student List'!C85, FIND(",", 'Student List'!C85) + 2, LEN('Student List'!C85) - FIND(",", 'Student List'!C85) - 1)))</f>
        <v/>
      </c>
      <c r="D81" s="127" t="str">
        <f>IF('Final Term'!D81="","",'Final Term'!D81)</f>
        <v/>
      </c>
      <c r="E81" s="8" t="str">
        <f>IF(MidCom!E81="FA", "FA",
    IF(MidCom!E81="DRP", "DRP",
        IF(MidCom!E81="WF", "WF",
            IF(D81="Yes", "INC",
               IF((SUM('MT Attendance'!AW79) / 3 + SUM('MT Attendance'!AY79) + SUM('FT Attendance'!AW79) / 3 + SUM('FT Attendance'!AY79)) &gt;= 0.2 * (SUMPRODUCT(--(ISTEXT('MT Attendance'!$C$2:$AU$2))) + SUMPRODUCT(--(ISTEXT('FT Attendance'!$C$2:$AU$2)))), "FA",
                   MidCom!E81
                )
            )
        )
    )
)</f>
        <v/>
      </c>
      <c r="F81" s="73" t="str">
        <f>IF($B81="","",
IF(F$5="","",
IF('Final Term'!F81="",0,
IF(NOT(ISNUMBER('Final Term'!F81)),"NAN",
IF('Final Term'!F81&lt;0,"NEG",
IF('Final Term'!F81&gt;F$5,"OVER",
IF(AND(F$5&lt;=100,'Final Term'!F81&gt;100),"ERR",
IF(Info!$B$4="Non-board program",
IF(OR(AND(F$5&gt;0,F$5&gt;100),AND(F$5&gt;0,F$5&lt;100)),
VLOOKUP(FLOOR(('Final Term'!F81/F$5)*100,1),new_transmute,2,FALSE),
VLOOKUP('Final Term'!F81,new_transmute,2,FALSE)
),
IF(Info!$B$4="Board program",
IF(OR(AND(F$5&gt;0,F$5&gt;100),AND(F$5&gt;0,F$5&lt;100)),
VLOOKUP(FLOOR(('Final Term'!F81/F$5)*100,1),new_transmute,3,FALSE),
VLOOKUP('Final Term'!F81,new_transmute,3,FALSE)
),
IF(Info!$B$4="Board program (Medicine)",
IF(OR(AND(F$5&gt;0,F$5&gt;100),AND(F$5&gt;0,F$5&lt;100)),
VLOOKUP(FLOOR(('Final Term'!F81/F$5)*100,1),new_transmute,4,FALSE),
VLOOKUP('Final Term'!F81,new_transmute,4,FALSE)
),
""
)
)
)
)
)
)
)
)
))</f>
        <v/>
      </c>
      <c r="G81" s="57" t="str">
        <f t="shared" si="11"/>
        <v/>
      </c>
      <c r="H81" s="73" t="str">
        <f>IF($B81="","",
IF(H$5="","",
IF('Final Term'!H81="",0,
IF(NOT(ISNUMBER('Final Term'!H81)),"NAN",
IF('Final Term'!H81&lt;0,"NEG",
IF('Final Term'!H81&gt;H$5,"OVER",
IF(AND(H$5&lt;=100,'Final Term'!H81&gt;100),"ERR",
IF(Info!$B$4="Non-board program",
IF(OR(AND(H$5&gt;0,H$5&gt;100),AND(H$5&gt;0,H$5&lt;100)),
VLOOKUP(FLOOR(('Final Term'!H81/H$5)*100,1),new_transmute,2,FALSE),
VLOOKUP('Final Term'!H81,new_transmute,2,FALSE)
),
IF(Info!$B$4="Board program",
IF(OR(AND(H$5&gt;0,H$5&gt;100),AND(H$5&gt;0,H$5&lt;100)),
VLOOKUP(FLOOR(('Final Term'!H81/H$5)*100,1),new_transmute,3,FALSE),
VLOOKUP('Final Term'!H81,new_transmute,3,FALSE)
),
IF(Info!$B$4="Board program (Medicine)",
IF(OR(AND(H$5&gt;0,H$5&gt;100),AND(H$5&gt;0,H$5&lt;100)),
VLOOKUP(FLOOR(('Final Term'!H81/H$5)*100,1),new_transmute,4,FALSE),
VLOOKUP('Final Term'!H81,new_transmute,4,FALSE)
),
""
)
)
)
)
)
)
)
)
))</f>
        <v/>
      </c>
      <c r="I81" s="73" t="str">
        <f>IF($B81="","",
IF(I$5="","",
IF('Final Term'!I81="",0,
IF(NOT(ISNUMBER('Final Term'!I81)),"NAN",
IF('Final Term'!I81&lt;0,"NEG",
IF('Final Term'!I81&gt;I$5,"OVER",
IF(AND(I$5&lt;=100,'Final Term'!I81&gt;100),"ERR",
IF(Info!$B$4="Non-board program",
IF(OR(AND(I$5&gt;0,I$5&gt;100),AND(I$5&gt;0,I$5&lt;100)),
VLOOKUP(FLOOR(('Final Term'!I81/I$5)*100,1),new_transmute,2,FALSE),
VLOOKUP('Final Term'!I81,new_transmute,2,FALSE)
),
IF(Info!$B$4="Board program",
IF(OR(AND(I$5&gt;0,I$5&gt;100),AND(I$5&gt;0,I$5&lt;100)),
VLOOKUP(FLOOR(('Final Term'!I81/I$5)*100,1),new_transmute,3,FALSE),
VLOOKUP('Final Term'!I81,new_transmute,3,FALSE)
),
IF(Info!$B$4="Board program (Medicine)",
IF(OR(AND(I$5&gt;0,I$5&gt;100),AND(I$5&gt;0,I$5&lt;100)),
VLOOKUP(FLOOR(('Final Term'!I81/I$5)*100,1),new_transmute,4,FALSE),
VLOOKUP('Final Term'!I81,new_transmute,4,FALSE)
),
""
)
)
)
)
)
)
)
)
))</f>
        <v/>
      </c>
      <c r="J81" s="73" t="str">
        <f>IF($B81="","",
IF(J$5="","",
IF('Final Term'!J81="",0,
IF(NOT(ISNUMBER('Final Term'!J81)),"NAN",
IF('Final Term'!J81&lt;0,"NEG",
IF('Final Term'!J81&gt;J$5,"OVER",
IF(AND(J$5&lt;=100,'Final Term'!J81&gt;100),"ERR",
IF(Info!$B$4="Non-board program",
IF(OR(AND(J$5&gt;0,J$5&gt;100),AND(J$5&gt;0,J$5&lt;100)),
VLOOKUP(FLOOR(('Final Term'!J81/J$5)*100,1),new_transmute,2,FALSE),
VLOOKUP('Final Term'!J81,new_transmute,2,FALSE)
),
IF(Info!$B$4="Board program",
IF(OR(AND(J$5&gt;0,J$5&gt;100),AND(J$5&gt;0,J$5&lt;100)),
VLOOKUP(FLOOR(('Final Term'!J81/J$5)*100,1),new_transmute,3,FALSE),
VLOOKUP('Final Term'!J81,new_transmute,3,FALSE)
),
IF(Info!$B$4="Board program (Medicine)",
IF(OR(AND(J$5&gt;0,J$5&gt;100),AND(J$5&gt;0,J$5&lt;100)),
VLOOKUP(FLOOR(('Final Term'!J81/J$5)*100,1),new_transmute,4,FALSE),
VLOOKUP('Final Term'!J81,new_transmute,4,FALSE)
),
""
)
)
)
)
)
)
)
)
))</f>
        <v/>
      </c>
      <c r="K81" s="73" t="str">
        <f>IF($B81="","",
IF(K$5="","",
IF('Final Term'!K81="",0,
IF(NOT(ISNUMBER('Final Term'!K81)),"NAN",
IF('Final Term'!K81&lt;0,"NEG",
IF('Final Term'!K81&gt;K$5,"OVER",
IF(AND(K$5&lt;=100,'Final Term'!K81&gt;100),"ERR",
IF(Info!$B$4="Non-board program",
IF(OR(AND(K$5&gt;0,K$5&gt;100),AND(K$5&gt;0,K$5&lt;100)),
VLOOKUP(FLOOR(('Final Term'!K81/K$5)*100,1),new_transmute,2,FALSE),
VLOOKUP('Final Term'!K81,new_transmute,2,FALSE)
),
IF(Info!$B$4="Board program",
IF(OR(AND(K$5&gt;0,K$5&gt;100),AND(K$5&gt;0,K$5&lt;100)),
VLOOKUP(FLOOR(('Final Term'!K81/K$5)*100,1),new_transmute,3,FALSE),
VLOOKUP('Final Term'!K81,new_transmute,3,FALSE)
),
IF(Info!$B$4="Board program (Medicine)",
IF(OR(AND(K$5&gt;0,K$5&gt;100),AND(K$5&gt;0,K$5&lt;100)),
VLOOKUP(FLOOR(('Final Term'!K81/K$5)*100,1),new_transmute,4,FALSE),
VLOOKUP('Final Term'!K81,new_transmute,4,FALSE)
),
""
)
)
)
)
)
)
)
)
))</f>
        <v/>
      </c>
      <c r="L81" s="73" t="str">
        <f>IF($B81="","",
IF(L$5="","",
IF('Final Term'!L81="",0,
IF(NOT(ISNUMBER('Final Term'!L81)),"NAN",
IF('Final Term'!L81&lt;0,"NEG",
IF('Final Term'!L81&gt;L$5,"OVER",
IF(AND(L$5&lt;=100,'Final Term'!L81&gt;100),"ERR",
IF(Info!$B$4="Non-board program",
IF(OR(AND(L$5&gt;0,L$5&gt;100),AND(L$5&gt;0,L$5&lt;100)),
VLOOKUP(FLOOR(('Final Term'!L81/L$5)*100,1),new_transmute,2,FALSE),
VLOOKUP('Final Term'!L81,new_transmute,2,FALSE)
),
IF(Info!$B$4="Board program",
IF(OR(AND(L$5&gt;0,L$5&gt;100),AND(L$5&gt;0,L$5&lt;100)),
VLOOKUP(FLOOR(('Final Term'!L81/L$5)*100,1),new_transmute,3,FALSE),
VLOOKUP('Final Term'!L81,new_transmute,3,FALSE)
),
IF(Info!$B$4="Board program (Medicine)",
IF(OR(AND(L$5&gt;0,L$5&gt;100),AND(L$5&gt;0,L$5&lt;100)),
VLOOKUP(FLOOR(('Final Term'!L81/L$5)*100,1),new_transmute,4,FALSE),
VLOOKUP('Final Term'!L81,new_transmute,4,FALSE)
),
""
)
)
)
)
)
)
)
)
))</f>
        <v/>
      </c>
      <c r="M81" s="111" t="str">
        <f t="shared" si="12"/>
        <v/>
      </c>
      <c r="N81" s="73" t="str">
        <f>IF($B81="","",
IF(N$5="","",
IF('Final Term'!N81="",0,
IF(NOT(ISNUMBER('Final Term'!N81)),"NAN",
IF('Final Term'!N81&lt;0,"NEG",
IF('Final Term'!N81&gt;N$5,"OVER",
IF(AND(N$5&lt;=100,'Final Term'!N81&gt;100),"ERR",
IF(Info!$B$4="Non-board program",
IF(OR(AND(N$5&gt;0,N$5&gt;100),AND(N$5&gt;0,N$5&lt;100)),
VLOOKUP(FLOOR(('Final Term'!N81/N$5)*100,1),new_transmute,2,FALSE),
VLOOKUP('Final Term'!N81,new_transmute,2,FALSE)
),
IF(Info!$B$4="Board program",
IF(OR(AND(N$5&gt;0,N$5&gt;100),AND(N$5&gt;0,N$5&lt;100)),
VLOOKUP(FLOOR(('Final Term'!N81/N$5)*100,1),new_transmute,3,FALSE),
VLOOKUP('Final Term'!N81,new_transmute,3,FALSE)
),
IF(Info!$B$4="Board program (Medicine)",
IF(OR(AND(N$5&gt;0,N$5&gt;100),AND(N$5&gt;0,N$5&lt;100)),
VLOOKUP(FLOOR(('Final Term'!N81/N$5)*100,1),new_transmute,4,FALSE),
VLOOKUP('Final Term'!N81,new_transmute,4,FALSE)
),
""
)
)
)
)
)
)
)
)
))</f>
        <v/>
      </c>
      <c r="O81" s="73" t="str">
        <f>IF($B81="","",
IF(O$5="","",
IF('Final Term'!O81="",0,
IF(NOT(ISNUMBER('Final Term'!O81)),"NAN",
IF('Final Term'!O81&lt;0,"NEG",
IF('Final Term'!O81&gt;O$5,"OVER",
IF(AND(O$5&lt;=100,'Final Term'!O81&gt;100),"ERR",
IF(Info!$B$4="Non-board program",
IF(OR(AND(O$5&gt;0,O$5&gt;100),AND(O$5&gt;0,O$5&lt;100)),
VLOOKUP(FLOOR(('Final Term'!O81/O$5)*100,1),new_transmute,2,FALSE),
VLOOKUP('Final Term'!O81,new_transmute,2,FALSE)
),
IF(Info!$B$4="Board program",
IF(OR(AND(O$5&gt;0,O$5&gt;100),AND(O$5&gt;0,O$5&lt;100)),
VLOOKUP(FLOOR(('Final Term'!O81/O$5)*100,1),new_transmute,3,FALSE),
VLOOKUP('Final Term'!O81,new_transmute,3,FALSE)
),
IF(Info!$B$4="Board program (Medicine)",
IF(OR(AND(O$5&gt;0,O$5&gt;100),AND(O$5&gt;0,O$5&lt;100)),
VLOOKUP(FLOOR(('Final Term'!O81/O$5)*100,1),new_transmute,4,FALSE),
VLOOKUP('Final Term'!O81,new_transmute,4,FALSE)
),
""
)
)
)
)
)
)
)
)
))</f>
        <v/>
      </c>
      <c r="P81" s="73" t="str">
        <f>IF($B81="","",
IF(P$5="","",
IF('Final Term'!P81="",0,
IF(NOT(ISNUMBER('Final Term'!P81)),"NAN",
IF('Final Term'!P81&lt;0,"NEG",
IF('Final Term'!P81&gt;P$5,"OVER",
IF(AND(P$5&lt;=100,'Final Term'!P81&gt;100),"ERR",
IF(Info!$B$4="Non-board program",
IF(OR(AND(P$5&gt;0,P$5&gt;100),AND(P$5&gt;0,P$5&lt;100)),
VLOOKUP(FLOOR(('Final Term'!P81/P$5)*100,1),new_transmute,2,FALSE),
VLOOKUP('Final Term'!P81,new_transmute,2,FALSE)
),
IF(Info!$B$4="Board program",
IF(OR(AND(P$5&gt;0,P$5&gt;100),AND(P$5&gt;0,P$5&lt;100)),
VLOOKUP(FLOOR(('Final Term'!P81/P$5)*100,1),new_transmute,3,FALSE),
VLOOKUP('Final Term'!P81,new_transmute,3,FALSE)
),
IF(Info!$B$4="Board program (Medicine)",
IF(OR(AND(P$5&gt;0,P$5&gt;100),AND(P$5&gt;0,P$5&lt;100)),
VLOOKUP(FLOOR(('Final Term'!P81/P$5)*100,1),new_transmute,4,FALSE),
VLOOKUP('Final Term'!P81,new_transmute,4,FALSE)
),
""
)
)
)
)
)
)
)
)
))</f>
        <v/>
      </c>
      <c r="Q81" s="73" t="str">
        <f>IF($B81="","",
IF(Q$5="","",
IF('Final Term'!Q81="",0,
IF(NOT(ISNUMBER('Final Term'!Q81)),"NAN",
IF('Final Term'!Q81&lt;0,"NEG",
IF('Final Term'!Q81&gt;Q$5,"OVER",
IF(AND(Q$5&lt;=100,'Final Term'!Q81&gt;100),"ERR",
IF(Info!$B$4="Non-board program",
IF(OR(AND(Q$5&gt;0,Q$5&gt;100),AND(Q$5&gt;0,Q$5&lt;100)),
VLOOKUP(FLOOR(('Final Term'!Q81/Q$5)*100,1),new_transmute,2,FALSE),
VLOOKUP('Final Term'!Q81,new_transmute,2,FALSE)
),
IF(Info!$B$4="Board program",
IF(OR(AND(Q$5&gt;0,Q$5&gt;100),AND(Q$5&gt;0,Q$5&lt;100)),
VLOOKUP(FLOOR(('Final Term'!Q81/Q$5)*100,1),new_transmute,3,FALSE),
VLOOKUP('Final Term'!Q81,new_transmute,3,FALSE)
),
IF(Info!$B$4="Board program (Medicine)",
IF(OR(AND(Q$5&gt;0,Q$5&gt;100),AND(Q$5&gt;0,Q$5&lt;100)),
VLOOKUP(FLOOR(('Final Term'!Q81/Q$5)*100,1),new_transmute,4,FALSE),
VLOOKUP('Final Term'!Q81,new_transmute,4,FALSE)
),
""
)
)
)
)
)
)
)
)
))</f>
        <v/>
      </c>
      <c r="R81" s="73" t="str">
        <f>IF($B81="","",
IF(R$5="","",
IF('Final Term'!R81="",0,
IF(NOT(ISNUMBER('Final Term'!R81)),"NAN",
IF('Final Term'!R81&lt;0,"NEG",
IF('Final Term'!R81&gt;R$5,"OVER",
IF(AND(R$5&lt;=100,'Final Term'!R81&gt;100),"ERR",
IF(Info!$B$4="Non-board program",
IF(OR(AND(R$5&gt;0,R$5&gt;100),AND(R$5&gt;0,R$5&lt;100)),
VLOOKUP(FLOOR(('Final Term'!R81/R$5)*100,1),new_transmute,2,FALSE),
VLOOKUP('Final Term'!R81,new_transmute,2,FALSE)
),
IF(Info!$B$4="Board program",
IF(OR(AND(R$5&gt;0,R$5&gt;100),AND(R$5&gt;0,R$5&lt;100)),
VLOOKUP(FLOOR(('Final Term'!R81/R$5)*100,1),new_transmute,3,FALSE),
VLOOKUP('Final Term'!R81,new_transmute,3,FALSE)
),
IF(Info!$B$4="Board program (Medicine)",
IF(OR(AND(R$5&gt;0,R$5&gt;100),AND(R$5&gt;0,R$5&lt;100)),
VLOOKUP(FLOOR(('Final Term'!R81/R$5)*100,1),new_transmute,4,FALSE),
VLOOKUP('Final Term'!R81,new_transmute,4,FALSE)
),
""
)
)
)
)
)
)
)
)
))</f>
        <v/>
      </c>
      <c r="S81" s="115" t="str">
        <f t="shared" si="13"/>
        <v/>
      </c>
      <c r="T81" s="73" t="str">
        <f>IF($B81="","",
IF(T$5="","",
IF('Final Term'!T81="",0,
IF(NOT(ISNUMBER('Final Term'!T81)),"NAN",
IF('Final Term'!T81&lt;0,"NEG",
IF('Final Term'!T81&gt;T$5,"OVER",
IF(AND(T$5&lt;=100,'Final Term'!T81&gt;100),"ERR",
IF(Info!$B$4="Non-board program",
IF(OR(AND(T$5&gt;0,T$5&gt;100),AND(T$5&gt;0,T$5&lt;100)),
VLOOKUP(FLOOR(('Final Term'!T81/T$5)*100,1),new_transmute,2,FALSE),
VLOOKUP('Final Term'!T81,new_transmute,2,FALSE)
),
IF(Info!$B$4="Board program",
IF(OR(AND(T$5&gt;0,T$5&gt;100),AND(T$5&gt;0,T$5&lt;100)),
VLOOKUP(FLOOR(('Final Term'!T81/T$5)*100,1),new_transmute,3,FALSE),
VLOOKUP('Final Term'!T81,new_transmute,3,FALSE)
),
IF(Info!$B$4="Board program (Medicine)",
IF(OR(AND(T$5&gt;0,T$5&gt;100),AND(T$5&gt;0,T$5&lt;100)),
VLOOKUP(FLOOR(('Final Term'!T81/T$5)*100,1),new_transmute,4,FALSE),
VLOOKUP('Final Term'!T81,new_transmute,4,FALSE)
),
""
)
)
)
)
)
)
)
)
))</f>
        <v/>
      </c>
      <c r="U81" s="73" t="str">
        <f>IF($B81="","",
IF(U$5="","",
IF('Final Term'!U81="",0,
IF(NOT(ISNUMBER('Final Term'!U81)),"NAN",
IF('Final Term'!U81&lt;0,"NEG",
IF('Final Term'!U81&gt;U$5,"OVER",
IF(AND(U$5&lt;=100,'Final Term'!U81&gt;100),"ERR",
IF(Info!$B$4="Non-board program",
IF(OR(AND(U$5&gt;0,U$5&gt;100),AND(U$5&gt;0,U$5&lt;100)),
VLOOKUP(FLOOR(('Final Term'!U81/U$5)*100,1),new_transmute,2,FALSE),
VLOOKUP('Final Term'!U81,new_transmute,2,FALSE)
),
IF(Info!$B$4="Board program",
IF(OR(AND(U$5&gt;0,U$5&gt;100),AND(U$5&gt;0,U$5&lt;100)),
VLOOKUP(FLOOR(('Final Term'!U81/U$5)*100,1),new_transmute,3,FALSE),
VLOOKUP('Final Term'!U81,new_transmute,3,FALSE)
),
IF(Info!$B$4="Board program (Medicine)",
IF(OR(AND(U$5&gt;0,U$5&gt;100),AND(U$5&gt;0,U$5&lt;100)),
VLOOKUP(FLOOR(('Final Term'!U81/U$5)*100,1),new_transmute,4,FALSE),
VLOOKUP('Final Term'!U81,new_transmute,4,FALSE)
),
""
)
)
)
)
)
)
)
)
))</f>
        <v/>
      </c>
      <c r="V81" s="73" t="str">
        <f>IF($B81="","",
IF(V$5="","",
IF('Final Term'!V81="",0,
IF(NOT(ISNUMBER('Final Term'!V81)),"NAN",
IF('Final Term'!V81&lt;0,"NEG",
IF('Final Term'!V81&gt;V$5,"OVER",
IF(AND(V$5&lt;=100,'Final Term'!V81&gt;100),"ERR",
IF(Info!$B$4="Non-board program",
IF(OR(AND(V$5&gt;0,V$5&gt;100),AND(V$5&gt;0,V$5&lt;100)),
VLOOKUP(FLOOR(('Final Term'!V81/V$5)*100,1),new_transmute,2,FALSE),
VLOOKUP('Final Term'!V81,new_transmute,2,FALSE)
),
IF(Info!$B$4="Board program",
IF(OR(AND(V$5&gt;0,V$5&gt;100),AND(V$5&gt;0,V$5&lt;100)),
VLOOKUP(FLOOR(('Final Term'!V81/V$5)*100,1),new_transmute,3,FALSE),
VLOOKUP('Final Term'!V81,new_transmute,3,FALSE)
),
IF(Info!$B$4="Board program (Medicine)",
IF(OR(AND(V$5&gt;0,V$5&gt;100),AND(V$5&gt;0,V$5&lt;100)),
VLOOKUP(FLOOR(('Final Term'!V81/V$5)*100,1),new_transmute,4,FALSE),
VLOOKUP('Final Term'!V81,new_transmute,4,FALSE)
),
""
)
)
)
)
)
)
)
)
))</f>
        <v/>
      </c>
      <c r="W81" s="73" t="str">
        <f>IF($B81="","",
IF(W$5="","",
IF('Final Term'!W81="",0,
IF(NOT(ISNUMBER('Final Term'!W81)),"NAN",
IF('Final Term'!W81&lt;0,"NEG",
IF('Final Term'!W81&gt;W$5,"OVER",
IF(AND(W$5&lt;=100,'Final Term'!W81&gt;100),"ERR",
IF(Info!$B$4="Non-board program",
IF(OR(AND(W$5&gt;0,W$5&gt;100),AND(W$5&gt;0,W$5&lt;100)),
VLOOKUP(FLOOR(('Final Term'!W81/W$5)*100,1),new_transmute,2,FALSE),
VLOOKUP('Final Term'!W81,new_transmute,2,FALSE)
),
IF(Info!$B$4="Board program",
IF(OR(AND(W$5&gt;0,W$5&gt;100),AND(W$5&gt;0,W$5&lt;100)),
VLOOKUP(FLOOR(('Final Term'!W81/W$5)*100,1),new_transmute,3,FALSE),
VLOOKUP('Final Term'!W81,new_transmute,3,FALSE)
),
IF(Info!$B$4="Board program (Medicine)",
IF(OR(AND(W$5&gt;0,W$5&gt;100),AND(W$5&gt;0,W$5&lt;100)),
VLOOKUP(FLOOR(('Final Term'!W81/W$5)*100,1),new_transmute,4,FALSE),
VLOOKUP('Final Term'!W81,new_transmute,4,FALSE)
),
""
)
)
)
)
)
)
)
)
))</f>
        <v/>
      </c>
      <c r="X81" s="73" t="str">
        <f>IF($B81="","",
IF(X$5="","",
IF('Final Term'!X81="",0,
IF(NOT(ISNUMBER('Final Term'!X81)),"NAN",
IF('Final Term'!X81&lt;0,"NEG",
IF('Final Term'!X81&gt;X$5,"OVER",
IF(AND(X$5&lt;=100,'Final Term'!X81&gt;100),"ERR",
IF(Info!$B$4="Non-board program",
IF(OR(AND(X$5&gt;0,X$5&gt;100),AND(X$5&gt;0,X$5&lt;100)),
VLOOKUP(FLOOR(('Final Term'!X81/X$5)*100,1),new_transmute,2,FALSE),
VLOOKUP('Final Term'!X81,new_transmute,2,FALSE)
),
IF(Info!$B$4="Board program",
IF(OR(AND(X$5&gt;0,X$5&gt;100),AND(X$5&gt;0,X$5&lt;100)),
VLOOKUP(FLOOR(('Final Term'!X81/X$5)*100,1),new_transmute,3,FALSE),
VLOOKUP('Final Term'!X81,new_transmute,3,FALSE)
),
IF(Info!$B$4="Board program (Medicine)",
IF(OR(AND(X$5&gt;0,X$5&gt;100),AND(X$5&gt;0,X$5&lt;100)),
VLOOKUP(FLOOR(('Final Term'!X81/X$5)*100,1),new_transmute,4,FALSE),
VLOOKUP('Final Term'!X81,new_transmute,4,FALSE)
),
""
)
)
)
)
)
)
)
)
))</f>
        <v/>
      </c>
      <c r="Y81" s="112" t="str">
        <f t="shared" si="14"/>
        <v/>
      </c>
      <c r="Z81" s="73" t="str">
        <f>IF($B81="","",
IF(Z$5="","",
IF('Final Term'!Z81="",0,
IF(NOT(ISNUMBER('Final Term'!Z81)),"NAN",
IF('Final Term'!Z81&lt;0,"NEG",
IF('Final Term'!Z81&gt;Z$5,"OVER",
IF(AND(Z$5&lt;=100,'Final Term'!Z81&gt;100),"ERR",
IF(Info!$B$4="Non-board program",
IF(OR(AND(Z$5&gt;0,Z$5&gt;100),AND(Z$5&gt;0,Z$5&lt;100)),
VLOOKUP(FLOOR(('Final Term'!Z81/Z$5)*100,1),new_transmute,2,FALSE),
VLOOKUP('Final Term'!Z81,new_transmute,2,FALSE)
),
IF(Info!$B$4="Board program",
IF(OR(AND(Z$5&gt;0,Z$5&gt;100),AND(Z$5&gt;0,Z$5&lt;100)),
VLOOKUP(FLOOR(('Final Term'!Z81/Z$5)*100,1),new_transmute,3,FALSE),
VLOOKUP('Final Term'!Z81,new_transmute,3,FALSE)
),
IF(Info!$B$4="Board program (Medicine)",
IF(OR(AND(Z$5&gt;0,Z$5&gt;100),AND(Z$5&gt;0,Z$5&lt;100)),
VLOOKUP(FLOOR(('Final Term'!Z81/Z$5)*100,1),new_transmute,4,FALSE),
VLOOKUP('Final Term'!Z81,new_transmute,4,FALSE)
),
""
)
)
)
)
)
)
)
)
))</f>
        <v/>
      </c>
      <c r="AA81" s="73" t="str">
        <f>IF($B81="","",
IF(AA$5="","",
IF('Final Term'!AA81="",0,
IF(NOT(ISNUMBER('Final Term'!AA81)),"NAN",
IF('Final Term'!AA81&lt;0,"NEG",
IF('Final Term'!AA81&gt;AA$5,"OVER",
IF(AND(AA$5&lt;=100,'Final Term'!AA81&gt;100),"ERR",
IF(Info!$B$4="Non-board program",
IF(OR(AND(AA$5&gt;0,AA$5&gt;100),AND(AA$5&gt;0,AA$5&lt;100)),
VLOOKUP(FLOOR(('Final Term'!AA81/AA$5)*100,1),new_transmute,2,FALSE),
VLOOKUP('Final Term'!AA81,new_transmute,2,FALSE)
),
IF(Info!$B$4="Board program",
IF(OR(AND(AA$5&gt;0,AA$5&gt;100),AND(AA$5&gt;0,AA$5&lt;100)),
VLOOKUP(FLOOR(('Final Term'!AA81/AA$5)*100,1),new_transmute,3,FALSE),
VLOOKUP('Final Term'!AA81,new_transmute,3,FALSE)
),
IF(Info!$B$4="Board program (Medicine)",
IF(OR(AND(AA$5&gt;0,AA$5&gt;100),AND(AA$5&gt;0,AA$5&lt;100)),
VLOOKUP(FLOOR(('Final Term'!AA81/AA$5)*100,1),new_transmute,4,FALSE),
VLOOKUP('Final Term'!AA81,new_transmute,4,FALSE)
),
""
)
)
)
)
)
)
)
)
))</f>
        <v/>
      </c>
      <c r="AB81" s="73" t="str">
        <f>IF($B81="","",
IF(AB$5="","",
IF('Final Term'!AB81="",0,
IF(NOT(ISNUMBER('Final Term'!AB81)),"NAN",
IF('Final Term'!AB81&lt;0,"NEG",
IF('Final Term'!AB81&gt;AB$5,"OVER",
IF(AND(AB$5&lt;=100,'Final Term'!AB81&gt;100),"ERR",
IF(Info!$B$4="Non-board program",
IF(OR(AND(AB$5&gt;0,AB$5&gt;100),AND(AB$5&gt;0,AB$5&lt;100)),
VLOOKUP(FLOOR(('Final Term'!AB81/AB$5)*100,1),new_transmute,2,FALSE),
VLOOKUP('Final Term'!AB81,new_transmute,2,FALSE)
),
IF(Info!$B$4="Board program",
IF(OR(AND(AB$5&gt;0,AB$5&gt;100),AND(AB$5&gt;0,AB$5&lt;100)),
VLOOKUP(FLOOR(('Final Term'!AB81/AB$5)*100,1),new_transmute,3,FALSE),
VLOOKUP('Final Term'!AB81,new_transmute,3,FALSE)
),
IF(Info!$B$4="Board program (Medicine)",
IF(OR(AND(AB$5&gt;0,AB$5&gt;100),AND(AB$5&gt;0,AB$5&lt;100)),
VLOOKUP(FLOOR(('Final Term'!AB81/AB$5)*100,1),new_transmute,4,FALSE),
VLOOKUP('Final Term'!AB81,new_transmute,4,FALSE)
),
""
)
)
)
)
)
)
)
)
))</f>
        <v/>
      </c>
      <c r="AC81" s="73" t="str">
        <f>IF($B81="","",
IF(AC$5="","",
IF('Final Term'!AC81="",0,
IF(NOT(ISNUMBER('Final Term'!AC81)),"NAN",
IF('Final Term'!AC81&lt;0,"NEG",
IF('Final Term'!AC81&gt;AC$5,"OVER",
IF(AND(AC$5&lt;=100,'Final Term'!AC81&gt;100),"ERR",
IF(Info!$B$4="Non-board program",
IF(OR(AND(AC$5&gt;0,AC$5&gt;100),AND(AC$5&gt;0,AC$5&lt;100)),
VLOOKUP(FLOOR(('Final Term'!AC81/AC$5)*100,1),new_transmute,2,FALSE),
VLOOKUP('Final Term'!AC81,new_transmute,2,FALSE)
),
IF(Info!$B$4="Board program",
IF(OR(AND(AC$5&gt;0,AC$5&gt;100),AND(AC$5&gt;0,AC$5&lt;100)),
VLOOKUP(FLOOR(('Final Term'!AC81/AC$5)*100,1),new_transmute,3,FALSE),
VLOOKUP('Final Term'!AC81,new_transmute,3,FALSE)
),
IF(Info!$B$4="Board program (Medicine)",
IF(OR(AND(AC$5&gt;0,AC$5&gt;100),AND(AC$5&gt;0,AC$5&lt;100)),
VLOOKUP(FLOOR(('Final Term'!AC81/AC$5)*100,1),new_transmute,4,FALSE),
VLOOKUP('Final Term'!AC81,new_transmute,4,FALSE)
),
""
)
)
)
)
)
)
)
)
))</f>
        <v/>
      </c>
      <c r="AD81" s="73" t="str">
        <f>IF($B81="","",
IF(AD$5="","",
IF('Final Term'!AD81="",0,
IF(NOT(ISNUMBER('Final Term'!AD81)),"NAN",
IF('Final Term'!AD81&lt;0,"NEG",
IF('Final Term'!AD81&gt;AD$5,"OVER",
IF(AND(AD$5&lt;=100,'Final Term'!AD81&gt;100),"ERR",
IF(Info!$B$4="Non-board program",
IF(OR(AND(AD$5&gt;0,AD$5&gt;100),AND(AD$5&gt;0,AD$5&lt;100)),
VLOOKUP(FLOOR(('Final Term'!AD81/AD$5)*100,1),new_transmute,2,FALSE),
VLOOKUP('Final Term'!AD81,new_transmute,2,FALSE)
),
IF(Info!$B$4="Board program",
IF(OR(AND(AD$5&gt;0,AD$5&gt;100),AND(AD$5&gt;0,AD$5&lt;100)),
VLOOKUP(FLOOR(('Final Term'!AD81/AD$5)*100,1),new_transmute,3,FALSE),
VLOOKUP('Final Term'!AD81,new_transmute,3,FALSE)
),
IF(Info!$B$4="Board program (Medicine)",
IF(OR(AND(AD$5&gt;0,AD$5&gt;100),AND(AD$5&gt;0,AD$5&lt;100)),
VLOOKUP(FLOOR(('Final Term'!AD81/AD$5)*100,1),new_transmute,4,FALSE),
VLOOKUP('Final Term'!AD81,new_transmute,4,FALSE)
),
""
)
)
)
)
)
)
)
)
))</f>
        <v/>
      </c>
      <c r="AE81" s="58" t="str">
        <f t="shared" si="15"/>
        <v/>
      </c>
      <c r="AF81" s="73" t="str">
        <f>IF($B81="","",
IF(AF$5="","",
IF('Final Term'!AF81="",0,
IF(NOT(ISNUMBER('Final Term'!AF81)),"NAN",
IF('Final Term'!AF81&lt;0,"NEG",
IF('Final Term'!AF81&gt;AF$5,"OVER",
IF(AND(AF$5&lt;=100,'Final Term'!AF81&gt;100),"ERR",
IF(Info!$B$4="Non-board program",
IF(OR(AND(AF$5&gt;0,AF$5&gt;100),AND(AF$5&gt;0,AF$5&lt;100)),
VLOOKUP(FLOOR(('Final Term'!AF81/AF$5)*100,1),new_transmute,2,FALSE),
VLOOKUP('Final Term'!AF81,new_transmute,2,FALSE)
),
IF(Info!$B$4="Board program",
IF(OR(AND(AF$5&gt;0,AF$5&gt;100),AND(AF$5&gt;0,AF$5&lt;100)),
VLOOKUP(FLOOR(('Final Term'!AF81/AF$5)*100,1),new_transmute,3,FALSE),
VLOOKUP('Final Term'!AF81,new_transmute,3,FALSE)
),
IF(Info!$B$4="Board program (Medicine)",
IF(OR(AND(AF$5&gt;0,AF$5&gt;100),AND(AF$5&gt;0,AF$5&lt;100)),
VLOOKUP(FLOOR(('Final Term'!AF81/AF$5)*100,1),new_transmute,4,FALSE),
VLOOKUP('Final Term'!AF81,new_transmute,4,FALSE)
),
""
)
)
)
)
)
)
)
)
))</f>
        <v/>
      </c>
      <c r="AG81" s="73" t="str">
        <f>IF($B81="","",
IF(AG$5="","",
IF('Final Term'!AG81="",0,
IF(NOT(ISNUMBER('Final Term'!AG81)),"NAN",
IF('Final Term'!AG81&lt;0,"NEG",
IF('Final Term'!AG81&gt;AG$5,"OVER",
IF(AND(AG$5&lt;=100,'Final Term'!AG81&gt;100),"ERR",
IF(Info!$B$4="Non-board program",
IF(OR(AND(AG$5&gt;0,AG$5&gt;100),AND(AG$5&gt;0,AG$5&lt;100)),
VLOOKUP(FLOOR(('Final Term'!AG81/AG$5)*100,1),new_transmute,2,FALSE),
VLOOKUP('Final Term'!AG81,new_transmute,2,FALSE)
),
IF(Info!$B$4="Board program",
IF(OR(AND(AG$5&gt;0,AG$5&gt;100),AND(AG$5&gt;0,AG$5&lt;100)),
VLOOKUP(FLOOR(('Final Term'!AG81/AG$5)*100,1),new_transmute,3,FALSE),
VLOOKUP('Final Term'!AG81,new_transmute,3,FALSE)
),
IF(Info!$B$4="Board program (Medicine)",
IF(OR(AND(AG$5&gt;0,AG$5&gt;100),AND(AG$5&gt;0,AG$5&lt;100)),
VLOOKUP(FLOOR(('Final Term'!AG81/AG$5)*100,1),new_transmute,4,FALSE),
VLOOKUP('Final Term'!AG81,new_transmute,4,FALSE)
),
""
)
)
)
)
)
)
)
)
))</f>
        <v/>
      </c>
      <c r="AH81" s="73" t="str">
        <f>IF($B81="","",
IF(AH$5="","",
IF('Final Term'!AH81="",0,
IF(NOT(ISNUMBER('Final Term'!AH81)),"NAN",
IF('Final Term'!AH81&lt;0,"NEG",
IF('Final Term'!AH81&gt;AH$5,"OVER",
IF(AND(AH$5&lt;=100,'Final Term'!AH81&gt;100),"ERR",
IF(Info!$B$4="Non-board program",
IF(OR(AND(AH$5&gt;0,AH$5&gt;100),AND(AH$5&gt;0,AH$5&lt;100)),
VLOOKUP(FLOOR(('Final Term'!AH81/AH$5)*100,1),new_transmute,2,FALSE),
VLOOKUP('Final Term'!AH81,new_transmute,2,FALSE)
),
IF(Info!$B$4="Board program",
IF(OR(AND(AH$5&gt;0,AH$5&gt;100),AND(AH$5&gt;0,AH$5&lt;100)),
VLOOKUP(FLOOR(('Final Term'!AH81/AH$5)*100,1),new_transmute,3,FALSE),
VLOOKUP('Final Term'!AH81,new_transmute,3,FALSE)
),
IF(Info!$B$4="Board program (Medicine)",
IF(OR(AND(AH$5&gt;0,AH$5&gt;100),AND(AH$5&gt;0,AH$5&lt;100)),
VLOOKUP(FLOOR(('Final Term'!AH81/AH$5)*100,1),new_transmute,4,FALSE),
VLOOKUP('Final Term'!AH81,new_transmute,4,FALSE)
),
""
)
)
)
)
)
)
)
)
))</f>
        <v/>
      </c>
      <c r="AI81" s="73" t="str">
        <f>IF($B81="","",
IF(AI$5="","",
IF('Final Term'!AI81="",0,
IF(NOT(ISNUMBER('Final Term'!AI81)),"NAN",
IF('Final Term'!AI81&lt;0,"NEG",
IF('Final Term'!AI81&gt;AI$5,"OVER",
IF(AND(AI$5&lt;=100,'Final Term'!AI81&gt;100),"ERR",
IF(Info!$B$4="Non-board program",
IF(OR(AND(AI$5&gt;0,AI$5&gt;100),AND(AI$5&gt;0,AI$5&lt;100)),
VLOOKUP(FLOOR(('Final Term'!AI81/AI$5)*100,1),new_transmute,2,FALSE),
VLOOKUP('Final Term'!AI81,new_transmute,2,FALSE)
),
IF(Info!$B$4="Board program",
IF(OR(AND(AI$5&gt;0,AI$5&gt;100),AND(AI$5&gt;0,AI$5&lt;100)),
VLOOKUP(FLOOR(('Final Term'!AI81/AI$5)*100,1),new_transmute,3,FALSE),
VLOOKUP('Final Term'!AI81,new_transmute,3,FALSE)
),
IF(Info!$B$4="Board program (Medicine)",
IF(OR(AND(AI$5&gt;0,AI$5&gt;100),AND(AI$5&gt;0,AI$5&lt;100)),
VLOOKUP(FLOOR(('Final Term'!AI81/AI$5)*100,1),new_transmute,4,FALSE),
VLOOKUP('Final Term'!AI81,new_transmute,4,FALSE)
),
""
)
)
)
)
)
)
)
)
))</f>
        <v/>
      </c>
      <c r="AJ81" s="73" t="str">
        <f>IF($B81="","",
IF(AJ$5="","",
IF('Final Term'!AJ81="",0,
IF(NOT(ISNUMBER('Final Term'!AJ81)),"NAN",
IF('Final Term'!AJ81&lt;0,"NEG",
IF('Final Term'!AJ81&gt;AJ$5,"OVER",
IF(AND(AJ$5&lt;=100,'Final Term'!AJ81&gt;100),"ERR",
IF(Info!$B$4="Non-board program",
IF(OR(AND(AJ$5&gt;0,AJ$5&gt;100),AND(AJ$5&gt;0,AJ$5&lt;100)),
VLOOKUP(FLOOR(('Final Term'!AJ81/AJ$5)*100,1),new_transmute,2,FALSE),
VLOOKUP('Final Term'!AJ81,new_transmute,2,FALSE)
),
IF(Info!$B$4="Board program",
IF(OR(AND(AJ$5&gt;0,AJ$5&gt;100),AND(AJ$5&gt;0,AJ$5&lt;100)),
VLOOKUP(FLOOR(('Final Term'!AJ81/AJ$5)*100,1),new_transmute,3,FALSE),
VLOOKUP('Final Term'!AJ81,new_transmute,3,FALSE)
),
IF(Info!$B$4="Board program (Medicine)",
IF(OR(AND(AJ$5&gt;0,AJ$5&gt;100),AND(AJ$5&gt;0,AJ$5&lt;100)),
VLOOKUP(FLOOR(('Final Term'!AJ81/AJ$5)*100,1),new_transmute,4,FALSE),
VLOOKUP('Final Term'!AJ81,new_transmute,4,FALSE)
),
""
)
)
)
)
)
)
)
)
))</f>
        <v/>
      </c>
      <c r="AK81" s="59" t="str">
        <f t="shared" si="16"/>
        <v/>
      </c>
      <c r="AL81" s="60" t="str">
        <f>IF(B81="", "",
    IF(OR(M81="OVER", S81="OVER", Y81="OVER", AE81="OVER", AK81="OVER"),
        "OVER",
        IF(Info!$B$4="Non-board program",
            VLOOKUP(IFERROR(FLOOR(SUM((M81*$M$4), (S81*$S$4), (Y81*$Y$4), (AE81*$AE$4), (AK81*$AK$4)) * (100 / 60), 1), 0), new_transmute, 2, FALSE),
            IF(Info!$B$4="Board program",
                VLOOKUP(IFERROR(FLOOR(SUM((M81*$M$4), (S81*$S$4), (Y81*$Y$4), (AE81*$AE$4), (AK81*$AK$4)) * (100 / 60), 1), 0), new_transmute, 3, FALSE),
                IF(Info!$B$4="Board program (Medicine)",
                    VLOOKUP(IFERROR(FLOOR(SUM((M81*$M$4), (S81*$S$4), (Y81*$Y$4), (AE81*$AE$4), (AK81*$AK$4)) * (100 / 60), 1), 0), new_transmute, 4, FALSE),
                    ""
                )
            )
        )
    )
)</f>
        <v/>
      </c>
      <c r="AM81" s="73" t="str">
        <f>IF($B81="","",
IF(AM$5="","",
IF('Final Term'!AM81="",0,
IF(NOT(ISNUMBER('Final Term'!AM81)),"NAN",
IF('Final Term'!AM81&lt;0,"NEG",
IF('Final Term'!AM81&gt;AM$5,"OVER",
IF(AND(AM$5&lt;=100,'Final Term'!AM81&gt;100),"ERR",
IF(Info!$B$4="Non-board program",
IF(OR(AND(AM$5&gt;0,AM$5&gt;100),AND(AM$5&gt;0,AM$5&lt;100)),
VLOOKUP(FLOOR(('Final Term'!AM81/AM$5)*100,1),new_transmute,2,FALSE),
VLOOKUP('Final Term'!AM81,new_transmute,2,FALSE)
),
IF(Info!$B$4="Board program",
IF(OR(AND(AM$5&gt;0,AM$5&gt;100),AND(AM$5&gt;0,AM$5&lt;100)),
VLOOKUP(FLOOR(('Final Term'!AM81/AM$5)*100,1),new_transmute,3,FALSE),
VLOOKUP('Final Term'!AM81,new_transmute,3,FALSE)
),
IF(Info!$B$4="Board program (Medicine)",
IF(OR(AND(AM$5&gt;0,AM$5&gt;100),AND(AM$5&gt;0,AM$5&lt;100)),
VLOOKUP(FLOOR(('Final Term'!AM81/AM$5)*100,1),new_transmute,4,FALSE),
VLOOKUP('Final Term'!AM81,new_transmute,4,FALSE)
),
""
)
)
)
)
)
)
)
)
))</f>
        <v/>
      </c>
      <c r="AN81" s="73" t="str">
        <f>IF($B81="","",
IF(AN$5="","",
IF('Final Term'!AN81="",0,
IF(NOT(ISNUMBER('Final Term'!AN81)),"NAN",
IF('Final Term'!AN81&lt;0,"NEG",
IF('Final Term'!AN81&gt;AN$5,"OVER",
IF(AND(AN$5&lt;=100,'Final Term'!AN81&gt;100),"ERR",
IF(Info!$B$4="Non-board program",
IF(OR(AND(AN$5&gt;0,AN$5&gt;100),AND(AN$5&gt;0,AN$5&lt;100)),
VLOOKUP(FLOOR(('Final Term'!AN81/AN$5)*100,1),new_transmute,2,FALSE),
VLOOKUP('Final Term'!AN81,new_transmute,2,FALSE)
),
IF(Info!$B$4="Board program",
IF(OR(AND(AN$5&gt;0,AN$5&gt;100),AND(AN$5&gt;0,AN$5&lt;100)),
VLOOKUP(FLOOR(('Final Term'!AN81/AN$5)*100,1),new_transmute,3,FALSE),
VLOOKUP('Final Term'!AN81,new_transmute,3,FALSE)
),
IF(Info!$B$4="Board program (Medicine)",
IF(OR(AND(AN$5&gt;0,AN$5&gt;100),AND(AN$5&gt;0,AN$5&lt;100)),
VLOOKUP(FLOOR(('Final Term'!AN81/AN$5)*100,1),new_transmute,4,FALSE),
VLOOKUP('Final Term'!AN81,new_transmute,4,FALSE)
),
""
)
)
)
)
)
)
)
)
))</f>
        <v/>
      </c>
      <c r="AO81" s="73" t="str">
        <f>IF($B81="","",
IF(AO$5="","",
IF('Final Term'!AO81="",0,
IF(NOT(ISNUMBER('Final Term'!AO81)),"NAN",
IF('Final Term'!AO81&lt;0,"NEG",
IF('Final Term'!AO81&gt;AO$5,"OVER",
IF(AND(AO$5&lt;=100,'Final Term'!AO81&gt;100),"ERR",
IF(Info!$B$4="Non-board program",
IF(OR(AND(AO$5&gt;0,AO$5&gt;100),AND(AO$5&gt;0,AO$5&lt;100)),
VLOOKUP(FLOOR(('Final Term'!AO81/AO$5)*100,1),new_transmute,2,FALSE),
VLOOKUP('Final Term'!AO81,new_transmute,2,FALSE)
),
IF(Info!$B$4="Board program",
IF(OR(AND(AO$5&gt;0,AO$5&gt;100),AND(AO$5&gt;0,AO$5&lt;100)),
VLOOKUP(FLOOR(('Final Term'!AO81/AO$5)*100,1),new_transmute,3,FALSE),
VLOOKUP('Final Term'!AO81,new_transmute,3,FALSE)
),
IF(Info!$B$4="Board program (Medicine)",
IF(OR(AND(AO$5&gt;0,AO$5&gt;100),AND(AO$5&gt;0,AO$5&lt;100)),
VLOOKUP(FLOOR(('Final Term'!AO81/AO$5)*100,1),new_transmute,4,FALSE),
VLOOKUP('Final Term'!AO81,new_transmute,4,FALSE)
),
""
)
)
)
)
)
)
)
)
))</f>
        <v/>
      </c>
      <c r="AP81" s="73" t="str">
        <f>IF($B81="","",
IF(AP$5="","",
IF('Final Term'!AP81="",0,
IF(NOT(ISNUMBER('Final Term'!AP81)),"NAN",
IF('Final Term'!AP81&lt;0,"NEG",
IF('Final Term'!AP81&gt;AP$5,"OVER",
IF(AND(AP$5&lt;=100,'Final Term'!AP81&gt;100),"ERR",
IF(Info!$B$4="Non-board program",
IF(OR(AND(AP$5&gt;0,AP$5&gt;100),AND(AP$5&gt;0,AP$5&lt;100)),
VLOOKUP(FLOOR(('Final Term'!AP81/AP$5)*100,1),new_transmute,2,FALSE),
VLOOKUP('Final Term'!AP81,new_transmute,2,FALSE)
),
IF(Info!$B$4="Board program",
IF(OR(AND(AP$5&gt;0,AP$5&gt;100),AND(AP$5&gt;0,AP$5&lt;100)),
VLOOKUP(FLOOR(('Final Term'!AP81/AP$5)*100,1),new_transmute,3,FALSE),
VLOOKUP('Final Term'!AP81,new_transmute,3,FALSE)
),
IF(Info!$B$4="Board program (Medicine)",
IF(OR(AND(AP$5&gt;0,AP$5&gt;100),AND(AP$5&gt;0,AP$5&lt;100)),
VLOOKUP(FLOOR(('Final Term'!AP81/AP$5)*100,1),new_transmute,4,FALSE),
VLOOKUP('Final Term'!AP81,new_transmute,4,FALSE)
),
""
)
)
)
)
)
)
)
)
))</f>
        <v/>
      </c>
      <c r="AQ81" s="61" t="str">
        <f t="shared" si="17"/>
        <v/>
      </c>
      <c r="AR81" s="48" t="str">
        <f>IF('Final Term'!AR81="","",'Final Term'!AR81)</f>
        <v/>
      </c>
      <c r="AS81" s="165" t="str">
        <f t="shared" si="18"/>
        <v/>
      </c>
      <c r="AT81" s="14" t="str">
        <f t="shared" si="19"/>
        <v/>
      </c>
      <c r="AU81" s="13" t="str">
        <f>IF(B81="","",VLOOKUP(AT81,'New Grade Equivalent'!$B$3:$C$47,2,FALSE))</f>
        <v/>
      </c>
    </row>
    <row r="82" spans="1:47" x14ac:dyDescent="0.25">
      <c r="A82" s="8">
        <v>77</v>
      </c>
      <c r="B82" s="2" t="str">
        <f>IF('Student List'!C86="","",UPPER(LEFT('Student List'!C86,FIND(",",'Student List'!C86)-1)))</f>
        <v/>
      </c>
      <c r="C82" s="12" t="str">
        <f>IF('Student List'!C86="","",PROPER(MID('Student List'!C86, FIND(",", 'Student List'!C86) + 2, LEN('Student List'!C86) - FIND(",", 'Student List'!C86) - 1)))</f>
        <v/>
      </c>
      <c r="D82" s="127" t="str">
        <f>IF('Final Term'!D82="","",'Final Term'!D82)</f>
        <v/>
      </c>
      <c r="E82" s="8" t="str">
        <f>IF(MidCom!E82="FA", "FA",
    IF(MidCom!E82="DRP", "DRP",
        IF(MidCom!E82="WF", "WF",
            IF(D82="Yes", "INC",
               IF((SUM('MT Attendance'!AW80) / 3 + SUM('MT Attendance'!AY80) + SUM('FT Attendance'!AW80) / 3 + SUM('FT Attendance'!AY80)) &gt;= 0.2 * (SUMPRODUCT(--(ISTEXT('MT Attendance'!$C$2:$AU$2))) + SUMPRODUCT(--(ISTEXT('FT Attendance'!$C$2:$AU$2)))), "FA",
                   MidCom!E82
                )
            )
        )
    )
)</f>
        <v/>
      </c>
      <c r="F82" s="73" t="str">
        <f>IF($B82="","",
IF(F$5="","",
IF('Final Term'!F82="",0,
IF(NOT(ISNUMBER('Final Term'!F82)),"NAN",
IF('Final Term'!F82&lt;0,"NEG",
IF('Final Term'!F82&gt;F$5,"OVER",
IF(AND(F$5&lt;=100,'Final Term'!F82&gt;100),"ERR",
IF(Info!$B$4="Non-board program",
IF(OR(AND(F$5&gt;0,F$5&gt;100),AND(F$5&gt;0,F$5&lt;100)),
VLOOKUP(FLOOR(('Final Term'!F82/F$5)*100,1),new_transmute,2,FALSE),
VLOOKUP('Final Term'!F82,new_transmute,2,FALSE)
),
IF(Info!$B$4="Board program",
IF(OR(AND(F$5&gt;0,F$5&gt;100),AND(F$5&gt;0,F$5&lt;100)),
VLOOKUP(FLOOR(('Final Term'!F82/F$5)*100,1),new_transmute,3,FALSE),
VLOOKUP('Final Term'!F82,new_transmute,3,FALSE)
),
IF(Info!$B$4="Board program (Medicine)",
IF(OR(AND(F$5&gt;0,F$5&gt;100),AND(F$5&gt;0,F$5&lt;100)),
VLOOKUP(FLOOR(('Final Term'!F82/F$5)*100,1),new_transmute,4,FALSE),
VLOOKUP('Final Term'!F82,new_transmute,4,FALSE)
),
""
)
)
)
)
)
)
)
)
))</f>
        <v/>
      </c>
      <c r="G82" s="57" t="str">
        <f t="shared" si="11"/>
        <v/>
      </c>
      <c r="H82" s="73" t="str">
        <f>IF($B82="","",
IF(H$5="","",
IF('Final Term'!H82="",0,
IF(NOT(ISNUMBER('Final Term'!H82)),"NAN",
IF('Final Term'!H82&lt;0,"NEG",
IF('Final Term'!H82&gt;H$5,"OVER",
IF(AND(H$5&lt;=100,'Final Term'!H82&gt;100),"ERR",
IF(Info!$B$4="Non-board program",
IF(OR(AND(H$5&gt;0,H$5&gt;100),AND(H$5&gt;0,H$5&lt;100)),
VLOOKUP(FLOOR(('Final Term'!H82/H$5)*100,1),new_transmute,2,FALSE),
VLOOKUP('Final Term'!H82,new_transmute,2,FALSE)
),
IF(Info!$B$4="Board program",
IF(OR(AND(H$5&gt;0,H$5&gt;100),AND(H$5&gt;0,H$5&lt;100)),
VLOOKUP(FLOOR(('Final Term'!H82/H$5)*100,1),new_transmute,3,FALSE),
VLOOKUP('Final Term'!H82,new_transmute,3,FALSE)
),
IF(Info!$B$4="Board program (Medicine)",
IF(OR(AND(H$5&gt;0,H$5&gt;100),AND(H$5&gt;0,H$5&lt;100)),
VLOOKUP(FLOOR(('Final Term'!H82/H$5)*100,1),new_transmute,4,FALSE),
VLOOKUP('Final Term'!H82,new_transmute,4,FALSE)
),
""
)
)
)
)
)
)
)
)
))</f>
        <v/>
      </c>
      <c r="I82" s="73" t="str">
        <f>IF($B82="","",
IF(I$5="","",
IF('Final Term'!I82="",0,
IF(NOT(ISNUMBER('Final Term'!I82)),"NAN",
IF('Final Term'!I82&lt;0,"NEG",
IF('Final Term'!I82&gt;I$5,"OVER",
IF(AND(I$5&lt;=100,'Final Term'!I82&gt;100),"ERR",
IF(Info!$B$4="Non-board program",
IF(OR(AND(I$5&gt;0,I$5&gt;100),AND(I$5&gt;0,I$5&lt;100)),
VLOOKUP(FLOOR(('Final Term'!I82/I$5)*100,1),new_transmute,2,FALSE),
VLOOKUP('Final Term'!I82,new_transmute,2,FALSE)
),
IF(Info!$B$4="Board program",
IF(OR(AND(I$5&gt;0,I$5&gt;100),AND(I$5&gt;0,I$5&lt;100)),
VLOOKUP(FLOOR(('Final Term'!I82/I$5)*100,1),new_transmute,3,FALSE),
VLOOKUP('Final Term'!I82,new_transmute,3,FALSE)
),
IF(Info!$B$4="Board program (Medicine)",
IF(OR(AND(I$5&gt;0,I$5&gt;100),AND(I$5&gt;0,I$5&lt;100)),
VLOOKUP(FLOOR(('Final Term'!I82/I$5)*100,1),new_transmute,4,FALSE),
VLOOKUP('Final Term'!I82,new_transmute,4,FALSE)
),
""
)
)
)
)
)
)
)
)
))</f>
        <v/>
      </c>
      <c r="J82" s="73" t="str">
        <f>IF($B82="","",
IF(J$5="","",
IF('Final Term'!J82="",0,
IF(NOT(ISNUMBER('Final Term'!J82)),"NAN",
IF('Final Term'!J82&lt;0,"NEG",
IF('Final Term'!J82&gt;J$5,"OVER",
IF(AND(J$5&lt;=100,'Final Term'!J82&gt;100),"ERR",
IF(Info!$B$4="Non-board program",
IF(OR(AND(J$5&gt;0,J$5&gt;100),AND(J$5&gt;0,J$5&lt;100)),
VLOOKUP(FLOOR(('Final Term'!J82/J$5)*100,1),new_transmute,2,FALSE),
VLOOKUP('Final Term'!J82,new_transmute,2,FALSE)
),
IF(Info!$B$4="Board program",
IF(OR(AND(J$5&gt;0,J$5&gt;100),AND(J$5&gt;0,J$5&lt;100)),
VLOOKUP(FLOOR(('Final Term'!J82/J$5)*100,1),new_transmute,3,FALSE),
VLOOKUP('Final Term'!J82,new_transmute,3,FALSE)
),
IF(Info!$B$4="Board program (Medicine)",
IF(OR(AND(J$5&gt;0,J$5&gt;100),AND(J$5&gt;0,J$5&lt;100)),
VLOOKUP(FLOOR(('Final Term'!J82/J$5)*100,1),new_transmute,4,FALSE),
VLOOKUP('Final Term'!J82,new_transmute,4,FALSE)
),
""
)
)
)
)
)
)
)
)
))</f>
        <v/>
      </c>
      <c r="K82" s="73" t="str">
        <f>IF($B82="","",
IF(K$5="","",
IF('Final Term'!K82="",0,
IF(NOT(ISNUMBER('Final Term'!K82)),"NAN",
IF('Final Term'!K82&lt;0,"NEG",
IF('Final Term'!K82&gt;K$5,"OVER",
IF(AND(K$5&lt;=100,'Final Term'!K82&gt;100),"ERR",
IF(Info!$B$4="Non-board program",
IF(OR(AND(K$5&gt;0,K$5&gt;100),AND(K$5&gt;0,K$5&lt;100)),
VLOOKUP(FLOOR(('Final Term'!K82/K$5)*100,1),new_transmute,2,FALSE),
VLOOKUP('Final Term'!K82,new_transmute,2,FALSE)
),
IF(Info!$B$4="Board program",
IF(OR(AND(K$5&gt;0,K$5&gt;100),AND(K$5&gt;0,K$5&lt;100)),
VLOOKUP(FLOOR(('Final Term'!K82/K$5)*100,1),new_transmute,3,FALSE),
VLOOKUP('Final Term'!K82,new_transmute,3,FALSE)
),
IF(Info!$B$4="Board program (Medicine)",
IF(OR(AND(K$5&gt;0,K$5&gt;100),AND(K$5&gt;0,K$5&lt;100)),
VLOOKUP(FLOOR(('Final Term'!K82/K$5)*100,1),new_transmute,4,FALSE),
VLOOKUP('Final Term'!K82,new_transmute,4,FALSE)
),
""
)
)
)
)
)
)
)
)
))</f>
        <v/>
      </c>
      <c r="L82" s="73" t="str">
        <f>IF($B82="","",
IF(L$5="","",
IF('Final Term'!L82="",0,
IF(NOT(ISNUMBER('Final Term'!L82)),"NAN",
IF('Final Term'!L82&lt;0,"NEG",
IF('Final Term'!L82&gt;L$5,"OVER",
IF(AND(L$5&lt;=100,'Final Term'!L82&gt;100),"ERR",
IF(Info!$B$4="Non-board program",
IF(OR(AND(L$5&gt;0,L$5&gt;100),AND(L$5&gt;0,L$5&lt;100)),
VLOOKUP(FLOOR(('Final Term'!L82/L$5)*100,1),new_transmute,2,FALSE),
VLOOKUP('Final Term'!L82,new_transmute,2,FALSE)
),
IF(Info!$B$4="Board program",
IF(OR(AND(L$5&gt;0,L$5&gt;100),AND(L$5&gt;0,L$5&lt;100)),
VLOOKUP(FLOOR(('Final Term'!L82/L$5)*100,1),new_transmute,3,FALSE),
VLOOKUP('Final Term'!L82,new_transmute,3,FALSE)
),
IF(Info!$B$4="Board program (Medicine)",
IF(OR(AND(L$5&gt;0,L$5&gt;100),AND(L$5&gt;0,L$5&lt;100)),
VLOOKUP(FLOOR(('Final Term'!L82/L$5)*100,1),new_transmute,4,FALSE),
VLOOKUP('Final Term'!L82,new_transmute,4,FALSE)
),
""
)
)
)
)
)
)
)
)
))</f>
        <v/>
      </c>
      <c r="M82" s="111" t="str">
        <f t="shared" si="12"/>
        <v/>
      </c>
      <c r="N82" s="73" t="str">
        <f>IF($B82="","",
IF(N$5="","",
IF('Final Term'!N82="",0,
IF(NOT(ISNUMBER('Final Term'!N82)),"NAN",
IF('Final Term'!N82&lt;0,"NEG",
IF('Final Term'!N82&gt;N$5,"OVER",
IF(AND(N$5&lt;=100,'Final Term'!N82&gt;100),"ERR",
IF(Info!$B$4="Non-board program",
IF(OR(AND(N$5&gt;0,N$5&gt;100),AND(N$5&gt;0,N$5&lt;100)),
VLOOKUP(FLOOR(('Final Term'!N82/N$5)*100,1),new_transmute,2,FALSE),
VLOOKUP('Final Term'!N82,new_transmute,2,FALSE)
),
IF(Info!$B$4="Board program",
IF(OR(AND(N$5&gt;0,N$5&gt;100),AND(N$5&gt;0,N$5&lt;100)),
VLOOKUP(FLOOR(('Final Term'!N82/N$5)*100,1),new_transmute,3,FALSE),
VLOOKUP('Final Term'!N82,new_transmute,3,FALSE)
),
IF(Info!$B$4="Board program (Medicine)",
IF(OR(AND(N$5&gt;0,N$5&gt;100),AND(N$5&gt;0,N$5&lt;100)),
VLOOKUP(FLOOR(('Final Term'!N82/N$5)*100,1),new_transmute,4,FALSE),
VLOOKUP('Final Term'!N82,new_transmute,4,FALSE)
),
""
)
)
)
)
)
)
)
)
))</f>
        <v/>
      </c>
      <c r="O82" s="73" t="str">
        <f>IF($B82="","",
IF(O$5="","",
IF('Final Term'!O82="",0,
IF(NOT(ISNUMBER('Final Term'!O82)),"NAN",
IF('Final Term'!O82&lt;0,"NEG",
IF('Final Term'!O82&gt;O$5,"OVER",
IF(AND(O$5&lt;=100,'Final Term'!O82&gt;100),"ERR",
IF(Info!$B$4="Non-board program",
IF(OR(AND(O$5&gt;0,O$5&gt;100),AND(O$5&gt;0,O$5&lt;100)),
VLOOKUP(FLOOR(('Final Term'!O82/O$5)*100,1),new_transmute,2,FALSE),
VLOOKUP('Final Term'!O82,new_transmute,2,FALSE)
),
IF(Info!$B$4="Board program",
IF(OR(AND(O$5&gt;0,O$5&gt;100),AND(O$5&gt;0,O$5&lt;100)),
VLOOKUP(FLOOR(('Final Term'!O82/O$5)*100,1),new_transmute,3,FALSE),
VLOOKUP('Final Term'!O82,new_transmute,3,FALSE)
),
IF(Info!$B$4="Board program (Medicine)",
IF(OR(AND(O$5&gt;0,O$5&gt;100),AND(O$5&gt;0,O$5&lt;100)),
VLOOKUP(FLOOR(('Final Term'!O82/O$5)*100,1),new_transmute,4,FALSE),
VLOOKUP('Final Term'!O82,new_transmute,4,FALSE)
),
""
)
)
)
)
)
)
)
)
))</f>
        <v/>
      </c>
      <c r="P82" s="73" t="str">
        <f>IF($B82="","",
IF(P$5="","",
IF('Final Term'!P82="",0,
IF(NOT(ISNUMBER('Final Term'!P82)),"NAN",
IF('Final Term'!P82&lt;0,"NEG",
IF('Final Term'!P82&gt;P$5,"OVER",
IF(AND(P$5&lt;=100,'Final Term'!P82&gt;100),"ERR",
IF(Info!$B$4="Non-board program",
IF(OR(AND(P$5&gt;0,P$5&gt;100),AND(P$5&gt;0,P$5&lt;100)),
VLOOKUP(FLOOR(('Final Term'!P82/P$5)*100,1),new_transmute,2,FALSE),
VLOOKUP('Final Term'!P82,new_transmute,2,FALSE)
),
IF(Info!$B$4="Board program",
IF(OR(AND(P$5&gt;0,P$5&gt;100),AND(P$5&gt;0,P$5&lt;100)),
VLOOKUP(FLOOR(('Final Term'!P82/P$5)*100,1),new_transmute,3,FALSE),
VLOOKUP('Final Term'!P82,new_transmute,3,FALSE)
),
IF(Info!$B$4="Board program (Medicine)",
IF(OR(AND(P$5&gt;0,P$5&gt;100),AND(P$5&gt;0,P$5&lt;100)),
VLOOKUP(FLOOR(('Final Term'!P82/P$5)*100,1),new_transmute,4,FALSE),
VLOOKUP('Final Term'!P82,new_transmute,4,FALSE)
),
""
)
)
)
)
)
)
)
)
))</f>
        <v/>
      </c>
      <c r="Q82" s="73" t="str">
        <f>IF($B82="","",
IF(Q$5="","",
IF('Final Term'!Q82="",0,
IF(NOT(ISNUMBER('Final Term'!Q82)),"NAN",
IF('Final Term'!Q82&lt;0,"NEG",
IF('Final Term'!Q82&gt;Q$5,"OVER",
IF(AND(Q$5&lt;=100,'Final Term'!Q82&gt;100),"ERR",
IF(Info!$B$4="Non-board program",
IF(OR(AND(Q$5&gt;0,Q$5&gt;100),AND(Q$5&gt;0,Q$5&lt;100)),
VLOOKUP(FLOOR(('Final Term'!Q82/Q$5)*100,1),new_transmute,2,FALSE),
VLOOKUP('Final Term'!Q82,new_transmute,2,FALSE)
),
IF(Info!$B$4="Board program",
IF(OR(AND(Q$5&gt;0,Q$5&gt;100),AND(Q$5&gt;0,Q$5&lt;100)),
VLOOKUP(FLOOR(('Final Term'!Q82/Q$5)*100,1),new_transmute,3,FALSE),
VLOOKUP('Final Term'!Q82,new_transmute,3,FALSE)
),
IF(Info!$B$4="Board program (Medicine)",
IF(OR(AND(Q$5&gt;0,Q$5&gt;100),AND(Q$5&gt;0,Q$5&lt;100)),
VLOOKUP(FLOOR(('Final Term'!Q82/Q$5)*100,1),new_transmute,4,FALSE),
VLOOKUP('Final Term'!Q82,new_transmute,4,FALSE)
),
""
)
)
)
)
)
)
)
)
))</f>
        <v/>
      </c>
      <c r="R82" s="73" t="str">
        <f>IF($B82="","",
IF(R$5="","",
IF('Final Term'!R82="",0,
IF(NOT(ISNUMBER('Final Term'!R82)),"NAN",
IF('Final Term'!R82&lt;0,"NEG",
IF('Final Term'!R82&gt;R$5,"OVER",
IF(AND(R$5&lt;=100,'Final Term'!R82&gt;100),"ERR",
IF(Info!$B$4="Non-board program",
IF(OR(AND(R$5&gt;0,R$5&gt;100),AND(R$5&gt;0,R$5&lt;100)),
VLOOKUP(FLOOR(('Final Term'!R82/R$5)*100,1),new_transmute,2,FALSE),
VLOOKUP('Final Term'!R82,new_transmute,2,FALSE)
),
IF(Info!$B$4="Board program",
IF(OR(AND(R$5&gt;0,R$5&gt;100),AND(R$5&gt;0,R$5&lt;100)),
VLOOKUP(FLOOR(('Final Term'!R82/R$5)*100,1),new_transmute,3,FALSE),
VLOOKUP('Final Term'!R82,new_transmute,3,FALSE)
),
IF(Info!$B$4="Board program (Medicine)",
IF(OR(AND(R$5&gt;0,R$5&gt;100),AND(R$5&gt;0,R$5&lt;100)),
VLOOKUP(FLOOR(('Final Term'!R82/R$5)*100,1),new_transmute,4,FALSE),
VLOOKUP('Final Term'!R82,new_transmute,4,FALSE)
),
""
)
)
)
)
)
)
)
)
))</f>
        <v/>
      </c>
      <c r="S82" s="115" t="str">
        <f t="shared" si="13"/>
        <v/>
      </c>
      <c r="T82" s="73" t="str">
        <f>IF($B82="","",
IF(T$5="","",
IF('Final Term'!T82="",0,
IF(NOT(ISNUMBER('Final Term'!T82)),"NAN",
IF('Final Term'!T82&lt;0,"NEG",
IF('Final Term'!T82&gt;T$5,"OVER",
IF(AND(T$5&lt;=100,'Final Term'!T82&gt;100),"ERR",
IF(Info!$B$4="Non-board program",
IF(OR(AND(T$5&gt;0,T$5&gt;100),AND(T$5&gt;0,T$5&lt;100)),
VLOOKUP(FLOOR(('Final Term'!T82/T$5)*100,1),new_transmute,2,FALSE),
VLOOKUP('Final Term'!T82,new_transmute,2,FALSE)
),
IF(Info!$B$4="Board program",
IF(OR(AND(T$5&gt;0,T$5&gt;100),AND(T$5&gt;0,T$5&lt;100)),
VLOOKUP(FLOOR(('Final Term'!T82/T$5)*100,1),new_transmute,3,FALSE),
VLOOKUP('Final Term'!T82,new_transmute,3,FALSE)
),
IF(Info!$B$4="Board program (Medicine)",
IF(OR(AND(T$5&gt;0,T$5&gt;100),AND(T$5&gt;0,T$5&lt;100)),
VLOOKUP(FLOOR(('Final Term'!T82/T$5)*100,1),new_transmute,4,FALSE),
VLOOKUP('Final Term'!T82,new_transmute,4,FALSE)
),
""
)
)
)
)
)
)
)
)
))</f>
        <v/>
      </c>
      <c r="U82" s="73" t="str">
        <f>IF($B82="","",
IF(U$5="","",
IF('Final Term'!U82="",0,
IF(NOT(ISNUMBER('Final Term'!U82)),"NAN",
IF('Final Term'!U82&lt;0,"NEG",
IF('Final Term'!U82&gt;U$5,"OVER",
IF(AND(U$5&lt;=100,'Final Term'!U82&gt;100),"ERR",
IF(Info!$B$4="Non-board program",
IF(OR(AND(U$5&gt;0,U$5&gt;100),AND(U$5&gt;0,U$5&lt;100)),
VLOOKUP(FLOOR(('Final Term'!U82/U$5)*100,1),new_transmute,2,FALSE),
VLOOKUP('Final Term'!U82,new_transmute,2,FALSE)
),
IF(Info!$B$4="Board program",
IF(OR(AND(U$5&gt;0,U$5&gt;100),AND(U$5&gt;0,U$5&lt;100)),
VLOOKUP(FLOOR(('Final Term'!U82/U$5)*100,1),new_transmute,3,FALSE),
VLOOKUP('Final Term'!U82,new_transmute,3,FALSE)
),
IF(Info!$B$4="Board program (Medicine)",
IF(OR(AND(U$5&gt;0,U$5&gt;100),AND(U$5&gt;0,U$5&lt;100)),
VLOOKUP(FLOOR(('Final Term'!U82/U$5)*100,1),new_transmute,4,FALSE),
VLOOKUP('Final Term'!U82,new_transmute,4,FALSE)
),
""
)
)
)
)
)
)
)
)
))</f>
        <v/>
      </c>
      <c r="V82" s="73" t="str">
        <f>IF($B82="","",
IF(V$5="","",
IF('Final Term'!V82="",0,
IF(NOT(ISNUMBER('Final Term'!V82)),"NAN",
IF('Final Term'!V82&lt;0,"NEG",
IF('Final Term'!V82&gt;V$5,"OVER",
IF(AND(V$5&lt;=100,'Final Term'!V82&gt;100),"ERR",
IF(Info!$B$4="Non-board program",
IF(OR(AND(V$5&gt;0,V$5&gt;100),AND(V$5&gt;0,V$5&lt;100)),
VLOOKUP(FLOOR(('Final Term'!V82/V$5)*100,1),new_transmute,2,FALSE),
VLOOKUP('Final Term'!V82,new_transmute,2,FALSE)
),
IF(Info!$B$4="Board program",
IF(OR(AND(V$5&gt;0,V$5&gt;100),AND(V$5&gt;0,V$5&lt;100)),
VLOOKUP(FLOOR(('Final Term'!V82/V$5)*100,1),new_transmute,3,FALSE),
VLOOKUP('Final Term'!V82,new_transmute,3,FALSE)
),
IF(Info!$B$4="Board program (Medicine)",
IF(OR(AND(V$5&gt;0,V$5&gt;100),AND(V$5&gt;0,V$5&lt;100)),
VLOOKUP(FLOOR(('Final Term'!V82/V$5)*100,1),new_transmute,4,FALSE),
VLOOKUP('Final Term'!V82,new_transmute,4,FALSE)
),
""
)
)
)
)
)
)
)
)
))</f>
        <v/>
      </c>
      <c r="W82" s="73" t="str">
        <f>IF($B82="","",
IF(W$5="","",
IF('Final Term'!W82="",0,
IF(NOT(ISNUMBER('Final Term'!W82)),"NAN",
IF('Final Term'!W82&lt;0,"NEG",
IF('Final Term'!W82&gt;W$5,"OVER",
IF(AND(W$5&lt;=100,'Final Term'!W82&gt;100),"ERR",
IF(Info!$B$4="Non-board program",
IF(OR(AND(W$5&gt;0,W$5&gt;100),AND(W$5&gt;0,W$5&lt;100)),
VLOOKUP(FLOOR(('Final Term'!W82/W$5)*100,1),new_transmute,2,FALSE),
VLOOKUP('Final Term'!W82,new_transmute,2,FALSE)
),
IF(Info!$B$4="Board program",
IF(OR(AND(W$5&gt;0,W$5&gt;100),AND(W$5&gt;0,W$5&lt;100)),
VLOOKUP(FLOOR(('Final Term'!W82/W$5)*100,1),new_transmute,3,FALSE),
VLOOKUP('Final Term'!W82,new_transmute,3,FALSE)
),
IF(Info!$B$4="Board program (Medicine)",
IF(OR(AND(W$5&gt;0,W$5&gt;100),AND(W$5&gt;0,W$5&lt;100)),
VLOOKUP(FLOOR(('Final Term'!W82/W$5)*100,1),new_transmute,4,FALSE),
VLOOKUP('Final Term'!W82,new_transmute,4,FALSE)
),
""
)
)
)
)
)
)
)
)
))</f>
        <v/>
      </c>
      <c r="X82" s="73" t="str">
        <f>IF($B82="","",
IF(X$5="","",
IF('Final Term'!X82="",0,
IF(NOT(ISNUMBER('Final Term'!X82)),"NAN",
IF('Final Term'!X82&lt;0,"NEG",
IF('Final Term'!X82&gt;X$5,"OVER",
IF(AND(X$5&lt;=100,'Final Term'!X82&gt;100),"ERR",
IF(Info!$B$4="Non-board program",
IF(OR(AND(X$5&gt;0,X$5&gt;100),AND(X$5&gt;0,X$5&lt;100)),
VLOOKUP(FLOOR(('Final Term'!X82/X$5)*100,1),new_transmute,2,FALSE),
VLOOKUP('Final Term'!X82,new_transmute,2,FALSE)
),
IF(Info!$B$4="Board program",
IF(OR(AND(X$5&gt;0,X$5&gt;100),AND(X$5&gt;0,X$5&lt;100)),
VLOOKUP(FLOOR(('Final Term'!X82/X$5)*100,1),new_transmute,3,FALSE),
VLOOKUP('Final Term'!X82,new_transmute,3,FALSE)
),
IF(Info!$B$4="Board program (Medicine)",
IF(OR(AND(X$5&gt;0,X$5&gt;100),AND(X$5&gt;0,X$5&lt;100)),
VLOOKUP(FLOOR(('Final Term'!X82/X$5)*100,1),new_transmute,4,FALSE),
VLOOKUP('Final Term'!X82,new_transmute,4,FALSE)
),
""
)
)
)
)
)
)
)
)
))</f>
        <v/>
      </c>
      <c r="Y82" s="112" t="str">
        <f t="shared" si="14"/>
        <v/>
      </c>
      <c r="Z82" s="73" t="str">
        <f>IF($B82="","",
IF(Z$5="","",
IF('Final Term'!Z82="",0,
IF(NOT(ISNUMBER('Final Term'!Z82)),"NAN",
IF('Final Term'!Z82&lt;0,"NEG",
IF('Final Term'!Z82&gt;Z$5,"OVER",
IF(AND(Z$5&lt;=100,'Final Term'!Z82&gt;100),"ERR",
IF(Info!$B$4="Non-board program",
IF(OR(AND(Z$5&gt;0,Z$5&gt;100),AND(Z$5&gt;0,Z$5&lt;100)),
VLOOKUP(FLOOR(('Final Term'!Z82/Z$5)*100,1),new_transmute,2,FALSE),
VLOOKUP('Final Term'!Z82,new_transmute,2,FALSE)
),
IF(Info!$B$4="Board program",
IF(OR(AND(Z$5&gt;0,Z$5&gt;100),AND(Z$5&gt;0,Z$5&lt;100)),
VLOOKUP(FLOOR(('Final Term'!Z82/Z$5)*100,1),new_transmute,3,FALSE),
VLOOKUP('Final Term'!Z82,new_transmute,3,FALSE)
),
IF(Info!$B$4="Board program (Medicine)",
IF(OR(AND(Z$5&gt;0,Z$5&gt;100),AND(Z$5&gt;0,Z$5&lt;100)),
VLOOKUP(FLOOR(('Final Term'!Z82/Z$5)*100,1),new_transmute,4,FALSE),
VLOOKUP('Final Term'!Z82,new_transmute,4,FALSE)
),
""
)
)
)
)
)
)
)
)
))</f>
        <v/>
      </c>
      <c r="AA82" s="73" t="str">
        <f>IF($B82="","",
IF(AA$5="","",
IF('Final Term'!AA82="",0,
IF(NOT(ISNUMBER('Final Term'!AA82)),"NAN",
IF('Final Term'!AA82&lt;0,"NEG",
IF('Final Term'!AA82&gt;AA$5,"OVER",
IF(AND(AA$5&lt;=100,'Final Term'!AA82&gt;100),"ERR",
IF(Info!$B$4="Non-board program",
IF(OR(AND(AA$5&gt;0,AA$5&gt;100),AND(AA$5&gt;0,AA$5&lt;100)),
VLOOKUP(FLOOR(('Final Term'!AA82/AA$5)*100,1),new_transmute,2,FALSE),
VLOOKUP('Final Term'!AA82,new_transmute,2,FALSE)
),
IF(Info!$B$4="Board program",
IF(OR(AND(AA$5&gt;0,AA$5&gt;100),AND(AA$5&gt;0,AA$5&lt;100)),
VLOOKUP(FLOOR(('Final Term'!AA82/AA$5)*100,1),new_transmute,3,FALSE),
VLOOKUP('Final Term'!AA82,new_transmute,3,FALSE)
),
IF(Info!$B$4="Board program (Medicine)",
IF(OR(AND(AA$5&gt;0,AA$5&gt;100),AND(AA$5&gt;0,AA$5&lt;100)),
VLOOKUP(FLOOR(('Final Term'!AA82/AA$5)*100,1),new_transmute,4,FALSE),
VLOOKUP('Final Term'!AA82,new_transmute,4,FALSE)
),
""
)
)
)
)
)
)
)
)
))</f>
        <v/>
      </c>
      <c r="AB82" s="73" t="str">
        <f>IF($B82="","",
IF(AB$5="","",
IF('Final Term'!AB82="",0,
IF(NOT(ISNUMBER('Final Term'!AB82)),"NAN",
IF('Final Term'!AB82&lt;0,"NEG",
IF('Final Term'!AB82&gt;AB$5,"OVER",
IF(AND(AB$5&lt;=100,'Final Term'!AB82&gt;100),"ERR",
IF(Info!$B$4="Non-board program",
IF(OR(AND(AB$5&gt;0,AB$5&gt;100),AND(AB$5&gt;0,AB$5&lt;100)),
VLOOKUP(FLOOR(('Final Term'!AB82/AB$5)*100,1),new_transmute,2,FALSE),
VLOOKUP('Final Term'!AB82,new_transmute,2,FALSE)
),
IF(Info!$B$4="Board program",
IF(OR(AND(AB$5&gt;0,AB$5&gt;100),AND(AB$5&gt;0,AB$5&lt;100)),
VLOOKUP(FLOOR(('Final Term'!AB82/AB$5)*100,1),new_transmute,3,FALSE),
VLOOKUP('Final Term'!AB82,new_transmute,3,FALSE)
),
IF(Info!$B$4="Board program (Medicine)",
IF(OR(AND(AB$5&gt;0,AB$5&gt;100),AND(AB$5&gt;0,AB$5&lt;100)),
VLOOKUP(FLOOR(('Final Term'!AB82/AB$5)*100,1),new_transmute,4,FALSE),
VLOOKUP('Final Term'!AB82,new_transmute,4,FALSE)
),
""
)
)
)
)
)
)
)
)
))</f>
        <v/>
      </c>
      <c r="AC82" s="73" t="str">
        <f>IF($B82="","",
IF(AC$5="","",
IF('Final Term'!AC82="",0,
IF(NOT(ISNUMBER('Final Term'!AC82)),"NAN",
IF('Final Term'!AC82&lt;0,"NEG",
IF('Final Term'!AC82&gt;AC$5,"OVER",
IF(AND(AC$5&lt;=100,'Final Term'!AC82&gt;100),"ERR",
IF(Info!$B$4="Non-board program",
IF(OR(AND(AC$5&gt;0,AC$5&gt;100),AND(AC$5&gt;0,AC$5&lt;100)),
VLOOKUP(FLOOR(('Final Term'!AC82/AC$5)*100,1),new_transmute,2,FALSE),
VLOOKUP('Final Term'!AC82,new_transmute,2,FALSE)
),
IF(Info!$B$4="Board program",
IF(OR(AND(AC$5&gt;0,AC$5&gt;100),AND(AC$5&gt;0,AC$5&lt;100)),
VLOOKUP(FLOOR(('Final Term'!AC82/AC$5)*100,1),new_transmute,3,FALSE),
VLOOKUP('Final Term'!AC82,new_transmute,3,FALSE)
),
IF(Info!$B$4="Board program (Medicine)",
IF(OR(AND(AC$5&gt;0,AC$5&gt;100),AND(AC$5&gt;0,AC$5&lt;100)),
VLOOKUP(FLOOR(('Final Term'!AC82/AC$5)*100,1),new_transmute,4,FALSE),
VLOOKUP('Final Term'!AC82,new_transmute,4,FALSE)
),
""
)
)
)
)
)
)
)
)
))</f>
        <v/>
      </c>
      <c r="AD82" s="73" t="str">
        <f>IF($B82="","",
IF(AD$5="","",
IF('Final Term'!AD82="",0,
IF(NOT(ISNUMBER('Final Term'!AD82)),"NAN",
IF('Final Term'!AD82&lt;0,"NEG",
IF('Final Term'!AD82&gt;AD$5,"OVER",
IF(AND(AD$5&lt;=100,'Final Term'!AD82&gt;100),"ERR",
IF(Info!$B$4="Non-board program",
IF(OR(AND(AD$5&gt;0,AD$5&gt;100),AND(AD$5&gt;0,AD$5&lt;100)),
VLOOKUP(FLOOR(('Final Term'!AD82/AD$5)*100,1),new_transmute,2,FALSE),
VLOOKUP('Final Term'!AD82,new_transmute,2,FALSE)
),
IF(Info!$B$4="Board program",
IF(OR(AND(AD$5&gt;0,AD$5&gt;100),AND(AD$5&gt;0,AD$5&lt;100)),
VLOOKUP(FLOOR(('Final Term'!AD82/AD$5)*100,1),new_transmute,3,FALSE),
VLOOKUP('Final Term'!AD82,new_transmute,3,FALSE)
),
IF(Info!$B$4="Board program (Medicine)",
IF(OR(AND(AD$5&gt;0,AD$5&gt;100),AND(AD$5&gt;0,AD$5&lt;100)),
VLOOKUP(FLOOR(('Final Term'!AD82/AD$5)*100,1),new_transmute,4,FALSE),
VLOOKUP('Final Term'!AD82,new_transmute,4,FALSE)
),
""
)
)
)
)
)
)
)
)
))</f>
        <v/>
      </c>
      <c r="AE82" s="58" t="str">
        <f t="shared" si="15"/>
        <v/>
      </c>
      <c r="AF82" s="73" t="str">
        <f>IF($B82="","",
IF(AF$5="","",
IF('Final Term'!AF82="",0,
IF(NOT(ISNUMBER('Final Term'!AF82)),"NAN",
IF('Final Term'!AF82&lt;0,"NEG",
IF('Final Term'!AF82&gt;AF$5,"OVER",
IF(AND(AF$5&lt;=100,'Final Term'!AF82&gt;100),"ERR",
IF(Info!$B$4="Non-board program",
IF(OR(AND(AF$5&gt;0,AF$5&gt;100),AND(AF$5&gt;0,AF$5&lt;100)),
VLOOKUP(FLOOR(('Final Term'!AF82/AF$5)*100,1),new_transmute,2,FALSE),
VLOOKUP('Final Term'!AF82,new_transmute,2,FALSE)
),
IF(Info!$B$4="Board program",
IF(OR(AND(AF$5&gt;0,AF$5&gt;100),AND(AF$5&gt;0,AF$5&lt;100)),
VLOOKUP(FLOOR(('Final Term'!AF82/AF$5)*100,1),new_transmute,3,FALSE),
VLOOKUP('Final Term'!AF82,new_transmute,3,FALSE)
),
IF(Info!$B$4="Board program (Medicine)",
IF(OR(AND(AF$5&gt;0,AF$5&gt;100),AND(AF$5&gt;0,AF$5&lt;100)),
VLOOKUP(FLOOR(('Final Term'!AF82/AF$5)*100,1),new_transmute,4,FALSE),
VLOOKUP('Final Term'!AF82,new_transmute,4,FALSE)
),
""
)
)
)
)
)
)
)
)
))</f>
        <v/>
      </c>
      <c r="AG82" s="73" t="str">
        <f>IF($B82="","",
IF(AG$5="","",
IF('Final Term'!AG82="",0,
IF(NOT(ISNUMBER('Final Term'!AG82)),"NAN",
IF('Final Term'!AG82&lt;0,"NEG",
IF('Final Term'!AG82&gt;AG$5,"OVER",
IF(AND(AG$5&lt;=100,'Final Term'!AG82&gt;100),"ERR",
IF(Info!$B$4="Non-board program",
IF(OR(AND(AG$5&gt;0,AG$5&gt;100),AND(AG$5&gt;0,AG$5&lt;100)),
VLOOKUP(FLOOR(('Final Term'!AG82/AG$5)*100,1),new_transmute,2,FALSE),
VLOOKUP('Final Term'!AG82,new_transmute,2,FALSE)
),
IF(Info!$B$4="Board program",
IF(OR(AND(AG$5&gt;0,AG$5&gt;100),AND(AG$5&gt;0,AG$5&lt;100)),
VLOOKUP(FLOOR(('Final Term'!AG82/AG$5)*100,1),new_transmute,3,FALSE),
VLOOKUP('Final Term'!AG82,new_transmute,3,FALSE)
),
IF(Info!$B$4="Board program (Medicine)",
IF(OR(AND(AG$5&gt;0,AG$5&gt;100),AND(AG$5&gt;0,AG$5&lt;100)),
VLOOKUP(FLOOR(('Final Term'!AG82/AG$5)*100,1),new_transmute,4,FALSE),
VLOOKUP('Final Term'!AG82,new_transmute,4,FALSE)
),
""
)
)
)
)
)
)
)
)
))</f>
        <v/>
      </c>
      <c r="AH82" s="73" t="str">
        <f>IF($B82="","",
IF(AH$5="","",
IF('Final Term'!AH82="",0,
IF(NOT(ISNUMBER('Final Term'!AH82)),"NAN",
IF('Final Term'!AH82&lt;0,"NEG",
IF('Final Term'!AH82&gt;AH$5,"OVER",
IF(AND(AH$5&lt;=100,'Final Term'!AH82&gt;100),"ERR",
IF(Info!$B$4="Non-board program",
IF(OR(AND(AH$5&gt;0,AH$5&gt;100),AND(AH$5&gt;0,AH$5&lt;100)),
VLOOKUP(FLOOR(('Final Term'!AH82/AH$5)*100,1),new_transmute,2,FALSE),
VLOOKUP('Final Term'!AH82,new_transmute,2,FALSE)
),
IF(Info!$B$4="Board program",
IF(OR(AND(AH$5&gt;0,AH$5&gt;100),AND(AH$5&gt;0,AH$5&lt;100)),
VLOOKUP(FLOOR(('Final Term'!AH82/AH$5)*100,1),new_transmute,3,FALSE),
VLOOKUP('Final Term'!AH82,new_transmute,3,FALSE)
),
IF(Info!$B$4="Board program (Medicine)",
IF(OR(AND(AH$5&gt;0,AH$5&gt;100),AND(AH$5&gt;0,AH$5&lt;100)),
VLOOKUP(FLOOR(('Final Term'!AH82/AH$5)*100,1),new_transmute,4,FALSE),
VLOOKUP('Final Term'!AH82,new_transmute,4,FALSE)
),
""
)
)
)
)
)
)
)
)
))</f>
        <v/>
      </c>
      <c r="AI82" s="73" t="str">
        <f>IF($B82="","",
IF(AI$5="","",
IF('Final Term'!AI82="",0,
IF(NOT(ISNUMBER('Final Term'!AI82)),"NAN",
IF('Final Term'!AI82&lt;0,"NEG",
IF('Final Term'!AI82&gt;AI$5,"OVER",
IF(AND(AI$5&lt;=100,'Final Term'!AI82&gt;100),"ERR",
IF(Info!$B$4="Non-board program",
IF(OR(AND(AI$5&gt;0,AI$5&gt;100),AND(AI$5&gt;0,AI$5&lt;100)),
VLOOKUP(FLOOR(('Final Term'!AI82/AI$5)*100,1),new_transmute,2,FALSE),
VLOOKUP('Final Term'!AI82,new_transmute,2,FALSE)
),
IF(Info!$B$4="Board program",
IF(OR(AND(AI$5&gt;0,AI$5&gt;100),AND(AI$5&gt;0,AI$5&lt;100)),
VLOOKUP(FLOOR(('Final Term'!AI82/AI$5)*100,1),new_transmute,3,FALSE),
VLOOKUP('Final Term'!AI82,new_transmute,3,FALSE)
),
IF(Info!$B$4="Board program (Medicine)",
IF(OR(AND(AI$5&gt;0,AI$5&gt;100),AND(AI$5&gt;0,AI$5&lt;100)),
VLOOKUP(FLOOR(('Final Term'!AI82/AI$5)*100,1),new_transmute,4,FALSE),
VLOOKUP('Final Term'!AI82,new_transmute,4,FALSE)
),
""
)
)
)
)
)
)
)
)
))</f>
        <v/>
      </c>
      <c r="AJ82" s="73" t="str">
        <f>IF($B82="","",
IF(AJ$5="","",
IF('Final Term'!AJ82="",0,
IF(NOT(ISNUMBER('Final Term'!AJ82)),"NAN",
IF('Final Term'!AJ82&lt;0,"NEG",
IF('Final Term'!AJ82&gt;AJ$5,"OVER",
IF(AND(AJ$5&lt;=100,'Final Term'!AJ82&gt;100),"ERR",
IF(Info!$B$4="Non-board program",
IF(OR(AND(AJ$5&gt;0,AJ$5&gt;100),AND(AJ$5&gt;0,AJ$5&lt;100)),
VLOOKUP(FLOOR(('Final Term'!AJ82/AJ$5)*100,1),new_transmute,2,FALSE),
VLOOKUP('Final Term'!AJ82,new_transmute,2,FALSE)
),
IF(Info!$B$4="Board program",
IF(OR(AND(AJ$5&gt;0,AJ$5&gt;100),AND(AJ$5&gt;0,AJ$5&lt;100)),
VLOOKUP(FLOOR(('Final Term'!AJ82/AJ$5)*100,1),new_transmute,3,FALSE),
VLOOKUP('Final Term'!AJ82,new_transmute,3,FALSE)
),
IF(Info!$B$4="Board program (Medicine)",
IF(OR(AND(AJ$5&gt;0,AJ$5&gt;100),AND(AJ$5&gt;0,AJ$5&lt;100)),
VLOOKUP(FLOOR(('Final Term'!AJ82/AJ$5)*100,1),new_transmute,4,FALSE),
VLOOKUP('Final Term'!AJ82,new_transmute,4,FALSE)
),
""
)
)
)
)
)
)
)
)
))</f>
        <v/>
      </c>
      <c r="AK82" s="59" t="str">
        <f t="shared" si="16"/>
        <v/>
      </c>
      <c r="AL82" s="60" t="str">
        <f>IF(B82="", "",
    IF(OR(M82="OVER", S82="OVER", Y82="OVER", AE82="OVER", AK82="OVER"),
        "OVER",
        IF(Info!$B$4="Non-board program",
            VLOOKUP(IFERROR(FLOOR(SUM((M82*$M$4), (S82*$S$4), (Y82*$Y$4), (AE82*$AE$4), (AK82*$AK$4)) * (100 / 60), 1), 0), new_transmute, 2, FALSE),
            IF(Info!$B$4="Board program",
                VLOOKUP(IFERROR(FLOOR(SUM((M82*$M$4), (S82*$S$4), (Y82*$Y$4), (AE82*$AE$4), (AK82*$AK$4)) * (100 / 60), 1), 0), new_transmute, 3, FALSE),
                IF(Info!$B$4="Board program (Medicine)",
                    VLOOKUP(IFERROR(FLOOR(SUM((M82*$M$4), (S82*$S$4), (Y82*$Y$4), (AE82*$AE$4), (AK82*$AK$4)) * (100 / 60), 1), 0), new_transmute, 4, FALSE),
                    ""
                )
            )
        )
    )
)</f>
        <v/>
      </c>
      <c r="AM82" s="73" t="str">
        <f>IF($B82="","",
IF(AM$5="","",
IF('Final Term'!AM82="",0,
IF(NOT(ISNUMBER('Final Term'!AM82)),"NAN",
IF('Final Term'!AM82&lt;0,"NEG",
IF('Final Term'!AM82&gt;AM$5,"OVER",
IF(AND(AM$5&lt;=100,'Final Term'!AM82&gt;100),"ERR",
IF(Info!$B$4="Non-board program",
IF(OR(AND(AM$5&gt;0,AM$5&gt;100),AND(AM$5&gt;0,AM$5&lt;100)),
VLOOKUP(FLOOR(('Final Term'!AM82/AM$5)*100,1),new_transmute,2,FALSE),
VLOOKUP('Final Term'!AM82,new_transmute,2,FALSE)
),
IF(Info!$B$4="Board program",
IF(OR(AND(AM$5&gt;0,AM$5&gt;100),AND(AM$5&gt;0,AM$5&lt;100)),
VLOOKUP(FLOOR(('Final Term'!AM82/AM$5)*100,1),new_transmute,3,FALSE),
VLOOKUP('Final Term'!AM82,new_transmute,3,FALSE)
),
IF(Info!$B$4="Board program (Medicine)",
IF(OR(AND(AM$5&gt;0,AM$5&gt;100),AND(AM$5&gt;0,AM$5&lt;100)),
VLOOKUP(FLOOR(('Final Term'!AM82/AM$5)*100,1),new_transmute,4,FALSE),
VLOOKUP('Final Term'!AM82,new_transmute,4,FALSE)
),
""
)
)
)
)
)
)
)
)
))</f>
        <v/>
      </c>
      <c r="AN82" s="73" t="str">
        <f>IF($B82="","",
IF(AN$5="","",
IF('Final Term'!AN82="",0,
IF(NOT(ISNUMBER('Final Term'!AN82)),"NAN",
IF('Final Term'!AN82&lt;0,"NEG",
IF('Final Term'!AN82&gt;AN$5,"OVER",
IF(AND(AN$5&lt;=100,'Final Term'!AN82&gt;100),"ERR",
IF(Info!$B$4="Non-board program",
IF(OR(AND(AN$5&gt;0,AN$5&gt;100),AND(AN$5&gt;0,AN$5&lt;100)),
VLOOKUP(FLOOR(('Final Term'!AN82/AN$5)*100,1),new_transmute,2,FALSE),
VLOOKUP('Final Term'!AN82,new_transmute,2,FALSE)
),
IF(Info!$B$4="Board program",
IF(OR(AND(AN$5&gt;0,AN$5&gt;100),AND(AN$5&gt;0,AN$5&lt;100)),
VLOOKUP(FLOOR(('Final Term'!AN82/AN$5)*100,1),new_transmute,3,FALSE),
VLOOKUP('Final Term'!AN82,new_transmute,3,FALSE)
),
IF(Info!$B$4="Board program (Medicine)",
IF(OR(AND(AN$5&gt;0,AN$5&gt;100),AND(AN$5&gt;0,AN$5&lt;100)),
VLOOKUP(FLOOR(('Final Term'!AN82/AN$5)*100,1),new_transmute,4,FALSE),
VLOOKUP('Final Term'!AN82,new_transmute,4,FALSE)
),
""
)
)
)
)
)
)
)
)
))</f>
        <v/>
      </c>
      <c r="AO82" s="73" t="str">
        <f>IF($B82="","",
IF(AO$5="","",
IF('Final Term'!AO82="",0,
IF(NOT(ISNUMBER('Final Term'!AO82)),"NAN",
IF('Final Term'!AO82&lt;0,"NEG",
IF('Final Term'!AO82&gt;AO$5,"OVER",
IF(AND(AO$5&lt;=100,'Final Term'!AO82&gt;100),"ERR",
IF(Info!$B$4="Non-board program",
IF(OR(AND(AO$5&gt;0,AO$5&gt;100),AND(AO$5&gt;0,AO$5&lt;100)),
VLOOKUP(FLOOR(('Final Term'!AO82/AO$5)*100,1),new_transmute,2,FALSE),
VLOOKUP('Final Term'!AO82,new_transmute,2,FALSE)
),
IF(Info!$B$4="Board program",
IF(OR(AND(AO$5&gt;0,AO$5&gt;100),AND(AO$5&gt;0,AO$5&lt;100)),
VLOOKUP(FLOOR(('Final Term'!AO82/AO$5)*100,1),new_transmute,3,FALSE),
VLOOKUP('Final Term'!AO82,new_transmute,3,FALSE)
),
IF(Info!$B$4="Board program (Medicine)",
IF(OR(AND(AO$5&gt;0,AO$5&gt;100),AND(AO$5&gt;0,AO$5&lt;100)),
VLOOKUP(FLOOR(('Final Term'!AO82/AO$5)*100,1),new_transmute,4,FALSE),
VLOOKUP('Final Term'!AO82,new_transmute,4,FALSE)
),
""
)
)
)
)
)
)
)
)
))</f>
        <v/>
      </c>
      <c r="AP82" s="73" t="str">
        <f>IF($B82="","",
IF(AP$5="","",
IF('Final Term'!AP82="",0,
IF(NOT(ISNUMBER('Final Term'!AP82)),"NAN",
IF('Final Term'!AP82&lt;0,"NEG",
IF('Final Term'!AP82&gt;AP$5,"OVER",
IF(AND(AP$5&lt;=100,'Final Term'!AP82&gt;100),"ERR",
IF(Info!$B$4="Non-board program",
IF(OR(AND(AP$5&gt;0,AP$5&gt;100),AND(AP$5&gt;0,AP$5&lt;100)),
VLOOKUP(FLOOR(('Final Term'!AP82/AP$5)*100,1),new_transmute,2,FALSE),
VLOOKUP('Final Term'!AP82,new_transmute,2,FALSE)
),
IF(Info!$B$4="Board program",
IF(OR(AND(AP$5&gt;0,AP$5&gt;100),AND(AP$5&gt;0,AP$5&lt;100)),
VLOOKUP(FLOOR(('Final Term'!AP82/AP$5)*100,1),new_transmute,3,FALSE),
VLOOKUP('Final Term'!AP82,new_transmute,3,FALSE)
),
IF(Info!$B$4="Board program (Medicine)",
IF(OR(AND(AP$5&gt;0,AP$5&gt;100),AND(AP$5&gt;0,AP$5&lt;100)),
VLOOKUP(FLOOR(('Final Term'!AP82/AP$5)*100,1),new_transmute,4,FALSE),
VLOOKUP('Final Term'!AP82,new_transmute,4,FALSE)
),
""
)
)
)
)
)
)
)
)
))</f>
        <v/>
      </c>
      <c r="AQ82" s="61" t="str">
        <f t="shared" si="17"/>
        <v/>
      </c>
      <c r="AR82" s="48" t="str">
        <f>IF('Final Term'!AR82="","",'Final Term'!AR82)</f>
        <v/>
      </c>
      <c r="AS82" s="165" t="str">
        <f t="shared" si="18"/>
        <v/>
      </c>
      <c r="AT82" s="14" t="str">
        <f t="shared" si="19"/>
        <v/>
      </c>
      <c r="AU82" s="13" t="str">
        <f>IF(B82="","",VLOOKUP(AT82,'New Grade Equivalent'!$B$3:$C$47,2,FALSE))</f>
        <v/>
      </c>
    </row>
    <row r="83" spans="1:47" x14ac:dyDescent="0.25">
      <c r="A83" s="8">
        <v>78</v>
      </c>
      <c r="B83" s="2" t="str">
        <f>IF('Student List'!C87="","",UPPER(LEFT('Student List'!C87,FIND(",",'Student List'!C87)-1)))</f>
        <v/>
      </c>
      <c r="C83" s="12" t="str">
        <f>IF('Student List'!C87="","",PROPER(MID('Student List'!C87, FIND(",", 'Student List'!C87) + 2, LEN('Student List'!C87) - FIND(",", 'Student List'!C87) - 1)))</f>
        <v/>
      </c>
      <c r="D83" s="127" t="str">
        <f>IF('Final Term'!D83="","",'Final Term'!D83)</f>
        <v/>
      </c>
      <c r="E83" s="8" t="str">
        <f>IF(MidCom!E83="FA", "FA",
    IF(MidCom!E83="DRP", "DRP",
        IF(MidCom!E83="WF", "WF",
            IF(D83="Yes", "INC",
               IF((SUM('MT Attendance'!AW81) / 3 + SUM('MT Attendance'!AY81) + SUM('FT Attendance'!AW81) / 3 + SUM('FT Attendance'!AY81)) &gt;= 0.2 * (SUMPRODUCT(--(ISTEXT('MT Attendance'!$C$2:$AU$2))) + SUMPRODUCT(--(ISTEXT('FT Attendance'!$C$2:$AU$2)))), "FA",
                   MidCom!E83
                )
            )
        )
    )
)</f>
        <v/>
      </c>
      <c r="F83" s="73" t="str">
        <f>IF($B83="","",
IF(F$5="","",
IF('Final Term'!F83="",0,
IF(NOT(ISNUMBER('Final Term'!F83)),"NAN",
IF('Final Term'!F83&lt;0,"NEG",
IF('Final Term'!F83&gt;F$5,"OVER",
IF(AND(F$5&lt;=100,'Final Term'!F83&gt;100),"ERR",
IF(Info!$B$4="Non-board program",
IF(OR(AND(F$5&gt;0,F$5&gt;100),AND(F$5&gt;0,F$5&lt;100)),
VLOOKUP(FLOOR(('Final Term'!F83/F$5)*100,1),new_transmute,2,FALSE),
VLOOKUP('Final Term'!F83,new_transmute,2,FALSE)
),
IF(Info!$B$4="Board program",
IF(OR(AND(F$5&gt;0,F$5&gt;100),AND(F$5&gt;0,F$5&lt;100)),
VLOOKUP(FLOOR(('Final Term'!F83/F$5)*100,1),new_transmute,3,FALSE),
VLOOKUP('Final Term'!F83,new_transmute,3,FALSE)
),
IF(Info!$B$4="Board program (Medicine)",
IF(OR(AND(F$5&gt;0,F$5&gt;100),AND(F$5&gt;0,F$5&lt;100)),
VLOOKUP(FLOOR(('Final Term'!F83/F$5)*100,1),new_transmute,4,FALSE),
VLOOKUP('Final Term'!F83,new_transmute,4,FALSE)
),
""
)
)
)
)
)
)
)
)
))</f>
        <v/>
      </c>
      <c r="G83" s="57" t="str">
        <f t="shared" si="11"/>
        <v/>
      </c>
      <c r="H83" s="73" t="str">
        <f>IF($B83="","",
IF(H$5="","",
IF('Final Term'!H83="",0,
IF(NOT(ISNUMBER('Final Term'!H83)),"NAN",
IF('Final Term'!H83&lt;0,"NEG",
IF('Final Term'!H83&gt;H$5,"OVER",
IF(AND(H$5&lt;=100,'Final Term'!H83&gt;100),"ERR",
IF(Info!$B$4="Non-board program",
IF(OR(AND(H$5&gt;0,H$5&gt;100),AND(H$5&gt;0,H$5&lt;100)),
VLOOKUP(FLOOR(('Final Term'!H83/H$5)*100,1),new_transmute,2,FALSE),
VLOOKUP('Final Term'!H83,new_transmute,2,FALSE)
),
IF(Info!$B$4="Board program",
IF(OR(AND(H$5&gt;0,H$5&gt;100),AND(H$5&gt;0,H$5&lt;100)),
VLOOKUP(FLOOR(('Final Term'!H83/H$5)*100,1),new_transmute,3,FALSE),
VLOOKUP('Final Term'!H83,new_transmute,3,FALSE)
),
IF(Info!$B$4="Board program (Medicine)",
IF(OR(AND(H$5&gt;0,H$5&gt;100),AND(H$5&gt;0,H$5&lt;100)),
VLOOKUP(FLOOR(('Final Term'!H83/H$5)*100,1),new_transmute,4,FALSE),
VLOOKUP('Final Term'!H83,new_transmute,4,FALSE)
),
""
)
)
)
)
)
)
)
)
))</f>
        <v/>
      </c>
      <c r="I83" s="73" t="str">
        <f>IF($B83="","",
IF(I$5="","",
IF('Final Term'!I83="",0,
IF(NOT(ISNUMBER('Final Term'!I83)),"NAN",
IF('Final Term'!I83&lt;0,"NEG",
IF('Final Term'!I83&gt;I$5,"OVER",
IF(AND(I$5&lt;=100,'Final Term'!I83&gt;100),"ERR",
IF(Info!$B$4="Non-board program",
IF(OR(AND(I$5&gt;0,I$5&gt;100),AND(I$5&gt;0,I$5&lt;100)),
VLOOKUP(FLOOR(('Final Term'!I83/I$5)*100,1),new_transmute,2,FALSE),
VLOOKUP('Final Term'!I83,new_transmute,2,FALSE)
),
IF(Info!$B$4="Board program",
IF(OR(AND(I$5&gt;0,I$5&gt;100),AND(I$5&gt;0,I$5&lt;100)),
VLOOKUP(FLOOR(('Final Term'!I83/I$5)*100,1),new_transmute,3,FALSE),
VLOOKUP('Final Term'!I83,new_transmute,3,FALSE)
),
IF(Info!$B$4="Board program (Medicine)",
IF(OR(AND(I$5&gt;0,I$5&gt;100),AND(I$5&gt;0,I$5&lt;100)),
VLOOKUP(FLOOR(('Final Term'!I83/I$5)*100,1),new_transmute,4,FALSE),
VLOOKUP('Final Term'!I83,new_transmute,4,FALSE)
),
""
)
)
)
)
)
)
)
)
))</f>
        <v/>
      </c>
      <c r="J83" s="73" t="str">
        <f>IF($B83="","",
IF(J$5="","",
IF('Final Term'!J83="",0,
IF(NOT(ISNUMBER('Final Term'!J83)),"NAN",
IF('Final Term'!J83&lt;0,"NEG",
IF('Final Term'!J83&gt;J$5,"OVER",
IF(AND(J$5&lt;=100,'Final Term'!J83&gt;100),"ERR",
IF(Info!$B$4="Non-board program",
IF(OR(AND(J$5&gt;0,J$5&gt;100),AND(J$5&gt;0,J$5&lt;100)),
VLOOKUP(FLOOR(('Final Term'!J83/J$5)*100,1),new_transmute,2,FALSE),
VLOOKUP('Final Term'!J83,new_transmute,2,FALSE)
),
IF(Info!$B$4="Board program",
IF(OR(AND(J$5&gt;0,J$5&gt;100),AND(J$5&gt;0,J$5&lt;100)),
VLOOKUP(FLOOR(('Final Term'!J83/J$5)*100,1),new_transmute,3,FALSE),
VLOOKUP('Final Term'!J83,new_transmute,3,FALSE)
),
IF(Info!$B$4="Board program (Medicine)",
IF(OR(AND(J$5&gt;0,J$5&gt;100),AND(J$5&gt;0,J$5&lt;100)),
VLOOKUP(FLOOR(('Final Term'!J83/J$5)*100,1),new_transmute,4,FALSE),
VLOOKUP('Final Term'!J83,new_transmute,4,FALSE)
),
""
)
)
)
)
)
)
)
)
))</f>
        <v/>
      </c>
      <c r="K83" s="73" t="str">
        <f>IF($B83="","",
IF(K$5="","",
IF('Final Term'!K83="",0,
IF(NOT(ISNUMBER('Final Term'!K83)),"NAN",
IF('Final Term'!K83&lt;0,"NEG",
IF('Final Term'!K83&gt;K$5,"OVER",
IF(AND(K$5&lt;=100,'Final Term'!K83&gt;100),"ERR",
IF(Info!$B$4="Non-board program",
IF(OR(AND(K$5&gt;0,K$5&gt;100),AND(K$5&gt;0,K$5&lt;100)),
VLOOKUP(FLOOR(('Final Term'!K83/K$5)*100,1),new_transmute,2,FALSE),
VLOOKUP('Final Term'!K83,new_transmute,2,FALSE)
),
IF(Info!$B$4="Board program",
IF(OR(AND(K$5&gt;0,K$5&gt;100),AND(K$5&gt;0,K$5&lt;100)),
VLOOKUP(FLOOR(('Final Term'!K83/K$5)*100,1),new_transmute,3,FALSE),
VLOOKUP('Final Term'!K83,new_transmute,3,FALSE)
),
IF(Info!$B$4="Board program (Medicine)",
IF(OR(AND(K$5&gt;0,K$5&gt;100),AND(K$5&gt;0,K$5&lt;100)),
VLOOKUP(FLOOR(('Final Term'!K83/K$5)*100,1),new_transmute,4,FALSE),
VLOOKUP('Final Term'!K83,new_transmute,4,FALSE)
),
""
)
)
)
)
)
)
)
)
))</f>
        <v/>
      </c>
      <c r="L83" s="73" t="str">
        <f>IF($B83="","",
IF(L$5="","",
IF('Final Term'!L83="",0,
IF(NOT(ISNUMBER('Final Term'!L83)),"NAN",
IF('Final Term'!L83&lt;0,"NEG",
IF('Final Term'!L83&gt;L$5,"OVER",
IF(AND(L$5&lt;=100,'Final Term'!L83&gt;100),"ERR",
IF(Info!$B$4="Non-board program",
IF(OR(AND(L$5&gt;0,L$5&gt;100),AND(L$5&gt;0,L$5&lt;100)),
VLOOKUP(FLOOR(('Final Term'!L83/L$5)*100,1),new_transmute,2,FALSE),
VLOOKUP('Final Term'!L83,new_transmute,2,FALSE)
),
IF(Info!$B$4="Board program",
IF(OR(AND(L$5&gt;0,L$5&gt;100),AND(L$5&gt;0,L$5&lt;100)),
VLOOKUP(FLOOR(('Final Term'!L83/L$5)*100,1),new_transmute,3,FALSE),
VLOOKUP('Final Term'!L83,new_transmute,3,FALSE)
),
IF(Info!$B$4="Board program (Medicine)",
IF(OR(AND(L$5&gt;0,L$5&gt;100),AND(L$5&gt;0,L$5&lt;100)),
VLOOKUP(FLOOR(('Final Term'!L83/L$5)*100,1),new_transmute,4,FALSE),
VLOOKUP('Final Term'!L83,new_transmute,4,FALSE)
),
""
)
)
)
)
)
)
)
)
))</f>
        <v/>
      </c>
      <c r="M83" s="111" t="str">
        <f t="shared" si="12"/>
        <v/>
      </c>
      <c r="N83" s="73" t="str">
        <f>IF($B83="","",
IF(N$5="","",
IF('Final Term'!N83="",0,
IF(NOT(ISNUMBER('Final Term'!N83)),"NAN",
IF('Final Term'!N83&lt;0,"NEG",
IF('Final Term'!N83&gt;N$5,"OVER",
IF(AND(N$5&lt;=100,'Final Term'!N83&gt;100),"ERR",
IF(Info!$B$4="Non-board program",
IF(OR(AND(N$5&gt;0,N$5&gt;100),AND(N$5&gt;0,N$5&lt;100)),
VLOOKUP(FLOOR(('Final Term'!N83/N$5)*100,1),new_transmute,2,FALSE),
VLOOKUP('Final Term'!N83,new_transmute,2,FALSE)
),
IF(Info!$B$4="Board program",
IF(OR(AND(N$5&gt;0,N$5&gt;100),AND(N$5&gt;0,N$5&lt;100)),
VLOOKUP(FLOOR(('Final Term'!N83/N$5)*100,1),new_transmute,3,FALSE),
VLOOKUP('Final Term'!N83,new_transmute,3,FALSE)
),
IF(Info!$B$4="Board program (Medicine)",
IF(OR(AND(N$5&gt;0,N$5&gt;100),AND(N$5&gt;0,N$5&lt;100)),
VLOOKUP(FLOOR(('Final Term'!N83/N$5)*100,1),new_transmute,4,FALSE),
VLOOKUP('Final Term'!N83,new_transmute,4,FALSE)
),
""
)
)
)
)
)
)
)
)
))</f>
        <v/>
      </c>
      <c r="O83" s="73" t="str">
        <f>IF($B83="","",
IF(O$5="","",
IF('Final Term'!O83="",0,
IF(NOT(ISNUMBER('Final Term'!O83)),"NAN",
IF('Final Term'!O83&lt;0,"NEG",
IF('Final Term'!O83&gt;O$5,"OVER",
IF(AND(O$5&lt;=100,'Final Term'!O83&gt;100),"ERR",
IF(Info!$B$4="Non-board program",
IF(OR(AND(O$5&gt;0,O$5&gt;100),AND(O$5&gt;0,O$5&lt;100)),
VLOOKUP(FLOOR(('Final Term'!O83/O$5)*100,1),new_transmute,2,FALSE),
VLOOKUP('Final Term'!O83,new_transmute,2,FALSE)
),
IF(Info!$B$4="Board program",
IF(OR(AND(O$5&gt;0,O$5&gt;100),AND(O$5&gt;0,O$5&lt;100)),
VLOOKUP(FLOOR(('Final Term'!O83/O$5)*100,1),new_transmute,3,FALSE),
VLOOKUP('Final Term'!O83,new_transmute,3,FALSE)
),
IF(Info!$B$4="Board program (Medicine)",
IF(OR(AND(O$5&gt;0,O$5&gt;100),AND(O$5&gt;0,O$5&lt;100)),
VLOOKUP(FLOOR(('Final Term'!O83/O$5)*100,1),new_transmute,4,FALSE),
VLOOKUP('Final Term'!O83,new_transmute,4,FALSE)
),
""
)
)
)
)
)
)
)
)
))</f>
        <v/>
      </c>
      <c r="P83" s="73" t="str">
        <f>IF($B83="","",
IF(P$5="","",
IF('Final Term'!P83="",0,
IF(NOT(ISNUMBER('Final Term'!P83)),"NAN",
IF('Final Term'!P83&lt;0,"NEG",
IF('Final Term'!P83&gt;P$5,"OVER",
IF(AND(P$5&lt;=100,'Final Term'!P83&gt;100),"ERR",
IF(Info!$B$4="Non-board program",
IF(OR(AND(P$5&gt;0,P$5&gt;100),AND(P$5&gt;0,P$5&lt;100)),
VLOOKUP(FLOOR(('Final Term'!P83/P$5)*100,1),new_transmute,2,FALSE),
VLOOKUP('Final Term'!P83,new_transmute,2,FALSE)
),
IF(Info!$B$4="Board program",
IF(OR(AND(P$5&gt;0,P$5&gt;100),AND(P$5&gt;0,P$5&lt;100)),
VLOOKUP(FLOOR(('Final Term'!P83/P$5)*100,1),new_transmute,3,FALSE),
VLOOKUP('Final Term'!P83,new_transmute,3,FALSE)
),
IF(Info!$B$4="Board program (Medicine)",
IF(OR(AND(P$5&gt;0,P$5&gt;100),AND(P$5&gt;0,P$5&lt;100)),
VLOOKUP(FLOOR(('Final Term'!P83/P$5)*100,1),new_transmute,4,FALSE),
VLOOKUP('Final Term'!P83,new_transmute,4,FALSE)
),
""
)
)
)
)
)
)
)
)
))</f>
        <v/>
      </c>
      <c r="Q83" s="73" t="str">
        <f>IF($B83="","",
IF(Q$5="","",
IF('Final Term'!Q83="",0,
IF(NOT(ISNUMBER('Final Term'!Q83)),"NAN",
IF('Final Term'!Q83&lt;0,"NEG",
IF('Final Term'!Q83&gt;Q$5,"OVER",
IF(AND(Q$5&lt;=100,'Final Term'!Q83&gt;100),"ERR",
IF(Info!$B$4="Non-board program",
IF(OR(AND(Q$5&gt;0,Q$5&gt;100),AND(Q$5&gt;0,Q$5&lt;100)),
VLOOKUP(FLOOR(('Final Term'!Q83/Q$5)*100,1),new_transmute,2,FALSE),
VLOOKUP('Final Term'!Q83,new_transmute,2,FALSE)
),
IF(Info!$B$4="Board program",
IF(OR(AND(Q$5&gt;0,Q$5&gt;100),AND(Q$5&gt;0,Q$5&lt;100)),
VLOOKUP(FLOOR(('Final Term'!Q83/Q$5)*100,1),new_transmute,3,FALSE),
VLOOKUP('Final Term'!Q83,new_transmute,3,FALSE)
),
IF(Info!$B$4="Board program (Medicine)",
IF(OR(AND(Q$5&gt;0,Q$5&gt;100),AND(Q$5&gt;0,Q$5&lt;100)),
VLOOKUP(FLOOR(('Final Term'!Q83/Q$5)*100,1),new_transmute,4,FALSE),
VLOOKUP('Final Term'!Q83,new_transmute,4,FALSE)
),
""
)
)
)
)
)
)
)
)
))</f>
        <v/>
      </c>
      <c r="R83" s="73" t="str">
        <f>IF($B83="","",
IF(R$5="","",
IF('Final Term'!R83="",0,
IF(NOT(ISNUMBER('Final Term'!R83)),"NAN",
IF('Final Term'!R83&lt;0,"NEG",
IF('Final Term'!R83&gt;R$5,"OVER",
IF(AND(R$5&lt;=100,'Final Term'!R83&gt;100),"ERR",
IF(Info!$B$4="Non-board program",
IF(OR(AND(R$5&gt;0,R$5&gt;100),AND(R$5&gt;0,R$5&lt;100)),
VLOOKUP(FLOOR(('Final Term'!R83/R$5)*100,1),new_transmute,2,FALSE),
VLOOKUP('Final Term'!R83,new_transmute,2,FALSE)
),
IF(Info!$B$4="Board program",
IF(OR(AND(R$5&gt;0,R$5&gt;100),AND(R$5&gt;0,R$5&lt;100)),
VLOOKUP(FLOOR(('Final Term'!R83/R$5)*100,1),new_transmute,3,FALSE),
VLOOKUP('Final Term'!R83,new_transmute,3,FALSE)
),
IF(Info!$B$4="Board program (Medicine)",
IF(OR(AND(R$5&gt;0,R$5&gt;100),AND(R$5&gt;0,R$5&lt;100)),
VLOOKUP(FLOOR(('Final Term'!R83/R$5)*100,1),new_transmute,4,FALSE),
VLOOKUP('Final Term'!R83,new_transmute,4,FALSE)
),
""
)
)
)
)
)
)
)
)
))</f>
        <v/>
      </c>
      <c r="S83" s="115" t="str">
        <f t="shared" si="13"/>
        <v/>
      </c>
      <c r="T83" s="73" t="str">
        <f>IF($B83="","",
IF(T$5="","",
IF('Final Term'!T83="",0,
IF(NOT(ISNUMBER('Final Term'!T83)),"NAN",
IF('Final Term'!T83&lt;0,"NEG",
IF('Final Term'!T83&gt;T$5,"OVER",
IF(AND(T$5&lt;=100,'Final Term'!T83&gt;100),"ERR",
IF(Info!$B$4="Non-board program",
IF(OR(AND(T$5&gt;0,T$5&gt;100),AND(T$5&gt;0,T$5&lt;100)),
VLOOKUP(FLOOR(('Final Term'!T83/T$5)*100,1),new_transmute,2,FALSE),
VLOOKUP('Final Term'!T83,new_transmute,2,FALSE)
),
IF(Info!$B$4="Board program",
IF(OR(AND(T$5&gt;0,T$5&gt;100),AND(T$5&gt;0,T$5&lt;100)),
VLOOKUP(FLOOR(('Final Term'!T83/T$5)*100,1),new_transmute,3,FALSE),
VLOOKUP('Final Term'!T83,new_transmute,3,FALSE)
),
IF(Info!$B$4="Board program (Medicine)",
IF(OR(AND(T$5&gt;0,T$5&gt;100),AND(T$5&gt;0,T$5&lt;100)),
VLOOKUP(FLOOR(('Final Term'!T83/T$5)*100,1),new_transmute,4,FALSE),
VLOOKUP('Final Term'!T83,new_transmute,4,FALSE)
),
""
)
)
)
)
)
)
)
)
))</f>
        <v/>
      </c>
      <c r="U83" s="73" t="str">
        <f>IF($B83="","",
IF(U$5="","",
IF('Final Term'!U83="",0,
IF(NOT(ISNUMBER('Final Term'!U83)),"NAN",
IF('Final Term'!U83&lt;0,"NEG",
IF('Final Term'!U83&gt;U$5,"OVER",
IF(AND(U$5&lt;=100,'Final Term'!U83&gt;100),"ERR",
IF(Info!$B$4="Non-board program",
IF(OR(AND(U$5&gt;0,U$5&gt;100),AND(U$5&gt;0,U$5&lt;100)),
VLOOKUP(FLOOR(('Final Term'!U83/U$5)*100,1),new_transmute,2,FALSE),
VLOOKUP('Final Term'!U83,new_transmute,2,FALSE)
),
IF(Info!$B$4="Board program",
IF(OR(AND(U$5&gt;0,U$5&gt;100),AND(U$5&gt;0,U$5&lt;100)),
VLOOKUP(FLOOR(('Final Term'!U83/U$5)*100,1),new_transmute,3,FALSE),
VLOOKUP('Final Term'!U83,new_transmute,3,FALSE)
),
IF(Info!$B$4="Board program (Medicine)",
IF(OR(AND(U$5&gt;0,U$5&gt;100),AND(U$5&gt;0,U$5&lt;100)),
VLOOKUP(FLOOR(('Final Term'!U83/U$5)*100,1),new_transmute,4,FALSE),
VLOOKUP('Final Term'!U83,new_transmute,4,FALSE)
),
""
)
)
)
)
)
)
)
)
))</f>
        <v/>
      </c>
      <c r="V83" s="73" t="str">
        <f>IF($B83="","",
IF(V$5="","",
IF('Final Term'!V83="",0,
IF(NOT(ISNUMBER('Final Term'!V83)),"NAN",
IF('Final Term'!V83&lt;0,"NEG",
IF('Final Term'!V83&gt;V$5,"OVER",
IF(AND(V$5&lt;=100,'Final Term'!V83&gt;100),"ERR",
IF(Info!$B$4="Non-board program",
IF(OR(AND(V$5&gt;0,V$5&gt;100),AND(V$5&gt;0,V$5&lt;100)),
VLOOKUP(FLOOR(('Final Term'!V83/V$5)*100,1),new_transmute,2,FALSE),
VLOOKUP('Final Term'!V83,new_transmute,2,FALSE)
),
IF(Info!$B$4="Board program",
IF(OR(AND(V$5&gt;0,V$5&gt;100),AND(V$5&gt;0,V$5&lt;100)),
VLOOKUP(FLOOR(('Final Term'!V83/V$5)*100,1),new_transmute,3,FALSE),
VLOOKUP('Final Term'!V83,new_transmute,3,FALSE)
),
IF(Info!$B$4="Board program (Medicine)",
IF(OR(AND(V$5&gt;0,V$5&gt;100),AND(V$5&gt;0,V$5&lt;100)),
VLOOKUP(FLOOR(('Final Term'!V83/V$5)*100,1),new_transmute,4,FALSE),
VLOOKUP('Final Term'!V83,new_transmute,4,FALSE)
),
""
)
)
)
)
)
)
)
)
))</f>
        <v/>
      </c>
      <c r="W83" s="73" t="str">
        <f>IF($B83="","",
IF(W$5="","",
IF('Final Term'!W83="",0,
IF(NOT(ISNUMBER('Final Term'!W83)),"NAN",
IF('Final Term'!W83&lt;0,"NEG",
IF('Final Term'!W83&gt;W$5,"OVER",
IF(AND(W$5&lt;=100,'Final Term'!W83&gt;100),"ERR",
IF(Info!$B$4="Non-board program",
IF(OR(AND(W$5&gt;0,W$5&gt;100),AND(W$5&gt;0,W$5&lt;100)),
VLOOKUP(FLOOR(('Final Term'!W83/W$5)*100,1),new_transmute,2,FALSE),
VLOOKUP('Final Term'!W83,new_transmute,2,FALSE)
),
IF(Info!$B$4="Board program",
IF(OR(AND(W$5&gt;0,W$5&gt;100),AND(W$5&gt;0,W$5&lt;100)),
VLOOKUP(FLOOR(('Final Term'!W83/W$5)*100,1),new_transmute,3,FALSE),
VLOOKUP('Final Term'!W83,new_transmute,3,FALSE)
),
IF(Info!$B$4="Board program (Medicine)",
IF(OR(AND(W$5&gt;0,W$5&gt;100),AND(W$5&gt;0,W$5&lt;100)),
VLOOKUP(FLOOR(('Final Term'!W83/W$5)*100,1),new_transmute,4,FALSE),
VLOOKUP('Final Term'!W83,new_transmute,4,FALSE)
),
""
)
)
)
)
)
)
)
)
))</f>
        <v/>
      </c>
      <c r="X83" s="73" t="str">
        <f>IF($B83="","",
IF(X$5="","",
IF('Final Term'!X83="",0,
IF(NOT(ISNUMBER('Final Term'!X83)),"NAN",
IF('Final Term'!X83&lt;0,"NEG",
IF('Final Term'!X83&gt;X$5,"OVER",
IF(AND(X$5&lt;=100,'Final Term'!X83&gt;100),"ERR",
IF(Info!$B$4="Non-board program",
IF(OR(AND(X$5&gt;0,X$5&gt;100),AND(X$5&gt;0,X$5&lt;100)),
VLOOKUP(FLOOR(('Final Term'!X83/X$5)*100,1),new_transmute,2,FALSE),
VLOOKUP('Final Term'!X83,new_transmute,2,FALSE)
),
IF(Info!$B$4="Board program",
IF(OR(AND(X$5&gt;0,X$5&gt;100),AND(X$5&gt;0,X$5&lt;100)),
VLOOKUP(FLOOR(('Final Term'!X83/X$5)*100,1),new_transmute,3,FALSE),
VLOOKUP('Final Term'!X83,new_transmute,3,FALSE)
),
IF(Info!$B$4="Board program (Medicine)",
IF(OR(AND(X$5&gt;0,X$5&gt;100),AND(X$5&gt;0,X$5&lt;100)),
VLOOKUP(FLOOR(('Final Term'!X83/X$5)*100,1),new_transmute,4,FALSE),
VLOOKUP('Final Term'!X83,new_transmute,4,FALSE)
),
""
)
)
)
)
)
)
)
)
))</f>
        <v/>
      </c>
      <c r="Y83" s="112" t="str">
        <f t="shared" si="14"/>
        <v/>
      </c>
      <c r="Z83" s="73" t="str">
        <f>IF($B83="","",
IF(Z$5="","",
IF('Final Term'!Z83="",0,
IF(NOT(ISNUMBER('Final Term'!Z83)),"NAN",
IF('Final Term'!Z83&lt;0,"NEG",
IF('Final Term'!Z83&gt;Z$5,"OVER",
IF(AND(Z$5&lt;=100,'Final Term'!Z83&gt;100),"ERR",
IF(Info!$B$4="Non-board program",
IF(OR(AND(Z$5&gt;0,Z$5&gt;100),AND(Z$5&gt;0,Z$5&lt;100)),
VLOOKUP(FLOOR(('Final Term'!Z83/Z$5)*100,1),new_transmute,2,FALSE),
VLOOKUP('Final Term'!Z83,new_transmute,2,FALSE)
),
IF(Info!$B$4="Board program",
IF(OR(AND(Z$5&gt;0,Z$5&gt;100),AND(Z$5&gt;0,Z$5&lt;100)),
VLOOKUP(FLOOR(('Final Term'!Z83/Z$5)*100,1),new_transmute,3,FALSE),
VLOOKUP('Final Term'!Z83,new_transmute,3,FALSE)
),
IF(Info!$B$4="Board program (Medicine)",
IF(OR(AND(Z$5&gt;0,Z$5&gt;100),AND(Z$5&gt;0,Z$5&lt;100)),
VLOOKUP(FLOOR(('Final Term'!Z83/Z$5)*100,1),new_transmute,4,FALSE),
VLOOKUP('Final Term'!Z83,new_transmute,4,FALSE)
),
""
)
)
)
)
)
)
)
)
))</f>
        <v/>
      </c>
      <c r="AA83" s="73" t="str">
        <f>IF($B83="","",
IF(AA$5="","",
IF('Final Term'!AA83="",0,
IF(NOT(ISNUMBER('Final Term'!AA83)),"NAN",
IF('Final Term'!AA83&lt;0,"NEG",
IF('Final Term'!AA83&gt;AA$5,"OVER",
IF(AND(AA$5&lt;=100,'Final Term'!AA83&gt;100),"ERR",
IF(Info!$B$4="Non-board program",
IF(OR(AND(AA$5&gt;0,AA$5&gt;100),AND(AA$5&gt;0,AA$5&lt;100)),
VLOOKUP(FLOOR(('Final Term'!AA83/AA$5)*100,1),new_transmute,2,FALSE),
VLOOKUP('Final Term'!AA83,new_transmute,2,FALSE)
),
IF(Info!$B$4="Board program",
IF(OR(AND(AA$5&gt;0,AA$5&gt;100),AND(AA$5&gt;0,AA$5&lt;100)),
VLOOKUP(FLOOR(('Final Term'!AA83/AA$5)*100,1),new_transmute,3,FALSE),
VLOOKUP('Final Term'!AA83,new_transmute,3,FALSE)
),
IF(Info!$B$4="Board program (Medicine)",
IF(OR(AND(AA$5&gt;0,AA$5&gt;100),AND(AA$5&gt;0,AA$5&lt;100)),
VLOOKUP(FLOOR(('Final Term'!AA83/AA$5)*100,1),new_transmute,4,FALSE),
VLOOKUP('Final Term'!AA83,new_transmute,4,FALSE)
),
""
)
)
)
)
)
)
)
)
))</f>
        <v/>
      </c>
      <c r="AB83" s="73" t="str">
        <f>IF($B83="","",
IF(AB$5="","",
IF('Final Term'!AB83="",0,
IF(NOT(ISNUMBER('Final Term'!AB83)),"NAN",
IF('Final Term'!AB83&lt;0,"NEG",
IF('Final Term'!AB83&gt;AB$5,"OVER",
IF(AND(AB$5&lt;=100,'Final Term'!AB83&gt;100),"ERR",
IF(Info!$B$4="Non-board program",
IF(OR(AND(AB$5&gt;0,AB$5&gt;100),AND(AB$5&gt;0,AB$5&lt;100)),
VLOOKUP(FLOOR(('Final Term'!AB83/AB$5)*100,1),new_transmute,2,FALSE),
VLOOKUP('Final Term'!AB83,new_transmute,2,FALSE)
),
IF(Info!$B$4="Board program",
IF(OR(AND(AB$5&gt;0,AB$5&gt;100),AND(AB$5&gt;0,AB$5&lt;100)),
VLOOKUP(FLOOR(('Final Term'!AB83/AB$5)*100,1),new_transmute,3,FALSE),
VLOOKUP('Final Term'!AB83,new_transmute,3,FALSE)
),
IF(Info!$B$4="Board program (Medicine)",
IF(OR(AND(AB$5&gt;0,AB$5&gt;100),AND(AB$5&gt;0,AB$5&lt;100)),
VLOOKUP(FLOOR(('Final Term'!AB83/AB$5)*100,1),new_transmute,4,FALSE),
VLOOKUP('Final Term'!AB83,new_transmute,4,FALSE)
),
""
)
)
)
)
)
)
)
)
))</f>
        <v/>
      </c>
      <c r="AC83" s="73" t="str">
        <f>IF($B83="","",
IF(AC$5="","",
IF('Final Term'!AC83="",0,
IF(NOT(ISNUMBER('Final Term'!AC83)),"NAN",
IF('Final Term'!AC83&lt;0,"NEG",
IF('Final Term'!AC83&gt;AC$5,"OVER",
IF(AND(AC$5&lt;=100,'Final Term'!AC83&gt;100),"ERR",
IF(Info!$B$4="Non-board program",
IF(OR(AND(AC$5&gt;0,AC$5&gt;100),AND(AC$5&gt;0,AC$5&lt;100)),
VLOOKUP(FLOOR(('Final Term'!AC83/AC$5)*100,1),new_transmute,2,FALSE),
VLOOKUP('Final Term'!AC83,new_transmute,2,FALSE)
),
IF(Info!$B$4="Board program",
IF(OR(AND(AC$5&gt;0,AC$5&gt;100),AND(AC$5&gt;0,AC$5&lt;100)),
VLOOKUP(FLOOR(('Final Term'!AC83/AC$5)*100,1),new_transmute,3,FALSE),
VLOOKUP('Final Term'!AC83,new_transmute,3,FALSE)
),
IF(Info!$B$4="Board program (Medicine)",
IF(OR(AND(AC$5&gt;0,AC$5&gt;100),AND(AC$5&gt;0,AC$5&lt;100)),
VLOOKUP(FLOOR(('Final Term'!AC83/AC$5)*100,1),new_transmute,4,FALSE),
VLOOKUP('Final Term'!AC83,new_transmute,4,FALSE)
),
""
)
)
)
)
)
)
)
)
))</f>
        <v/>
      </c>
      <c r="AD83" s="73" t="str">
        <f>IF($B83="","",
IF(AD$5="","",
IF('Final Term'!AD83="",0,
IF(NOT(ISNUMBER('Final Term'!AD83)),"NAN",
IF('Final Term'!AD83&lt;0,"NEG",
IF('Final Term'!AD83&gt;AD$5,"OVER",
IF(AND(AD$5&lt;=100,'Final Term'!AD83&gt;100),"ERR",
IF(Info!$B$4="Non-board program",
IF(OR(AND(AD$5&gt;0,AD$5&gt;100),AND(AD$5&gt;0,AD$5&lt;100)),
VLOOKUP(FLOOR(('Final Term'!AD83/AD$5)*100,1),new_transmute,2,FALSE),
VLOOKUP('Final Term'!AD83,new_transmute,2,FALSE)
),
IF(Info!$B$4="Board program",
IF(OR(AND(AD$5&gt;0,AD$5&gt;100),AND(AD$5&gt;0,AD$5&lt;100)),
VLOOKUP(FLOOR(('Final Term'!AD83/AD$5)*100,1),new_transmute,3,FALSE),
VLOOKUP('Final Term'!AD83,new_transmute,3,FALSE)
),
IF(Info!$B$4="Board program (Medicine)",
IF(OR(AND(AD$5&gt;0,AD$5&gt;100),AND(AD$5&gt;0,AD$5&lt;100)),
VLOOKUP(FLOOR(('Final Term'!AD83/AD$5)*100,1),new_transmute,4,FALSE),
VLOOKUP('Final Term'!AD83,new_transmute,4,FALSE)
),
""
)
)
)
)
)
)
)
)
))</f>
        <v/>
      </c>
      <c r="AE83" s="58" t="str">
        <f t="shared" si="15"/>
        <v/>
      </c>
      <c r="AF83" s="73" t="str">
        <f>IF($B83="","",
IF(AF$5="","",
IF('Final Term'!AF83="",0,
IF(NOT(ISNUMBER('Final Term'!AF83)),"NAN",
IF('Final Term'!AF83&lt;0,"NEG",
IF('Final Term'!AF83&gt;AF$5,"OVER",
IF(AND(AF$5&lt;=100,'Final Term'!AF83&gt;100),"ERR",
IF(Info!$B$4="Non-board program",
IF(OR(AND(AF$5&gt;0,AF$5&gt;100),AND(AF$5&gt;0,AF$5&lt;100)),
VLOOKUP(FLOOR(('Final Term'!AF83/AF$5)*100,1),new_transmute,2,FALSE),
VLOOKUP('Final Term'!AF83,new_transmute,2,FALSE)
),
IF(Info!$B$4="Board program",
IF(OR(AND(AF$5&gt;0,AF$5&gt;100),AND(AF$5&gt;0,AF$5&lt;100)),
VLOOKUP(FLOOR(('Final Term'!AF83/AF$5)*100,1),new_transmute,3,FALSE),
VLOOKUP('Final Term'!AF83,new_transmute,3,FALSE)
),
IF(Info!$B$4="Board program (Medicine)",
IF(OR(AND(AF$5&gt;0,AF$5&gt;100),AND(AF$5&gt;0,AF$5&lt;100)),
VLOOKUP(FLOOR(('Final Term'!AF83/AF$5)*100,1),new_transmute,4,FALSE),
VLOOKUP('Final Term'!AF83,new_transmute,4,FALSE)
),
""
)
)
)
)
)
)
)
)
))</f>
        <v/>
      </c>
      <c r="AG83" s="73" t="str">
        <f>IF($B83="","",
IF(AG$5="","",
IF('Final Term'!AG83="",0,
IF(NOT(ISNUMBER('Final Term'!AG83)),"NAN",
IF('Final Term'!AG83&lt;0,"NEG",
IF('Final Term'!AG83&gt;AG$5,"OVER",
IF(AND(AG$5&lt;=100,'Final Term'!AG83&gt;100),"ERR",
IF(Info!$B$4="Non-board program",
IF(OR(AND(AG$5&gt;0,AG$5&gt;100),AND(AG$5&gt;0,AG$5&lt;100)),
VLOOKUP(FLOOR(('Final Term'!AG83/AG$5)*100,1),new_transmute,2,FALSE),
VLOOKUP('Final Term'!AG83,new_transmute,2,FALSE)
),
IF(Info!$B$4="Board program",
IF(OR(AND(AG$5&gt;0,AG$5&gt;100),AND(AG$5&gt;0,AG$5&lt;100)),
VLOOKUP(FLOOR(('Final Term'!AG83/AG$5)*100,1),new_transmute,3,FALSE),
VLOOKUP('Final Term'!AG83,new_transmute,3,FALSE)
),
IF(Info!$B$4="Board program (Medicine)",
IF(OR(AND(AG$5&gt;0,AG$5&gt;100),AND(AG$5&gt;0,AG$5&lt;100)),
VLOOKUP(FLOOR(('Final Term'!AG83/AG$5)*100,1),new_transmute,4,FALSE),
VLOOKUP('Final Term'!AG83,new_transmute,4,FALSE)
),
""
)
)
)
)
)
)
)
)
))</f>
        <v/>
      </c>
      <c r="AH83" s="73" t="str">
        <f>IF($B83="","",
IF(AH$5="","",
IF('Final Term'!AH83="",0,
IF(NOT(ISNUMBER('Final Term'!AH83)),"NAN",
IF('Final Term'!AH83&lt;0,"NEG",
IF('Final Term'!AH83&gt;AH$5,"OVER",
IF(AND(AH$5&lt;=100,'Final Term'!AH83&gt;100),"ERR",
IF(Info!$B$4="Non-board program",
IF(OR(AND(AH$5&gt;0,AH$5&gt;100),AND(AH$5&gt;0,AH$5&lt;100)),
VLOOKUP(FLOOR(('Final Term'!AH83/AH$5)*100,1),new_transmute,2,FALSE),
VLOOKUP('Final Term'!AH83,new_transmute,2,FALSE)
),
IF(Info!$B$4="Board program",
IF(OR(AND(AH$5&gt;0,AH$5&gt;100),AND(AH$5&gt;0,AH$5&lt;100)),
VLOOKUP(FLOOR(('Final Term'!AH83/AH$5)*100,1),new_transmute,3,FALSE),
VLOOKUP('Final Term'!AH83,new_transmute,3,FALSE)
),
IF(Info!$B$4="Board program (Medicine)",
IF(OR(AND(AH$5&gt;0,AH$5&gt;100),AND(AH$5&gt;0,AH$5&lt;100)),
VLOOKUP(FLOOR(('Final Term'!AH83/AH$5)*100,1),new_transmute,4,FALSE),
VLOOKUP('Final Term'!AH83,new_transmute,4,FALSE)
),
""
)
)
)
)
)
)
)
)
))</f>
        <v/>
      </c>
      <c r="AI83" s="73" t="str">
        <f>IF($B83="","",
IF(AI$5="","",
IF('Final Term'!AI83="",0,
IF(NOT(ISNUMBER('Final Term'!AI83)),"NAN",
IF('Final Term'!AI83&lt;0,"NEG",
IF('Final Term'!AI83&gt;AI$5,"OVER",
IF(AND(AI$5&lt;=100,'Final Term'!AI83&gt;100),"ERR",
IF(Info!$B$4="Non-board program",
IF(OR(AND(AI$5&gt;0,AI$5&gt;100),AND(AI$5&gt;0,AI$5&lt;100)),
VLOOKUP(FLOOR(('Final Term'!AI83/AI$5)*100,1),new_transmute,2,FALSE),
VLOOKUP('Final Term'!AI83,new_transmute,2,FALSE)
),
IF(Info!$B$4="Board program",
IF(OR(AND(AI$5&gt;0,AI$5&gt;100),AND(AI$5&gt;0,AI$5&lt;100)),
VLOOKUP(FLOOR(('Final Term'!AI83/AI$5)*100,1),new_transmute,3,FALSE),
VLOOKUP('Final Term'!AI83,new_transmute,3,FALSE)
),
IF(Info!$B$4="Board program (Medicine)",
IF(OR(AND(AI$5&gt;0,AI$5&gt;100),AND(AI$5&gt;0,AI$5&lt;100)),
VLOOKUP(FLOOR(('Final Term'!AI83/AI$5)*100,1),new_transmute,4,FALSE),
VLOOKUP('Final Term'!AI83,new_transmute,4,FALSE)
),
""
)
)
)
)
)
)
)
)
))</f>
        <v/>
      </c>
      <c r="AJ83" s="73" t="str">
        <f>IF($B83="","",
IF(AJ$5="","",
IF('Final Term'!AJ83="",0,
IF(NOT(ISNUMBER('Final Term'!AJ83)),"NAN",
IF('Final Term'!AJ83&lt;0,"NEG",
IF('Final Term'!AJ83&gt;AJ$5,"OVER",
IF(AND(AJ$5&lt;=100,'Final Term'!AJ83&gt;100),"ERR",
IF(Info!$B$4="Non-board program",
IF(OR(AND(AJ$5&gt;0,AJ$5&gt;100),AND(AJ$5&gt;0,AJ$5&lt;100)),
VLOOKUP(FLOOR(('Final Term'!AJ83/AJ$5)*100,1),new_transmute,2,FALSE),
VLOOKUP('Final Term'!AJ83,new_transmute,2,FALSE)
),
IF(Info!$B$4="Board program",
IF(OR(AND(AJ$5&gt;0,AJ$5&gt;100),AND(AJ$5&gt;0,AJ$5&lt;100)),
VLOOKUP(FLOOR(('Final Term'!AJ83/AJ$5)*100,1),new_transmute,3,FALSE),
VLOOKUP('Final Term'!AJ83,new_transmute,3,FALSE)
),
IF(Info!$B$4="Board program (Medicine)",
IF(OR(AND(AJ$5&gt;0,AJ$5&gt;100),AND(AJ$5&gt;0,AJ$5&lt;100)),
VLOOKUP(FLOOR(('Final Term'!AJ83/AJ$5)*100,1),new_transmute,4,FALSE),
VLOOKUP('Final Term'!AJ83,new_transmute,4,FALSE)
),
""
)
)
)
)
)
)
)
)
))</f>
        <v/>
      </c>
      <c r="AK83" s="59" t="str">
        <f t="shared" si="16"/>
        <v/>
      </c>
      <c r="AL83" s="60" t="str">
        <f>IF(B83="", "",
    IF(OR(M83="OVER", S83="OVER", Y83="OVER", AE83="OVER", AK83="OVER"),
        "OVER",
        IF(Info!$B$4="Non-board program",
            VLOOKUP(IFERROR(FLOOR(SUM((M83*$M$4), (S83*$S$4), (Y83*$Y$4), (AE83*$AE$4), (AK83*$AK$4)) * (100 / 60), 1), 0), new_transmute, 2, FALSE),
            IF(Info!$B$4="Board program",
                VLOOKUP(IFERROR(FLOOR(SUM((M83*$M$4), (S83*$S$4), (Y83*$Y$4), (AE83*$AE$4), (AK83*$AK$4)) * (100 / 60), 1), 0), new_transmute, 3, FALSE),
                IF(Info!$B$4="Board program (Medicine)",
                    VLOOKUP(IFERROR(FLOOR(SUM((M83*$M$4), (S83*$S$4), (Y83*$Y$4), (AE83*$AE$4), (AK83*$AK$4)) * (100 / 60), 1), 0), new_transmute, 4, FALSE),
                    ""
                )
            )
        )
    )
)</f>
        <v/>
      </c>
      <c r="AM83" s="73" t="str">
        <f>IF($B83="","",
IF(AM$5="","",
IF('Final Term'!AM83="",0,
IF(NOT(ISNUMBER('Final Term'!AM83)),"NAN",
IF('Final Term'!AM83&lt;0,"NEG",
IF('Final Term'!AM83&gt;AM$5,"OVER",
IF(AND(AM$5&lt;=100,'Final Term'!AM83&gt;100),"ERR",
IF(Info!$B$4="Non-board program",
IF(OR(AND(AM$5&gt;0,AM$5&gt;100),AND(AM$5&gt;0,AM$5&lt;100)),
VLOOKUP(FLOOR(('Final Term'!AM83/AM$5)*100,1),new_transmute,2,FALSE),
VLOOKUP('Final Term'!AM83,new_transmute,2,FALSE)
),
IF(Info!$B$4="Board program",
IF(OR(AND(AM$5&gt;0,AM$5&gt;100),AND(AM$5&gt;0,AM$5&lt;100)),
VLOOKUP(FLOOR(('Final Term'!AM83/AM$5)*100,1),new_transmute,3,FALSE),
VLOOKUP('Final Term'!AM83,new_transmute,3,FALSE)
),
IF(Info!$B$4="Board program (Medicine)",
IF(OR(AND(AM$5&gt;0,AM$5&gt;100),AND(AM$5&gt;0,AM$5&lt;100)),
VLOOKUP(FLOOR(('Final Term'!AM83/AM$5)*100,1),new_transmute,4,FALSE),
VLOOKUP('Final Term'!AM83,new_transmute,4,FALSE)
),
""
)
)
)
)
)
)
)
)
))</f>
        <v/>
      </c>
      <c r="AN83" s="73" t="str">
        <f>IF($B83="","",
IF(AN$5="","",
IF('Final Term'!AN83="",0,
IF(NOT(ISNUMBER('Final Term'!AN83)),"NAN",
IF('Final Term'!AN83&lt;0,"NEG",
IF('Final Term'!AN83&gt;AN$5,"OVER",
IF(AND(AN$5&lt;=100,'Final Term'!AN83&gt;100),"ERR",
IF(Info!$B$4="Non-board program",
IF(OR(AND(AN$5&gt;0,AN$5&gt;100),AND(AN$5&gt;0,AN$5&lt;100)),
VLOOKUP(FLOOR(('Final Term'!AN83/AN$5)*100,1),new_transmute,2,FALSE),
VLOOKUP('Final Term'!AN83,new_transmute,2,FALSE)
),
IF(Info!$B$4="Board program",
IF(OR(AND(AN$5&gt;0,AN$5&gt;100),AND(AN$5&gt;0,AN$5&lt;100)),
VLOOKUP(FLOOR(('Final Term'!AN83/AN$5)*100,1),new_transmute,3,FALSE),
VLOOKUP('Final Term'!AN83,new_transmute,3,FALSE)
),
IF(Info!$B$4="Board program (Medicine)",
IF(OR(AND(AN$5&gt;0,AN$5&gt;100),AND(AN$5&gt;0,AN$5&lt;100)),
VLOOKUP(FLOOR(('Final Term'!AN83/AN$5)*100,1),new_transmute,4,FALSE),
VLOOKUP('Final Term'!AN83,new_transmute,4,FALSE)
),
""
)
)
)
)
)
)
)
)
))</f>
        <v/>
      </c>
      <c r="AO83" s="73" t="str">
        <f>IF($B83="","",
IF(AO$5="","",
IF('Final Term'!AO83="",0,
IF(NOT(ISNUMBER('Final Term'!AO83)),"NAN",
IF('Final Term'!AO83&lt;0,"NEG",
IF('Final Term'!AO83&gt;AO$5,"OVER",
IF(AND(AO$5&lt;=100,'Final Term'!AO83&gt;100),"ERR",
IF(Info!$B$4="Non-board program",
IF(OR(AND(AO$5&gt;0,AO$5&gt;100),AND(AO$5&gt;0,AO$5&lt;100)),
VLOOKUP(FLOOR(('Final Term'!AO83/AO$5)*100,1),new_transmute,2,FALSE),
VLOOKUP('Final Term'!AO83,new_transmute,2,FALSE)
),
IF(Info!$B$4="Board program",
IF(OR(AND(AO$5&gt;0,AO$5&gt;100),AND(AO$5&gt;0,AO$5&lt;100)),
VLOOKUP(FLOOR(('Final Term'!AO83/AO$5)*100,1),new_transmute,3,FALSE),
VLOOKUP('Final Term'!AO83,new_transmute,3,FALSE)
),
IF(Info!$B$4="Board program (Medicine)",
IF(OR(AND(AO$5&gt;0,AO$5&gt;100),AND(AO$5&gt;0,AO$5&lt;100)),
VLOOKUP(FLOOR(('Final Term'!AO83/AO$5)*100,1),new_transmute,4,FALSE),
VLOOKUP('Final Term'!AO83,new_transmute,4,FALSE)
),
""
)
)
)
)
)
)
)
)
))</f>
        <v/>
      </c>
      <c r="AP83" s="73" t="str">
        <f>IF($B83="","",
IF(AP$5="","",
IF('Final Term'!AP83="",0,
IF(NOT(ISNUMBER('Final Term'!AP83)),"NAN",
IF('Final Term'!AP83&lt;0,"NEG",
IF('Final Term'!AP83&gt;AP$5,"OVER",
IF(AND(AP$5&lt;=100,'Final Term'!AP83&gt;100),"ERR",
IF(Info!$B$4="Non-board program",
IF(OR(AND(AP$5&gt;0,AP$5&gt;100),AND(AP$5&gt;0,AP$5&lt;100)),
VLOOKUP(FLOOR(('Final Term'!AP83/AP$5)*100,1),new_transmute,2,FALSE),
VLOOKUP('Final Term'!AP83,new_transmute,2,FALSE)
),
IF(Info!$B$4="Board program",
IF(OR(AND(AP$5&gt;0,AP$5&gt;100),AND(AP$5&gt;0,AP$5&lt;100)),
VLOOKUP(FLOOR(('Final Term'!AP83/AP$5)*100,1),new_transmute,3,FALSE),
VLOOKUP('Final Term'!AP83,new_transmute,3,FALSE)
),
IF(Info!$B$4="Board program (Medicine)",
IF(OR(AND(AP$5&gt;0,AP$5&gt;100),AND(AP$5&gt;0,AP$5&lt;100)),
VLOOKUP(FLOOR(('Final Term'!AP83/AP$5)*100,1),new_transmute,4,FALSE),
VLOOKUP('Final Term'!AP83,new_transmute,4,FALSE)
),
""
)
)
)
)
)
)
)
)
))</f>
        <v/>
      </c>
      <c r="AQ83" s="61" t="str">
        <f t="shared" si="17"/>
        <v/>
      </c>
      <c r="AR83" s="48" t="str">
        <f>IF('Final Term'!AR83="","",'Final Term'!AR83)</f>
        <v/>
      </c>
      <c r="AS83" s="165" t="str">
        <f t="shared" si="18"/>
        <v/>
      </c>
      <c r="AT83" s="14" t="str">
        <f t="shared" si="19"/>
        <v/>
      </c>
      <c r="AU83" s="13" t="str">
        <f>IF(B83="","",VLOOKUP(AT83,'New Grade Equivalent'!$B$3:$C$47,2,FALSE))</f>
        <v/>
      </c>
    </row>
    <row r="84" spans="1:47" x14ac:dyDescent="0.25">
      <c r="A84" s="8">
        <v>79</v>
      </c>
      <c r="B84" s="2" t="str">
        <f>IF('Student List'!C88="","",UPPER(LEFT('Student List'!C88,FIND(",",'Student List'!C88)-1)))</f>
        <v/>
      </c>
      <c r="C84" s="12" t="str">
        <f>IF('Student List'!C88="","",PROPER(MID('Student List'!C88, FIND(",", 'Student List'!C88) + 2, LEN('Student List'!C88) - FIND(",", 'Student List'!C88) - 1)))</f>
        <v/>
      </c>
      <c r="D84" s="127" t="str">
        <f>IF('Final Term'!D84="","",'Final Term'!D84)</f>
        <v/>
      </c>
      <c r="E84" s="8" t="str">
        <f>IF(MidCom!E84="FA", "FA",
    IF(MidCom!E84="DRP", "DRP",
        IF(MidCom!E84="WF", "WF",
            IF(D84="Yes", "INC",
               IF((SUM('MT Attendance'!AW82) / 3 + SUM('MT Attendance'!AY82) + SUM('FT Attendance'!AW82) / 3 + SUM('FT Attendance'!AY82)) &gt;= 0.2 * (SUMPRODUCT(--(ISTEXT('MT Attendance'!$C$2:$AU$2))) + SUMPRODUCT(--(ISTEXT('FT Attendance'!$C$2:$AU$2)))), "FA",
                   MidCom!E84
                )
            )
        )
    )
)</f>
        <v/>
      </c>
      <c r="F84" s="73" t="str">
        <f>IF($B84="","",
IF(F$5="","",
IF('Final Term'!F84="",0,
IF(NOT(ISNUMBER('Final Term'!F84)),"NAN",
IF('Final Term'!F84&lt;0,"NEG",
IF('Final Term'!F84&gt;F$5,"OVER",
IF(AND(F$5&lt;=100,'Final Term'!F84&gt;100),"ERR",
IF(Info!$B$4="Non-board program",
IF(OR(AND(F$5&gt;0,F$5&gt;100),AND(F$5&gt;0,F$5&lt;100)),
VLOOKUP(FLOOR(('Final Term'!F84/F$5)*100,1),new_transmute,2,FALSE),
VLOOKUP('Final Term'!F84,new_transmute,2,FALSE)
),
IF(Info!$B$4="Board program",
IF(OR(AND(F$5&gt;0,F$5&gt;100),AND(F$5&gt;0,F$5&lt;100)),
VLOOKUP(FLOOR(('Final Term'!F84/F$5)*100,1),new_transmute,3,FALSE),
VLOOKUP('Final Term'!F84,new_transmute,3,FALSE)
),
IF(Info!$B$4="Board program (Medicine)",
IF(OR(AND(F$5&gt;0,F$5&gt;100),AND(F$5&gt;0,F$5&lt;100)),
VLOOKUP(FLOOR(('Final Term'!F84/F$5)*100,1),new_transmute,4,FALSE),
VLOOKUP('Final Term'!F84,new_transmute,4,FALSE)
),
""
)
)
)
)
)
)
)
)
))</f>
        <v/>
      </c>
      <c r="G84" s="57" t="str">
        <f t="shared" si="11"/>
        <v/>
      </c>
      <c r="H84" s="73" t="str">
        <f>IF($B84="","",
IF(H$5="","",
IF('Final Term'!H84="",0,
IF(NOT(ISNUMBER('Final Term'!H84)),"NAN",
IF('Final Term'!H84&lt;0,"NEG",
IF('Final Term'!H84&gt;H$5,"OVER",
IF(AND(H$5&lt;=100,'Final Term'!H84&gt;100),"ERR",
IF(Info!$B$4="Non-board program",
IF(OR(AND(H$5&gt;0,H$5&gt;100),AND(H$5&gt;0,H$5&lt;100)),
VLOOKUP(FLOOR(('Final Term'!H84/H$5)*100,1),new_transmute,2,FALSE),
VLOOKUP('Final Term'!H84,new_transmute,2,FALSE)
),
IF(Info!$B$4="Board program",
IF(OR(AND(H$5&gt;0,H$5&gt;100),AND(H$5&gt;0,H$5&lt;100)),
VLOOKUP(FLOOR(('Final Term'!H84/H$5)*100,1),new_transmute,3,FALSE),
VLOOKUP('Final Term'!H84,new_transmute,3,FALSE)
),
IF(Info!$B$4="Board program (Medicine)",
IF(OR(AND(H$5&gt;0,H$5&gt;100),AND(H$5&gt;0,H$5&lt;100)),
VLOOKUP(FLOOR(('Final Term'!H84/H$5)*100,1),new_transmute,4,FALSE),
VLOOKUP('Final Term'!H84,new_transmute,4,FALSE)
),
""
)
)
)
)
)
)
)
)
))</f>
        <v/>
      </c>
      <c r="I84" s="73" t="str">
        <f>IF($B84="","",
IF(I$5="","",
IF('Final Term'!I84="",0,
IF(NOT(ISNUMBER('Final Term'!I84)),"NAN",
IF('Final Term'!I84&lt;0,"NEG",
IF('Final Term'!I84&gt;I$5,"OVER",
IF(AND(I$5&lt;=100,'Final Term'!I84&gt;100),"ERR",
IF(Info!$B$4="Non-board program",
IF(OR(AND(I$5&gt;0,I$5&gt;100),AND(I$5&gt;0,I$5&lt;100)),
VLOOKUP(FLOOR(('Final Term'!I84/I$5)*100,1),new_transmute,2,FALSE),
VLOOKUP('Final Term'!I84,new_transmute,2,FALSE)
),
IF(Info!$B$4="Board program",
IF(OR(AND(I$5&gt;0,I$5&gt;100),AND(I$5&gt;0,I$5&lt;100)),
VLOOKUP(FLOOR(('Final Term'!I84/I$5)*100,1),new_transmute,3,FALSE),
VLOOKUP('Final Term'!I84,new_transmute,3,FALSE)
),
IF(Info!$B$4="Board program (Medicine)",
IF(OR(AND(I$5&gt;0,I$5&gt;100),AND(I$5&gt;0,I$5&lt;100)),
VLOOKUP(FLOOR(('Final Term'!I84/I$5)*100,1),new_transmute,4,FALSE),
VLOOKUP('Final Term'!I84,new_transmute,4,FALSE)
),
""
)
)
)
)
)
)
)
)
))</f>
        <v/>
      </c>
      <c r="J84" s="73" t="str">
        <f>IF($B84="","",
IF(J$5="","",
IF('Final Term'!J84="",0,
IF(NOT(ISNUMBER('Final Term'!J84)),"NAN",
IF('Final Term'!J84&lt;0,"NEG",
IF('Final Term'!J84&gt;J$5,"OVER",
IF(AND(J$5&lt;=100,'Final Term'!J84&gt;100),"ERR",
IF(Info!$B$4="Non-board program",
IF(OR(AND(J$5&gt;0,J$5&gt;100),AND(J$5&gt;0,J$5&lt;100)),
VLOOKUP(FLOOR(('Final Term'!J84/J$5)*100,1),new_transmute,2,FALSE),
VLOOKUP('Final Term'!J84,new_transmute,2,FALSE)
),
IF(Info!$B$4="Board program",
IF(OR(AND(J$5&gt;0,J$5&gt;100),AND(J$5&gt;0,J$5&lt;100)),
VLOOKUP(FLOOR(('Final Term'!J84/J$5)*100,1),new_transmute,3,FALSE),
VLOOKUP('Final Term'!J84,new_transmute,3,FALSE)
),
IF(Info!$B$4="Board program (Medicine)",
IF(OR(AND(J$5&gt;0,J$5&gt;100),AND(J$5&gt;0,J$5&lt;100)),
VLOOKUP(FLOOR(('Final Term'!J84/J$5)*100,1),new_transmute,4,FALSE),
VLOOKUP('Final Term'!J84,new_transmute,4,FALSE)
),
""
)
)
)
)
)
)
)
)
))</f>
        <v/>
      </c>
      <c r="K84" s="73" t="str">
        <f>IF($B84="","",
IF(K$5="","",
IF('Final Term'!K84="",0,
IF(NOT(ISNUMBER('Final Term'!K84)),"NAN",
IF('Final Term'!K84&lt;0,"NEG",
IF('Final Term'!K84&gt;K$5,"OVER",
IF(AND(K$5&lt;=100,'Final Term'!K84&gt;100),"ERR",
IF(Info!$B$4="Non-board program",
IF(OR(AND(K$5&gt;0,K$5&gt;100),AND(K$5&gt;0,K$5&lt;100)),
VLOOKUP(FLOOR(('Final Term'!K84/K$5)*100,1),new_transmute,2,FALSE),
VLOOKUP('Final Term'!K84,new_transmute,2,FALSE)
),
IF(Info!$B$4="Board program",
IF(OR(AND(K$5&gt;0,K$5&gt;100),AND(K$5&gt;0,K$5&lt;100)),
VLOOKUP(FLOOR(('Final Term'!K84/K$5)*100,1),new_transmute,3,FALSE),
VLOOKUP('Final Term'!K84,new_transmute,3,FALSE)
),
IF(Info!$B$4="Board program (Medicine)",
IF(OR(AND(K$5&gt;0,K$5&gt;100),AND(K$5&gt;0,K$5&lt;100)),
VLOOKUP(FLOOR(('Final Term'!K84/K$5)*100,1),new_transmute,4,FALSE),
VLOOKUP('Final Term'!K84,new_transmute,4,FALSE)
),
""
)
)
)
)
)
)
)
)
))</f>
        <v/>
      </c>
      <c r="L84" s="73" t="str">
        <f>IF($B84="","",
IF(L$5="","",
IF('Final Term'!L84="",0,
IF(NOT(ISNUMBER('Final Term'!L84)),"NAN",
IF('Final Term'!L84&lt;0,"NEG",
IF('Final Term'!L84&gt;L$5,"OVER",
IF(AND(L$5&lt;=100,'Final Term'!L84&gt;100),"ERR",
IF(Info!$B$4="Non-board program",
IF(OR(AND(L$5&gt;0,L$5&gt;100),AND(L$5&gt;0,L$5&lt;100)),
VLOOKUP(FLOOR(('Final Term'!L84/L$5)*100,1),new_transmute,2,FALSE),
VLOOKUP('Final Term'!L84,new_transmute,2,FALSE)
),
IF(Info!$B$4="Board program",
IF(OR(AND(L$5&gt;0,L$5&gt;100),AND(L$5&gt;0,L$5&lt;100)),
VLOOKUP(FLOOR(('Final Term'!L84/L$5)*100,1),new_transmute,3,FALSE),
VLOOKUP('Final Term'!L84,new_transmute,3,FALSE)
),
IF(Info!$B$4="Board program (Medicine)",
IF(OR(AND(L$5&gt;0,L$5&gt;100),AND(L$5&gt;0,L$5&lt;100)),
VLOOKUP(FLOOR(('Final Term'!L84/L$5)*100,1),new_transmute,4,FALSE),
VLOOKUP('Final Term'!L84,new_transmute,4,FALSE)
),
""
)
)
)
)
)
)
)
)
))</f>
        <v/>
      </c>
      <c r="M84" s="111" t="str">
        <f t="shared" si="12"/>
        <v/>
      </c>
      <c r="N84" s="73" t="str">
        <f>IF($B84="","",
IF(N$5="","",
IF('Final Term'!N84="",0,
IF(NOT(ISNUMBER('Final Term'!N84)),"NAN",
IF('Final Term'!N84&lt;0,"NEG",
IF('Final Term'!N84&gt;N$5,"OVER",
IF(AND(N$5&lt;=100,'Final Term'!N84&gt;100),"ERR",
IF(Info!$B$4="Non-board program",
IF(OR(AND(N$5&gt;0,N$5&gt;100),AND(N$5&gt;0,N$5&lt;100)),
VLOOKUP(FLOOR(('Final Term'!N84/N$5)*100,1),new_transmute,2,FALSE),
VLOOKUP('Final Term'!N84,new_transmute,2,FALSE)
),
IF(Info!$B$4="Board program",
IF(OR(AND(N$5&gt;0,N$5&gt;100),AND(N$5&gt;0,N$5&lt;100)),
VLOOKUP(FLOOR(('Final Term'!N84/N$5)*100,1),new_transmute,3,FALSE),
VLOOKUP('Final Term'!N84,new_transmute,3,FALSE)
),
IF(Info!$B$4="Board program (Medicine)",
IF(OR(AND(N$5&gt;0,N$5&gt;100),AND(N$5&gt;0,N$5&lt;100)),
VLOOKUP(FLOOR(('Final Term'!N84/N$5)*100,1),new_transmute,4,FALSE),
VLOOKUP('Final Term'!N84,new_transmute,4,FALSE)
),
""
)
)
)
)
)
)
)
)
))</f>
        <v/>
      </c>
      <c r="O84" s="73" t="str">
        <f>IF($B84="","",
IF(O$5="","",
IF('Final Term'!O84="",0,
IF(NOT(ISNUMBER('Final Term'!O84)),"NAN",
IF('Final Term'!O84&lt;0,"NEG",
IF('Final Term'!O84&gt;O$5,"OVER",
IF(AND(O$5&lt;=100,'Final Term'!O84&gt;100),"ERR",
IF(Info!$B$4="Non-board program",
IF(OR(AND(O$5&gt;0,O$5&gt;100),AND(O$5&gt;0,O$5&lt;100)),
VLOOKUP(FLOOR(('Final Term'!O84/O$5)*100,1),new_transmute,2,FALSE),
VLOOKUP('Final Term'!O84,new_transmute,2,FALSE)
),
IF(Info!$B$4="Board program",
IF(OR(AND(O$5&gt;0,O$5&gt;100),AND(O$5&gt;0,O$5&lt;100)),
VLOOKUP(FLOOR(('Final Term'!O84/O$5)*100,1),new_transmute,3,FALSE),
VLOOKUP('Final Term'!O84,new_transmute,3,FALSE)
),
IF(Info!$B$4="Board program (Medicine)",
IF(OR(AND(O$5&gt;0,O$5&gt;100),AND(O$5&gt;0,O$5&lt;100)),
VLOOKUP(FLOOR(('Final Term'!O84/O$5)*100,1),new_transmute,4,FALSE),
VLOOKUP('Final Term'!O84,new_transmute,4,FALSE)
),
""
)
)
)
)
)
)
)
)
))</f>
        <v/>
      </c>
      <c r="P84" s="73" t="str">
        <f>IF($B84="","",
IF(P$5="","",
IF('Final Term'!P84="",0,
IF(NOT(ISNUMBER('Final Term'!P84)),"NAN",
IF('Final Term'!P84&lt;0,"NEG",
IF('Final Term'!P84&gt;P$5,"OVER",
IF(AND(P$5&lt;=100,'Final Term'!P84&gt;100),"ERR",
IF(Info!$B$4="Non-board program",
IF(OR(AND(P$5&gt;0,P$5&gt;100),AND(P$5&gt;0,P$5&lt;100)),
VLOOKUP(FLOOR(('Final Term'!P84/P$5)*100,1),new_transmute,2,FALSE),
VLOOKUP('Final Term'!P84,new_transmute,2,FALSE)
),
IF(Info!$B$4="Board program",
IF(OR(AND(P$5&gt;0,P$5&gt;100),AND(P$5&gt;0,P$5&lt;100)),
VLOOKUP(FLOOR(('Final Term'!P84/P$5)*100,1),new_transmute,3,FALSE),
VLOOKUP('Final Term'!P84,new_transmute,3,FALSE)
),
IF(Info!$B$4="Board program (Medicine)",
IF(OR(AND(P$5&gt;0,P$5&gt;100),AND(P$5&gt;0,P$5&lt;100)),
VLOOKUP(FLOOR(('Final Term'!P84/P$5)*100,1),new_transmute,4,FALSE),
VLOOKUP('Final Term'!P84,new_transmute,4,FALSE)
),
""
)
)
)
)
)
)
)
)
))</f>
        <v/>
      </c>
      <c r="Q84" s="73" t="str">
        <f>IF($B84="","",
IF(Q$5="","",
IF('Final Term'!Q84="",0,
IF(NOT(ISNUMBER('Final Term'!Q84)),"NAN",
IF('Final Term'!Q84&lt;0,"NEG",
IF('Final Term'!Q84&gt;Q$5,"OVER",
IF(AND(Q$5&lt;=100,'Final Term'!Q84&gt;100),"ERR",
IF(Info!$B$4="Non-board program",
IF(OR(AND(Q$5&gt;0,Q$5&gt;100),AND(Q$5&gt;0,Q$5&lt;100)),
VLOOKUP(FLOOR(('Final Term'!Q84/Q$5)*100,1),new_transmute,2,FALSE),
VLOOKUP('Final Term'!Q84,new_transmute,2,FALSE)
),
IF(Info!$B$4="Board program",
IF(OR(AND(Q$5&gt;0,Q$5&gt;100),AND(Q$5&gt;0,Q$5&lt;100)),
VLOOKUP(FLOOR(('Final Term'!Q84/Q$5)*100,1),new_transmute,3,FALSE),
VLOOKUP('Final Term'!Q84,new_transmute,3,FALSE)
),
IF(Info!$B$4="Board program (Medicine)",
IF(OR(AND(Q$5&gt;0,Q$5&gt;100),AND(Q$5&gt;0,Q$5&lt;100)),
VLOOKUP(FLOOR(('Final Term'!Q84/Q$5)*100,1),new_transmute,4,FALSE),
VLOOKUP('Final Term'!Q84,new_transmute,4,FALSE)
),
""
)
)
)
)
)
)
)
)
))</f>
        <v/>
      </c>
      <c r="R84" s="73" t="str">
        <f>IF($B84="","",
IF(R$5="","",
IF('Final Term'!R84="",0,
IF(NOT(ISNUMBER('Final Term'!R84)),"NAN",
IF('Final Term'!R84&lt;0,"NEG",
IF('Final Term'!R84&gt;R$5,"OVER",
IF(AND(R$5&lt;=100,'Final Term'!R84&gt;100),"ERR",
IF(Info!$B$4="Non-board program",
IF(OR(AND(R$5&gt;0,R$5&gt;100),AND(R$5&gt;0,R$5&lt;100)),
VLOOKUP(FLOOR(('Final Term'!R84/R$5)*100,1),new_transmute,2,FALSE),
VLOOKUP('Final Term'!R84,new_transmute,2,FALSE)
),
IF(Info!$B$4="Board program",
IF(OR(AND(R$5&gt;0,R$5&gt;100),AND(R$5&gt;0,R$5&lt;100)),
VLOOKUP(FLOOR(('Final Term'!R84/R$5)*100,1),new_transmute,3,FALSE),
VLOOKUP('Final Term'!R84,new_transmute,3,FALSE)
),
IF(Info!$B$4="Board program (Medicine)",
IF(OR(AND(R$5&gt;0,R$5&gt;100),AND(R$5&gt;0,R$5&lt;100)),
VLOOKUP(FLOOR(('Final Term'!R84/R$5)*100,1),new_transmute,4,FALSE),
VLOOKUP('Final Term'!R84,new_transmute,4,FALSE)
),
""
)
)
)
)
)
)
)
)
))</f>
        <v/>
      </c>
      <c r="S84" s="115" t="str">
        <f t="shared" si="13"/>
        <v/>
      </c>
      <c r="T84" s="73" t="str">
        <f>IF($B84="","",
IF(T$5="","",
IF('Final Term'!T84="",0,
IF(NOT(ISNUMBER('Final Term'!T84)),"NAN",
IF('Final Term'!T84&lt;0,"NEG",
IF('Final Term'!T84&gt;T$5,"OVER",
IF(AND(T$5&lt;=100,'Final Term'!T84&gt;100),"ERR",
IF(Info!$B$4="Non-board program",
IF(OR(AND(T$5&gt;0,T$5&gt;100),AND(T$5&gt;0,T$5&lt;100)),
VLOOKUP(FLOOR(('Final Term'!T84/T$5)*100,1),new_transmute,2,FALSE),
VLOOKUP('Final Term'!T84,new_transmute,2,FALSE)
),
IF(Info!$B$4="Board program",
IF(OR(AND(T$5&gt;0,T$5&gt;100),AND(T$5&gt;0,T$5&lt;100)),
VLOOKUP(FLOOR(('Final Term'!T84/T$5)*100,1),new_transmute,3,FALSE),
VLOOKUP('Final Term'!T84,new_transmute,3,FALSE)
),
IF(Info!$B$4="Board program (Medicine)",
IF(OR(AND(T$5&gt;0,T$5&gt;100),AND(T$5&gt;0,T$5&lt;100)),
VLOOKUP(FLOOR(('Final Term'!T84/T$5)*100,1),new_transmute,4,FALSE),
VLOOKUP('Final Term'!T84,new_transmute,4,FALSE)
),
""
)
)
)
)
)
)
)
)
))</f>
        <v/>
      </c>
      <c r="U84" s="73" t="str">
        <f>IF($B84="","",
IF(U$5="","",
IF('Final Term'!U84="",0,
IF(NOT(ISNUMBER('Final Term'!U84)),"NAN",
IF('Final Term'!U84&lt;0,"NEG",
IF('Final Term'!U84&gt;U$5,"OVER",
IF(AND(U$5&lt;=100,'Final Term'!U84&gt;100),"ERR",
IF(Info!$B$4="Non-board program",
IF(OR(AND(U$5&gt;0,U$5&gt;100),AND(U$5&gt;0,U$5&lt;100)),
VLOOKUP(FLOOR(('Final Term'!U84/U$5)*100,1),new_transmute,2,FALSE),
VLOOKUP('Final Term'!U84,new_transmute,2,FALSE)
),
IF(Info!$B$4="Board program",
IF(OR(AND(U$5&gt;0,U$5&gt;100),AND(U$5&gt;0,U$5&lt;100)),
VLOOKUP(FLOOR(('Final Term'!U84/U$5)*100,1),new_transmute,3,FALSE),
VLOOKUP('Final Term'!U84,new_transmute,3,FALSE)
),
IF(Info!$B$4="Board program (Medicine)",
IF(OR(AND(U$5&gt;0,U$5&gt;100),AND(U$5&gt;0,U$5&lt;100)),
VLOOKUP(FLOOR(('Final Term'!U84/U$5)*100,1),new_transmute,4,FALSE),
VLOOKUP('Final Term'!U84,new_transmute,4,FALSE)
),
""
)
)
)
)
)
)
)
)
))</f>
        <v/>
      </c>
      <c r="V84" s="73" t="str">
        <f>IF($B84="","",
IF(V$5="","",
IF('Final Term'!V84="",0,
IF(NOT(ISNUMBER('Final Term'!V84)),"NAN",
IF('Final Term'!V84&lt;0,"NEG",
IF('Final Term'!V84&gt;V$5,"OVER",
IF(AND(V$5&lt;=100,'Final Term'!V84&gt;100),"ERR",
IF(Info!$B$4="Non-board program",
IF(OR(AND(V$5&gt;0,V$5&gt;100),AND(V$5&gt;0,V$5&lt;100)),
VLOOKUP(FLOOR(('Final Term'!V84/V$5)*100,1),new_transmute,2,FALSE),
VLOOKUP('Final Term'!V84,new_transmute,2,FALSE)
),
IF(Info!$B$4="Board program",
IF(OR(AND(V$5&gt;0,V$5&gt;100),AND(V$5&gt;0,V$5&lt;100)),
VLOOKUP(FLOOR(('Final Term'!V84/V$5)*100,1),new_transmute,3,FALSE),
VLOOKUP('Final Term'!V84,new_transmute,3,FALSE)
),
IF(Info!$B$4="Board program (Medicine)",
IF(OR(AND(V$5&gt;0,V$5&gt;100),AND(V$5&gt;0,V$5&lt;100)),
VLOOKUP(FLOOR(('Final Term'!V84/V$5)*100,1),new_transmute,4,FALSE),
VLOOKUP('Final Term'!V84,new_transmute,4,FALSE)
),
""
)
)
)
)
)
)
)
)
))</f>
        <v/>
      </c>
      <c r="W84" s="73" t="str">
        <f>IF($B84="","",
IF(W$5="","",
IF('Final Term'!W84="",0,
IF(NOT(ISNUMBER('Final Term'!W84)),"NAN",
IF('Final Term'!W84&lt;0,"NEG",
IF('Final Term'!W84&gt;W$5,"OVER",
IF(AND(W$5&lt;=100,'Final Term'!W84&gt;100),"ERR",
IF(Info!$B$4="Non-board program",
IF(OR(AND(W$5&gt;0,W$5&gt;100),AND(W$5&gt;0,W$5&lt;100)),
VLOOKUP(FLOOR(('Final Term'!W84/W$5)*100,1),new_transmute,2,FALSE),
VLOOKUP('Final Term'!W84,new_transmute,2,FALSE)
),
IF(Info!$B$4="Board program",
IF(OR(AND(W$5&gt;0,W$5&gt;100),AND(W$5&gt;0,W$5&lt;100)),
VLOOKUP(FLOOR(('Final Term'!W84/W$5)*100,1),new_transmute,3,FALSE),
VLOOKUP('Final Term'!W84,new_transmute,3,FALSE)
),
IF(Info!$B$4="Board program (Medicine)",
IF(OR(AND(W$5&gt;0,W$5&gt;100),AND(W$5&gt;0,W$5&lt;100)),
VLOOKUP(FLOOR(('Final Term'!W84/W$5)*100,1),new_transmute,4,FALSE),
VLOOKUP('Final Term'!W84,new_transmute,4,FALSE)
),
""
)
)
)
)
)
)
)
)
))</f>
        <v/>
      </c>
      <c r="X84" s="73" t="str">
        <f>IF($B84="","",
IF(X$5="","",
IF('Final Term'!X84="",0,
IF(NOT(ISNUMBER('Final Term'!X84)),"NAN",
IF('Final Term'!X84&lt;0,"NEG",
IF('Final Term'!X84&gt;X$5,"OVER",
IF(AND(X$5&lt;=100,'Final Term'!X84&gt;100),"ERR",
IF(Info!$B$4="Non-board program",
IF(OR(AND(X$5&gt;0,X$5&gt;100),AND(X$5&gt;0,X$5&lt;100)),
VLOOKUP(FLOOR(('Final Term'!X84/X$5)*100,1),new_transmute,2,FALSE),
VLOOKUP('Final Term'!X84,new_transmute,2,FALSE)
),
IF(Info!$B$4="Board program",
IF(OR(AND(X$5&gt;0,X$5&gt;100),AND(X$5&gt;0,X$5&lt;100)),
VLOOKUP(FLOOR(('Final Term'!X84/X$5)*100,1),new_transmute,3,FALSE),
VLOOKUP('Final Term'!X84,new_transmute,3,FALSE)
),
IF(Info!$B$4="Board program (Medicine)",
IF(OR(AND(X$5&gt;0,X$5&gt;100),AND(X$5&gt;0,X$5&lt;100)),
VLOOKUP(FLOOR(('Final Term'!X84/X$5)*100,1),new_transmute,4,FALSE),
VLOOKUP('Final Term'!X84,new_transmute,4,FALSE)
),
""
)
)
)
)
)
)
)
)
))</f>
        <v/>
      </c>
      <c r="Y84" s="112" t="str">
        <f t="shared" si="14"/>
        <v/>
      </c>
      <c r="Z84" s="73" t="str">
        <f>IF($B84="","",
IF(Z$5="","",
IF('Final Term'!Z84="",0,
IF(NOT(ISNUMBER('Final Term'!Z84)),"NAN",
IF('Final Term'!Z84&lt;0,"NEG",
IF('Final Term'!Z84&gt;Z$5,"OVER",
IF(AND(Z$5&lt;=100,'Final Term'!Z84&gt;100),"ERR",
IF(Info!$B$4="Non-board program",
IF(OR(AND(Z$5&gt;0,Z$5&gt;100),AND(Z$5&gt;0,Z$5&lt;100)),
VLOOKUP(FLOOR(('Final Term'!Z84/Z$5)*100,1),new_transmute,2,FALSE),
VLOOKUP('Final Term'!Z84,new_transmute,2,FALSE)
),
IF(Info!$B$4="Board program",
IF(OR(AND(Z$5&gt;0,Z$5&gt;100),AND(Z$5&gt;0,Z$5&lt;100)),
VLOOKUP(FLOOR(('Final Term'!Z84/Z$5)*100,1),new_transmute,3,FALSE),
VLOOKUP('Final Term'!Z84,new_transmute,3,FALSE)
),
IF(Info!$B$4="Board program (Medicine)",
IF(OR(AND(Z$5&gt;0,Z$5&gt;100),AND(Z$5&gt;0,Z$5&lt;100)),
VLOOKUP(FLOOR(('Final Term'!Z84/Z$5)*100,1),new_transmute,4,FALSE),
VLOOKUP('Final Term'!Z84,new_transmute,4,FALSE)
),
""
)
)
)
)
)
)
)
)
))</f>
        <v/>
      </c>
      <c r="AA84" s="73" t="str">
        <f>IF($B84="","",
IF(AA$5="","",
IF('Final Term'!AA84="",0,
IF(NOT(ISNUMBER('Final Term'!AA84)),"NAN",
IF('Final Term'!AA84&lt;0,"NEG",
IF('Final Term'!AA84&gt;AA$5,"OVER",
IF(AND(AA$5&lt;=100,'Final Term'!AA84&gt;100),"ERR",
IF(Info!$B$4="Non-board program",
IF(OR(AND(AA$5&gt;0,AA$5&gt;100),AND(AA$5&gt;0,AA$5&lt;100)),
VLOOKUP(FLOOR(('Final Term'!AA84/AA$5)*100,1),new_transmute,2,FALSE),
VLOOKUP('Final Term'!AA84,new_transmute,2,FALSE)
),
IF(Info!$B$4="Board program",
IF(OR(AND(AA$5&gt;0,AA$5&gt;100),AND(AA$5&gt;0,AA$5&lt;100)),
VLOOKUP(FLOOR(('Final Term'!AA84/AA$5)*100,1),new_transmute,3,FALSE),
VLOOKUP('Final Term'!AA84,new_transmute,3,FALSE)
),
IF(Info!$B$4="Board program (Medicine)",
IF(OR(AND(AA$5&gt;0,AA$5&gt;100),AND(AA$5&gt;0,AA$5&lt;100)),
VLOOKUP(FLOOR(('Final Term'!AA84/AA$5)*100,1),new_transmute,4,FALSE),
VLOOKUP('Final Term'!AA84,new_transmute,4,FALSE)
),
""
)
)
)
)
)
)
)
)
))</f>
        <v/>
      </c>
      <c r="AB84" s="73" t="str">
        <f>IF($B84="","",
IF(AB$5="","",
IF('Final Term'!AB84="",0,
IF(NOT(ISNUMBER('Final Term'!AB84)),"NAN",
IF('Final Term'!AB84&lt;0,"NEG",
IF('Final Term'!AB84&gt;AB$5,"OVER",
IF(AND(AB$5&lt;=100,'Final Term'!AB84&gt;100),"ERR",
IF(Info!$B$4="Non-board program",
IF(OR(AND(AB$5&gt;0,AB$5&gt;100),AND(AB$5&gt;0,AB$5&lt;100)),
VLOOKUP(FLOOR(('Final Term'!AB84/AB$5)*100,1),new_transmute,2,FALSE),
VLOOKUP('Final Term'!AB84,new_transmute,2,FALSE)
),
IF(Info!$B$4="Board program",
IF(OR(AND(AB$5&gt;0,AB$5&gt;100),AND(AB$5&gt;0,AB$5&lt;100)),
VLOOKUP(FLOOR(('Final Term'!AB84/AB$5)*100,1),new_transmute,3,FALSE),
VLOOKUP('Final Term'!AB84,new_transmute,3,FALSE)
),
IF(Info!$B$4="Board program (Medicine)",
IF(OR(AND(AB$5&gt;0,AB$5&gt;100),AND(AB$5&gt;0,AB$5&lt;100)),
VLOOKUP(FLOOR(('Final Term'!AB84/AB$5)*100,1),new_transmute,4,FALSE),
VLOOKUP('Final Term'!AB84,new_transmute,4,FALSE)
),
""
)
)
)
)
)
)
)
)
))</f>
        <v/>
      </c>
      <c r="AC84" s="73" t="str">
        <f>IF($B84="","",
IF(AC$5="","",
IF('Final Term'!AC84="",0,
IF(NOT(ISNUMBER('Final Term'!AC84)),"NAN",
IF('Final Term'!AC84&lt;0,"NEG",
IF('Final Term'!AC84&gt;AC$5,"OVER",
IF(AND(AC$5&lt;=100,'Final Term'!AC84&gt;100),"ERR",
IF(Info!$B$4="Non-board program",
IF(OR(AND(AC$5&gt;0,AC$5&gt;100),AND(AC$5&gt;0,AC$5&lt;100)),
VLOOKUP(FLOOR(('Final Term'!AC84/AC$5)*100,1),new_transmute,2,FALSE),
VLOOKUP('Final Term'!AC84,new_transmute,2,FALSE)
),
IF(Info!$B$4="Board program",
IF(OR(AND(AC$5&gt;0,AC$5&gt;100),AND(AC$5&gt;0,AC$5&lt;100)),
VLOOKUP(FLOOR(('Final Term'!AC84/AC$5)*100,1),new_transmute,3,FALSE),
VLOOKUP('Final Term'!AC84,new_transmute,3,FALSE)
),
IF(Info!$B$4="Board program (Medicine)",
IF(OR(AND(AC$5&gt;0,AC$5&gt;100),AND(AC$5&gt;0,AC$5&lt;100)),
VLOOKUP(FLOOR(('Final Term'!AC84/AC$5)*100,1),new_transmute,4,FALSE),
VLOOKUP('Final Term'!AC84,new_transmute,4,FALSE)
),
""
)
)
)
)
)
)
)
)
))</f>
        <v/>
      </c>
      <c r="AD84" s="73" t="str">
        <f>IF($B84="","",
IF(AD$5="","",
IF('Final Term'!AD84="",0,
IF(NOT(ISNUMBER('Final Term'!AD84)),"NAN",
IF('Final Term'!AD84&lt;0,"NEG",
IF('Final Term'!AD84&gt;AD$5,"OVER",
IF(AND(AD$5&lt;=100,'Final Term'!AD84&gt;100),"ERR",
IF(Info!$B$4="Non-board program",
IF(OR(AND(AD$5&gt;0,AD$5&gt;100),AND(AD$5&gt;0,AD$5&lt;100)),
VLOOKUP(FLOOR(('Final Term'!AD84/AD$5)*100,1),new_transmute,2,FALSE),
VLOOKUP('Final Term'!AD84,new_transmute,2,FALSE)
),
IF(Info!$B$4="Board program",
IF(OR(AND(AD$5&gt;0,AD$5&gt;100),AND(AD$5&gt;0,AD$5&lt;100)),
VLOOKUP(FLOOR(('Final Term'!AD84/AD$5)*100,1),new_transmute,3,FALSE),
VLOOKUP('Final Term'!AD84,new_transmute,3,FALSE)
),
IF(Info!$B$4="Board program (Medicine)",
IF(OR(AND(AD$5&gt;0,AD$5&gt;100),AND(AD$5&gt;0,AD$5&lt;100)),
VLOOKUP(FLOOR(('Final Term'!AD84/AD$5)*100,1),new_transmute,4,FALSE),
VLOOKUP('Final Term'!AD84,new_transmute,4,FALSE)
),
""
)
)
)
)
)
)
)
)
))</f>
        <v/>
      </c>
      <c r="AE84" s="58" t="str">
        <f t="shared" si="15"/>
        <v/>
      </c>
      <c r="AF84" s="73" t="str">
        <f>IF($B84="","",
IF(AF$5="","",
IF('Final Term'!AF84="",0,
IF(NOT(ISNUMBER('Final Term'!AF84)),"NAN",
IF('Final Term'!AF84&lt;0,"NEG",
IF('Final Term'!AF84&gt;AF$5,"OVER",
IF(AND(AF$5&lt;=100,'Final Term'!AF84&gt;100),"ERR",
IF(Info!$B$4="Non-board program",
IF(OR(AND(AF$5&gt;0,AF$5&gt;100),AND(AF$5&gt;0,AF$5&lt;100)),
VLOOKUP(FLOOR(('Final Term'!AF84/AF$5)*100,1),new_transmute,2,FALSE),
VLOOKUP('Final Term'!AF84,new_transmute,2,FALSE)
),
IF(Info!$B$4="Board program",
IF(OR(AND(AF$5&gt;0,AF$5&gt;100),AND(AF$5&gt;0,AF$5&lt;100)),
VLOOKUP(FLOOR(('Final Term'!AF84/AF$5)*100,1),new_transmute,3,FALSE),
VLOOKUP('Final Term'!AF84,new_transmute,3,FALSE)
),
IF(Info!$B$4="Board program (Medicine)",
IF(OR(AND(AF$5&gt;0,AF$5&gt;100),AND(AF$5&gt;0,AF$5&lt;100)),
VLOOKUP(FLOOR(('Final Term'!AF84/AF$5)*100,1),new_transmute,4,FALSE),
VLOOKUP('Final Term'!AF84,new_transmute,4,FALSE)
),
""
)
)
)
)
)
)
)
)
))</f>
        <v/>
      </c>
      <c r="AG84" s="73" t="str">
        <f>IF($B84="","",
IF(AG$5="","",
IF('Final Term'!AG84="",0,
IF(NOT(ISNUMBER('Final Term'!AG84)),"NAN",
IF('Final Term'!AG84&lt;0,"NEG",
IF('Final Term'!AG84&gt;AG$5,"OVER",
IF(AND(AG$5&lt;=100,'Final Term'!AG84&gt;100),"ERR",
IF(Info!$B$4="Non-board program",
IF(OR(AND(AG$5&gt;0,AG$5&gt;100),AND(AG$5&gt;0,AG$5&lt;100)),
VLOOKUP(FLOOR(('Final Term'!AG84/AG$5)*100,1),new_transmute,2,FALSE),
VLOOKUP('Final Term'!AG84,new_transmute,2,FALSE)
),
IF(Info!$B$4="Board program",
IF(OR(AND(AG$5&gt;0,AG$5&gt;100),AND(AG$5&gt;0,AG$5&lt;100)),
VLOOKUP(FLOOR(('Final Term'!AG84/AG$5)*100,1),new_transmute,3,FALSE),
VLOOKUP('Final Term'!AG84,new_transmute,3,FALSE)
),
IF(Info!$B$4="Board program (Medicine)",
IF(OR(AND(AG$5&gt;0,AG$5&gt;100),AND(AG$5&gt;0,AG$5&lt;100)),
VLOOKUP(FLOOR(('Final Term'!AG84/AG$5)*100,1),new_transmute,4,FALSE),
VLOOKUP('Final Term'!AG84,new_transmute,4,FALSE)
),
""
)
)
)
)
)
)
)
)
))</f>
        <v/>
      </c>
      <c r="AH84" s="73" t="str">
        <f>IF($B84="","",
IF(AH$5="","",
IF('Final Term'!AH84="",0,
IF(NOT(ISNUMBER('Final Term'!AH84)),"NAN",
IF('Final Term'!AH84&lt;0,"NEG",
IF('Final Term'!AH84&gt;AH$5,"OVER",
IF(AND(AH$5&lt;=100,'Final Term'!AH84&gt;100),"ERR",
IF(Info!$B$4="Non-board program",
IF(OR(AND(AH$5&gt;0,AH$5&gt;100),AND(AH$5&gt;0,AH$5&lt;100)),
VLOOKUP(FLOOR(('Final Term'!AH84/AH$5)*100,1),new_transmute,2,FALSE),
VLOOKUP('Final Term'!AH84,new_transmute,2,FALSE)
),
IF(Info!$B$4="Board program",
IF(OR(AND(AH$5&gt;0,AH$5&gt;100),AND(AH$5&gt;0,AH$5&lt;100)),
VLOOKUP(FLOOR(('Final Term'!AH84/AH$5)*100,1),new_transmute,3,FALSE),
VLOOKUP('Final Term'!AH84,new_transmute,3,FALSE)
),
IF(Info!$B$4="Board program (Medicine)",
IF(OR(AND(AH$5&gt;0,AH$5&gt;100),AND(AH$5&gt;0,AH$5&lt;100)),
VLOOKUP(FLOOR(('Final Term'!AH84/AH$5)*100,1),new_transmute,4,FALSE),
VLOOKUP('Final Term'!AH84,new_transmute,4,FALSE)
),
""
)
)
)
)
)
)
)
)
))</f>
        <v/>
      </c>
      <c r="AI84" s="73" t="str">
        <f>IF($B84="","",
IF(AI$5="","",
IF('Final Term'!AI84="",0,
IF(NOT(ISNUMBER('Final Term'!AI84)),"NAN",
IF('Final Term'!AI84&lt;0,"NEG",
IF('Final Term'!AI84&gt;AI$5,"OVER",
IF(AND(AI$5&lt;=100,'Final Term'!AI84&gt;100),"ERR",
IF(Info!$B$4="Non-board program",
IF(OR(AND(AI$5&gt;0,AI$5&gt;100),AND(AI$5&gt;0,AI$5&lt;100)),
VLOOKUP(FLOOR(('Final Term'!AI84/AI$5)*100,1),new_transmute,2,FALSE),
VLOOKUP('Final Term'!AI84,new_transmute,2,FALSE)
),
IF(Info!$B$4="Board program",
IF(OR(AND(AI$5&gt;0,AI$5&gt;100),AND(AI$5&gt;0,AI$5&lt;100)),
VLOOKUP(FLOOR(('Final Term'!AI84/AI$5)*100,1),new_transmute,3,FALSE),
VLOOKUP('Final Term'!AI84,new_transmute,3,FALSE)
),
IF(Info!$B$4="Board program (Medicine)",
IF(OR(AND(AI$5&gt;0,AI$5&gt;100),AND(AI$5&gt;0,AI$5&lt;100)),
VLOOKUP(FLOOR(('Final Term'!AI84/AI$5)*100,1),new_transmute,4,FALSE),
VLOOKUP('Final Term'!AI84,new_transmute,4,FALSE)
),
""
)
)
)
)
)
)
)
)
))</f>
        <v/>
      </c>
      <c r="AJ84" s="73" t="str">
        <f>IF($B84="","",
IF(AJ$5="","",
IF('Final Term'!AJ84="",0,
IF(NOT(ISNUMBER('Final Term'!AJ84)),"NAN",
IF('Final Term'!AJ84&lt;0,"NEG",
IF('Final Term'!AJ84&gt;AJ$5,"OVER",
IF(AND(AJ$5&lt;=100,'Final Term'!AJ84&gt;100),"ERR",
IF(Info!$B$4="Non-board program",
IF(OR(AND(AJ$5&gt;0,AJ$5&gt;100),AND(AJ$5&gt;0,AJ$5&lt;100)),
VLOOKUP(FLOOR(('Final Term'!AJ84/AJ$5)*100,1),new_transmute,2,FALSE),
VLOOKUP('Final Term'!AJ84,new_transmute,2,FALSE)
),
IF(Info!$B$4="Board program",
IF(OR(AND(AJ$5&gt;0,AJ$5&gt;100),AND(AJ$5&gt;0,AJ$5&lt;100)),
VLOOKUP(FLOOR(('Final Term'!AJ84/AJ$5)*100,1),new_transmute,3,FALSE),
VLOOKUP('Final Term'!AJ84,new_transmute,3,FALSE)
),
IF(Info!$B$4="Board program (Medicine)",
IF(OR(AND(AJ$5&gt;0,AJ$5&gt;100),AND(AJ$5&gt;0,AJ$5&lt;100)),
VLOOKUP(FLOOR(('Final Term'!AJ84/AJ$5)*100,1),new_transmute,4,FALSE),
VLOOKUP('Final Term'!AJ84,new_transmute,4,FALSE)
),
""
)
)
)
)
)
)
)
)
))</f>
        <v/>
      </c>
      <c r="AK84" s="59" t="str">
        <f t="shared" si="16"/>
        <v/>
      </c>
      <c r="AL84" s="60" t="str">
        <f>IF(B84="", "",
    IF(OR(M84="OVER", S84="OVER", Y84="OVER", AE84="OVER", AK84="OVER"),
        "OVER",
        IF(Info!$B$4="Non-board program",
            VLOOKUP(IFERROR(FLOOR(SUM((M84*$M$4), (S84*$S$4), (Y84*$Y$4), (AE84*$AE$4), (AK84*$AK$4)) * (100 / 60), 1), 0), new_transmute, 2, FALSE),
            IF(Info!$B$4="Board program",
                VLOOKUP(IFERROR(FLOOR(SUM((M84*$M$4), (S84*$S$4), (Y84*$Y$4), (AE84*$AE$4), (AK84*$AK$4)) * (100 / 60), 1), 0), new_transmute, 3, FALSE),
                IF(Info!$B$4="Board program (Medicine)",
                    VLOOKUP(IFERROR(FLOOR(SUM((M84*$M$4), (S84*$S$4), (Y84*$Y$4), (AE84*$AE$4), (AK84*$AK$4)) * (100 / 60), 1), 0), new_transmute, 4, FALSE),
                    ""
                )
            )
        )
    )
)</f>
        <v/>
      </c>
      <c r="AM84" s="73" t="str">
        <f>IF($B84="","",
IF(AM$5="","",
IF('Final Term'!AM84="",0,
IF(NOT(ISNUMBER('Final Term'!AM84)),"NAN",
IF('Final Term'!AM84&lt;0,"NEG",
IF('Final Term'!AM84&gt;AM$5,"OVER",
IF(AND(AM$5&lt;=100,'Final Term'!AM84&gt;100),"ERR",
IF(Info!$B$4="Non-board program",
IF(OR(AND(AM$5&gt;0,AM$5&gt;100),AND(AM$5&gt;0,AM$5&lt;100)),
VLOOKUP(FLOOR(('Final Term'!AM84/AM$5)*100,1),new_transmute,2,FALSE),
VLOOKUP('Final Term'!AM84,new_transmute,2,FALSE)
),
IF(Info!$B$4="Board program",
IF(OR(AND(AM$5&gt;0,AM$5&gt;100),AND(AM$5&gt;0,AM$5&lt;100)),
VLOOKUP(FLOOR(('Final Term'!AM84/AM$5)*100,1),new_transmute,3,FALSE),
VLOOKUP('Final Term'!AM84,new_transmute,3,FALSE)
),
IF(Info!$B$4="Board program (Medicine)",
IF(OR(AND(AM$5&gt;0,AM$5&gt;100),AND(AM$5&gt;0,AM$5&lt;100)),
VLOOKUP(FLOOR(('Final Term'!AM84/AM$5)*100,1),new_transmute,4,FALSE),
VLOOKUP('Final Term'!AM84,new_transmute,4,FALSE)
),
""
)
)
)
)
)
)
)
)
))</f>
        <v/>
      </c>
      <c r="AN84" s="73" t="str">
        <f>IF($B84="","",
IF(AN$5="","",
IF('Final Term'!AN84="",0,
IF(NOT(ISNUMBER('Final Term'!AN84)),"NAN",
IF('Final Term'!AN84&lt;0,"NEG",
IF('Final Term'!AN84&gt;AN$5,"OVER",
IF(AND(AN$5&lt;=100,'Final Term'!AN84&gt;100),"ERR",
IF(Info!$B$4="Non-board program",
IF(OR(AND(AN$5&gt;0,AN$5&gt;100),AND(AN$5&gt;0,AN$5&lt;100)),
VLOOKUP(FLOOR(('Final Term'!AN84/AN$5)*100,1),new_transmute,2,FALSE),
VLOOKUP('Final Term'!AN84,new_transmute,2,FALSE)
),
IF(Info!$B$4="Board program",
IF(OR(AND(AN$5&gt;0,AN$5&gt;100),AND(AN$5&gt;0,AN$5&lt;100)),
VLOOKUP(FLOOR(('Final Term'!AN84/AN$5)*100,1),new_transmute,3,FALSE),
VLOOKUP('Final Term'!AN84,new_transmute,3,FALSE)
),
IF(Info!$B$4="Board program (Medicine)",
IF(OR(AND(AN$5&gt;0,AN$5&gt;100),AND(AN$5&gt;0,AN$5&lt;100)),
VLOOKUP(FLOOR(('Final Term'!AN84/AN$5)*100,1),new_transmute,4,FALSE),
VLOOKUP('Final Term'!AN84,new_transmute,4,FALSE)
),
""
)
)
)
)
)
)
)
)
))</f>
        <v/>
      </c>
      <c r="AO84" s="73" t="str">
        <f>IF($B84="","",
IF(AO$5="","",
IF('Final Term'!AO84="",0,
IF(NOT(ISNUMBER('Final Term'!AO84)),"NAN",
IF('Final Term'!AO84&lt;0,"NEG",
IF('Final Term'!AO84&gt;AO$5,"OVER",
IF(AND(AO$5&lt;=100,'Final Term'!AO84&gt;100),"ERR",
IF(Info!$B$4="Non-board program",
IF(OR(AND(AO$5&gt;0,AO$5&gt;100),AND(AO$5&gt;0,AO$5&lt;100)),
VLOOKUP(FLOOR(('Final Term'!AO84/AO$5)*100,1),new_transmute,2,FALSE),
VLOOKUP('Final Term'!AO84,new_transmute,2,FALSE)
),
IF(Info!$B$4="Board program",
IF(OR(AND(AO$5&gt;0,AO$5&gt;100),AND(AO$5&gt;0,AO$5&lt;100)),
VLOOKUP(FLOOR(('Final Term'!AO84/AO$5)*100,1),new_transmute,3,FALSE),
VLOOKUP('Final Term'!AO84,new_transmute,3,FALSE)
),
IF(Info!$B$4="Board program (Medicine)",
IF(OR(AND(AO$5&gt;0,AO$5&gt;100),AND(AO$5&gt;0,AO$5&lt;100)),
VLOOKUP(FLOOR(('Final Term'!AO84/AO$5)*100,1),new_transmute,4,FALSE),
VLOOKUP('Final Term'!AO84,new_transmute,4,FALSE)
),
""
)
)
)
)
)
)
)
)
))</f>
        <v/>
      </c>
      <c r="AP84" s="73" t="str">
        <f>IF($B84="","",
IF(AP$5="","",
IF('Final Term'!AP84="",0,
IF(NOT(ISNUMBER('Final Term'!AP84)),"NAN",
IF('Final Term'!AP84&lt;0,"NEG",
IF('Final Term'!AP84&gt;AP$5,"OVER",
IF(AND(AP$5&lt;=100,'Final Term'!AP84&gt;100),"ERR",
IF(Info!$B$4="Non-board program",
IF(OR(AND(AP$5&gt;0,AP$5&gt;100),AND(AP$5&gt;0,AP$5&lt;100)),
VLOOKUP(FLOOR(('Final Term'!AP84/AP$5)*100,1),new_transmute,2,FALSE),
VLOOKUP('Final Term'!AP84,new_transmute,2,FALSE)
),
IF(Info!$B$4="Board program",
IF(OR(AND(AP$5&gt;0,AP$5&gt;100),AND(AP$5&gt;0,AP$5&lt;100)),
VLOOKUP(FLOOR(('Final Term'!AP84/AP$5)*100,1),new_transmute,3,FALSE),
VLOOKUP('Final Term'!AP84,new_transmute,3,FALSE)
),
IF(Info!$B$4="Board program (Medicine)",
IF(OR(AND(AP$5&gt;0,AP$5&gt;100),AND(AP$5&gt;0,AP$5&lt;100)),
VLOOKUP(FLOOR(('Final Term'!AP84/AP$5)*100,1),new_transmute,4,FALSE),
VLOOKUP('Final Term'!AP84,new_transmute,4,FALSE)
),
""
)
)
)
)
)
)
)
)
))</f>
        <v/>
      </c>
      <c r="AQ84" s="61" t="str">
        <f t="shared" si="17"/>
        <v/>
      </c>
      <c r="AR84" s="48" t="str">
        <f>IF('Final Term'!AR84="","",'Final Term'!AR84)</f>
        <v/>
      </c>
      <c r="AS84" s="165" t="str">
        <f t="shared" si="18"/>
        <v/>
      </c>
      <c r="AT84" s="14" t="str">
        <f t="shared" si="19"/>
        <v/>
      </c>
      <c r="AU84" s="13" t="str">
        <f>IF(B84="","",VLOOKUP(AT84,'New Grade Equivalent'!$B$3:$C$47,2,FALSE))</f>
        <v/>
      </c>
    </row>
    <row r="85" spans="1:47" x14ac:dyDescent="0.25">
      <c r="A85" s="8">
        <v>80</v>
      </c>
      <c r="B85" s="2" t="str">
        <f>IF('Student List'!C89="","",UPPER(LEFT('Student List'!C89,FIND(",",'Student List'!C89)-1)))</f>
        <v/>
      </c>
      <c r="C85" s="12" t="str">
        <f>IF('Student List'!C89="","",PROPER(MID('Student List'!C89, FIND(",", 'Student List'!C89) + 2, LEN('Student List'!C89) - FIND(",", 'Student List'!C89) - 1)))</f>
        <v/>
      </c>
      <c r="D85" s="127" t="str">
        <f>IF('Final Term'!D85="","",'Final Term'!D85)</f>
        <v/>
      </c>
      <c r="E85" s="8" t="str">
        <f>IF(MidCom!E85="FA", "FA",
    IF(MidCom!E85="DRP", "DRP",
        IF(MidCom!E85="WF", "WF",
            IF(D85="Yes", "INC",
               IF((SUM('MT Attendance'!AW83) / 3 + SUM('MT Attendance'!AY83) + SUM('FT Attendance'!AW83) / 3 + SUM('FT Attendance'!AY83)) &gt;= 0.2 * (SUMPRODUCT(--(ISTEXT('MT Attendance'!$C$2:$AU$2))) + SUMPRODUCT(--(ISTEXT('FT Attendance'!$C$2:$AU$2)))), "FA",
                   MidCom!E85
                )
            )
        )
    )
)</f>
        <v/>
      </c>
      <c r="F85" s="73" t="str">
        <f>IF($B85="","",
IF(F$5="","",
IF('Final Term'!F85="",0,
IF(NOT(ISNUMBER('Final Term'!F85)),"NAN",
IF('Final Term'!F85&lt;0,"NEG",
IF('Final Term'!F85&gt;F$5,"OVER",
IF(AND(F$5&lt;=100,'Final Term'!F85&gt;100),"ERR",
IF(Info!$B$4="Non-board program",
IF(OR(AND(F$5&gt;0,F$5&gt;100),AND(F$5&gt;0,F$5&lt;100)),
VLOOKUP(FLOOR(('Final Term'!F85/F$5)*100,1),new_transmute,2,FALSE),
VLOOKUP('Final Term'!F85,new_transmute,2,FALSE)
),
IF(Info!$B$4="Board program",
IF(OR(AND(F$5&gt;0,F$5&gt;100),AND(F$5&gt;0,F$5&lt;100)),
VLOOKUP(FLOOR(('Final Term'!F85/F$5)*100,1),new_transmute,3,FALSE),
VLOOKUP('Final Term'!F85,new_transmute,3,FALSE)
),
IF(Info!$B$4="Board program (Medicine)",
IF(OR(AND(F$5&gt;0,F$5&gt;100),AND(F$5&gt;0,F$5&lt;100)),
VLOOKUP(FLOOR(('Final Term'!F85/F$5)*100,1),new_transmute,4,FALSE),
VLOOKUP('Final Term'!F85,new_transmute,4,FALSE)
),
""
)
)
)
)
)
)
)
)
))</f>
        <v/>
      </c>
      <c r="G85" s="57" t="str">
        <f t="shared" si="11"/>
        <v/>
      </c>
      <c r="H85" s="73" t="str">
        <f>IF($B85="","",
IF(H$5="","",
IF('Final Term'!H85="",0,
IF(NOT(ISNUMBER('Final Term'!H85)),"NAN",
IF('Final Term'!H85&lt;0,"NEG",
IF('Final Term'!H85&gt;H$5,"OVER",
IF(AND(H$5&lt;=100,'Final Term'!H85&gt;100),"ERR",
IF(Info!$B$4="Non-board program",
IF(OR(AND(H$5&gt;0,H$5&gt;100),AND(H$5&gt;0,H$5&lt;100)),
VLOOKUP(FLOOR(('Final Term'!H85/H$5)*100,1),new_transmute,2,FALSE),
VLOOKUP('Final Term'!H85,new_transmute,2,FALSE)
),
IF(Info!$B$4="Board program",
IF(OR(AND(H$5&gt;0,H$5&gt;100),AND(H$5&gt;0,H$5&lt;100)),
VLOOKUP(FLOOR(('Final Term'!H85/H$5)*100,1),new_transmute,3,FALSE),
VLOOKUP('Final Term'!H85,new_transmute,3,FALSE)
),
IF(Info!$B$4="Board program (Medicine)",
IF(OR(AND(H$5&gt;0,H$5&gt;100),AND(H$5&gt;0,H$5&lt;100)),
VLOOKUP(FLOOR(('Final Term'!H85/H$5)*100,1),new_transmute,4,FALSE),
VLOOKUP('Final Term'!H85,new_transmute,4,FALSE)
),
""
)
)
)
)
)
)
)
)
))</f>
        <v/>
      </c>
      <c r="I85" s="73" t="str">
        <f>IF($B85="","",
IF(I$5="","",
IF('Final Term'!I85="",0,
IF(NOT(ISNUMBER('Final Term'!I85)),"NAN",
IF('Final Term'!I85&lt;0,"NEG",
IF('Final Term'!I85&gt;I$5,"OVER",
IF(AND(I$5&lt;=100,'Final Term'!I85&gt;100),"ERR",
IF(Info!$B$4="Non-board program",
IF(OR(AND(I$5&gt;0,I$5&gt;100),AND(I$5&gt;0,I$5&lt;100)),
VLOOKUP(FLOOR(('Final Term'!I85/I$5)*100,1),new_transmute,2,FALSE),
VLOOKUP('Final Term'!I85,new_transmute,2,FALSE)
),
IF(Info!$B$4="Board program",
IF(OR(AND(I$5&gt;0,I$5&gt;100),AND(I$5&gt;0,I$5&lt;100)),
VLOOKUP(FLOOR(('Final Term'!I85/I$5)*100,1),new_transmute,3,FALSE),
VLOOKUP('Final Term'!I85,new_transmute,3,FALSE)
),
IF(Info!$B$4="Board program (Medicine)",
IF(OR(AND(I$5&gt;0,I$5&gt;100),AND(I$5&gt;0,I$5&lt;100)),
VLOOKUP(FLOOR(('Final Term'!I85/I$5)*100,1),new_transmute,4,FALSE),
VLOOKUP('Final Term'!I85,new_transmute,4,FALSE)
),
""
)
)
)
)
)
)
)
)
))</f>
        <v/>
      </c>
      <c r="J85" s="73" t="str">
        <f>IF($B85="","",
IF(J$5="","",
IF('Final Term'!J85="",0,
IF(NOT(ISNUMBER('Final Term'!J85)),"NAN",
IF('Final Term'!J85&lt;0,"NEG",
IF('Final Term'!J85&gt;J$5,"OVER",
IF(AND(J$5&lt;=100,'Final Term'!J85&gt;100),"ERR",
IF(Info!$B$4="Non-board program",
IF(OR(AND(J$5&gt;0,J$5&gt;100),AND(J$5&gt;0,J$5&lt;100)),
VLOOKUP(FLOOR(('Final Term'!J85/J$5)*100,1),new_transmute,2,FALSE),
VLOOKUP('Final Term'!J85,new_transmute,2,FALSE)
),
IF(Info!$B$4="Board program",
IF(OR(AND(J$5&gt;0,J$5&gt;100),AND(J$5&gt;0,J$5&lt;100)),
VLOOKUP(FLOOR(('Final Term'!J85/J$5)*100,1),new_transmute,3,FALSE),
VLOOKUP('Final Term'!J85,new_transmute,3,FALSE)
),
IF(Info!$B$4="Board program (Medicine)",
IF(OR(AND(J$5&gt;0,J$5&gt;100),AND(J$5&gt;0,J$5&lt;100)),
VLOOKUP(FLOOR(('Final Term'!J85/J$5)*100,1),new_transmute,4,FALSE),
VLOOKUP('Final Term'!J85,new_transmute,4,FALSE)
),
""
)
)
)
)
)
)
)
)
))</f>
        <v/>
      </c>
      <c r="K85" s="73" t="str">
        <f>IF($B85="","",
IF(K$5="","",
IF('Final Term'!K85="",0,
IF(NOT(ISNUMBER('Final Term'!K85)),"NAN",
IF('Final Term'!K85&lt;0,"NEG",
IF('Final Term'!K85&gt;K$5,"OVER",
IF(AND(K$5&lt;=100,'Final Term'!K85&gt;100),"ERR",
IF(Info!$B$4="Non-board program",
IF(OR(AND(K$5&gt;0,K$5&gt;100),AND(K$5&gt;0,K$5&lt;100)),
VLOOKUP(FLOOR(('Final Term'!K85/K$5)*100,1),new_transmute,2,FALSE),
VLOOKUP('Final Term'!K85,new_transmute,2,FALSE)
),
IF(Info!$B$4="Board program",
IF(OR(AND(K$5&gt;0,K$5&gt;100),AND(K$5&gt;0,K$5&lt;100)),
VLOOKUP(FLOOR(('Final Term'!K85/K$5)*100,1),new_transmute,3,FALSE),
VLOOKUP('Final Term'!K85,new_transmute,3,FALSE)
),
IF(Info!$B$4="Board program (Medicine)",
IF(OR(AND(K$5&gt;0,K$5&gt;100),AND(K$5&gt;0,K$5&lt;100)),
VLOOKUP(FLOOR(('Final Term'!K85/K$5)*100,1),new_transmute,4,FALSE),
VLOOKUP('Final Term'!K85,new_transmute,4,FALSE)
),
""
)
)
)
)
)
)
)
)
))</f>
        <v/>
      </c>
      <c r="L85" s="73" t="str">
        <f>IF($B85="","",
IF(L$5="","",
IF('Final Term'!L85="",0,
IF(NOT(ISNUMBER('Final Term'!L85)),"NAN",
IF('Final Term'!L85&lt;0,"NEG",
IF('Final Term'!L85&gt;L$5,"OVER",
IF(AND(L$5&lt;=100,'Final Term'!L85&gt;100),"ERR",
IF(Info!$B$4="Non-board program",
IF(OR(AND(L$5&gt;0,L$5&gt;100),AND(L$5&gt;0,L$5&lt;100)),
VLOOKUP(FLOOR(('Final Term'!L85/L$5)*100,1),new_transmute,2,FALSE),
VLOOKUP('Final Term'!L85,new_transmute,2,FALSE)
),
IF(Info!$B$4="Board program",
IF(OR(AND(L$5&gt;0,L$5&gt;100),AND(L$5&gt;0,L$5&lt;100)),
VLOOKUP(FLOOR(('Final Term'!L85/L$5)*100,1),new_transmute,3,FALSE),
VLOOKUP('Final Term'!L85,new_transmute,3,FALSE)
),
IF(Info!$B$4="Board program (Medicine)",
IF(OR(AND(L$5&gt;0,L$5&gt;100),AND(L$5&gt;0,L$5&lt;100)),
VLOOKUP(FLOOR(('Final Term'!L85/L$5)*100,1),new_transmute,4,FALSE),
VLOOKUP('Final Term'!L85,new_transmute,4,FALSE)
),
""
)
)
)
)
)
)
)
)
))</f>
        <v/>
      </c>
      <c r="M85" s="111" t="str">
        <f t="shared" si="12"/>
        <v/>
      </c>
      <c r="N85" s="73" t="str">
        <f>IF($B85="","",
IF(N$5="","",
IF('Final Term'!N85="",0,
IF(NOT(ISNUMBER('Final Term'!N85)),"NAN",
IF('Final Term'!N85&lt;0,"NEG",
IF('Final Term'!N85&gt;N$5,"OVER",
IF(AND(N$5&lt;=100,'Final Term'!N85&gt;100),"ERR",
IF(Info!$B$4="Non-board program",
IF(OR(AND(N$5&gt;0,N$5&gt;100),AND(N$5&gt;0,N$5&lt;100)),
VLOOKUP(FLOOR(('Final Term'!N85/N$5)*100,1),new_transmute,2,FALSE),
VLOOKUP('Final Term'!N85,new_transmute,2,FALSE)
),
IF(Info!$B$4="Board program",
IF(OR(AND(N$5&gt;0,N$5&gt;100),AND(N$5&gt;0,N$5&lt;100)),
VLOOKUP(FLOOR(('Final Term'!N85/N$5)*100,1),new_transmute,3,FALSE),
VLOOKUP('Final Term'!N85,new_transmute,3,FALSE)
),
IF(Info!$B$4="Board program (Medicine)",
IF(OR(AND(N$5&gt;0,N$5&gt;100),AND(N$5&gt;0,N$5&lt;100)),
VLOOKUP(FLOOR(('Final Term'!N85/N$5)*100,1),new_transmute,4,FALSE),
VLOOKUP('Final Term'!N85,new_transmute,4,FALSE)
),
""
)
)
)
)
)
)
)
)
))</f>
        <v/>
      </c>
      <c r="O85" s="73" t="str">
        <f>IF($B85="","",
IF(O$5="","",
IF('Final Term'!O85="",0,
IF(NOT(ISNUMBER('Final Term'!O85)),"NAN",
IF('Final Term'!O85&lt;0,"NEG",
IF('Final Term'!O85&gt;O$5,"OVER",
IF(AND(O$5&lt;=100,'Final Term'!O85&gt;100),"ERR",
IF(Info!$B$4="Non-board program",
IF(OR(AND(O$5&gt;0,O$5&gt;100),AND(O$5&gt;0,O$5&lt;100)),
VLOOKUP(FLOOR(('Final Term'!O85/O$5)*100,1),new_transmute,2,FALSE),
VLOOKUP('Final Term'!O85,new_transmute,2,FALSE)
),
IF(Info!$B$4="Board program",
IF(OR(AND(O$5&gt;0,O$5&gt;100),AND(O$5&gt;0,O$5&lt;100)),
VLOOKUP(FLOOR(('Final Term'!O85/O$5)*100,1),new_transmute,3,FALSE),
VLOOKUP('Final Term'!O85,new_transmute,3,FALSE)
),
IF(Info!$B$4="Board program (Medicine)",
IF(OR(AND(O$5&gt;0,O$5&gt;100),AND(O$5&gt;0,O$5&lt;100)),
VLOOKUP(FLOOR(('Final Term'!O85/O$5)*100,1),new_transmute,4,FALSE),
VLOOKUP('Final Term'!O85,new_transmute,4,FALSE)
),
""
)
)
)
)
)
)
)
)
))</f>
        <v/>
      </c>
      <c r="P85" s="73" t="str">
        <f>IF($B85="","",
IF(P$5="","",
IF('Final Term'!P85="",0,
IF(NOT(ISNUMBER('Final Term'!P85)),"NAN",
IF('Final Term'!P85&lt;0,"NEG",
IF('Final Term'!P85&gt;P$5,"OVER",
IF(AND(P$5&lt;=100,'Final Term'!P85&gt;100),"ERR",
IF(Info!$B$4="Non-board program",
IF(OR(AND(P$5&gt;0,P$5&gt;100),AND(P$5&gt;0,P$5&lt;100)),
VLOOKUP(FLOOR(('Final Term'!P85/P$5)*100,1),new_transmute,2,FALSE),
VLOOKUP('Final Term'!P85,new_transmute,2,FALSE)
),
IF(Info!$B$4="Board program",
IF(OR(AND(P$5&gt;0,P$5&gt;100),AND(P$5&gt;0,P$5&lt;100)),
VLOOKUP(FLOOR(('Final Term'!P85/P$5)*100,1),new_transmute,3,FALSE),
VLOOKUP('Final Term'!P85,new_transmute,3,FALSE)
),
IF(Info!$B$4="Board program (Medicine)",
IF(OR(AND(P$5&gt;0,P$5&gt;100),AND(P$5&gt;0,P$5&lt;100)),
VLOOKUP(FLOOR(('Final Term'!P85/P$5)*100,1),new_transmute,4,FALSE),
VLOOKUP('Final Term'!P85,new_transmute,4,FALSE)
),
""
)
)
)
)
)
)
)
)
))</f>
        <v/>
      </c>
      <c r="Q85" s="73" t="str">
        <f>IF($B85="","",
IF(Q$5="","",
IF('Final Term'!Q85="",0,
IF(NOT(ISNUMBER('Final Term'!Q85)),"NAN",
IF('Final Term'!Q85&lt;0,"NEG",
IF('Final Term'!Q85&gt;Q$5,"OVER",
IF(AND(Q$5&lt;=100,'Final Term'!Q85&gt;100),"ERR",
IF(Info!$B$4="Non-board program",
IF(OR(AND(Q$5&gt;0,Q$5&gt;100),AND(Q$5&gt;0,Q$5&lt;100)),
VLOOKUP(FLOOR(('Final Term'!Q85/Q$5)*100,1),new_transmute,2,FALSE),
VLOOKUP('Final Term'!Q85,new_transmute,2,FALSE)
),
IF(Info!$B$4="Board program",
IF(OR(AND(Q$5&gt;0,Q$5&gt;100),AND(Q$5&gt;0,Q$5&lt;100)),
VLOOKUP(FLOOR(('Final Term'!Q85/Q$5)*100,1),new_transmute,3,FALSE),
VLOOKUP('Final Term'!Q85,new_transmute,3,FALSE)
),
IF(Info!$B$4="Board program (Medicine)",
IF(OR(AND(Q$5&gt;0,Q$5&gt;100),AND(Q$5&gt;0,Q$5&lt;100)),
VLOOKUP(FLOOR(('Final Term'!Q85/Q$5)*100,1),new_transmute,4,FALSE),
VLOOKUP('Final Term'!Q85,new_transmute,4,FALSE)
),
""
)
)
)
)
)
)
)
)
))</f>
        <v/>
      </c>
      <c r="R85" s="73" t="str">
        <f>IF($B85="","",
IF(R$5="","",
IF('Final Term'!R85="",0,
IF(NOT(ISNUMBER('Final Term'!R85)),"NAN",
IF('Final Term'!R85&lt;0,"NEG",
IF('Final Term'!R85&gt;R$5,"OVER",
IF(AND(R$5&lt;=100,'Final Term'!R85&gt;100),"ERR",
IF(Info!$B$4="Non-board program",
IF(OR(AND(R$5&gt;0,R$5&gt;100),AND(R$5&gt;0,R$5&lt;100)),
VLOOKUP(FLOOR(('Final Term'!R85/R$5)*100,1),new_transmute,2,FALSE),
VLOOKUP('Final Term'!R85,new_transmute,2,FALSE)
),
IF(Info!$B$4="Board program",
IF(OR(AND(R$5&gt;0,R$5&gt;100),AND(R$5&gt;0,R$5&lt;100)),
VLOOKUP(FLOOR(('Final Term'!R85/R$5)*100,1),new_transmute,3,FALSE),
VLOOKUP('Final Term'!R85,new_transmute,3,FALSE)
),
IF(Info!$B$4="Board program (Medicine)",
IF(OR(AND(R$5&gt;0,R$5&gt;100),AND(R$5&gt;0,R$5&lt;100)),
VLOOKUP(FLOOR(('Final Term'!R85/R$5)*100,1),new_transmute,4,FALSE),
VLOOKUP('Final Term'!R85,new_transmute,4,FALSE)
),
""
)
)
)
)
)
)
)
)
))</f>
        <v/>
      </c>
      <c r="S85" s="115" t="str">
        <f t="shared" si="13"/>
        <v/>
      </c>
      <c r="T85" s="73" t="str">
        <f>IF($B85="","",
IF(T$5="","",
IF('Final Term'!T85="",0,
IF(NOT(ISNUMBER('Final Term'!T85)),"NAN",
IF('Final Term'!T85&lt;0,"NEG",
IF('Final Term'!T85&gt;T$5,"OVER",
IF(AND(T$5&lt;=100,'Final Term'!T85&gt;100),"ERR",
IF(Info!$B$4="Non-board program",
IF(OR(AND(T$5&gt;0,T$5&gt;100),AND(T$5&gt;0,T$5&lt;100)),
VLOOKUP(FLOOR(('Final Term'!T85/T$5)*100,1),new_transmute,2,FALSE),
VLOOKUP('Final Term'!T85,new_transmute,2,FALSE)
),
IF(Info!$B$4="Board program",
IF(OR(AND(T$5&gt;0,T$5&gt;100),AND(T$5&gt;0,T$5&lt;100)),
VLOOKUP(FLOOR(('Final Term'!T85/T$5)*100,1),new_transmute,3,FALSE),
VLOOKUP('Final Term'!T85,new_transmute,3,FALSE)
),
IF(Info!$B$4="Board program (Medicine)",
IF(OR(AND(T$5&gt;0,T$5&gt;100),AND(T$5&gt;0,T$5&lt;100)),
VLOOKUP(FLOOR(('Final Term'!T85/T$5)*100,1),new_transmute,4,FALSE),
VLOOKUP('Final Term'!T85,new_transmute,4,FALSE)
),
""
)
)
)
)
)
)
)
)
))</f>
        <v/>
      </c>
      <c r="U85" s="73" t="str">
        <f>IF($B85="","",
IF(U$5="","",
IF('Final Term'!U85="",0,
IF(NOT(ISNUMBER('Final Term'!U85)),"NAN",
IF('Final Term'!U85&lt;0,"NEG",
IF('Final Term'!U85&gt;U$5,"OVER",
IF(AND(U$5&lt;=100,'Final Term'!U85&gt;100),"ERR",
IF(Info!$B$4="Non-board program",
IF(OR(AND(U$5&gt;0,U$5&gt;100),AND(U$5&gt;0,U$5&lt;100)),
VLOOKUP(FLOOR(('Final Term'!U85/U$5)*100,1),new_transmute,2,FALSE),
VLOOKUP('Final Term'!U85,new_transmute,2,FALSE)
),
IF(Info!$B$4="Board program",
IF(OR(AND(U$5&gt;0,U$5&gt;100),AND(U$5&gt;0,U$5&lt;100)),
VLOOKUP(FLOOR(('Final Term'!U85/U$5)*100,1),new_transmute,3,FALSE),
VLOOKUP('Final Term'!U85,new_transmute,3,FALSE)
),
IF(Info!$B$4="Board program (Medicine)",
IF(OR(AND(U$5&gt;0,U$5&gt;100),AND(U$5&gt;0,U$5&lt;100)),
VLOOKUP(FLOOR(('Final Term'!U85/U$5)*100,1),new_transmute,4,FALSE),
VLOOKUP('Final Term'!U85,new_transmute,4,FALSE)
),
""
)
)
)
)
)
)
)
)
))</f>
        <v/>
      </c>
      <c r="V85" s="73" t="str">
        <f>IF($B85="","",
IF(V$5="","",
IF('Final Term'!V85="",0,
IF(NOT(ISNUMBER('Final Term'!V85)),"NAN",
IF('Final Term'!V85&lt;0,"NEG",
IF('Final Term'!V85&gt;V$5,"OVER",
IF(AND(V$5&lt;=100,'Final Term'!V85&gt;100),"ERR",
IF(Info!$B$4="Non-board program",
IF(OR(AND(V$5&gt;0,V$5&gt;100),AND(V$5&gt;0,V$5&lt;100)),
VLOOKUP(FLOOR(('Final Term'!V85/V$5)*100,1),new_transmute,2,FALSE),
VLOOKUP('Final Term'!V85,new_transmute,2,FALSE)
),
IF(Info!$B$4="Board program",
IF(OR(AND(V$5&gt;0,V$5&gt;100),AND(V$5&gt;0,V$5&lt;100)),
VLOOKUP(FLOOR(('Final Term'!V85/V$5)*100,1),new_transmute,3,FALSE),
VLOOKUP('Final Term'!V85,new_transmute,3,FALSE)
),
IF(Info!$B$4="Board program (Medicine)",
IF(OR(AND(V$5&gt;0,V$5&gt;100),AND(V$5&gt;0,V$5&lt;100)),
VLOOKUP(FLOOR(('Final Term'!V85/V$5)*100,1),new_transmute,4,FALSE),
VLOOKUP('Final Term'!V85,new_transmute,4,FALSE)
),
""
)
)
)
)
)
)
)
)
))</f>
        <v/>
      </c>
      <c r="W85" s="73" t="str">
        <f>IF($B85="","",
IF(W$5="","",
IF('Final Term'!W85="",0,
IF(NOT(ISNUMBER('Final Term'!W85)),"NAN",
IF('Final Term'!W85&lt;0,"NEG",
IF('Final Term'!W85&gt;W$5,"OVER",
IF(AND(W$5&lt;=100,'Final Term'!W85&gt;100),"ERR",
IF(Info!$B$4="Non-board program",
IF(OR(AND(W$5&gt;0,W$5&gt;100),AND(W$5&gt;0,W$5&lt;100)),
VLOOKUP(FLOOR(('Final Term'!W85/W$5)*100,1),new_transmute,2,FALSE),
VLOOKUP('Final Term'!W85,new_transmute,2,FALSE)
),
IF(Info!$B$4="Board program",
IF(OR(AND(W$5&gt;0,W$5&gt;100),AND(W$5&gt;0,W$5&lt;100)),
VLOOKUP(FLOOR(('Final Term'!W85/W$5)*100,1),new_transmute,3,FALSE),
VLOOKUP('Final Term'!W85,new_transmute,3,FALSE)
),
IF(Info!$B$4="Board program (Medicine)",
IF(OR(AND(W$5&gt;0,W$5&gt;100),AND(W$5&gt;0,W$5&lt;100)),
VLOOKUP(FLOOR(('Final Term'!W85/W$5)*100,1),new_transmute,4,FALSE),
VLOOKUP('Final Term'!W85,new_transmute,4,FALSE)
),
""
)
)
)
)
)
)
)
)
))</f>
        <v/>
      </c>
      <c r="X85" s="73" t="str">
        <f>IF($B85="","",
IF(X$5="","",
IF('Final Term'!X85="",0,
IF(NOT(ISNUMBER('Final Term'!X85)),"NAN",
IF('Final Term'!X85&lt;0,"NEG",
IF('Final Term'!X85&gt;X$5,"OVER",
IF(AND(X$5&lt;=100,'Final Term'!X85&gt;100),"ERR",
IF(Info!$B$4="Non-board program",
IF(OR(AND(X$5&gt;0,X$5&gt;100),AND(X$5&gt;0,X$5&lt;100)),
VLOOKUP(FLOOR(('Final Term'!X85/X$5)*100,1),new_transmute,2,FALSE),
VLOOKUP('Final Term'!X85,new_transmute,2,FALSE)
),
IF(Info!$B$4="Board program",
IF(OR(AND(X$5&gt;0,X$5&gt;100),AND(X$5&gt;0,X$5&lt;100)),
VLOOKUP(FLOOR(('Final Term'!X85/X$5)*100,1),new_transmute,3,FALSE),
VLOOKUP('Final Term'!X85,new_transmute,3,FALSE)
),
IF(Info!$B$4="Board program (Medicine)",
IF(OR(AND(X$5&gt;0,X$5&gt;100),AND(X$5&gt;0,X$5&lt;100)),
VLOOKUP(FLOOR(('Final Term'!X85/X$5)*100,1),new_transmute,4,FALSE),
VLOOKUP('Final Term'!X85,new_transmute,4,FALSE)
),
""
)
)
)
)
)
)
)
)
))</f>
        <v/>
      </c>
      <c r="Y85" s="112" t="str">
        <f t="shared" si="14"/>
        <v/>
      </c>
      <c r="Z85" s="73" t="str">
        <f>IF($B85="","",
IF(Z$5="","",
IF('Final Term'!Z85="",0,
IF(NOT(ISNUMBER('Final Term'!Z85)),"NAN",
IF('Final Term'!Z85&lt;0,"NEG",
IF('Final Term'!Z85&gt;Z$5,"OVER",
IF(AND(Z$5&lt;=100,'Final Term'!Z85&gt;100),"ERR",
IF(Info!$B$4="Non-board program",
IF(OR(AND(Z$5&gt;0,Z$5&gt;100),AND(Z$5&gt;0,Z$5&lt;100)),
VLOOKUP(FLOOR(('Final Term'!Z85/Z$5)*100,1),new_transmute,2,FALSE),
VLOOKUP('Final Term'!Z85,new_transmute,2,FALSE)
),
IF(Info!$B$4="Board program",
IF(OR(AND(Z$5&gt;0,Z$5&gt;100),AND(Z$5&gt;0,Z$5&lt;100)),
VLOOKUP(FLOOR(('Final Term'!Z85/Z$5)*100,1),new_transmute,3,FALSE),
VLOOKUP('Final Term'!Z85,new_transmute,3,FALSE)
),
IF(Info!$B$4="Board program (Medicine)",
IF(OR(AND(Z$5&gt;0,Z$5&gt;100),AND(Z$5&gt;0,Z$5&lt;100)),
VLOOKUP(FLOOR(('Final Term'!Z85/Z$5)*100,1),new_transmute,4,FALSE),
VLOOKUP('Final Term'!Z85,new_transmute,4,FALSE)
),
""
)
)
)
)
)
)
)
)
))</f>
        <v/>
      </c>
      <c r="AA85" s="73" t="str">
        <f>IF($B85="","",
IF(AA$5="","",
IF('Final Term'!AA85="",0,
IF(NOT(ISNUMBER('Final Term'!AA85)),"NAN",
IF('Final Term'!AA85&lt;0,"NEG",
IF('Final Term'!AA85&gt;AA$5,"OVER",
IF(AND(AA$5&lt;=100,'Final Term'!AA85&gt;100),"ERR",
IF(Info!$B$4="Non-board program",
IF(OR(AND(AA$5&gt;0,AA$5&gt;100),AND(AA$5&gt;0,AA$5&lt;100)),
VLOOKUP(FLOOR(('Final Term'!AA85/AA$5)*100,1),new_transmute,2,FALSE),
VLOOKUP('Final Term'!AA85,new_transmute,2,FALSE)
),
IF(Info!$B$4="Board program",
IF(OR(AND(AA$5&gt;0,AA$5&gt;100),AND(AA$5&gt;0,AA$5&lt;100)),
VLOOKUP(FLOOR(('Final Term'!AA85/AA$5)*100,1),new_transmute,3,FALSE),
VLOOKUP('Final Term'!AA85,new_transmute,3,FALSE)
),
IF(Info!$B$4="Board program (Medicine)",
IF(OR(AND(AA$5&gt;0,AA$5&gt;100),AND(AA$5&gt;0,AA$5&lt;100)),
VLOOKUP(FLOOR(('Final Term'!AA85/AA$5)*100,1),new_transmute,4,FALSE),
VLOOKUP('Final Term'!AA85,new_transmute,4,FALSE)
),
""
)
)
)
)
)
)
)
)
))</f>
        <v/>
      </c>
      <c r="AB85" s="73" t="str">
        <f>IF($B85="","",
IF(AB$5="","",
IF('Final Term'!AB85="",0,
IF(NOT(ISNUMBER('Final Term'!AB85)),"NAN",
IF('Final Term'!AB85&lt;0,"NEG",
IF('Final Term'!AB85&gt;AB$5,"OVER",
IF(AND(AB$5&lt;=100,'Final Term'!AB85&gt;100),"ERR",
IF(Info!$B$4="Non-board program",
IF(OR(AND(AB$5&gt;0,AB$5&gt;100),AND(AB$5&gt;0,AB$5&lt;100)),
VLOOKUP(FLOOR(('Final Term'!AB85/AB$5)*100,1),new_transmute,2,FALSE),
VLOOKUP('Final Term'!AB85,new_transmute,2,FALSE)
),
IF(Info!$B$4="Board program",
IF(OR(AND(AB$5&gt;0,AB$5&gt;100),AND(AB$5&gt;0,AB$5&lt;100)),
VLOOKUP(FLOOR(('Final Term'!AB85/AB$5)*100,1),new_transmute,3,FALSE),
VLOOKUP('Final Term'!AB85,new_transmute,3,FALSE)
),
IF(Info!$B$4="Board program (Medicine)",
IF(OR(AND(AB$5&gt;0,AB$5&gt;100),AND(AB$5&gt;0,AB$5&lt;100)),
VLOOKUP(FLOOR(('Final Term'!AB85/AB$5)*100,1),new_transmute,4,FALSE),
VLOOKUP('Final Term'!AB85,new_transmute,4,FALSE)
),
""
)
)
)
)
)
)
)
)
))</f>
        <v/>
      </c>
      <c r="AC85" s="73" t="str">
        <f>IF($B85="","",
IF(AC$5="","",
IF('Final Term'!AC85="",0,
IF(NOT(ISNUMBER('Final Term'!AC85)),"NAN",
IF('Final Term'!AC85&lt;0,"NEG",
IF('Final Term'!AC85&gt;AC$5,"OVER",
IF(AND(AC$5&lt;=100,'Final Term'!AC85&gt;100),"ERR",
IF(Info!$B$4="Non-board program",
IF(OR(AND(AC$5&gt;0,AC$5&gt;100),AND(AC$5&gt;0,AC$5&lt;100)),
VLOOKUP(FLOOR(('Final Term'!AC85/AC$5)*100,1),new_transmute,2,FALSE),
VLOOKUP('Final Term'!AC85,new_transmute,2,FALSE)
),
IF(Info!$B$4="Board program",
IF(OR(AND(AC$5&gt;0,AC$5&gt;100),AND(AC$5&gt;0,AC$5&lt;100)),
VLOOKUP(FLOOR(('Final Term'!AC85/AC$5)*100,1),new_transmute,3,FALSE),
VLOOKUP('Final Term'!AC85,new_transmute,3,FALSE)
),
IF(Info!$B$4="Board program (Medicine)",
IF(OR(AND(AC$5&gt;0,AC$5&gt;100),AND(AC$5&gt;0,AC$5&lt;100)),
VLOOKUP(FLOOR(('Final Term'!AC85/AC$5)*100,1),new_transmute,4,FALSE),
VLOOKUP('Final Term'!AC85,new_transmute,4,FALSE)
),
""
)
)
)
)
)
)
)
)
))</f>
        <v/>
      </c>
      <c r="AD85" s="73" t="str">
        <f>IF($B85="","",
IF(AD$5="","",
IF('Final Term'!AD85="",0,
IF(NOT(ISNUMBER('Final Term'!AD85)),"NAN",
IF('Final Term'!AD85&lt;0,"NEG",
IF('Final Term'!AD85&gt;AD$5,"OVER",
IF(AND(AD$5&lt;=100,'Final Term'!AD85&gt;100),"ERR",
IF(Info!$B$4="Non-board program",
IF(OR(AND(AD$5&gt;0,AD$5&gt;100),AND(AD$5&gt;0,AD$5&lt;100)),
VLOOKUP(FLOOR(('Final Term'!AD85/AD$5)*100,1),new_transmute,2,FALSE),
VLOOKUP('Final Term'!AD85,new_transmute,2,FALSE)
),
IF(Info!$B$4="Board program",
IF(OR(AND(AD$5&gt;0,AD$5&gt;100),AND(AD$5&gt;0,AD$5&lt;100)),
VLOOKUP(FLOOR(('Final Term'!AD85/AD$5)*100,1),new_transmute,3,FALSE),
VLOOKUP('Final Term'!AD85,new_transmute,3,FALSE)
),
IF(Info!$B$4="Board program (Medicine)",
IF(OR(AND(AD$5&gt;0,AD$5&gt;100),AND(AD$5&gt;0,AD$5&lt;100)),
VLOOKUP(FLOOR(('Final Term'!AD85/AD$5)*100,1),new_transmute,4,FALSE),
VLOOKUP('Final Term'!AD85,new_transmute,4,FALSE)
),
""
)
)
)
)
)
)
)
)
))</f>
        <v/>
      </c>
      <c r="AE85" s="58" t="str">
        <f t="shared" si="15"/>
        <v/>
      </c>
      <c r="AF85" s="73" t="str">
        <f>IF($B85="","",
IF(AF$5="","",
IF('Final Term'!AF85="",0,
IF(NOT(ISNUMBER('Final Term'!AF85)),"NAN",
IF('Final Term'!AF85&lt;0,"NEG",
IF('Final Term'!AF85&gt;AF$5,"OVER",
IF(AND(AF$5&lt;=100,'Final Term'!AF85&gt;100),"ERR",
IF(Info!$B$4="Non-board program",
IF(OR(AND(AF$5&gt;0,AF$5&gt;100),AND(AF$5&gt;0,AF$5&lt;100)),
VLOOKUP(FLOOR(('Final Term'!AF85/AF$5)*100,1),new_transmute,2,FALSE),
VLOOKUP('Final Term'!AF85,new_transmute,2,FALSE)
),
IF(Info!$B$4="Board program",
IF(OR(AND(AF$5&gt;0,AF$5&gt;100),AND(AF$5&gt;0,AF$5&lt;100)),
VLOOKUP(FLOOR(('Final Term'!AF85/AF$5)*100,1),new_transmute,3,FALSE),
VLOOKUP('Final Term'!AF85,new_transmute,3,FALSE)
),
IF(Info!$B$4="Board program (Medicine)",
IF(OR(AND(AF$5&gt;0,AF$5&gt;100),AND(AF$5&gt;0,AF$5&lt;100)),
VLOOKUP(FLOOR(('Final Term'!AF85/AF$5)*100,1),new_transmute,4,FALSE),
VLOOKUP('Final Term'!AF85,new_transmute,4,FALSE)
),
""
)
)
)
)
)
)
)
)
))</f>
        <v/>
      </c>
      <c r="AG85" s="73" t="str">
        <f>IF($B85="","",
IF(AG$5="","",
IF('Final Term'!AG85="",0,
IF(NOT(ISNUMBER('Final Term'!AG85)),"NAN",
IF('Final Term'!AG85&lt;0,"NEG",
IF('Final Term'!AG85&gt;AG$5,"OVER",
IF(AND(AG$5&lt;=100,'Final Term'!AG85&gt;100),"ERR",
IF(Info!$B$4="Non-board program",
IF(OR(AND(AG$5&gt;0,AG$5&gt;100),AND(AG$5&gt;0,AG$5&lt;100)),
VLOOKUP(FLOOR(('Final Term'!AG85/AG$5)*100,1),new_transmute,2,FALSE),
VLOOKUP('Final Term'!AG85,new_transmute,2,FALSE)
),
IF(Info!$B$4="Board program",
IF(OR(AND(AG$5&gt;0,AG$5&gt;100),AND(AG$5&gt;0,AG$5&lt;100)),
VLOOKUP(FLOOR(('Final Term'!AG85/AG$5)*100,1),new_transmute,3,FALSE),
VLOOKUP('Final Term'!AG85,new_transmute,3,FALSE)
),
IF(Info!$B$4="Board program (Medicine)",
IF(OR(AND(AG$5&gt;0,AG$5&gt;100),AND(AG$5&gt;0,AG$5&lt;100)),
VLOOKUP(FLOOR(('Final Term'!AG85/AG$5)*100,1),new_transmute,4,FALSE),
VLOOKUP('Final Term'!AG85,new_transmute,4,FALSE)
),
""
)
)
)
)
)
)
)
)
))</f>
        <v/>
      </c>
      <c r="AH85" s="73" t="str">
        <f>IF($B85="","",
IF(AH$5="","",
IF('Final Term'!AH85="",0,
IF(NOT(ISNUMBER('Final Term'!AH85)),"NAN",
IF('Final Term'!AH85&lt;0,"NEG",
IF('Final Term'!AH85&gt;AH$5,"OVER",
IF(AND(AH$5&lt;=100,'Final Term'!AH85&gt;100),"ERR",
IF(Info!$B$4="Non-board program",
IF(OR(AND(AH$5&gt;0,AH$5&gt;100),AND(AH$5&gt;0,AH$5&lt;100)),
VLOOKUP(FLOOR(('Final Term'!AH85/AH$5)*100,1),new_transmute,2,FALSE),
VLOOKUP('Final Term'!AH85,new_transmute,2,FALSE)
),
IF(Info!$B$4="Board program",
IF(OR(AND(AH$5&gt;0,AH$5&gt;100),AND(AH$5&gt;0,AH$5&lt;100)),
VLOOKUP(FLOOR(('Final Term'!AH85/AH$5)*100,1),new_transmute,3,FALSE),
VLOOKUP('Final Term'!AH85,new_transmute,3,FALSE)
),
IF(Info!$B$4="Board program (Medicine)",
IF(OR(AND(AH$5&gt;0,AH$5&gt;100),AND(AH$5&gt;0,AH$5&lt;100)),
VLOOKUP(FLOOR(('Final Term'!AH85/AH$5)*100,1),new_transmute,4,FALSE),
VLOOKUP('Final Term'!AH85,new_transmute,4,FALSE)
),
""
)
)
)
)
)
)
)
)
))</f>
        <v/>
      </c>
      <c r="AI85" s="73" t="str">
        <f>IF($B85="","",
IF(AI$5="","",
IF('Final Term'!AI85="",0,
IF(NOT(ISNUMBER('Final Term'!AI85)),"NAN",
IF('Final Term'!AI85&lt;0,"NEG",
IF('Final Term'!AI85&gt;AI$5,"OVER",
IF(AND(AI$5&lt;=100,'Final Term'!AI85&gt;100),"ERR",
IF(Info!$B$4="Non-board program",
IF(OR(AND(AI$5&gt;0,AI$5&gt;100),AND(AI$5&gt;0,AI$5&lt;100)),
VLOOKUP(FLOOR(('Final Term'!AI85/AI$5)*100,1),new_transmute,2,FALSE),
VLOOKUP('Final Term'!AI85,new_transmute,2,FALSE)
),
IF(Info!$B$4="Board program",
IF(OR(AND(AI$5&gt;0,AI$5&gt;100),AND(AI$5&gt;0,AI$5&lt;100)),
VLOOKUP(FLOOR(('Final Term'!AI85/AI$5)*100,1),new_transmute,3,FALSE),
VLOOKUP('Final Term'!AI85,new_transmute,3,FALSE)
),
IF(Info!$B$4="Board program (Medicine)",
IF(OR(AND(AI$5&gt;0,AI$5&gt;100),AND(AI$5&gt;0,AI$5&lt;100)),
VLOOKUP(FLOOR(('Final Term'!AI85/AI$5)*100,1),new_transmute,4,FALSE),
VLOOKUP('Final Term'!AI85,new_transmute,4,FALSE)
),
""
)
)
)
)
)
)
)
)
))</f>
        <v/>
      </c>
      <c r="AJ85" s="73" t="str">
        <f>IF($B85="","",
IF(AJ$5="","",
IF('Final Term'!AJ85="",0,
IF(NOT(ISNUMBER('Final Term'!AJ85)),"NAN",
IF('Final Term'!AJ85&lt;0,"NEG",
IF('Final Term'!AJ85&gt;AJ$5,"OVER",
IF(AND(AJ$5&lt;=100,'Final Term'!AJ85&gt;100),"ERR",
IF(Info!$B$4="Non-board program",
IF(OR(AND(AJ$5&gt;0,AJ$5&gt;100),AND(AJ$5&gt;0,AJ$5&lt;100)),
VLOOKUP(FLOOR(('Final Term'!AJ85/AJ$5)*100,1),new_transmute,2,FALSE),
VLOOKUP('Final Term'!AJ85,new_transmute,2,FALSE)
),
IF(Info!$B$4="Board program",
IF(OR(AND(AJ$5&gt;0,AJ$5&gt;100),AND(AJ$5&gt;0,AJ$5&lt;100)),
VLOOKUP(FLOOR(('Final Term'!AJ85/AJ$5)*100,1),new_transmute,3,FALSE),
VLOOKUP('Final Term'!AJ85,new_transmute,3,FALSE)
),
IF(Info!$B$4="Board program (Medicine)",
IF(OR(AND(AJ$5&gt;0,AJ$5&gt;100),AND(AJ$5&gt;0,AJ$5&lt;100)),
VLOOKUP(FLOOR(('Final Term'!AJ85/AJ$5)*100,1),new_transmute,4,FALSE),
VLOOKUP('Final Term'!AJ85,new_transmute,4,FALSE)
),
""
)
)
)
)
)
)
)
)
))</f>
        <v/>
      </c>
      <c r="AK85" s="59" t="str">
        <f t="shared" si="16"/>
        <v/>
      </c>
      <c r="AL85" s="60" t="str">
        <f>IF(B85="", "",
    IF(OR(M85="OVER", S85="OVER", Y85="OVER", AE85="OVER", AK85="OVER"),
        "OVER",
        IF(Info!$B$4="Non-board program",
            VLOOKUP(IFERROR(FLOOR(SUM((M85*$M$4), (S85*$S$4), (Y85*$Y$4), (AE85*$AE$4), (AK85*$AK$4)) * (100 / 60), 1), 0), new_transmute, 2, FALSE),
            IF(Info!$B$4="Board program",
                VLOOKUP(IFERROR(FLOOR(SUM((M85*$M$4), (S85*$S$4), (Y85*$Y$4), (AE85*$AE$4), (AK85*$AK$4)) * (100 / 60), 1), 0), new_transmute, 3, FALSE),
                IF(Info!$B$4="Board program (Medicine)",
                    VLOOKUP(IFERROR(FLOOR(SUM((M85*$M$4), (S85*$S$4), (Y85*$Y$4), (AE85*$AE$4), (AK85*$AK$4)) * (100 / 60), 1), 0), new_transmute, 4, FALSE),
                    ""
                )
            )
        )
    )
)</f>
        <v/>
      </c>
      <c r="AM85" s="73" t="str">
        <f>IF($B85="","",
IF(AM$5="","",
IF('Final Term'!AM85="",0,
IF(NOT(ISNUMBER('Final Term'!AM85)),"NAN",
IF('Final Term'!AM85&lt;0,"NEG",
IF('Final Term'!AM85&gt;AM$5,"OVER",
IF(AND(AM$5&lt;=100,'Final Term'!AM85&gt;100),"ERR",
IF(Info!$B$4="Non-board program",
IF(OR(AND(AM$5&gt;0,AM$5&gt;100),AND(AM$5&gt;0,AM$5&lt;100)),
VLOOKUP(FLOOR(('Final Term'!AM85/AM$5)*100,1),new_transmute,2,FALSE),
VLOOKUP('Final Term'!AM85,new_transmute,2,FALSE)
),
IF(Info!$B$4="Board program",
IF(OR(AND(AM$5&gt;0,AM$5&gt;100),AND(AM$5&gt;0,AM$5&lt;100)),
VLOOKUP(FLOOR(('Final Term'!AM85/AM$5)*100,1),new_transmute,3,FALSE),
VLOOKUP('Final Term'!AM85,new_transmute,3,FALSE)
),
IF(Info!$B$4="Board program (Medicine)",
IF(OR(AND(AM$5&gt;0,AM$5&gt;100),AND(AM$5&gt;0,AM$5&lt;100)),
VLOOKUP(FLOOR(('Final Term'!AM85/AM$5)*100,1),new_transmute,4,FALSE),
VLOOKUP('Final Term'!AM85,new_transmute,4,FALSE)
),
""
)
)
)
)
)
)
)
)
))</f>
        <v/>
      </c>
      <c r="AN85" s="73" t="str">
        <f>IF($B85="","",
IF(AN$5="","",
IF('Final Term'!AN85="",0,
IF(NOT(ISNUMBER('Final Term'!AN85)),"NAN",
IF('Final Term'!AN85&lt;0,"NEG",
IF('Final Term'!AN85&gt;AN$5,"OVER",
IF(AND(AN$5&lt;=100,'Final Term'!AN85&gt;100),"ERR",
IF(Info!$B$4="Non-board program",
IF(OR(AND(AN$5&gt;0,AN$5&gt;100),AND(AN$5&gt;0,AN$5&lt;100)),
VLOOKUP(FLOOR(('Final Term'!AN85/AN$5)*100,1),new_transmute,2,FALSE),
VLOOKUP('Final Term'!AN85,new_transmute,2,FALSE)
),
IF(Info!$B$4="Board program",
IF(OR(AND(AN$5&gt;0,AN$5&gt;100),AND(AN$5&gt;0,AN$5&lt;100)),
VLOOKUP(FLOOR(('Final Term'!AN85/AN$5)*100,1),new_transmute,3,FALSE),
VLOOKUP('Final Term'!AN85,new_transmute,3,FALSE)
),
IF(Info!$B$4="Board program (Medicine)",
IF(OR(AND(AN$5&gt;0,AN$5&gt;100),AND(AN$5&gt;0,AN$5&lt;100)),
VLOOKUP(FLOOR(('Final Term'!AN85/AN$5)*100,1),new_transmute,4,FALSE),
VLOOKUP('Final Term'!AN85,new_transmute,4,FALSE)
),
""
)
)
)
)
)
)
)
)
))</f>
        <v/>
      </c>
      <c r="AO85" s="73" t="str">
        <f>IF($B85="","",
IF(AO$5="","",
IF('Final Term'!AO85="",0,
IF(NOT(ISNUMBER('Final Term'!AO85)),"NAN",
IF('Final Term'!AO85&lt;0,"NEG",
IF('Final Term'!AO85&gt;AO$5,"OVER",
IF(AND(AO$5&lt;=100,'Final Term'!AO85&gt;100),"ERR",
IF(Info!$B$4="Non-board program",
IF(OR(AND(AO$5&gt;0,AO$5&gt;100),AND(AO$5&gt;0,AO$5&lt;100)),
VLOOKUP(FLOOR(('Final Term'!AO85/AO$5)*100,1),new_transmute,2,FALSE),
VLOOKUP('Final Term'!AO85,new_transmute,2,FALSE)
),
IF(Info!$B$4="Board program",
IF(OR(AND(AO$5&gt;0,AO$5&gt;100),AND(AO$5&gt;0,AO$5&lt;100)),
VLOOKUP(FLOOR(('Final Term'!AO85/AO$5)*100,1),new_transmute,3,FALSE),
VLOOKUP('Final Term'!AO85,new_transmute,3,FALSE)
),
IF(Info!$B$4="Board program (Medicine)",
IF(OR(AND(AO$5&gt;0,AO$5&gt;100),AND(AO$5&gt;0,AO$5&lt;100)),
VLOOKUP(FLOOR(('Final Term'!AO85/AO$5)*100,1),new_transmute,4,FALSE),
VLOOKUP('Final Term'!AO85,new_transmute,4,FALSE)
),
""
)
)
)
)
)
)
)
)
))</f>
        <v/>
      </c>
      <c r="AP85" s="73" t="str">
        <f>IF($B85="","",
IF(AP$5="","",
IF('Final Term'!AP85="",0,
IF(NOT(ISNUMBER('Final Term'!AP85)),"NAN",
IF('Final Term'!AP85&lt;0,"NEG",
IF('Final Term'!AP85&gt;AP$5,"OVER",
IF(AND(AP$5&lt;=100,'Final Term'!AP85&gt;100),"ERR",
IF(Info!$B$4="Non-board program",
IF(OR(AND(AP$5&gt;0,AP$5&gt;100),AND(AP$5&gt;0,AP$5&lt;100)),
VLOOKUP(FLOOR(('Final Term'!AP85/AP$5)*100,1),new_transmute,2,FALSE),
VLOOKUP('Final Term'!AP85,new_transmute,2,FALSE)
),
IF(Info!$B$4="Board program",
IF(OR(AND(AP$5&gt;0,AP$5&gt;100),AND(AP$5&gt;0,AP$5&lt;100)),
VLOOKUP(FLOOR(('Final Term'!AP85/AP$5)*100,1),new_transmute,3,FALSE),
VLOOKUP('Final Term'!AP85,new_transmute,3,FALSE)
),
IF(Info!$B$4="Board program (Medicine)",
IF(OR(AND(AP$5&gt;0,AP$5&gt;100),AND(AP$5&gt;0,AP$5&lt;100)),
VLOOKUP(FLOOR(('Final Term'!AP85/AP$5)*100,1),new_transmute,4,FALSE),
VLOOKUP('Final Term'!AP85,new_transmute,4,FALSE)
),
""
)
)
)
)
)
)
)
)
))</f>
        <v/>
      </c>
      <c r="AQ85" s="61" t="str">
        <f t="shared" si="17"/>
        <v/>
      </c>
      <c r="AR85" s="48" t="str">
        <f>IF('Final Term'!AR85="","",'Final Term'!AR85)</f>
        <v/>
      </c>
      <c r="AS85" s="165" t="str">
        <f t="shared" si="18"/>
        <v/>
      </c>
      <c r="AT85" s="14" t="str">
        <f t="shared" si="19"/>
        <v/>
      </c>
      <c r="AU85" s="13" t="str">
        <f>IF(B85="","",VLOOKUP(AT85,'New Grade Equivalent'!$B$3:$C$47,2,FALSE))</f>
        <v/>
      </c>
    </row>
    <row r="86" spans="1:47" x14ac:dyDescent="0.25">
      <c r="A86" s="8">
        <v>81</v>
      </c>
      <c r="B86" s="2" t="str">
        <f>IF('Student List'!C90="","",UPPER(LEFT('Student List'!C90,FIND(",",'Student List'!C90)-1)))</f>
        <v/>
      </c>
      <c r="C86" s="12" t="str">
        <f>IF('Student List'!C90="","",PROPER(MID('Student List'!C90, FIND(",", 'Student List'!C90) + 2, LEN('Student List'!C90) - FIND(",", 'Student List'!C90) - 1)))</f>
        <v/>
      </c>
      <c r="D86" s="127" t="str">
        <f>IF('Final Term'!D86="","",'Final Term'!D86)</f>
        <v/>
      </c>
      <c r="E86" s="8" t="str">
        <f>IF(MidCom!E86="FA", "FA",
    IF(MidCom!E86="DRP", "DRP",
        IF(MidCom!E86="WF", "WF",
            IF(D86="Yes", "INC",
               IF((SUM('MT Attendance'!AW84) / 3 + SUM('MT Attendance'!AY84) + SUM('FT Attendance'!AW84) / 3 + SUM('FT Attendance'!AY84)) &gt;= 0.2 * (SUMPRODUCT(--(ISTEXT('MT Attendance'!$C$2:$AU$2))) + SUMPRODUCT(--(ISTEXT('FT Attendance'!$C$2:$AU$2)))), "FA",
                   MidCom!E86
                )
            )
        )
    )
)</f>
        <v/>
      </c>
      <c r="F86" s="73" t="str">
        <f>IF($B86="","",
IF(F$5="","",
IF('Final Term'!F86="",0,
IF(NOT(ISNUMBER('Final Term'!F86)),"NAN",
IF('Final Term'!F86&lt;0,"NEG",
IF('Final Term'!F86&gt;F$5,"OVER",
IF(AND(F$5&lt;=100,'Final Term'!F86&gt;100),"ERR",
IF(Info!$B$4="Non-board program",
IF(OR(AND(F$5&gt;0,F$5&gt;100),AND(F$5&gt;0,F$5&lt;100)),
VLOOKUP(FLOOR(('Final Term'!F86/F$5)*100,1),new_transmute,2,FALSE),
VLOOKUP('Final Term'!F86,new_transmute,2,FALSE)
),
IF(Info!$B$4="Board program",
IF(OR(AND(F$5&gt;0,F$5&gt;100),AND(F$5&gt;0,F$5&lt;100)),
VLOOKUP(FLOOR(('Final Term'!F86/F$5)*100,1),new_transmute,3,FALSE),
VLOOKUP('Final Term'!F86,new_transmute,3,FALSE)
),
IF(Info!$B$4="Board program (Medicine)",
IF(OR(AND(F$5&gt;0,F$5&gt;100),AND(F$5&gt;0,F$5&lt;100)),
VLOOKUP(FLOOR(('Final Term'!F86/F$5)*100,1),new_transmute,4,FALSE),
VLOOKUP('Final Term'!F86,new_transmute,4,FALSE)
),
""
)
)
)
)
)
)
)
)
))</f>
        <v/>
      </c>
      <c r="G86" s="57" t="str">
        <f t="shared" si="11"/>
        <v/>
      </c>
      <c r="H86" s="73" t="str">
        <f>IF($B86="","",
IF(H$5="","",
IF('Final Term'!H86="",0,
IF(NOT(ISNUMBER('Final Term'!H86)),"NAN",
IF('Final Term'!H86&lt;0,"NEG",
IF('Final Term'!H86&gt;H$5,"OVER",
IF(AND(H$5&lt;=100,'Final Term'!H86&gt;100),"ERR",
IF(Info!$B$4="Non-board program",
IF(OR(AND(H$5&gt;0,H$5&gt;100),AND(H$5&gt;0,H$5&lt;100)),
VLOOKUP(FLOOR(('Final Term'!H86/H$5)*100,1),new_transmute,2,FALSE),
VLOOKUP('Final Term'!H86,new_transmute,2,FALSE)
),
IF(Info!$B$4="Board program",
IF(OR(AND(H$5&gt;0,H$5&gt;100),AND(H$5&gt;0,H$5&lt;100)),
VLOOKUP(FLOOR(('Final Term'!H86/H$5)*100,1),new_transmute,3,FALSE),
VLOOKUP('Final Term'!H86,new_transmute,3,FALSE)
),
IF(Info!$B$4="Board program (Medicine)",
IF(OR(AND(H$5&gt;0,H$5&gt;100),AND(H$5&gt;0,H$5&lt;100)),
VLOOKUP(FLOOR(('Final Term'!H86/H$5)*100,1),new_transmute,4,FALSE),
VLOOKUP('Final Term'!H86,new_transmute,4,FALSE)
),
""
)
)
)
)
)
)
)
)
))</f>
        <v/>
      </c>
      <c r="I86" s="73" t="str">
        <f>IF($B86="","",
IF(I$5="","",
IF('Final Term'!I86="",0,
IF(NOT(ISNUMBER('Final Term'!I86)),"NAN",
IF('Final Term'!I86&lt;0,"NEG",
IF('Final Term'!I86&gt;I$5,"OVER",
IF(AND(I$5&lt;=100,'Final Term'!I86&gt;100),"ERR",
IF(Info!$B$4="Non-board program",
IF(OR(AND(I$5&gt;0,I$5&gt;100),AND(I$5&gt;0,I$5&lt;100)),
VLOOKUP(FLOOR(('Final Term'!I86/I$5)*100,1),new_transmute,2,FALSE),
VLOOKUP('Final Term'!I86,new_transmute,2,FALSE)
),
IF(Info!$B$4="Board program",
IF(OR(AND(I$5&gt;0,I$5&gt;100),AND(I$5&gt;0,I$5&lt;100)),
VLOOKUP(FLOOR(('Final Term'!I86/I$5)*100,1),new_transmute,3,FALSE),
VLOOKUP('Final Term'!I86,new_transmute,3,FALSE)
),
IF(Info!$B$4="Board program (Medicine)",
IF(OR(AND(I$5&gt;0,I$5&gt;100),AND(I$5&gt;0,I$5&lt;100)),
VLOOKUP(FLOOR(('Final Term'!I86/I$5)*100,1),new_transmute,4,FALSE),
VLOOKUP('Final Term'!I86,new_transmute,4,FALSE)
),
""
)
)
)
)
)
)
)
)
))</f>
        <v/>
      </c>
      <c r="J86" s="73" t="str">
        <f>IF($B86="","",
IF(J$5="","",
IF('Final Term'!J86="",0,
IF(NOT(ISNUMBER('Final Term'!J86)),"NAN",
IF('Final Term'!J86&lt;0,"NEG",
IF('Final Term'!J86&gt;J$5,"OVER",
IF(AND(J$5&lt;=100,'Final Term'!J86&gt;100),"ERR",
IF(Info!$B$4="Non-board program",
IF(OR(AND(J$5&gt;0,J$5&gt;100),AND(J$5&gt;0,J$5&lt;100)),
VLOOKUP(FLOOR(('Final Term'!J86/J$5)*100,1),new_transmute,2,FALSE),
VLOOKUP('Final Term'!J86,new_transmute,2,FALSE)
),
IF(Info!$B$4="Board program",
IF(OR(AND(J$5&gt;0,J$5&gt;100),AND(J$5&gt;0,J$5&lt;100)),
VLOOKUP(FLOOR(('Final Term'!J86/J$5)*100,1),new_transmute,3,FALSE),
VLOOKUP('Final Term'!J86,new_transmute,3,FALSE)
),
IF(Info!$B$4="Board program (Medicine)",
IF(OR(AND(J$5&gt;0,J$5&gt;100),AND(J$5&gt;0,J$5&lt;100)),
VLOOKUP(FLOOR(('Final Term'!J86/J$5)*100,1),new_transmute,4,FALSE),
VLOOKUP('Final Term'!J86,new_transmute,4,FALSE)
),
""
)
)
)
)
)
)
)
)
))</f>
        <v/>
      </c>
      <c r="K86" s="73" t="str">
        <f>IF($B86="","",
IF(K$5="","",
IF('Final Term'!K86="",0,
IF(NOT(ISNUMBER('Final Term'!K86)),"NAN",
IF('Final Term'!K86&lt;0,"NEG",
IF('Final Term'!K86&gt;K$5,"OVER",
IF(AND(K$5&lt;=100,'Final Term'!K86&gt;100),"ERR",
IF(Info!$B$4="Non-board program",
IF(OR(AND(K$5&gt;0,K$5&gt;100),AND(K$5&gt;0,K$5&lt;100)),
VLOOKUP(FLOOR(('Final Term'!K86/K$5)*100,1),new_transmute,2,FALSE),
VLOOKUP('Final Term'!K86,new_transmute,2,FALSE)
),
IF(Info!$B$4="Board program",
IF(OR(AND(K$5&gt;0,K$5&gt;100),AND(K$5&gt;0,K$5&lt;100)),
VLOOKUP(FLOOR(('Final Term'!K86/K$5)*100,1),new_transmute,3,FALSE),
VLOOKUP('Final Term'!K86,new_transmute,3,FALSE)
),
IF(Info!$B$4="Board program (Medicine)",
IF(OR(AND(K$5&gt;0,K$5&gt;100),AND(K$5&gt;0,K$5&lt;100)),
VLOOKUP(FLOOR(('Final Term'!K86/K$5)*100,1),new_transmute,4,FALSE),
VLOOKUP('Final Term'!K86,new_transmute,4,FALSE)
),
""
)
)
)
)
)
)
)
)
))</f>
        <v/>
      </c>
      <c r="L86" s="73" t="str">
        <f>IF($B86="","",
IF(L$5="","",
IF('Final Term'!L86="",0,
IF(NOT(ISNUMBER('Final Term'!L86)),"NAN",
IF('Final Term'!L86&lt;0,"NEG",
IF('Final Term'!L86&gt;L$5,"OVER",
IF(AND(L$5&lt;=100,'Final Term'!L86&gt;100),"ERR",
IF(Info!$B$4="Non-board program",
IF(OR(AND(L$5&gt;0,L$5&gt;100),AND(L$5&gt;0,L$5&lt;100)),
VLOOKUP(FLOOR(('Final Term'!L86/L$5)*100,1),new_transmute,2,FALSE),
VLOOKUP('Final Term'!L86,new_transmute,2,FALSE)
),
IF(Info!$B$4="Board program",
IF(OR(AND(L$5&gt;0,L$5&gt;100),AND(L$5&gt;0,L$5&lt;100)),
VLOOKUP(FLOOR(('Final Term'!L86/L$5)*100,1),new_transmute,3,FALSE),
VLOOKUP('Final Term'!L86,new_transmute,3,FALSE)
),
IF(Info!$B$4="Board program (Medicine)",
IF(OR(AND(L$5&gt;0,L$5&gt;100),AND(L$5&gt;0,L$5&lt;100)),
VLOOKUP(FLOOR(('Final Term'!L86/L$5)*100,1),new_transmute,4,FALSE),
VLOOKUP('Final Term'!L86,new_transmute,4,FALSE)
),
""
)
)
)
)
)
)
)
)
))</f>
        <v/>
      </c>
      <c r="M86" s="111" t="str">
        <f t="shared" si="12"/>
        <v/>
      </c>
      <c r="N86" s="73" t="str">
        <f>IF($B86="","",
IF(N$5="","",
IF('Final Term'!N86="",0,
IF(NOT(ISNUMBER('Final Term'!N86)),"NAN",
IF('Final Term'!N86&lt;0,"NEG",
IF('Final Term'!N86&gt;N$5,"OVER",
IF(AND(N$5&lt;=100,'Final Term'!N86&gt;100),"ERR",
IF(Info!$B$4="Non-board program",
IF(OR(AND(N$5&gt;0,N$5&gt;100),AND(N$5&gt;0,N$5&lt;100)),
VLOOKUP(FLOOR(('Final Term'!N86/N$5)*100,1),new_transmute,2,FALSE),
VLOOKUP('Final Term'!N86,new_transmute,2,FALSE)
),
IF(Info!$B$4="Board program",
IF(OR(AND(N$5&gt;0,N$5&gt;100),AND(N$5&gt;0,N$5&lt;100)),
VLOOKUP(FLOOR(('Final Term'!N86/N$5)*100,1),new_transmute,3,FALSE),
VLOOKUP('Final Term'!N86,new_transmute,3,FALSE)
),
IF(Info!$B$4="Board program (Medicine)",
IF(OR(AND(N$5&gt;0,N$5&gt;100),AND(N$5&gt;0,N$5&lt;100)),
VLOOKUP(FLOOR(('Final Term'!N86/N$5)*100,1),new_transmute,4,FALSE),
VLOOKUP('Final Term'!N86,new_transmute,4,FALSE)
),
""
)
)
)
)
)
)
)
)
))</f>
        <v/>
      </c>
      <c r="O86" s="73" t="str">
        <f>IF($B86="","",
IF(O$5="","",
IF('Final Term'!O86="",0,
IF(NOT(ISNUMBER('Final Term'!O86)),"NAN",
IF('Final Term'!O86&lt;0,"NEG",
IF('Final Term'!O86&gt;O$5,"OVER",
IF(AND(O$5&lt;=100,'Final Term'!O86&gt;100),"ERR",
IF(Info!$B$4="Non-board program",
IF(OR(AND(O$5&gt;0,O$5&gt;100),AND(O$5&gt;0,O$5&lt;100)),
VLOOKUP(FLOOR(('Final Term'!O86/O$5)*100,1),new_transmute,2,FALSE),
VLOOKUP('Final Term'!O86,new_transmute,2,FALSE)
),
IF(Info!$B$4="Board program",
IF(OR(AND(O$5&gt;0,O$5&gt;100),AND(O$5&gt;0,O$5&lt;100)),
VLOOKUP(FLOOR(('Final Term'!O86/O$5)*100,1),new_transmute,3,FALSE),
VLOOKUP('Final Term'!O86,new_transmute,3,FALSE)
),
IF(Info!$B$4="Board program (Medicine)",
IF(OR(AND(O$5&gt;0,O$5&gt;100),AND(O$5&gt;0,O$5&lt;100)),
VLOOKUP(FLOOR(('Final Term'!O86/O$5)*100,1),new_transmute,4,FALSE),
VLOOKUP('Final Term'!O86,new_transmute,4,FALSE)
),
""
)
)
)
)
)
)
)
)
))</f>
        <v/>
      </c>
      <c r="P86" s="73" t="str">
        <f>IF($B86="","",
IF(P$5="","",
IF('Final Term'!P86="",0,
IF(NOT(ISNUMBER('Final Term'!P86)),"NAN",
IF('Final Term'!P86&lt;0,"NEG",
IF('Final Term'!P86&gt;P$5,"OVER",
IF(AND(P$5&lt;=100,'Final Term'!P86&gt;100),"ERR",
IF(Info!$B$4="Non-board program",
IF(OR(AND(P$5&gt;0,P$5&gt;100),AND(P$5&gt;0,P$5&lt;100)),
VLOOKUP(FLOOR(('Final Term'!P86/P$5)*100,1),new_transmute,2,FALSE),
VLOOKUP('Final Term'!P86,new_transmute,2,FALSE)
),
IF(Info!$B$4="Board program",
IF(OR(AND(P$5&gt;0,P$5&gt;100),AND(P$5&gt;0,P$5&lt;100)),
VLOOKUP(FLOOR(('Final Term'!P86/P$5)*100,1),new_transmute,3,FALSE),
VLOOKUP('Final Term'!P86,new_transmute,3,FALSE)
),
IF(Info!$B$4="Board program (Medicine)",
IF(OR(AND(P$5&gt;0,P$5&gt;100),AND(P$5&gt;0,P$5&lt;100)),
VLOOKUP(FLOOR(('Final Term'!P86/P$5)*100,1),new_transmute,4,FALSE),
VLOOKUP('Final Term'!P86,new_transmute,4,FALSE)
),
""
)
)
)
)
)
)
)
)
))</f>
        <v/>
      </c>
      <c r="Q86" s="73" t="str">
        <f>IF($B86="","",
IF(Q$5="","",
IF('Final Term'!Q86="",0,
IF(NOT(ISNUMBER('Final Term'!Q86)),"NAN",
IF('Final Term'!Q86&lt;0,"NEG",
IF('Final Term'!Q86&gt;Q$5,"OVER",
IF(AND(Q$5&lt;=100,'Final Term'!Q86&gt;100),"ERR",
IF(Info!$B$4="Non-board program",
IF(OR(AND(Q$5&gt;0,Q$5&gt;100),AND(Q$5&gt;0,Q$5&lt;100)),
VLOOKUP(FLOOR(('Final Term'!Q86/Q$5)*100,1),new_transmute,2,FALSE),
VLOOKUP('Final Term'!Q86,new_transmute,2,FALSE)
),
IF(Info!$B$4="Board program",
IF(OR(AND(Q$5&gt;0,Q$5&gt;100),AND(Q$5&gt;0,Q$5&lt;100)),
VLOOKUP(FLOOR(('Final Term'!Q86/Q$5)*100,1),new_transmute,3,FALSE),
VLOOKUP('Final Term'!Q86,new_transmute,3,FALSE)
),
IF(Info!$B$4="Board program (Medicine)",
IF(OR(AND(Q$5&gt;0,Q$5&gt;100),AND(Q$5&gt;0,Q$5&lt;100)),
VLOOKUP(FLOOR(('Final Term'!Q86/Q$5)*100,1),new_transmute,4,FALSE),
VLOOKUP('Final Term'!Q86,new_transmute,4,FALSE)
),
""
)
)
)
)
)
)
)
)
))</f>
        <v/>
      </c>
      <c r="R86" s="73" t="str">
        <f>IF($B86="","",
IF(R$5="","",
IF('Final Term'!R86="",0,
IF(NOT(ISNUMBER('Final Term'!R86)),"NAN",
IF('Final Term'!R86&lt;0,"NEG",
IF('Final Term'!R86&gt;R$5,"OVER",
IF(AND(R$5&lt;=100,'Final Term'!R86&gt;100),"ERR",
IF(Info!$B$4="Non-board program",
IF(OR(AND(R$5&gt;0,R$5&gt;100),AND(R$5&gt;0,R$5&lt;100)),
VLOOKUP(FLOOR(('Final Term'!R86/R$5)*100,1),new_transmute,2,FALSE),
VLOOKUP('Final Term'!R86,new_transmute,2,FALSE)
),
IF(Info!$B$4="Board program",
IF(OR(AND(R$5&gt;0,R$5&gt;100),AND(R$5&gt;0,R$5&lt;100)),
VLOOKUP(FLOOR(('Final Term'!R86/R$5)*100,1),new_transmute,3,FALSE),
VLOOKUP('Final Term'!R86,new_transmute,3,FALSE)
),
IF(Info!$B$4="Board program (Medicine)",
IF(OR(AND(R$5&gt;0,R$5&gt;100),AND(R$5&gt;0,R$5&lt;100)),
VLOOKUP(FLOOR(('Final Term'!R86/R$5)*100,1),new_transmute,4,FALSE),
VLOOKUP('Final Term'!R86,new_transmute,4,FALSE)
),
""
)
)
)
)
)
)
)
)
))</f>
        <v/>
      </c>
      <c r="S86" s="115" t="str">
        <f t="shared" si="13"/>
        <v/>
      </c>
      <c r="T86" s="73" t="str">
        <f>IF($B86="","",
IF(T$5="","",
IF('Final Term'!T86="",0,
IF(NOT(ISNUMBER('Final Term'!T86)),"NAN",
IF('Final Term'!T86&lt;0,"NEG",
IF('Final Term'!T86&gt;T$5,"OVER",
IF(AND(T$5&lt;=100,'Final Term'!T86&gt;100),"ERR",
IF(Info!$B$4="Non-board program",
IF(OR(AND(T$5&gt;0,T$5&gt;100),AND(T$5&gt;0,T$5&lt;100)),
VLOOKUP(FLOOR(('Final Term'!T86/T$5)*100,1),new_transmute,2,FALSE),
VLOOKUP('Final Term'!T86,new_transmute,2,FALSE)
),
IF(Info!$B$4="Board program",
IF(OR(AND(T$5&gt;0,T$5&gt;100),AND(T$5&gt;0,T$5&lt;100)),
VLOOKUP(FLOOR(('Final Term'!T86/T$5)*100,1),new_transmute,3,FALSE),
VLOOKUP('Final Term'!T86,new_transmute,3,FALSE)
),
IF(Info!$B$4="Board program (Medicine)",
IF(OR(AND(T$5&gt;0,T$5&gt;100),AND(T$5&gt;0,T$5&lt;100)),
VLOOKUP(FLOOR(('Final Term'!T86/T$5)*100,1),new_transmute,4,FALSE),
VLOOKUP('Final Term'!T86,new_transmute,4,FALSE)
),
""
)
)
)
)
)
)
)
)
))</f>
        <v/>
      </c>
      <c r="U86" s="73" t="str">
        <f>IF($B86="","",
IF(U$5="","",
IF('Final Term'!U86="",0,
IF(NOT(ISNUMBER('Final Term'!U86)),"NAN",
IF('Final Term'!U86&lt;0,"NEG",
IF('Final Term'!U86&gt;U$5,"OVER",
IF(AND(U$5&lt;=100,'Final Term'!U86&gt;100),"ERR",
IF(Info!$B$4="Non-board program",
IF(OR(AND(U$5&gt;0,U$5&gt;100),AND(U$5&gt;0,U$5&lt;100)),
VLOOKUP(FLOOR(('Final Term'!U86/U$5)*100,1),new_transmute,2,FALSE),
VLOOKUP('Final Term'!U86,new_transmute,2,FALSE)
),
IF(Info!$B$4="Board program",
IF(OR(AND(U$5&gt;0,U$5&gt;100),AND(U$5&gt;0,U$5&lt;100)),
VLOOKUP(FLOOR(('Final Term'!U86/U$5)*100,1),new_transmute,3,FALSE),
VLOOKUP('Final Term'!U86,new_transmute,3,FALSE)
),
IF(Info!$B$4="Board program (Medicine)",
IF(OR(AND(U$5&gt;0,U$5&gt;100),AND(U$5&gt;0,U$5&lt;100)),
VLOOKUP(FLOOR(('Final Term'!U86/U$5)*100,1),new_transmute,4,FALSE),
VLOOKUP('Final Term'!U86,new_transmute,4,FALSE)
),
""
)
)
)
)
)
)
)
)
))</f>
        <v/>
      </c>
      <c r="V86" s="73" t="str">
        <f>IF($B86="","",
IF(V$5="","",
IF('Final Term'!V86="",0,
IF(NOT(ISNUMBER('Final Term'!V86)),"NAN",
IF('Final Term'!V86&lt;0,"NEG",
IF('Final Term'!V86&gt;V$5,"OVER",
IF(AND(V$5&lt;=100,'Final Term'!V86&gt;100),"ERR",
IF(Info!$B$4="Non-board program",
IF(OR(AND(V$5&gt;0,V$5&gt;100),AND(V$5&gt;0,V$5&lt;100)),
VLOOKUP(FLOOR(('Final Term'!V86/V$5)*100,1),new_transmute,2,FALSE),
VLOOKUP('Final Term'!V86,new_transmute,2,FALSE)
),
IF(Info!$B$4="Board program",
IF(OR(AND(V$5&gt;0,V$5&gt;100),AND(V$5&gt;0,V$5&lt;100)),
VLOOKUP(FLOOR(('Final Term'!V86/V$5)*100,1),new_transmute,3,FALSE),
VLOOKUP('Final Term'!V86,new_transmute,3,FALSE)
),
IF(Info!$B$4="Board program (Medicine)",
IF(OR(AND(V$5&gt;0,V$5&gt;100),AND(V$5&gt;0,V$5&lt;100)),
VLOOKUP(FLOOR(('Final Term'!V86/V$5)*100,1),new_transmute,4,FALSE),
VLOOKUP('Final Term'!V86,new_transmute,4,FALSE)
),
""
)
)
)
)
)
)
)
)
))</f>
        <v/>
      </c>
      <c r="W86" s="73" t="str">
        <f>IF($B86="","",
IF(W$5="","",
IF('Final Term'!W86="",0,
IF(NOT(ISNUMBER('Final Term'!W86)),"NAN",
IF('Final Term'!W86&lt;0,"NEG",
IF('Final Term'!W86&gt;W$5,"OVER",
IF(AND(W$5&lt;=100,'Final Term'!W86&gt;100),"ERR",
IF(Info!$B$4="Non-board program",
IF(OR(AND(W$5&gt;0,W$5&gt;100),AND(W$5&gt;0,W$5&lt;100)),
VLOOKUP(FLOOR(('Final Term'!W86/W$5)*100,1),new_transmute,2,FALSE),
VLOOKUP('Final Term'!W86,new_transmute,2,FALSE)
),
IF(Info!$B$4="Board program",
IF(OR(AND(W$5&gt;0,W$5&gt;100),AND(W$5&gt;0,W$5&lt;100)),
VLOOKUP(FLOOR(('Final Term'!W86/W$5)*100,1),new_transmute,3,FALSE),
VLOOKUP('Final Term'!W86,new_transmute,3,FALSE)
),
IF(Info!$B$4="Board program (Medicine)",
IF(OR(AND(W$5&gt;0,W$5&gt;100),AND(W$5&gt;0,W$5&lt;100)),
VLOOKUP(FLOOR(('Final Term'!W86/W$5)*100,1),new_transmute,4,FALSE),
VLOOKUP('Final Term'!W86,new_transmute,4,FALSE)
),
""
)
)
)
)
)
)
)
)
))</f>
        <v/>
      </c>
      <c r="X86" s="73" t="str">
        <f>IF($B86="","",
IF(X$5="","",
IF('Final Term'!X86="",0,
IF(NOT(ISNUMBER('Final Term'!X86)),"NAN",
IF('Final Term'!X86&lt;0,"NEG",
IF('Final Term'!X86&gt;X$5,"OVER",
IF(AND(X$5&lt;=100,'Final Term'!X86&gt;100),"ERR",
IF(Info!$B$4="Non-board program",
IF(OR(AND(X$5&gt;0,X$5&gt;100),AND(X$5&gt;0,X$5&lt;100)),
VLOOKUP(FLOOR(('Final Term'!X86/X$5)*100,1),new_transmute,2,FALSE),
VLOOKUP('Final Term'!X86,new_transmute,2,FALSE)
),
IF(Info!$B$4="Board program",
IF(OR(AND(X$5&gt;0,X$5&gt;100),AND(X$5&gt;0,X$5&lt;100)),
VLOOKUP(FLOOR(('Final Term'!X86/X$5)*100,1),new_transmute,3,FALSE),
VLOOKUP('Final Term'!X86,new_transmute,3,FALSE)
),
IF(Info!$B$4="Board program (Medicine)",
IF(OR(AND(X$5&gt;0,X$5&gt;100),AND(X$5&gt;0,X$5&lt;100)),
VLOOKUP(FLOOR(('Final Term'!X86/X$5)*100,1),new_transmute,4,FALSE),
VLOOKUP('Final Term'!X86,new_transmute,4,FALSE)
),
""
)
)
)
)
)
)
)
)
))</f>
        <v/>
      </c>
      <c r="Y86" s="112" t="str">
        <f t="shared" si="14"/>
        <v/>
      </c>
      <c r="Z86" s="73" t="str">
        <f>IF($B86="","",
IF(Z$5="","",
IF('Final Term'!Z86="",0,
IF(NOT(ISNUMBER('Final Term'!Z86)),"NAN",
IF('Final Term'!Z86&lt;0,"NEG",
IF('Final Term'!Z86&gt;Z$5,"OVER",
IF(AND(Z$5&lt;=100,'Final Term'!Z86&gt;100),"ERR",
IF(Info!$B$4="Non-board program",
IF(OR(AND(Z$5&gt;0,Z$5&gt;100),AND(Z$5&gt;0,Z$5&lt;100)),
VLOOKUP(FLOOR(('Final Term'!Z86/Z$5)*100,1),new_transmute,2,FALSE),
VLOOKUP('Final Term'!Z86,new_transmute,2,FALSE)
),
IF(Info!$B$4="Board program",
IF(OR(AND(Z$5&gt;0,Z$5&gt;100),AND(Z$5&gt;0,Z$5&lt;100)),
VLOOKUP(FLOOR(('Final Term'!Z86/Z$5)*100,1),new_transmute,3,FALSE),
VLOOKUP('Final Term'!Z86,new_transmute,3,FALSE)
),
IF(Info!$B$4="Board program (Medicine)",
IF(OR(AND(Z$5&gt;0,Z$5&gt;100),AND(Z$5&gt;0,Z$5&lt;100)),
VLOOKUP(FLOOR(('Final Term'!Z86/Z$5)*100,1),new_transmute,4,FALSE),
VLOOKUP('Final Term'!Z86,new_transmute,4,FALSE)
),
""
)
)
)
)
)
)
)
)
))</f>
        <v/>
      </c>
      <c r="AA86" s="73" t="str">
        <f>IF($B86="","",
IF(AA$5="","",
IF('Final Term'!AA86="",0,
IF(NOT(ISNUMBER('Final Term'!AA86)),"NAN",
IF('Final Term'!AA86&lt;0,"NEG",
IF('Final Term'!AA86&gt;AA$5,"OVER",
IF(AND(AA$5&lt;=100,'Final Term'!AA86&gt;100),"ERR",
IF(Info!$B$4="Non-board program",
IF(OR(AND(AA$5&gt;0,AA$5&gt;100),AND(AA$5&gt;0,AA$5&lt;100)),
VLOOKUP(FLOOR(('Final Term'!AA86/AA$5)*100,1),new_transmute,2,FALSE),
VLOOKUP('Final Term'!AA86,new_transmute,2,FALSE)
),
IF(Info!$B$4="Board program",
IF(OR(AND(AA$5&gt;0,AA$5&gt;100),AND(AA$5&gt;0,AA$5&lt;100)),
VLOOKUP(FLOOR(('Final Term'!AA86/AA$5)*100,1),new_transmute,3,FALSE),
VLOOKUP('Final Term'!AA86,new_transmute,3,FALSE)
),
IF(Info!$B$4="Board program (Medicine)",
IF(OR(AND(AA$5&gt;0,AA$5&gt;100),AND(AA$5&gt;0,AA$5&lt;100)),
VLOOKUP(FLOOR(('Final Term'!AA86/AA$5)*100,1),new_transmute,4,FALSE),
VLOOKUP('Final Term'!AA86,new_transmute,4,FALSE)
),
""
)
)
)
)
)
)
)
)
))</f>
        <v/>
      </c>
      <c r="AB86" s="73" t="str">
        <f>IF($B86="","",
IF(AB$5="","",
IF('Final Term'!AB86="",0,
IF(NOT(ISNUMBER('Final Term'!AB86)),"NAN",
IF('Final Term'!AB86&lt;0,"NEG",
IF('Final Term'!AB86&gt;AB$5,"OVER",
IF(AND(AB$5&lt;=100,'Final Term'!AB86&gt;100),"ERR",
IF(Info!$B$4="Non-board program",
IF(OR(AND(AB$5&gt;0,AB$5&gt;100),AND(AB$5&gt;0,AB$5&lt;100)),
VLOOKUP(FLOOR(('Final Term'!AB86/AB$5)*100,1),new_transmute,2,FALSE),
VLOOKUP('Final Term'!AB86,new_transmute,2,FALSE)
),
IF(Info!$B$4="Board program",
IF(OR(AND(AB$5&gt;0,AB$5&gt;100),AND(AB$5&gt;0,AB$5&lt;100)),
VLOOKUP(FLOOR(('Final Term'!AB86/AB$5)*100,1),new_transmute,3,FALSE),
VLOOKUP('Final Term'!AB86,new_transmute,3,FALSE)
),
IF(Info!$B$4="Board program (Medicine)",
IF(OR(AND(AB$5&gt;0,AB$5&gt;100),AND(AB$5&gt;0,AB$5&lt;100)),
VLOOKUP(FLOOR(('Final Term'!AB86/AB$5)*100,1),new_transmute,4,FALSE),
VLOOKUP('Final Term'!AB86,new_transmute,4,FALSE)
),
""
)
)
)
)
)
)
)
)
))</f>
        <v/>
      </c>
      <c r="AC86" s="73" t="str">
        <f>IF($B86="","",
IF(AC$5="","",
IF('Final Term'!AC86="",0,
IF(NOT(ISNUMBER('Final Term'!AC86)),"NAN",
IF('Final Term'!AC86&lt;0,"NEG",
IF('Final Term'!AC86&gt;AC$5,"OVER",
IF(AND(AC$5&lt;=100,'Final Term'!AC86&gt;100),"ERR",
IF(Info!$B$4="Non-board program",
IF(OR(AND(AC$5&gt;0,AC$5&gt;100),AND(AC$5&gt;0,AC$5&lt;100)),
VLOOKUP(FLOOR(('Final Term'!AC86/AC$5)*100,1),new_transmute,2,FALSE),
VLOOKUP('Final Term'!AC86,new_transmute,2,FALSE)
),
IF(Info!$B$4="Board program",
IF(OR(AND(AC$5&gt;0,AC$5&gt;100),AND(AC$5&gt;0,AC$5&lt;100)),
VLOOKUP(FLOOR(('Final Term'!AC86/AC$5)*100,1),new_transmute,3,FALSE),
VLOOKUP('Final Term'!AC86,new_transmute,3,FALSE)
),
IF(Info!$B$4="Board program (Medicine)",
IF(OR(AND(AC$5&gt;0,AC$5&gt;100),AND(AC$5&gt;0,AC$5&lt;100)),
VLOOKUP(FLOOR(('Final Term'!AC86/AC$5)*100,1),new_transmute,4,FALSE),
VLOOKUP('Final Term'!AC86,new_transmute,4,FALSE)
),
""
)
)
)
)
)
)
)
)
))</f>
        <v/>
      </c>
      <c r="AD86" s="73" t="str">
        <f>IF($B86="","",
IF(AD$5="","",
IF('Final Term'!AD86="",0,
IF(NOT(ISNUMBER('Final Term'!AD86)),"NAN",
IF('Final Term'!AD86&lt;0,"NEG",
IF('Final Term'!AD86&gt;AD$5,"OVER",
IF(AND(AD$5&lt;=100,'Final Term'!AD86&gt;100),"ERR",
IF(Info!$B$4="Non-board program",
IF(OR(AND(AD$5&gt;0,AD$5&gt;100),AND(AD$5&gt;0,AD$5&lt;100)),
VLOOKUP(FLOOR(('Final Term'!AD86/AD$5)*100,1),new_transmute,2,FALSE),
VLOOKUP('Final Term'!AD86,new_transmute,2,FALSE)
),
IF(Info!$B$4="Board program",
IF(OR(AND(AD$5&gt;0,AD$5&gt;100),AND(AD$5&gt;0,AD$5&lt;100)),
VLOOKUP(FLOOR(('Final Term'!AD86/AD$5)*100,1),new_transmute,3,FALSE),
VLOOKUP('Final Term'!AD86,new_transmute,3,FALSE)
),
IF(Info!$B$4="Board program (Medicine)",
IF(OR(AND(AD$5&gt;0,AD$5&gt;100),AND(AD$5&gt;0,AD$5&lt;100)),
VLOOKUP(FLOOR(('Final Term'!AD86/AD$5)*100,1),new_transmute,4,FALSE),
VLOOKUP('Final Term'!AD86,new_transmute,4,FALSE)
),
""
)
)
)
)
)
)
)
)
))</f>
        <v/>
      </c>
      <c r="AE86" s="58" t="str">
        <f t="shared" si="15"/>
        <v/>
      </c>
      <c r="AF86" s="73" t="str">
        <f>IF($B86="","",
IF(AF$5="","",
IF('Final Term'!AF86="",0,
IF(NOT(ISNUMBER('Final Term'!AF86)),"NAN",
IF('Final Term'!AF86&lt;0,"NEG",
IF('Final Term'!AF86&gt;AF$5,"OVER",
IF(AND(AF$5&lt;=100,'Final Term'!AF86&gt;100),"ERR",
IF(Info!$B$4="Non-board program",
IF(OR(AND(AF$5&gt;0,AF$5&gt;100),AND(AF$5&gt;0,AF$5&lt;100)),
VLOOKUP(FLOOR(('Final Term'!AF86/AF$5)*100,1),new_transmute,2,FALSE),
VLOOKUP('Final Term'!AF86,new_transmute,2,FALSE)
),
IF(Info!$B$4="Board program",
IF(OR(AND(AF$5&gt;0,AF$5&gt;100),AND(AF$5&gt;0,AF$5&lt;100)),
VLOOKUP(FLOOR(('Final Term'!AF86/AF$5)*100,1),new_transmute,3,FALSE),
VLOOKUP('Final Term'!AF86,new_transmute,3,FALSE)
),
IF(Info!$B$4="Board program (Medicine)",
IF(OR(AND(AF$5&gt;0,AF$5&gt;100),AND(AF$5&gt;0,AF$5&lt;100)),
VLOOKUP(FLOOR(('Final Term'!AF86/AF$5)*100,1),new_transmute,4,FALSE),
VLOOKUP('Final Term'!AF86,new_transmute,4,FALSE)
),
""
)
)
)
)
)
)
)
)
))</f>
        <v/>
      </c>
      <c r="AG86" s="73" t="str">
        <f>IF($B86="","",
IF(AG$5="","",
IF('Final Term'!AG86="",0,
IF(NOT(ISNUMBER('Final Term'!AG86)),"NAN",
IF('Final Term'!AG86&lt;0,"NEG",
IF('Final Term'!AG86&gt;AG$5,"OVER",
IF(AND(AG$5&lt;=100,'Final Term'!AG86&gt;100),"ERR",
IF(Info!$B$4="Non-board program",
IF(OR(AND(AG$5&gt;0,AG$5&gt;100),AND(AG$5&gt;0,AG$5&lt;100)),
VLOOKUP(FLOOR(('Final Term'!AG86/AG$5)*100,1),new_transmute,2,FALSE),
VLOOKUP('Final Term'!AG86,new_transmute,2,FALSE)
),
IF(Info!$B$4="Board program",
IF(OR(AND(AG$5&gt;0,AG$5&gt;100),AND(AG$5&gt;0,AG$5&lt;100)),
VLOOKUP(FLOOR(('Final Term'!AG86/AG$5)*100,1),new_transmute,3,FALSE),
VLOOKUP('Final Term'!AG86,new_transmute,3,FALSE)
),
IF(Info!$B$4="Board program (Medicine)",
IF(OR(AND(AG$5&gt;0,AG$5&gt;100),AND(AG$5&gt;0,AG$5&lt;100)),
VLOOKUP(FLOOR(('Final Term'!AG86/AG$5)*100,1),new_transmute,4,FALSE),
VLOOKUP('Final Term'!AG86,new_transmute,4,FALSE)
),
""
)
)
)
)
)
)
)
)
))</f>
        <v/>
      </c>
      <c r="AH86" s="73" t="str">
        <f>IF($B86="","",
IF(AH$5="","",
IF('Final Term'!AH86="",0,
IF(NOT(ISNUMBER('Final Term'!AH86)),"NAN",
IF('Final Term'!AH86&lt;0,"NEG",
IF('Final Term'!AH86&gt;AH$5,"OVER",
IF(AND(AH$5&lt;=100,'Final Term'!AH86&gt;100),"ERR",
IF(Info!$B$4="Non-board program",
IF(OR(AND(AH$5&gt;0,AH$5&gt;100),AND(AH$5&gt;0,AH$5&lt;100)),
VLOOKUP(FLOOR(('Final Term'!AH86/AH$5)*100,1),new_transmute,2,FALSE),
VLOOKUP('Final Term'!AH86,new_transmute,2,FALSE)
),
IF(Info!$B$4="Board program",
IF(OR(AND(AH$5&gt;0,AH$5&gt;100),AND(AH$5&gt;0,AH$5&lt;100)),
VLOOKUP(FLOOR(('Final Term'!AH86/AH$5)*100,1),new_transmute,3,FALSE),
VLOOKUP('Final Term'!AH86,new_transmute,3,FALSE)
),
IF(Info!$B$4="Board program (Medicine)",
IF(OR(AND(AH$5&gt;0,AH$5&gt;100),AND(AH$5&gt;0,AH$5&lt;100)),
VLOOKUP(FLOOR(('Final Term'!AH86/AH$5)*100,1),new_transmute,4,FALSE),
VLOOKUP('Final Term'!AH86,new_transmute,4,FALSE)
),
""
)
)
)
)
)
)
)
)
))</f>
        <v/>
      </c>
      <c r="AI86" s="73" t="str">
        <f>IF($B86="","",
IF(AI$5="","",
IF('Final Term'!AI86="",0,
IF(NOT(ISNUMBER('Final Term'!AI86)),"NAN",
IF('Final Term'!AI86&lt;0,"NEG",
IF('Final Term'!AI86&gt;AI$5,"OVER",
IF(AND(AI$5&lt;=100,'Final Term'!AI86&gt;100),"ERR",
IF(Info!$B$4="Non-board program",
IF(OR(AND(AI$5&gt;0,AI$5&gt;100),AND(AI$5&gt;0,AI$5&lt;100)),
VLOOKUP(FLOOR(('Final Term'!AI86/AI$5)*100,1),new_transmute,2,FALSE),
VLOOKUP('Final Term'!AI86,new_transmute,2,FALSE)
),
IF(Info!$B$4="Board program",
IF(OR(AND(AI$5&gt;0,AI$5&gt;100),AND(AI$5&gt;0,AI$5&lt;100)),
VLOOKUP(FLOOR(('Final Term'!AI86/AI$5)*100,1),new_transmute,3,FALSE),
VLOOKUP('Final Term'!AI86,new_transmute,3,FALSE)
),
IF(Info!$B$4="Board program (Medicine)",
IF(OR(AND(AI$5&gt;0,AI$5&gt;100),AND(AI$5&gt;0,AI$5&lt;100)),
VLOOKUP(FLOOR(('Final Term'!AI86/AI$5)*100,1),new_transmute,4,FALSE),
VLOOKUP('Final Term'!AI86,new_transmute,4,FALSE)
),
""
)
)
)
)
)
)
)
)
))</f>
        <v/>
      </c>
      <c r="AJ86" s="73" t="str">
        <f>IF($B86="","",
IF(AJ$5="","",
IF('Final Term'!AJ86="",0,
IF(NOT(ISNUMBER('Final Term'!AJ86)),"NAN",
IF('Final Term'!AJ86&lt;0,"NEG",
IF('Final Term'!AJ86&gt;AJ$5,"OVER",
IF(AND(AJ$5&lt;=100,'Final Term'!AJ86&gt;100),"ERR",
IF(Info!$B$4="Non-board program",
IF(OR(AND(AJ$5&gt;0,AJ$5&gt;100),AND(AJ$5&gt;0,AJ$5&lt;100)),
VLOOKUP(FLOOR(('Final Term'!AJ86/AJ$5)*100,1),new_transmute,2,FALSE),
VLOOKUP('Final Term'!AJ86,new_transmute,2,FALSE)
),
IF(Info!$B$4="Board program",
IF(OR(AND(AJ$5&gt;0,AJ$5&gt;100),AND(AJ$5&gt;0,AJ$5&lt;100)),
VLOOKUP(FLOOR(('Final Term'!AJ86/AJ$5)*100,1),new_transmute,3,FALSE),
VLOOKUP('Final Term'!AJ86,new_transmute,3,FALSE)
),
IF(Info!$B$4="Board program (Medicine)",
IF(OR(AND(AJ$5&gt;0,AJ$5&gt;100),AND(AJ$5&gt;0,AJ$5&lt;100)),
VLOOKUP(FLOOR(('Final Term'!AJ86/AJ$5)*100,1),new_transmute,4,FALSE),
VLOOKUP('Final Term'!AJ86,new_transmute,4,FALSE)
),
""
)
)
)
)
)
)
)
)
))</f>
        <v/>
      </c>
      <c r="AK86" s="59" t="str">
        <f t="shared" si="16"/>
        <v/>
      </c>
      <c r="AL86" s="60" t="str">
        <f>IF(B86="", "",
    IF(OR(M86="OVER", S86="OVER", Y86="OVER", AE86="OVER", AK86="OVER"),
        "OVER",
        IF(Info!$B$4="Non-board program",
            VLOOKUP(IFERROR(FLOOR(SUM((M86*$M$4), (S86*$S$4), (Y86*$Y$4), (AE86*$AE$4), (AK86*$AK$4)) * (100 / 60), 1), 0), new_transmute, 2, FALSE),
            IF(Info!$B$4="Board program",
                VLOOKUP(IFERROR(FLOOR(SUM((M86*$M$4), (S86*$S$4), (Y86*$Y$4), (AE86*$AE$4), (AK86*$AK$4)) * (100 / 60), 1), 0), new_transmute, 3, FALSE),
                IF(Info!$B$4="Board program (Medicine)",
                    VLOOKUP(IFERROR(FLOOR(SUM((M86*$M$4), (S86*$S$4), (Y86*$Y$4), (AE86*$AE$4), (AK86*$AK$4)) * (100 / 60), 1), 0), new_transmute, 4, FALSE),
                    ""
                )
            )
        )
    )
)</f>
        <v/>
      </c>
      <c r="AM86" s="73" t="str">
        <f>IF($B86="","",
IF(AM$5="","",
IF('Final Term'!AM86="",0,
IF(NOT(ISNUMBER('Final Term'!AM86)),"NAN",
IF('Final Term'!AM86&lt;0,"NEG",
IF('Final Term'!AM86&gt;AM$5,"OVER",
IF(AND(AM$5&lt;=100,'Final Term'!AM86&gt;100),"ERR",
IF(Info!$B$4="Non-board program",
IF(OR(AND(AM$5&gt;0,AM$5&gt;100),AND(AM$5&gt;0,AM$5&lt;100)),
VLOOKUP(FLOOR(('Final Term'!AM86/AM$5)*100,1),new_transmute,2,FALSE),
VLOOKUP('Final Term'!AM86,new_transmute,2,FALSE)
),
IF(Info!$B$4="Board program",
IF(OR(AND(AM$5&gt;0,AM$5&gt;100),AND(AM$5&gt;0,AM$5&lt;100)),
VLOOKUP(FLOOR(('Final Term'!AM86/AM$5)*100,1),new_transmute,3,FALSE),
VLOOKUP('Final Term'!AM86,new_transmute,3,FALSE)
),
IF(Info!$B$4="Board program (Medicine)",
IF(OR(AND(AM$5&gt;0,AM$5&gt;100),AND(AM$5&gt;0,AM$5&lt;100)),
VLOOKUP(FLOOR(('Final Term'!AM86/AM$5)*100,1),new_transmute,4,FALSE),
VLOOKUP('Final Term'!AM86,new_transmute,4,FALSE)
),
""
)
)
)
)
)
)
)
)
))</f>
        <v/>
      </c>
      <c r="AN86" s="73" t="str">
        <f>IF($B86="","",
IF(AN$5="","",
IF('Final Term'!AN86="",0,
IF(NOT(ISNUMBER('Final Term'!AN86)),"NAN",
IF('Final Term'!AN86&lt;0,"NEG",
IF('Final Term'!AN86&gt;AN$5,"OVER",
IF(AND(AN$5&lt;=100,'Final Term'!AN86&gt;100),"ERR",
IF(Info!$B$4="Non-board program",
IF(OR(AND(AN$5&gt;0,AN$5&gt;100),AND(AN$5&gt;0,AN$5&lt;100)),
VLOOKUP(FLOOR(('Final Term'!AN86/AN$5)*100,1),new_transmute,2,FALSE),
VLOOKUP('Final Term'!AN86,new_transmute,2,FALSE)
),
IF(Info!$B$4="Board program",
IF(OR(AND(AN$5&gt;0,AN$5&gt;100),AND(AN$5&gt;0,AN$5&lt;100)),
VLOOKUP(FLOOR(('Final Term'!AN86/AN$5)*100,1),new_transmute,3,FALSE),
VLOOKUP('Final Term'!AN86,new_transmute,3,FALSE)
),
IF(Info!$B$4="Board program (Medicine)",
IF(OR(AND(AN$5&gt;0,AN$5&gt;100),AND(AN$5&gt;0,AN$5&lt;100)),
VLOOKUP(FLOOR(('Final Term'!AN86/AN$5)*100,1),new_transmute,4,FALSE),
VLOOKUP('Final Term'!AN86,new_transmute,4,FALSE)
),
""
)
)
)
)
)
)
)
)
))</f>
        <v/>
      </c>
      <c r="AO86" s="73" t="str">
        <f>IF($B86="","",
IF(AO$5="","",
IF('Final Term'!AO86="",0,
IF(NOT(ISNUMBER('Final Term'!AO86)),"NAN",
IF('Final Term'!AO86&lt;0,"NEG",
IF('Final Term'!AO86&gt;AO$5,"OVER",
IF(AND(AO$5&lt;=100,'Final Term'!AO86&gt;100),"ERR",
IF(Info!$B$4="Non-board program",
IF(OR(AND(AO$5&gt;0,AO$5&gt;100),AND(AO$5&gt;0,AO$5&lt;100)),
VLOOKUP(FLOOR(('Final Term'!AO86/AO$5)*100,1),new_transmute,2,FALSE),
VLOOKUP('Final Term'!AO86,new_transmute,2,FALSE)
),
IF(Info!$B$4="Board program",
IF(OR(AND(AO$5&gt;0,AO$5&gt;100),AND(AO$5&gt;0,AO$5&lt;100)),
VLOOKUP(FLOOR(('Final Term'!AO86/AO$5)*100,1),new_transmute,3,FALSE),
VLOOKUP('Final Term'!AO86,new_transmute,3,FALSE)
),
IF(Info!$B$4="Board program (Medicine)",
IF(OR(AND(AO$5&gt;0,AO$5&gt;100),AND(AO$5&gt;0,AO$5&lt;100)),
VLOOKUP(FLOOR(('Final Term'!AO86/AO$5)*100,1),new_transmute,4,FALSE),
VLOOKUP('Final Term'!AO86,new_transmute,4,FALSE)
),
""
)
)
)
)
)
)
)
)
))</f>
        <v/>
      </c>
      <c r="AP86" s="73" t="str">
        <f>IF($B86="","",
IF(AP$5="","",
IF('Final Term'!AP86="",0,
IF(NOT(ISNUMBER('Final Term'!AP86)),"NAN",
IF('Final Term'!AP86&lt;0,"NEG",
IF('Final Term'!AP86&gt;AP$5,"OVER",
IF(AND(AP$5&lt;=100,'Final Term'!AP86&gt;100),"ERR",
IF(Info!$B$4="Non-board program",
IF(OR(AND(AP$5&gt;0,AP$5&gt;100),AND(AP$5&gt;0,AP$5&lt;100)),
VLOOKUP(FLOOR(('Final Term'!AP86/AP$5)*100,1),new_transmute,2,FALSE),
VLOOKUP('Final Term'!AP86,new_transmute,2,FALSE)
),
IF(Info!$B$4="Board program",
IF(OR(AND(AP$5&gt;0,AP$5&gt;100),AND(AP$5&gt;0,AP$5&lt;100)),
VLOOKUP(FLOOR(('Final Term'!AP86/AP$5)*100,1),new_transmute,3,FALSE),
VLOOKUP('Final Term'!AP86,new_transmute,3,FALSE)
),
IF(Info!$B$4="Board program (Medicine)",
IF(OR(AND(AP$5&gt;0,AP$5&gt;100),AND(AP$5&gt;0,AP$5&lt;100)),
VLOOKUP(FLOOR(('Final Term'!AP86/AP$5)*100,1),new_transmute,4,FALSE),
VLOOKUP('Final Term'!AP86,new_transmute,4,FALSE)
),
""
)
)
)
)
)
)
)
)
))</f>
        <v/>
      </c>
      <c r="AQ86" s="61" t="str">
        <f t="shared" si="17"/>
        <v/>
      </c>
      <c r="AR86" s="48" t="str">
        <f>IF('Final Term'!AR86="","",'Final Term'!AR86)</f>
        <v/>
      </c>
      <c r="AS86" s="165" t="str">
        <f t="shared" si="18"/>
        <v/>
      </c>
      <c r="AT86" s="14" t="str">
        <f t="shared" si="19"/>
        <v/>
      </c>
      <c r="AU86" s="13" t="str">
        <f>IF(B86="","",VLOOKUP(AT86,'New Grade Equivalent'!$B$3:$C$47,2,FALSE))</f>
        <v/>
      </c>
    </row>
    <row r="87" spans="1:47" x14ac:dyDescent="0.25">
      <c r="A87" s="8">
        <v>82</v>
      </c>
      <c r="B87" s="2" t="str">
        <f>IF('Student List'!C91="","",UPPER(LEFT('Student List'!C91,FIND(",",'Student List'!C91)-1)))</f>
        <v/>
      </c>
      <c r="C87" s="12" t="str">
        <f>IF('Student List'!C91="","",PROPER(MID('Student List'!C91, FIND(",", 'Student List'!C91) + 2, LEN('Student List'!C91) - FIND(",", 'Student List'!C91) - 1)))</f>
        <v/>
      </c>
      <c r="D87" s="127" t="str">
        <f>IF('Final Term'!D87="","",'Final Term'!D87)</f>
        <v/>
      </c>
      <c r="E87" s="8" t="str">
        <f>IF(MidCom!E87="FA", "FA",
    IF(MidCom!E87="DRP", "DRP",
        IF(MidCom!E87="WF", "WF",
            IF(D87="Yes", "INC",
               IF((SUM('MT Attendance'!AW85) / 3 + SUM('MT Attendance'!AY85) + SUM('FT Attendance'!AW85) / 3 + SUM('FT Attendance'!AY85)) &gt;= 0.2 * (SUMPRODUCT(--(ISTEXT('MT Attendance'!$C$2:$AU$2))) + SUMPRODUCT(--(ISTEXT('FT Attendance'!$C$2:$AU$2)))), "FA",
                   MidCom!E87
                )
            )
        )
    )
)</f>
        <v/>
      </c>
      <c r="F87" s="73" t="str">
        <f>IF($B87="","",
IF(F$5="","",
IF('Final Term'!F87="",0,
IF(NOT(ISNUMBER('Final Term'!F87)),"NAN",
IF('Final Term'!F87&lt;0,"NEG",
IF('Final Term'!F87&gt;F$5,"OVER",
IF(AND(F$5&lt;=100,'Final Term'!F87&gt;100),"ERR",
IF(Info!$B$4="Non-board program",
IF(OR(AND(F$5&gt;0,F$5&gt;100),AND(F$5&gt;0,F$5&lt;100)),
VLOOKUP(FLOOR(('Final Term'!F87/F$5)*100,1),new_transmute,2,FALSE),
VLOOKUP('Final Term'!F87,new_transmute,2,FALSE)
),
IF(Info!$B$4="Board program",
IF(OR(AND(F$5&gt;0,F$5&gt;100),AND(F$5&gt;0,F$5&lt;100)),
VLOOKUP(FLOOR(('Final Term'!F87/F$5)*100,1),new_transmute,3,FALSE),
VLOOKUP('Final Term'!F87,new_transmute,3,FALSE)
),
IF(Info!$B$4="Board program (Medicine)",
IF(OR(AND(F$5&gt;0,F$5&gt;100),AND(F$5&gt;0,F$5&lt;100)),
VLOOKUP(FLOOR(('Final Term'!F87/F$5)*100,1),new_transmute,4,FALSE),
VLOOKUP('Final Term'!F87,new_transmute,4,FALSE)
),
""
)
)
)
)
)
)
)
)
))</f>
        <v/>
      </c>
      <c r="G87" s="57" t="str">
        <f t="shared" si="11"/>
        <v/>
      </c>
      <c r="H87" s="73" t="str">
        <f>IF($B87="","",
IF(H$5="","",
IF('Final Term'!H87="",0,
IF(NOT(ISNUMBER('Final Term'!H87)),"NAN",
IF('Final Term'!H87&lt;0,"NEG",
IF('Final Term'!H87&gt;H$5,"OVER",
IF(AND(H$5&lt;=100,'Final Term'!H87&gt;100),"ERR",
IF(Info!$B$4="Non-board program",
IF(OR(AND(H$5&gt;0,H$5&gt;100),AND(H$5&gt;0,H$5&lt;100)),
VLOOKUP(FLOOR(('Final Term'!H87/H$5)*100,1),new_transmute,2,FALSE),
VLOOKUP('Final Term'!H87,new_transmute,2,FALSE)
),
IF(Info!$B$4="Board program",
IF(OR(AND(H$5&gt;0,H$5&gt;100),AND(H$5&gt;0,H$5&lt;100)),
VLOOKUP(FLOOR(('Final Term'!H87/H$5)*100,1),new_transmute,3,FALSE),
VLOOKUP('Final Term'!H87,new_transmute,3,FALSE)
),
IF(Info!$B$4="Board program (Medicine)",
IF(OR(AND(H$5&gt;0,H$5&gt;100),AND(H$5&gt;0,H$5&lt;100)),
VLOOKUP(FLOOR(('Final Term'!H87/H$5)*100,1),new_transmute,4,FALSE),
VLOOKUP('Final Term'!H87,new_transmute,4,FALSE)
),
""
)
)
)
)
)
)
)
)
))</f>
        <v/>
      </c>
      <c r="I87" s="73" t="str">
        <f>IF($B87="","",
IF(I$5="","",
IF('Final Term'!I87="",0,
IF(NOT(ISNUMBER('Final Term'!I87)),"NAN",
IF('Final Term'!I87&lt;0,"NEG",
IF('Final Term'!I87&gt;I$5,"OVER",
IF(AND(I$5&lt;=100,'Final Term'!I87&gt;100),"ERR",
IF(Info!$B$4="Non-board program",
IF(OR(AND(I$5&gt;0,I$5&gt;100),AND(I$5&gt;0,I$5&lt;100)),
VLOOKUP(FLOOR(('Final Term'!I87/I$5)*100,1),new_transmute,2,FALSE),
VLOOKUP('Final Term'!I87,new_transmute,2,FALSE)
),
IF(Info!$B$4="Board program",
IF(OR(AND(I$5&gt;0,I$5&gt;100),AND(I$5&gt;0,I$5&lt;100)),
VLOOKUP(FLOOR(('Final Term'!I87/I$5)*100,1),new_transmute,3,FALSE),
VLOOKUP('Final Term'!I87,new_transmute,3,FALSE)
),
IF(Info!$B$4="Board program (Medicine)",
IF(OR(AND(I$5&gt;0,I$5&gt;100),AND(I$5&gt;0,I$5&lt;100)),
VLOOKUP(FLOOR(('Final Term'!I87/I$5)*100,1),new_transmute,4,FALSE),
VLOOKUP('Final Term'!I87,new_transmute,4,FALSE)
),
""
)
)
)
)
)
)
)
)
))</f>
        <v/>
      </c>
      <c r="J87" s="73" t="str">
        <f>IF($B87="","",
IF(J$5="","",
IF('Final Term'!J87="",0,
IF(NOT(ISNUMBER('Final Term'!J87)),"NAN",
IF('Final Term'!J87&lt;0,"NEG",
IF('Final Term'!J87&gt;J$5,"OVER",
IF(AND(J$5&lt;=100,'Final Term'!J87&gt;100),"ERR",
IF(Info!$B$4="Non-board program",
IF(OR(AND(J$5&gt;0,J$5&gt;100),AND(J$5&gt;0,J$5&lt;100)),
VLOOKUP(FLOOR(('Final Term'!J87/J$5)*100,1),new_transmute,2,FALSE),
VLOOKUP('Final Term'!J87,new_transmute,2,FALSE)
),
IF(Info!$B$4="Board program",
IF(OR(AND(J$5&gt;0,J$5&gt;100),AND(J$5&gt;0,J$5&lt;100)),
VLOOKUP(FLOOR(('Final Term'!J87/J$5)*100,1),new_transmute,3,FALSE),
VLOOKUP('Final Term'!J87,new_transmute,3,FALSE)
),
IF(Info!$B$4="Board program (Medicine)",
IF(OR(AND(J$5&gt;0,J$5&gt;100),AND(J$5&gt;0,J$5&lt;100)),
VLOOKUP(FLOOR(('Final Term'!J87/J$5)*100,1),new_transmute,4,FALSE),
VLOOKUP('Final Term'!J87,new_transmute,4,FALSE)
),
""
)
)
)
)
)
)
)
)
))</f>
        <v/>
      </c>
      <c r="K87" s="73" t="str">
        <f>IF($B87="","",
IF(K$5="","",
IF('Final Term'!K87="",0,
IF(NOT(ISNUMBER('Final Term'!K87)),"NAN",
IF('Final Term'!K87&lt;0,"NEG",
IF('Final Term'!K87&gt;K$5,"OVER",
IF(AND(K$5&lt;=100,'Final Term'!K87&gt;100),"ERR",
IF(Info!$B$4="Non-board program",
IF(OR(AND(K$5&gt;0,K$5&gt;100),AND(K$5&gt;0,K$5&lt;100)),
VLOOKUP(FLOOR(('Final Term'!K87/K$5)*100,1),new_transmute,2,FALSE),
VLOOKUP('Final Term'!K87,new_transmute,2,FALSE)
),
IF(Info!$B$4="Board program",
IF(OR(AND(K$5&gt;0,K$5&gt;100),AND(K$5&gt;0,K$5&lt;100)),
VLOOKUP(FLOOR(('Final Term'!K87/K$5)*100,1),new_transmute,3,FALSE),
VLOOKUP('Final Term'!K87,new_transmute,3,FALSE)
),
IF(Info!$B$4="Board program (Medicine)",
IF(OR(AND(K$5&gt;0,K$5&gt;100),AND(K$5&gt;0,K$5&lt;100)),
VLOOKUP(FLOOR(('Final Term'!K87/K$5)*100,1),new_transmute,4,FALSE),
VLOOKUP('Final Term'!K87,new_transmute,4,FALSE)
),
""
)
)
)
)
)
)
)
)
))</f>
        <v/>
      </c>
      <c r="L87" s="73" t="str">
        <f>IF($B87="","",
IF(L$5="","",
IF('Final Term'!L87="",0,
IF(NOT(ISNUMBER('Final Term'!L87)),"NAN",
IF('Final Term'!L87&lt;0,"NEG",
IF('Final Term'!L87&gt;L$5,"OVER",
IF(AND(L$5&lt;=100,'Final Term'!L87&gt;100),"ERR",
IF(Info!$B$4="Non-board program",
IF(OR(AND(L$5&gt;0,L$5&gt;100),AND(L$5&gt;0,L$5&lt;100)),
VLOOKUP(FLOOR(('Final Term'!L87/L$5)*100,1),new_transmute,2,FALSE),
VLOOKUP('Final Term'!L87,new_transmute,2,FALSE)
),
IF(Info!$B$4="Board program",
IF(OR(AND(L$5&gt;0,L$5&gt;100),AND(L$5&gt;0,L$5&lt;100)),
VLOOKUP(FLOOR(('Final Term'!L87/L$5)*100,1),new_transmute,3,FALSE),
VLOOKUP('Final Term'!L87,new_transmute,3,FALSE)
),
IF(Info!$B$4="Board program (Medicine)",
IF(OR(AND(L$5&gt;0,L$5&gt;100),AND(L$5&gt;0,L$5&lt;100)),
VLOOKUP(FLOOR(('Final Term'!L87/L$5)*100,1),new_transmute,4,FALSE),
VLOOKUP('Final Term'!L87,new_transmute,4,FALSE)
),
""
)
)
)
)
)
)
)
)
))</f>
        <v/>
      </c>
      <c r="M87" s="111" t="str">
        <f t="shared" si="12"/>
        <v/>
      </c>
      <c r="N87" s="73" t="str">
        <f>IF($B87="","",
IF(N$5="","",
IF('Final Term'!N87="",0,
IF(NOT(ISNUMBER('Final Term'!N87)),"NAN",
IF('Final Term'!N87&lt;0,"NEG",
IF('Final Term'!N87&gt;N$5,"OVER",
IF(AND(N$5&lt;=100,'Final Term'!N87&gt;100),"ERR",
IF(Info!$B$4="Non-board program",
IF(OR(AND(N$5&gt;0,N$5&gt;100),AND(N$5&gt;0,N$5&lt;100)),
VLOOKUP(FLOOR(('Final Term'!N87/N$5)*100,1),new_transmute,2,FALSE),
VLOOKUP('Final Term'!N87,new_transmute,2,FALSE)
),
IF(Info!$B$4="Board program",
IF(OR(AND(N$5&gt;0,N$5&gt;100),AND(N$5&gt;0,N$5&lt;100)),
VLOOKUP(FLOOR(('Final Term'!N87/N$5)*100,1),new_transmute,3,FALSE),
VLOOKUP('Final Term'!N87,new_transmute,3,FALSE)
),
IF(Info!$B$4="Board program (Medicine)",
IF(OR(AND(N$5&gt;0,N$5&gt;100),AND(N$5&gt;0,N$5&lt;100)),
VLOOKUP(FLOOR(('Final Term'!N87/N$5)*100,1),new_transmute,4,FALSE),
VLOOKUP('Final Term'!N87,new_transmute,4,FALSE)
),
""
)
)
)
)
)
)
)
)
))</f>
        <v/>
      </c>
      <c r="O87" s="73" t="str">
        <f>IF($B87="","",
IF(O$5="","",
IF('Final Term'!O87="",0,
IF(NOT(ISNUMBER('Final Term'!O87)),"NAN",
IF('Final Term'!O87&lt;0,"NEG",
IF('Final Term'!O87&gt;O$5,"OVER",
IF(AND(O$5&lt;=100,'Final Term'!O87&gt;100),"ERR",
IF(Info!$B$4="Non-board program",
IF(OR(AND(O$5&gt;0,O$5&gt;100),AND(O$5&gt;0,O$5&lt;100)),
VLOOKUP(FLOOR(('Final Term'!O87/O$5)*100,1),new_transmute,2,FALSE),
VLOOKUP('Final Term'!O87,new_transmute,2,FALSE)
),
IF(Info!$B$4="Board program",
IF(OR(AND(O$5&gt;0,O$5&gt;100),AND(O$5&gt;0,O$5&lt;100)),
VLOOKUP(FLOOR(('Final Term'!O87/O$5)*100,1),new_transmute,3,FALSE),
VLOOKUP('Final Term'!O87,new_transmute,3,FALSE)
),
IF(Info!$B$4="Board program (Medicine)",
IF(OR(AND(O$5&gt;0,O$5&gt;100),AND(O$5&gt;0,O$5&lt;100)),
VLOOKUP(FLOOR(('Final Term'!O87/O$5)*100,1),new_transmute,4,FALSE),
VLOOKUP('Final Term'!O87,new_transmute,4,FALSE)
),
""
)
)
)
)
)
)
)
)
))</f>
        <v/>
      </c>
      <c r="P87" s="73" t="str">
        <f>IF($B87="","",
IF(P$5="","",
IF('Final Term'!P87="",0,
IF(NOT(ISNUMBER('Final Term'!P87)),"NAN",
IF('Final Term'!P87&lt;0,"NEG",
IF('Final Term'!P87&gt;P$5,"OVER",
IF(AND(P$5&lt;=100,'Final Term'!P87&gt;100),"ERR",
IF(Info!$B$4="Non-board program",
IF(OR(AND(P$5&gt;0,P$5&gt;100),AND(P$5&gt;0,P$5&lt;100)),
VLOOKUP(FLOOR(('Final Term'!P87/P$5)*100,1),new_transmute,2,FALSE),
VLOOKUP('Final Term'!P87,new_transmute,2,FALSE)
),
IF(Info!$B$4="Board program",
IF(OR(AND(P$5&gt;0,P$5&gt;100),AND(P$5&gt;0,P$5&lt;100)),
VLOOKUP(FLOOR(('Final Term'!P87/P$5)*100,1),new_transmute,3,FALSE),
VLOOKUP('Final Term'!P87,new_transmute,3,FALSE)
),
IF(Info!$B$4="Board program (Medicine)",
IF(OR(AND(P$5&gt;0,P$5&gt;100),AND(P$5&gt;0,P$5&lt;100)),
VLOOKUP(FLOOR(('Final Term'!P87/P$5)*100,1),new_transmute,4,FALSE),
VLOOKUP('Final Term'!P87,new_transmute,4,FALSE)
),
""
)
)
)
)
)
)
)
)
))</f>
        <v/>
      </c>
      <c r="Q87" s="73" t="str">
        <f>IF($B87="","",
IF(Q$5="","",
IF('Final Term'!Q87="",0,
IF(NOT(ISNUMBER('Final Term'!Q87)),"NAN",
IF('Final Term'!Q87&lt;0,"NEG",
IF('Final Term'!Q87&gt;Q$5,"OVER",
IF(AND(Q$5&lt;=100,'Final Term'!Q87&gt;100),"ERR",
IF(Info!$B$4="Non-board program",
IF(OR(AND(Q$5&gt;0,Q$5&gt;100),AND(Q$5&gt;0,Q$5&lt;100)),
VLOOKUP(FLOOR(('Final Term'!Q87/Q$5)*100,1),new_transmute,2,FALSE),
VLOOKUP('Final Term'!Q87,new_transmute,2,FALSE)
),
IF(Info!$B$4="Board program",
IF(OR(AND(Q$5&gt;0,Q$5&gt;100),AND(Q$5&gt;0,Q$5&lt;100)),
VLOOKUP(FLOOR(('Final Term'!Q87/Q$5)*100,1),new_transmute,3,FALSE),
VLOOKUP('Final Term'!Q87,new_transmute,3,FALSE)
),
IF(Info!$B$4="Board program (Medicine)",
IF(OR(AND(Q$5&gt;0,Q$5&gt;100),AND(Q$5&gt;0,Q$5&lt;100)),
VLOOKUP(FLOOR(('Final Term'!Q87/Q$5)*100,1),new_transmute,4,FALSE),
VLOOKUP('Final Term'!Q87,new_transmute,4,FALSE)
),
""
)
)
)
)
)
)
)
)
))</f>
        <v/>
      </c>
      <c r="R87" s="73" t="str">
        <f>IF($B87="","",
IF(R$5="","",
IF('Final Term'!R87="",0,
IF(NOT(ISNUMBER('Final Term'!R87)),"NAN",
IF('Final Term'!R87&lt;0,"NEG",
IF('Final Term'!R87&gt;R$5,"OVER",
IF(AND(R$5&lt;=100,'Final Term'!R87&gt;100),"ERR",
IF(Info!$B$4="Non-board program",
IF(OR(AND(R$5&gt;0,R$5&gt;100),AND(R$5&gt;0,R$5&lt;100)),
VLOOKUP(FLOOR(('Final Term'!R87/R$5)*100,1),new_transmute,2,FALSE),
VLOOKUP('Final Term'!R87,new_transmute,2,FALSE)
),
IF(Info!$B$4="Board program",
IF(OR(AND(R$5&gt;0,R$5&gt;100),AND(R$5&gt;0,R$5&lt;100)),
VLOOKUP(FLOOR(('Final Term'!R87/R$5)*100,1),new_transmute,3,FALSE),
VLOOKUP('Final Term'!R87,new_transmute,3,FALSE)
),
IF(Info!$B$4="Board program (Medicine)",
IF(OR(AND(R$5&gt;0,R$5&gt;100),AND(R$5&gt;0,R$5&lt;100)),
VLOOKUP(FLOOR(('Final Term'!R87/R$5)*100,1),new_transmute,4,FALSE),
VLOOKUP('Final Term'!R87,new_transmute,4,FALSE)
),
""
)
)
)
)
)
)
)
)
))</f>
        <v/>
      </c>
      <c r="S87" s="115" t="str">
        <f t="shared" si="13"/>
        <v/>
      </c>
      <c r="T87" s="73" t="str">
        <f>IF($B87="","",
IF(T$5="","",
IF('Final Term'!T87="",0,
IF(NOT(ISNUMBER('Final Term'!T87)),"NAN",
IF('Final Term'!T87&lt;0,"NEG",
IF('Final Term'!T87&gt;T$5,"OVER",
IF(AND(T$5&lt;=100,'Final Term'!T87&gt;100),"ERR",
IF(Info!$B$4="Non-board program",
IF(OR(AND(T$5&gt;0,T$5&gt;100),AND(T$5&gt;0,T$5&lt;100)),
VLOOKUP(FLOOR(('Final Term'!T87/T$5)*100,1),new_transmute,2,FALSE),
VLOOKUP('Final Term'!T87,new_transmute,2,FALSE)
),
IF(Info!$B$4="Board program",
IF(OR(AND(T$5&gt;0,T$5&gt;100),AND(T$5&gt;0,T$5&lt;100)),
VLOOKUP(FLOOR(('Final Term'!T87/T$5)*100,1),new_transmute,3,FALSE),
VLOOKUP('Final Term'!T87,new_transmute,3,FALSE)
),
IF(Info!$B$4="Board program (Medicine)",
IF(OR(AND(T$5&gt;0,T$5&gt;100),AND(T$5&gt;0,T$5&lt;100)),
VLOOKUP(FLOOR(('Final Term'!T87/T$5)*100,1),new_transmute,4,FALSE),
VLOOKUP('Final Term'!T87,new_transmute,4,FALSE)
),
""
)
)
)
)
)
)
)
)
))</f>
        <v/>
      </c>
      <c r="U87" s="73" t="str">
        <f>IF($B87="","",
IF(U$5="","",
IF('Final Term'!U87="",0,
IF(NOT(ISNUMBER('Final Term'!U87)),"NAN",
IF('Final Term'!U87&lt;0,"NEG",
IF('Final Term'!U87&gt;U$5,"OVER",
IF(AND(U$5&lt;=100,'Final Term'!U87&gt;100),"ERR",
IF(Info!$B$4="Non-board program",
IF(OR(AND(U$5&gt;0,U$5&gt;100),AND(U$5&gt;0,U$5&lt;100)),
VLOOKUP(FLOOR(('Final Term'!U87/U$5)*100,1),new_transmute,2,FALSE),
VLOOKUP('Final Term'!U87,new_transmute,2,FALSE)
),
IF(Info!$B$4="Board program",
IF(OR(AND(U$5&gt;0,U$5&gt;100),AND(U$5&gt;0,U$5&lt;100)),
VLOOKUP(FLOOR(('Final Term'!U87/U$5)*100,1),new_transmute,3,FALSE),
VLOOKUP('Final Term'!U87,new_transmute,3,FALSE)
),
IF(Info!$B$4="Board program (Medicine)",
IF(OR(AND(U$5&gt;0,U$5&gt;100),AND(U$5&gt;0,U$5&lt;100)),
VLOOKUP(FLOOR(('Final Term'!U87/U$5)*100,1),new_transmute,4,FALSE),
VLOOKUP('Final Term'!U87,new_transmute,4,FALSE)
),
""
)
)
)
)
)
)
)
)
))</f>
        <v/>
      </c>
      <c r="V87" s="73" t="str">
        <f>IF($B87="","",
IF(V$5="","",
IF('Final Term'!V87="",0,
IF(NOT(ISNUMBER('Final Term'!V87)),"NAN",
IF('Final Term'!V87&lt;0,"NEG",
IF('Final Term'!V87&gt;V$5,"OVER",
IF(AND(V$5&lt;=100,'Final Term'!V87&gt;100),"ERR",
IF(Info!$B$4="Non-board program",
IF(OR(AND(V$5&gt;0,V$5&gt;100),AND(V$5&gt;0,V$5&lt;100)),
VLOOKUP(FLOOR(('Final Term'!V87/V$5)*100,1),new_transmute,2,FALSE),
VLOOKUP('Final Term'!V87,new_transmute,2,FALSE)
),
IF(Info!$B$4="Board program",
IF(OR(AND(V$5&gt;0,V$5&gt;100),AND(V$5&gt;0,V$5&lt;100)),
VLOOKUP(FLOOR(('Final Term'!V87/V$5)*100,1),new_transmute,3,FALSE),
VLOOKUP('Final Term'!V87,new_transmute,3,FALSE)
),
IF(Info!$B$4="Board program (Medicine)",
IF(OR(AND(V$5&gt;0,V$5&gt;100),AND(V$5&gt;0,V$5&lt;100)),
VLOOKUP(FLOOR(('Final Term'!V87/V$5)*100,1),new_transmute,4,FALSE),
VLOOKUP('Final Term'!V87,new_transmute,4,FALSE)
),
""
)
)
)
)
)
)
)
)
))</f>
        <v/>
      </c>
      <c r="W87" s="73" t="str">
        <f>IF($B87="","",
IF(W$5="","",
IF('Final Term'!W87="",0,
IF(NOT(ISNUMBER('Final Term'!W87)),"NAN",
IF('Final Term'!W87&lt;0,"NEG",
IF('Final Term'!W87&gt;W$5,"OVER",
IF(AND(W$5&lt;=100,'Final Term'!W87&gt;100),"ERR",
IF(Info!$B$4="Non-board program",
IF(OR(AND(W$5&gt;0,W$5&gt;100),AND(W$5&gt;0,W$5&lt;100)),
VLOOKUP(FLOOR(('Final Term'!W87/W$5)*100,1),new_transmute,2,FALSE),
VLOOKUP('Final Term'!W87,new_transmute,2,FALSE)
),
IF(Info!$B$4="Board program",
IF(OR(AND(W$5&gt;0,W$5&gt;100),AND(W$5&gt;0,W$5&lt;100)),
VLOOKUP(FLOOR(('Final Term'!W87/W$5)*100,1),new_transmute,3,FALSE),
VLOOKUP('Final Term'!W87,new_transmute,3,FALSE)
),
IF(Info!$B$4="Board program (Medicine)",
IF(OR(AND(W$5&gt;0,W$5&gt;100),AND(W$5&gt;0,W$5&lt;100)),
VLOOKUP(FLOOR(('Final Term'!W87/W$5)*100,1),new_transmute,4,FALSE),
VLOOKUP('Final Term'!W87,new_transmute,4,FALSE)
),
""
)
)
)
)
)
)
)
)
))</f>
        <v/>
      </c>
      <c r="X87" s="73" t="str">
        <f>IF($B87="","",
IF(X$5="","",
IF('Final Term'!X87="",0,
IF(NOT(ISNUMBER('Final Term'!X87)),"NAN",
IF('Final Term'!X87&lt;0,"NEG",
IF('Final Term'!X87&gt;X$5,"OVER",
IF(AND(X$5&lt;=100,'Final Term'!X87&gt;100),"ERR",
IF(Info!$B$4="Non-board program",
IF(OR(AND(X$5&gt;0,X$5&gt;100),AND(X$5&gt;0,X$5&lt;100)),
VLOOKUP(FLOOR(('Final Term'!X87/X$5)*100,1),new_transmute,2,FALSE),
VLOOKUP('Final Term'!X87,new_transmute,2,FALSE)
),
IF(Info!$B$4="Board program",
IF(OR(AND(X$5&gt;0,X$5&gt;100),AND(X$5&gt;0,X$5&lt;100)),
VLOOKUP(FLOOR(('Final Term'!X87/X$5)*100,1),new_transmute,3,FALSE),
VLOOKUP('Final Term'!X87,new_transmute,3,FALSE)
),
IF(Info!$B$4="Board program (Medicine)",
IF(OR(AND(X$5&gt;0,X$5&gt;100),AND(X$5&gt;0,X$5&lt;100)),
VLOOKUP(FLOOR(('Final Term'!X87/X$5)*100,1),new_transmute,4,FALSE),
VLOOKUP('Final Term'!X87,new_transmute,4,FALSE)
),
""
)
)
)
)
)
)
)
)
))</f>
        <v/>
      </c>
      <c r="Y87" s="112" t="str">
        <f t="shared" si="14"/>
        <v/>
      </c>
      <c r="Z87" s="73" t="str">
        <f>IF($B87="","",
IF(Z$5="","",
IF('Final Term'!Z87="",0,
IF(NOT(ISNUMBER('Final Term'!Z87)),"NAN",
IF('Final Term'!Z87&lt;0,"NEG",
IF('Final Term'!Z87&gt;Z$5,"OVER",
IF(AND(Z$5&lt;=100,'Final Term'!Z87&gt;100),"ERR",
IF(Info!$B$4="Non-board program",
IF(OR(AND(Z$5&gt;0,Z$5&gt;100),AND(Z$5&gt;0,Z$5&lt;100)),
VLOOKUP(FLOOR(('Final Term'!Z87/Z$5)*100,1),new_transmute,2,FALSE),
VLOOKUP('Final Term'!Z87,new_transmute,2,FALSE)
),
IF(Info!$B$4="Board program",
IF(OR(AND(Z$5&gt;0,Z$5&gt;100),AND(Z$5&gt;0,Z$5&lt;100)),
VLOOKUP(FLOOR(('Final Term'!Z87/Z$5)*100,1),new_transmute,3,FALSE),
VLOOKUP('Final Term'!Z87,new_transmute,3,FALSE)
),
IF(Info!$B$4="Board program (Medicine)",
IF(OR(AND(Z$5&gt;0,Z$5&gt;100),AND(Z$5&gt;0,Z$5&lt;100)),
VLOOKUP(FLOOR(('Final Term'!Z87/Z$5)*100,1),new_transmute,4,FALSE),
VLOOKUP('Final Term'!Z87,new_transmute,4,FALSE)
),
""
)
)
)
)
)
)
)
)
))</f>
        <v/>
      </c>
      <c r="AA87" s="73" t="str">
        <f>IF($B87="","",
IF(AA$5="","",
IF('Final Term'!AA87="",0,
IF(NOT(ISNUMBER('Final Term'!AA87)),"NAN",
IF('Final Term'!AA87&lt;0,"NEG",
IF('Final Term'!AA87&gt;AA$5,"OVER",
IF(AND(AA$5&lt;=100,'Final Term'!AA87&gt;100),"ERR",
IF(Info!$B$4="Non-board program",
IF(OR(AND(AA$5&gt;0,AA$5&gt;100),AND(AA$5&gt;0,AA$5&lt;100)),
VLOOKUP(FLOOR(('Final Term'!AA87/AA$5)*100,1),new_transmute,2,FALSE),
VLOOKUP('Final Term'!AA87,new_transmute,2,FALSE)
),
IF(Info!$B$4="Board program",
IF(OR(AND(AA$5&gt;0,AA$5&gt;100),AND(AA$5&gt;0,AA$5&lt;100)),
VLOOKUP(FLOOR(('Final Term'!AA87/AA$5)*100,1),new_transmute,3,FALSE),
VLOOKUP('Final Term'!AA87,new_transmute,3,FALSE)
),
IF(Info!$B$4="Board program (Medicine)",
IF(OR(AND(AA$5&gt;0,AA$5&gt;100),AND(AA$5&gt;0,AA$5&lt;100)),
VLOOKUP(FLOOR(('Final Term'!AA87/AA$5)*100,1),new_transmute,4,FALSE),
VLOOKUP('Final Term'!AA87,new_transmute,4,FALSE)
),
""
)
)
)
)
)
)
)
)
))</f>
        <v/>
      </c>
      <c r="AB87" s="73" t="str">
        <f>IF($B87="","",
IF(AB$5="","",
IF('Final Term'!AB87="",0,
IF(NOT(ISNUMBER('Final Term'!AB87)),"NAN",
IF('Final Term'!AB87&lt;0,"NEG",
IF('Final Term'!AB87&gt;AB$5,"OVER",
IF(AND(AB$5&lt;=100,'Final Term'!AB87&gt;100),"ERR",
IF(Info!$B$4="Non-board program",
IF(OR(AND(AB$5&gt;0,AB$5&gt;100),AND(AB$5&gt;0,AB$5&lt;100)),
VLOOKUP(FLOOR(('Final Term'!AB87/AB$5)*100,1),new_transmute,2,FALSE),
VLOOKUP('Final Term'!AB87,new_transmute,2,FALSE)
),
IF(Info!$B$4="Board program",
IF(OR(AND(AB$5&gt;0,AB$5&gt;100),AND(AB$5&gt;0,AB$5&lt;100)),
VLOOKUP(FLOOR(('Final Term'!AB87/AB$5)*100,1),new_transmute,3,FALSE),
VLOOKUP('Final Term'!AB87,new_transmute,3,FALSE)
),
IF(Info!$B$4="Board program (Medicine)",
IF(OR(AND(AB$5&gt;0,AB$5&gt;100),AND(AB$5&gt;0,AB$5&lt;100)),
VLOOKUP(FLOOR(('Final Term'!AB87/AB$5)*100,1),new_transmute,4,FALSE),
VLOOKUP('Final Term'!AB87,new_transmute,4,FALSE)
),
""
)
)
)
)
)
)
)
)
))</f>
        <v/>
      </c>
      <c r="AC87" s="73" t="str">
        <f>IF($B87="","",
IF(AC$5="","",
IF('Final Term'!AC87="",0,
IF(NOT(ISNUMBER('Final Term'!AC87)),"NAN",
IF('Final Term'!AC87&lt;0,"NEG",
IF('Final Term'!AC87&gt;AC$5,"OVER",
IF(AND(AC$5&lt;=100,'Final Term'!AC87&gt;100),"ERR",
IF(Info!$B$4="Non-board program",
IF(OR(AND(AC$5&gt;0,AC$5&gt;100),AND(AC$5&gt;0,AC$5&lt;100)),
VLOOKUP(FLOOR(('Final Term'!AC87/AC$5)*100,1),new_transmute,2,FALSE),
VLOOKUP('Final Term'!AC87,new_transmute,2,FALSE)
),
IF(Info!$B$4="Board program",
IF(OR(AND(AC$5&gt;0,AC$5&gt;100),AND(AC$5&gt;0,AC$5&lt;100)),
VLOOKUP(FLOOR(('Final Term'!AC87/AC$5)*100,1),new_transmute,3,FALSE),
VLOOKUP('Final Term'!AC87,new_transmute,3,FALSE)
),
IF(Info!$B$4="Board program (Medicine)",
IF(OR(AND(AC$5&gt;0,AC$5&gt;100),AND(AC$5&gt;0,AC$5&lt;100)),
VLOOKUP(FLOOR(('Final Term'!AC87/AC$5)*100,1),new_transmute,4,FALSE),
VLOOKUP('Final Term'!AC87,new_transmute,4,FALSE)
),
""
)
)
)
)
)
)
)
)
))</f>
        <v/>
      </c>
      <c r="AD87" s="73" t="str">
        <f>IF($B87="","",
IF(AD$5="","",
IF('Final Term'!AD87="",0,
IF(NOT(ISNUMBER('Final Term'!AD87)),"NAN",
IF('Final Term'!AD87&lt;0,"NEG",
IF('Final Term'!AD87&gt;AD$5,"OVER",
IF(AND(AD$5&lt;=100,'Final Term'!AD87&gt;100),"ERR",
IF(Info!$B$4="Non-board program",
IF(OR(AND(AD$5&gt;0,AD$5&gt;100),AND(AD$5&gt;0,AD$5&lt;100)),
VLOOKUP(FLOOR(('Final Term'!AD87/AD$5)*100,1),new_transmute,2,FALSE),
VLOOKUP('Final Term'!AD87,new_transmute,2,FALSE)
),
IF(Info!$B$4="Board program",
IF(OR(AND(AD$5&gt;0,AD$5&gt;100),AND(AD$5&gt;0,AD$5&lt;100)),
VLOOKUP(FLOOR(('Final Term'!AD87/AD$5)*100,1),new_transmute,3,FALSE),
VLOOKUP('Final Term'!AD87,new_transmute,3,FALSE)
),
IF(Info!$B$4="Board program (Medicine)",
IF(OR(AND(AD$5&gt;0,AD$5&gt;100),AND(AD$5&gt;0,AD$5&lt;100)),
VLOOKUP(FLOOR(('Final Term'!AD87/AD$5)*100,1),new_transmute,4,FALSE),
VLOOKUP('Final Term'!AD87,new_transmute,4,FALSE)
),
""
)
)
)
)
)
)
)
)
))</f>
        <v/>
      </c>
      <c r="AE87" s="58" t="str">
        <f t="shared" si="15"/>
        <v/>
      </c>
      <c r="AF87" s="73" t="str">
        <f>IF($B87="","",
IF(AF$5="","",
IF('Final Term'!AF87="",0,
IF(NOT(ISNUMBER('Final Term'!AF87)),"NAN",
IF('Final Term'!AF87&lt;0,"NEG",
IF('Final Term'!AF87&gt;AF$5,"OVER",
IF(AND(AF$5&lt;=100,'Final Term'!AF87&gt;100),"ERR",
IF(Info!$B$4="Non-board program",
IF(OR(AND(AF$5&gt;0,AF$5&gt;100),AND(AF$5&gt;0,AF$5&lt;100)),
VLOOKUP(FLOOR(('Final Term'!AF87/AF$5)*100,1),new_transmute,2,FALSE),
VLOOKUP('Final Term'!AF87,new_transmute,2,FALSE)
),
IF(Info!$B$4="Board program",
IF(OR(AND(AF$5&gt;0,AF$5&gt;100),AND(AF$5&gt;0,AF$5&lt;100)),
VLOOKUP(FLOOR(('Final Term'!AF87/AF$5)*100,1),new_transmute,3,FALSE),
VLOOKUP('Final Term'!AF87,new_transmute,3,FALSE)
),
IF(Info!$B$4="Board program (Medicine)",
IF(OR(AND(AF$5&gt;0,AF$5&gt;100),AND(AF$5&gt;0,AF$5&lt;100)),
VLOOKUP(FLOOR(('Final Term'!AF87/AF$5)*100,1),new_transmute,4,FALSE),
VLOOKUP('Final Term'!AF87,new_transmute,4,FALSE)
),
""
)
)
)
)
)
)
)
)
))</f>
        <v/>
      </c>
      <c r="AG87" s="73" t="str">
        <f>IF($B87="","",
IF(AG$5="","",
IF('Final Term'!AG87="",0,
IF(NOT(ISNUMBER('Final Term'!AG87)),"NAN",
IF('Final Term'!AG87&lt;0,"NEG",
IF('Final Term'!AG87&gt;AG$5,"OVER",
IF(AND(AG$5&lt;=100,'Final Term'!AG87&gt;100),"ERR",
IF(Info!$B$4="Non-board program",
IF(OR(AND(AG$5&gt;0,AG$5&gt;100),AND(AG$5&gt;0,AG$5&lt;100)),
VLOOKUP(FLOOR(('Final Term'!AG87/AG$5)*100,1),new_transmute,2,FALSE),
VLOOKUP('Final Term'!AG87,new_transmute,2,FALSE)
),
IF(Info!$B$4="Board program",
IF(OR(AND(AG$5&gt;0,AG$5&gt;100),AND(AG$5&gt;0,AG$5&lt;100)),
VLOOKUP(FLOOR(('Final Term'!AG87/AG$5)*100,1),new_transmute,3,FALSE),
VLOOKUP('Final Term'!AG87,new_transmute,3,FALSE)
),
IF(Info!$B$4="Board program (Medicine)",
IF(OR(AND(AG$5&gt;0,AG$5&gt;100),AND(AG$5&gt;0,AG$5&lt;100)),
VLOOKUP(FLOOR(('Final Term'!AG87/AG$5)*100,1),new_transmute,4,FALSE),
VLOOKUP('Final Term'!AG87,new_transmute,4,FALSE)
),
""
)
)
)
)
)
)
)
)
))</f>
        <v/>
      </c>
      <c r="AH87" s="73" t="str">
        <f>IF($B87="","",
IF(AH$5="","",
IF('Final Term'!AH87="",0,
IF(NOT(ISNUMBER('Final Term'!AH87)),"NAN",
IF('Final Term'!AH87&lt;0,"NEG",
IF('Final Term'!AH87&gt;AH$5,"OVER",
IF(AND(AH$5&lt;=100,'Final Term'!AH87&gt;100),"ERR",
IF(Info!$B$4="Non-board program",
IF(OR(AND(AH$5&gt;0,AH$5&gt;100),AND(AH$5&gt;0,AH$5&lt;100)),
VLOOKUP(FLOOR(('Final Term'!AH87/AH$5)*100,1),new_transmute,2,FALSE),
VLOOKUP('Final Term'!AH87,new_transmute,2,FALSE)
),
IF(Info!$B$4="Board program",
IF(OR(AND(AH$5&gt;0,AH$5&gt;100),AND(AH$5&gt;0,AH$5&lt;100)),
VLOOKUP(FLOOR(('Final Term'!AH87/AH$5)*100,1),new_transmute,3,FALSE),
VLOOKUP('Final Term'!AH87,new_transmute,3,FALSE)
),
IF(Info!$B$4="Board program (Medicine)",
IF(OR(AND(AH$5&gt;0,AH$5&gt;100),AND(AH$5&gt;0,AH$5&lt;100)),
VLOOKUP(FLOOR(('Final Term'!AH87/AH$5)*100,1),new_transmute,4,FALSE),
VLOOKUP('Final Term'!AH87,new_transmute,4,FALSE)
),
""
)
)
)
)
)
)
)
)
))</f>
        <v/>
      </c>
      <c r="AI87" s="73" t="str">
        <f>IF($B87="","",
IF(AI$5="","",
IF('Final Term'!AI87="",0,
IF(NOT(ISNUMBER('Final Term'!AI87)),"NAN",
IF('Final Term'!AI87&lt;0,"NEG",
IF('Final Term'!AI87&gt;AI$5,"OVER",
IF(AND(AI$5&lt;=100,'Final Term'!AI87&gt;100),"ERR",
IF(Info!$B$4="Non-board program",
IF(OR(AND(AI$5&gt;0,AI$5&gt;100),AND(AI$5&gt;0,AI$5&lt;100)),
VLOOKUP(FLOOR(('Final Term'!AI87/AI$5)*100,1),new_transmute,2,FALSE),
VLOOKUP('Final Term'!AI87,new_transmute,2,FALSE)
),
IF(Info!$B$4="Board program",
IF(OR(AND(AI$5&gt;0,AI$5&gt;100),AND(AI$5&gt;0,AI$5&lt;100)),
VLOOKUP(FLOOR(('Final Term'!AI87/AI$5)*100,1),new_transmute,3,FALSE),
VLOOKUP('Final Term'!AI87,new_transmute,3,FALSE)
),
IF(Info!$B$4="Board program (Medicine)",
IF(OR(AND(AI$5&gt;0,AI$5&gt;100),AND(AI$5&gt;0,AI$5&lt;100)),
VLOOKUP(FLOOR(('Final Term'!AI87/AI$5)*100,1),new_transmute,4,FALSE),
VLOOKUP('Final Term'!AI87,new_transmute,4,FALSE)
),
""
)
)
)
)
)
)
)
)
))</f>
        <v/>
      </c>
      <c r="AJ87" s="73" t="str">
        <f>IF($B87="","",
IF(AJ$5="","",
IF('Final Term'!AJ87="",0,
IF(NOT(ISNUMBER('Final Term'!AJ87)),"NAN",
IF('Final Term'!AJ87&lt;0,"NEG",
IF('Final Term'!AJ87&gt;AJ$5,"OVER",
IF(AND(AJ$5&lt;=100,'Final Term'!AJ87&gt;100),"ERR",
IF(Info!$B$4="Non-board program",
IF(OR(AND(AJ$5&gt;0,AJ$5&gt;100),AND(AJ$5&gt;0,AJ$5&lt;100)),
VLOOKUP(FLOOR(('Final Term'!AJ87/AJ$5)*100,1),new_transmute,2,FALSE),
VLOOKUP('Final Term'!AJ87,new_transmute,2,FALSE)
),
IF(Info!$B$4="Board program",
IF(OR(AND(AJ$5&gt;0,AJ$5&gt;100),AND(AJ$5&gt;0,AJ$5&lt;100)),
VLOOKUP(FLOOR(('Final Term'!AJ87/AJ$5)*100,1),new_transmute,3,FALSE),
VLOOKUP('Final Term'!AJ87,new_transmute,3,FALSE)
),
IF(Info!$B$4="Board program (Medicine)",
IF(OR(AND(AJ$5&gt;0,AJ$5&gt;100),AND(AJ$5&gt;0,AJ$5&lt;100)),
VLOOKUP(FLOOR(('Final Term'!AJ87/AJ$5)*100,1),new_transmute,4,FALSE),
VLOOKUP('Final Term'!AJ87,new_transmute,4,FALSE)
),
""
)
)
)
)
)
)
)
)
))</f>
        <v/>
      </c>
      <c r="AK87" s="59" t="str">
        <f t="shared" si="16"/>
        <v/>
      </c>
      <c r="AL87" s="60" t="str">
        <f>IF(B87="", "",
    IF(OR(M87="OVER", S87="OVER", Y87="OVER", AE87="OVER", AK87="OVER"),
        "OVER",
        IF(Info!$B$4="Non-board program",
            VLOOKUP(IFERROR(FLOOR(SUM((M87*$M$4), (S87*$S$4), (Y87*$Y$4), (AE87*$AE$4), (AK87*$AK$4)) * (100 / 60), 1), 0), new_transmute, 2, FALSE),
            IF(Info!$B$4="Board program",
                VLOOKUP(IFERROR(FLOOR(SUM((M87*$M$4), (S87*$S$4), (Y87*$Y$4), (AE87*$AE$4), (AK87*$AK$4)) * (100 / 60), 1), 0), new_transmute, 3, FALSE),
                IF(Info!$B$4="Board program (Medicine)",
                    VLOOKUP(IFERROR(FLOOR(SUM((M87*$M$4), (S87*$S$4), (Y87*$Y$4), (AE87*$AE$4), (AK87*$AK$4)) * (100 / 60), 1), 0), new_transmute, 4, FALSE),
                    ""
                )
            )
        )
    )
)</f>
        <v/>
      </c>
      <c r="AM87" s="73" t="str">
        <f>IF($B87="","",
IF(AM$5="","",
IF('Final Term'!AM87="",0,
IF(NOT(ISNUMBER('Final Term'!AM87)),"NAN",
IF('Final Term'!AM87&lt;0,"NEG",
IF('Final Term'!AM87&gt;AM$5,"OVER",
IF(AND(AM$5&lt;=100,'Final Term'!AM87&gt;100),"ERR",
IF(Info!$B$4="Non-board program",
IF(OR(AND(AM$5&gt;0,AM$5&gt;100),AND(AM$5&gt;0,AM$5&lt;100)),
VLOOKUP(FLOOR(('Final Term'!AM87/AM$5)*100,1),new_transmute,2,FALSE),
VLOOKUP('Final Term'!AM87,new_transmute,2,FALSE)
),
IF(Info!$B$4="Board program",
IF(OR(AND(AM$5&gt;0,AM$5&gt;100),AND(AM$5&gt;0,AM$5&lt;100)),
VLOOKUP(FLOOR(('Final Term'!AM87/AM$5)*100,1),new_transmute,3,FALSE),
VLOOKUP('Final Term'!AM87,new_transmute,3,FALSE)
),
IF(Info!$B$4="Board program (Medicine)",
IF(OR(AND(AM$5&gt;0,AM$5&gt;100),AND(AM$5&gt;0,AM$5&lt;100)),
VLOOKUP(FLOOR(('Final Term'!AM87/AM$5)*100,1),new_transmute,4,FALSE),
VLOOKUP('Final Term'!AM87,new_transmute,4,FALSE)
),
""
)
)
)
)
)
)
)
)
))</f>
        <v/>
      </c>
      <c r="AN87" s="73" t="str">
        <f>IF($B87="","",
IF(AN$5="","",
IF('Final Term'!AN87="",0,
IF(NOT(ISNUMBER('Final Term'!AN87)),"NAN",
IF('Final Term'!AN87&lt;0,"NEG",
IF('Final Term'!AN87&gt;AN$5,"OVER",
IF(AND(AN$5&lt;=100,'Final Term'!AN87&gt;100),"ERR",
IF(Info!$B$4="Non-board program",
IF(OR(AND(AN$5&gt;0,AN$5&gt;100),AND(AN$5&gt;0,AN$5&lt;100)),
VLOOKUP(FLOOR(('Final Term'!AN87/AN$5)*100,1),new_transmute,2,FALSE),
VLOOKUP('Final Term'!AN87,new_transmute,2,FALSE)
),
IF(Info!$B$4="Board program",
IF(OR(AND(AN$5&gt;0,AN$5&gt;100),AND(AN$5&gt;0,AN$5&lt;100)),
VLOOKUP(FLOOR(('Final Term'!AN87/AN$5)*100,1),new_transmute,3,FALSE),
VLOOKUP('Final Term'!AN87,new_transmute,3,FALSE)
),
IF(Info!$B$4="Board program (Medicine)",
IF(OR(AND(AN$5&gt;0,AN$5&gt;100),AND(AN$5&gt;0,AN$5&lt;100)),
VLOOKUP(FLOOR(('Final Term'!AN87/AN$5)*100,1),new_transmute,4,FALSE),
VLOOKUP('Final Term'!AN87,new_transmute,4,FALSE)
),
""
)
)
)
)
)
)
)
)
))</f>
        <v/>
      </c>
      <c r="AO87" s="73" t="str">
        <f>IF($B87="","",
IF(AO$5="","",
IF('Final Term'!AO87="",0,
IF(NOT(ISNUMBER('Final Term'!AO87)),"NAN",
IF('Final Term'!AO87&lt;0,"NEG",
IF('Final Term'!AO87&gt;AO$5,"OVER",
IF(AND(AO$5&lt;=100,'Final Term'!AO87&gt;100),"ERR",
IF(Info!$B$4="Non-board program",
IF(OR(AND(AO$5&gt;0,AO$5&gt;100),AND(AO$5&gt;0,AO$5&lt;100)),
VLOOKUP(FLOOR(('Final Term'!AO87/AO$5)*100,1),new_transmute,2,FALSE),
VLOOKUP('Final Term'!AO87,new_transmute,2,FALSE)
),
IF(Info!$B$4="Board program",
IF(OR(AND(AO$5&gt;0,AO$5&gt;100),AND(AO$5&gt;0,AO$5&lt;100)),
VLOOKUP(FLOOR(('Final Term'!AO87/AO$5)*100,1),new_transmute,3,FALSE),
VLOOKUP('Final Term'!AO87,new_transmute,3,FALSE)
),
IF(Info!$B$4="Board program (Medicine)",
IF(OR(AND(AO$5&gt;0,AO$5&gt;100),AND(AO$5&gt;0,AO$5&lt;100)),
VLOOKUP(FLOOR(('Final Term'!AO87/AO$5)*100,1),new_transmute,4,FALSE),
VLOOKUP('Final Term'!AO87,new_transmute,4,FALSE)
),
""
)
)
)
)
)
)
)
)
))</f>
        <v/>
      </c>
      <c r="AP87" s="73" t="str">
        <f>IF($B87="","",
IF(AP$5="","",
IF('Final Term'!AP87="",0,
IF(NOT(ISNUMBER('Final Term'!AP87)),"NAN",
IF('Final Term'!AP87&lt;0,"NEG",
IF('Final Term'!AP87&gt;AP$5,"OVER",
IF(AND(AP$5&lt;=100,'Final Term'!AP87&gt;100),"ERR",
IF(Info!$B$4="Non-board program",
IF(OR(AND(AP$5&gt;0,AP$5&gt;100),AND(AP$5&gt;0,AP$5&lt;100)),
VLOOKUP(FLOOR(('Final Term'!AP87/AP$5)*100,1),new_transmute,2,FALSE),
VLOOKUP('Final Term'!AP87,new_transmute,2,FALSE)
),
IF(Info!$B$4="Board program",
IF(OR(AND(AP$5&gt;0,AP$5&gt;100),AND(AP$5&gt;0,AP$5&lt;100)),
VLOOKUP(FLOOR(('Final Term'!AP87/AP$5)*100,1),new_transmute,3,FALSE),
VLOOKUP('Final Term'!AP87,new_transmute,3,FALSE)
),
IF(Info!$B$4="Board program (Medicine)",
IF(OR(AND(AP$5&gt;0,AP$5&gt;100),AND(AP$5&gt;0,AP$5&lt;100)),
VLOOKUP(FLOOR(('Final Term'!AP87/AP$5)*100,1),new_transmute,4,FALSE),
VLOOKUP('Final Term'!AP87,new_transmute,4,FALSE)
),
""
)
)
)
)
)
)
)
)
))</f>
        <v/>
      </c>
      <c r="AQ87" s="61" t="str">
        <f t="shared" si="17"/>
        <v/>
      </c>
      <c r="AR87" s="48" t="str">
        <f>IF('Final Term'!AR87="","",'Final Term'!AR87)</f>
        <v/>
      </c>
      <c r="AS87" s="165" t="str">
        <f t="shared" si="18"/>
        <v/>
      </c>
      <c r="AT87" s="14" t="str">
        <f t="shared" si="19"/>
        <v/>
      </c>
      <c r="AU87" s="13" t="str">
        <f>IF(B87="","",VLOOKUP(AT87,'New Grade Equivalent'!$B$3:$C$47,2,FALSE))</f>
        <v/>
      </c>
    </row>
    <row r="88" spans="1:47" x14ac:dyDescent="0.25">
      <c r="A88" s="8">
        <v>83</v>
      </c>
      <c r="B88" s="2" t="str">
        <f>IF('Student List'!C92="","",UPPER(LEFT('Student List'!C92,FIND(",",'Student List'!C92)-1)))</f>
        <v/>
      </c>
      <c r="C88" s="12" t="str">
        <f>IF('Student List'!C92="","",PROPER(MID('Student List'!C92, FIND(",", 'Student List'!C92) + 2, LEN('Student List'!C92) - FIND(",", 'Student List'!C92) - 1)))</f>
        <v/>
      </c>
      <c r="D88" s="127" t="str">
        <f>IF('Final Term'!D88="","",'Final Term'!D88)</f>
        <v/>
      </c>
      <c r="E88" s="8" t="str">
        <f>IF(MidCom!E88="FA", "FA",
    IF(MidCom!E88="DRP", "DRP",
        IF(MidCom!E88="WF", "WF",
            IF(D88="Yes", "INC",
               IF((SUM('MT Attendance'!AW86) / 3 + SUM('MT Attendance'!AY86) + SUM('FT Attendance'!AW86) / 3 + SUM('FT Attendance'!AY86)) &gt;= 0.2 * (SUMPRODUCT(--(ISTEXT('MT Attendance'!$C$2:$AU$2))) + SUMPRODUCT(--(ISTEXT('FT Attendance'!$C$2:$AU$2)))), "FA",
                   MidCom!E88
                )
            )
        )
    )
)</f>
        <v/>
      </c>
      <c r="F88" s="73" t="str">
        <f>IF($B88="","",
IF(F$5="","",
IF('Final Term'!F88="",0,
IF(NOT(ISNUMBER('Final Term'!F88)),"NAN",
IF('Final Term'!F88&lt;0,"NEG",
IF('Final Term'!F88&gt;F$5,"OVER",
IF(AND(F$5&lt;=100,'Final Term'!F88&gt;100),"ERR",
IF(Info!$B$4="Non-board program",
IF(OR(AND(F$5&gt;0,F$5&gt;100),AND(F$5&gt;0,F$5&lt;100)),
VLOOKUP(FLOOR(('Final Term'!F88/F$5)*100,1),new_transmute,2,FALSE),
VLOOKUP('Final Term'!F88,new_transmute,2,FALSE)
),
IF(Info!$B$4="Board program",
IF(OR(AND(F$5&gt;0,F$5&gt;100),AND(F$5&gt;0,F$5&lt;100)),
VLOOKUP(FLOOR(('Final Term'!F88/F$5)*100,1),new_transmute,3,FALSE),
VLOOKUP('Final Term'!F88,new_transmute,3,FALSE)
),
IF(Info!$B$4="Board program (Medicine)",
IF(OR(AND(F$5&gt;0,F$5&gt;100),AND(F$5&gt;0,F$5&lt;100)),
VLOOKUP(FLOOR(('Final Term'!F88/F$5)*100,1),new_transmute,4,FALSE),
VLOOKUP('Final Term'!F88,new_transmute,4,FALSE)
),
""
)
)
)
)
)
)
)
)
))</f>
        <v/>
      </c>
      <c r="G88" s="57" t="str">
        <f t="shared" si="11"/>
        <v/>
      </c>
      <c r="H88" s="73" t="str">
        <f>IF($B88="","",
IF(H$5="","",
IF('Final Term'!H88="",0,
IF(NOT(ISNUMBER('Final Term'!H88)),"NAN",
IF('Final Term'!H88&lt;0,"NEG",
IF('Final Term'!H88&gt;H$5,"OVER",
IF(AND(H$5&lt;=100,'Final Term'!H88&gt;100),"ERR",
IF(Info!$B$4="Non-board program",
IF(OR(AND(H$5&gt;0,H$5&gt;100),AND(H$5&gt;0,H$5&lt;100)),
VLOOKUP(FLOOR(('Final Term'!H88/H$5)*100,1),new_transmute,2,FALSE),
VLOOKUP('Final Term'!H88,new_transmute,2,FALSE)
),
IF(Info!$B$4="Board program",
IF(OR(AND(H$5&gt;0,H$5&gt;100),AND(H$5&gt;0,H$5&lt;100)),
VLOOKUP(FLOOR(('Final Term'!H88/H$5)*100,1),new_transmute,3,FALSE),
VLOOKUP('Final Term'!H88,new_transmute,3,FALSE)
),
IF(Info!$B$4="Board program (Medicine)",
IF(OR(AND(H$5&gt;0,H$5&gt;100),AND(H$5&gt;0,H$5&lt;100)),
VLOOKUP(FLOOR(('Final Term'!H88/H$5)*100,1),new_transmute,4,FALSE),
VLOOKUP('Final Term'!H88,new_transmute,4,FALSE)
),
""
)
)
)
)
)
)
)
)
))</f>
        <v/>
      </c>
      <c r="I88" s="73" t="str">
        <f>IF($B88="","",
IF(I$5="","",
IF('Final Term'!I88="",0,
IF(NOT(ISNUMBER('Final Term'!I88)),"NAN",
IF('Final Term'!I88&lt;0,"NEG",
IF('Final Term'!I88&gt;I$5,"OVER",
IF(AND(I$5&lt;=100,'Final Term'!I88&gt;100),"ERR",
IF(Info!$B$4="Non-board program",
IF(OR(AND(I$5&gt;0,I$5&gt;100),AND(I$5&gt;0,I$5&lt;100)),
VLOOKUP(FLOOR(('Final Term'!I88/I$5)*100,1),new_transmute,2,FALSE),
VLOOKUP('Final Term'!I88,new_transmute,2,FALSE)
),
IF(Info!$B$4="Board program",
IF(OR(AND(I$5&gt;0,I$5&gt;100),AND(I$5&gt;0,I$5&lt;100)),
VLOOKUP(FLOOR(('Final Term'!I88/I$5)*100,1),new_transmute,3,FALSE),
VLOOKUP('Final Term'!I88,new_transmute,3,FALSE)
),
IF(Info!$B$4="Board program (Medicine)",
IF(OR(AND(I$5&gt;0,I$5&gt;100),AND(I$5&gt;0,I$5&lt;100)),
VLOOKUP(FLOOR(('Final Term'!I88/I$5)*100,1),new_transmute,4,FALSE),
VLOOKUP('Final Term'!I88,new_transmute,4,FALSE)
),
""
)
)
)
)
)
)
)
)
))</f>
        <v/>
      </c>
      <c r="J88" s="73" t="str">
        <f>IF($B88="","",
IF(J$5="","",
IF('Final Term'!J88="",0,
IF(NOT(ISNUMBER('Final Term'!J88)),"NAN",
IF('Final Term'!J88&lt;0,"NEG",
IF('Final Term'!J88&gt;J$5,"OVER",
IF(AND(J$5&lt;=100,'Final Term'!J88&gt;100),"ERR",
IF(Info!$B$4="Non-board program",
IF(OR(AND(J$5&gt;0,J$5&gt;100),AND(J$5&gt;0,J$5&lt;100)),
VLOOKUP(FLOOR(('Final Term'!J88/J$5)*100,1),new_transmute,2,FALSE),
VLOOKUP('Final Term'!J88,new_transmute,2,FALSE)
),
IF(Info!$B$4="Board program",
IF(OR(AND(J$5&gt;0,J$5&gt;100),AND(J$5&gt;0,J$5&lt;100)),
VLOOKUP(FLOOR(('Final Term'!J88/J$5)*100,1),new_transmute,3,FALSE),
VLOOKUP('Final Term'!J88,new_transmute,3,FALSE)
),
IF(Info!$B$4="Board program (Medicine)",
IF(OR(AND(J$5&gt;0,J$5&gt;100),AND(J$5&gt;0,J$5&lt;100)),
VLOOKUP(FLOOR(('Final Term'!J88/J$5)*100,1),new_transmute,4,FALSE),
VLOOKUP('Final Term'!J88,new_transmute,4,FALSE)
),
""
)
)
)
)
)
)
)
)
))</f>
        <v/>
      </c>
      <c r="K88" s="73" t="str">
        <f>IF($B88="","",
IF(K$5="","",
IF('Final Term'!K88="",0,
IF(NOT(ISNUMBER('Final Term'!K88)),"NAN",
IF('Final Term'!K88&lt;0,"NEG",
IF('Final Term'!K88&gt;K$5,"OVER",
IF(AND(K$5&lt;=100,'Final Term'!K88&gt;100),"ERR",
IF(Info!$B$4="Non-board program",
IF(OR(AND(K$5&gt;0,K$5&gt;100),AND(K$5&gt;0,K$5&lt;100)),
VLOOKUP(FLOOR(('Final Term'!K88/K$5)*100,1),new_transmute,2,FALSE),
VLOOKUP('Final Term'!K88,new_transmute,2,FALSE)
),
IF(Info!$B$4="Board program",
IF(OR(AND(K$5&gt;0,K$5&gt;100),AND(K$5&gt;0,K$5&lt;100)),
VLOOKUP(FLOOR(('Final Term'!K88/K$5)*100,1),new_transmute,3,FALSE),
VLOOKUP('Final Term'!K88,new_transmute,3,FALSE)
),
IF(Info!$B$4="Board program (Medicine)",
IF(OR(AND(K$5&gt;0,K$5&gt;100),AND(K$5&gt;0,K$5&lt;100)),
VLOOKUP(FLOOR(('Final Term'!K88/K$5)*100,1),new_transmute,4,FALSE),
VLOOKUP('Final Term'!K88,new_transmute,4,FALSE)
),
""
)
)
)
)
)
)
)
)
))</f>
        <v/>
      </c>
      <c r="L88" s="73" t="str">
        <f>IF($B88="","",
IF(L$5="","",
IF('Final Term'!L88="",0,
IF(NOT(ISNUMBER('Final Term'!L88)),"NAN",
IF('Final Term'!L88&lt;0,"NEG",
IF('Final Term'!L88&gt;L$5,"OVER",
IF(AND(L$5&lt;=100,'Final Term'!L88&gt;100),"ERR",
IF(Info!$B$4="Non-board program",
IF(OR(AND(L$5&gt;0,L$5&gt;100),AND(L$5&gt;0,L$5&lt;100)),
VLOOKUP(FLOOR(('Final Term'!L88/L$5)*100,1),new_transmute,2,FALSE),
VLOOKUP('Final Term'!L88,new_transmute,2,FALSE)
),
IF(Info!$B$4="Board program",
IF(OR(AND(L$5&gt;0,L$5&gt;100),AND(L$5&gt;0,L$5&lt;100)),
VLOOKUP(FLOOR(('Final Term'!L88/L$5)*100,1),new_transmute,3,FALSE),
VLOOKUP('Final Term'!L88,new_transmute,3,FALSE)
),
IF(Info!$B$4="Board program (Medicine)",
IF(OR(AND(L$5&gt;0,L$5&gt;100),AND(L$5&gt;0,L$5&lt;100)),
VLOOKUP(FLOOR(('Final Term'!L88/L$5)*100,1),new_transmute,4,FALSE),
VLOOKUP('Final Term'!L88,new_transmute,4,FALSE)
),
""
)
)
)
)
)
)
)
)
))</f>
        <v/>
      </c>
      <c r="M88" s="111" t="str">
        <f t="shared" si="12"/>
        <v/>
      </c>
      <c r="N88" s="73" t="str">
        <f>IF($B88="","",
IF(N$5="","",
IF('Final Term'!N88="",0,
IF(NOT(ISNUMBER('Final Term'!N88)),"NAN",
IF('Final Term'!N88&lt;0,"NEG",
IF('Final Term'!N88&gt;N$5,"OVER",
IF(AND(N$5&lt;=100,'Final Term'!N88&gt;100),"ERR",
IF(Info!$B$4="Non-board program",
IF(OR(AND(N$5&gt;0,N$5&gt;100),AND(N$5&gt;0,N$5&lt;100)),
VLOOKUP(FLOOR(('Final Term'!N88/N$5)*100,1),new_transmute,2,FALSE),
VLOOKUP('Final Term'!N88,new_transmute,2,FALSE)
),
IF(Info!$B$4="Board program",
IF(OR(AND(N$5&gt;0,N$5&gt;100),AND(N$5&gt;0,N$5&lt;100)),
VLOOKUP(FLOOR(('Final Term'!N88/N$5)*100,1),new_transmute,3,FALSE),
VLOOKUP('Final Term'!N88,new_transmute,3,FALSE)
),
IF(Info!$B$4="Board program (Medicine)",
IF(OR(AND(N$5&gt;0,N$5&gt;100),AND(N$5&gt;0,N$5&lt;100)),
VLOOKUP(FLOOR(('Final Term'!N88/N$5)*100,1),new_transmute,4,FALSE),
VLOOKUP('Final Term'!N88,new_transmute,4,FALSE)
),
""
)
)
)
)
)
)
)
)
))</f>
        <v/>
      </c>
      <c r="O88" s="73" t="str">
        <f>IF($B88="","",
IF(O$5="","",
IF('Final Term'!O88="",0,
IF(NOT(ISNUMBER('Final Term'!O88)),"NAN",
IF('Final Term'!O88&lt;0,"NEG",
IF('Final Term'!O88&gt;O$5,"OVER",
IF(AND(O$5&lt;=100,'Final Term'!O88&gt;100),"ERR",
IF(Info!$B$4="Non-board program",
IF(OR(AND(O$5&gt;0,O$5&gt;100),AND(O$5&gt;0,O$5&lt;100)),
VLOOKUP(FLOOR(('Final Term'!O88/O$5)*100,1),new_transmute,2,FALSE),
VLOOKUP('Final Term'!O88,new_transmute,2,FALSE)
),
IF(Info!$B$4="Board program",
IF(OR(AND(O$5&gt;0,O$5&gt;100),AND(O$5&gt;0,O$5&lt;100)),
VLOOKUP(FLOOR(('Final Term'!O88/O$5)*100,1),new_transmute,3,FALSE),
VLOOKUP('Final Term'!O88,new_transmute,3,FALSE)
),
IF(Info!$B$4="Board program (Medicine)",
IF(OR(AND(O$5&gt;0,O$5&gt;100),AND(O$5&gt;0,O$5&lt;100)),
VLOOKUP(FLOOR(('Final Term'!O88/O$5)*100,1),new_transmute,4,FALSE),
VLOOKUP('Final Term'!O88,new_transmute,4,FALSE)
),
""
)
)
)
)
)
)
)
)
))</f>
        <v/>
      </c>
      <c r="P88" s="73" t="str">
        <f>IF($B88="","",
IF(P$5="","",
IF('Final Term'!P88="",0,
IF(NOT(ISNUMBER('Final Term'!P88)),"NAN",
IF('Final Term'!P88&lt;0,"NEG",
IF('Final Term'!P88&gt;P$5,"OVER",
IF(AND(P$5&lt;=100,'Final Term'!P88&gt;100),"ERR",
IF(Info!$B$4="Non-board program",
IF(OR(AND(P$5&gt;0,P$5&gt;100),AND(P$5&gt;0,P$5&lt;100)),
VLOOKUP(FLOOR(('Final Term'!P88/P$5)*100,1),new_transmute,2,FALSE),
VLOOKUP('Final Term'!P88,new_transmute,2,FALSE)
),
IF(Info!$B$4="Board program",
IF(OR(AND(P$5&gt;0,P$5&gt;100),AND(P$5&gt;0,P$5&lt;100)),
VLOOKUP(FLOOR(('Final Term'!P88/P$5)*100,1),new_transmute,3,FALSE),
VLOOKUP('Final Term'!P88,new_transmute,3,FALSE)
),
IF(Info!$B$4="Board program (Medicine)",
IF(OR(AND(P$5&gt;0,P$5&gt;100),AND(P$5&gt;0,P$5&lt;100)),
VLOOKUP(FLOOR(('Final Term'!P88/P$5)*100,1),new_transmute,4,FALSE),
VLOOKUP('Final Term'!P88,new_transmute,4,FALSE)
),
""
)
)
)
)
)
)
)
)
))</f>
        <v/>
      </c>
      <c r="Q88" s="73" t="str">
        <f>IF($B88="","",
IF(Q$5="","",
IF('Final Term'!Q88="",0,
IF(NOT(ISNUMBER('Final Term'!Q88)),"NAN",
IF('Final Term'!Q88&lt;0,"NEG",
IF('Final Term'!Q88&gt;Q$5,"OVER",
IF(AND(Q$5&lt;=100,'Final Term'!Q88&gt;100),"ERR",
IF(Info!$B$4="Non-board program",
IF(OR(AND(Q$5&gt;0,Q$5&gt;100),AND(Q$5&gt;0,Q$5&lt;100)),
VLOOKUP(FLOOR(('Final Term'!Q88/Q$5)*100,1),new_transmute,2,FALSE),
VLOOKUP('Final Term'!Q88,new_transmute,2,FALSE)
),
IF(Info!$B$4="Board program",
IF(OR(AND(Q$5&gt;0,Q$5&gt;100),AND(Q$5&gt;0,Q$5&lt;100)),
VLOOKUP(FLOOR(('Final Term'!Q88/Q$5)*100,1),new_transmute,3,FALSE),
VLOOKUP('Final Term'!Q88,new_transmute,3,FALSE)
),
IF(Info!$B$4="Board program (Medicine)",
IF(OR(AND(Q$5&gt;0,Q$5&gt;100),AND(Q$5&gt;0,Q$5&lt;100)),
VLOOKUP(FLOOR(('Final Term'!Q88/Q$5)*100,1),new_transmute,4,FALSE),
VLOOKUP('Final Term'!Q88,new_transmute,4,FALSE)
),
""
)
)
)
)
)
)
)
)
))</f>
        <v/>
      </c>
      <c r="R88" s="73" t="str">
        <f>IF($B88="","",
IF(R$5="","",
IF('Final Term'!R88="",0,
IF(NOT(ISNUMBER('Final Term'!R88)),"NAN",
IF('Final Term'!R88&lt;0,"NEG",
IF('Final Term'!R88&gt;R$5,"OVER",
IF(AND(R$5&lt;=100,'Final Term'!R88&gt;100),"ERR",
IF(Info!$B$4="Non-board program",
IF(OR(AND(R$5&gt;0,R$5&gt;100),AND(R$5&gt;0,R$5&lt;100)),
VLOOKUP(FLOOR(('Final Term'!R88/R$5)*100,1),new_transmute,2,FALSE),
VLOOKUP('Final Term'!R88,new_transmute,2,FALSE)
),
IF(Info!$B$4="Board program",
IF(OR(AND(R$5&gt;0,R$5&gt;100),AND(R$5&gt;0,R$5&lt;100)),
VLOOKUP(FLOOR(('Final Term'!R88/R$5)*100,1),new_transmute,3,FALSE),
VLOOKUP('Final Term'!R88,new_transmute,3,FALSE)
),
IF(Info!$B$4="Board program (Medicine)",
IF(OR(AND(R$5&gt;0,R$5&gt;100),AND(R$5&gt;0,R$5&lt;100)),
VLOOKUP(FLOOR(('Final Term'!R88/R$5)*100,1),new_transmute,4,FALSE),
VLOOKUP('Final Term'!R88,new_transmute,4,FALSE)
),
""
)
)
)
)
)
)
)
)
))</f>
        <v/>
      </c>
      <c r="S88" s="115" t="str">
        <f t="shared" si="13"/>
        <v/>
      </c>
      <c r="T88" s="73" t="str">
        <f>IF($B88="","",
IF(T$5="","",
IF('Final Term'!T88="",0,
IF(NOT(ISNUMBER('Final Term'!T88)),"NAN",
IF('Final Term'!T88&lt;0,"NEG",
IF('Final Term'!T88&gt;T$5,"OVER",
IF(AND(T$5&lt;=100,'Final Term'!T88&gt;100),"ERR",
IF(Info!$B$4="Non-board program",
IF(OR(AND(T$5&gt;0,T$5&gt;100),AND(T$5&gt;0,T$5&lt;100)),
VLOOKUP(FLOOR(('Final Term'!T88/T$5)*100,1),new_transmute,2,FALSE),
VLOOKUP('Final Term'!T88,new_transmute,2,FALSE)
),
IF(Info!$B$4="Board program",
IF(OR(AND(T$5&gt;0,T$5&gt;100),AND(T$5&gt;0,T$5&lt;100)),
VLOOKUP(FLOOR(('Final Term'!T88/T$5)*100,1),new_transmute,3,FALSE),
VLOOKUP('Final Term'!T88,new_transmute,3,FALSE)
),
IF(Info!$B$4="Board program (Medicine)",
IF(OR(AND(T$5&gt;0,T$5&gt;100),AND(T$5&gt;0,T$5&lt;100)),
VLOOKUP(FLOOR(('Final Term'!T88/T$5)*100,1),new_transmute,4,FALSE),
VLOOKUP('Final Term'!T88,new_transmute,4,FALSE)
),
""
)
)
)
)
)
)
)
)
))</f>
        <v/>
      </c>
      <c r="U88" s="73" t="str">
        <f>IF($B88="","",
IF(U$5="","",
IF('Final Term'!U88="",0,
IF(NOT(ISNUMBER('Final Term'!U88)),"NAN",
IF('Final Term'!U88&lt;0,"NEG",
IF('Final Term'!U88&gt;U$5,"OVER",
IF(AND(U$5&lt;=100,'Final Term'!U88&gt;100),"ERR",
IF(Info!$B$4="Non-board program",
IF(OR(AND(U$5&gt;0,U$5&gt;100),AND(U$5&gt;0,U$5&lt;100)),
VLOOKUP(FLOOR(('Final Term'!U88/U$5)*100,1),new_transmute,2,FALSE),
VLOOKUP('Final Term'!U88,new_transmute,2,FALSE)
),
IF(Info!$B$4="Board program",
IF(OR(AND(U$5&gt;0,U$5&gt;100),AND(U$5&gt;0,U$5&lt;100)),
VLOOKUP(FLOOR(('Final Term'!U88/U$5)*100,1),new_transmute,3,FALSE),
VLOOKUP('Final Term'!U88,new_transmute,3,FALSE)
),
IF(Info!$B$4="Board program (Medicine)",
IF(OR(AND(U$5&gt;0,U$5&gt;100),AND(U$5&gt;0,U$5&lt;100)),
VLOOKUP(FLOOR(('Final Term'!U88/U$5)*100,1),new_transmute,4,FALSE),
VLOOKUP('Final Term'!U88,new_transmute,4,FALSE)
),
""
)
)
)
)
)
)
)
)
))</f>
        <v/>
      </c>
      <c r="V88" s="73" t="str">
        <f>IF($B88="","",
IF(V$5="","",
IF('Final Term'!V88="",0,
IF(NOT(ISNUMBER('Final Term'!V88)),"NAN",
IF('Final Term'!V88&lt;0,"NEG",
IF('Final Term'!V88&gt;V$5,"OVER",
IF(AND(V$5&lt;=100,'Final Term'!V88&gt;100),"ERR",
IF(Info!$B$4="Non-board program",
IF(OR(AND(V$5&gt;0,V$5&gt;100),AND(V$5&gt;0,V$5&lt;100)),
VLOOKUP(FLOOR(('Final Term'!V88/V$5)*100,1),new_transmute,2,FALSE),
VLOOKUP('Final Term'!V88,new_transmute,2,FALSE)
),
IF(Info!$B$4="Board program",
IF(OR(AND(V$5&gt;0,V$5&gt;100),AND(V$5&gt;0,V$5&lt;100)),
VLOOKUP(FLOOR(('Final Term'!V88/V$5)*100,1),new_transmute,3,FALSE),
VLOOKUP('Final Term'!V88,new_transmute,3,FALSE)
),
IF(Info!$B$4="Board program (Medicine)",
IF(OR(AND(V$5&gt;0,V$5&gt;100),AND(V$5&gt;0,V$5&lt;100)),
VLOOKUP(FLOOR(('Final Term'!V88/V$5)*100,1),new_transmute,4,FALSE),
VLOOKUP('Final Term'!V88,new_transmute,4,FALSE)
),
""
)
)
)
)
)
)
)
)
))</f>
        <v/>
      </c>
      <c r="W88" s="73" t="str">
        <f>IF($B88="","",
IF(W$5="","",
IF('Final Term'!W88="",0,
IF(NOT(ISNUMBER('Final Term'!W88)),"NAN",
IF('Final Term'!W88&lt;0,"NEG",
IF('Final Term'!W88&gt;W$5,"OVER",
IF(AND(W$5&lt;=100,'Final Term'!W88&gt;100),"ERR",
IF(Info!$B$4="Non-board program",
IF(OR(AND(W$5&gt;0,W$5&gt;100),AND(W$5&gt;0,W$5&lt;100)),
VLOOKUP(FLOOR(('Final Term'!W88/W$5)*100,1),new_transmute,2,FALSE),
VLOOKUP('Final Term'!W88,new_transmute,2,FALSE)
),
IF(Info!$B$4="Board program",
IF(OR(AND(W$5&gt;0,W$5&gt;100),AND(W$5&gt;0,W$5&lt;100)),
VLOOKUP(FLOOR(('Final Term'!W88/W$5)*100,1),new_transmute,3,FALSE),
VLOOKUP('Final Term'!W88,new_transmute,3,FALSE)
),
IF(Info!$B$4="Board program (Medicine)",
IF(OR(AND(W$5&gt;0,W$5&gt;100),AND(W$5&gt;0,W$5&lt;100)),
VLOOKUP(FLOOR(('Final Term'!W88/W$5)*100,1),new_transmute,4,FALSE),
VLOOKUP('Final Term'!W88,new_transmute,4,FALSE)
),
""
)
)
)
)
)
)
)
)
))</f>
        <v/>
      </c>
      <c r="X88" s="73" t="str">
        <f>IF($B88="","",
IF(X$5="","",
IF('Final Term'!X88="",0,
IF(NOT(ISNUMBER('Final Term'!X88)),"NAN",
IF('Final Term'!X88&lt;0,"NEG",
IF('Final Term'!X88&gt;X$5,"OVER",
IF(AND(X$5&lt;=100,'Final Term'!X88&gt;100),"ERR",
IF(Info!$B$4="Non-board program",
IF(OR(AND(X$5&gt;0,X$5&gt;100),AND(X$5&gt;0,X$5&lt;100)),
VLOOKUP(FLOOR(('Final Term'!X88/X$5)*100,1),new_transmute,2,FALSE),
VLOOKUP('Final Term'!X88,new_transmute,2,FALSE)
),
IF(Info!$B$4="Board program",
IF(OR(AND(X$5&gt;0,X$5&gt;100),AND(X$5&gt;0,X$5&lt;100)),
VLOOKUP(FLOOR(('Final Term'!X88/X$5)*100,1),new_transmute,3,FALSE),
VLOOKUP('Final Term'!X88,new_transmute,3,FALSE)
),
IF(Info!$B$4="Board program (Medicine)",
IF(OR(AND(X$5&gt;0,X$5&gt;100),AND(X$5&gt;0,X$5&lt;100)),
VLOOKUP(FLOOR(('Final Term'!X88/X$5)*100,1),new_transmute,4,FALSE),
VLOOKUP('Final Term'!X88,new_transmute,4,FALSE)
),
""
)
)
)
)
)
)
)
)
))</f>
        <v/>
      </c>
      <c r="Y88" s="112" t="str">
        <f t="shared" si="14"/>
        <v/>
      </c>
      <c r="Z88" s="73" t="str">
        <f>IF($B88="","",
IF(Z$5="","",
IF('Final Term'!Z88="",0,
IF(NOT(ISNUMBER('Final Term'!Z88)),"NAN",
IF('Final Term'!Z88&lt;0,"NEG",
IF('Final Term'!Z88&gt;Z$5,"OVER",
IF(AND(Z$5&lt;=100,'Final Term'!Z88&gt;100),"ERR",
IF(Info!$B$4="Non-board program",
IF(OR(AND(Z$5&gt;0,Z$5&gt;100),AND(Z$5&gt;0,Z$5&lt;100)),
VLOOKUP(FLOOR(('Final Term'!Z88/Z$5)*100,1),new_transmute,2,FALSE),
VLOOKUP('Final Term'!Z88,new_transmute,2,FALSE)
),
IF(Info!$B$4="Board program",
IF(OR(AND(Z$5&gt;0,Z$5&gt;100),AND(Z$5&gt;0,Z$5&lt;100)),
VLOOKUP(FLOOR(('Final Term'!Z88/Z$5)*100,1),new_transmute,3,FALSE),
VLOOKUP('Final Term'!Z88,new_transmute,3,FALSE)
),
IF(Info!$B$4="Board program (Medicine)",
IF(OR(AND(Z$5&gt;0,Z$5&gt;100),AND(Z$5&gt;0,Z$5&lt;100)),
VLOOKUP(FLOOR(('Final Term'!Z88/Z$5)*100,1),new_transmute,4,FALSE),
VLOOKUP('Final Term'!Z88,new_transmute,4,FALSE)
),
""
)
)
)
)
)
)
)
)
))</f>
        <v/>
      </c>
      <c r="AA88" s="73" t="str">
        <f>IF($B88="","",
IF(AA$5="","",
IF('Final Term'!AA88="",0,
IF(NOT(ISNUMBER('Final Term'!AA88)),"NAN",
IF('Final Term'!AA88&lt;0,"NEG",
IF('Final Term'!AA88&gt;AA$5,"OVER",
IF(AND(AA$5&lt;=100,'Final Term'!AA88&gt;100),"ERR",
IF(Info!$B$4="Non-board program",
IF(OR(AND(AA$5&gt;0,AA$5&gt;100),AND(AA$5&gt;0,AA$5&lt;100)),
VLOOKUP(FLOOR(('Final Term'!AA88/AA$5)*100,1),new_transmute,2,FALSE),
VLOOKUP('Final Term'!AA88,new_transmute,2,FALSE)
),
IF(Info!$B$4="Board program",
IF(OR(AND(AA$5&gt;0,AA$5&gt;100),AND(AA$5&gt;0,AA$5&lt;100)),
VLOOKUP(FLOOR(('Final Term'!AA88/AA$5)*100,1),new_transmute,3,FALSE),
VLOOKUP('Final Term'!AA88,new_transmute,3,FALSE)
),
IF(Info!$B$4="Board program (Medicine)",
IF(OR(AND(AA$5&gt;0,AA$5&gt;100),AND(AA$5&gt;0,AA$5&lt;100)),
VLOOKUP(FLOOR(('Final Term'!AA88/AA$5)*100,1),new_transmute,4,FALSE),
VLOOKUP('Final Term'!AA88,new_transmute,4,FALSE)
),
""
)
)
)
)
)
)
)
)
))</f>
        <v/>
      </c>
      <c r="AB88" s="73" t="str">
        <f>IF($B88="","",
IF(AB$5="","",
IF('Final Term'!AB88="",0,
IF(NOT(ISNUMBER('Final Term'!AB88)),"NAN",
IF('Final Term'!AB88&lt;0,"NEG",
IF('Final Term'!AB88&gt;AB$5,"OVER",
IF(AND(AB$5&lt;=100,'Final Term'!AB88&gt;100),"ERR",
IF(Info!$B$4="Non-board program",
IF(OR(AND(AB$5&gt;0,AB$5&gt;100),AND(AB$5&gt;0,AB$5&lt;100)),
VLOOKUP(FLOOR(('Final Term'!AB88/AB$5)*100,1),new_transmute,2,FALSE),
VLOOKUP('Final Term'!AB88,new_transmute,2,FALSE)
),
IF(Info!$B$4="Board program",
IF(OR(AND(AB$5&gt;0,AB$5&gt;100),AND(AB$5&gt;0,AB$5&lt;100)),
VLOOKUP(FLOOR(('Final Term'!AB88/AB$5)*100,1),new_transmute,3,FALSE),
VLOOKUP('Final Term'!AB88,new_transmute,3,FALSE)
),
IF(Info!$B$4="Board program (Medicine)",
IF(OR(AND(AB$5&gt;0,AB$5&gt;100),AND(AB$5&gt;0,AB$5&lt;100)),
VLOOKUP(FLOOR(('Final Term'!AB88/AB$5)*100,1),new_transmute,4,FALSE),
VLOOKUP('Final Term'!AB88,new_transmute,4,FALSE)
),
""
)
)
)
)
)
)
)
)
))</f>
        <v/>
      </c>
      <c r="AC88" s="73" t="str">
        <f>IF($B88="","",
IF(AC$5="","",
IF('Final Term'!AC88="",0,
IF(NOT(ISNUMBER('Final Term'!AC88)),"NAN",
IF('Final Term'!AC88&lt;0,"NEG",
IF('Final Term'!AC88&gt;AC$5,"OVER",
IF(AND(AC$5&lt;=100,'Final Term'!AC88&gt;100),"ERR",
IF(Info!$B$4="Non-board program",
IF(OR(AND(AC$5&gt;0,AC$5&gt;100),AND(AC$5&gt;0,AC$5&lt;100)),
VLOOKUP(FLOOR(('Final Term'!AC88/AC$5)*100,1),new_transmute,2,FALSE),
VLOOKUP('Final Term'!AC88,new_transmute,2,FALSE)
),
IF(Info!$B$4="Board program",
IF(OR(AND(AC$5&gt;0,AC$5&gt;100),AND(AC$5&gt;0,AC$5&lt;100)),
VLOOKUP(FLOOR(('Final Term'!AC88/AC$5)*100,1),new_transmute,3,FALSE),
VLOOKUP('Final Term'!AC88,new_transmute,3,FALSE)
),
IF(Info!$B$4="Board program (Medicine)",
IF(OR(AND(AC$5&gt;0,AC$5&gt;100),AND(AC$5&gt;0,AC$5&lt;100)),
VLOOKUP(FLOOR(('Final Term'!AC88/AC$5)*100,1),new_transmute,4,FALSE),
VLOOKUP('Final Term'!AC88,new_transmute,4,FALSE)
),
""
)
)
)
)
)
)
)
)
))</f>
        <v/>
      </c>
      <c r="AD88" s="73" t="str">
        <f>IF($B88="","",
IF(AD$5="","",
IF('Final Term'!AD88="",0,
IF(NOT(ISNUMBER('Final Term'!AD88)),"NAN",
IF('Final Term'!AD88&lt;0,"NEG",
IF('Final Term'!AD88&gt;AD$5,"OVER",
IF(AND(AD$5&lt;=100,'Final Term'!AD88&gt;100),"ERR",
IF(Info!$B$4="Non-board program",
IF(OR(AND(AD$5&gt;0,AD$5&gt;100),AND(AD$5&gt;0,AD$5&lt;100)),
VLOOKUP(FLOOR(('Final Term'!AD88/AD$5)*100,1),new_transmute,2,FALSE),
VLOOKUP('Final Term'!AD88,new_transmute,2,FALSE)
),
IF(Info!$B$4="Board program",
IF(OR(AND(AD$5&gt;0,AD$5&gt;100),AND(AD$5&gt;0,AD$5&lt;100)),
VLOOKUP(FLOOR(('Final Term'!AD88/AD$5)*100,1),new_transmute,3,FALSE),
VLOOKUP('Final Term'!AD88,new_transmute,3,FALSE)
),
IF(Info!$B$4="Board program (Medicine)",
IF(OR(AND(AD$5&gt;0,AD$5&gt;100),AND(AD$5&gt;0,AD$5&lt;100)),
VLOOKUP(FLOOR(('Final Term'!AD88/AD$5)*100,1),new_transmute,4,FALSE),
VLOOKUP('Final Term'!AD88,new_transmute,4,FALSE)
),
""
)
)
)
)
)
)
)
)
))</f>
        <v/>
      </c>
      <c r="AE88" s="58" t="str">
        <f t="shared" si="15"/>
        <v/>
      </c>
      <c r="AF88" s="73" t="str">
        <f>IF($B88="","",
IF(AF$5="","",
IF('Final Term'!AF88="",0,
IF(NOT(ISNUMBER('Final Term'!AF88)),"NAN",
IF('Final Term'!AF88&lt;0,"NEG",
IF('Final Term'!AF88&gt;AF$5,"OVER",
IF(AND(AF$5&lt;=100,'Final Term'!AF88&gt;100),"ERR",
IF(Info!$B$4="Non-board program",
IF(OR(AND(AF$5&gt;0,AF$5&gt;100),AND(AF$5&gt;0,AF$5&lt;100)),
VLOOKUP(FLOOR(('Final Term'!AF88/AF$5)*100,1),new_transmute,2,FALSE),
VLOOKUP('Final Term'!AF88,new_transmute,2,FALSE)
),
IF(Info!$B$4="Board program",
IF(OR(AND(AF$5&gt;0,AF$5&gt;100),AND(AF$5&gt;0,AF$5&lt;100)),
VLOOKUP(FLOOR(('Final Term'!AF88/AF$5)*100,1),new_transmute,3,FALSE),
VLOOKUP('Final Term'!AF88,new_transmute,3,FALSE)
),
IF(Info!$B$4="Board program (Medicine)",
IF(OR(AND(AF$5&gt;0,AF$5&gt;100),AND(AF$5&gt;0,AF$5&lt;100)),
VLOOKUP(FLOOR(('Final Term'!AF88/AF$5)*100,1),new_transmute,4,FALSE),
VLOOKUP('Final Term'!AF88,new_transmute,4,FALSE)
),
""
)
)
)
)
)
)
)
)
))</f>
        <v/>
      </c>
      <c r="AG88" s="73" t="str">
        <f>IF($B88="","",
IF(AG$5="","",
IF('Final Term'!AG88="",0,
IF(NOT(ISNUMBER('Final Term'!AG88)),"NAN",
IF('Final Term'!AG88&lt;0,"NEG",
IF('Final Term'!AG88&gt;AG$5,"OVER",
IF(AND(AG$5&lt;=100,'Final Term'!AG88&gt;100),"ERR",
IF(Info!$B$4="Non-board program",
IF(OR(AND(AG$5&gt;0,AG$5&gt;100),AND(AG$5&gt;0,AG$5&lt;100)),
VLOOKUP(FLOOR(('Final Term'!AG88/AG$5)*100,1),new_transmute,2,FALSE),
VLOOKUP('Final Term'!AG88,new_transmute,2,FALSE)
),
IF(Info!$B$4="Board program",
IF(OR(AND(AG$5&gt;0,AG$5&gt;100),AND(AG$5&gt;0,AG$5&lt;100)),
VLOOKUP(FLOOR(('Final Term'!AG88/AG$5)*100,1),new_transmute,3,FALSE),
VLOOKUP('Final Term'!AG88,new_transmute,3,FALSE)
),
IF(Info!$B$4="Board program (Medicine)",
IF(OR(AND(AG$5&gt;0,AG$5&gt;100),AND(AG$5&gt;0,AG$5&lt;100)),
VLOOKUP(FLOOR(('Final Term'!AG88/AG$5)*100,1),new_transmute,4,FALSE),
VLOOKUP('Final Term'!AG88,new_transmute,4,FALSE)
),
""
)
)
)
)
)
)
)
)
))</f>
        <v/>
      </c>
      <c r="AH88" s="73" t="str">
        <f>IF($B88="","",
IF(AH$5="","",
IF('Final Term'!AH88="",0,
IF(NOT(ISNUMBER('Final Term'!AH88)),"NAN",
IF('Final Term'!AH88&lt;0,"NEG",
IF('Final Term'!AH88&gt;AH$5,"OVER",
IF(AND(AH$5&lt;=100,'Final Term'!AH88&gt;100),"ERR",
IF(Info!$B$4="Non-board program",
IF(OR(AND(AH$5&gt;0,AH$5&gt;100),AND(AH$5&gt;0,AH$5&lt;100)),
VLOOKUP(FLOOR(('Final Term'!AH88/AH$5)*100,1),new_transmute,2,FALSE),
VLOOKUP('Final Term'!AH88,new_transmute,2,FALSE)
),
IF(Info!$B$4="Board program",
IF(OR(AND(AH$5&gt;0,AH$5&gt;100),AND(AH$5&gt;0,AH$5&lt;100)),
VLOOKUP(FLOOR(('Final Term'!AH88/AH$5)*100,1),new_transmute,3,FALSE),
VLOOKUP('Final Term'!AH88,new_transmute,3,FALSE)
),
IF(Info!$B$4="Board program (Medicine)",
IF(OR(AND(AH$5&gt;0,AH$5&gt;100),AND(AH$5&gt;0,AH$5&lt;100)),
VLOOKUP(FLOOR(('Final Term'!AH88/AH$5)*100,1),new_transmute,4,FALSE),
VLOOKUP('Final Term'!AH88,new_transmute,4,FALSE)
),
""
)
)
)
)
)
)
)
)
))</f>
        <v/>
      </c>
      <c r="AI88" s="73" t="str">
        <f>IF($B88="","",
IF(AI$5="","",
IF('Final Term'!AI88="",0,
IF(NOT(ISNUMBER('Final Term'!AI88)),"NAN",
IF('Final Term'!AI88&lt;0,"NEG",
IF('Final Term'!AI88&gt;AI$5,"OVER",
IF(AND(AI$5&lt;=100,'Final Term'!AI88&gt;100),"ERR",
IF(Info!$B$4="Non-board program",
IF(OR(AND(AI$5&gt;0,AI$5&gt;100),AND(AI$5&gt;0,AI$5&lt;100)),
VLOOKUP(FLOOR(('Final Term'!AI88/AI$5)*100,1),new_transmute,2,FALSE),
VLOOKUP('Final Term'!AI88,new_transmute,2,FALSE)
),
IF(Info!$B$4="Board program",
IF(OR(AND(AI$5&gt;0,AI$5&gt;100),AND(AI$5&gt;0,AI$5&lt;100)),
VLOOKUP(FLOOR(('Final Term'!AI88/AI$5)*100,1),new_transmute,3,FALSE),
VLOOKUP('Final Term'!AI88,new_transmute,3,FALSE)
),
IF(Info!$B$4="Board program (Medicine)",
IF(OR(AND(AI$5&gt;0,AI$5&gt;100),AND(AI$5&gt;0,AI$5&lt;100)),
VLOOKUP(FLOOR(('Final Term'!AI88/AI$5)*100,1),new_transmute,4,FALSE),
VLOOKUP('Final Term'!AI88,new_transmute,4,FALSE)
),
""
)
)
)
)
)
)
)
)
))</f>
        <v/>
      </c>
      <c r="AJ88" s="73" t="str">
        <f>IF($B88="","",
IF(AJ$5="","",
IF('Final Term'!AJ88="",0,
IF(NOT(ISNUMBER('Final Term'!AJ88)),"NAN",
IF('Final Term'!AJ88&lt;0,"NEG",
IF('Final Term'!AJ88&gt;AJ$5,"OVER",
IF(AND(AJ$5&lt;=100,'Final Term'!AJ88&gt;100),"ERR",
IF(Info!$B$4="Non-board program",
IF(OR(AND(AJ$5&gt;0,AJ$5&gt;100),AND(AJ$5&gt;0,AJ$5&lt;100)),
VLOOKUP(FLOOR(('Final Term'!AJ88/AJ$5)*100,1),new_transmute,2,FALSE),
VLOOKUP('Final Term'!AJ88,new_transmute,2,FALSE)
),
IF(Info!$B$4="Board program",
IF(OR(AND(AJ$5&gt;0,AJ$5&gt;100),AND(AJ$5&gt;0,AJ$5&lt;100)),
VLOOKUP(FLOOR(('Final Term'!AJ88/AJ$5)*100,1),new_transmute,3,FALSE),
VLOOKUP('Final Term'!AJ88,new_transmute,3,FALSE)
),
IF(Info!$B$4="Board program (Medicine)",
IF(OR(AND(AJ$5&gt;0,AJ$5&gt;100),AND(AJ$5&gt;0,AJ$5&lt;100)),
VLOOKUP(FLOOR(('Final Term'!AJ88/AJ$5)*100,1),new_transmute,4,FALSE),
VLOOKUP('Final Term'!AJ88,new_transmute,4,FALSE)
),
""
)
)
)
)
)
)
)
)
))</f>
        <v/>
      </c>
      <c r="AK88" s="59" t="str">
        <f t="shared" si="16"/>
        <v/>
      </c>
      <c r="AL88" s="60" t="str">
        <f>IF(B88="", "",
    IF(OR(M88="OVER", S88="OVER", Y88="OVER", AE88="OVER", AK88="OVER"),
        "OVER",
        IF(Info!$B$4="Non-board program",
            VLOOKUP(IFERROR(FLOOR(SUM((M88*$M$4), (S88*$S$4), (Y88*$Y$4), (AE88*$AE$4), (AK88*$AK$4)) * (100 / 60), 1), 0), new_transmute, 2, FALSE),
            IF(Info!$B$4="Board program",
                VLOOKUP(IFERROR(FLOOR(SUM((M88*$M$4), (S88*$S$4), (Y88*$Y$4), (AE88*$AE$4), (AK88*$AK$4)) * (100 / 60), 1), 0), new_transmute, 3, FALSE),
                IF(Info!$B$4="Board program (Medicine)",
                    VLOOKUP(IFERROR(FLOOR(SUM((M88*$M$4), (S88*$S$4), (Y88*$Y$4), (AE88*$AE$4), (AK88*$AK$4)) * (100 / 60), 1), 0), new_transmute, 4, FALSE),
                    ""
                )
            )
        )
    )
)</f>
        <v/>
      </c>
      <c r="AM88" s="73" t="str">
        <f>IF($B88="","",
IF(AM$5="","",
IF('Final Term'!AM88="",0,
IF(NOT(ISNUMBER('Final Term'!AM88)),"NAN",
IF('Final Term'!AM88&lt;0,"NEG",
IF('Final Term'!AM88&gt;AM$5,"OVER",
IF(AND(AM$5&lt;=100,'Final Term'!AM88&gt;100),"ERR",
IF(Info!$B$4="Non-board program",
IF(OR(AND(AM$5&gt;0,AM$5&gt;100),AND(AM$5&gt;0,AM$5&lt;100)),
VLOOKUP(FLOOR(('Final Term'!AM88/AM$5)*100,1),new_transmute,2,FALSE),
VLOOKUP('Final Term'!AM88,new_transmute,2,FALSE)
),
IF(Info!$B$4="Board program",
IF(OR(AND(AM$5&gt;0,AM$5&gt;100),AND(AM$5&gt;0,AM$5&lt;100)),
VLOOKUP(FLOOR(('Final Term'!AM88/AM$5)*100,1),new_transmute,3,FALSE),
VLOOKUP('Final Term'!AM88,new_transmute,3,FALSE)
),
IF(Info!$B$4="Board program (Medicine)",
IF(OR(AND(AM$5&gt;0,AM$5&gt;100),AND(AM$5&gt;0,AM$5&lt;100)),
VLOOKUP(FLOOR(('Final Term'!AM88/AM$5)*100,1),new_transmute,4,FALSE),
VLOOKUP('Final Term'!AM88,new_transmute,4,FALSE)
),
""
)
)
)
)
)
)
)
)
))</f>
        <v/>
      </c>
      <c r="AN88" s="73" t="str">
        <f>IF($B88="","",
IF(AN$5="","",
IF('Final Term'!AN88="",0,
IF(NOT(ISNUMBER('Final Term'!AN88)),"NAN",
IF('Final Term'!AN88&lt;0,"NEG",
IF('Final Term'!AN88&gt;AN$5,"OVER",
IF(AND(AN$5&lt;=100,'Final Term'!AN88&gt;100),"ERR",
IF(Info!$B$4="Non-board program",
IF(OR(AND(AN$5&gt;0,AN$5&gt;100),AND(AN$5&gt;0,AN$5&lt;100)),
VLOOKUP(FLOOR(('Final Term'!AN88/AN$5)*100,1),new_transmute,2,FALSE),
VLOOKUP('Final Term'!AN88,new_transmute,2,FALSE)
),
IF(Info!$B$4="Board program",
IF(OR(AND(AN$5&gt;0,AN$5&gt;100),AND(AN$5&gt;0,AN$5&lt;100)),
VLOOKUP(FLOOR(('Final Term'!AN88/AN$5)*100,1),new_transmute,3,FALSE),
VLOOKUP('Final Term'!AN88,new_transmute,3,FALSE)
),
IF(Info!$B$4="Board program (Medicine)",
IF(OR(AND(AN$5&gt;0,AN$5&gt;100),AND(AN$5&gt;0,AN$5&lt;100)),
VLOOKUP(FLOOR(('Final Term'!AN88/AN$5)*100,1),new_transmute,4,FALSE),
VLOOKUP('Final Term'!AN88,new_transmute,4,FALSE)
),
""
)
)
)
)
)
)
)
)
))</f>
        <v/>
      </c>
      <c r="AO88" s="73" t="str">
        <f>IF($B88="","",
IF(AO$5="","",
IF('Final Term'!AO88="",0,
IF(NOT(ISNUMBER('Final Term'!AO88)),"NAN",
IF('Final Term'!AO88&lt;0,"NEG",
IF('Final Term'!AO88&gt;AO$5,"OVER",
IF(AND(AO$5&lt;=100,'Final Term'!AO88&gt;100),"ERR",
IF(Info!$B$4="Non-board program",
IF(OR(AND(AO$5&gt;0,AO$5&gt;100),AND(AO$5&gt;0,AO$5&lt;100)),
VLOOKUP(FLOOR(('Final Term'!AO88/AO$5)*100,1),new_transmute,2,FALSE),
VLOOKUP('Final Term'!AO88,new_transmute,2,FALSE)
),
IF(Info!$B$4="Board program",
IF(OR(AND(AO$5&gt;0,AO$5&gt;100),AND(AO$5&gt;0,AO$5&lt;100)),
VLOOKUP(FLOOR(('Final Term'!AO88/AO$5)*100,1),new_transmute,3,FALSE),
VLOOKUP('Final Term'!AO88,new_transmute,3,FALSE)
),
IF(Info!$B$4="Board program (Medicine)",
IF(OR(AND(AO$5&gt;0,AO$5&gt;100),AND(AO$5&gt;0,AO$5&lt;100)),
VLOOKUP(FLOOR(('Final Term'!AO88/AO$5)*100,1),new_transmute,4,FALSE),
VLOOKUP('Final Term'!AO88,new_transmute,4,FALSE)
),
""
)
)
)
)
)
)
)
)
))</f>
        <v/>
      </c>
      <c r="AP88" s="73" t="str">
        <f>IF($B88="","",
IF(AP$5="","",
IF('Final Term'!AP88="",0,
IF(NOT(ISNUMBER('Final Term'!AP88)),"NAN",
IF('Final Term'!AP88&lt;0,"NEG",
IF('Final Term'!AP88&gt;AP$5,"OVER",
IF(AND(AP$5&lt;=100,'Final Term'!AP88&gt;100),"ERR",
IF(Info!$B$4="Non-board program",
IF(OR(AND(AP$5&gt;0,AP$5&gt;100),AND(AP$5&gt;0,AP$5&lt;100)),
VLOOKUP(FLOOR(('Final Term'!AP88/AP$5)*100,1),new_transmute,2,FALSE),
VLOOKUP('Final Term'!AP88,new_transmute,2,FALSE)
),
IF(Info!$B$4="Board program",
IF(OR(AND(AP$5&gt;0,AP$5&gt;100),AND(AP$5&gt;0,AP$5&lt;100)),
VLOOKUP(FLOOR(('Final Term'!AP88/AP$5)*100,1),new_transmute,3,FALSE),
VLOOKUP('Final Term'!AP88,new_transmute,3,FALSE)
),
IF(Info!$B$4="Board program (Medicine)",
IF(OR(AND(AP$5&gt;0,AP$5&gt;100),AND(AP$5&gt;0,AP$5&lt;100)),
VLOOKUP(FLOOR(('Final Term'!AP88/AP$5)*100,1),new_transmute,4,FALSE),
VLOOKUP('Final Term'!AP88,new_transmute,4,FALSE)
),
""
)
)
)
)
)
)
)
)
))</f>
        <v/>
      </c>
      <c r="AQ88" s="61" t="str">
        <f t="shared" si="17"/>
        <v/>
      </c>
      <c r="AR88" s="48" t="str">
        <f>IF('Final Term'!AR88="","",'Final Term'!AR88)</f>
        <v/>
      </c>
      <c r="AS88" s="165" t="str">
        <f t="shared" si="18"/>
        <v/>
      </c>
      <c r="AT88" s="14" t="str">
        <f t="shared" si="19"/>
        <v/>
      </c>
      <c r="AU88" s="13" t="str">
        <f>IF(B88="","",VLOOKUP(AT88,'New Grade Equivalent'!$B$3:$C$47,2,FALSE))</f>
        <v/>
      </c>
    </row>
    <row r="89" spans="1:47" x14ac:dyDescent="0.25">
      <c r="A89" s="8">
        <v>84</v>
      </c>
      <c r="B89" s="2" t="str">
        <f>IF('Student List'!C93="","",UPPER(LEFT('Student List'!C93,FIND(",",'Student List'!C93)-1)))</f>
        <v/>
      </c>
      <c r="C89" s="12" t="str">
        <f>IF('Student List'!C93="","",PROPER(MID('Student List'!C93, FIND(",", 'Student List'!C93) + 2, LEN('Student List'!C93) - FIND(",", 'Student List'!C93) - 1)))</f>
        <v/>
      </c>
      <c r="D89" s="127" t="str">
        <f>IF('Final Term'!D89="","",'Final Term'!D89)</f>
        <v/>
      </c>
      <c r="E89" s="8" t="str">
        <f>IF(MidCom!E89="FA", "FA",
    IF(MidCom!E89="DRP", "DRP",
        IF(MidCom!E89="WF", "WF",
            IF(D89="Yes", "INC",
               IF((SUM('MT Attendance'!AW87) / 3 + SUM('MT Attendance'!AY87) + SUM('FT Attendance'!AW87) / 3 + SUM('FT Attendance'!AY87)) &gt;= 0.2 * (SUMPRODUCT(--(ISTEXT('MT Attendance'!$C$2:$AU$2))) + SUMPRODUCT(--(ISTEXT('FT Attendance'!$C$2:$AU$2)))), "FA",
                   MidCom!E89
                )
            )
        )
    )
)</f>
        <v/>
      </c>
      <c r="F89" s="73" t="str">
        <f>IF($B89="","",
IF(F$5="","",
IF('Final Term'!F89="",0,
IF(NOT(ISNUMBER('Final Term'!F89)),"NAN",
IF('Final Term'!F89&lt;0,"NEG",
IF('Final Term'!F89&gt;F$5,"OVER",
IF(AND(F$5&lt;=100,'Final Term'!F89&gt;100),"ERR",
IF(Info!$B$4="Non-board program",
IF(OR(AND(F$5&gt;0,F$5&gt;100),AND(F$5&gt;0,F$5&lt;100)),
VLOOKUP(FLOOR(('Final Term'!F89/F$5)*100,1),new_transmute,2,FALSE),
VLOOKUP('Final Term'!F89,new_transmute,2,FALSE)
),
IF(Info!$B$4="Board program",
IF(OR(AND(F$5&gt;0,F$5&gt;100),AND(F$5&gt;0,F$5&lt;100)),
VLOOKUP(FLOOR(('Final Term'!F89/F$5)*100,1),new_transmute,3,FALSE),
VLOOKUP('Final Term'!F89,new_transmute,3,FALSE)
),
IF(Info!$B$4="Board program (Medicine)",
IF(OR(AND(F$5&gt;0,F$5&gt;100),AND(F$5&gt;0,F$5&lt;100)),
VLOOKUP(FLOOR(('Final Term'!F89/F$5)*100,1),new_transmute,4,FALSE),
VLOOKUP('Final Term'!F89,new_transmute,4,FALSE)
),
""
)
)
)
)
)
)
)
)
))</f>
        <v/>
      </c>
      <c r="G89" s="57" t="str">
        <f t="shared" si="11"/>
        <v/>
      </c>
      <c r="H89" s="73" t="str">
        <f>IF($B89="","",
IF(H$5="","",
IF('Final Term'!H89="",0,
IF(NOT(ISNUMBER('Final Term'!H89)),"NAN",
IF('Final Term'!H89&lt;0,"NEG",
IF('Final Term'!H89&gt;H$5,"OVER",
IF(AND(H$5&lt;=100,'Final Term'!H89&gt;100),"ERR",
IF(Info!$B$4="Non-board program",
IF(OR(AND(H$5&gt;0,H$5&gt;100),AND(H$5&gt;0,H$5&lt;100)),
VLOOKUP(FLOOR(('Final Term'!H89/H$5)*100,1),new_transmute,2,FALSE),
VLOOKUP('Final Term'!H89,new_transmute,2,FALSE)
),
IF(Info!$B$4="Board program",
IF(OR(AND(H$5&gt;0,H$5&gt;100),AND(H$5&gt;0,H$5&lt;100)),
VLOOKUP(FLOOR(('Final Term'!H89/H$5)*100,1),new_transmute,3,FALSE),
VLOOKUP('Final Term'!H89,new_transmute,3,FALSE)
),
IF(Info!$B$4="Board program (Medicine)",
IF(OR(AND(H$5&gt;0,H$5&gt;100),AND(H$5&gt;0,H$5&lt;100)),
VLOOKUP(FLOOR(('Final Term'!H89/H$5)*100,1),new_transmute,4,FALSE),
VLOOKUP('Final Term'!H89,new_transmute,4,FALSE)
),
""
)
)
)
)
)
)
)
)
))</f>
        <v/>
      </c>
      <c r="I89" s="73" t="str">
        <f>IF($B89="","",
IF(I$5="","",
IF('Final Term'!I89="",0,
IF(NOT(ISNUMBER('Final Term'!I89)),"NAN",
IF('Final Term'!I89&lt;0,"NEG",
IF('Final Term'!I89&gt;I$5,"OVER",
IF(AND(I$5&lt;=100,'Final Term'!I89&gt;100),"ERR",
IF(Info!$B$4="Non-board program",
IF(OR(AND(I$5&gt;0,I$5&gt;100),AND(I$5&gt;0,I$5&lt;100)),
VLOOKUP(FLOOR(('Final Term'!I89/I$5)*100,1),new_transmute,2,FALSE),
VLOOKUP('Final Term'!I89,new_transmute,2,FALSE)
),
IF(Info!$B$4="Board program",
IF(OR(AND(I$5&gt;0,I$5&gt;100),AND(I$5&gt;0,I$5&lt;100)),
VLOOKUP(FLOOR(('Final Term'!I89/I$5)*100,1),new_transmute,3,FALSE),
VLOOKUP('Final Term'!I89,new_transmute,3,FALSE)
),
IF(Info!$B$4="Board program (Medicine)",
IF(OR(AND(I$5&gt;0,I$5&gt;100),AND(I$5&gt;0,I$5&lt;100)),
VLOOKUP(FLOOR(('Final Term'!I89/I$5)*100,1),new_transmute,4,FALSE),
VLOOKUP('Final Term'!I89,new_transmute,4,FALSE)
),
""
)
)
)
)
)
)
)
)
))</f>
        <v/>
      </c>
      <c r="J89" s="73" t="str">
        <f>IF($B89="","",
IF(J$5="","",
IF('Final Term'!J89="",0,
IF(NOT(ISNUMBER('Final Term'!J89)),"NAN",
IF('Final Term'!J89&lt;0,"NEG",
IF('Final Term'!J89&gt;J$5,"OVER",
IF(AND(J$5&lt;=100,'Final Term'!J89&gt;100),"ERR",
IF(Info!$B$4="Non-board program",
IF(OR(AND(J$5&gt;0,J$5&gt;100),AND(J$5&gt;0,J$5&lt;100)),
VLOOKUP(FLOOR(('Final Term'!J89/J$5)*100,1),new_transmute,2,FALSE),
VLOOKUP('Final Term'!J89,new_transmute,2,FALSE)
),
IF(Info!$B$4="Board program",
IF(OR(AND(J$5&gt;0,J$5&gt;100),AND(J$5&gt;0,J$5&lt;100)),
VLOOKUP(FLOOR(('Final Term'!J89/J$5)*100,1),new_transmute,3,FALSE),
VLOOKUP('Final Term'!J89,new_transmute,3,FALSE)
),
IF(Info!$B$4="Board program (Medicine)",
IF(OR(AND(J$5&gt;0,J$5&gt;100),AND(J$5&gt;0,J$5&lt;100)),
VLOOKUP(FLOOR(('Final Term'!J89/J$5)*100,1),new_transmute,4,FALSE),
VLOOKUP('Final Term'!J89,new_transmute,4,FALSE)
),
""
)
)
)
)
)
)
)
)
))</f>
        <v/>
      </c>
      <c r="K89" s="73" t="str">
        <f>IF($B89="","",
IF(K$5="","",
IF('Final Term'!K89="",0,
IF(NOT(ISNUMBER('Final Term'!K89)),"NAN",
IF('Final Term'!K89&lt;0,"NEG",
IF('Final Term'!K89&gt;K$5,"OVER",
IF(AND(K$5&lt;=100,'Final Term'!K89&gt;100),"ERR",
IF(Info!$B$4="Non-board program",
IF(OR(AND(K$5&gt;0,K$5&gt;100),AND(K$5&gt;0,K$5&lt;100)),
VLOOKUP(FLOOR(('Final Term'!K89/K$5)*100,1),new_transmute,2,FALSE),
VLOOKUP('Final Term'!K89,new_transmute,2,FALSE)
),
IF(Info!$B$4="Board program",
IF(OR(AND(K$5&gt;0,K$5&gt;100),AND(K$5&gt;0,K$5&lt;100)),
VLOOKUP(FLOOR(('Final Term'!K89/K$5)*100,1),new_transmute,3,FALSE),
VLOOKUP('Final Term'!K89,new_transmute,3,FALSE)
),
IF(Info!$B$4="Board program (Medicine)",
IF(OR(AND(K$5&gt;0,K$5&gt;100),AND(K$5&gt;0,K$5&lt;100)),
VLOOKUP(FLOOR(('Final Term'!K89/K$5)*100,1),new_transmute,4,FALSE),
VLOOKUP('Final Term'!K89,new_transmute,4,FALSE)
),
""
)
)
)
)
)
)
)
)
))</f>
        <v/>
      </c>
      <c r="L89" s="73" t="str">
        <f>IF($B89="","",
IF(L$5="","",
IF('Final Term'!L89="",0,
IF(NOT(ISNUMBER('Final Term'!L89)),"NAN",
IF('Final Term'!L89&lt;0,"NEG",
IF('Final Term'!L89&gt;L$5,"OVER",
IF(AND(L$5&lt;=100,'Final Term'!L89&gt;100),"ERR",
IF(Info!$B$4="Non-board program",
IF(OR(AND(L$5&gt;0,L$5&gt;100),AND(L$5&gt;0,L$5&lt;100)),
VLOOKUP(FLOOR(('Final Term'!L89/L$5)*100,1),new_transmute,2,FALSE),
VLOOKUP('Final Term'!L89,new_transmute,2,FALSE)
),
IF(Info!$B$4="Board program",
IF(OR(AND(L$5&gt;0,L$5&gt;100),AND(L$5&gt;0,L$5&lt;100)),
VLOOKUP(FLOOR(('Final Term'!L89/L$5)*100,1),new_transmute,3,FALSE),
VLOOKUP('Final Term'!L89,new_transmute,3,FALSE)
),
IF(Info!$B$4="Board program (Medicine)",
IF(OR(AND(L$5&gt;0,L$5&gt;100),AND(L$5&gt;0,L$5&lt;100)),
VLOOKUP(FLOOR(('Final Term'!L89/L$5)*100,1),new_transmute,4,FALSE),
VLOOKUP('Final Term'!L89,new_transmute,4,FALSE)
),
""
)
)
)
)
)
)
)
)
))</f>
        <v/>
      </c>
      <c r="M89" s="111" t="str">
        <f t="shared" si="12"/>
        <v/>
      </c>
      <c r="N89" s="73" t="str">
        <f>IF($B89="","",
IF(N$5="","",
IF('Final Term'!N89="",0,
IF(NOT(ISNUMBER('Final Term'!N89)),"NAN",
IF('Final Term'!N89&lt;0,"NEG",
IF('Final Term'!N89&gt;N$5,"OVER",
IF(AND(N$5&lt;=100,'Final Term'!N89&gt;100),"ERR",
IF(Info!$B$4="Non-board program",
IF(OR(AND(N$5&gt;0,N$5&gt;100),AND(N$5&gt;0,N$5&lt;100)),
VLOOKUP(FLOOR(('Final Term'!N89/N$5)*100,1),new_transmute,2,FALSE),
VLOOKUP('Final Term'!N89,new_transmute,2,FALSE)
),
IF(Info!$B$4="Board program",
IF(OR(AND(N$5&gt;0,N$5&gt;100),AND(N$5&gt;0,N$5&lt;100)),
VLOOKUP(FLOOR(('Final Term'!N89/N$5)*100,1),new_transmute,3,FALSE),
VLOOKUP('Final Term'!N89,new_transmute,3,FALSE)
),
IF(Info!$B$4="Board program (Medicine)",
IF(OR(AND(N$5&gt;0,N$5&gt;100),AND(N$5&gt;0,N$5&lt;100)),
VLOOKUP(FLOOR(('Final Term'!N89/N$5)*100,1),new_transmute,4,FALSE),
VLOOKUP('Final Term'!N89,new_transmute,4,FALSE)
),
""
)
)
)
)
)
)
)
)
))</f>
        <v/>
      </c>
      <c r="O89" s="73" t="str">
        <f>IF($B89="","",
IF(O$5="","",
IF('Final Term'!O89="",0,
IF(NOT(ISNUMBER('Final Term'!O89)),"NAN",
IF('Final Term'!O89&lt;0,"NEG",
IF('Final Term'!O89&gt;O$5,"OVER",
IF(AND(O$5&lt;=100,'Final Term'!O89&gt;100),"ERR",
IF(Info!$B$4="Non-board program",
IF(OR(AND(O$5&gt;0,O$5&gt;100),AND(O$5&gt;0,O$5&lt;100)),
VLOOKUP(FLOOR(('Final Term'!O89/O$5)*100,1),new_transmute,2,FALSE),
VLOOKUP('Final Term'!O89,new_transmute,2,FALSE)
),
IF(Info!$B$4="Board program",
IF(OR(AND(O$5&gt;0,O$5&gt;100),AND(O$5&gt;0,O$5&lt;100)),
VLOOKUP(FLOOR(('Final Term'!O89/O$5)*100,1),new_transmute,3,FALSE),
VLOOKUP('Final Term'!O89,new_transmute,3,FALSE)
),
IF(Info!$B$4="Board program (Medicine)",
IF(OR(AND(O$5&gt;0,O$5&gt;100),AND(O$5&gt;0,O$5&lt;100)),
VLOOKUP(FLOOR(('Final Term'!O89/O$5)*100,1),new_transmute,4,FALSE),
VLOOKUP('Final Term'!O89,new_transmute,4,FALSE)
),
""
)
)
)
)
)
)
)
)
))</f>
        <v/>
      </c>
      <c r="P89" s="73" t="str">
        <f>IF($B89="","",
IF(P$5="","",
IF('Final Term'!P89="",0,
IF(NOT(ISNUMBER('Final Term'!P89)),"NAN",
IF('Final Term'!P89&lt;0,"NEG",
IF('Final Term'!P89&gt;P$5,"OVER",
IF(AND(P$5&lt;=100,'Final Term'!P89&gt;100),"ERR",
IF(Info!$B$4="Non-board program",
IF(OR(AND(P$5&gt;0,P$5&gt;100),AND(P$5&gt;0,P$5&lt;100)),
VLOOKUP(FLOOR(('Final Term'!P89/P$5)*100,1),new_transmute,2,FALSE),
VLOOKUP('Final Term'!P89,new_transmute,2,FALSE)
),
IF(Info!$B$4="Board program",
IF(OR(AND(P$5&gt;0,P$5&gt;100),AND(P$5&gt;0,P$5&lt;100)),
VLOOKUP(FLOOR(('Final Term'!P89/P$5)*100,1),new_transmute,3,FALSE),
VLOOKUP('Final Term'!P89,new_transmute,3,FALSE)
),
IF(Info!$B$4="Board program (Medicine)",
IF(OR(AND(P$5&gt;0,P$5&gt;100),AND(P$5&gt;0,P$5&lt;100)),
VLOOKUP(FLOOR(('Final Term'!P89/P$5)*100,1),new_transmute,4,FALSE),
VLOOKUP('Final Term'!P89,new_transmute,4,FALSE)
),
""
)
)
)
)
)
)
)
)
))</f>
        <v/>
      </c>
      <c r="Q89" s="73" t="str">
        <f>IF($B89="","",
IF(Q$5="","",
IF('Final Term'!Q89="",0,
IF(NOT(ISNUMBER('Final Term'!Q89)),"NAN",
IF('Final Term'!Q89&lt;0,"NEG",
IF('Final Term'!Q89&gt;Q$5,"OVER",
IF(AND(Q$5&lt;=100,'Final Term'!Q89&gt;100),"ERR",
IF(Info!$B$4="Non-board program",
IF(OR(AND(Q$5&gt;0,Q$5&gt;100),AND(Q$5&gt;0,Q$5&lt;100)),
VLOOKUP(FLOOR(('Final Term'!Q89/Q$5)*100,1),new_transmute,2,FALSE),
VLOOKUP('Final Term'!Q89,new_transmute,2,FALSE)
),
IF(Info!$B$4="Board program",
IF(OR(AND(Q$5&gt;0,Q$5&gt;100),AND(Q$5&gt;0,Q$5&lt;100)),
VLOOKUP(FLOOR(('Final Term'!Q89/Q$5)*100,1),new_transmute,3,FALSE),
VLOOKUP('Final Term'!Q89,new_transmute,3,FALSE)
),
IF(Info!$B$4="Board program (Medicine)",
IF(OR(AND(Q$5&gt;0,Q$5&gt;100),AND(Q$5&gt;0,Q$5&lt;100)),
VLOOKUP(FLOOR(('Final Term'!Q89/Q$5)*100,1),new_transmute,4,FALSE),
VLOOKUP('Final Term'!Q89,new_transmute,4,FALSE)
),
""
)
)
)
)
)
)
)
)
))</f>
        <v/>
      </c>
      <c r="R89" s="73" t="str">
        <f>IF($B89="","",
IF(R$5="","",
IF('Final Term'!R89="",0,
IF(NOT(ISNUMBER('Final Term'!R89)),"NAN",
IF('Final Term'!R89&lt;0,"NEG",
IF('Final Term'!R89&gt;R$5,"OVER",
IF(AND(R$5&lt;=100,'Final Term'!R89&gt;100),"ERR",
IF(Info!$B$4="Non-board program",
IF(OR(AND(R$5&gt;0,R$5&gt;100),AND(R$5&gt;0,R$5&lt;100)),
VLOOKUP(FLOOR(('Final Term'!R89/R$5)*100,1),new_transmute,2,FALSE),
VLOOKUP('Final Term'!R89,new_transmute,2,FALSE)
),
IF(Info!$B$4="Board program",
IF(OR(AND(R$5&gt;0,R$5&gt;100),AND(R$5&gt;0,R$5&lt;100)),
VLOOKUP(FLOOR(('Final Term'!R89/R$5)*100,1),new_transmute,3,FALSE),
VLOOKUP('Final Term'!R89,new_transmute,3,FALSE)
),
IF(Info!$B$4="Board program (Medicine)",
IF(OR(AND(R$5&gt;0,R$5&gt;100),AND(R$5&gt;0,R$5&lt;100)),
VLOOKUP(FLOOR(('Final Term'!R89/R$5)*100,1),new_transmute,4,FALSE),
VLOOKUP('Final Term'!R89,new_transmute,4,FALSE)
),
""
)
)
)
)
)
)
)
)
))</f>
        <v/>
      </c>
      <c r="S89" s="115" t="str">
        <f t="shared" si="13"/>
        <v/>
      </c>
      <c r="T89" s="73" t="str">
        <f>IF($B89="","",
IF(T$5="","",
IF('Final Term'!T89="",0,
IF(NOT(ISNUMBER('Final Term'!T89)),"NAN",
IF('Final Term'!T89&lt;0,"NEG",
IF('Final Term'!T89&gt;T$5,"OVER",
IF(AND(T$5&lt;=100,'Final Term'!T89&gt;100),"ERR",
IF(Info!$B$4="Non-board program",
IF(OR(AND(T$5&gt;0,T$5&gt;100),AND(T$5&gt;0,T$5&lt;100)),
VLOOKUP(FLOOR(('Final Term'!T89/T$5)*100,1),new_transmute,2,FALSE),
VLOOKUP('Final Term'!T89,new_transmute,2,FALSE)
),
IF(Info!$B$4="Board program",
IF(OR(AND(T$5&gt;0,T$5&gt;100),AND(T$5&gt;0,T$5&lt;100)),
VLOOKUP(FLOOR(('Final Term'!T89/T$5)*100,1),new_transmute,3,FALSE),
VLOOKUP('Final Term'!T89,new_transmute,3,FALSE)
),
IF(Info!$B$4="Board program (Medicine)",
IF(OR(AND(T$5&gt;0,T$5&gt;100),AND(T$5&gt;0,T$5&lt;100)),
VLOOKUP(FLOOR(('Final Term'!T89/T$5)*100,1),new_transmute,4,FALSE),
VLOOKUP('Final Term'!T89,new_transmute,4,FALSE)
),
""
)
)
)
)
)
)
)
)
))</f>
        <v/>
      </c>
      <c r="U89" s="73" t="str">
        <f>IF($B89="","",
IF(U$5="","",
IF('Final Term'!U89="",0,
IF(NOT(ISNUMBER('Final Term'!U89)),"NAN",
IF('Final Term'!U89&lt;0,"NEG",
IF('Final Term'!U89&gt;U$5,"OVER",
IF(AND(U$5&lt;=100,'Final Term'!U89&gt;100),"ERR",
IF(Info!$B$4="Non-board program",
IF(OR(AND(U$5&gt;0,U$5&gt;100),AND(U$5&gt;0,U$5&lt;100)),
VLOOKUP(FLOOR(('Final Term'!U89/U$5)*100,1),new_transmute,2,FALSE),
VLOOKUP('Final Term'!U89,new_transmute,2,FALSE)
),
IF(Info!$B$4="Board program",
IF(OR(AND(U$5&gt;0,U$5&gt;100),AND(U$5&gt;0,U$5&lt;100)),
VLOOKUP(FLOOR(('Final Term'!U89/U$5)*100,1),new_transmute,3,FALSE),
VLOOKUP('Final Term'!U89,new_transmute,3,FALSE)
),
IF(Info!$B$4="Board program (Medicine)",
IF(OR(AND(U$5&gt;0,U$5&gt;100),AND(U$5&gt;0,U$5&lt;100)),
VLOOKUP(FLOOR(('Final Term'!U89/U$5)*100,1),new_transmute,4,FALSE),
VLOOKUP('Final Term'!U89,new_transmute,4,FALSE)
),
""
)
)
)
)
)
)
)
)
))</f>
        <v/>
      </c>
      <c r="V89" s="73" t="str">
        <f>IF($B89="","",
IF(V$5="","",
IF('Final Term'!V89="",0,
IF(NOT(ISNUMBER('Final Term'!V89)),"NAN",
IF('Final Term'!V89&lt;0,"NEG",
IF('Final Term'!V89&gt;V$5,"OVER",
IF(AND(V$5&lt;=100,'Final Term'!V89&gt;100),"ERR",
IF(Info!$B$4="Non-board program",
IF(OR(AND(V$5&gt;0,V$5&gt;100),AND(V$5&gt;0,V$5&lt;100)),
VLOOKUP(FLOOR(('Final Term'!V89/V$5)*100,1),new_transmute,2,FALSE),
VLOOKUP('Final Term'!V89,new_transmute,2,FALSE)
),
IF(Info!$B$4="Board program",
IF(OR(AND(V$5&gt;0,V$5&gt;100),AND(V$5&gt;0,V$5&lt;100)),
VLOOKUP(FLOOR(('Final Term'!V89/V$5)*100,1),new_transmute,3,FALSE),
VLOOKUP('Final Term'!V89,new_transmute,3,FALSE)
),
IF(Info!$B$4="Board program (Medicine)",
IF(OR(AND(V$5&gt;0,V$5&gt;100),AND(V$5&gt;0,V$5&lt;100)),
VLOOKUP(FLOOR(('Final Term'!V89/V$5)*100,1),new_transmute,4,FALSE),
VLOOKUP('Final Term'!V89,new_transmute,4,FALSE)
),
""
)
)
)
)
)
)
)
)
))</f>
        <v/>
      </c>
      <c r="W89" s="73" t="str">
        <f>IF($B89="","",
IF(W$5="","",
IF('Final Term'!W89="",0,
IF(NOT(ISNUMBER('Final Term'!W89)),"NAN",
IF('Final Term'!W89&lt;0,"NEG",
IF('Final Term'!W89&gt;W$5,"OVER",
IF(AND(W$5&lt;=100,'Final Term'!W89&gt;100),"ERR",
IF(Info!$B$4="Non-board program",
IF(OR(AND(W$5&gt;0,W$5&gt;100),AND(W$5&gt;0,W$5&lt;100)),
VLOOKUP(FLOOR(('Final Term'!W89/W$5)*100,1),new_transmute,2,FALSE),
VLOOKUP('Final Term'!W89,new_transmute,2,FALSE)
),
IF(Info!$B$4="Board program",
IF(OR(AND(W$5&gt;0,W$5&gt;100),AND(W$5&gt;0,W$5&lt;100)),
VLOOKUP(FLOOR(('Final Term'!W89/W$5)*100,1),new_transmute,3,FALSE),
VLOOKUP('Final Term'!W89,new_transmute,3,FALSE)
),
IF(Info!$B$4="Board program (Medicine)",
IF(OR(AND(W$5&gt;0,W$5&gt;100),AND(W$5&gt;0,W$5&lt;100)),
VLOOKUP(FLOOR(('Final Term'!W89/W$5)*100,1),new_transmute,4,FALSE),
VLOOKUP('Final Term'!W89,new_transmute,4,FALSE)
),
""
)
)
)
)
)
)
)
)
))</f>
        <v/>
      </c>
      <c r="X89" s="73" t="str">
        <f>IF($B89="","",
IF(X$5="","",
IF('Final Term'!X89="",0,
IF(NOT(ISNUMBER('Final Term'!X89)),"NAN",
IF('Final Term'!X89&lt;0,"NEG",
IF('Final Term'!X89&gt;X$5,"OVER",
IF(AND(X$5&lt;=100,'Final Term'!X89&gt;100),"ERR",
IF(Info!$B$4="Non-board program",
IF(OR(AND(X$5&gt;0,X$5&gt;100),AND(X$5&gt;0,X$5&lt;100)),
VLOOKUP(FLOOR(('Final Term'!X89/X$5)*100,1),new_transmute,2,FALSE),
VLOOKUP('Final Term'!X89,new_transmute,2,FALSE)
),
IF(Info!$B$4="Board program",
IF(OR(AND(X$5&gt;0,X$5&gt;100),AND(X$5&gt;0,X$5&lt;100)),
VLOOKUP(FLOOR(('Final Term'!X89/X$5)*100,1),new_transmute,3,FALSE),
VLOOKUP('Final Term'!X89,new_transmute,3,FALSE)
),
IF(Info!$B$4="Board program (Medicine)",
IF(OR(AND(X$5&gt;0,X$5&gt;100),AND(X$5&gt;0,X$5&lt;100)),
VLOOKUP(FLOOR(('Final Term'!X89/X$5)*100,1),new_transmute,4,FALSE),
VLOOKUP('Final Term'!X89,new_transmute,4,FALSE)
),
""
)
)
)
)
)
)
)
)
))</f>
        <v/>
      </c>
      <c r="Y89" s="112" t="str">
        <f t="shared" si="14"/>
        <v/>
      </c>
      <c r="Z89" s="73" t="str">
        <f>IF($B89="","",
IF(Z$5="","",
IF('Final Term'!Z89="",0,
IF(NOT(ISNUMBER('Final Term'!Z89)),"NAN",
IF('Final Term'!Z89&lt;0,"NEG",
IF('Final Term'!Z89&gt;Z$5,"OVER",
IF(AND(Z$5&lt;=100,'Final Term'!Z89&gt;100),"ERR",
IF(Info!$B$4="Non-board program",
IF(OR(AND(Z$5&gt;0,Z$5&gt;100),AND(Z$5&gt;0,Z$5&lt;100)),
VLOOKUP(FLOOR(('Final Term'!Z89/Z$5)*100,1),new_transmute,2,FALSE),
VLOOKUP('Final Term'!Z89,new_transmute,2,FALSE)
),
IF(Info!$B$4="Board program",
IF(OR(AND(Z$5&gt;0,Z$5&gt;100),AND(Z$5&gt;0,Z$5&lt;100)),
VLOOKUP(FLOOR(('Final Term'!Z89/Z$5)*100,1),new_transmute,3,FALSE),
VLOOKUP('Final Term'!Z89,new_transmute,3,FALSE)
),
IF(Info!$B$4="Board program (Medicine)",
IF(OR(AND(Z$5&gt;0,Z$5&gt;100),AND(Z$5&gt;0,Z$5&lt;100)),
VLOOKUP(FLOOR(('Final Term'!Z89/Z$5)*100,1),new_transmute,4,FALSE),
VLOOKUP('Final Term'!Z89,new_transmute,4,FALSE)
),
""
)
)
)
)
)
)
)
)
))</f>
        <v/>
      </c>
      <c r="AA89" s="73" t="str">
        <f>IF($B89="","",
IF(AA$5="","",
IF('Final Term'!AA89="",0,
IF(NOT(ISNUMBER('Final Term'!AA89)),"NAN",
IF('Final Term'!AA89&lt;0,"NEG",
IF('Final Term'!AA89&gt;AA$5,"OVER",
IF(AND(AA$5&lt;=100,'Final Term'!AA89&gt;100),"ERR",
IF(Info!$B$4="Non-board program",
IF(OR(AND(AA$5&gt;0,AA$5&gt;100),AND(AA$5&gt;0,AA$5&lt;100)),
VLOOKUP(FLOOR(('Final Term'!AA89/AA$5)*100,1),new_transmute,2,FALSE),
VLOOKUP('Final Term'!AA89,new_transmute,2,FALSE)
),
IF(Info!$B$4="Board program",
IF(OR(AND(AA$5&gt;0,AA$5&gt;100),AND(AA$5&gt;0,AA$5&lt;100)),
VLOOKUP(FLOOR(('Final Term'!AA89/AA$5)*100,1),new_transmute,3,FALSE),
VLOOKUP('Final Term'!AA89,new_transmute,3,FALSE)
),
IF(Info!$B$4="Board program (Medicine)",
IF(OR(AND(AA$5&gt;0,AA$5&gt;100),AND(AA$5&gt;0,AA$5&lt;100)),
VLOOKUP(FLOOR(('Final Term'!AA89/AA$5)*100,1),new_transmute,4,FALSE),
VLOOKUP('Final Term'!AA89,new_transmute,4,FALSE)
),
""
)
)
)
)
)
)
)
)
))</f>
        <v/>
      </c>
      <c r="AB89" s="73" t="str">
        <f>IF($B89="","",
IF(AB$5="","",
IF('Final Term'!AB89="",0,
IF(NOT(ISNUMBER('Final Term'!AB89)),"NAN",
IF('Final Term'!AB89&lt;0,"NEG",
IF('Final Term'!AB89&gt;AB$5,"OVER",
IF(AND(AB$5&lt;=100,'Final Term'!AB89&gt;100),"ERR",
IF(Info!$B$4="Non-board program",
IF(OR(AND(AB$5&gt;0,AB$5&gt;100),AND(AB$5&gt;0,AB$5&lt;100)),
VLOOKUP(FLOOR(('Final Term'!AB89/AB$5)*100,1),new_transmute,2,FALSE),
VLOOKUP('Final Term'!AB89,new_transmute,2,FALSE)
),
IF(Info!$B$4="Board program",
IF(OR(AND(AB$5&gt;0,AB$5&gt;100),AND(AB$5&gt;0,AB$5&lt;100)),
VLOOKUP(FLOOR(('Final Term'!AB89/AB$5)*100,1),new_transmute,3,FALSE),
VLOOKUP('Final Term'!AB89,new_transmute,3,FALSE)
),
IF(Info!$B$4="Board program (Medicine)",
IF(OR(AND(AB$5&gt;0,AB$5&gt;100),AND(AB$5&gt;0,AB$5&lt;100)),
VLOOKUP(FLOOR(('Final Term'!AB89/AB$5)*100,1),new_transmute,4,FALSE),
VLOOKUP('Final Term'!AB89,new_transmute,4,FALSE)
),
""
)
)
)
)
)
)
)
)
))</f>
        <v/>
      </c>
      <c r="AC89" s="73" t="str">
        <f>IF($B89="","",
IF(AC$5="","",
IF('Final Term'!AC89="",0,
IF(NOT(ISNUMBER('Final Term'!AC89)),"NAN",
IF('Final Term'!AC89&lt;0,"NEG",
IF('Final Term'!AC89&gt;AC$5,"OVER",
IF(AND(AC$5&lt;=100,'Final Term'!AC89&gt;100),"ERR",
IF(Info!$B$4="Non-board program",
IF(OR(AND(AC$5&gt;0,AC$5&gt;100),AND(AC$5&gt;0,AC$5&lt;100)),
VLOOKUP(FLOOR(('Final Term'!AC89/AC$5)*100,1),new_transmute,2,FALSE),
VLOOKUP('Final Term'!AC89,new_transmute,2,FALSE)
),
IF(Info!$B$4="Board program",
IF(OR(AND(AC$5&gt;0,AC$5&gt;100),AND(AC$5&gt;0,AC$5&lt;100)),
VLOOKUP(FLOOR(('Final Term'!AC89/AC$5)*100,1),new_transmute,3,FALSE),
VLOOKUP('Final Term'!AC89,new_transmute,3,FALSE)
),
IF(Info!$B$4="Board program (Medicine)",
IF(OR(AND(AC$5&gt;0,AC$5&gt;100),AND(AC$5&gt;0,AC$5&lt;100)),
VLOOKUP(FLOOR(('Final Term'!AC89/AC$5)*100,1),new_transmute,4,FALSE),
VLOOKUP('Final Term'!AC89,new_transmute,4,FALSE)
),
""
)
)
)
)
)
)
)
)
))</f>
        <v/>
      </c>
      <c r="AD89" s="73" t="str">
        <f>IF($B89="","",
IF(AD$5="","",
IF('Final Term'!AD89="",0,
IF(NOT(ISNUMBER('Final Term'!AD89)),"NAN",
IF('Final Term'!AD89&lt;0,"NEG",
IF('Final Term'!AD89&gt;AD$5,"OVER",
IF(AND(AD$5&lt;=100,'Final Term'!AD89&gt;100),"ERR",
IF(Info!$B$4="Non-board program",
IF(OR(AND(AD$5&gt;0,AD$5&gt;100),AND(AD$5&gt;0,AD$5&lt;100)),
VLOOKUP(FLOOR(('Final Term'!AD89/AD$5)*100,1),new_transmute,2,FALSE),
VLOOKUP('Final Term'!AD89,new_transmute,2,FALSE)
),
IF(Info!$B$4="Board program",
IF(OR(AND(AD$5&gt;0,AD$5&gt;100),AND(AD$5&gt;0,AD$5&lt;100)),
VLOOKUP(FLOOR(('Final Term'!AD89/AD$5)*100,1),new_transmute,3,FALSE),
VLOOKUP('Final Term'!AD89,new_transmute,3,FALSE)
),
IF(Info!$B$4="Board program (Medicine)",
IF(OR(AND(AD$5&gt;0,AD$5&gt;100),AND(AD$5&gt;0,AD$5&lt;100)),
VLOOKUP(FLOOR(('Final Term'!AD89/AD$5)*100,1),new_transmute,4,FALSE),
VLOOKUP('Final Term'!AD89,new_transmute,4,FALSE)
),
""
)
)
)
)
)
)
)
)
))</f>
        <v/>
      </c>
      <c r="AE89" s="58" t="str">
        <f t="shared" si="15"/>
        <v/>
      </c>
      <c r="AF89" s="73" t="str">
        <f>IF($B89="","",
IF(AF$5="","",
IF('Final Term'!AF89="",0,
IF(NOT(ISNUMBER('Final Term'!AF89)),"NAN",
IF('Final Term'!AF89&lt;0,"NEG",
IF('Final Term'!AF89&gt;AF$5,"OVER",
IF(AND(AF$5&lt;=100,'Final Term'!AF89&gt;100),"ERR",
IF(Info!$B$4="Non-board program",
IF(OR(AND(AF$5&gt;0,AF$5&gt;100),AND(AF$5&gt;0,AF$5&lt;100)),
VLOOKUP(FLOOR(('Final Term'!AF89/AF$5)*100,1),new_transmute,2,FALSE),
VLOOKUP('Final Term'!AF89,new_transmute,2,FALSE)
),
IF(Info!$B$4="Board program",
IF(OR(AND(AF$5&gt;0,AF$5&gt;100),AND(AF$5&gt;0,AF$5&lt;100)),
VLOOKUP(FLOOR(('Final Term'!AF89/AF$5)*100,1),new_transmute,3,FALSE),
VLOOKUP('Final Term'!AF89,new_transmute,3,FALSE)
),
IF(Info!$B$4="Board program (Medicine)",
IF(OR(AND(AF$5&gt;0,AF$5&gt;100),AND(AF$5&gt;0,AF$5&lt;100)),
VLOOKUP(FLOOR(('Final Term'!AF89/AF$5)*100,1),new_transmute,4,FALSE),
VLOOKUP('Final Term'!AF89,new_transmute,4,FALSE)
),
""
)
)
)
)
)
)
)
)
))</f>
        <v/>
      </c>
      <c r="AG89" s="73" t="str">
        <f>IF($B89="","",
IF(AG$5="","",
IF('Final Term'!AG89="",0,
IF(NOT(ISNUMBER('Final Term'!AG89)),"NAN",
IF('Final Term'!AG89&lt;0,"NEG",
IF('Final Term'!AG89&gt;AG$5,"OVER",
IF(AND(AG$5&lt;=100,'Final Term'!AG89&gt;100),"ERR",
IF(Info!$B$4="Non-board program",
IF(OR(AND(AG$5&gt;0,AG$5&gt;100),AND(AG$5&gt;0,AG$5&lt;100)),
VLOOKUP(FLOOR(('Final Term'!AG89/AG$5)*100,1),new_transmute,2,FALSE),
VLOOKUP('Final Term'!AG89,new_transmute,2,FALSE)
),
IF(Info!$B$4="Board program",
IF(OR(AND(AG$5&gt;0,AG$5&gt;100),AND(AG$5&gt;0,AG$5&lt;100)),
VLOOKUP(FLOOR(('Final Term'!AG89/AG$5)*100,1),new_transmute,3,FALSE),
VLOOKUP('Final Term'!AG89,new_transmute,3,FALSE)
),
IF(Info!$B$4="Board program (Medicine)",
IF(OR(AND(AG$5&gt;0,AG$5&gt;100),AND(AG$5&gt;0,AG$5&lt;100)),
VLOOKUP(FLOOR(('Final Term'!AG89/AG$5)*100,1),new_transmute,4,FALSE),
VLOOKUP('Final Term'!AG89,new_transmute,4,FALSE)
),
""
)
)
)
)
)
)
)
)
))</f>
        <v/>
      </c>
      <c r="AH89" s="73" t="str">
        <f>IF($B89="","",
IF(AH$5="","",
IF('Final Term'!AH89="",0,
IF(NOT(ISNUMBER('Final Term'!AH89)),"NAN",
IF('Final Term'!AH89&lt;0,"NEG",
IF('Final Term'!AH89&gt;AH$5,"OVER",
IF(AND(AH$5&lt;=100,'Final Term'!AH89&gt;100),"ERR",
IF(Info!$B$4="Non-board program",
IF(OR(AND(AH$5&gt;0,AH$5&gt;100),AND(AH$5&gt;0,AH$5&lt;100)),
VLOOKUP(FLOOR(('Final Term'!AH89/AH$5)*100,1),new_transmute,2,FALSE),
VLOOKUP('Final Term'!AH89,new_transmute,2,FALSE)
),
IF(Info!$B$4="Board program",
IF(OR(AND(AH$5&gt;0,AH$5&gt;100),AND(AH$5&gt;0,AH$5&lt;100)),
VLOOKUP(FLOOR(('Final Term'!AH89/AH$5)*100,1),new_transmute,3,FALSE),
VLOOKUP('Final Term'!AH89,new_transmute,3,FALSE)
),
IF(Info!$B$4="Board program (Medicine)",
IF(OR(AND(AH$5&gt;0,AH$5&gt;100),AND(AH$5&gt;0,AH$5&lt;100)),
VLOOKUP(FLOOR(('Final Term'!AH89/AH$5)*100,1),new_transmute,4,FALSE),
VLOOKUP('Final Term'!AH89,new_transmute,4,FALSE)
),
""
)
)
)
)
)
)
)
)
))</f>
        <v/>
      </c>
      <c r="AI89" s="73" t="str">
        <f>IF($B89="","",
IF(AI$5="","",
IF('Final Term'!AI89="",0,
IF(NOT(ISNUMBER('Final Term'!AI89)),"NAN",
IF('Final Term'!AI89&lt;0,"NEG",
IF('Final Term'!AI89&gt;AI$5,"OVER",
IF(AND(AI$5&lt;=100,'Final Term'!AI89&gt;100),"ERR",
IF(Info!$B$4="Non-board program",
IF(OR(AND(AI$5&gt;0,AI$5&gt;100),AND(AI$5&gt;0,AI$5&lt;100)),
VLOOKUP(FLOOR(('Final Term'!AI89/AI$5)*100,1),new_transmute,2,FALSE),
VLOOKUP('Final Term'!AI89,new_transmute,2,FALSE)
),
IF(Info!$B$4="Board program",
IF(OR(AND(AI$5&gt;0,AI$5&gt;100),AND(AI$5&gt;0,AI$5&lt;100)),
VLOOKUP(FLOOR(('Final Term'!AI89/AI$5)*100,1),new_transmute,3,FALSE),
VLOOKUP('Final Term'!AI89,new_transmute,3,FALSE)
),
IF(Info!$B$4="Board program (Medicine)",
IF(OR(AND(AI$5&gt;0,AI$5&gt;100),AND(AI$5&gt;0,AI$5&lt;100)),
VLOOKUP(FLOOR(('Final Term'!AI89/AI$5)*100,1),new_transmute,4,FALSE),
VLOOKUP('Final Term'!AI89,new_transmute,4,FALSE)
),
""
)
)
)
)
)
)
)
)
))</f>
        <v/>
      </c>
      <c r="AJ89" s="73" t="str">
        <f>IF($B89="","",
IF(AJ$5="","",
IF('Final Term'!AJ89="",0,
IF(NOT(ISNUMBER('Final Term'!AJ89)),"NAN",
IF('Final Term'!AJ89&lt;0,"NEG",
IF('Final Term'!AJ89&gt;AJ$5,"OVER",
IF(AND(AJ$5&lt;=100,'Final Term'!AJ89&gt;100),"ERR",
IF(Info!$B$4="Non-board program",
IF(OR(AND(AJ$5&gt;0,AJ$5&gt;100),AND(AJ$5&gt;0,AJ$5&lt;100)),
VLOOKUP(FLOOR(('Final Term'!AJ89/AJ$5)*100,1),new_transmute,2,FALSE),
VLOOKUP('Final Term'!AJ89,new_transmute,2,FALSE)
),
IF(Info!$B$4="Board program",
IF(OR(AND(AJ$5&gt;0,AJ$5&gt;100),AND(AJ$5&gt;0,AJ$5&lt;100)),
VLOOKUP(FLOOR(('Final Term'!AJ89/AJ$5)*100,1),new_transmute,3,FALSE),
VLOOKUP('Final Term'!AJ89,new_transmute,3,FALSE)
),
IF(Info!$B$4="Board program (Medicine)",
IF(OR(AND(AJ$5&gt;0,AJ$5&gt;100),AND(AJ$5&gt;0,AJ$5&lt;100)),
VLOOKUP(FLOOR(('Final Term'!AJ89/AJ$5)*100,1),new_transmute,4,FALSE),
VLOOKUP('Final Term'!AJ89,new_transmute,4,FALSE)
),
""
)
)
)
)
)
)
)
)
))</f>
        <v/>
      </c>
      <c r="AK89" s="59" t="str">
        <f t="shared" si="16"/>
        <v/>
      </c>
      <c r="AL89" s="60" t="str">
        <f>IF(B89="", "",
    IF(OR(M89="OVER", S89="OVER", Y89="OVER", AE89="OVER", AK89="OVER"),
        "OVER",
        IF(Info!$B$4="Non-board program",
            VLOOKUP(IFERROR(FLOOR(SUM((M89*$M$4), (S89*$S$4), (Y89*$Y$4), (AE89*$AE$4), (AK89*$AK$4)) * (100 / 60), 1), 0), new_transmute, 2, FALSE),
            IF(Info!$B$4="Board program",
                VLOOKUP(IFERROR(FLOOR(SUM((M89*$M$4), (S89*$S$4), (Y89*$Y$4), (AE89*$AE$4), (AK89*$AK$4)) * (100 / 60), 1), 0), new_transmute, 3, FALSE),
                IF(Info!$B$4="Board program (Medicine)",
                    VLOOKUP(IFERROR(FLOOR(SUM((M89*$M$4), (S89*$S$4), (Y89*$Y$4), (AE89*$AE$4), (AK89*$AK$4)) * (100 / 60), 1), 0), new_transmute, 4, FALSE),
                    ""
                )
            )
        )
    )
)</f>
        <v/>
      </c>
      <c r="AM89" s="73" t="str">
        <f>IF($B89="","",
IF(AM$5="","",
IF('Final Term'!AM89="",0,
IF(NOT(ISNUMBER('Final Term'!AM89)),"NAN",
IF('Final Term'!AM89&lt;0,"NEG",
IF('Final Term'!AM89&gt;AM$5,"OVER",
IF(AND(AM$5&lt;=100,'Final Term'!AM89&gt;100),"ERR",
IF(Info!$B$4="Non-board program",
IF(OR(AND(AM$5&gt;0,AM$5&gt;100),AND(AM$5&gt;0,AM$5&lt;100)),
VLOOKUP(FLOOR(('Final Term'!AM89/AM$5)*100,1),new_transmute,2,FALSE),
VLOOKUP('Final Term'!AM89,new_transmute,2,FALSE)
),
IF(Info!$B$4="Board program",
IF(OR(AND(AM$5&gt;0,AM$5&gt;100),AND(AM$5&gt;0,AM$5&lt;100)),
VLOOKUP(FLOOR(('Final Term'!AM89/AM$5)*100,1),new_transmute,3,FALSE),
VLOOKUP('Final Term'!AM89,new_transmute,3,FALSE)
),
IF(Info!$B$4="Board program (Medicine)",
IF(OR(AND(AM$5&gt;0,AM$5&gt;100),AND(AM$5&gt;0,AM$5&lt;100)),
VLOOKUP(FLOOR(('Final Term'!AM89/AM$5)*100,1),new_transmute,4,FALSE),
VLOOKUP('Final Term'!AM89,new_transmute,4,FALSE)
),
""
)
)
)
)
)
)
)
)
))</f>
        <v/>
      </c>
      <c r="AN89" s="73" t="str">
        <f>IF($B89="","",
IF(AN$5="","",
IF('Final Term'!AN89="",0,
IF(NOT(ISNUMBER('Final Term'!AN89)),"NAN",
IF('Final Term'!AN89&lt;0,"NEG",
IF('Final Term'!AN89&gt;AN$5,"OVER",
IF(AND(AN$5&lt;=100,'Final Term'!AN89&gt;100),"ERR",
IF(Info!$B$4="Non-board program",
IF(OR(AND(AN$5&gt;0,AN$5&gt;100),AND(AN$5&gt;0,AN$5&lt;100)),
VLOOKUP(FLOOR(('Final Term'!AN89/AN$5)*100,1),new_transmute,2,FALSE),
VLOOKUP('Final Term'!AN89,new_transmute,2,FALSE)
),
IF(Info!$B$4="Board program",
IF(OR(AND(AN$5&gt;0,AN$5&gt;100),AND(AN$5&gt;0,AN$5&lt;100)),
VLOOKUP(FLOOR(('Final Term'!AN89/AN$5)*100,1),new_transmute,3,FALSE),
VLOOKUP('Final Term'!AN89,new_transmute,3,FALSE)
),
IF(Info!$B$4="Board program (Medicine)",
IF(OR(AND(AN$5&gt;0,AN$5&gt;100),AND(AN$5&gt;0,AN$5&lt;100)),
VLOOKUP(FLOOR(('Final Term'!AN89/AN$5)*100,1),new_transmute,4,FALSE),
VLOOKUP('Final Term'!AN89,new_transmute,4,FALSE)
),
""
)
)
)
)
)
)
)
)
))</f>
        <v/>
      </c>
      <c r="AO89" s="73" t="str">
        <f>IF($B89="","",
IF(AO$5="","",
IF('Final Term'!AO89="",0,
IF(NOT(ISNUMBER('Final Term'!AO89)),"NAN",
IF('Final Term'!AO89&lt;0,"NEG",
IF('Final Term'!AO89&gt;AO$5,"OVER",
IF(AND(AO$5&lt;=100,'Final Term'!AO89&gt;100),"ERR",
IF(Info!$B$4="Non-board program",
IF(OR(AND(AO$5&gt;0,AO$5&gt;100),AND(AO$5&gt;0,AO$5&lt;100)),
VLOOKUP(FLOOR(('Final Term'!AO89/AO$5)*100,1),new_transmute,2,FALSE),
VLOOKUP('Final Term'!AO89,new_transmute,2,FALSE)
),
IF(Info!$B$4="Board program",
IF(OR(AND(AO$5&gt;0,AO$5&gt;100),AND(AO$5&gt;0,AO$5&lt;100)),
VLOOKUP(FLOOR(('Final Term'!AO89/AO$5)*100,1),new_transmute,3,FALSE),
VLOOKUP('Final Term'!AO89,new_transmute,3,FALSE)
),
IF(Info!$B$4="Board program (Medicine)",
IF(OR(AND(AO$5&gt;0,AO$5&gt;100),AND(AO$5&gt;0,AO$5&lt;100)),
VLOOKUP(FLOOR(('Final Term'!AO89/AO$5)*100,1),new_transmute,4,FALSE),
VLOOKUP('Final Term'!AO89,new_transmute,4,FALSE)
),
""
)
)
)
)
)
)
)
)
))</f>
        <v/>
      </c>
      <c r="AP89" s="73" t="str">
        <f>IF($B89="","",
IF(AP$5="","",
IF('Final Term'!AP89="",0,
IF(NOT(ISNUMBER('Final Term'!AP89)),"NAN",
IF('Final Term'!AP89&lt;0,"NEG",
IF('Final Term'!AP89&gt;AP$5,"OVER",
IF(AND(AP$5&lt;=100,'Final Term'!AP89&gt;100),"ERR",
IF(Info!$B$4="Non-board program",
IF(OR(AND(AP$5&gt;0,AP$5&gt;100),AND(AP$5&gt;0,AP$5&lt;100)),
VLOOKUP(FLOOR(('Final Term'!AP89/AP$5)*100,1),new_transmute,2,FALSE),
VLOOKUP('Final Term'!AP89,new_transmute,2,FALSE)
),
IF(Info!$B$4="Board program",
IF(OR(AND(AP$5&gt;0,AP$5&gt;100),AND(AP$5&gt;0,AP$5&lt;100)),
VLOOKUP(FLOOR(('Final Term'!AP89/AP$5)*100,1),new_transmute,3,FALSE),
VLOOKUP('Final Term'!AP89,new_transmute,3,FALSE)
),
IF(Info!$B$4="Board program (Medicine)",
IF(OR(AND(AP$5&gt;0,AP$5&gt;100),AND(AP$5&gt;0,AP$5&lt;100)),
VLOOKUP(FLOOR(('Final Term'!AP89/AP$5)*100,1),new_transmute,4,FALSE),
VLOOKUP('Final Term'!AP89,new_transmute,4,FALSE)
),
""
)
)
)
)
)
)
)
)
))</f>
        <v/>
      </c>
      <c r="AQ89" s="61" t="str">
        <f t="shared" si="17"/>
        <v/>
      </c>
      <c r="AR89" s="48" t="str">
        <f>IF('Final Term'!AR89="","",'Final Term'!AR89)</f>
        <v/>
      </c>
      <c r="AS89" s="165" t="str">
        <f t="shared" si="18"/>
        <v/>
      </c>
      <c r="AT89" s="14" t="str">
        <f t="shared" si="19"/>
        <v/>
      </c>
      <c r="AU89" s="13" t="str">
        <f>IF(B89="","",VLOOKUP(AT89,'New Grade Equivalent'!$B$3:$C$47,2,FALSE))</f>
        <v/>
      </c>
    </row>
    <row r="90" spans="1:47" x14ac:dyDescent="0.25">
      <c r="A90" s="8">
        <v>85</v>
      </c>
      <c r="B90" s="2" t="str">
        <f>IF('Student List'!C94="","",UPPER(LEFT('Student List'!C94,FIND(",",'Student List'!C94)-1)))</f>
        <v/>
      </c>
      <c r="C90" s="12" t="str">
        <f>IF('Student List'!C94="","",PROPER(MID('Student List'!C94, FIND(",", 'Student List'!C94) + 2, LEN('Student List'!C94) - FIND(",", 'Student List'!C94) - 1)))</f>
        <v/>
      </c>
      <c r="D90" s="127" t="str">
        <f>IF('Final Term'!D90="","",'Final Term'!D90)</f>
        <v/>
      </c>
      <c r="E90" s="8" t="str">
        <f>IF(MidCom!E90="FA", "FA",
    IF(MidCom!E90="DRP", "DRP",
        IF(MidCom!E90="WF", "WF",
            IF(D90="Yes", "INC",
               IF((SUM('MT Attendance'!AW88) / 3 + SUM('MT Attendance'!AY88) + SUM('FT Attendance'!AW88) / 3 + SUM('FT Attendance'!AY88)) &gt;= 0.2 * (SUMPRODUCT(--(ISTEXT('MT Attendance'!$C$2:$AU$2))) + SUMPRODUCT(--(ISTEXT('FT Attendance'!$C$2:$AU$2)))), "FA",
                   MidCom!E90
                )
            )
        )
    )
)</f>
        <v/>
      </c>
      <c r="F90" s="73" t="str">
        <f>IF($B90="","",
IF(F$5="","",
IF('Final Term'!F90="",0,
IF(NOT(ISNUMBER('Final Term'!F90)),"NAN",
IF('Final Term'!F90&lt;0,"NEG",
IF('Final Term'!F90&gt;F$5,"OVER",
IF(AND(F$5&lt;=100,'Final Term'!F90&gt;100),"ERR",
IF(Info!$B$4="Non-board program",
IF(OR(AND(F$5&gt;0,F$5&gt;100),AND(F$5&gt;0,F$5&lt;100)),
VLOOKUP(FLOOR(('Final Term'!F90/F$5)*100,1),new_transmute,2,FALSE),
VLOOKUP('Final Term'!F90,new_transmute,2,FALSE)
),
IF(Info!$B$4="Board program",
IF(OR(AND(F$5&gt;0,F$5&gt;100),AND(F$5&gt;0,F$5&lt;100)),
VLOOKUP(FLOOR(('Final Term'!F90/F$5)*100,1),new_transmute,3,FALSE),
VLOOKUP('Final Term'!F90,new_transmute,3,FALSE)
),
IF(Info!$B$4="Board program (Medicine)",
IF(OR(AND(F$5&gt;0,F$5&gt;100),AND(F$5&gt;0,F$5&lt;100)),
VLOOKUP(FLOOR(('Final Term'!F90/F$5)*100,1),new_transmute,4,FALSE),
VLOOKUP('Final Term'!F90,new_transmute,4,FALSE)
),
""
)
)
)
)
)
)
)
)
))</f>
        <v/>
      </c>
      <c r="G90" s="57" t="str">
        <f t="shared" si="11"/>
        <v/>
      </c>
      <c r="H90" s="73" t="str">
        <f>IF($B90="","",
IF(H$5="","",
IF('Final Term'!H90="",0,
IF(NOT(ISNUMBER('Final Term'!H90)),"NAN",
IF('Final Term'!H90&lt;0,"NEG",
IF('Final Term'!H90&gt;H$5,"OVER",
IF(AND(H$5&lt;=100,'Final Term'!H90&gt;100),"ERR",
IF(Info!$B$4="Non-board program",
IF(OR(AND(H$5&gt;0,H$5&gt;100),AND(H$5&gt;0,H$5&lt;100)),
VLOOKUP(FLOOR(('Final Term'!H90/H$5)*100,1),new_transmute,2,FALSE),
VLOOKUP('Final Term'!H90,new_transmute,2,FALSE)
),
IF(Info!$B$4="Board program",
IF(OR(AND(H$5&gt;0,H$5&gt;100),AND(H$5&gt;0,H$5&lt;100)),
VLOOKUP(FLOOR(('Final Term'!H90/H$5)*100,1),new_transmute,3,FALSE),
VLOOKUP('Final Term'!H90,new_transmute,3,FALSE)
),
IF(Info!$B$4="Board program (Medicine)",
IF(OR(AND(H$5&gt;0,H$5&gt;100),AND(H$5&gt;0,H$5&lt;100)),
VLOOKUP(FLOOR(('Final Term'!H90/H$5)*100,1),new_transmute,4,FALSE),
VLOOKUP('Final Term'!H90,new_transmute,4,FALSE)
),
""
)
)
)
)
)
)
)
)
))</f>
        <v/>
      </c>
      <c r="I90" s="73" t="str">
        <f>IF($B90="","",
IF(I$5="","",
IF('Final Term'!I90="",0,
IF(NOT(ISNUMBER('Final Term'!I90)),"NAN",
IF('Final Term'!I90&lt;0,"NEG",
IF('Final Term'!I90&gt;I$5,"OVER",
IF(AND(I$5&lt;=100,'Final Term'!I90&gt;100),"ERR",
IF(Info!$B$4="Non-board program",
IF(OR(AND(I$5&gt;0,I$5&gt;100),AND(I$5&gt;0,I$5&lt;100)),
VLOOKUP(FLOOR(('Final Term'!I90/I$5)*100,1),new_transmute,2,FALSE),
VLOOKUP('Final Term'!I90,new_transmute,2,FALSE)
),
IF(Info!$B$4="Board program",
IF(OR(AND(I$5&gt;0,I$5&gt;100),AND(I$5&gt;0,I$5&lt;100)),
VLOOKUP(FLOOR(('Final Term'!I90/I$5)*100,1),new_transmute,3,FALSE),
VLOOKUP('Final Term'!I90,new_transmute,3,FALSE)
),
IF(Info!$B$4="Board program (Medicine)",
IF(OR(AND(I$5&gt;0,I$5&gt;100),AND(I$5&gt;0,I$5&lt;100)),
VLOOKUP(FLOOR(('Final Term'!I90/I$5)*100,1),new_transmute,4,FALSE),
VLOOKUP('Final Term'!I90,new_transmute,4,FALSE)
),
""
)
)
)
)
)
)
)
)
))</f>
        <v/>
      </c>
      <c r="J90" s="73" t="str">
        <f>IF($B90="","",
IF(J$5="","",
IF('Final Term'!J90="",0,
IF(NOT(ISNUMBER('Final Term'!J90)),"NAN",
IF('Final Term'!J90&lt;0,"NEG",
IF('Final Term'!J90&gt;J$5,"OVER",
IF(AND(J$5&lt;=100,'Final Term'!J90&gt;100),"ERR",
IF(Info!$B$4="Non-board program",
IF(OR(AND(J$5&gt;0,J$5&gt;100),AND(J$5&gt;0,J$5&lt;100)),
VLOOKUP(FLOOR(('Final Term'!J90/J$5)*100,1),new_transmute,2,FALSE),
VLOOKUP('Final Term'!J90,new_transmute,2,FALSE)
),
IF(Info!$B$4="Board program",
IF(OR(AND(J$5&gt;0,J$5&gt;100),AND(J$5&gt;0,J$5&lt;100)),
VLOOKUP(FLOOR(('Final Term'!J90/J$5)*100,1),new_transmute,3,FALSE),
VLOOKUP('Final Term'!J90,new_transmute,3,FALSE)
),
IF(Info!$B$4="Board program (Medicine)",
IF(OR(AND(J$5&gt;0,J$5&gt;100),AND(J$5&gt;0,J$5&lt;100)),
VLOOKUP(FLOOR(('Final Term'!J90/J$5)*100,1),new_transmute,4,FALSE),
VLOOKUP('Final Term'!J90,new_transmute,4,FALSE)
),
""
)
)
)
)
)
)
)
)
))</f>
        <v/>
      </c>
      <c r="K90" s="73" t="str">
        <f>IF($B90="","",
IF(K$5="","",
IF('Final Term'!K90="",0,
IF(NOT(ISNUMBER('Final Term'!K90)),"NAN",
IF('Final Term'!K90&lt;0,"NEG",
IF('Final Term'!K90&gt;K$5,"OVER",
IF(AND(K$5&lt;=100,'Final Term'!K90&gt;100),"ERR",
IF(Info!$B$4="Non-board program",
IF(OR(AND(K$5&gt;0,K$5&gt;100),AND(K$5&gt;0,K$5&lt;100)),
VLOOKUP(FLOOR(('Final Term'!K90/K$5)*100,1),new_transmute,2,FALSE),
VLOOKUP('Final Term'!K90,new_transmute,2,FALSE)
),
IF(Info!$B$4="Board program",
IF(OR(AND(K$5&gt;0,K$5&gt;100),AND(K$5&gt;0,K$5&lt;100)),
VLOOKUP(FLOOR(('Final Term'!K90/K$5)*100,1),new_transmute,3,FALSE),
VLOOKUP('Final Term'!K90,new_transmute,3,FALSE)
),
IF(Info!$B$4="Board program (Medicine)",
IF(OR(AND(K$5&gt;0,K$5&gt;100),AND(K$5&gt;0,K$5&lt;100)),
VLOOKUP(FLOOR(('Final Term'!K90/K$5)*100,1),new_transmute,4,FALSE),
VLOOKUP('Final Term'!K90,new_transmute,4,FALSE)
),
""
)
)
)
)
)
)
)
)
))</f>
        <v/>
      </c>
      <c r="L90" s="73" t="str">
        <f>IF($B90="","",
IF(L$5="","",
IF('Final Term'!L90="",0,
IF(NOT(ISNUMBER('Final Term'!L90)),"NAN",
IF('Final Term'!L90&lt;0,"NEG",
IF('Final Term'!L90&gt;L$5,"OVER",
IF(AND(L$5&lt;=100,'Final Term'!L90&gt;100),"ERR",
IF(Info!$B$4="Non-board program",
IF(OR(AND(L$5&gt;0,L$5&gt;100),AND(L$5&gt;0,L$5&lt;100)),
VLOOKUP(FLOOR(('Final Term'!L90/L$5)*100,1),new_transmute,2,FALSE),
VLOOKUP('Final Term'!L90,new_transmute,2,FALSE)
),
IF(Info!$B$4="Board program",
IF(OR(AND(L$5&gt;0,L$5&gt;100),AND(L$5&gt;0,L$5&lt;100)),
VLOOKUP(FLOOR(('Final Term'!L90/L$5)*100,1),new_transmute,3,FALSE),
VLOOKUP('Final Term'!L90,new_transmute,3,FALSE)
),
IF(Info!$B$4="Board program (Medicine)",
IF(OR(AND(L$5&gt;0,L$5&gt;100),AND(L$5&gt;0,L$5&lt;100)),
VLOOKUP(FLOOR(('Final Term'!L90/L$5)*100,1),new_transmute,4,FALSE),
VLOOKUP('Final Term'!L90,new_transmute,4,FALSE)
),
""
)
)
)
)
)
)
)
)
))</f>
        <v/>
      </c>
      <c r="M90" s="111" t="str">
        <f t="shared" si="12"/>
        <v/>
      </c>
      <c r="N90" s="73" t="str">
        <f>IF($B90="","",
IF(N$5="","",
IF('Final Term'!N90="",0,
IF(NOT(ISNUMBER('Final Term'!N90)),"NAN",
IF('Final Term'!N90&lt;0,"NEG",
IF('Final Term'!N90&gt;N$5,"OVER",
IF(AND(N$5&lt;=100,'Final Term'!N90&gt;100),"ERR",
IF(Info!$B$4="Non-board program",
IF(OR(AND(N$5&gt;0,N$5&gt;100),AND(N$5&gt;0,N$5&lt;100)),
VLOOKUP(FLOOR(('Final Term'!N90/N$5)*100,1),new_transmute,2,FALSE),
VLOOKUP('Final Term'!N90,new_transmute,2,FALSE)
),
IF(Info!$B$4="Board program",
IF(OR(AND(N$5&gt;0,N$5&gt;100),AND(N$5&gt;0,N$5&lt;100)),
VLOOKUP(FLOOR(('Final Term'!N90/N$5)*100,1),new_transmute,3,FALSE),
VLOOKUP('Final Term'!N90,new_transmute,3,FALSE)
),
IF(Info!$B$4="Board program (Medicine)",
IF(OR(AND(N$5&gt;0,N$5&gt;100),AND(N$5&gt;0,N$5&lt;100)),
VLOOKUP(FLOOR(('Final Term'!N90/N$5)*100,1),new_transmute,4,FALSE),
VLOOKUP('Final Term'!N90,new_transmute,4,FALSE)
),
""
)
)
)
)
)
)
)
)
))</f>
        <v/>
      </c>
      <c r="O90" s="73" t="str">
        <f>IF($B90="","",
IF(O$5="","",
IF('Final Term'!O90="",0,
IF(NOT(ISNUMBER('Final Term'!O90)),"NAN",
IF('Final Term'!O90&lt;0,"NEG",
IF('Final Term'!O90&gt;O$5,"OVER",
IF(AND(O$5&lt;=100,'Final Term'!O90&gt;100),"ERR",
IF(Info!$B$4="Non-board program",
IF(OR(AND(O$5&gt;0,O$5&gt;100),AND(O$5&gt;0,O$5&lt;100)),
VLOOKUP(FLOOR(('Final Term'!O90/O$5)*100,1),new_transmute,2,FALSE),
VLOOKUP('Final Term'!O90,new_transmute,2,FALSE)
),
IF(Info!$B$4="Board program",
IF(OR(AND(O$5&gt;0,O$5&gt;100),AND(O$5&gt;0,O$5&lt;100)),
VLOOKUP(FLOOR(('Final Term'!O90/O$5)*100,1),new_transmute,3,FALSE),
VLOOKUP('Final Term'!O90,new_transmute,3,FALSE)
),
IF(Info!$B$4="Board program (Medicine)",
IF(OR(AND(O$5&gt;0,O$5&gt;100),AND(O$5&gt;0,O$5&lt;100)),
VLOOKUP(FLOOR(('Final Term'!O90/O$5)*100,1),new_transmute,4,FALSE),
VLOOKUP('Final Term'!O90,new_transmute,4,FALSE)
),
""
)
)
)
)
)
)
)
)
))</f>
        <v/>
      </c>
      <c r="P90" s="73" t="str">
        <f>IF($B90="","",
IF(P$5="","",
IF('Final Term'!P90="",0,
IF(NOT(ISNUMBER('Final Term'!P90)),"NAN",
IF('Final Term'!P90&lt;0,"NEG",
IF('Final Term'!P90&gt;P$5,"OVER",
IF(AND(P$5&lt;=100,'Final Term'!P90&gt;100),"ERR",
IF(Info!$B$4="Non-board program",
IF(OR(AND(P$5&gt;0,P$5&gt;100),AND(P$5&gt;0,P$5&lt;100)),
VLOOKUP(FLOOR(('Final Term'!P90/P$5)*100,1),new_transmute,2,FALSE),
VLOOKUP('Final Term'!P90,new_transmute,2,FALSE)
),
IF(Info!$B$4="Board program",
IF(OR(AND(P$5&gt;0,P$5&gt;100),AND(P$5&gt;0,P$5&lt;100)),
VLOOKUP(FLOOR(('Final Term'!P90/P$5)*100,1),new_transmute,3,FALSE),
VLOOKUP('Final Term'!P90,new_transmute,3,FALSE)
),
IF(Info!$B$4="Board program (Medicine)",
IF(OR(AND(P$5&gt;0,P$5&gt;100),AND(P$5&gt;0,P$5&lt;100)),
VLOOKUP(FLOOR(('Final Term'!P90/P$5)*100,1),new_transmute,4,FALSE),
VLOOKUP('Final Term'!P90,new_transmute,4,FALSE)
),
""
)
)
)
)
)
)
)
)
))</f>
        <v/>
      </c>
      <c r="Q90" s="73" t="str">
        <f>IF($B90="","",
IF(Q$5="","",
IF('Final Term'!Q90="",0,
IF(NOT(ISNUMBER('Final Term'!Q90)),"NAN",
IF('Final Term'!Q90&lt;0,"NEG",
IF('Final Term'!Q90&gt;Q$5,"OVER",
IF(AND(Q$5&lt;=100,'Final Term'!Q90&gt;100),"ERR",
IF(Info!$B$4="Non-board program",
IF(OR(AND(Q$5&gt;0,Q$5&gt;100),AND(Q$5&gt;0,Q$5&lt;100)),
VLOOKUP(FLOOR(('Final Term'!Q90/Q$5)*100,1),new_transmute,2,FALSE),
VLOOKUP('Final Term'!Q90,new_transmute,2,FALSE)
),
IF(Info!$B$4="Board program",
IF(OR(AND(Q$5&gt;0,Q$5&gt;100),AND(Q$5&gt;0,Q$5&lt;100)),
VLOOKUP(FLOOR(('Final Term'!Q90/Q$5)*100,1),new_transmute,3,FALSE),
VLOOKUP('Final Term'!Q90,new_transmute,3,FALSE)
),
IF(Info!$B$4="Board program (Medicine)",
IF(OR(AND(Q$5&gt;0,Q$5&gt;100),AND(Q$5&gt;0,Q$5&lt;100)),
VLOOKUP(FLOOR(('Final Term'!Q90/Q$5)*100,1),new_transmute,4,FALSE),
VLOOKUP('Final Term'!Q90,new_transmute,4,FALSE)
),
""
)
)
)
)
)
)
)
)
))</f>
        <v/>
      </c>
      <c r="R90" s="73" t="str">
        <f>IF($B90="","",
IF(R$5="","",
IF('Final Term'!R90="",0,
IF(NOT(ISNUMBER('Final Term'!R90)),"NAN",
IF('Final Term'!R90&lt;0,"NEG",
IF('Final Term'!R90&gt;R$5,"OVER",
IF(AND(R$5&lt;=100,'Final Term'!R90&gt;100),"ERR",
IF(Info!$B$4="Non-board program",
IF(OR(AND(R$5&gt;0,R$5&gt;100),AND(R$5&gt;0,R$5&lt;100)),
VLOOKUP(FLOOR(('Final Term'!R90/R$5)*100,1),new_transmute,2,FALSE),
VLOOKUP('Final Term'!R90,new_transmute,2,FALSE)
),
IF(Info!$B$4="Board program",
IF(OR(AND(R$5&gt;0,R$5&gt;100),AND(R$5&gt;0,R$5&lt;100)),
VLOOKUP(FLOOR(('Final Term'!R90/R$5)*100,1),new_transmute,3,FALSE),
VLOOKUP('Final Term'!R90,new_transmute,3,FALSE)
),
IF(Info!$B$4="Board program (Medicine)",
IF(OR(AND(R$5&gt;0,R$5&gt;100),AND(R$5&gt;0,R$5&lt;100)),
VLOOKUP(FLOOR(('Final Term'!R90/R$5)*100,1),new_transmute,4,FALSE),
VLOOKUP('Final Term'!R90,new_transmute,4,FALSE)
),
""
)
)
)
)
)
)
)
)
))</f>
        <v/>
      </c>
      <c r="S90" s="115" t="str">
        <f t="shared" si="13"/>
        <v/>
      </c>
      <c r="T90" s="73" t="str">
        <f>IF($B90="","",
IF(T$5="","",
IF('Final Term'!T90="",0,
IF(NOT(ISNUMBER('Final Term'!T90)),"NAN",
IF('Final Term'!T90&lt;0,"NEG",
IF('Final Term'!T90&gt;T$5,"OVER",
IF(AND(T$5&lt;=100,'Final Term'!T90&gt;100),"ERR",
IF(Info!$B$4="Non-board program",
IF(OR(AND(T$5&gt;0,T$5&gt;100),AND(T$5&gt;0,T$5&lt;100)),
VLOOKUP(FLOOR(('Final Term'!T90/T$5)*100,1),new_transmute,2,FALSE),
VLOOKUP('Final Term'!T90,new_transmute,2,FALSE)
),
IF(Info!$B$4="Board program",
IF(OR(AND(T$5&gt;0,T$5&gt;100),AND(T$5&gt;0,T$5&lt;100)),
VLOOKUP(FLOOR(('Final Term'!T90/T$5)*100,1),new_transmute,3,FALSE),
VLOOKUP('Final Term'!T90,new_transmute,3,FALSE)
),
IF(Info!$B$4="Board program (Medicine)",
IF(OR(AND(T$5&gt;0,T$5&gt;100),AND(T$5&gt;0,T$5&lt;100)),
VLOOKUP(FLOOR(('Final Term'!T90/T$5)*100,1),new_transmute,4,FALSE),
VLOOKUP('Final Term'!T90,new_transmute,4,FALSE)
),
""
)
)
)
)
)
)
)
)
))</f>
        <v/>
      </c>
      <c r="U90" s="73" t="str">
        <f>IF($B90="","",
IF(U$5="","",
IF('Final Term'!U90="",0,
IF(NOT(ISNUMBER('Final Term'!U90)),"NAN",
IF('Final Term'!U90&lt;0,"NEG",
IF('Final Term'!U90&gt;U$5,"OVER",
IF(AND(U$5&lt;=100,'Final Term'!U90&gt;100),"ERR",
IF(Info!$B$4="Non-board program",
IF(OR(AND(U$5&gt;0,U$5&gt;100),AND(U$5&gt;0,U$5&lt;100)),
VLOOKUP(FLOOR(('Final Term'!U90/U$5)*100,1),new_transmute,2,FALSE),
VLOOKUP('Final Term'!U90,new_transmute,2,FALSE)
),
IF(Info!$B$4="Board program",
IF(OR(AND(U$5&gt;0,U$5&gt;100),AND(U$5&gt;0,U$5&lt;100)),
VLOOKUP(FLOOR(('Final Term'!U90/U$5)*100,1),new_transmute,3,FALSE),
VLOOKUP('Final Term'!U90,new_transmute,3,FALSE)
),
IF(Info!$B$4="Board program (Medicine)",
IF(OR(AND(U$5&gt;0,U$5&gt;100),AND(U$5&gt;0,U$5&lt;100)),
VLOOKUP(FLOOR(('Final Term'!U90/U$5)*100,1),new_transmute,4,FALSE),
VLOOKUP('Final Term'!U90,new_transmute,4,FALSE)
),
""
)
)
)
)
)
)
)
)
))</f>
        <v/>
      </c>
      <c r="V90" s="73" t="str">
        <f>IF($B90="","",
IF(V$5="","",
IF('Final Term'!V90="",0,
IF(NOT(ISNUMBER('Final Term'!V90)),"NAN",
IF('Final Term'!V90&lt;0,"NEG",
IF('Final Term'!V90&gt;V$5,"OVER",
IF(AND(V$5&lt;=100,'Final Term'!V90&gt;100),"ERR",
IF(Info!$B$4="Non-board program",
IF(OR(AND(V$5&gt;0,V$5&gt;100),AND(V$5&gt;0,V$5&lt;100)),
VLOOKUP(FLOOR(('Final Term'!V90/V$5)*100,1),new_transmute,2,FALSE),
VLOOKUP('Final Term'!V90,new_transmute,2,FALSE)
),
IF(Info!$B$4="Board program",
IF(OR(AND(V$5&gt;0,V$5&gt;100),AND(V$5&gt;0,V$5&lt;100)),
VLOOKUP(FLOOR(('Final Term'!V90/V$5)*100,1),new_transmute,3,FALSE),
VLOOKUP('Final Term'!V90,new_transmute,3,FALSE)
),
IF(Info!$B$4="Board program (Medicine)",
IF(OR(AND(V$5&gt;0,V$5&gt;100),AND(V$5&gt;0,V$5&lt;100)),
VLOOKUP(FLOOR(('Final Term'!V90/V$5)*100,1),new_transmute,4,FALSE),
VLOOKUP('Final Term'!V90,new_transmute,4,FALSE)
),
""
)
)
)
)
)
)
)
)
))</f>
        <v/>
      </c>
      <c r="W90" s="73" t="str">
        <f>IF($B90="","",
IF(W$5="","",
IF('Final Term'!W90="",0,
IF(NOT(ISNUMBER('Final Term'!W90)),"NAN",
IF('Final Term'!W90&lt;0,"NEG",
IF('Final Term'!W90&gt;W$5,"OVER",
IF(AND(W$5&lt;=100,'Final Term'!W90&gt;100),"ERR",
IF(Info!$B$4="Non-board program",
IF(OR(AND(W$5&gt;0,W$5&gt;100),AND(W$5&gt;0,W$5&lt;100)),
VLOOKUP(FLOOR(('Final Term'!W90/W$5)*100,1),new_transmute,2,FALSE),
VLOOKUP('Final Term'!W90,new_transmute,2,FALSE)
),
IF(Info!$B$4="Board program",
IF(OR(AND(W$5&gt;0,W$5&gt;100),AND(W$5&gt;0,W$5&lt;100)),
VLOOKUP(FLOOR(('Final Term'!W90/W$5)*100,1),new_transmute,3,FALSE),
VLOOKUP('Final Term'!W90,new_transmute,3,FALSE)
),
IF(Info!$B$4="Board program (Medicine)",
IF(OR(AND(W$5&gt;0,W$5&gt;100),AND(W$5&gt;0,W$5&lt;100)),
VLOOKUP(FLOOR(('Final Term'!W90/W$5)*100,1),new_transmute,4,FALSE),
VLOOKUP('Final Term'!W90,new_transmute,4,FALSE)
),
""
)
)
)
)
)
)
)
)
))</f>
        <v/>
      </c>
      <c r="X90" s="73" t="str">
        <f>IF($B90="","",
IF(X$5="","",
IF('Final Term'!X90="",0,
IF(NOT(ISNUMBER('Final Term'!X90)),"NAN",
IF('Final Term'!X90&lt;0,"NEG",
IF('Final Term'!X90&gt;X$5,"OVER",
IF(AND(X$5&lt;=100,'Final Term'!X90&gt;100),"ERR",
IF(Info!$B$4="Non-board program",
IF(OR(AND(X$5&gt;0,X$5&gt;100),AND(X$5&gt;0,X$5&lt;100)),
VLOOKUP(FLOOR(('Final Term'!X90/X$5)*100,1),new_transmute,2,FALSE),
VLOOKUP('Final Term'!X90,new_transmute,2,FALSE)
),
IF(Info!$B$4="Board program",
IF(OR(AND(X$5&gt;0,X$5&gt;100),AND(X$5&gt;0,X$5&lt;100)),
VLOOKUP(FLOOR(('Final Term'!X90/X$5)*100,1),new_transmute,3,FALSE),
VLOOKUP('Final Term'!X90,new_transmute,3,FALSE)
),
IF(Info!$B$4="Board program (Medicine)",
IF(OR(AND(X$5&gt;0,X$5&gt;100),AND(X$5&gt;0,X$5&lt;100)),
VLOOKUP(FLOOR(('Final Term'!X90/X$5)*100,1),new_transmute,4,FALSE),
VLOOKUP('Final Term'!X90,new_transmute,4,FALSE)
),
""
)
)
)
)
)
)
)
)
))</f>
        <v/>
      </c>
      <c r="Y90" s="112" t="str">
        <f t="shared" si="14"/>
        <v/>
      </c>
      <c r="Z90" s="73" t="str">
        <f>IF($B90="","",
IF(Z$5="","",
IF('Final Term'!Z90="",0,
IF(NOT(ISNUMBER('Final Term'!Z90)),"NAN",
IF('Final Term'!Z90&lt;0,"NEG",
IF('Final Term'!Z90&gt;Z$5,"OVER",
IF(AND(Z$5&lt;=100,'Final Term'!Z90&gt;100),"ERR",
IF(Info!$B$4="Non-board program",
IF(OR(AND(Z$5&gt;0,Z$5&gt;100),AND(Z$5&gt;0,Z$5&lt;100)),
VLOOKUP(FLOOR(('Final Term'!Z90/Z$5)*100,1),new_transmute,2,FALSE),
VLOOKUP('Final Term'!Z90,new_transmute,2,FALSE)
),
IF(Info!$B$4="Board program",
IF(OR(AND(Z$5&gt;0,Z$5&gt;100),AND(Z$5&gt;0,Z$5&lt;100)),
VLOOKUP(FLOOR(('Final Term'!Z90/Z$5)*100,1),new_transmute,3,FALSE),
VLOOKUP('Final Term'!Z90,new_transmute,3,FALSE)
),
IF(Info!$B$4="Board program (Medicine)",
IF(OR(AND(Z$5&gt;0,Z$5&gt;100),AND(Z$5&gt;0,Z$5&lt;100)),
VLOOKUP(FLOOR(('Final Term'!Z90/Z$5)*100,1),new_transmute,4,FALSE),
VLOOKUP('Final Term'!Z90,new_transmute,4,FALSE)
),
""
)
)
)
)
)
)
)
)
))</f>
        <v/>
      </c>
      <c r="AA90" s="73" t="str">
        <f>IF($B90="","",
IF(AA$5="","",
IF('Final Term'!AA90="",0,
IF(NOT(ISNUMBER('Final Term'!AA90)),"NAN",
IF('Final Term'!AA90&lt;0,"NEG",
IF('Final Term'!AA90&gt;AA$5,"OVER",
IF(AND(AA$5&lt;=100,'Final Term'!AA90&gt;100),"ERR",
IF(Info!$B$4="Non-board program",
IF(OR(AND(AA$5&gt;0,AA$5&gt;100),AND(AA$5&gt;0,AA$5&lt;100)),
VLOOKUP(FLOOR(('Final Term'!AA90/AA$5)*100,1),new_transmute,2,FALSE),
VLOOKUP('Final Term'!AA90,new_transmute,2,FALSE)
),
IF(Info!$B$4="Board program",
IF(OR(AND(AA$5&gt;0,AA$5&gt;100),AND(AA$5&gt;0,AA$5&lt;100)),
VLOOKUP(FLOOR(('Final Term'!AA90/AA$5)*100,1),new_transmute,3,FALSE),
VLOOKUP('Final Term'!AA90,new_transmute,3,FALSE)
),
IF(Info!$B$4="Board program (Medicine)",
IF(OR(AND(AA$5&gt;0,AA$5&gt;100),AND(AA$5&gt;0,AA$5&lt;100)),
VLOOKUP(FLOOR(('Final Term'!AA90/AA$5)*100,1),new_transmute,4,FALSE),
VLOOKUP('Final Term'!AA90,new_transmute,4,FALSE)
),
""
)
)
)
)
)
)
)
)
))</f>
        <v/>
      </c>
      <c r="AB90" s="73" t="str">
        <f>IF($B90="","",
IF(AB$5="","",
IF('Final Term'!AB90="",0,
IF(NOT(ISNUMBER('Final Term'!AB90)),"NAN",
IF('Final Term'!AB90&lt;0,"NEG",
IF('Final Term'!AB90&gt;AB$5,"OVER",
IF(AND(AB$5&lt;=100,'Final Term'!AB90&gt;100),"ERR",
IF(Info!$B$4="Non-board program",
IF(OR(AND(AB$5&gt;0,AB$5&gt;100),AND(AB$5&gt;0,AB$5&lt;100)),
VLOOKUP(FLOOR(('Final Term'!AB90/AB$5)*100,1),new_transmute,2,FALSE),
VLOOKUP('Final Term'!AB90,new_transmute,2,FALSE)
),
IF(Info!$B$4="Board program",
IF(OR(AND(AB$5&gt;0,AB$5&gt;100),AND(AB$5&gt;0,AB$5&lt;100)),
VLOOKUP(FLOOR(('Final Term'!AB90/AB$5)*100,1),new_transmute,3,FALSE),
VLOOKUP('Final Term'!AB90,new_transmute,3,FALSE)
),
IF(Info!$B$4="Board program (Medicine)",
IF(OR(AND(AB$5&gt;0,AB$5&gt;100),AND(AB$5&gt;0,AB$5&lt;100)),
VLOOKUP(FLOOR(('Final Term'!AB90/AB$5)*100,1),new_transmute,4,FALSE),
VLOOKUP('Final Term'!AB90,new_transmute,4,FALSE)
),
""
)
)
)
)
)
)
)
)
))</f>
        <v/>
      </c>
      <c r="AC90" s="73" t="str">
        <f>IF($B90="","",
IF(AC$5="","",
IF('Final Term'!AC90="",0,
IF(NOT(ISNUMBER('Final Term'!AC90)),"NAN",
IF('Final Term'!AC90&lt;0,"NEG",
IF('Final Term'!AC90&gt;AC$5,"OVER",
IF(AND(AC$5&lt;=100,'Final Term'!AC90&gt;100),"ERR",
IF(Info!$B$4="Non-board program",
IF(OR(AND(AC$5&gt;0,AC$5&gt;100),AND(AC$5&gt;0,AC$5&lt;100)),
VLOOKUP(FLOOR(('Final Term'!AC90/AC$5)*100,1),new_transmute,2,FALSE),
VLOOKUP('Final Term'!AC90,new_transmute,2,FALSE)
),
IF(Info!$B$4="Board program",
IF(OR(AND(AC$5&gt;0,AC$5&gt;100),AND(AC$5&gt;0,AC$5&lt;100)),
VLOOKUP(FLOOR(('Final Term'!AC90/AC$5)*100,1),new_transmute,3,FALSE),
VLOOKUP('Final Term'!AC90,new_transmute,3,FALSE)
),
IF(Info!$B$4="Board program (Medicine)",
IF(OR(AND(AC$5&gt;0,AC$5&gt;100),AND(AC$5&gt;0,AC$5&lt;100)),
VLOOKUP(FLOOR(('Final Term'!AC90/AC$5)*100,1),new_transmute,4,FALSE),
VLOOKUP('Final Term'!AC90,new_transmute,4,FALSE)
),
""
)
)
)
)
)
)
)
)
))</f>
        <v/>
      </c>
      <c r="AD90" s="73" t="str">
        <f>IF($B90="","",
IF(AD$5="","",
IF('Final Term'!AD90="",0,
IF(NOT(ISNUMBER('Final Term'!AD90)),"NAN",
IF('Final Term'!AD90&lt;0,"NEG",
IF('Final Term'!AD90&gt;AD$5,"OVER",
IF(AND(AD$5&lt;=100,'Final Term'!AD90&gt;100),"ERR",
IF(Info!$B$4="Non-board program",
IF(OR(AND(AD$5&gt;0,AD$5&gt;100),AND(AD$5&gt;0,AD$5&lt;100)),
VLOOKUP(FLOOR(('Final Term'!AD90/AD$5)*100,1),new_transmute,2,FALSE),
VLOOKUP('Final Term'!AD90,new_transmute,2,FALSE)
),
IF(Info!$B$4="Board program",
IF(OR(AND(AD$5&gt;0,AD$5&gt;100),AND(AD$5&gt;0,AD$5&lt;100)),
VLOOKUP(FLOOR(('Final Term'!AD90/AD$5)*100,1),new_transmute,3,FALSE),
VLOOKUP('Final Term'!AD90,new_transmute,3,FALSE)
),
IF(Info!$B$4="Board program (Medicine)",
IF(OR(AND(AD$5&gt;0,AD$5&gt;100),AND(AD$5&gt;0,AD$5&lt;100)),
VLOOKUP(FLOOR(('Final Term'!AD90/AD$5)*100,1),new_transmute,4,FALSE),
VLOOKUP('Final Term'!AD90,new_transmute,4,FALSE)
),
""
)
)
)
)
)
)
)
)
))</f>
        <v/>
      </c>
      <c r="AE90" s="58" t="str">
        <f t="shared" si="15"/>
        <v/>
      </c>
      <c r="AF90" s="73" t="str">
        <f>IF($B90="","",
IF(AF$5="","",
IF('Final Term'!AF90="",0,
IF(NOT(ISNUMBER('Final Term'!AF90)),"NAN",
IF('Final Term'!AF90&lt;0,"NEG",
IF('Final Term'!AF90&gt;AF$5,"OVER",
IF(AND(AF$5&lt;=100,'Final Term'!AF90&gt;100),"ERR",
IF(Info!$B$4="Non-board program",
IF(OR(AND(AF$5&gt;0,AF$5&gt;100),AND(AF$5&gt;0,AF$5&lt;100)),
VLOOKUP(FLOOR(('Final Term'!AF90/AF$5)*100,1),new_transmute,2,FALSE),
VLOOKUP('Final Term'!AF90,new_transmute,2,FALSE)
),
IF(Info!$B$4="Board program",
IF(OR(AND(AF$5&gt;0,AF$5&gt;100),AND(AF$5&gt;0,AF$5&lt;100)),
VLOOKUP(FLOOR(('Final Term'!AF90/AF$5)*100,1),new_transmute,3,FALSE),
VLOOKUP('Final Term'!AF90,new_transmute,3,FALSE)
),
IF(Info!$B$4="Board program (Medicine)",
IF(OR(AND(AF$5&gt;0,AF$5&gt;100),AND(AF$5&gt;0,AF$5&lt;100)),
VLOOKUP(FLOOR(('Final Term'!AF90/AF$5)*100,1),new_transmute,4,FALSE),
VLOOKUP('Final Term'!AF90,new_transmute,4,FALSE)
),
""
)
)
)
)
)
)
)
)
))</f>
        <v/>
      </c>
      <c r="AG90" s="73" t="str">
        <f>IF($B90="","",
IF(AG$5="","",
IF('Final Term'!AG90="",0,
IF(NOT(ISNUMBER('Final Term'!AG90)),"NAN",
IF('Final Term'!AG90&lt;0,"NEG",
IF('Final Term'!AG90&gt;AG$5,"OVER",
IF(AND(AG$5&lt;=100,'Final Term'!AG90&gt;100),"ERR",
IF(Info!$B$4="Non-board program",
IF(OR(AND(AG$5&gt;0,AG$5&gt;100),AND(AG$5&gt;0,AG$5&lt;100)),
VLOOKUP(FLOOR(('Final Term'!AG90/AG$5)*100,1),new_transmute,2,FALSE),
VLOOKUP('Final Term'!AG90,new_transmute,2,FALSE)
),
IF(Info!$B$4="Board program",
IF(OR(AND(AG$5&gt;0,AG$5&gt;100),AND(AG$5&gt;0,AG$5&lt;100)),
VLOOKUP(FLOOR(('Final Term'!AG90/AG$5)*100,1),new_transmute,3,FALSE),
VLOOKUP('Final Term'!AG90,new_transmute,3,FALSE)
),
IF(Info!$B$4="Board program (Medicine)",
IF(OR(AND(AG$5&gt;0,AG$5&gt;100),AND(AG$5&gt;0,AG$5&lt;100)),
VLOOKUP(FLOOR(('Final Term'!AG90/AG$5)*100,1),new_transmute,4,FALSE),
VLOOKUP('Final Term'!AG90,new_transmute,4,FALSE)
),
""
)
)
)
)
)
)
)
)
))</f>
        <v/>
      </c>
      <c r="AH90" s="73" t="str">
        <f>IF($B90="","",
IF(AH$5="","",
IF('Final Term'!AH90="",0,
IF(NOT(ISNUMBER('Final Term'!AH90)),"NAN",
IF('Final Term'!AH90&lt;0,"NEG",
IF('Final Term'!AH90&gt;AH$5,"OVER",
IF(AND(AH$5&lt;=100,'Final Term'!AH90&gt;100),"ERR",
IF(Info!$B$4="Non-board program",
IF(OR(AND(AH$5&gt;0,AH$5&gt;100),AND(AH$5&gt;0,AH$5&lt;100)),
VLOOKUP(FLOOR(('Final Term'!AH90/AH$5)*100,1),new_transmute,2,FALSE),
VLOOKUP('Final Term'!AH90,new_transmute,2,FALSE)
),
IF(Info!$B$4="Board program",
IF(OR(AND(AH$5&gt;0,AH$5&gt;100),AND(AH$5&gt;0,AH$5&lt;100)),
VLOOKUP(FLOOR(('Final Term'!AH90/AH$5)*100,1),new_transmute,3,FALSE),
VLOOKUP('Final Term'!AH90,new_transmute,3,FALSE)
),
IF(Info!$B$4="Board program (Medicine)",
IF(OR(AND(AH$5&gt;0,AH$5&gt;100),AND(AH$5&gt;0,AH$5&lt;100)),
VLOOKUP(FLOOR(('Final Term'!AH90/AH$5)*100,1),new_transmute,4,FALSE),
VLOOKUP('Final Term'!AH90,new_transmute,4,FALSE)
),
""
)
)
)
)
)
)
)
)
))</f>
        <v/>
      </c>
      <c r="AI90" s="73" t="str">
        <f>IF($B90="","",
IF(AI$5="","",
IF('Final Term'!AI90="",0,
IF(NOT(ISNUMBER('Final Term'!AI90)),"NAN",
IF('Final Term'!AI90&lt;0,"NEG",
IF('Final Term'!AI90&gt;AI$5,"OVER",
IF(AND(AI$5&lt;=100,'Final Term'!AI90&gt;100),"ERR",
IF(Info!$B$4="Non-board program",
IF(OR(AND(AI$5&gt;0,AI$5&gt;100),AND(AI$5&gt;0,AI$5&lt;100)),
VLOOKUP(FLOOR(('Final Term'!AI90/AI$5)*100,1),new_transmute,2,FALSE),
VLOOKUP('Final Term'!AI90,new_transmute,2,FALSE)
),
IF(Info!$B$4="Board program",
IF(OR(AND(AI$5&gt;0,AI$5&gt;100),AND(AI$5&gt;0,AI$5&lt;100)),
VLOOKUP(FLOOR(('Final Term'!AI90/AI$5)*100,1),new_transmute,3,FALSE),
VLOOKUP('Final Term'!AI90,new_transmute,3,FALSE)
),
IF(Info!$B$4="Board program (Medicine)",
IF(OR(AND(AI$5&gt;0,AI$5&gt;100),AND(AI$5&gt;0,AI$5&lt;100)),
VLOOKUP(FLOOR(('Final Term'!AI90/AI$5)*100,1),new_transmute,4,FALSE),
VLOOKUP('Final Term'!AI90,new_transmute,4,FALSE)
),
""
)
)
)
)
)
)
)
)
))</f>
        <v/>
      </c>
      <c r="AJ90" s="73" t="str">
        <f>IF($B90="","",
IF(AJ$5="","",
IF('Final Term'!AJ90="",0,
IF(NOT(ISNUMBER('Final Term'!AJ90)),"NAN",
IF('Final Term'!AJ90&lt;0,"NEG",
IF('Final Term'!AJ90&gt;AJ$5,"OVER",
IF(AND(AJ$5&lt;=100,'Final Term'!AJ90&gt;100),"ERR",
IF(Info!$B$4="Non-board program",
IF(OR(AND(AJ$5&gt;0,AJ$5&gt;100),AND(AJ$5&gt;0,AJ$5&lt;100)),
VLOOKUP(FLOOR(('Final Term'!AJ90/AJ$5)*100,1),new_transmute,2,FALSE),
VLOOKUP('Final Term'!AJ90,new_transmute,2,FALSE)
),
IF(Info!$B$4="Board program",
IF(OR(AND(AJ$5&gt;0,AJ$5&gt;100),AND(AJ$5&gt;0,AJ$5&lt;100)),
VLOOKUP(FLOOR(('Final Term'!AJ90/AJ$5)*100,1),new_transmute,3,FALSE),
VLOOKUP('Final Term'!AJ90,new_transmute,3,FALSE)
),
IF(Info!$B$4="Board program (Medicine)",
IF(OR(AND(AJ$5&gt;0,AJ$5&gt;100),AND(AJ$5&gt;0,AJ$5&lt;100)),
VLOOKUP(FLOOR(('Final Term'!AJ90/AJ$5)*100,1),new_transmute,4,FALSE),
VLOOKUP('Final Term'!AJ90,new_transmute,4,FALSE)
),
""
)
)
)
)
)
)
)
)
))</f>
        <v/>
      </c>
      <c r="AK90" s="59" t="str">
        <f t="shared" si="16"/>
        <v/>
      </c>
      <c r="AL90" s="60" t="str">
        <f>IF(B90="", "",
    IF(OR(M90="OVER", S90="OVER", Y90="OVER", AE90="OVER", AK90="OVER"),
        "OVER",
        IF(Info!$B$4="Non-board program",
            VLOOKUP(IFERROR(FLOOR(SUM((M90*$M$4), (S90*$S$4), (Y90*$Y$4), (AE90*$AE$4), (AK90*$AK$4)) * (100 / 60), 1), 0), new_transmute, 2, FALSE),
            IF(Info!$B$4="Board program",
                VLOOKUP(IFERROR(FLOOR(SUM((M90*$M$4), (S90*$S$4), (Y90*$Y$4), (AE90*$AE$4), (AK90*$AK$4)) * (100 / 60), 1), 0), new_transmute, 3, FALSE),
                IF(Info!$B$4="Board program (Medicine)",
                    VLOOKUP(IFERROR(FLOOR(SUM((M90*$M$4), (S90*$S$4), (Y90*$Y$4), (AE90*$AE$4), (AK90*$AK$4)) * (100 / 60), 1), 0), new_transmute, 4, FALSE),
                    ""
                )
            )
        )
    )
)</f>
        <v/>
      </c>
      <c r="AM90" s="73" t="str">
        <f>IF($B90="","",
IF(AM$5="","",
IF('Final Term'!AM90="",0,
IF(NOT(ISNUMBER('Final Term'!AM90)),"NAN",
IF('Final Term'!AM90&lt;0,"NEG",
IF('Final Term'!AM90&gt;AM$5,"OVER",
IF(AND(AM$5&lt;=100,'Final Term'!AM90&gt;100),"ERR",
IF(Info!$B$4="Non-board program",
IF(OR(AND(AM$5&gt;0,AM$5&gt;100),AND(AM$5&gt;0,AM$5&lt;100)),
VLOOKUP(FLOOR(('Final Term'!AM90/AM$5)*100,1),new_transmute,2,FALSE),
VLOOKUP('Final Term'!AM90,new_transmute,2,FALSE)
),
IF(Info!$B$4="Board program",
IF(OR(AND(AM$5&gt;0,AM$5&gt;100),AND(AM$5&gt;0,AM$5&lt;100)),
VLOOKUP(FLOOR(('Final Term'!AM90/AM$5)*100,1),new_transmute,3,FALSE),
VLOOKUP('Final Term'!AM90,new_transmute,3,FALSE)
),
IF(Info!$B$4="Board program (Medicine)",
IF(OR(AND(AM$5&gt;0,AM$5&gt;100),AND(AM$5&gt;0,AM$5&lt;100)),
VLOOKUP(FLOOR(('Final Term'!AM90/AM$5)*100,1),new_transmute,4,FALSE),
VLOOKUP('Final Term'!AM90,new_transmute,4,FALSE)
),
""
)
)
)
)
)
)
)
)
))</f>
        <v/>
      </c>
      <c r="AN90" s="73" t="str">
        <f>IF($B90="","",
IF(AN$5="","",
IF('Final Term'!AN90="",0,
IF(NOT(ISNUMBER('Final Term'!AN90)),"NAN",
IF('Final Term'!AN90&lt;0,"NEG",
IF('Final Term'!AN90&gt;AN$5,"OVER",
IF(AND(AN$5&lt;=100,'Final Term'!AN90&gt;100),"ERR",
IF(Info!$B$4="Non-board program",
IF(OR(AND(AN$5&gt;0,AN$5&gt;100),AND(AN$5&gt;0,AN$5&lt;100)),
VLOOKUP(FLOOR(('Final Term'!AN90/AN$5)*100,1),new_transmute,2,FALSE),
VLOOKUP('Final Term'!AN90,new_transmute,2,FALSE)
),
IF(Info!$B$4="Board program",
IF(OR(AND(AN$5&gt;0,AN$5&gt;100),AND(AN$5&gt;0,AN$5&lt;100)),
VLOOKUP(FLOOR(('Final Term'!AN90/AN$5)*100,1),new_transmute,3,FALSE),
VLOOKUP('Final Term'!AN90,new_transmute,3,FALSE)
),
IF(Info!$B$4="Board program (Medicine)",
IF(OR(AND(AN$5&gt;0,AN$5&gt;100),AND(AN$5&gt;0,AN$5&lt;100)),
VLOOKUP(FLOOR(('Final Term'!AN90/AN$5)*100,1),new_transmute,4,FALSE),
VLOOKUP('Final Term'!AN90,new_transmute,4,FALSE)
),
""
)
)
)
)
)
)
)
)
))</f>
        <v/>
      </c>
      <c r="AO90" s="73" t="str">
        <f>IF($B90="","",
IF(AO$5="","",
IF('Final Term'!AO90="",0,
IF(NOT(ISNUMBER('Final Term'!AO90)),"NAN",
IF('Final Term'!AO90&lt;0,"NEG",
IF('Final Term'!AO90&gt;AO$5,"OVER",
IF(AND(AO$5&lt;=100,'Final Term'!AO90&gt;100),"ERR",
IF(Info!$B$4="Non-board program",
IF(OR(AND(AO$5&gt;0,AO$5&gt;100),AND(AO$5&gt;0,AO$5&lt;100)),
VLOOKUP(FLOOR(('Final Term'!AO90/AO$5)*100,1),new_transmute,2,FALSE),
VLOOKUP('Final Term'!AO90,new_transmute,2,FALSE)
),
IF(Info!$B$4="Board program",
IF(OR(AND(AO$5&gt;0,AO$5&gt;100),AND(AO$5&gt;0,AO$5&lt;100)),
VLOOKUP(FLOOR(('Final Term'!AO90/AO$5)*100,1),new_transmute,3,FALSE),
VLOOKUP('Final Term'!AO90,new_transmute,3,FALSE)
),
IF(Info!$B$4="Board program (Medicine)",
IF(OR(AND(AO$5&gt;0,AO$5&gt;100),AND(AO$5&gt;0,AO$5&lt;100)),
VLOOKUP(FLOOR(('Final Term'!AO90/AO$5)*100,1),new_transmute,4,FALSE),
VLOOKUP('Final Term'!AO90,new_transmute,4,FALSE)
),
""
)
)
)
)
)
)
)
)
))</f>
        <v/>
      </c>
      <c r="AP90" s="73" t="str">
        <f>IF($B90="","",
IF(AP$5="","",
IF('Final Term'!AP90="",0,
IF(NOT(ISNUMBER('Final Term'!AP90)),"NAN",
IF('Final Term'!AP90&lt;0,"NEG",
IF('Final Term'!AP90&gt;AP$5,"OVER",
IF(AND(AP$5&lt;=100,'Final Term'!AP90&gt;100),"ERR",
IF(Info!$B$4="Non-board program",
IF(OR(AND(AP$5&gt;0,AP$5&gt;100),AND(AP$5&gt;0,AP$5&lt;100)),
VLOOKUP(FLOOR(('Final Term'!AP90/AP$5)*100,1),new_transmute,2,FALSE),
VLOOKUP('Final Term'!AP90,new_transmute,2,FALSE)
),
IF(Info!$B$4="Board program",
IF(OR(AND(AP$5&gt;0,AP$5&gt;100),AND(AP$5&gt;0,AP$5&lt;100)),
VLOOKUP(FLOOR(('Final Term'!AP90/AP$5)*100,1),new_transmute,3,FALSE),
VLOOKUP('Final Term'!AP90,new_transmute,3,FALSE)
),
IF(Info!$B$4="Board program (Medicine)",
IF(OR(AND(AP$5&gt;0,AP$5&gt;100),AND(AP$5&gt;0,AP$5&lt;100)),
VLOOKUP(FLOOR(('Final Term'!AP90/AP$5)*100,1),new_transmute,4,FALSE),
VLOOKUP('Final Term'!AP90,new_transmute,4,FALSE)
),
""
)
)
)
)
)
)
)
)
))</f>
        <v/>
      </c>
      <c r="AQ90" s="61" t="str">
        <f t="shared" si="17"/>
        <v/>
      </c>
      <c r="AR90" s="48" t="str">
        <f>IF('Final Term'!AR90="","",'Final Term'!AR90)</f>
        <v/>
      </c>
      <c r="AS90" s="165" t="str">
        <f t="shared" si="18"/>
        <v/>
      </c>
      <c r="AT90" s="14" t="str">
        <f t="shared" si="19"/>
        <v/>
      </c>
      <c r="AU90" s="13" t="str">
        <f>IF(B90="","",VLOOKUP(AT90,'New Grade Equivalent'!$B$3:$C$47,2,FALSE))</f>
        <v/>
      </c>
    </row>
  </sheetData>
  <sheetProtection algorithmName="SHA-512" hashValue="jzq3YSmLYtO5aX67h/XBRSsNmA6dYPDUBQS3yCbeQ/M/6QJypg7JBd53DrcwdHIwCnvbAM6MIrBal+adP+0c+w==" saltValue="Iw6zx6xyCLDMrdk8OGDotw==" spinCount="100000" sheet="1" formatColumns="0" formatRows="0"/>
  <mergeCells count="27">
    <mergeCell ref="A4:C4"/>
    <mergeCell ref="D4:D5"/>
    <mergeCell ref="AR4:AR5"/>
    <mergeCell ref="AR1:AR3"/>
    <mergeCell ref="AS1:AS5"/>
    <mergeCell ref="A1:D3"/>
    <mergeCell ref="G1:G3"/>
    <mergeCell ref="E1:F1"/>
    <mergeCell ref="S4:S5"/>
    <mergeCell ref="M4:M5"/>
    <mergeCell ref="G4:G5"/>
    <mergeCell ref="AT1:AT5"/>
    <mergeCell ref="AU1:AU5"/>
    <mergeCell ref="M2:M3"/>
    <mergeCell ref="S2:S3"/>
    <mergeCell ref="Y2:Y3"/>
    <mergeCell ref="AE2:AE3"/>
    <mergeCell ref="AK2:AK3"/>
    <mergeCell ref="H1:AK1"/>
    <mergeCell ref="AL1:AL3"/>
    <mergeCell ref="AM1:AP1"/>
    <mergeCell ref="AQ1:AQ3"/>
    <mergeCell ref="AQ4:AQ5"/>
    <mergeCell ref="AL4:AL5"/>
    <mergeCell ref="AK4:AK5"/>
    <mergeCell ref="AE4:AE5"/>
    <mergeCell ref="Y4:Y5"/>
  </mergeCells>
  <conditionalFormatting sqref="AT6:AT90">
    <cfRule type="cellIs" dxfId="36" priority="9" operator="between">
      <formula>1.01</formula>
      <formula>2.94</formula>
    </cfRule>
    <cfRule type="cellIs" dxfId="35" priority="10" operator="equal">
      <formula>1</formula>
    </cfRule>
    <cfRule type="cellIs" dxfId="34" priority="11" operator="equal">
      <formula>3</formula>
    </cfRule>
    <cfRule type="cellIs" dxfId="33" priority="12" operator="equal">
      <formula>6</formula>
    </cfRule>
    <cfRule type="cellIs" dxfId="32" priority="13" operator="equal">
      <formula>5</formula>
    </cfRule>
  </conditionalFormatting>
  <conditionalFormatting sqref="E6:E90">
    <cfRule type="cellIs" dxfId="31" priority="2" operator="equal">
      <formula>"INC"</formula>
    </cfRule>
    <cfRule type="cellIs" dxfId="30" priority="6" operator="equal">
      <formula>"WF"</formula>
    </cfRule>
    <cfRule type="cellIs" dxfId="29" priority="7" operator="equal">
      <formula>"DRP"</formula>
    </cfRule>
    <cfRule type="cellIs" dxfId="28" priority="8" operator="equal">
      <formula>"FA"</formula>
    </cfRule>
  </conditionalFormatting>
  <conditionalFormatting sqref="AS6:AT90">
    <cfRule type="cellIs" dxfId="27" priority="1" operator="equal">
      <formula>"INC"</formula>
    </cfRule>
    <cfRule type="cellIs" dxfId="26" priority="3" operator="equal">
      <formula>"WF"</formula>
    </cfRule>
    <cfRule type="cellIs" dxfId="25" priority="4" operator="equal">
      <formula>"DRP"</formula>
    </cfRule>
    <cfRule type="cellIs" dxfId="24" priority="5" operator="equal">
      <formula>"FA"</formula>
    </cfRule>
  </conditionalFormatting>
  <dataValidations count="1">
    <dataValidation showInputMessage="1" showErrorMessage="1" sqref="D6:D1048576" xr:uid="{6C8A9500-D67D-40C7-BCC7-010817F6A09E}"/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6BB7-45B3-4D2B-8E2F-5C885E5628A5}">
  <sheetPr codeName="Sheet8"/>
  <dimension ref="A1:AY90"/>
  <sheetViews>
    <sheetView zoomScale="145" zoomScaleNormal="145" workbookViewId="0">
      <pane xSplit="2" ySplit="3" topLeftCell="D71" activePane="bottomRight" state="frozen"/>
      <selection pane="topRight" activeCell="C1" sqref="C1"/>
      <selection pane="bottomLeft" activeCell="A3" sqref="A3"/>
      <selection pane="bottomRight" activeCell="AW88" sqref="AW88"/>
    </sheetView>
  </sheetViews>
  <sheetFormatPr defaultColWidth="0" defaultRowHeight="15" zeroHeight="1" x14ac:dyDescent="0.25"/>
  <cols>
    <col min="1" max="1" width="7.28515625" style="1" customWidth="1"/>
    <col min="2" max="2" width="37.140625" customWidth="1"/>
    <col min="3" max="47" width="3.7109375" style="75" customWidth="1"/>
    <col min="48" max="48" width="8.85546875" style="13" customWidth="1"/>
    <col min="49" max="51" width="9.140625" style="8" customWidth="1"/>
    <col min="52" max="16384" width="9.140625" hidden="1"/>
  </cols>
  <sheetData>
    <row r="1" spans="1:51" hidden="1" x14ac:dyDescent="0.25">
      <c r="A1" s="257" t="s">
        <v>371</v>
      </c>
      <c r="B1" s="258"/>
      <c r="C1" s="255" t="s">
        <v>156</v>
      </c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6"/>
      <c r="AV1" s="260" t="str">
        <f>CONCATENATE(COUNTA(C2:AU2)," Classes Conducted")</f>
        <v>0 Classes Conducted</v>
      </c>
      <c r="AW1" s="261"/>
      <c r="AX1" s="261"/>
      <c r="AY1" s="261"/>
    </row>
    <row r="2" spans="1:51" ht="96.75" customHeight="1" x14ac:dyDescent="0.25">
      <c r="A2" s="259"/>
      <c r="B2" s="259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7"/>
      <c r="AV2" s="262"/>
      <c r="AW2" s="263"/>
      <c r="AX2" s="263"/>
      <c r="AY2" s="263"/>
    </row>
    <row r="3" spans="1:51" x14ac:dyDescent="0.25">
      <c r="A3" s="63" t="s">
        <v>25</v>
      </c>
      <c r="B3" s="64" t="s">
        <v>60</v>
      </c>
      <c r="C3" s="63">
        <v>1</v>
      </c>
      <c r="D3" s="63">
        <v>2</v>
      </c>
      <c r="E3" s="63">
        <v>3</v>
      </c>
      <c r="F3" s="63">
        <v>4</v>
      </c>
      <c r="G3" s="63">
        <v>5</v>
      </c>
      <c r="H3" s="63">
        <v>6</v>
      </c>
      <c r="I3" s="63">
        <v>7</v>
      </c>
      <c r="J3" s="63">
        <v>8</v>
      </c>
      <c r="K3" s="63">
        <v>9</v>
      </c>
      <c r="L3" s="63">
        <v>10</v>
      </c>
      <c r="M3" s="63">
        <v>11</v>
      </c>
      <c r="N3" s="63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3">
        <v>18</v>
      </c>
      <c r="U3" s="63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3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63">
        <v>31</v>
      </c>
      <c r="AH3" s="63">
        <v>32</v>
      </c>
      <c r="AI3" s="63">
        <v>33</v>
      </c>
      <c r="AJ3" s="63">
        <v>34</v>
      </c>
      <c r="AK3" s="63">
        <v>35</v>
      </c>
      <c r="AL3" s="63">
        <v>36</v>
      </c>
      <c r="AM3" s="63">
        <v>37</v>
      </c>
      <c r="AN3" s="63">
        <v>38</v>
      </c>
      <c r="AO3" s="63">
        <v>39</v>
      </c>
      <c r="AP3" s="63">
        <v>40</v>
      </c>
      <c r="AQ3" s="63">
        <v>41</v>
      </c>
      <c r="AR3" s="63">
        <v>42</v>
      </c>
      <c r="AS3" s="63">
        <v>43</v>
      </c>
      <c r="AT3" s="63">
        <v>44</v>
      </c>
      <c r="AU3" s="65">
        <v>45</v>
      </c>
      <c r="AV3" s="66" t="s">
        <v>152</v>
      </c>
      <c r="AW3" s="67" t="s">
        <v>154</v>
      </c>
      <c r="AX3" s="68" t="s">
        <v>153</v>
      </c>
      <c r="AY3" s="69" t="s">
        <v>155</v>
      </c>
    </row>
    <row r="4" spans="1:51" x14ac:dyDescent="0.25">
      <c r="A4" s="8">
        <v>1</v>
      </c>
      <c r="B4" s="2" t="str">
        <f>IF('Student List'!C10="","",CONCATENATE(Midterm!B6,", ",Midterm!C6))</f>
        <v>XX, X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55"/>
      <c r="AV4" s="13">
        <f>IF(B4="","",SUMPRODUCT(($C$2:$AU$2&lt;&gt;"")*(LEN(C4:AU4)-LEN(SUBSTITUTE(UPPER(C4:AU4),"P","")))))</f>
        <v>0</v>
      </c>
      <c r="AW4" s="13">
        <f>IF(B4="","",SUMPRODUCT(($C$2:$AU$2&lt;&gt;"")*(LEN(C4:AU4)-LEN(SUBSTITUTE(UPPER(C4:AU4),"L","")))))</f>
        <v>0</v>
      </c>
      <c r="AX4" s="13">
        <f>IF(B4="","",SUMPRODUCT(($C$2:$AU$2&lt;&gt;"")*(LEN(C4:AU4)-LEN(SUBSTITUTE(UPPER(C4:AU4),"E","")))))</f>
        <v>0</v>
      </c>
      <c r="AY4" s="13">
        <f>IF(B4="","",SUMPRODUCT(($C$2:$AU$2&lt;&gt;"")*((LEN(C4:AU4)-LEN(SUBSTITUTE(UPPER(C4:AU4),"A","")))+(C4:AU4=""))))</f>
        <v>0</v>
      </c>
    </row>
    <row r="5" spans="1:51" x14ac:dyDescent="0.25">
      <c r="A5" s="8">
        <v>2</v>
      </c>
      <c r="B5" s="2" t="str">
        <f>IF('Student List'!C11="","",CONCATENATE(Midterm!B7,", ",Midterm!C7))</f>
        <v/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55"/>
      <c r="AV5" s="13" t="str">
        <f t="shared" ref="AV5:AV68" si="0">IF(B5="","",SUMPRODUCT(($C$2:$AU$2&lt;&gt;"")*(LEN(C5:AU5)-LEN(SUBSTITUTE(UPPER(C5:AU5),"P","")))))</f>
        <v/>
      </c>
      <c r="AW5" s="13" t="str">
        <f t="shared" ref="AW5:AW68" si="1">IF(B5="","",SUMPRODUCT(($C$2:$AU$2&lt;&gt;"")*(LEN(C5:AU5)-LEN(SUBSTITUTE(UPPER(C5:AU5),"L","")))))</f>
        <v/>
      </c>
      <c r="AX5" s="13" t="str">
        <f t="shared" ref="AX5:AX68" si="2">IF(B5="","",SUMPRODUCT(($C$2:$AU$2&lt;&gt;"")*(LEN(C5:AU5)-LEN(SUBSTITUTE(UPPER(C5:AU5),"E","")))))</f>
        <v/>
      </c>
      <c r="AY5" s="13" t="str">
        <f t="shared" ref="AY5:AY68" si="3">IF(B5="","",SUMPRODUCT(($C$2:$AU$2&lt;&gt;"")*((LEN(C5:AU5)-LEN(SUBSTITUTE(UPPER(C5:AU5),"A","")))+(C5:AU5=""))))</f>
        <v/>
      </c>
    </row>
    <row r="6" spans="1:51" x14ac:dyDescent="0.25">
      <c r="A6" s="8">
        <v>3</v>
      </c>
      <c r="B6" s="2" t="str">
        <f>IF('Student List'!C12="","",CONCATENATE(Midterm!B8,", ",Midterm!C8))</f>
        <v/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55"/>
      <c r="AV6" s="13" t="str">
        <f t="shared" si="0"/>
        <v/>
      </c>
      <c r="AW6" s="13" t="str">
        <f t="shared" si="1"/>
        <v/>
      </c>
      <c r="AX6" s="13" t="str">
        <f t="shared" si="2"/>
        <v/>
      </c>
      <c r="AY6" s="13" t="str">
        <f t="shared" si="3"/>
        <v/>
      </c>
    </row>
    <row r="7" spans="1:51" x14ac:dyDescent="0.25">
      <c r="A7" s="8">
        <v>4</v>
      </c>
      <c r="B7" s="2" t="str">
        <f>IF('Student List'!C13="","",CONCATENATE(Midterm!B9,", ",Midterm!C9))</f>
        <v/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55"/>
      <c r="AV7" s="13" t="str">
        <f t="shared" si="0"/>
        <v/>
      </c>
      <c r="AW7" s="13" t="str">
        <f t="shared" si="1"/>
        <v/>
      </c>
      <c r="AX7" s="13" t="str">
        <f t="shared" si="2"/>
        <v/>
      </c>
      <c r="AY7" s="13" t="str">
        <f t="shared" si="3"/>
        <v/>
      </c>
    </row>
    <row r="8" spans="1:51" x14ac:dyDescent="0.25">
      <c r="A8" s="8">
        <v>5</v>
      </c>
      <c r="B8" s="2" t="str">
        <f>IF('Student List'!C14="","",CONCATENATE(Midterm!B10,", ",Midterm!C10))</f>
        <v/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55"/>
      <c r="AV8" s="13" t="str">
        <f t="shared" si="0"/>
        <v/>
      </c>
      <c r="AW8" s="13" t="str">
        <f t="shared" si="1"/>
        <v/>
      </c>
      <c r="AX8" s="13" t="str">
        <f t="shared" si="2"/>
        <v/>
      </c>
      <c r="AY8" s="13" t="str">
        <f t="shared" si="3"/>
        <v/>
      </c>
    </row>
    <row r="9" spans="1:51" x14ac:dyDescent="0.25">
      <c r="A9" s="8">
        <v>6</v>
      </c>
      <c r="B9" s="2" t="str">
        <f>IF('Student List'!C15="","",CONCATENATE(Midterm!B11,", ",Midterm!C11))</f>
        <v/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55"/>
      <c r="AV9" s="13" t="str">
        <f t="shared" si="0"/>
        <v/>
      </c>
      <c r="AW9" s="13" t="str">
        <f t="shared" si="1"/>
        <v/>
      </c>
      <c r="AX9" s="13" t="str">
        <f t="shared" si="2"/>
        <v/>
      </c>
      <c r="AY9" s="13" t="str">
        <f t="shared" si="3"/>
        <v/>
      </c>
    </row>
    <row r="10" spans="1:51" x14ac:dyDescent="0.25">
      <c r="A10" s="8">
        <v>7</v>
      </c>
      <c r="B10" s="2" t="str">
        <f>IF('Student List'!C16="","",CONCATENATE(Midterm!B12,", ",Midterm!C12))</f>
        <v/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55"/>
      <c r="AV10" s="13" t="str">
        <f t="shared" si="0"/>
        <v/>
      </c>
      <c r="AW10" s="13" t="str">
        <f t="shared" si="1"/>
        <v/>
      </c>
      <c r="AX10" s="13" t="str">
        <f t="shared" si="2"/>
        <v/>
      </c>
      <c r="AY10" s="13" t="str">
        <f t="shared" si="3"/>
        <v/>
      </c>
    </row>
    <row r="11" spans="1:51" x14ac:dyDescent="0.25">
      <c r="A11" s="8">
        <v>8</v>
      </c>
      <c r="B11" s="2" t="str">
        <f>IF('Student List'!C17="","",CONCATENATE(Midterm!B13,", ",Midterm!C13))</f>
        <v/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55"/>
      <c r="AV11" s="13" t="str">
        <f t="shared" si="0"/>
        <v/>
      </c>
      <c r="AW11" s="13" t="str">
        <f t="shared" si="1"/>
        <v/>
      </c>
      <c r="AX11" s="13" t="str">
        <f t="shared" si="2"/>
        <v/>
      </c>
      <c r="AY11" s="13" t="str">
        <f t="shared" si="3"/>
        <v/>
      </c>
    </row>
    <row r="12" spans="1:51" x14ac:dyDescent="0.25">
      <c r="A12" s="8">
        <v>9</v>
      </c>
      <c r="B12" s="2" t="str">
        <f>IF('Student List'!C18="","",CONCATENATE(Midterm!B14,", ",Midterm!C14))</f>
        <v/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55"/>
      <c r="AV12" s="13" t="str">
        <f t="shared" si="0"/>
        <v/>
      </c>
      <c r="AW12" s="13" t="str">
        <f t="shared" si="1"/>
        <v/>
      </c>
      <c r="AX12" s="13" t="str">
        <f t="shared" si="2"/>
        <v/>
      </c>
      <c r="AY12" s="13" t="str">
        <f t="shared" si="3"/>
        <v/>
      </c>
    </row>
    <row r="13" spans="1:51" x14ac:dyDescent="0.25">
      <c r="A13" s="8">
        <v>10</v>
      </c>
      <c r="B13" s="2" t="str">
        <f>IF('Student List'!C19="","",CONCATENATE(Midterm!B15,", ",Midterm!C15))</f>
        <v/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55"/>
      <c r="AV13" s="13" t="str">
        <f t="shared" si="0"/>
        <v/>
      </c>
      <c r="AW13" s="13" t="str">
        <f t="shared" si="1"/>
        <v/>
      </c>
      <c r="AX13" s="13" t="str">
        <f t="shared" si="2"/>
        <v/>
      </c>
      <c r="AY13" s="13" t="str">
        <f t="shared" si="3"/>
        <v/>
      </c>
    </row>
    <row r="14" spans="1:51" x14ac:dyDescent="0.25">
      <c r="A14" s="8">
        <v>11</v>
      </c>
      <c r="B14" s="2" t="str">
        <f>IF('Student List'!C20="","",CONCATENATE(Midterm!B16,", ",Midterm!C16))</f>
        <v/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55"/>
      <c r="AV14" s="13" t="str">
        <f t="shared" si="0"/>
        <v/>
      </c>
      <c r="AW14" s="13" t="str">
        <f t="shared" si="1"/>
        <v/>
      </c>
      <c r="AX14" s="13" t="str">
        <f t="shared" si="2"/>
        <v/>
      </c>
      <c r="AY14" s="13" t="str">
        <f t="shared" si="3"/>
        <v/>
      </c>
    </row>
    <row r="15" spans="1:51" x14ac:dyDescent="0.25">
      <c r="A15" s="8">
        <v>12</v>
      </c>
      <c r="B15" s="2" t="str">
        <f>IF('Student List'!C21="","",CONCATENATE(Midterm!B17,", ",Midterm!C17))</f>
        <v/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55"/>
      <c r="AV15" s="13" t="str">
        <f t="shared" si="0"/>
        <v/>
      </c>
      <c r="AW15" s="13" t="str">
        <f t="shared" si="1"/>
        <v/>
      </c>
      <c r="AX15" s="13" t="str">
        <f t="shared" si="2"/>
        <v/>
      </c>
      <c r="AY15" s="13" t="str">
        <f t="shared" si="3"/>
        <v/>
      </c>
    </row>
    <row r="16" spans="1:51" x14ac:dyDescent="0.25">
      <c r="A16" s="8">
        <v>13</v>
      </c>
      <c r="B16" s="2" t="str">
        <f>IF('Student List'!C22="","",CONCATENATE(Midterm!B18,", ",Midterm!C18))</f>
        <v/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55"/>
      <c r="AV16" s="13" t="str">
        <f t="shared" si="0"/>
        <v/>
      </c>
      <c r="AW16" s="13" t="str">
        <f t="shared" si="1"/>
        <v/>
      </c>
      <c r="AX16" s="13" t="str">
        <f t="shared" si="2"/>
        <v/>
      </c>
      <c r="AY16" s="13" t="str">
        <f t="shared" si="3"/>
        <v/>
      </c>
    </row>
    <row r="17" spans="1:51" x14ac:dyDescent="0.25">
      <c r="A17" s="8">
        <v>14</v>
      </c>
      <c r="B17" s="2" t="str">
        <f>IF('Student List'!C23="","",CONCATENATE(Midterm!B19,", ",Midterm!C19))</f>
        <v/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55"/>
      <c r="AV17" s="13" t="str">
        <f t="shared" si="0"/>
        <v/>
      </c>
      <c r="AW17" s="13" t="str">
        <f t="shared" si="1"/>
        <v/>
      </c>
      <c r="AX17" s="13" t="str">
        <f t="shared" si="2"/>
        <v/>
      </c>
      <c r="AY17" s="13" t="str">
        <f t="shared" si="3"/>
        <v/>
      </c>
    </row>
    <row r="18" spans="1:51" x14ac:dyDescent="0.25">
      <c r="A18" s="8">
        <v>15</v>
      </c>
      <c r="B18" s="2" t="str">
        <f>IF('Student List'!C24="","",CONCATENATE(Midterm!B20,", ",Midterm!C20))</f>
        <v/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55"/>
      <c r="AV18" s="13" t="str">
        <f t="shared" si="0"/>
        <v/>
      </c>
      <c r="AW18" s="13" t="str">
        <f t="shared" si="1"/>
        <v/>
      </c>
      <c r="AX18" s="13" t="str">
        <f t="shared" si="2"/>
        <v/>
      </c>
      <c r="AY18" s="13" t="str">
        <f t="shared" si="3"/>
        <v/>
      </c>
    </row>
    <row r="19" spans="1:51" x14ac:dyDescent="0.25">
      <c r="A19" s="8">
        <v>16</v>
      </c>
      <c r="B19" s="2" t="str">
        <f>IF('Student List'!C25="","",CONCATENATE(Midterm!B21,", ",Midterm!C21))</f>
        <v/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55"/>
      <c r="AV19" s="13" t="str">
        <f t="shared" si="0"/>
        <v/>
      </c>
      <c r="AW19" s="13" t="str">
        <f t="shared" si="1"/>
        <v/>
      </c>
      <c r="AX19" s="13" t="str">
        <f t="shared" si="2"/>
        <v/>
      </c>
      <c r="AY19" s="13" t="str">
        <f t="shared" si="3"/>
        <v/>
      </c>
    </row>
    <row r="20" spans="1:51" x14ac:dyDescent="0.25">
      <c r="A20" s="8">
        <v>17</v>
      </c>
      <c r="B20" s="2" t="str">
        <f>IF('Student List'!C26="","",CONCATENATE(Midterm!B22,", ",Midterm!C22))</f>
        <v/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55"/>
      <c r="AV20" s="13" t="str">
        <f t="shared" si="0"/>
        <v/>
      </c>
      <c r="AW20" s="13" t="str">
        <f t="shared" si="1"/>
        <v/>
      </c>
      <c r="AX20" s="13" t="str">
        <f t="shared" si="2"/>
        <v/>
      </c>
      <c r="AY20" s="13" t="str">
        <f t="shared" si="3"/>
        <v/>
      </c>
    </row>
    <row r="21" spans="1:51" x14ac:dyDescent="0.25">
      <c r="A21" s="8">
        <v>18</v>
      </c>
      <c r="B21" s="2" t="str">
        <f>IF('Student List'!C27="","",CONCATENATE(Midterm!B23,", ",Midterm!C23))</f>
        <v/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55"/>
      <c r="AV21" s="13" t="str">
        <f t="shared" si="0"/>
        <v/>
      </c>
      <c r="AW21" s="13" t="str">
        <f t="shared" si="1"/>
        <v/>
      </c>
      <c r="AX21" s="13" t="str">
        <f t="shared" si="2"/>
        <v/>
      </c>
      <c r="AY21" s="13" t="str">
        <f t="shared" si="3"/>
        <v/>
      </c>
    </row>
    <row r="22" spans="1:51" x14ac:dyDescent="0.25">
      <c r="A22" s="8">
        <v>19</v>
      </c>
      <c r="B22" s="2" t="str">
        <f>IF('Student List'!C28="","",CONCATENATE(Midterm!B24,", ",Midterm!C24))</f>
        <v/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55"/>
      <c r="AV22" s="13" t="str">
        <f t="shared" si="0"/>
        <v/>
      </c>
      <c r="AW22" s="13" t="str">
        <f t="shared" si="1"/>
        <v/>
      </c>
      <c r="AX22" s="13" t="str">
        <f t="shared" si="2"/>
        <v/>
      </c>
      <c r="AY22" s="13" t="str">
        <f t="shared" si="3"/>
        <v/>
      </c>
    </row>
    <row r="23" spans="1:51" x14ac:dyDescent="0.25">
      <c r="A23" s="8">
        <v>20</v>
      </c>
      <c r="B23" s="2" t="str">
        <f>IF('Student List'!C29="","",CONCATENATE(Midterm!B25,", ",Midterm!C25))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55"/>
      <c r="AV23" s="13" t="str">
        <f t="shared" si="0"/>
        <v/>
      </c>
      <c r="AW23" s="13" t="str">
        <f t="shared" si="1"/>
        <v/>
      </c>
      <c r="AX23" s="13" t="str">
        <f t="shared" si="2"/>
        <v/>
      </c>
      <c r="AY23" s="13" t="str">
        <f t="shared" si="3"/>
        <v/>
      </c>
    </row>
    <row r="24" spans="1:51" x14ac:dyDescent="0.25">
      <c r="A24" s="8">
        <v>21</v>
      </c>
      <c r="B24" s="2" t="str">
        <f>IF('Student List'!C30="","",CONCATENATE(Midterm!B26,", ",Midterm!C26))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55"/>
      <c r="AV24" s="13" t="str">
        <f t="shared" si="0"/>
        <v/>
      </c>
      <c r="AW24" s="13" t="str">
        <f t="shared" si="1"/>
        <v/>
      </c>
      <c r="AX24" s="13" t="str">
        <f t="shared" si="2"/>
        <v/>
      </c>
      <c r="AY24" s="13" t="str">
        <f t="shared" si="3"/>
        <v/>
      </c>
    </row>
    <row r="25" spans="1:51" x14ac:dyDescent="0.25">
      <c r="A25" s="8">
        <v>22</v>
      </c>
      <c r="B25" s="2" t="str">
        <f>IF('Student List'!C31="","",CONCATENATE(Midterm!B27,", ",Midterm!C27))</f>
        <v/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55"/>
      <c r="AV25" s="13" t="str">
        <f t="shared" si="0"/>
        <v/>
      </c>
      <c r="AW25" s="13" t="str">
        <f t="shared" si="1"/>
        <v/>
      </c>
      <c r="AX25" s="13" t="str">
        <f t="shared" si="2"/>
        <v/>
      </c>
      <c r="AY25" s="13" t="str">
        <f t="shared" si="3"/>
        <v/>
      </c>
    </row>
    <row r="26" spans="1:51" x14ac:dyDescent="0.25">
      <c r="A26" s="8">
        <v>23</v>
      </c>
      <c r="B26" s="2" t="str">
        <f>IF('Student List'!C32="","",CONCATENATE(Midterm!B28,", ",Midterm!C28))</f>
        <v/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55"/>
      <c r="AV26" s="13" t="str">
        <f t="shared" si="0"/>
        <v/>
      </c>
      <c r="AW26" s="13" t="str">
        <f t="shared" si="1"/>
        <v/>
      </c>
      <c r="AX26" s="13" t="str">
        <f t="shared" si="2"/>
        <v/>
      </c>
      <c r="AY26" s="13" t="str">
        <f t="shared" si="3"/>
        <v/>
      </c>
    </row>
    <row r="27" spans="1:51" x14ac:dyDescent="0.25">
      <c r="A27" s="8">
        <v>24</v>
      </c>
      <c r="B27" s="2" t="str">
        <f>IF('Student List'!C33="","",CONCATENATE(Midterm!B29,", ",Midterm!C29))</f>
        <v/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55"/>
      <c r="AV27" s="13" t="str">
        <f t="shared" si="0"/>
        <v/>
      </c>
      <c r="AW27" s="13" t="str">
        <f t="shared" si="1"/>
        <v/>
      </c>
      <c r="AX27" s="13" t="str">
        <f t="shared" si="2"/>
        <v/>
      </c>
      <c r="AY27" s="13" t="str">
        <f t="shared" si="3"/>
        <v/>
      </c>
    </row>
    <row r="28" spans="1:51" x14ac:dyDescent="0.25">
      <c r="A28" s="8">
        <v>25</v>
      </c>
      <c r="B28" s="2" t="str">
        <f>IF('Student List'!C34="","",CONCATENATE(Midterm!B30,", ",Midterm!C30))</f>
        <v/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55"/>
      <c r="AV28" s="13" t="str">
        <f t="shared" si="0"/>
        <v/>
      </c>
      <c r="AW28" s="13" t="str">
        <f t="shared" si="1"/>
        <v/>
      </c>
      <c r="AX28" s="13" t="str">
        <f t="shared" si="2"/>
        <v/>
      </c>
      <c r="AY28" s="13" t="str">
        <f t="shared" si="3"/>
        <v/>
      </c>
    </row>
    <row r="29" spans="1:51" x14ac:dyDescent="0.25">
      <c r="A29" s="8">
        <v>26</v>
      </c>
      <c r="B29" s="2" t="str">
        <f>IF('Student List'!C35="","",CONCATENATE(Midterm!B31,", ",Midterm!C31))</f>
        <v/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55"/>
      <c r="AV29" s="13" t="str">
        <f t="shared" si="0"/>
        <v/>
      </c>
      <c r="AW29" s="13" t="str">
        <f t="shared" si="1"/>
        <v/>
      </c>
      <c r="AX29" s="13" t="str">
        <f t="shared" si="2"/>
        <v/>
      </c>
      <c r="AY29" s="13" t="str">
        <f t="shared" si="3"/>
        <v/>
      </c>
    </row>
    <row r="30" spans="1:51" x14ac:dyDescent="0.25">
      <c r="A30" s="8">
        <v>27</v>
      </c>
      <c r="B30" s="2" t="str">
        <f>IF('Student List'!C36="","",CONCATENATE(Midterm!B32,", ",Midterm!C32))</f>
        <v/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55"/>
      <c r="AV30" s="13" t="str">
        <f t="shared" si="0"/>
        <v/>
      </c>
      <c r="AW30" s="13" t="str">
        <f t="shared" si="1"/>
        <v/>
      </c>
      <c r="AX30" s="13" t="str">
        <f t="shared" si="2"/>
        <v/>
      </c>
      <c r="AY30" s="13" t="str">
        <f t="shared" si="3"/>
        <v/>
      </c>
    </row>
    <row r="31" spans="1:51" x14ac:dyDescent="0.25">
      <c r="A31" s="8">
        <v>28</v>
      </c>
      <c r="B31" s="2" t="str">
        <f>IF('Student List'!C37="","",CONCATENATE(Midterm!B33,", ",Midterm!C33))</f>
        <v/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55"/>
      <c r="AV31" s="13" t="str">
        <f t="shared" si="0"/>
        <v/>
      </c>
      <c r="AW31" s="13" t="str">
        <f t="shared" si="1"/>
        <v/>
      </c>
      <c r="AX31" s="13" t="str">
        <f t="shared" si="2"/>
        <v/>
      </c>
      <c r="AY31" s="13" t="str">
        <f t="shared" si="3"/>
        <v/>
      </c>
    </row>
    <row r="32" spans="1:51" x14ac:dyDescent="0.25">
      <c r="A32" s="8">
        <v>29</v>
      </c>
      <c r="B32" s="2" t="str">
        <f>IF('Student List'!C38="","",CONCATENATE(Midterm!B34,", ",Midterm!C34))</f>
        <v/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55"/>
      <c r="AV32" s="13" t="str">
        <f t="shared" si="0"/>
        <v/>
      </c>
      <c r="AW32" s="13" t="str">
        <f t="shared" si="1"/>
        <v/>
      </c>
      <c r="AX32" s="13" t="str">
        <f t="shared" si="2"/>
        <v/>
      </c>
      <c r="AY32" s="13" t="str">
        <f t="shared" si="3"/>
        <v/>
      </c>
    </row>
    <row r="33" spans="1:51" x14ac:dyDescent="0.25">
      <c r="A33" s="8">
        <v>30</v>
      </c>
      <c r="B33" s="2" t="str">
        <f>IF('Student List'!C39="","",CONCATENATE(Midterm!B35,", ",Midterm!C35))</f>
        <v/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55"/>
      <c r="AV33" s="13" t="str">
        <f t="shared" si="0"/>
        <v/>
      </c>
      <c r="AW33" s="13" t="str">
        <f t="shared" si="1"/>
        <v/>
      </c>
      <c r="AX33" s="13" t="str">
        <f t="shared" si="2"/>
        <v/>
      </c>
      <c r="AY33" s="13" t="str">
        <f t="shared" si="3"/>
        <v/>
      </c>
    </row>
    <row r="34" spans="1:51" x14ac:dyDescent="0.25">
      <c r="A34" s="8">
        <v>31</v>
      </c>
      <c r="B34" s="2" t="str">
        <f>IF('Student List'!C40="","",CONCATENATE(Midterm!B36,", ",Midterm!C36))</f>
        <v/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55"/>
      <c r="AV34" s="13" t="str">
        <f t="shared" si="0"/>
        <v/>
      </c>
      <c r="AW34" s="13" t="str">
        <f t="shared" si="1"/>
        <v/>
      </c>
      <c r="AX34" s="13" t="str">
        <f t="shared" si="2"/>
        <v/>
      </c>
      <c r="AY34" s="13" t="str">
        <f t="shared" si="3"/>
        <v/>
      </c>
    </row>
    <row r="35" spans="1:51" x14ac:dyDescent="0.25">
      <c r="A35" s="8">
        <v>32</v>
      </c>
      <c r="B35" s="2" t="str">
        <f>IF('Student List'!C41="","",CONCATENATE(Midterm!B37,", ",Midterm!C37))</f>
        <v/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55"/>
      <c r="AV35" s="13" t="str">
        <f t="shared" si="0"/>
        <v/>
      </c>
      <c r="AW35" s="13" t="str">
        <f t="shared" si="1"/>
        <v/>
      </c>
      <c r="AX35" s="13" t="str">
        <f t="shared" si="2"/>
        <v/>
      </c>
      <c r="AY35" s="13" t="str">
        <f t="shared" si="3"/>
        <v/>
      </c>
    </row>
    <row r="36" spans="1:51" x14ac:dyDescent="0.25">
      <c r="A36" s="8">
        <v>33</v>
      </c>
      <c r="B36" s="2" t="str">
        <f>IF('Student List'!C42="","",CONCATENATE(Midterm!B38,", ",Midterm!C38))</f>
        <v/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55"/>
      <c r="AV36" s="13" t="str">
        <f t="shared" si="0"/>
        <v/>
      </c>
      <c r="AW36" s="13" t="str">
        <f t="shared" si="1"/>
        <v/>
      </c>
      <c r="AX36" s="13" t="str">
        <f t="shared" si="2"/>
        <v/>
      </c>
      <c r="AY36" s="13" t="str">
        <f t="shared" si="3"/>
        <v/>
      </c>
    </row>
    <row r="37" spans="1:51" x14ac:dyDescent="0.25">
      <c r="A37" s="8">
        <v>34</v>
      </c>
      <c r="B37" s="2" t="str">
        <f>IF('Student List'!C43="","",CONCATENATE(Midterm!B39,", ",Midterm!C39))</f>
        <v/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55"/>
      <c r="AV37" s="13" t="str">
        <f t="shared" si="0"/>
        <v/>
      </c>
      <c r="AW37" s="13" t="str">
        <f t="shared" si="1"/>
        <v/>
      </c>
      <c r="AX37" s="13" t="str">
        <f t="shared" si="2"/>
        <v/>
      </c>
      <c r="AY37" s="13" t="str">
        <f t="shared" si="3"/>
        <v/>
      </c>
    </row>
    <row r="38" spans="1:51" x14ac:dyDescent="0.25">
      <c r="A38" s="8">
        <v>35</v>
      </c>
      <c r="B38" s="2" t="str">
        <f>IF('Student List'!C44="","",CONCATENATE(Midterm!B40,", ",Midterm!C40))</f>
        <v/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55"/>
      <c r="AV38" s="13" t="str">
        <f t="shared" si="0"/>
        <v/>
      </c>
      <c r="AW38" s="13" t="str">
        <f t="shared" si="1"/>
        <v/>
      </c>
      <c r="AX38" s="13" t="str">
        <f t="shared" si="2"/>
        <v/>
      </c>
      <c r="AY38" s="13" t="str">
        <f t="shared" si="3"/>
        <v/>
      </c>
    </row>
    <row r="39" spans="1:51" x14ac:dyDescent="0.25">
      <c r="A39" s="8">
        <v>36</v>
      </c>
      <c r="B39" s="2" t="str">
        <f>IF('Student List'!C45="","",CONCATENATE(Midterm!B41,", ",Midterm!C41))</f>
        <v/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55"/>
      <c r="AV39" s="13" t="str">
        <f t="shared" si="0"/>
        <v/>
      </c>
      <c r="AW39" s="13" t="str">
        <f t="shared" si="1"/>
        <v/>
      </c>
      <c r="AX39" s="13" t="str">
        <f t="shared" si="2"/>
        <v/>
      </c>
      <c r="AY39" s="13" t="str">
        <f t="shared" si="3"/>
        <v/>
      </c>
    </row>
    <row r="40" spans="1:51" x14ac:dyDescent="0.25">
      <c r="A40" s="8">
        <v>37</v>
      </c>
      <c r="B40" s="2" t="str">
        <f>IF('Student List'!C46="","",CONCATENATE(Midterm!B42,", ",Midterm!C42))</f>
        <v/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55"/>
      <c r="AV40" s="13" t="str">
        <f t="shared" si="0"/>
        <v/>
      </c>
      <c r="AW40" s="13" t="str">
        <f t="shared" si="1"/>
        <v/>
      </c>
      <c r="AX40" s="13" t="str">
        <f t="shared" si="2"/>
        <v/>
      </c>
      <c r="AY40" s="13" t="str">
        <f t="shared" si="3"/>
        <v/>
      </c>
    </row>
    <row r="41" spans="1:51" x14ac:dyDescent="0.25">
      <c r="A41" s="8">
        <v>38</v>
      </c>
      <c r="B41" s="2" t="str">
        <f>IF('Student List'!C47="","",CONCATENATE(Midterm!B43,", ",Midterm!C43))</f>
        <v/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55"/>
      <c r="AV41" s="13" t="str">
        <f t="shared" si="0"/>
        <v/>
      </c>
      <c r="AW41" s="13" t="str">
        <f t="shared" si="1"/>
        <v/>
      </c>
      <c r="AX41" s="13" t="str">
        <f t="shared" si="2"/>
        <v/>
      </c>
      <c r="AY41" s="13" t="str">
        <f t="shared" si="3"/>
        <v/>
      </c>
    </row>
    <row r="42" spans="1:51" x14ac:dyDescent="0.25">
      <c r="A42" s="8">
        <v>39</v>
      </c>
      <c r="B42" s="2" t="str">
        <f>IF('Student List'!C48="","",CONCATENATE(Midterm!B44,", ",Midterm!C44))</f>
        <v/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55"/>
      <c r="AV42" s="13" t="str">
        <f t="shared" si="0"/>
        <v/>
      </c>
      <c r="AW42" s="13" t="str">
        <f t="shared" si="1"/>
        <v/>
      </c>
      <c r="AX42" s="13" t="str">
        <f t="shared" si="2"/>
        <v/>
      </c>
      <c r="AY42" s="13" t="str">
        <f t="shared" si="3"/>
        <v/>
      </c>
    </row>
    <row r="43" spans="1:51" x14ac:dyDescent="0.25">
      <c r="A43" s="8">
        <v>40</v>
      </c>
      <c r="B43" s="2" t="str">
        <f>IF('Student List'!C49="","",CONCATENATE(Midterm!B45,", ",Midterm!C45))</f>
        <v/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55"/>
      <c r="AV43" s="13" t="str">
        <f t="shared" si="0"/>
        <v/>
      </c>
      <c r="AW43" s="13" t="str">
        <f t="shared" si="1"/>
        <v/>
      </c>
      <c r="AX43" s="13" t="str">
        <f t="shared" si="2"/>
        <v/>
      </c>
      <c r="AY43" s="13" t="str">
        <f t="shared" si="3"/>
        <v/>
      </c>
    </row>
    <row r="44" spans="1:51" x14ac:dyDescent="0.25">
      <c r="A44" s="8">
        <v>41</v>
      </c>
      <c r="B44" s="2" t="str">
        <f>IF('Student List'!C50="","",CONCATENATE(Midterm!B46,", ",Midterm!C46))</f>
        <v/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55"/>
      <c r="AV44" s="13" t="str">
        <f t="shared" si="0"/>
        <v/>
      </c>
      <c r="AW44" s="13" t="str">
        <f t="shared" si="1"/>
        <v/>
      </c>
      <c r="AX44" s="13" t="str">
        <f t="shared" si="2"/>
        <v/>
      </c>
      <c r="AY44" s="13" t="str">
        <f t="shared" si="3"/>
        <v/>
      </c>
    </row>
    <row r="45" spans="1:51" x14ac:dyDescent="0.25">
      <c r="A45" s="8">
        <v>42</v>
      </c>
      <c r="B45" s="2" t="str">
        <f>IF('Student List'!C51="","",CONCATENATE(Midterm!B47,", ",Midterm!C47))</f>
        <v/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55"/>
      <c r="AV45" s="13" t="str">
        <f t="shared" si="0"/>
        <v/>
      </c>
      <c r="AW45" s="13" t="str">
        <f t="shared" si="1"/>
        <v/>
      </c>
      <c r="AX45" s="13" t="str">
        <f t="shared" si="2"/>
        <v/>
      </c>
      <c r="AY45" s="13" t="str">
        <f t="shared" si="3"/>
        <v/>
      </c>
    </row>
    <row r="46" spans="1:51" x14ac:dyDescent="0.25">
      <c r="A46" s="8">
        <v>43</v>
      </c>
      <c r="B46" s="2" t="str">
        <f>IF('Student List'!C52="","",CONCATENATE(Midterm!B48,", ",Midterm!C48))</f>
        <v/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55"/>
      <c r="AV46" s="13" t="str">
        <f t="shared" si="0"/>
        <v/>
      </c>
      <c r="AW46" s="13" t="str">
        <f t="shared" si="1"/>
        <v/>
      </c>
      <c r="AX46" s="13" t="str">
        <f t="shared" si="2"/>
        <v/>
      </c>
      <c r="AY46" s="13" t="str">
        <f t="shared" si="3"/>
        <v/>
      </c>
    </row>
    <row r="47" spans="1:51" x14ac:dyDescent="0.25">
      <c r="A47" s="8">
        <v>44</v>
      </c>
      <c r="B47" s="2" t="str">
        <f>IF('Student List'!C53="","",CONCATENATE(Midterm!B49,", ",Midterm!C49))</f>
        <v/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55"/>
      <c r="AV47" s="13" t="str">
        <f t="shared" si="0"/>
        <v/>
      </c>
      <c r="AW47" s="13" t="str">
        <f t="shared" si="1"/>
        <v/>
      </c>
      <c r="AX47" s="13" t="str">
        <f t="shared" si="2"/>
        <v/>
      </c>
      <c r="AY47" s="13" t="str">
        <f t="shared" si="3"/>
        <v/>
      </c>
    </row>
    <row r="48" spans="1:51" x14ac:dyDescent="0.25">
      <c r="A48" s="8">
        <v>45</v>
      </c>
      <c r="B48" s="2" t="str">
        <f>IF('Student List'!C54="","",CONCATENATE(Midterm!B50,", ",Midterm!C50))</f>
        <v/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55"/>
      <c r="AV48" s="13" t="str">
        <f t="shared" si="0"/>
        <v/>
      </c>
      <c r="AW48" s="13" t="str">
        <f t="shared" si="1"/>
        <v/>
      </c>
      <c r="AX48" s="13" t="str">
        <f t="shared" si="2"/>
        <v/>
      </c>
      <c r="AY48" s="13" t="str">
        <f t="shared" si="3"/>
        <v/>
      </c>
    </row>
    <row r="49" spans="1:51" x14ac:dyDescent="0.25">
      <c r="A49" s="8">
        <v>46</v>
      </c>
      <c r="B49" s="2" t="str">
        <f>IF('Student List'!C55="","",CONCATENATE(Midterm!B51,", ",Midterm!C51))</f>
        <v/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55"/>
      <c r="AV49" s="13" t="str">
        <f t="shared" si="0"/>
        <v/>
      </c>
      <c r="AW49" s="13" t="str">
        <f t="shared" si="1"/>
        <v/>
      </c>
      <c r="AX49" s="13" t="str">
        <f t="shared" si="2"/>
        <v/>
      </c>
      <c r="AY49" s="13" t="str">
        <f t="shared" si="3"/>
        <v/>
      </c>
    </row>
    <row r="50" spans="1:51" x14ac:dyDescent="0.25">
      <c r="A50" s="8">
        <v>47</v>
      </c>
      <c r="B50" s="2" t="str">
        <f>IF('Student List'!C56="","",CONCATENATE(Midterm!B52,", ",Midterm!C52))</f>
        <v/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55"/>
      <c r="AV50" s="13" t="str">
        <f t="shared" si="0"/>
        <v/>
      </c>
      <c r="AW50" s="13" t="str">
        <f t="shared" si="1"/>
        <v/>
      </c>
      <c r="AX50" s="13" t="str">
        <f t="shared" si="2"/>
        <v/>
      </c>
      <c r="AY50" s="13" t="str">
        <f t="shared" si="3"/>
        <v/>
      </c>
    </row>
    <row r="51" spans="1:51" x14ac:dyDescent="0.25">
      <c r="A51" s="8">
        <v>48</v>
      </c>
      <c r="B51" s="2" t="str">
        <f>IF('Student List'!C57="","",CONCATENATE(Midterm!B53,", ",Midterm!C53))</f>
        <v/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55"/>
      <c r="AV51" s="13" t="str">
        <f t="shared" si="0"/>
        <v/>
      </c>
      <c r="AW51" s="13" t="str">
        <f t="shared" si="1"/>
        <v/>
      </c>
      <c r="AX51" s="13" t="str">
        <f t="shared" si="2"/>
        <v/>
      </c>
      <c r="AY51" s="13" t="str">
        <f t="shared" si="3"/>
        <v/>
      </c>
    </row>
    <row r="52" spans="1:51" x14ac:dyDescent="0.25">
      <c r="A52" s="8">
        <v>49</v>
      </c>
      <c r="B52" s="2" t="str">
        <f>IF('Student List'!C58="","",CONCATENATE(Midterm!B54,", ",Midterm!C54))</f>
        <v/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55"/>
      <c r="AV52" s="13" t="str">
        <f t="shared" si="0"/>
        <v/>
      </c>
      <c r="AW52" s="13" t="str">
        <f t="shared" si="1"/>
        <v/>
      </c>
      <c r="AX52" s="13" t="str">
        <f t="shared" si="2"/>
        <v/>
      </c>
      <c r="AY52" s="13" t="str">
        <f t="shared" si="3"/>
        <v/>
      </c>
    </row>
    <row r="53" spans="1:51" x14ac:dyDescent="0.25">
      <c r="A53" s="8">
        <v>50</v>
      </c>
      <c r="B53" s="2" t="str">
        <f>IF('Student List'!C59="","",CONCATENATE(Midterm!B55,", ",Midterm!C55))</f>
        <v/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55"/>
      <c r="AV53" s="13" t="str">
        <f t="shared" si="0"/>
        <v/>
      </c>
      <c r="AW53" s="13" t="str">
        <f t="shared" si="1"/>
        <v/>
      </c>
      <c r="AX53" s="13" t="str">
        <f t="shared" si="2"/>
        <v/>
      </c>
      <c r="AY53" s="13" t="str">
        <f t="shared" si="3"/>
        <v/>
      </c>
    </row>
    <row r="54" spans="1:51" x14ac:dyDescent="0.25">
      <c r="A54" s="8">
        <v>51</v>
      </c>
      <c r="B54" s="2" t="str">
        <f>IF('Student List'!C60="","",CONCATENATE(Midterm!B56,", ",Midterm!C56))</f>
        <v/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55"/>
      <c r="AV54" s="13" t="str">
        <f t="shared" si="0"/>
        <v/>
      </c>
      <c r="AW54" s="13" t="str">
        <f t="shared" si="1"/>
        <v/>
      </c>
      <c r="AX54" s="13" t="str">
        <f t="shared" si="2"/>
        <v/>
      </c>
      <c r="AY54" s="13" t="str">
        <f t="shared" si="3"/>
        <v/>
      </c>
    </row>
    <row r="55" spans="1:51" x14ac:dyDescent="0.25">
      <c r="A55" s="8">
        <v>52</v>
      </c>
      <c r="B55" s="2" t="str">
        <f>IF('Student List'!C61="","",CONCATENATE(Midterm!B57,", ",Midterm!C57))</f>
        <v/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55"/>
      <c r="AV55" s="13" t="str">
        <f t="shared" si="0"/>
        <v/>
      </c>
      <c r="AW55" s="13" t="str">
        <f t="shared" si="1"/>
        <v/>
      </c>
      <c r="AX55" s="13" t="str">
        <f t="shared" si="2"/>
        <v/>
      </c>
      <c r="AY55" s="13" t="str">
        <f t="shared" si="3"/>
        <v/>
      </c>
    </row>
    <row r="56" spans="1:51" x14ac:dyDescent="0.25">
      <c r="A56" s="8">
        <v>53</v>
      </c>
      <c r="B56" s="2" t="str">
        <f>IF('Student List'!C62="","",CONCATENATE(Midterm!B58,", ",Midterm!C58))</f>
        <v/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55"/>
      <c r="AV56" s="13" t="str">
        <f t="shared" si="0"/>
        <v/>
      </c>
      <c r="AW56" s="13" t="str">
        <f t="shared" si="1"/>
        <v/>
      </c>
      <c r="AX56" s="13" t="str">
        <f t="shared" si="2"/>
        <v/>
      </c>
      <c r="AY56" s="13" t="str">
        <f t="shared" si="3"/>
        <v/>
      </c>
    </row>
    <row r="57" spans="1:51" x14ac:dyDescent="0.25">
      <c r="A57" s="8">
        <v>54</v>
      </c>
      <c r="B57" s="2" t="str">
        <f>IF('Student List'!C63="","",CONCATENATE(Midterm!B59,", ",Midterm!C59))</f>
        <v/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55"/>
      <c r="AV57" s="13" t="str">
        <f t="shared" si="0"/>
        <v/>
      </c>
      <c r="AW57" s="13" t="str">
        <f t="shared" si="1"/>
        <v/>
      </c>
      <c r="AX57" s="13" t="str">
        <f t="shared" si="2"/>
        <v/>
      </c>
      <c r="AY57" s="13" t="str">
        <f t="shared" si="3"/>
        <v/>
      </c>
    </row>
    <row r="58" spans="1:51" x14ac:dyDescent="0.25">
      <c r="A58" s="8">
        <v>55</v>
      </c>
      <c r="B58" s="2" t="str">
        <f>IF('Student List'!C64="","",CONCATENATE(Midterm!B60,", ",Midterm!C60))</f>
        <v/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55"/>
      <c r="AV58" s="13" t="str">
        <f t="shared" si="0"/>
        <v/>
      </c>
      <c r="AW58" s="13" t="str">
        <f t="shared" si="1"/>
        <v/>
      </c>
      <c r="AX58" s="13" t="str">
        <f t="shared" si="2"/>
        <v/>
      </c>
      <c r="AY58" s="13" t="str">
        <f t="shared" si="3"/>
        <v/>
      </c>
    </row>
    <row r="59" spans="1:51" x14ac:dyDescent="0.25">
      <c r="A59" s="8">
        <v>56</v>
      </c>
      <c r="B59" s="2" t="str">
        <f>IF('Student List'!C65="","",CONCATENATE(Midterm!B61,", ",Midterm!C61))</f>
        <v/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55"/>
      <c r="AV59" s="13" t="str">
        <f t="shared" si="0"/>
        <v/>
      </c>
      <c r="AW59" s="13" t="str">
        <f t="shared" si="1"/>
        <v/>
      </c>
      <c r="AX59" s="13" t="str">
        <f t="shared" si="2"/>
        <v/>
      </c>
      <c r="AY59" s="13" t="str">
        <f t="shared" si="3"/>
        <v/>
      </c>
    </row>
    <row r="60" spans="1:51" x14ac:dyDescent="0.25">
      <c r="A60" s="8">
        <v>57</v>
      </c>
      <c r="B60" s="2" t="str">
        <f>IF('Student List'!C66="","",CONCATENATE(Midterm!B62,", ",Midterm!C62))</f>
        <v/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55"/>
      <c r="AV60" s="13" t="str">
        <f t="shared" si="0"/>
        <v/>
      </c>
      <c r="AW60" s="13" t="str">
        <f t="shared" si="1"/>
        <v/>
      </c>
      <c r="AX60" s="13" t="str">
        <f t="shared" si="2"/>
        <v/>
      </c>
      <c r="AY60" s="13" t="str">
        <f t="shared" si="3"/>
        <v/>
      </c>
    </row>
    <row r="61" spans="1:51" x14ac:dyDescent="0.25">
      <c r="A61" s="8">
        <v>58</v>
      </c>
      <c r="B61" s="2" t="str">
        <f>IF('Student List'!C67="","",CONCATENATE(Midterm!B63,", ",Midterm!C63))</f>
        <v/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55"/>
      <c r="AV61" s="13" t="str">
        <f t="shared" si="0"/>
        <v/>
      </c>
      <c r="AW61" s="13" t="str">
        <f t="shared" si="1"/>
        <v/>
      </c>
      <c r="AX61" s="13" t="str">
        <f t="shared" si="2"/>
        <v/>
      </c>
      <c r="AY61" s="13" t="str">
        <f t="shared" si="3"/>
        <v/>
      </c>
    </row>
    <row r="62" spans="1:51" x14ac:dyDescent="0.25">
      <c r="A62" s="8">
        <v>59</v>
      </c>
      <c r="B62" s="2" t="str">
        <f>IF('Student List'!C68="","",CONCATENATE(Midterm!B64,", ",Midterm!C64))</f>
        <v/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55"/>
      <c r="AV62" s="13" t="str">
        <f t="shared" si="0"/>
        <v/>
      </c>
      <c r="AW62" s="13" t="str">
        <f t="shared" si="1"/>
        <v/>
      </c>
      <c r="AX62" s="13" t="str">
        <f t="shared" si="2"/>
        <v/>
      </c>
      <c r="AY62" s="13" t="str">
        <f t="shared" si="3"/>
        <v/>
      </c>
    </row>
    <row r="63" spans="1:51" x14ac:dyDescent="0.25">
      <c r="A63" s="8">
        <v>60</v>
      </c>
      <c r="B63" s="2" t="str">
        <f>IF('Student List'!C69="","",CONCATENATE(Midterm!B65,", ",Midterm!C65))</f>
        <v/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55"/>
      <c r="AV63" s="13" t="str">
        <f t="shared" si="0"/>
        <v/>
      </c>
      <c r="AW63" s="13" t="str">
        <f t="shared" si="1"/>
        <v/>
      </c>
      <c r="AX63" s="13" t="str">
        <f t="shared" si="2"/>
        <v/>
      </c>
      <c r="AY63" s="13" t="str">
        <f t="shared" si="3"/>
        <v/>
      </c>
    </row>
    <row r="64" spans="1:51" x14ac:dyDescent="0.25">
      <c r="A64" s="8">
        <v>61</v>
      </c>
      <c r="B64" s="2" t="str">
        <f>IF('Student List'!C70="","",CONCATENATE(Midterm!B66,", ",Midterm!C66))</f>
        <v/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55"/>
      <c r="AV64" s="13" t="str">
        <f t="shared" si="0"/>
        <v/>
      </c>
      <c r="AW64" s="13" t="str">
        <f t="shared" si="1"/>
        <v/>
      </c>
      <c r="AX64" s="13" t="str">
        <f t="shared" si="2"/>
        <v/>
      </c>
      <c r="AY64" s="13" t="str">
        <f t="shared" si="3"/>
        <v/>
      </c>
    </row>
    <row r="65" spans="1:51" x14ac:dyDescent="0.25">
      <c r="A65" s="8">
        <v>62</v>
      </c>
      <c r="B65" s="2" t="str">
        <f>IF('Student List'!C71="","",CONCATENATE(Midterm!B67,", ",Midterm!C67))</f>
        <v/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55"/>
      <c r="AV65" s="13" t="str">
        <f t="shared" si="0"/>
        <v/>
      </c>
      <c r="AW65" s="13" t="str">
        <f t="shared" si="1"/>
        <v/>
      </c>
      <c r="AX65" s="13" t="str">
        <f t="shared" si="2"/>
        <v/>
      </c>
      <c r="AY65" s="13" t="str">
        <f t="shared" si="3"/>
        <v/>
      </c>
    </row>
    <row r="66" spans="1:51" x14ac:dyDescent="0.25">
      <c r="A66" s="8">
        <v>63</v>
      </c>
      <c r="B66" s="2" t="str">
        <f>IF('Student List'!C72="","",CONCATENATE(Midterm!B68,", ",Midterm!C68))</f>
        <v/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55"/>
      <c r="AV66" s="13" t="str">
        <f t="shared" si="0"/>
        <v/>
      </c>
      <c r="AW66" s="13" t="str">
        <f t="shared" si="1"/>
        <v/>
      </c>
      <c r="AX66" s="13" t="str">
        <f t="shared" si="2"/>
        <v/>
      </c>
      <c r="AY66" s="13" t="str">
        <f t="shared" si="3"/>
        <v/>
      </c>
    </row>
    <row r="67" spans="1:51" x14ac:dyDescent="0.25">
      <c r="A67" s="8">
        <v>64</v>
      </c>
      <c r="B67" s="2" t="str">
        <f>IF('Student List'!C73="","",CONCATENATE(Midterm!B69,", ",Midterm!C69))</f>
        <v/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55"/>
      <c r="AV67" s="13" t="str">
        <f t="shared" si="0"/>
        <v/>
      </c>
      <c r="AW67" s="13" t="str">
        <f t="shared" si="1"/>
        <v/>
      </c>
      <c r="AX67" s="13" t="str">
        <f t="shared" si="2"/>
        <v/>
      </c>
      <c r="AY67" s="13" t="str">
        <f t="shared" si="3"/>
        <v/>
      </c>
    </row>
    <row r="68" spans="1:51" x14ac:dyDescent="0.25">
      <c r="A68" s="8">
        <v>65</v>
      </c>
      <c r="B68" s="2" t="str">
        <f>IF('Student List'!C74="","",CONCATENATE(Midterm!B70,", ",Midterm!C70))</f>
        <v/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55"/>
      <c r="AV68" s="13" t="str">
        <f t="shared" si="0"/>
        <v/>
      </c>
      <c r="AW68" s="13" t="str">
        <f t="shared" si="1"/>
        <v/>
      </c>
      <c r="AX68" s="13" t="str">
        <f t="shared" si="2"/>
        <v/>
      </c>
      <c r="AY68" s="13" t="str">
        <f t="shared" si="3"/>
        <v/>
      </c>
    </row>
    <row r="69" spans="1:51" x14ac:dyDescent="0.25">
      <c r="A69" s="8">
        <v>66</v>
      </c>
      <c r="B69" s="2" t="str">
        <f>IF('Student List'!C75="","",CONCATENATE(Midterm!B71,", ",Midterm!C71))</f>
        <v/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55"/>
      <c r="AV69" s="13" t="str">
        <f t="shared" ref="AV69:AV90" si="4">IF(B69="","",SUMPRODUCT(($C$2:$AU$2&lt;&gt;"")*(LEN(C69:AU69)-LEN(SUBSTITUTE(UPPER(C69:AU69),"P","")))))</f>
        <v/>
      </c>
      <c r="AW69" s="13" t="str">
        <f t="shared" ref="AW69:AW90" si="5">IF(B69="","",SUMPRODUCT(($C$2:$AU$2&lt;&gt;"")*(LEN(C69:AU69)-LEN(SUBSTITUTE(UPPER(C69:AU69),"L","")))))</f>
        <v/>
      </c>
      <c r="AX69" s="13" t="str">
        <f t="shared" ref="AX69:AX90" si="6">IF(B69="","",SUMPRODUCT(($C$2:$AU$2&lt;&gt;"")*(LEN(C69:AU69)-LEN(SUBSTITUTE(UPPER(C69:AU69),"E","")))))</f>
        <v/>
      </c>
      <c r="AY69" s="13" t="str">
        <f t="shared" ref="AY69:AY90" si="7">IF(B69="","",SUMPRODUCT(($C$2:$AU$2&lt;&gt;"")*((LEN(C69:AU69)-LEN(SUBSTITUTE(UPPER(C69:AU69),"A","")))+(C69:AU69=""))))</f>
        <v/>
      </c>
    </row>
    <row r="70" spans="1:51" x14ac:dyDescent="0.25">
      <c r="A70" s="8">
        <v>67</v>
      </c>
      <c r="B70" s="2" t="str">
        <f>IF('Student List'!C76="","",CONCATENATE(Midterm!B72,", ",Midterm!C72))</f>
        <v/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55"/>
      <c r="AV70" s="13" t="str">
        <f t="shared" si="4"/>
        <v/>
      </c>
      <c r="AW70" s="13" t="str">
        <f t="shared" si="5"/>
        <v/>
      </c>
      <c r="AX70" s="13" t="str">
        <f t="shared" si="6"/>
        <v/>
      </c>
      <c r="AY70" s="13" t="str">
        <f t="shared" si="7"/>
        <v/>
      </c>
    </row>
    <row r="71" spans="1:51" x14ac:dyDescent="0.25">
      <c r="A71" s="8">
        <v>68</v>
      </c>
      <c r="B71" s="2" t="str">
        <f>IF('Student List'!C77="","",CONCATENATE(Midterm!B73,", ",Midterm!C73))</f>
        <v/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55"/>
      <c r="AV71" s="13" t="str">
        <f t="shared" si="4"/>
        <v/>
      </c>
      <c r="AW71" s="13" t="str">
        <f t="shared" si="5"/>
        <v/>
      </c>
      <c r="AX71" s="13" t="str">
        <f t="shared" si="6"/>
        <v/>
      </c>
      <c r="AY71" s="13" t="str">
        <f t="shared" si="7"/>
        <v/>
      </c>
    </row>
    <row r="72" spans="1:51" x14ac:dyDescent="0.25">
      <c r="A72" s="8">
        <v>69</v>
      </c>
      <c r="B72" s="2" t="str">
        <f>IF('Student List'!C78="","",CONCATENATE(Midterm!B74,", ",Midterm!C74))</f>
        <v/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55"/>
      <c r="AV72" s="13" t="str">
        <f t="shared" si="4"/>
        <v/>
      </c>
      <c r="AW72" s="13" t="str">
        <f t="shared" si="5"/>
        <v/>
      </c>
      <c r="AX72" s="13" t="str">
        <f t="shared" si="6"/>
        <v/>
      </c>
      <c r="AY72" s="13" t="str">
        <f t="shared" si="7"/>
        <v/>
      </c>
    </row>
    <row r="73" spans="1:51" x14ac:dyDescent="0.25">
      <c r="A73" s="8">
        <v>70</v>
      </c>
      <c r="B73" s="2" t="str">
        <f>IF('Student List'!C79="","",CONCATENATE(Midterm!B75,", ",Midterm!C75))</f>
        <v/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55"/>
      <c r="AV73" s="13" t="str">
        <f t="shared" si="4"/>
        <v/>
      </c>
      <c r="AW73" s="13" t="str">
        <f t="shared" si="5"/>
        <v/>
      </c>
      <c r="AX73" s="13" t="str">
        <f t="shared" si="6"/>
        <v/>
      </c>
      <c r="AY73" s="13" t="str">
        <f t="shared" si="7"/>
        <v/>
      </c>
    </row>
    <row r="74" spans="1:51" x14ac:dyDescent="0.25">
      <c r="A74" s="8">
        <v>71</v>
      </c>
      <c r="B74" s="2" t="str">
        <f>IF('Student List'!C80="","",CONCATENATE(Midterm!B76,", ",Midterm!C76))</f>
        <v/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55"/>
      <c r="AV74" s="13" t="str">
        <f t="shared" si="4"/>
        <v/>
      </c>
      <c r="AW74" s="13" t="str">
        <f t="shared" si="5"/>
        <v/>
      </c>
      <c r="AX74" s="13" t="str">
        <f t="shared" si="6"/>
        <v/>
      </c>
      <c r="AY74" s="13" t="str">
        <f t="shared" si="7"/>
        <v/>
      </c>
    </row>
    <row r="75" spans="1:51" x14ac:dyDescent="0.25">
      <c r="A75" s="8">
        <v>72</v>
      </c>
      <c r="B75" s="2" t="str">
        <f>IF('Student List'!C81="","",CONCATENATE(Midterm!B77,", ",Midterm!C77))</f>
        <v/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55"/>
      <c r="AV75" s="13" t="str">
        <f t="shared" si="4"/>
        <v/>
      </c>
      <c r="AW75" s="13" t="str">
        <f t="shared" si="5"/>
        <v/>
      </c>
      <c r="AX75" s="13" t="str">
        <f t="shared" si="6"/>
        <v/>
      </c>
      <c r="AY75" s="13" t="str">
        <f t="shared" si="7"/>
        <v/>
      </c>
    </row>
    <row r="76" spans="1:51" x14ac:dyDescent="0.25">
      <c r="A76" s="8">
        <v>73</v>
      </c>
      <c r="B76" s="2" t="str">
        <f>IF('Student List'!C82="","",CONCATENATE(Midterm!B78,", ",Midterm!C78))</f>
        <v/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55"/>
      <c r="AV76" s="13" t="str">
        <f t="shared" si="4"/>
        <v/>
      </c>
      <c r="AW76" s="13" t="str">
        <f t="shared" si="5"/>
        <v/>
      </c>
      <c r="AX76" s="13" t="str">
        <f t="shared" si="6"/>
        <v/>
      </c>
      <c r="AY76" s="13" t="str">
        <f t="shared" si="7"/>
        <v/>
      </c>
    </row>
    <row r="77" spans="1:51" x14ac:dyDescent="0.25">
      <c r="A77" s="8">
        <v>74</v>
      </c>
      <c r="B77" s="2" t="str">
        <f>IF('Student List'!C83="","",CONCATENATE(Midterm!B79,", ",Midterm!C79))</f>
        <v/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55"/>
      <c r="AV77" s="13" t="str">
        <f t="shared" si="4"/>
        <v/>
      </c>
      <c r="AW77" s="13" t="str">
        <f t="shared" si="5"/>
        <v/>
      </c>
      <c r="AX77" s="13" t="str">
        <f t="shared" si="6"/>
        <v/>
      </c>
      <c r="AY77" s="13" t="str">
        <f t="shared" si="7"/>
        <v/>
      </c>
    </row>
    <row r="78" spans="1:51" x14ac:dyDescent="0.25">
      <c r="A78" s="8">
        <v>75</v>
      </c>
      <c r="B78" s="2" t="str">
        <f>IF('Student List'!C84="","",CONCATENATE(Midterm!B80,", ",Midterm!C80))</f>
        <v/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55"/>
      <c r="AV78" s="13" t="str">
        <f t="shared" si="4"/>
        <v/>
      </c>
      <c r="AW78" s="13" t="str">
        <f t="shared" si="5"/>
        <v/>
      </c>
      <c r="AX78" s="13" t="str">
        <f t="shared" si="6"/>
        <v/>
      </c>
      <c r="AY78" s="13" t="str">
        <f t="shared" si="7"/>
        <v/>
      </c>
    </row>
    <row r="79" spans="1:51" x14ac:dyDescent="0.25">
      <c r="A79" s="8">
        <v>76</v>
      </c>
      <c r="B79" s="2" t="str">
        <f>IF('Student List'!C85="","",CONCATENATE(Midterm!B81,", ",Midterm!C81))</f>
        <v/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55"/>
      <c r="AV79" s="13" t="str">
        <f t="shared" si="4"/>
        <v/>
      </c>
      <c r="AW79" s="13" t="str">
        <f t="shared" si="5"/>
        <v/>
      </c>
      <c r="AX79" s="13" t="str">
        <f t="shared" si="6"/>
        <v/>
      </c>
      <c r="AY79" s="13" t="str">
        <f t="shared" si="7"/>
        <v/>
      </c>
    </row>
    <row r="80" spans="1:51" x14ac:dyDescent="0.25">
      <c r="A80" s="8">
        <v>77</v>
      </c>
      <c r="B80" s="2" t="str">
        <f>IF('Student List'!C86="","",CONCATENATE(Midterm!B82,", ",Midterm!C82))</f>
        <v/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55"/>
      <c r="AV80" s="13" t="str">
        <f t="shared" si="4"/>
        <v/>
      </c>
      <c r="AW80" s="13" t="str">
        <f t="shared" si="5"/>
        <v/>
      </c>
      <c r="AX80" s="13" t="str">
        <f t="shared" si="6"/>
        <v/>
      </c>
      <c r="AY80" s="13" t="str">
        <f t="shared" si="7"/>
        <v/>
      </c>
    </row>
    <row r="81" spans="1:51" x14ac:dyDescent="0.25">
      <c r="A81" s="8">
        <v>78</v>
      </c>
      <c r="B81" s="2" t="str">
        <f>IF('Student List'!C87="","",CONCATENATE(Midterm!B83,", ",Midterm!C83))</f>
        <v/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55"/>
      <c r="AV81" s="13" t="str">
        <f t="shared" si="4"/>
        <v/>
      </c>
      <c r="AW81" s="13" t="str">
        <f t="shared" si="5"/>
        <v/>
      </c>
      <c r="AX81" s="13" t="str">
        <f t="shared" si="6"/>
        <v/>
      </c>
      <c r="AY81" s="13" t="str">
        <f t="shared" si="7"/>
        <v/>
      </c>
    </row>
    <row r="82" spans="1:51" x14ac:dyDescent="0.25">
      <c r="A82" s="8">
        <v>79</v>
      </c>
      <c r="B82" s="2" t="str">
        <f>IF('Student List'!C88="","",CONCATENATE(Midterm!B84,", ",Midterm!C84))</f>
        <v/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55"/>
      <c r="AV82" s="13" t="str">
        <f t="shared" si="4"/>
        <v/>
      </c>
      <c r="AW82" s="13" t="str">
        <f t="shared" si="5"/>
        <v/>
      </c>
      <c r="AX82" s="13" t="str">
        <f t="shared" si="6"/>
        <v/>
      </c>
      <c r="AY82" s="13" t="str">
        <f t="shared" si="7"/>
        <v/>
      </c>
    </row>
    <row r="83" spans="1:51" x14ac:dyDescent="0.25">
      <c r="A83" s="8">
        <v>80</v>
      </c>
      <c r="B83" s="2" t="str">
        <f>IF('Student List'!C89="","",CONCATENATE(Midterm!B85,", ",Midterm!C85))</f>
        <v/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55"/>
      <c r="AV83" s="13" t="str">
        <f t="shared" si="4"/>
        <v/>
      </c>
      <c r="AW83" s="13" t="str">
        <f t="shared" si="5"/>
        <v/>
      </c>
      <c r="AX83" s="13" t="str">
        <f t="shared" si="6"/>
        <v/>
      </c>
      <c r="AY83" s="13" t="str">
        <f t="shared" si="7"/>
        <v/>
      </c>
    </row>
    <row r="84" spans="1:51" x14ac:dyDescent="0.25">
      <c r="A84" s="8">
        <v>81</v>
      </c>
      <c r="B84" s="2" t="str">
        <f>IF('Student List'!C90="","",CONCATENATE(Midterm!B86,", ",Midterm!C86))</f>
        <v/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55"/>
      <c r="AV84" s="13" t="str">
        <f t="shared" si="4"/>
        <v/>
      </c>
      <c r="AW84" s="13" t="str">
        <f t="shared" si="5"/>
        <v/>
      </c>
      <c r="AX84" s="13" t="str">
        <f t="shared" si="6"/>
        <v/>
      </c>
      <c r="AY84" s="13" t="str">
        <f t="shared" si="7"/>
        <v/>
      </c>
    </row>
    <row r="85" spans="1:51" x14ac:dyDescent="0.25">
      <c r="A85" s="8">
        <v>82</v>
      </c>
      <c r="B85" s="2" t="str">
        <f>IF('Student List'!C91="","",CONCATENATE(Midterm!B87,", ",Midterm!C87))</f>
        <v/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55"/>
      <c r="AV85" s="13" t="str">
        <f t="shared" si="4"/>
        <v/>
      </c>
      <c r="AW85" s="13" t="str">
        <f t="shared" si="5"/>
        <v/>
      </c>
      <c r="AX85" s="13" t="str">
        <f t="shared" si="6"/>
        <v/>
      </c>
      <c r="AY85" s="13" t="str">
        <f t="shared" si="7"/>
        <v/>
      </c>
    </row>
    <row r="86" spans="1:51" x14ac:dyDescent="0.25">
      <c r="A86" s="8">
        <v>83</v>
      </c>
      <c r="B86" s="2" t="str">
        <f>IF('Student List'!C92="","",CONCATENATE(Midterm!B88,", ",Midterm!C88))</f>
        <v/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55"/>
      <c r="AV86" s="13" t="str">
        <f t="shared" si="4"/>
        <v/>
      </c>
      <c r="AW86" s="13" t="str">
        <f t="shared" si="5"/>
        <v/>
      </c>
      <c r="AX86" s="13" t="str">
        <f t="shared" si="6"/>
        <v/>
      </c>
      <c r="AY86" s="13" t="str">
        <f t="shared" si="7"/>
        <v/>
      </c>
    </row>
    <row r="87" spans="1:51" x14ac:dyDescent="0.25">
      <c r="A87" s="8">
        <v>84</v>
      </c>
      <c r="B87" s="2" t="str">
        <f>IF('Student List'!C93="","",CONCATENATE(Midterm!B89,", ",Midterm!C89))</f>
        <v/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55"/>
      <c r="AV87" s="13" t="str">
        <f t="shared" si="4"/>
        <v/>
      </c>
      <c r="AW87" s="13" t="str">
        <f t="shared" si="5"/>
        <v/>
      </c>
      <c r="AX87" s="13" t="str">
        <f t="shared" si="6"/>
        <v/>
      </c>
      <c r="AY87" s="13" t="str">
        <f t="shared" si="7"/>
        <v/>
      </c>
    </row>
    <row r="88" spans="1:51" x14ac:dyDescent="0.25">
      <c r="A88" s="8">
        <v>85</v>
      </c>
      <c r="B88" s="2" t="str">
        <f>IF('Student List'!C94="","",CONCATENATE(Midterm!B90,", ",Midterm!C90))</f>
        <v/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55"/>
      <c r="AV88" s="13" t="str">
        <f t="shared" si="4"/>
        <v/>
      </c>
      <c r="AW88" s="13" t="str">
        <f t="shared" si="5"/>
        <v/>
      </c>
      <c r="AX88" s="13" t="str">
        <f t="shared" si="6"/>
        <v/>
      </c>
      <c r="AY88" s="13" t="str">
        <f t="shared" si="7"/>
        <v/>
      </c>
    </row>
    <row r="89" spans="1:51" hidden="1" x14ac:dyDescent="0.25">
      <c r="A89" s="8">
        <v>86</v>
      </c>
      <c r="B89" s="2" t="str">
        <f>IF('Student List'!C95="","",CONCATENATE(Midterm!B91,", ",Midterm!C91))</f>
        <v/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55"/>
      <c r="AV89" s="13" t="str">
        <f t="shared" si="4"/>
        <v/>
      </c>
      <c r="AW89" s="13" t="str">
        <f t="shared" si="5"/>
        <v/>
      </c>
      <c r="AX89" s="13" t="str">
        <f t="shared" si="6"/>
        <v/>
      </c>
      <c r="AY89" s="13" t="str">
        <f t="shared" si="7"/>
        <v/>
      </c>
    </row>
    <row r="90" spans="1:51" hidden="1" x14ac:dyDescent="0.25">
      <c r="A90" s="8">
        <v>87</v>
      </c>
      <c r="B90" s="2" t="str">
        <f>IF('Student List'!C96="","",CONCATENATE(Midterm!B92,", ",Midterm!C92))</f>
        <v/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55"/>
      <c r="AV90" s="13" t="str">
        <f t="shared" si="4"/>
        <v/>
      </c>
      <c r="AW90" s="13" t="str">
        <f t="shared" si="5"/>
        <v/>
      </c>
      <c r="AX90" s="13" t="str">
        <f t="shared" si="6"/>
        <v/>
      </c>
      <c r="AY90" s="13" t="str">
        <f t="shared" si="7"/>
        <v/>
      </c>
    </row>
  </sheetData>
  <sheetProtection algorithmName="SHA-512" hashValue="hw06cYyCgESBHtEmoIQKiUjiN+NrlVjyquRiKhRxDEpGVO0NA0eXXz0n79D6s2gLwOg1SWL+SYI+6FmQy2kEgg==" saltValue="qs96w0XBM7/eVnGji7jtTg==" spinCount="100000" sheet="1" objects="1" scenarios="1" formatRows="0"/>
  <mergeCells count="3">
    <mergeCell ref="C1:AU1"/>
    <mergeCell ref="A1:B2"/>
    <mergeCell ref="AV1:AY2"/>
  </mergeCells>
  <phoneticPr fontId="3" type="noConversion"/>
  <conditionalFormatting sqref="C4:AU90">
    <cfRule type="cellIs" dxfId="23" priority="2" operator="equal">
      <formula>"E"</formula>
    </cfRule>
    <cfRule type="cellIs" dxfId="22" priority="3" operator="equal">
      <formula>"L"</formula>
    </cfRule>
    <cfRule type="cellIs" dxfId="21" priority="4" operator="equal">
      <formula>"A"</formula>
    </cfRule>
    <cfRule type="cellIs" dxfId="20" priority="5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8B8D-D18E-46DC-8FF3-FA35E61E2C1D}">
  <sheetPr codeName="Sheet9">
    <pageSetUpPr fitToPage="1"/>
  </sheetPr>
  <dimension ref="A1:Y143"/>
  <sheetViews>
    <sheetView showGridLines="0" tabSelected="1" zoomScale="145" zoomScaleNormal="145" workbookViewId="0">
      <selection activeCell="G15" sqref="G15"/>
    </sheetView>
  </sheetViews>
  <sheetFormatPr defaultColWidth="0" defaultRowHeight="15" zeroHeight="1" x14ac:dyDescent="0.25"/>
  <cols>
    <col min="1" max="1" width="6.7109375" style="21" customWidth="1"/>
    <col min="2" max="2" width="15.7109375" style="21" customWidth="1"/>
    <col min="3" max="3" width="36.28515625" style="23" customWidth="1"/>
    <col min="4" max="6" width="7.28515625" style="21" customWidth="1"/>
    <col min="7" max="11" width="7.28515625" style="1" customWidth="1"/>
    <col min="12" max="12" width="6.28515625" hidden="1" customWidth="1"/>
    <col min="13" max="13" width="7" customWidth="1"/>
    <col min="14" max="14" width="16" style="1" customWidth="1"/>
    <col min="15" max="15" width="11.140625" customWidth="1"/>
    <col min="16" max="16" width="30.42578125" customWidth="1"/>
    <col min="17" max="17" width="11" hidden="1" customWidth="1"/>
    <col min="18" max="25" width="18.7109375" hidden="1" customWidth="1"/>
    <col min="26" max="16384" width="9.140625" hidden="1"/>
  </cols>
  <sheetData>
    <row r="1" spans="1:18" x14ac:dyDescent="0.25"/>
    <row r="2" spans="1:18" ht="23.25" x14ac:dyDescent="0.25">
      <c r="C2" s="139" t="s">
        <v>389</v>
      </c>
      <c r="D2" s="136"/>
      <c r="E2" s="136"/>
      <c r="F2" s="136"/>
      <c r="H2" s="131"/>
      <c r="I2" s="131"/>
      <c r="J2" s="131"/>
      <c r="K2" s="131"/>
      <c r="L2" s="267" t="str">
        <f>Info!B12 &amp; ", Academic Year " &amp;Info!B11</f>
        <v>First Semester, Academic Year 2024-2025</v>
      </c>
      <c r="M2" s="267"/>
      <c r="N2" s="267"/>
      <c r="O2" s="267"/>
      <c r="P2" s="267"/>
    </row>
    <row r="3" spans="1:18" ht="21" x14ac:dyDescent="0.25">
      <c r="C3" s="140" t="str">
        <f>MID(Info!B16, FIND(" ", Info!B16) + 1, LEN(Info!B16) - FIND(" ", Info!B16)) &amp; " Campus"</f>
        <v>Bacolor Campus</v>
      </c>
      <c r="D3" s="137"/>
      <c r="E3" s="137"/>
      <c r="F3" s="137"/>
      <c r="G3" s="53"/>
      <c r="H3" s="132"/>
      <c r="I3" s="132"/>
      <c r="J3" s="132"/>
      <c r="K3" s="132"/>
      <c r="L3" s="268" t="str">
        <f>IF(Info!B13="","",Info!B13)</f>
        <v>Tuesday 3:30 - 5:00 pm, Friday 2:00 - 3:30 pm</v>
      </c>
      <c r="M3" s="268"/>
      <c r="N3" s="268"/>
      <c r="O3" s="268"/>
      <c r="P3" s="268"/>
    </row>
    <row r="4" spans="1:18" ht="15.75" customHeight="1" x14ac:dyDescent="0.25">
      <c r="C4" s="135"/>
      <c r="D4" s="81"/>
      <c r="E4" s="81"/>
      <c r="F4" s="81"/>
      <c r="G4" s="82"/>
      <c r="H4" s="82"/>
      <c r="I4" s="82"/>
      <c r="J4" s="82"/>
      <c r="K4" s="82"/>
      <c r="L4" s="268">
        <f>Info!B3</f>
        <v>0</v>
      </c>
      <c r="M4" s="268"/>
      <c r="N4" s="268"/>
      <c r="O4" s="268"/>
      <c r="P4" s="268"/>
    </row>
    <row r="5" spans="1:18" x14ac:dyDescent="0.25">
      <c r="C5" s="269" t="str">
        <f>Info!B17</f>
        <v>College of Education</v>
      </c>
      <c r="D5" s="269"/>
      <c r="E5" s="269"/>
      <c r="F5" s="269"/>
      <c r="G5" s="269"/>
      <c r="H5" s="269"/>
      <c r="I5" s="269"/>
      <c r="J5" s="269"/>
      <c r="K5" s="269"/>
      <c r="L5" s="268" t="str">
        <f>Info!B4</f>
        <v>Non-board program</v>
      </c>
      <c r="M5" s="268"/>
      <c r="N5" s="268"/>
      <c r="O5" s="268"/>
      <c r="P5" s="268"/>
    </row>
    <row r="6" spans="1:18" x14ac:dyDescent="0.25">
      <c r="C6" s="138" t="str">
        <f>IF(Info!B20="", Info!B19, Info!B19 &amp; " major in " &amp; Info!B20)</f>
        <v>Bachelor of Secondary Education</v>
      </c>
      <c r="D6" s="138"/>
      <c r="E6" s="138"/>
      <c r="F6" s="138"/>
      <c r="G6" s="138"/>
      <c r="H6" s="138"/>
      <c r="I6" s="138"/>
      <c r="J6" s="138"/>
      <c r="K6" s="138"/>
      <c r="L6" s="129"/>
      <c r="M6" s="162"/>
      <c r="N6" s="129"/>
      <c r="O6" s="129"/>
      <c r="P6" s="129"/>
    </row>
    <row r="7" spans="1:18" ht="12.75" customHeight="1" x14ac:dyDescent="0.25">
      <c r="L7" s="129"/>
      <c r="M7" s="162"/>
      <c r="N7" s="129"/>
      <c r="O7" s="129"/>
      <c r="P7" s="129"/>
    </row>
    <row r="8" spans="1:18" x14ac:dyDescent="0.25">
      <c r="C8" s="270" t="str">
        <f>"CLASS RECORD SUMMARY for " &amp; Info!B6 &amp; ": " &amp; Info!B9 &amp; " (" &amp; Info!B8 &amp; ")"</f>
        <v>CLASS RECORD SUMMARY for : Modeling and Simulation (Lecture)</v>
      </c>
      <c r="D8" s="270"/>
      <c r="E8" s="270"/>
      <c r="F8" s="270"/>
      <c r="G8" s="270"/>
      <c r="H8" s="270"/>
      <c r="I8" s="270"/>
      <c r="J8" s="270"/>
      <c r="K8" s="270"/>
      <c r="L8" s="129"/>
      <c r="M8" s="162"/>
      <c r="N8" s="129"/>
      <c r="O8" s="129"/>
      <c r="P8" s="129"/>
    </row>
    <row r="9" spans="1:18" x14ac:dyDescent="0.25"/>
    <row r="10" spans="1:18" x14ac:dyDescent="0.25">
      <c r="A10" s="278" t="s">
        <v>25</v>
      </c>
      <c r="B10" s="284" t="s">
        <v>167</v>
      </c>
      <c r="C10" s="283" t="s">
        <v>60</v>
      </c>
      <c r="D10" s="286" t="s">
        <v>58</v>
      </c>
      <c r="E10" s="287"/>
      <c r="F10" s="287"/>
      <c r="G10" s="288"/>
      <c r="H10" s="289" t="s">
        <v>59</v>
      </c>
      <c r="I10" s="290"/>
      <c r="J10" s="290"/>
      <c r="K10" s="291"/>
      <c r="L10" s="292" t="s">
        <v>38</v>
      </c>
      <c r="M10" s="292" t="s">
        <v>386</v>
      </c>
      <c r="N10" s="279" t="s">
        <v>168</v>
      </c>
      <c r="O10" s="281" t="s">
        <v>43</v>
      </c>
      <c r="P10" s="276" t="s">
        <v>66</v>
      </c>
      <c r="Q10" s="272"/>
      <c r="R10" s="274"/>
    </row>
    <row r="11" spans="1:18" x14ac:dyDescent="0.25">
      <c r="A11" s="278"/>
      <c r="B11" s="285"/>
      <c r="C11" s="283"/>
      <c r="D11" s="44" t="s">
        <v>280</v>
      </c>
      <c r="E11" s="44" t="s">
        <v>279</v>
      </c>
      <c r="F11" s="44" t="s">
        <v>281</v>
      </c>
      <c r="G11" s="44" t="s">
        <v>130</v>
      </c>
      <c r="H11" s="45" t="s">
        <v>280</v>
      </c>
      <c r="I11" s="45" t="s">
        <v>279</v>
      </c>
      <c r="J11" s="45" t="s">
        <v>282</v>
      </c>
      <c r="K11" s="45" t="s">
        <v>131</v>
      </c>
      <c r="L11" s="293"/>
      <c r="M11" s="293"/>
      <c r="N11" s="280"/>
      <c r="O11" s="282"/>
      <c r="P11" s="277"/>
      <c r="Q11" s="273"/>
      <c r="R11" s="275"/>
    </row>
    <row r="12" spans="1:18" x14ac:dyDescent="0.25">
      <c r="A12" s="13">
        <v>1</v>
      </c>
      <c r="B12" s="13">
        <f>IF('Student List'!B10="","",'Student List'!B10)</f>
        <v>2010</v>
      </c>
      <c r="C12" s="22" t="str">
        <f>IF('Student List'!C10="","",'Student List'!C10)</f>
        <v>xx,xx</v>
      </c>
      <c r="D12" s="14">
        <f>MidCom!G6</f>
        <v>60</v>
      </c>
      <c r="E12" s="14">
        <f>MidCom!AL6</f>
        <v>96.9</v>
      </c>
      <c r="F12" s="14">
        <f>MidCom!AQ6</f>
        <v>75</v>
      </c>
      <c r="G12" s="17">
        <f>IF(MidCom!AT6="FA", "FA",
    IF(MidCom!AT6="DRP", "DRP",
    IF(MidCom!AT6="WF", "WF", MidCom!AS6)))</f>
        <v>89.5</v>
      </c>
      <c r="H12" s="17">
        <f>FinCom!G6</f>
        <v>60</v>
      </c>
      <c r="I12" s="17">
        <f>FinCom!AL6</f>
        <v>60</v>
      </c>
      <c r="J12" s="17">
        <f>FinCom!AQ6</f>
        <v>0</v>
      </c>
      <c r="K12" s="17">
        <f>IF(FinCom!AT6="FA","FA",
IF(FinCom!AT6="FA","FA",
IF(FinCom!AT6="DRP","DRP",
IF(FinCom!AT6="WF","WF",IF(FinCom!AT6="INC","INC",FinCom!AS6)))))</f>
        <v>6</v>
      </c>
      <c r="L12" s="48">
        <f>IF(SUM(MidCom!AR6,FinCom!AR6)=0,"",SUM(MidCom!AR6,FinCom!AR6))</f>
        <v>2</v>
      </c>
      <c r="M12" s="31">
        <v>2</v>
      </c>
      <c r="N12" s="17">
        <f>IF(C12="","",IF(G12="DRP","DRP",IF(G12="WF","WF",IF(K12="INC","INC",IF(OR(MidCom!AS6="ERR",FinCom!AS6="ERR"),"ERR",FLOOR(SUM(MidCom!AS6*Info!$B$34,FinCom!AS6*Info!$B$35,M12),1))))))</f>
        <v>49</v>
      </c>
      <c r="O12" s="17">
        <f>IF(C12="","",IF(G12="DRP","DRP",IF(G12="WF","WF",IF(K12="INC","INC",IF(K12="FA","FA",IF(N12&lt;75,5,VLOOKUP(_xlfn.FLOOR.MATH(N12,1),'New Grade Equivalent'!$A$3:$C$47,2,FALSE)))))))</f>
        <v>5</v>
      </c>
      <c r="P12" s="8" t="str">
        <f>IF(C12="","",VLOOKUP(O12,'New Grade Equivalent'!$B$3:$C$47,2,FALSE))</f>
        <v>Failed</v>
      </c>
      <c r="Q12" s="2"/>
      <c r="R12" s="2"/>
    </row>
    <row r="13" spans="1:18" x14ac:dyDescent="0.25">
      <c r="A13" s="13">
        <v>2</v>
      </c>
      <c r="B13" s="13" t="str">
        <f>IF('Student List'!B11="","",'Student List'!B11)</f>
        <v/>
      </c>
      <c r="C13" s="22" t="str">
        <f>IF('Student List'!C11="","",'Student List'!C11)</f>
        <v/>
      </c>
      <c r="D13" s="14" t="str">
        <f>MidCom!G7</f>
        <v/>
      </c>
      <c r="E13" s="14" t="str">
        <f>MidCom!AL7</f>
        <v/>
      </c>
      <c r="F13" s="14" t="str">
        <f>MidCom!AQ7</f>
        <v/>
      </c>
      <c r="G13" s="17" t="str">
        <f>IF(MidCom!AT7="FA", "FA",
    IF(MidCom!AT7="DRP", "DRP",
    IF(MidCom!AT7="WF", "WF", MidCom!AS7)))</f>
        <v/>
      </c>
      <c r="H13" s="17" t="str">
        <f>FinCom!G7</f>
        <v/>
      </c>
      <c r="I13" s="17" t="str">
        <f>FinCom!AL7</f>
        <v/>
      </c>
      <c r="J13" s="17" t="str">
        <f>FinCom!AQ7</f>
        <v/>
      </c>
      <c r="K13" s="17" t="str">
        <f>IF(FinCom!AT7="FA","FA",
IF(FinCom!AT7="FA","FA",
IF(FinCom!AT7="DRP","DRP",
IF(FinCom!AT7="WF","WF",IF(FinCom!AT7="INC","INC",FinCom!AS7)))))</f>
        <v/>
      </c>
      <c r="L13" s="48" t="str">
        <f>IF(SUM(MidCom!AR7,FinCom!AR7)=0,"",SUM(MidCom!AR7,FinCom!AR7))</f>
        <v/>
      </c>
      <c r="M13" s="31"/>
      <c r="N13" s="17" t="str">
        <f>IF(C13="","",IF(G13="DRP","DRP",IF(G13="WF","WF",IF(K13="INC","INC",IF(OR(MidCom!AS7="ERR",FinCom!AS7="ERR"),"ERR",FLOOR(SUM(MidCom!AS7*Info!$B$34,FinCom!AS7*Info!$B$35,M13),1))))))</f>
        <v/>
      </c>
      <c r="O13" s="17" t="str">
        <f>IF(C13="","",IF(G13="DRP","DRP",IF(G13="WF","WF",IF(K13="INC","INC",IF(K13="FA","FA",IF(N13&lt;75,5,VLOOKUP(_xlfn.FLOOR.MATH(N13,1),'New Grade Equivalent'!$A$3:$C$47,2,FALSE)))))))</f>
        <v/>
      </c>
      <c r="P13" s="8" t="str">
        <f>IF(C13="","",VLOOKUP(O13,'New Grade Equivalent'!$B$3:$C$47,2,FALSE))</f>
        <v/>
      </c>
      <c r="Q13" s="2"/>
      <c r="R13" s="2"/>
    </row>
    <row r="14" spans="1:18" x14ac:dyDescent="0.25">
      <c r="A14" s="13">
        <v>3</v>
      </c>
      <c r="B14" s="13" t="str">
        <f>IF('Student List'!B12="","",'Student List'!B12)</f>
        <v/>
      </c>
      <c r="C14" s="22" t="str">
        <f>IF('Student List'!C12="","",'Student List'!C12)</f>
        <v/>
      </c>
      <c r="D14" s="14" t="str">
        <f>MidCom!G8</f>
        <v/>
      </c>
      <c r="E14" s="14" t="str">
        <f>MidCom!AL8</f>
        <v/>
      </c>
      <c r="F14" s="14" t="str">
        <f>MidCom!AQ8</f>
        <v/>
      </c>
      <c r="G14" s="17" t="str">
        <f>IF(MidCom!AT8="FA", "FA",
    IF(MidCom!AT8="DRP", "DRP",
    IF(MidCom!AT8="WF", "WF", MidCom!AS8)))</f>
        <v/>
      </c>
      <c r="H14" s="17" t="str">
        <f>FinCom!G8</f>
        <v/>
      </c>
      <c r="I14" s="17" t="str">
        <f>FinCom!AL8</f>
        <v/>
      </c>
      <c r="J14" s="17" t="str">
        <f>FinCom!AQ8</f>
        <v/>
      </c>
      <c r="K14" s="17" t="str">
        <f>IF(FinCom!AT8="FA","FA",
IF(FinCom!AT8="FA","FA",
IF(FinCom!AT8="DRP","DRP",
IF(FinCom!AT8="WF","WF",IF(FinCom!AT8="INC","INC",FinCom!AS8)))))</f>
        <v/>
      </c>
      <c r="L14" s="48" t="str">
        <f>IF(SUM(MidCom!AR8,FinCom!AR8)=0,"",SUM(MidCom!AR8,FinCom!AR8))</f>
        <v/>
      </c>
      <c r="M14" s="31"/>
      <c r="N14" s="17" t="str">
        <f>IF(C14="","",IF(G14="DRP","DRP",IF(G14="WF","WF",IF(K14="INC","INC",IF(OR(MidCom!AS8="ERR",FinCom!AS8="ERR"),"ERR",FLOOR(SUM(MidCom!AS8*Info!$B$34,FinCom!AS8*Info!$B$35,M14),1))))))</f>
        <v/>
      </c>
      <c r="O14" s="17" t="str">
        <f>IF(C14="","",IF(G14="DRP","DRP",IF(G14="WF","WF",IF(K14="INC","INC",IF(K14="FA","FA",IF(N14&lt;75,5,VLOOKUP(_xlfn.FLOOR.MATH(N14,1),'New Grade Equivalent'!$A$3:$C$47,2,FALSE)))))))</f>
        <v/>
      </c>
      <c r="P14" s="8" t="str">
        <f>IF(C14="","",VLOOKUP(O14,'New Grade Equivalent'!$B$3:$C$47,2,FALSE))</f>
        <v/>
      </c>
      <c r="Q14" s="2"/>
      <c r="R14" s="2"/>
    </row>
    <row r="15" spans="1:18" x14ac:dyDescent="0.25">
      <c r="A15" s="13">
        <v>4</v>
      </c>
      <c r="B15" s="13" t="str">
        <f>IF('Student List'!B13="","",'Student List'!B13)</f>
        <v/>
      </c>
      <c r="C15" s="22" t="str">
        <f>IF('Student List'!C13="","",'Student List'!C13)</f>
        <v/>
      </c>
      <c r="D15" s="14" t="str">
        <f>MidCom!G9</f>
        <v/>
      </c>
      <c r="E15" s="14" t="str">
        <f>MidCom!AL9</f>
        <v/>
      </c>
      <c r="F15" s="14" t="str">
        <f>MidCom!AQ9</f>
        <v/>
      </c>
      <c r="G15" s="17" t="str">
        <f>IF(MidCom!AT9="FA", "FA",
    IF(MidCom!AT9="DRP", "DRP",
    IF(MidCom!AT9="WF", "WF", MidCom!AS9)))</f>
        <v/>
      </c>
      <c r="H15" s="17" t="str">
        <f>FinCom!G9</f>
        <v/>
      </c>
      <c r="I15" s="17" t="str">
        <f>FinCom!AL9</f>
        <v/>
      </c>
      <c r="J15" s="17" t="str">
        <f>FinCom!AQ9</f>
        <v/>
      </c>
      <c r="K15" s="17" t="str">
        <f>IF(FinCom!AT9="FA","FA",
IF(FinCom!AT9="FA","FA",
IF(FinCom!AT9="DRP","DRP",
IF(FinCom!AT9="WF","WF",IF(FinCom!AT9="INC","INC",FinCom!AS9)))))</f>
        <v/>
      </c>
      <c r="L15" s="48" t="str">
        <f>IF(SUM(MidCom!AR9,FinCom!AR9)=0,"",SUM(MidCom!AR9,FinCom!AR9))</f>
        <v/>
      </c>
      <c r="M15" s="31"/>
      <c r="N15" s="17" t="str">
        <f>IF(C15="","",IF(G15="DRP","DRP",IF(G15="WF","WF",IF(K15="INC","INC",IF(OR(MidCom!AS9="ERR",FinCom!AS9="ERR"),"ERR",FLOOR(SUM(MidCom!AS9*Info!$B$34,FinCom!AS9*Info!$B$35,M15),1))))))</f>
        <v/>
      </c>
      <c r="O15" s="17" t="str">
        <f>IF(C15="","",IF(G15="DRP","DRP",IF(G15="WF","WF",IF(K15="INC","INC",IF(K15="FA","FA",IF(N15&lt;75,5,VLOOKUP(_xlfn.FLOOR.MATH(N15,1),'New Grade Equivalent'!$A$3:$C$47,2,FALSE)))))))</f>
        <v/>
      </c>
      <c r="P15" s="8" t="str">
        <f>IF(C15="","",VLOOKUP(O15,'New Grade Equivalent'!$B$3:$C$47,2,FALSE))</f>
        <v/>
      </c>
      <c r="Q15" s="2"/>
      <c r="R15" s="2"/>
    </row>
    <row r="16" spans="1:18" x14ac:dyDescent="0.25">
      <c r="A16" s="13">
        <v>5</v>
      </c>
      <c r="B16" s="13" t="str">
        <f>IF('Student List'!B14="","",'Student List'!B14)</f>
        <v/>
      </c>
      <c r="C16" s="22" t="str">
        <f>IF('Student List'!C14="","",'Student List'!C14)</f>
        <v/>
      </c>
      <c r="D16" s="14" t="str">
        <f>MidCom!G10</f>
        <v/>
      </c>
      <c r="E16" s="14" t="str">
        <f>MidCom!AL10</f>
        <v/>
      </c>
      <c r="F16" s="14" t="str">
        <f>MidCom!AQ10</f>
        <v/>
      </c>
      <c r="G16" s="17" t="str">
        <f>IF(MidCom!AT10="FA", "FA",
    IF(MidCom!AT10="DRP", "DRP",
    IF(MidCom!AT10="WF", "WF", MidCom!AS10)))</f>
        <v/>
      </c>
      <c r="H16" s="17" t="str">
        <f>FinCom!G10</f>
        <v/>
      </c>
      <c r="I16" s="17" t="str">
        <f>FinCom!AL10</f>
        <v/>
      </c>
      <c r="J16" s="17" t="str">
        <f>FinCom!AQ10</f>
        <v/>
      </c>
      <c r="K16" s="17" t="str">
        <f>IF(FinCom!AT10="FA","FA",
IF(FinCom!AT10="FA","FA",
IF(FinCom!AT10="DRP","DRP",
IF(FinCom!AT10="WF","WF",IF(FinCom!AT10="INC","INC",FinCom!AS10)))))</f>
        <v/>
      </c>
      <c r="L16" s="48" t="str">
        <f>IF(SUM(MidCom!AR10,FinCom!AR10)=0,"",SUM(MidCom!AR10,FinCom!AR10))</f>
        <v/>
      </c>
      <c r="M16" s="31"/>
      <c r="N16" s="17" t="str">
        <f>IF(C16="","",IF(G16="DRP","DRP",IF(G16="WF","WF",IF(K16="INC","INC",IF(OR(MidCom!AS10="ERR",FinCom!AS10="ERR"),"ERR",FLOOR(SUM(MidCom!AS10*Info!$B$34,FinCom!AS10*Info!$B$35,M16),1))))))</f>
        <v/>
      </c>
      <c r="O16" s="17" t="str">
        <f>IF(C16="","",IF(G16="DRP","DRP",IF(G16="WF","WF",IF(K16="INC","INC",IF(K16="FA","FA",IF(N16&lt;75,5,VLOOKUP(_xlfn.FLOOR.MATH(N16,1),'New Grade Equivalent'!$A$3:$C$47,2,FALSE)))))))</f>
        <v/>
      </c>
      <c r="P16" s="8" t="str">
        <f>IF(C16="","",VLOOKUP(O16,'New Grade Equivalent'!$B$3:$C$47,2,FALSE))</f>
        <v/>
      </c>
      <c r="Q16" s="2"/>
      <c r="R16" s="2"/>
    </row>
    <row r="17" spans="1:18" x14ac:dyDescent="0.25">
      <c r="A17" s="13">
        <v>6</v>
      </c>
      <c r="B17" s="13" t="str">
        <f>IF('Student List'!B15="","",'Student List'!B15)</f>
        <v/>
      </c>
      <c r="C17" s="22" t="str">
        <f>IF('Student List'!C15="","",'Student List'!C15)</f>
        <v/>
      </c>
      <c r="D17" s="14" t="str">
        <f>MidCom!G11</f>
        <v/>
      </c>
      <c r="E17" s="14" t="str">
        <f>MidCom!AL11</f>
        <v/>
      </c>
      <c r="F17" s="14" t="str">
        <f>MidCom!AQ11</f>
        <v/>
      </c>
      <c r="G17" s="17" t="str">
        <f>IF(MidCom!AT11="FA", "FA",
    IF(MidCom!AT11="DRP", "DRP",
    IF(MidCom!AT11="WF", "WF", MidCom!AS11)))</f>
        <v/>
      </c>
      <c r="H17" s="17" t="str">
        <f>FinCom!G11</f>
        <v/>
      </c>
      <c r="I17" s="17" t="str">
        <f>FinCom!AL11</f>
        <v/>
      </c>
      <c r="J17" s="17" t="str">
        <f>FinCom!AQ11</f>
        <v/>
      </c>
      <c r="K17" s="17" t="str">
        <f>IF(FinCom!AT11="FA","FA",
IF(FinCom!AT11="FA","FA",
IF(FinCom!AT11="DRP","DRP",
IF(FinCom!AT11="WF","WF",IF(FinCom!AT11="INC","INC",FinCom!AS11)))))</f>
        <v/>
      </c>
      <c r="L17" s="48" t="str">
        <f>IF(SUM(MidCom!AR11,FinCom!AR11)=0,"",SUM(MidCom!AR11,FinCom!AR11))</f>
        <v/>
      </c>
      <c r="M17" s="31"/>
      <c r="N17" s="17" t="str">
        <f>IF(C17="","",IF(G17="DRP","DRP",IF(G17="WF","WF",IF(K17="INC","INC",IF(OR(MidCom!AS11="ERR",FinCom!AS11="ERR"),"ERR",FLOOR(SUM(MidCom!AS11*Info!$B$34,FinCom!AS11*Info!$B$35,M17),1))))))</f>
        <v/>
      </c>
      <c r="O17" s="17" t="str">
        <f>IF(C17="","",IF(G17="DRP","DRP",IF(G17="WF","WF",IF(K17="INC","INC",IF(K17="FA","FA",IF(N17&lt;75,5,VLOOKUP(_xlfn.FLOOR.MATH(N17,1),'New Grade Equivalent'!$A$3:$C$47,2,FALSE)))))))</f>
        <v/>
      </c>
      <c r="P17" s="8" t="str">
        <f>IF(C17="","",VLOOKUP(O17,'New Grade Equivalent'!$B$3:$C$47,2,FALSE))</f>
        <v/>
      </c>
      <c r="Q17" s="2"/>
      <c r="R17" s="2"/>
    </row>
    <row r="18" spans="1:18" x14ac:dyDescent="0.25">
      <c r="A18" s="13">
        <v>7</v>
      </c>
      <c r="B18" s="13" t="str">
        <f>IF('Student List'!B16="","",'Student List'!B16)</f>
        <v/>
      </c>
      <c r="C18" s="22" t="str">
        <f>IF('Student List'!C16="","",'Student List'!C16)</f>
        <v/>
      </c>
      <c r="D18" s="14" t="str">
        <f>MidCom!G12</f>
        <v/>
      </c>
      <c r="E18" s="14" t="str">
        <f>MidCom!AL12</f>
        <v/>
      </c>
      <c r="F18" s="14" t="str">
        <f>MidCom!AQ12</f>
        <v/>
      </c>
      <c r="G18" s="17" t="str">
        <f>IF(MidCom!AT12="FA", "FA",
    IF(MidCom!AT12="DRP", "DRP",
    IF(MidCom!AT12="WF", "WF", MidCom!AS12)))</f>
        <v/>
      </c>
      <c r="H18" s="17" t="str">
        <f>FinCom!G12</f>
        <v/>
      </c>
      <c r="I18" s="17" t="str">
        <f>FinCom!AL12</f>
        <v/>
      </c>
      <c r="J18" s="17" t="str">
        <f>FinCom!AQ12</f>
        <v/>
      </c>
      <c r="K18" s="17" t="str">
        <f>IF(FinCom!AT12="FA","FA",
IF(FinCom!AT12="FA","FA",
IF(FinCom!AT12="DRP","DRP",
IF(FinCom!AT12="WF","WF",IF(FinCom!AT12="INC","INC",FinCom!AS12)))))</f>
        <v/>
      </c>
      <c r="L18" s="48" t="str">
        <f>IF(SUM(MidCom!AR12,FinCom!AR12)=0,"",SUM(MidCom!AR12,FinCom!AR12))</f>
        <v/>
      </c>
      <c r="M18" s="31"/>
      <c r="N18" s="17" t="str">
        <f>IF(C18="","",IF(G18="DRP","DRP",IF(G18="WF","WF",IF(K18="INC","INC",IF(OR(MidCom!AS12="ERR",FinCom!AS12="ERR"),"ERR",FLOOR(SUM(MidCom!AS12*Info!$B$34,FinCom!AS12*Info!$B$35,M18),1))))))</f>
        <v/>
      </c>
      <c r="O18" s="17" t="str">
        <f>IF(C18="","",IF(G18="DRP","DRP",IF(G18="WF","WF",IF(K18="INC","INC",IF(K18="FA","FA",IF(N18&lt;75,5,VLOOKUP(_xlfn.FLOOR.MATH(N18,1),'New Grade Equivalent'!$A$3:$C$47,2,FALSE)))))))</f>
        <v/>
      </c>
      <c r="P18" s="8" t="str">
        <f>IF(C18="","",VLOOKUP(O18,'New Grade Equivalent'!$B$3:$C$47,2,FALSE))</f>
        <v/>
      </c>
      <c r="Q18" s="2"/>
      <c r="R18" s="2"/>
    </row>
    <row r="19" spans="1:18" x14ac:dyDescent="0.25">
      <c r="A19" s="13">
        <v>8</v>
      </c>
      <c r="B19" s="13" t="str">
        <f>IF('Student List'!B17="","",'Student List'!B17)</f>
        <v/>
      </c>
      <c r="C19" s="22" t="str">
        <f>IF('Student List'!C17="","",'Student List'!C17)</f>
        <v/>
      </c>
      <c r="D19" s="14" t="str">
        <f>MidCom!G13</f>
        <v/>
      </c>
      <c r="E19" s="14" t="str">
        <f>MidCom!AL13</f>
        <v/>
      </c>
      <c r="F19" s="14" t="str">
        <f>MidCom!AQ13</f>
        <v/>
      </c>
      <c r="G19" s="17" t="str">
        <f>IF(MidCom!AT13="FA", "FA",
    IF(MidCom!AT13="DRP", "DRP",
    IF(MidCom!AT13="WF", "WF", MidCom!AS13)))</f>
        <v/>
      </c>
      <c r="H19" s="17" t="str">
        <f>FinCom!G13</f>
        <v/>
      </c>
      <c r="I19" s="17" t="str">
        <f>FinCom!AL13</f>
        <v/>
      </c>
      <c r="J19" s="17" t="str">
        <f>FinCom!AQ13</f>
        <v/>
      </c>
      <c r="K19" s="17" t="str">
        <f>IF(FinCom!AT13="FA","FA",
IF(FinCom!AT13="FA","FA",
IF(FinCom!AT13="DRP","DRP",
IF(FinCom!AT13="WF","WF",IF(FinCom!AT13="INC","INC",FinCom!AS13)))))</f>
        <v/>
      </c>
      <c r="L19" s="48" t="str">
        <f>IF(SUM(MidCom!AR13,FinCom!AR13)=0,"",SUM(MidCom!AR13,FinCom!AR13))</f>
        <v/>
      </c>
      <c r="M19" s="31"/>
      <c r="N19" s="17" t="str">
        <f>IF(C19="","",IF(G19="DRP","DRP",IF(G19="WF","WF",IF(K19="INC","INC",IF(OR(MidCom!AS13="ERR",FinCom!AS13="ERR"),"ERR",FLOOR(SUM(MidCom!AS13*Info!$B$34,FinCom!AS13*Info!$B$35,M19),1))))))</f>
        <v/>
      </c>
      <c r="O19" s="17" t="str">
        <f>IF(C19="","",IF(G19="DRP","DRP",IF(G19="WF","WF",IF(K19="INC","INC",IF(K19="FA","FA",IF(N19&lt;75,5,VLOOKUP(_xlfn.FLOOR.MATH(N19,1),'New Grade Equivalent'!$A$3:$C$47,2,FALSE)))))))</f>
        <v/>
      </c>
      <c r="P19" s="8" t="str">
        <f>IF(C19="","",VLOOKUP(O19,'New Grade Equivalent'!$B$3:$C$47,2,FALSE))</f>
        <v/>
      </c>
      <c r="Q19" s="2"/>
      <c r="R19" s="2"/>
    </row>
    <row r="20" spans="1:18" x14ac:dyDescent="0.25">
      <c r="A20" s="13">
        <v>9</v>
      </c>
      <c r="B20" s="13" t="str">
        <f>IF('Student List'!B18="","",'Student List'!B18)</f>
        <v/>
      </c>
      <c r="C20" s="22" t="str">
        <f>IF('Student List'!C18="","",'Student List'!C18)</f>
        <v/>
      </c>
      <c r="D20" s="14" t="str">
        <f>MidCom!G14</f>
        <v/>
      </c>
      <c r="E20" s="14" t="str">
        <f>MidCom!AL14</f>
        <v/>
      </c>
      <c r="F20" s="14" t="str">
        <f>MidCom!AQ14</f>
        <v/>
      </c>
      <c r="G20" s="17" t="str">
        <f>IF(MidCom!AT14="FA", "FA",
    IF(MidCom!AT14="DRP", "DRP",
    IF(MidCom!AT14="WF", "WF", MidCom!AS14)))</f>
        <v/>
      </c>
      <c r="H20" s="17" t="str">
        <f>FinCom!G14</f>
        <v/>
      </c>
      <c r="I20" s="17" t="str">
        <f>FinCom!AL14</f>
        <v/>
      </c>
      <c r="J20" s="17" t="str">
        <f>FinCom!AQ14</f>
        <v/>
      </c>
      <c r="K20" s="17" t="str">
        <f>IF(FinCom!AT14="FA","FA",
IF(FinCom!AT14="FA","FA",
IF(FinCom!AT14="DRP","DRP",
IF(FinCom!AT14="WF","WF",IF(FinCom!AT14="INC","INC",FinCom!AS14)))))</f>
        <v/>
      </c>
      <c r="L20" s="48" t="str">
        <f>IF(SUM(MidCom!AR14,FinCom!AR14)=0,"",SUM(MidCom!AR14,FinCom!AR14))</f>
        <v/>
      </c>
      <c r="M20" s="31"/>
      <c r="N20" s="17" t="str">
        <f>IF(C20="","",IF(G20="DRP","DRP",IF(G20="WF","WF",IF(K20="INC","INC",IF(OR(MidCom!AS14="ERR",FinCom!AS14="ERR"),"ERR",FLOOR(SUM(MidCom!AS14*Info!$B$34,FinCom!AS14*Info!$B$35,M20),1))))))</f>
        <v/>
      </c>
      <c r="O20" s="17" t="str">
        <f>IF(C20="","",IF(G20="DRP","DRP",IF(G20="WF","WF",IF(K20="INC","INC",IF(K20="FA","FA",IF(N20&lt;75,5,VLOOKUP(_xlfn.FLOOR.MATH(N20,1),'New Grade Equivalent'!$A$3:$C$47,2,FALSE)))))))</f>
        <v/>
      </c>
      <c r="P20" s="8" t="str">
        <f>IF(C20="","",VLOOKUP(O20,'New Grade Equivalent'!$B$3:$C$47,2,FALSE))</f>
        <v/>
      </c>
      <c r="Q20" s="2"/>
      <c r="R20" s="2"/>
    </row>
    <row r="21" spans="1:18" x14ac:dyDescent="0.25">
      <c r="A21" s="13">
        <v>10</v>
      </c>
      <c r="B21" s="13" t="str">
        <f>IF('Student List'!B19="","",'Student List'!B19)</f>
        <v/>
      </c>
      <c r="C21" s="22" t="str">
        <f>IF('Student List'!C19="","",'Student List'!C19)</f>
        <v/>
      </c>
      <c r="D21" s="14" t="str">
        <f>MidCom!G15</f>
        <v/>
      </c>
      <c r="E21" s="14" t="str">
        <f>MidCom!AL15</f>
        <v/>
      </c>
      <c r="F21" s="14" t="str">
        <f>MidCom!AQ15</f>
        <v/>
      </c>
      <c r="G21" s="17" t="str">
        <f>IF(MidCom!AT15="FA", "FA",
    IF(MidCom!AT15="DRP", "DRP",
    IF(MidCom!AT15="WF", "WF", MidCom!AS15)))</f>
        <v/>
      </c>
      <c r="H21" s="17" t="str">
        <f>FinCom!G15</f>
        <v/>
      </c>
      <c r="I21" s="17" t="str">
        <f>FinCom!AL15</f>
        <v/>
      </c>
      <c r="J21" s="17" t="str">
        <f>FinCom!AQ15</f>
        <v/>
      </c>
      <c r="K21" s="17" t="str">
        <f>IF(FinCom!AT15="FA","FA",
IF(FinCom!AT15="FA","FA",
IF(FinCom!AT15="DRP","DRP",
IF(FinCom!AT15="WF","WF",IF(FinCom!AT15="INC","INC",FinCom!AS15)))))</f>
        <v/>
      </c>
      <c r="L21" s="48" t="str">
        <f>IF(SUM(MidCom!AR15,FinCom!AR15)=0,"",SUM(MidCom!AR15,FinCom!AR15))</f>
        <v/>
      </c>
      <c r="M21" s="31"/>
      <c r="N21" s="17" t="str">
        <f>IF(C21="","",IF(G21="DRP","DRP",IF(G21="WF","WF",IF(K21="INC","INC",IF(OR(MidCom!AS15="ERR",FinCom!AS15="ERR"),"ERR",FLOOR(SUM(MidCom!AS15*Info!$B$34,FinCom!AS15*Info!$B$35,M21),1))))))</f>
        <v/>
      </c>
      <c r="O21" s="17" t="str">
        <f>IF(C21="","",IF(G21="DRP","DRP",IF(G21="WF","WF",IF(K21="INC","INC",IF(K21="FA","FA",IF(N21&lt;75,5,VLOOKUP(_xlfn.FLOOR.MATH(N21,1),'New Grade Equivalent'!$A$3:$C$47,2,FALSE)))))))</f>
        <v/>
      </c>
      <c r="P21" s="8" t="str">
        <f>IF(C21="","",VLOOKUP(O21,'New Grade Equivalent'!$B$3:$C$47,2,FALSE))</f>
        <v/>
      </c>
      <c r="Q21" s="2"/>
      <c r="R21" s="2"/>
    </row>
    <row r="22" spans="1:18" x14ac:dyDescent="0.25">
      <c r="A22" s="13">
        <v>11</v>
      </c>
      <c r="B22" s="13" t="str">
        <f>IF('Student List'!B20="","",'Student List'!B20)</f>
        <v/>
      </c>
      <c r="C22" s="22" t="str">
        <f>IF('Student List'!C20="","",'Student List'!C20)</f>
        <v/>
      </c>
      <c r="D22" s="14" t="str">
        <f>MidCom!G16</f>
        <v/>
      </c>
      <c r="E22" s="14" t="str">
        <f>MidCom!AL16</f>
        <v/>
      </c>
      <c r="F22" s="14" t="str">
        <f>MidCom!AQ16</f>
        <v/>
      </c>
      <c r="G22" s="17" t="str">
        <f>IF(MidCom!AT16="FA", "FA",
    IF(MidCom!AT16="DRP", "DRP",
    IF(MidCom!AT16="WF", "WF", MidCom!AS16)))</f>
        <v/>
      </c>
      <c r="H22" s="17" t="str">
        <f>FinCom!G16</f>
        <v/>
      </c>
      <c r="I22" s="17" t="str">
        <f>FinCom!AL16</f>
        <v/>
      </c>
      <c r="J22" s="17" t="str">
        <f>FinCom!AQ16</f>
        <v/>
      </c>
      <c r="K22" s="17" t="str">
        <f>IF(FinCom!AT16="FA","FA",
IF(FinCom!AT16="FA","FA",
IF(FinCom!AT16="DRP","DRP",
IF(FinCom!AT16="WF","WF",IF(FinCom!AT16="INC","INC",FinCom!AS16)))))</f>
        <v/>
      </c>
      <c r="L22" s="48" t="str">
        <f>IF(SUM(MidCom!AR16,FinCom!AR16)=0,"",SUM(MidCom!AR16,FinCom!AR16))</f>
        <v/>
      </c>
      <c r="M22" s="31"/>
      <c r="N22" s="17" t="str">
        <f>IF(C22="","",IF(G22="DRP","DRP",IF(G22="WF","WF",IF(K22="INC","INC",IF(OR(MidCom!AS16="ERR",FinCom!AS16="ERR"),"ERR",FLOOR(SUM(MidCom!AS16*Info!$B$34,FinCom!AS16*Info!$B$35,M22),1))))))</f>
        <v/>
      </c>
      <c r="O22" s="17" t="str">
        <f>IF(C22="","",IF(G22="DRP","DRP",IF(G22="WF","WF",IF(K22="INC","INC",IF(K22="FA","FA",IF(N22&lt;75,5,VLOOKUP(_xlfn.FLOOR.MATH(N22,1),'New Grade Equivalent'!$A$3:$C$47,2,FALSE)))))))</f>
        <v/>
      </c>
      <c r="P22" s="8" t="str">
        <f>IF(C22="","",VLOOKUP(O22,'New Grade Equivalent'!$B$3:$C$47,2,FALSE))</f>
        <v/>
      </c>
      <c r="Q22" s="2"/>
      <c r="R22" s="2"/>
    </row>
    <row r="23" spans="1:18" x14ac:dyDescent="0.25">
      <c r="A23" s="13">
        <v>12</v>
      </c>
      <c r="B23" s="13" t="str">
        <f>IF('Student List'!B21="","",'Student List'!B21)</f>
        <v/>
      </c>
      <c r="C23" s="22" t="str">
        <f>IF('Student List'!C21="","",'Student List'!C21)</f>
        <v/>
      </c>
      <c r="D23" s="14" t="str">
        <f>MidCom!G17</f>
        <v/>
      </c>
      <c r="E23" s="14" t="str">
        <f>MidCom!AL17</f>
        <v/>
      </c>
      <c r="F23" s="14" t="str">
        <f>MidCom!AQ17</f>
        <v/>
      </c>
      <c r="G23" s="17" t="str">
        <f>IF(MidCom!AT17="FA", "FA",
    IF(MidCom!AT17="DRP", "DRP",
    IF(MidCom!AT17="WF", "WF", MidCom!AS17)))</f>
        <v/>
      </c>
      <c r="H23" s="17" t="str">
        <f>FinCom!G17</f>
        <v/>
      </c>
      <c r="I23" s="17" t="str">
        <f>FinCom!AL17</f>
        <v/>
      </c>
      <c r="J23" s="17" t="str">
        <f>FinCom!AQ17</f>
        <v/>
      </c>
      <c r="K23" s="17" t="str">
        <f>IF(FinCom!AT17="FA","FA",
IF(FinCom!AT17="FA","FA",
IF(FinCom!AT17="DRP","DRP",
IF(FinCom!AT17="WF","WF",IF(FinCom!AT17="INC","INC",FinCom!AS17)))))</f>
        <v/>
      </c>
      <c r="L23" s="48" t="str">
        <f>IF(SUM(MidCom!AR17,FinCom!AR17)=0,"",SUM(MidCom!AR17,FinCom!AR17))</f>
        <v/>
      </c>
      <c r="M23" s="31"/>
      <c r="N23" s="17" t="str">
        <f>IF(C23="","",IF(G23="DRP","DRP",IF(G23="WF","WF",IF(K23="INC","INC",IF(OR(MidCom!AS17="ERR",FinCom!AS17="ERR"),"ERR",FLOOR(SUM(MidCom!AS17*Info!$B$34,FinCom!AS17*Info!$B$35,M23),1))))))</f>
        <v/>
      </c>
      <c r="O23" s="17" t="str">
        <f>IF(C23="","",IF(G23="DRP","DRP",IF(G23="WF","WF",IF(K23="INC","INC",IF(K23="FA","FA",IF(N23&lt;75,5,VLOOKUP(_xlfn.FLOOR.MATH(N23,1),'New Grade Equivalent'!$A$3:$C$47,2,FALSE)))))))</f>
        <v/>
      </c>
      <c r="P23" s="8" t="str">
        <f>IF(C23="","",VLOOKUP(O23,'New Grade Equivalent'!$B$3:$C$47,2,FALSE))</f>
        <v/>
      </c>
      <c r="Q23" s="2"/>
      <c r="R23" s="2"/>
    </row>
    <row r="24" spans="1:18" x14ac:dyDescent="0.25">
      <c r="A24" s="13">
        <v>13</v>
      </c>
      <c r="B24" s="13" t="str">
        <f>IF('Student List'!B22="","",'Student List'!B22)</f>
        <v/>
      </c>
      <c r="C24" s="22" t="str">
        <f>IF('Student List'!C22="","",'Student List'!C22)</f>
        <v/>
      </c>
      <c r="D24" s="14" t="str">
        <f>MidCom!G18</f>
        <v/>
      </c>
      <c r="E24" s="14" t="str">
        <f>MidCom!AL18</f>
        <v/>
      </c>
      <c r="F24" s="14" t="str">
        <f>MidCom!AQ18</f>
        <v/>
      </c>
      <c r="G24" s="17" t="str">
        <f>IF(MidCom!AT18="FA", "FA",
    IF(MidCom!AT18="DRP", "DRP",
    IF(MidCom!AT18="WF", "WF", MidCom!AS18)))</f>
        <v/>
      </c>
      <c r="H24" s="17" t="str">
        <f>FinCom!G18</f>
        <v/>
      </c>
      <c r="I24" s="17" t="str">
        <f>FinCom!AL18</f>
        <v/>
      </c>
      <c r="J24" s="17" t="str">
        <f>FinCom!AQ18</f>
        <v/>
      </c>
      <c r="K24" s="17" t="str">
        <f>IF(FinCom!AT18="FA","FA",
IF(FinCom!AT18="FA","FA",
IF(FinCom!AT18="DRP","DRP",
IF(FinCom!AT18="WF","WF",IF(FinCom!AT18="INC","INC",FinCom!AS18)))))</f>
        <v/>
      </c>
      <c r="L24" s="48" t="str">
        <f>IF(SUM(MidCom!AR18,FinCom!AR18)=0,"",SUM(MidCom!AR18,FinCom!AR18))</f>
        <v/>
      </c>
      <c r="M24" s="31"/>
      <c r="N24" s="17" t="str">
        <f>IF(C24="","",IF(G24="DRP","DRP",IF(G24="WF","WF",IF(K24="INC","INC",IF(OR(MidCom!AS18="ERR",FinCom!AS18="ERR"),"ERR",FLOOR(SUM(MidCom!AS18*Info!$B$34,FinCom!AS18*Info!$B$35,M24),1))))))</f>
        <v/>
      </c>
      <c r="O24" s="17" t="str">
        <f>IF(C24="","",IF(G24="DRP","DRP",IF(G24="WF","WF",IF(K24="INC","INC",IF(K24="FA","FA",IF(N24&lt;75,5,VLOOKUP(_xlfn.FLOOR.MATH(N24,1),'New Grade Equivalent'!$A$3:$C$47,2,FALSE)))))))</f>
        <v/>
      </c>
      <c r="P24" s="8" t="str">
        <f>IF(C24="","",VLOOKUP(O24,'New Grade Equivalent'!$B$3:$C$47,2,FALSE))</f>
        <v/>
      </c>
      <c r="Q24" s="2"/>
      <c r="R24" s="2"/>
    </row>
    <row r="25" spans="1:18" x14ac:dyDescent="0.25">
      <c r="A25" s="13">
        <v>14</v>
      </c>
      <c r="B25" s="13" t="str">
        <f>IF('Student List'!B23="","",'Student List'!B23)</f>
        <v/>
      </c>
      <c r="C25" s="22" t="str">
        <f>IF('Student List'!C23="","",'Student List'!C23)</f>
        <v/>
      </c>
      <c r="D25" s="14" t="str">
        <f>MidCom!G19</f>
        <v/>
      </c>
      <c r="E25" s="14" t="str">
        <f>MidCom!AL19</f>
        <v/>
      </c>
      <c r="F25" s="14" t="str">
        <f>MidCom!AQ19</f>
        <v/>
      </c>
      <c r="G25" s="17" t="str">
        <f>IF(MidCom!AT19="FA", "FA",
    IF(MidCom!AT19="DRP", "DRP",
    IF(MidCom!AT19="WF", "WF", MidCom!AS19)))</f>
        <v/>
      </c>
      <c r="H25" s="17" t="str">
        <f>FinCom!G19</f>
        <v/>
      </c>
      <c r="I25" s="17" t="str">
        <f>FinCom!AL19</f>
        <v/>
      </c>
      <c r="J25" s="17" t="str">
        <f>FinCom!AQ19</f>
        <v/>
      </c>
      <c r="K25" s="17" t="str">
        <f>IF(FinCom!AT19="FA","FA",
IF(FinCom!AT19="FA","FA",
IF(FinCom!AT19="DRP","DRP",
IF(FinCom!AT19="WF","WF",IF(FinCom!AT19="INC","INC",FinCom!AS19)))))</f>
        <v/>
      </c>
      <c r="L25" s="48" t="str">
        <f>IF(SUM(MidCom!AR19,FinCom!AR19)=0,"",SUM(MidCom!AR19,FinCom!AR19))</f>
        <v/>
      </c>
      <c r="M25" s="31"/>
      <c r="N25" s="17" t="str">
        <f>IF(C25="","",IF(G25="DRP","DRP",IF(G25="WF","WF",IF(K25="INC","INC",IF(OR(MidCom!AS19="ERR",FinCom!AS19="ERR"),"ERR",FLOOR(SUM(MidCom!AS19*Info!$B$34,FinCom!AS19*Info!$B$35,M25),1))))))</f>
        <v/>
      </c>
      <c r="O25" s="17" t="str">
        <f>IF(C25="","",IF(G25="DRP","DRP",IF(G25="WF","WF",IF(K25="INC","INC",IF(K25="FA","FA",IF(N25&lt;75,5,VLOOKUP(_xlfn.FLOOR.MATH(N25,1),'New Grade Equivalent'!$A$3:$C$47,2,FALSE)))))))</f>
        <v/>
      </c>
      <c r="P25" s="8" t="str">
        <f>IF(C25="","",VLOOKUP(O25,'New Grade Equivalent'!$B$3:$C$47,2,FALSE))</f>
        <v/>
      </c>
      <c r="Q25" s="2"/>
      <c r="R25" s="2"/>
    </row>
    <row r="26" spans="1:18" x14ac:dyDescent="0.25">
      <c r="A26" s="13">
        <v>15</v>
      </c>
      <c r="B26" s="13" t="str">
        <f>IF('Student List'!B24="","",'Student List'!B24)</f>
        <v/>
      </c>
      <c r="C26" s="22" t="str">
        <f>IF('Student List'!C24="","",'Student List'!C24)</f>
        <v/>
      </c>
      <c r="D26" s="14" t="str">
        <f>MidCom!G20</f>
        <v/>
      </c>
      <c r="E26" s="14" t="str">
        <f>MidCom!AL20</f>
        <v/>
      </c>
      <c r="F26" s="14" t="str">
        <f>MidCom!AQ20</f>
        <v/>
      </c>
      <c r="G26" s="17" t="str">
        <f>IF(MidCom!AT20="FA", "FA",
    IF(MidCom!AT20="DRP", "DRP",
    IF(MidCom!AT20="WF", "WF", MidCom!AS20)))</f>
        <v/>
      </c>
      <c r="H26" s="17" t="str">
        <f>FinCom!G20</f>
        <v/>
      </c>
      <c r="I26" s="17" t="str">
        <f>FinCom!AL20</f>
        <v/>
      </c>
      <c r="J26" s="17" t="str">
        <f>FinCom!AQ20</f>
        <v/>
      </c>
      <c r="K26" s="17" t="str">
        <f>IF(FinCom!AT20="FA","FA",
IF(FinCom!AT20="FA","FA",
IF(FinCom!AT20="DRP","DRP",
IF(FinCom!AT20="WF","WF",IF(FinCom!AT20="INC","INC",FinCom!AS20)))))</f>
        <v/>
      </c>
      <c r="L26" s="48" t="str">
        <f>IF(SUM(MidCom!AR20,FinCom!AR20)=0,"",SUM(MidCom!AR20,FinCom!AR20))</f>
        <v/>
      </c>
      <c r="M26" s="31"/>
      <c r="N26" s="17" t="str">
        <f>IF(C26="","",IF(G26="DRP","DRP",IF(G26="WF","WF",IF(K26="INC","INC",IF(OR(MidCom!AS20="ERR",FinCom!AS20="ERR"),"ERR",FLOOR(SUM(MidCom!AS20*Info!$B$34,FinCom!AS20*Info!$B$35,M26),1))))))</f>
        <v/>
      </c>
      <c r="O26" s="17" t="str">
        <f>IF(C26="","",IF(G26="DRP","DRP",IF(G26="WF","WF",IF(K26="INC","INC",IF(K26="FA","FA",IF(N26&lt;75,5,VLOOKUP(_xlfn.FLOOR.MATH(N26,1),'New Grade Equivalent'!$A$3:$C$47,2,FALSE)))))))</f>
        <v/>
      </c>
      <c r="P26" s="8" t="str">
        <f>IF(C26="","",VLOOKUP(O26,'New Grade Equivalent'!$B$3:$C$47,2,FALSE))</f>
        <v/>
      </c>
      <c r="Q26" s="2"/>
      <c r="R26" s="2"/>
    </row>
    <row r="27" spans="1:18" x14ac:dyDescent="0.25">
      <c r="A27" s="13">
        <v>16</v>
      </c>
      <c r="B27" s="13" t="str">
        <f>IF('Student List'!B25="","",'Student List'!B25)</f>
        <v/>
      </c>
      <c r="C27" s="22" t="str">
        <f>IF('Student List'!C25="","",'Student List'!C25)</f>
        <v/>
      </c>
      <c r="D27" s="14" t="str">
        <f>MidCom!G21</f>
        <v/>
      </c>
      <c r="E27" s="14" t="str">
        <f>MidCom!AL21</f>
        <v/>
      </c>
      <c r="F27" s="14" t="str">
        <f>MidCom!AQ21</f>
        <v/>
      </c>
      <c r="G27" s="17" t="str">
        <f>IF(MidCom!AT21="FA", "FA",
    IF(MidCom!AT21="DRP", "DRP",
    IF(MidCom!AT21="WF", "WF", MidCom!AS21)))</f>
        <v/>
      </c>
      <c r="H27" s="17" t="str">
        <f>FinCom!G21</f>
        <v/>
      </c>
      <c r="I27" s="17" t="str">
        <f>FinCom!AL21</f>
        <v/>
      </c>
      <c r="J27" s="17" t="str">
        <f>FinCom!AQ21</f>
        <v/>
      </c>
      <c r="K27" s="17" t="str">
        <f>IF(FinCom!AT21="FA","FA",
IF(FinCom!AT21="FA","FA",
IF(FinCom!AT21="DRP","DRP",
IF(FinCom!AT21="WF","WF",IF(FinCom!AT21="INC","INC",FinCom!AS21)))))</f>
        <v/>
      </c>
      <c r="L27" s="48" t="str">
        <f>IF(SUM(MidCom!AR21,FinCom!AR21)=0,"",SUM(MidCom!AR21,FinCom!AR21))</f>
        <v/>
      </c>
      <c r="M27" s="31"/>
      <c r="N27" s="17" t="str">
        <f>IF(C27="","",IF(G27="DRP","DRP",IF(G27="WF","WF",IF(K27="INC","INC",IF(OR(MidCom!AS21="ERR",FinCom!AS21="ERR"),"ERR",FLOOR(SUM(MidCom!AS21*Info!$B$34,FinCom!AS21*Info!$B$35,M27),1))))))</f>
        <v/>
      </c>
      <c r="O27" s="17" t="str">
        <f>IF(C27="","",IF(G27="DRP","DRP",IF(G27="WF","WF",IF(K27="INC","INC",IF(K27="FA","FA",IF(N27&lt;75,5,VLOOKUP(_xlfn.FLOOR.MATH(N27,1),'New Grade Equivalent'!$A$3:$C$47,2,FALSE)))))))</f>
        <v/>
      </c>
      <c r="P27" s="8" t="str">
        <f>IF(C27="","",VLOOKUP(O27,'New Grade Equivalent'!$B$3:$C$47,2,FALSE))</f>
        <v/>
      </c>
      <c r="Q27" s="2"/>
      <c r="R27" s="2"/>
    </row>
    <row r="28" spans="1:18" x14ac:dyDescent="0.25">
      <c r="A28" s="13">
        <v>17</v>
      </c>
      <c r="B28" s="13" t="str">
        <f>IF('Student List'!B26="","",'Student List'!B26)</f>
        <v/>
      </c>
      <c r="C28" s="22" t="str">
        <f>IF('Student List'!C26="","",'Student List'!C26)</f>
        <v/>
      </c>
      <c r="D28" s="14" t="str">
        <f>MidCom!G22</f>
        <v/>
      </c>
      <c r="E28" s="14" t="str">
        <f>MidCom!AL22</f>
        <v/>
      </c>
      <c r="F28" s="14" t="str">
        <f>MidCom!AQ22</f>
        <v/>
      </c>
      <c r="G28" s="17" t="str">
        <f>IF(MidCom!AT22="FA", "FA",
    IF(MidCom!AT22="DRP", "DRP",
    IF(MidCom!AT22="WF", "WF", MidCom!AS22)))</f>
        <v/>
      </c>
      <c r="H28" s="17" t="str">
        <f>FinCom!G22</f>
        <v/>
      </c>
      <c r="I28" s="17" t="str">
        <f>FinCom!AL22</f>
        <v/>
      </c>
      <c r="J28" s="17" t="str">
        <f>FinCom!AQ22</f>
        <v/>
      </c>
      <c r="K28" s="17" t="str">
        <f>IF(FinCom!AT22="FA","FA",
IF(FinCom!AT22="FA","FA",
IF(FinCom!AT22="DRP","DRP",
IF(FinCom!AT22="WF","WF",IF(FinCom!AT22="INC","INC",FinCom!AS22)))))</f>
        <v/>
      </c>
      <c r="L28" s="48" t="str">
        <f>IF(SUM(MidCom!AR22,FinCom!AR22)=0,"",SUM(MidCom!AR22,FinCom!AR22))</f>
        <v/>
      </c>
      <c r="M28" s="31"/>
      <c r="N28" s="17" t="str">
        <f>IF(C28="","",IF(G28="DRP","DRP",IF(G28="WF","WF",IF(K28="INC","INC",IF(OR(MidCom!AS22="ERR",FinCom!AS22="ERR"),"ERR",FLOOR(SUM(MidCom!AS22*Info!$B$34,FinCom!AS22*Info!$B$35,M28),1))))))</f>
        <v/>
      </c>
      <c r="O28" s="17" t="str">
        <f>IF(C28="","",IF(G28="DRP","DRP",IF(G28="WF","WF",IF(K28="INC","INC",IF(K28="FA","FA",IF(N28&lt;75,5,VLOOKUP(_xlfn.FLOOR.MATH(N28,1),'New Grade Equivalent'!$A$3:$C$47,2,FALSE)))))))</f>
        <v/>
      </c>
      <c r="P28" s="8" t="str">
        <f>IF(C28="","",VLOOKUP(O28,'New Grade Equivalent'!$B$3:$C$47,2,FALSE))</f>
        <v/>
      </c>
      <c r="Q28" s="2"/>
      <c r="R28" s="2"/>
    </row>
    <row r="29" spans="1:18" x14ac:dyDescent="0.25">
      <c r="A29" s="13">
        <v>18</v>
      </c>
      <c r="B29" s="13" t="str">
        <f>IF('Student List'!B27="","",'Student List'!B27)</f>
        <v/>
      </c>
      <c r="C29" s="22" t="str">
        <f>IF('Student List'!C27="","",'Student List'!C27)</f>
        <v/>
      </c>
      <c r="D29" s="14" t="str">
        <f>MidCom!G23</f>
        <v/>
      </c>
      <c r="E29" s="14" t="str">
        <f>MidCom!AL23</f>
        <v/>
      </c>
      <c r="F29" s="14" t="str">
        <f>MidCom!AQ23</f>
        <v/>
      </c>
      <c r="G29" s="17" t="str">
        <f>IF(MidCom!AT23="FA", "FA",
    IF(MidCom!AT23="DRP", "DRP",
    IF(MidCom!AT23="WF", "WF", MidCom!AS23)))</f>
        <v/>
      </c>
      <c r="H29" s="17" t="str">
        <f>FinCom!G23</f>
        <v/>
      </c>
      <c r="I29" s="17" t="str">
        <f>FinCom!AL23</f>
        <v/>
      </c>
      <c r="J29" s="17" t="str">
        <f>FinCom!AQ23</f>
        <v/>
      </c>
      <c r="K29" s="17" t="str">
        <f>IF(FinCom!AT23="FA","FA",
IF(FinCom!AT23="FA","FA",
IF(FinCom!AT23="DRP","DRP",
IF(FinCom!AT23="WF","WF",IF(FinCom!AT23="INC","INC",FinCom!AS23)))))</f>
        <v/>
      </c>
      <c r="L29" s="48" t="str">
        <f>IF(SUM(MidCom!AR23,FinCom!AR23)=0,"",SUM(MidCom!AR23,FinCom!AR23))</f>
        <v/>
      </c>
      <c r="M29" s="31"/>
      <c r="N29" s="17" t="str">
        <f>IF(C29="","",IF(G29="DRP","DRP",IF(G29="WF","WF",IF(K29="INC","INC",IF(OR(MidCom!AS23="ERR",FinCom!AS23="ERR"),"ERR",FLOOR(SUM(MidCom!AS23*Info!$B$34,FinCom!AS23*Info!$B$35,M29),1))))))</f>
        <v/>
      </c>
      <c r="O29" s="17" t="str">
        <f>IF(C29="","",IF(G29="DRP","DRP",IF(G29="WF","WF",IF(K29="INC","INC",IF(K29="FA","FA",IF(N29&lt;75,5,VLOOKUP(_xlfn.FLOOR.MATH(N29,1),'New Grade Equivalent'!$A$3:$C$47,2,FALSE)))))))</f>
        <v/>
      </c>
      <c r="P29" s="8" t="str">
        <f>IF(C29="","",VLOOKUP(O29,'New Grade Equivalent'!$B$3:$C$47,2,FALSE))</f>
        <v/>
      </c>
      <c r="Q29" s="2"/>
      <c r="R29" s="2"/>
    </row>
    <row r="30" spans="1:18" x14ac:dyDescent="0.25">
      <c r="A30" s="13">
        <v>19</v>
      </c>
      <c r="B30" s="13" t="str">
        <f>IF('Student List'!B28="","",'Student List'!B28)</f>
        <v/>
      </c>
      <c r="C30" s="22" t="str">
        <f>IF('Student List'!C28="","",'Student List'!C28)</f>
        <v/>
      </c>
      <c r="D30" s="14" t="str">
        <f>MidCom!G24</f>
        <v/>
      </c>
      <c r="E30" s="14" t="str">
        <f>MidCom!AL24</f>
        <v/>
      </c>
      <c r="F30" s="14" t="str">
        <f>MidCom!AQ24</f>
        <v/>
      </c>
      <c r="G30" s="17" t="str">
        <f>IF(MidCom!AT24="FA", "FA",
    IF(MidCom!AT24="DRP", "DRP",
    IF(MidCom!AT24="WF", "WF", MidCom!AS24)))</f>
        <v/>
      </c>
      <c r="H30" s="17" t="str">
        <f>FinCom!G24</f>
        <v/>
      </c>
      <c r="I30" s="17" t="str">
        <f>FinCom!AL24</f>
        <v/>
      </c>
      <c r="J30" s="17" t="str">
        <f>FinCom!AQ24</f>
        <v/>
      </c>
      <c r="K30" s="17" t="str">
        <f>IF(FinCom!AT24="FA","FA",
IF(FinCom!AT24="FA","FA",
IF(FinCom!AT24="DRP","DRP",
IF(FinCom!AT24="WF","WF",IF(FinCom!AT24="INC","INC",FinCom!AS24)))))</f>
        <v/>
      </c>
      <c r="L30" s="48" t="str">
        <f>IF(SUM(MidCom!AR24,FinCom!AR24)=0,"",SUM(MidCom!AR24,FinCom!AR24))</f>
        <v/>
      </c>
      <c r="M30" s="31"/>
      <c r="N30" s="17" t="str">
        <f>IF(C30="","",IF(G30="DRP","DRP",IF(G30="WF","WF",IF(K30="INC","INC",IF(OR(MidCom!AS24="ERR",FinCom!AS24="ERR"),"ERR",FLOOR(SUM(MidCom!AS24*Info!$B$34,FinCom!AS24*Info!$B$35,M30),1))))))</f>
        <v/>
      </c>
      <c r="O30" s="17" t="str">
        <f>IF(C30="","",IF(G30="DRP","DRP",IF(G30="WF","WF",IF(K30="INC","INC",IF(K30="FA","FA",IF(N30&lt;75,5,VLOOKUP(_xlfn.FLOOR.MATH(N30,1),'New Grade Equivalent'!$A$3:$C$47,2,FALSE)))))))</f>
        <v/>
      </c>
      <c r="P30" s="8" t="str">
        <f>IF(C30="","",VLOOKUP(O30,'New Grade Equivalent'!$B$3:$C$47,2,FALSE))</f>
        <v/>
      </c>
      <c r="Q30" s="2"/>
      <c r="R30" s="2"/>
    </row>
    <row r="31" spans="1:18" x14ac:dyDescent="0.25">
      <c r="A31" s="13">
        <v>20</v>
      </c>
      <c r="B31" s="13" t="str">
        <f>IF('Student List'!B29="","",'Student List'!B29)</f>
        <v/>
      </c>
      <c r="C31" s="22" t="str">
        <f>IF('Student List'!C29="","",'Student List'!C29)</f>
        <v/>
      </c>
      <c r="D31" s="14" t="str">
        <f>MidCom!G25</f>
        <v/>
      </c>
      <c r="E31" s="14" t="str">
        <f>MidCom!AL25</f>
        <v/>
      </c>
      <c r="F31" s="14" t="str">
        <f>MidCom!AQ25</f>
        <v/>
      </c>
      <c r="G31" s="17" t="str">
        <f>IF(MidCom!AT25="FA", "FA",
    IF(MidCom!AT25="DRP", "DRP",
    IF(MidCom!AT25="WF", "WF", MidCom!AS25)))</f>
        <v/>
      </c>
      <c r="H31" s="17" t="str">
        <f>FinCom!G25</f>
        <v/>
      </c>
      <c r="I31" s="17" t="str">
        <f>FinCom!AL25</f>
        <v/>
      </c>
      <c r="J31" s="17" t="str">
        <f>FinCom!AQ25</f>
        <v/>
      </c>
      <c r="K31" s="17" t="str">
        <f>IF(FinCom!AT25="FA","FA",
IF(FinCom!AT25="FA","FA",
IF(FinCom!AT25="DRP","DRP",
IF(FinCom!AT25="WF","WF",IF(FinCom!AT25="INC","INC",FinCom!AS25)))))</f>
        <v/>
      </c>
      <c r="L31" s="48" t="str">
        <f>IF(SUM(MidCom!AR25,FinCom!AR25)=0,"",SUM(MidCom!AR25,FinCom!AR25))</f>
        <v/>
      </c>
      <c r="M31" s="31"/>
      <c r="N31" s="17" t="str">
        <f>IF(C31="","",IF(G31="DRP","DRP",IF(G31="WF","WF",IF(K31="INC","INC",IF(OR(MidCom!AS25="ERR",FinCom!AS25="ERR"),"ERR",FLOOR(SUM(MidCom!AS25*Info!$B$34,FinCom!AS25*Info!$B$35,M31),1))))))</f>
        <v/>
      </c>
      <c r="O31" s="17" t="str">
        <f>IF(C31="","",IF(G31="DRP","DRP",IF(G31="WF","WF",IF(K31="INC","INC",IF(K31="FA","FA",IF(N31&lt;75,5,VLOOKUP(_xlfn.FLOOR.MATH(N31,1),'New Grade Equivalent'!$A$3:$C$47,2,FALSE)))))))</f>
        <v/>
      </c>
      <c r="P31" s="8" t="str">
        <f>IF(C31="","",VLOOKUP(O31,'New Grade Equivalent'!$B$3:$C$47,2,FALSE))</f>
        <v/>
      </c>
      <c r="Q31" s="2"/>
      <c r="R31" s="2"/>
    </row>
    <row r="32" spans="1:18" x14ac:dyDescent="0.25">
      <c r="A32" s="13">
        <v>21</v>
      </c>
      <c r="B32" s="13" t="str">
        <f>IF('Student List'!B30="","",'Student List'!B30)</f>
        <v/>
      </c>
      <c r="C32" s="22" t="str">
        <f>IF('Student List'!C30="","",'Student List'!C30)</f>
        <v/>
      </c>
      <c r="D32" s="14" t="str">
        <f>MidCom!G26</f>
        <v/>
      </c>
      <c r="E32" s="14" t="str">
        <f>MidCom!AL26</f>
        <v/>
      </c>
      <c r="F32" s="14" t="str">
        <f>MidCom!AQ26</f>
        <v/>
      </c>
      <c r="G32" s="17" t="str">
        <f>IF(MidCom!AT26="FA", "FA",
    IF(MidCom!AT26="DRP", "DRP",
    IF(MidCom!AT26="WF", "WF", MidCom!AS26)))</f>
        <v/>
      </c>
      <c r="H32" s="17" t="str">
        <f>FinCom!G26</f>
        <v/>
      </c>
      <c r="I32" s="17" t="str">
        <f>FinCom!AL26</f>
        <v/>
      </c>
      <c r="J32" s="17" t="str">
        <f>FinCom!AQ26</f>
        <v/>
      </c>
      <c r="K32" s="17" t="str">
        <f>IF(FinCom!AT26="FA","FA",
IF(FinCom!AT26="FA","FA",
IF(FinCom!AT26="DRP","DRP",
IF(FinCom!AT26="WF","WF",IF(FinCom!AT26="INC","INC",FinCom!AS26)))))</f>
        <v/>
      </c>
      <c r="L32" s="48" t="str">
        <f>IF(SUM(MidCom!AR26,FinCom!AR26)=0,"",SUM(MidCom!AR26,FinCom!AR26))</f>
        <v/>
      </c>
      <c r="M32" s="31"/>
      <c r="N32" s="17" t="str">
        <f>IF(C32="","",IF(G32="DRP","DRP",IF(G32="WF","WF",IF(K32="INC","INC",IF(OR(MidCom!AS26="ERR",FinCom!AS26="ERR"),"ERR",FLOOR(SUM(MidCom!AS26*Info!$B$34,FinCom!AS26*Info!$B$35,M32),1))))))</f>
        <v/>
      </c>
      <c r="O32" s="17" t="str">
        <f>IF(C32="","",IF(G32="DRP","DRP",IF(G32="WF","WF",IF(K32="INC","INC",IF(K32="FA","FA",IF(N32&lt;75,5,VLOOKUP(_xlfn.FLOOR.MATH(N32,1),'New Grade Equivalent'!$A$3:$C$47,2,FALSE)))))))</f>
        <v/>
      </c>
      <c r="P32" s="8" t="str">
        <f>IF(C32="","",VLOOKUP(O32,'New Grade Equivalent'!$B$3:$C$47,2,FALSE))</f>
        <v/>
      </c>
      <c r="Q32" s="2"/>
      <c r="R32" s="2"/>
    </row>
    <row r="33" spans="1:18" x14ac:dyDescent="0.25">
      <c r="A33" s="13">
        <v>22</v>
      </c>
      <c r="B33" s="13" t="str">
        <f>IF('Student List'!B31="","",'Student List'!B31)</f>
        <v/>
      </c>
      <c r="C33" s="22" t="str">
        <f>IF('Student List'!C31="","",'Student List'!C31)</f>
        <v/>
      </c>
      <c r="D33" s="14" t="str">
        <f>MidCom!G27</f>
        <v/>
      </c>
      <c r="E33" s="14" t="str">
        <f>MidCom!AL27</f>
        <v/>
      </c>
      <c r="F33" s="14" t="str">
        <f>MidCom!AQ27</f>
        <v/>
      </c>
      <c r="G33" s="17" t="str">
        <f>IF(MidCom!AT27="FA", "FA",
    IF(MidCom!AT27="DRP", "DRP",
    IF(MidCom!AT27="WF", "WF", MidCom!AS27)))</f>
        <v/>
      </c>
      <c r="H33" s="17" t="str">
        <f>FinCom!G27</f>
        <v/>
      </c>
      <c r="I33" s="17" t="str">
        <f>FinCom!AL27</f>
        <v/>
      </c>
      <c r="J33" s="17" t="str">
        <f>FinCom!AQ27</f>
        <v/>
      </c>
      <c r="K33" s="17" t="str">
        <f>IF(FinCom!AT27="FA","FA",
IF(FinCom!AT27="FA","FA",
IF(FinCom!AT27="DRP","DRP",
IF(FinCom!AT27="WF","WF",IF(FinCom!AT27="INC","INC",FinCom!AS27)))))</f>
        <v/>
      </c>
      <c r="L33" s="48" t="str">
        <f>IF(SUM(MidCom!AR27,FinCom!AR27)=0,"",SUM(MidCom!AR27,FinCom!AR27))</f>
        <v/>
      </c>
      <c r="M33" s="31"/>
      <c r="N33" s="17" t="str">
        <f>IF(C33="","",IF(G33="DRP","DRP",IF(G33="WF","WF",IF(K33="INC","INC",IF(OR(MidCom!AS27="ERR",FinCom!AS27="ERR"),"ERR",FLOOR(SUM(MidCom!AS27*Info!$B$34,FinCom!AS27*Info!$B$35,M33),1))))))</f>
        <v/>
      </c>
      <c r="O33" s="17" t="str">
        <f>IF(C33="","",IF(G33="DRP","DRP",IF(G33="WF","WF",IF(K33="INC","INC",IF(K33="FA","FA",IF(N33&lt;75,5,VLOOKUP(_xlfn.FLOOR.MATH(N33,1),'New Grade Equivalent'!$A$3:$C$47,2,FALSE)))))))</f>
        <v/>
      </c>
      <c r="P33" s="8" t="str">
        <f>IF(C33="","",VLOOKUP(O33,'New Grade Equivalent'!$B$3:$C$47,2,FALSE))</f>
        <v/>
      </c>
      <c r="Q33" s="2"/>
      <c r="R33" s="2"/>
    </row>
    <row r="34" spans="1:18" x14ac:dyDescent="0.25">
      <c r="A34" s="13">
        <v>23</v>
      </c>
      <c r="B34" s="13" t="str">
        <f>IF('Student List'!B32="","",'Student List'!B32)</f>
        <v/>
      </c>
      <c r="C34" s="22" t="str">
        <f>IF('Student List'!C32="","",'Student List'!C32)</f>
        <v/>
      </c>
      <c r="D34" s="14" t="str">
        <f>MidCom!G28</f>
        <v/>
      </c>
      <c r="E34" s="14" t="str">
        <f>MidCom!AL28</f>
        <v/>
      </c>
      <c r="F34" s="14" t="str">
        <f>MidCom!AQ28</f>
        <v/>
      </c>
      <c r="G34" s="17" t="str">
        <f>IF(MidCom!AT28="FA", "FA",
    IF(MidCom!AT28="DRP", "DRP",
    IF(MidCom!AT28="WF", "WF", MidCom!AS28)))</f>
        <v/>
      </c>
      <c r="H34" s="17" t="str">
        <f>FinCom!G28</f>
        <v/>
      </c>
      <c r="I34" s="17" t="str">
        <f>FinCom!AL28</f>
        <v/>
      </c>
      <c r="J34" s="17" t="str">
        <f>FinCom!AQ28</f>
        <v/>
      </c>
      <c r="K34" s="17" t="str">
        <f>IF(FinCom!AT28="FA","FA",
IF(FinCom!AT28="FA","FA",
IF(FinCom!AT28="DRP","DRP",
IF(FinCom!AT28="WF","WF",IF(FinCom!AT28="INC","INC",FinCom!AS28)))))</f>
        <v/>
      </c>
      <c r="L34" s="48" t="str">
        <f>IF(SUM(MidCom!AR28,FinCom!AR28)=0,"",SUM(MidCom!AR28,FinCom!AR28))</f>
        <v/>
      </c>
      <c r="M34" s="31"/>
      <c r="N34" s="17" t="str">
        <f>IF(C34="","",IF(G34="DRP","DRP",IF(G34="WF","WF",IF(K34="INC","INC",IF(OR(MidCom!AS28="ERR",FinCom!AS28="ERR"),"ERR",FLOOR(SUM(MidCom!AS28*Info!$B$34,FinCom!AS28*Info!$B$35,M34),1))))))</f>
        <v/>
      </c>
      <c r="O34" s="17" t="str">
        <f>IF(C34="","",IF(G34="DRP","DRP",IF(G34="WF","WF",IF(K34="INC","INC",IF(K34="FA","FA",IF(N34&lt;75,5,VLOOKUP(_xlfn.FLOOR.MATH(N34,1),'New Grade Equivalent'!$A$3:$C$47,2,FALSE)))))))</f>
        <v/>
      </c>
      <c r="P34" s="8" t="str">
        <f>IF(C34="","",VLOOKUP(O34,'New Grade Equivalent'!$B$3:$C$47,2,FALSE))</f>
        <v/>
      </c>
      <c r="Q34" s="2"/>
      <c r="R34" s="2"/>
    </row>
    <row r="35" spans="1:18" x14ac:dyDescent="0.25">
      <c r="A35" s="13">
        <v>24</v>
      </c>
      <c r="B35" s="13" t="str">
        <f>IF('Student List'!B33="","",'Student List'!B33)</f>
        <v/>
      </c>
      <c r="C35" s="22" t="str">
        <f>IF('Student List'!C33="","",'Student List'!C33)</f>
        <v/>
      </c>
      <c r="D35" s="14" t="str">
        <f>MidCom!G29</f>
        <v/>
      </c>
      <c r="E35" s="14" t="str">
        <f>MidCom!AL29</f>
        <v/>
      </c>
      <c r="F35" s="14" t="str">
        <f>MidCom!AQ29</f>
        <v/>
      </c>
      <c r="G35" s="17" t="str">
        <f>IF(MidCom!AT29="FA", "FA",
    IF(MidCom!AT29="DRP", "DRP",
    IF(MidCom!AT29="WF", "WF", MidCom!AS29)))</f>
        <v/>
      </c>
      <c r="H35" s="17" t="str">
        <f>FinCom!G29</f>
        <v/>
      </c>
      <c r="I35" s="17" t="str">
        <f>FinCom!AL29</f>
        <v/>
      </c>
      <c r="J35" s="17" t="str">
        <f>FinCom!AQ29</f>
        <v/>
      </c>
      <c r="K35" s="17" t="str">
        <f>IF(FinCom!AT29="FA","FA",
IF(FinCom!AT29="FA","FA",
IF(FinCom!AT29="DRP","DRP",
IF(FinCom!AT29="WF","WF",IF(FinCom!AT29="INC","INC",FinCom!AS29)))))</f>
        <v/>
      </c>
      <c r="L35" s="48" t="str">
        <f>IF(SUM(MidCom!AR29,FinCom!AR29)=0,"",SUM(MidCom!AR29,FinCom!AR29))</f>
        <v/>
      </c>
      <c r="M35" s="31"/>
      <c r="N35" s="17" t="str">
        <f>IF(C35="","",IF(G35="DRP","DRP",IF(G35="WF","WF",IF(K35="INC","INC",IF(OR(MidCom!AS29="ERR",FinCom!AS29="ERR"),"ERR",FLOOR(SUM(MidCom!AS29*Info!$B$34,FinCom!AS29*Info!$B$35,M35),1))))))</f>
        <v/>
      </c>
      <c r="O35" s="17" t="str">
        <f>IF(C35="","",IF(G35="DRP","DRP",IF(G35="WF","WF",IF(K35="INC","INC",IF(K35="FA","FA",IF(N35&lt;75,5,VLOOKUP(_xlfn.FLOOR.MATH(N35,1),'New Grade Equivalent'!$A$3:$C$47,2,FALSE)))))))</f>
        <v/>
      </c>
      <c r="P35" s="8" t="str">
        <f>IF(C35="","",VLOOKUP(O35,'New Grade Equivalent'!$B$3:$C$47,2,FALSE))</f>
        <v/>
      </c>
      <c r="Q35" s="2"/>
      <c r="R35" s="2"/>
    </row>
    <row r="36" spans="1:18" x14ac:dyDescent="0.25">
      <c r="A36" s="13">
        <v>25</v>
      </c>
      <c r="B36" s="13" t="str">
        <f>IF('Student List'!B34="","",'Student List'!B34)</f>
        <v/>
      </c>
      <c r="C36" s="22" t="str">
        <f>IF('Student List'!C34="","",'Student List'!C34)</f>
        <v/>
      </c>
      <c r="D36" s="14" t="str">
        <f>MidCom!G30</f>
        <v/>
      </c>
      <c r="E36" s="14" t="str">
        <f>MidCom!AL30</f>
        <v/>
      </c>
      <c r="F36" s="14" t="str">
        <f>MidCom!AQ30</f>
        <v/>
      </c>
      <c r="G36" s="17" t="str">
        <f>IF(MidCom!AT30="FA", "FA",
    IF(MidCom!AT30="DRP", "DRP",
    IF(MidCom!AT30="WF", "WF", MidCom!AS30)))</f>
        <v/>
      </c>
      <c r="H36" s="17" t="str">
        <f>FinCom!G30</f>
        <v/>
      </c>
      <c r="I36" s="17" t="str">
        <f>FinCom!AL30</f>
        <v/>
      </c>
      <c r="J36" s="17" t="str">
        <f>FinCom!AQ30</f>
        <v/>
      </c>
      <c r="K36" s="17" t="str">
        <f>IF(FinCom!AT30="FA","FA",
IF(FinCom!AT30="FA","FA",
IF(FinCom!AT30="DRP","DRP",
IF(FinCom!AT30="WF","WF",IF(FinCom!AT30="INC","INC",FinCom!AS30)))))</f>
        <v/>
      </c>
      <c r="L36" s="48" t="str">
        <f>IF(SUM(MidCom!AR30,FinCom!AR30)=0,"",SUM(MidCom!AR30,FinCom!AR30))</f>
        <v/>
      </c>
      <c r="M36" s="31"/>
      <c r="N36" s="17" t="str">
        <f>IF(C36="","",IF(G36="DRP","DRP",IF(G36="WF","WF",IF(K36="INC","INC",IF(OR(MidCom!AS30="ERR",FinCom!AS30="ERR"),"ERR",FLOOR(SUM(MidCom!AS30*Info!$B$34,FinCom!AS30*Info!$B$35,M36),1))))))</f>
        <v/>
      </c>
      <c r="O36" s="17" t="str">
        <f>IF(C36="","",IF(G36="DRP","DRP",IF(G36="WF","WF",IF(K36="INC","INC",IF(K36="FA","FA",IF(N36&lt;75,5,VLOOKUP(_xlfn.FLOOR.MATH(N36,1),'New Grade Equivalent'!$A$3:$C$47,2,FALSE)))))))</f>
        <v/>
      </c>
      <c r="P36" s="8" t="str">
        <f>IF(C36="","",VLOOKUP(O36,'New Grade Equivalent'!$B$3:$C$47,2,FALSE))</f>
        <v/>
      </c>
      <c r="Q36" s="2"/>
      <c r="R36" s="2"/>
    </row>
    <row r="37" spans="1:18" x14ac:dyDescent="0.25">
      <c r="A37" s="13">
        <v>26</v>
      </c>
      <c r="B37" s="13" t="str">
        <f>IF('Student List'!B35="","",'Student List'!B35)</f>
        <v/>
      </c>
      <c r="C37" s="22" t="str">
        <f>IF('Student List'!C35="","",'Student List'!C35)</f>
        <v/>
      </c>
      <c r="D37" s="14" t="str">
        <f>MidCom!G31</f>
        <v/>
      </c>
      <c r="E37" s="14" t="str">
        <f>MidCom!AL31</f>
        <v/>
      </c>
      <c r="F37" s="14" t="str">
        <f>MidCom!AQ31</f>
        <v/>
      </c>
      <c r="G37" s="17" t="str">
        <f>IF(MidCom!AT31="FA", "FA",
    IF(MidCom!AT31="DRP", "DRP",
    IF(MidCom!AT31="WF", "WF", MidCom!AS31)))</f>
        <v/>
      </c>
      <c r="H37" s="17" t="str">
        <f>FinCom!G31</f>
        <v/>
      </c>
      <c r="I37" s="17" t="str">
        <f>FinCom!AL31</f>
        <v/>
      </c>
      <c r="J37" s="17" t="str">
        <f>FinCom!AQ31</f>
        <v/>
      </c>
      <c r="K37" s="17" t="str">
        <f>IF(FinCom!AT31="FA","FA",
IF(FinCom!AT31="FA","FA",
IF(FinCom!AT31="DRP","DRP",
IF(FinCom!AT31="WF","WF",IF(FinCom!AT31="INC","INC",FinCom!AS31)))))</f>
        <v/>
      </c>
      <c r="L37" s="48" t="str">
        <f>IF(SUM(MidCom!AR31,FinCom!AR31)=0,"",SUM(MidCom!AR31,FinCom!AR31))</f>
        <v/>
      </c>
      <c r="M37" s="31"/>
      <c r="N37" s="17" t="str">
        <f>IF(C37="","",IF(G37="DRP","DRP",IF(G37="WF","WF",IF(K37="INC","INC",IF(OR(MidCom!AS31="ERR",FinCom!AS31="ERR"),"ERR",FLOOR(SUM(MidCom!AS31*Info!$B$34,FinCom!AS31*Info!$B$35,M37),1))))))</f>
        <v/>
      </c>
      <c r="O37" s="17" t="str">
        <f>IF(C37="","",IF(G37="DRP","DRP",IF(G37="WF","WF",IF(K37="INC","INC",IF(K37="FA","FA",IF(N37&lt;75,5,VLOOKUP(_xlfn.FLOOR.MATH(N37,1),'New Grade Equivalent'!$A$3:$C$47,2,FALSE)))))))</f>
        <v/>
      </c>
      <c r="P37" s="8" t="str">
        <f>IF(C37="","",VLOOKUP(O37,'New Grade Equivalent'!$B$3:$C$47,2,FALSE))</f>
        <v/>
      </c>
      <c r="Q37" s="2"/>
      <c r="R37" s="2"/>
    </row>
    <row r="38" spans="1:18" x14ac:dyDescent="0.25">
      <c r="A38" s="13">
        <v>27</v>
      </c>
      <c r="B38" s="13" t="str">
        <f>IF('Student List'!B36="","",'Student List'!B36)</f>
        <v/>
      </c>
      <c r="C38" s="22" t="str">
        <f>IF('Student List'!C36="","",'Student List'!C36)</f>
        <v/>
      </c>
      <c r="D38" s="14" t="str">
        <f>MidCom!G32</f>
        <v/>
      </c>
      <c r="E38" s="14" t="str">
        <f>MidCom!AL32</f>
        <v/>
      </c>
      <c r="F38" s="14" t="str">
        <f>MidCom!AQ32</f>
        <v/>
      </c>
      <c r="G38" s="17" t="str">
        <f>IF(MidCom!AT32="FA", "FA",
    IF(MidCom!AT32="DRP", "DRP",
    IF(MidCom!AT32="WF", "WF", MidCom!AS32)))</f>
        <v/>
      </c>
      <c r="H38" s="17" t="str">
        <f>FinCom!G32</f>
        <v/>
      </c>
      <c r="I38" s="17" t="str">
        <f>FinCom!AL32</f>
        <v/>
      </c>
      <c r="J38" s="17" t="str">
        <f>FinCom!AQ32</f>
        <v/>
      </c>
      <c r="K38" s="17" t="str">
        <f>IF(FinCom!AT32="FA","FA",
IF(FinCom!AT32="FA","FA",
IF(FinCom!AT32="DRP","DRP",
IF(FinCom!AT32="WF","WF",IF(FinCom!AT32="INC","INC",FinCom!AS32)))))</f>
        <v/>
      </c>
      <c r="L38" s="48" t="str">
        <f>IF(SUM(MidCom!AR32,FinCom!AR32)=0,"",SUM(MidCom!AR32,FinCom!AR32))</f>
        <v/>
      </c>
      <c r="M38" s="31"/>
      <c r="N38" s="17" t="str">
        <f>IF(C38="","",IF(G38="DRP","DRP",IF(G38="WF","WF",IF(K38="INC","INC",IF(OR(MidCom!AS32="ERR",FinCom!AS32="ERR"),"ERR",FLOOR(SUM(MidCom!AS32*Info!$B$34,FinCom!AS32*Info!$B$35,M38),1))))))</f>
        <v/>
      </c>
      <c r="O38" s="17" t="str">
        <f>IF(C38="","",IF(G38="DRP","DRP",IF(G38="WF","WF",IF(K38="INC","INC",IF(K38="FA","FA",IF(N38&lt;75,5,VLOOKUP(_xlfn.FLOOR.MATH(N38,1),'New Grade Equivalent'!$A$3:$C$47,2,FALSE)))))))</f>
        <v/>
      </c>
      <c r="P38" s="8" t="str">
        <f>IF(C38="","",VLOOKUP(O38,'New Grade Equivalent'!$B$3:$C$47,2,FALSE))</f>
        <v/>
      </c>
      <c r="Q38" s="2"/>
      <c r="R38" s="2"/>
    </row>
    <row r="39" spans="1:18" x14ac:dyDescent="0.25">
      <c r="A39" s="13">
        <v>28</v>
      </c>
      <c r="B39" s="13" t="str">
        <f>IF('Student List'!B37="","",'Student List'!B37)</f>
        <v/>
      </c>
      <c r="C39" s="22" t="str">
        <f>IF('Student List'!C37="","",'Student List'!C37)</f>
        <v/>
      </c>
      <c r="D39" s="14" t="str">
        <f>MidCom!G33</f>
        <v/>
      </c>
      <c r="E39" s="14" t="str">
        <f>MidCom!AL33</f>
        <v/>
      </c>
      <c r="F39" s="14" t="str">
        <f>MidCom!AQ33</f>
        <v/>
      </c>
      <c r="G39" s="17" t="str">
        <f>IF(MidCom!AT33="FA", "FA",
    IF(MidCom!AT33="DRP", "DRP",
    IF(MidCom!AT33="WF", "WF", MidCom!AS33)))</f>
        <v/>
      </c>
      <c r="H39" s="17" t="str">
        <f>FinCom!G33</f>
        <v/>
      </c>
      <c r="I39" s="17" t="str">
        <f>FinCom!AL33</f>
        <v/>
      </c>
      <c r="J39" s="17" t="str">
        <f>FinCom!AQ33</f>
        <v/>
      </c>
      <c r="K39" s="17" t="str">
        <f>IF(FinCom!AT33="FA","FA",
IF(FinCom!AT33="FA","FA",
IF(FinCom!AT33="DRP","DRP",
IF(FinCom!AT33="WF","WF",IF(FinCom!AT33="INC","INC",FinCom!AS33)))))</f>
        <v/>
      </c>
      <c r="L39" s="48" t="str">
        <f>IF(SUM(MidCom!AR33,FinCom!AR33)=0,"",SUM(MidCom!AR33,FinCom!AR33))</f>
        <v/>
      </c>
      <c r="M39" s="31"/>
      <c r="N39" s="17" t="str">
        <f>IF(C39="","",IF(G39="DRP","DRP",IF(G39="WF","WF",IF(K39="INC","INC",IF(OR(MidCom!AS33="ERR",FinCom!AS33="ERR"),"ERR",FLOOR(SUM(MidCom!AS33*Info!$B$34,FinCom!AS33*Info!$B$35,M39),1))))))</f>
        <v/>
      </c>
      <c r="O39" s="17" t="str">
        <f>IF(C39="","",IF(G39="DRP","DRP",IF(G39="WF","WF",IF(K39="INC","INC",IF(K39="FA","FA",IF(N39&lt;75,5,VLOOKUP(_xlfn.FLOOR.MATH(N39,1),'New Grade Equivalent'!$A$3:$C$47,2,FALSE)))))))</f>
        <v/>
      </c>
      <c r="P39" s="8" t="str">
        <f>IF(C39="","",VLOOKUP(O39,'New Grade Equivalent'!$B$3:$C$47,2,FALSE))</f>
        <v/>
      </c>
      <c r="Q39" s="2"/>
      <c r="R39" s="2"/>
    </row>
    <row r="40" spans="1:18" x14ac:dyDescent="0.25">
      <c r="A40" s="13">
        <v>29</v>
      </c>
      <c r="B40" s="13" t="str">
        <f>IF('Student List'!B38="","",'Student List'!B38)</f>
        <v/>
      </c>
      <c r="C40" s="22" t="str">
        <f>IF('Student List'!C38="","",'Student List'!C38)</f>
        <v/>
      </c>
      <c r="D40" s="14" t="str">
        <f>MidCom!G34</f>
        <v/>
      </c>
      <c r="E40" s="14" t="str">
        <f>MidCom!AL34</f>
        <v/>
      </c>
      <c r="F40" s="14" t="str">
        <f>MidCom!AQ34</f>
        <v/>
      </c>
      <c r="G40" s="17" t="str">
        <f>IF(MidCom!AT34="FA", "FA",
    IF(MidCom!AT34="DRP", "DRP",
    IF(MidCom!AT34="WF", "WF", MidCom!AS34)))</f>
        <v/>
      </c>
      <c r="H40" s="17" t="str">
        <f>FinCom!G34</f>
        <v/>
      </c>
      <c r="I40" s="17" t="str">
        <f>FinCom!AL34</f>
        <v/>
      </c>
      <c r="J40" s="17" t="str">
        <f>FinCom!AQ34</f>
        <v/>
      </c>
      <c r="K40" s="17" t="str">
        <f>IF(FinCom!AT34="FA","FA",
IF(FinCom!AT34="FA","FA",
IF(FinCom!AT34="DRP","DRP",
IF(FinCom!AT34="WF","WF",IF(FinCom!AT34="INC","INC",FinCom!AS34)))))</f>
        <v/>
      </c>
      <c r="L40" s="48" t="str">
        <f>IF(SUM(MidCom!AR34,FinCom!AR34)=0,"",SUM(MidCom!AR34,FinCom!AR34))</f>
        <v/>
      </c>
      <c r="M40" s="31"/>
      <c r="N40" s="17" t="str">
        <f>IF(C40="","",IF(G40="DRP","DRP",IF(G40="WF","WF",IF(K40="INC","INC",IF(OR(MidCom!AS34="ERR",FinCom!AS34="ERR"),"ERR",FLOOR(SUM(MidCom!AS34*Info!$B$34,FinCom!AS34*Info!$B$35,M40),1))))))</f>
        <v/>
      </c>
      <c r="O40" s="17" t="str">
        <f>IF(C40="","",IF(G40="DRP","DRP",IF(G40="WF","WF",IF(K40="INC","INC",IF(K40="FA","FA",IF(N40&lt;75,5,VLOOKUP(_xlfn.FLOOR.MATH(N40,1),'New Grade Equivalent'!$A$3:$C$47,2,FALSE)))))))</f>
        <v/>
      </c>
      <c r="P40" s="8" t="str">
        <f>IF(C40="","",VLOOKUP(O40,'New Grade Equivalent'!$B$3:$C$47,2,FALSE))</f>
        <v/>
      </c>
      <c r="Q40" s="2"/>
      <c r="R40" s="2"/>
    </row>
    <row r="41" spans="1:18" x14ac:dyDescent="0.25">
      <c r="A41" s="13">
        <v>30</v>
      </c>
      <c r="B41" s="13" t="str">
        <f>IF('Student List'!B39="","",'Student List'!B39)</f>
        <v/>
      </c>
      <c r="C41" s="22" t="str">
        <f>IF('Student List'!C39="","",'Student List'!C39)</f>
        <v/>
      </c>
      <c r="D41" s="14" t="str">
        <f>MidCom!G35</f>
        <v/>
      </c>
      <c r="E41" s="14" t="str">
        <f>MidCom!AL35</f>
        <v/>
      </c>
      <c r="F41" s="14" t="str">
        <f>MidCom!AQ35</f>
        <v/>
      </c>
      <c r="G41" s="17" t="str">
        <f>IF(MidCom!AT35="FA", "FA",
    IF(MidCom!AT35="DRP", "DRP",
    IF(MidCom!AT35="WF", "WF", MidCom!AS35)))</f>
        <v/>
      </c>
      <c r="H41" s="17" t="str">
        <f>FinCom!G35</f>
        <v/>
      </c>
      <c r="I41" s="17" t="str">
        <f>FinCom!AL35</f>
        <v/>
      </c>
      <c r="J41" s="17" t="str">
        <f>FinCom!AQ35</f>
        <v/>
      </c>
      <c r="K41" s="17" t="str">
        <f>IF(FinCom!AT35="FA","FA",
IF(FinCom!AT35="FA","FA",
IF(FinCom!AT35="DRP","DRP",
IF(FinCom!AT35="WF","WF",IF(FinCom!AT35="INC","INC",FinCom!AS35)))))</f>
        <v/>
      </c>
      <c r="L41" s="48" t="str">
        <f>IF(SUM(MidCom!AR35,FinCom!AR35)=0,"",SUM(MidCom!AR35,FinCom!AR35))</f>
        <v/>
      </c>
      <c r="M41" s="31"/>
      <c r="N41" s="17" t="str">
        <f>IF(C41="","",IF(G41="DRP","DRP",IF(G41="WF","WF",IF(K41="INC","INC",IF(OR(MidCom!AS35="ERR",FinCom!AS35="ERR"),"ERR",FLOOR(SUM(MidCom!AS35*Info!$B$34,FinCom!AS35*Info!$B$35,M41),1))))))</f>
        <v/>
      </c>
      <c r="O41" s="17" t="str">
        <f>IF(C41="","",IF(G41="DRP","DRP",IF(G41="WF","WF",IF(K41="INC","INC",IF(K41="FA","FA",IF(N41&lt;75,5,VLOOKUP(_xlfn.FLOOR.MATH(N41,1),'New Grade Equivalent'!$A$3:$C$47,2,FALSE)))))))</f>
        <v/>
      </c>
      <c r="P41" s="8" t="str">
        <f>IF(C41="","",VLOOKUP(O41,'New Grade Equivalent'!$B$3:$C$47,2,FALSE))</f>
        <v/>
      </c>
      <c r="Q41" s="2"/>
      <c r="R41" s="2"/>
    </row>
    <row r="42" spans="1:18" x14ac:dyDescent="0.25">
      <c r="A42" s="13">
        <v>31</v>
      </c>
      <c r="B42" s="13" t="str">
        <f>IF('Student List'!B40="","",'Student List'!B40)</f>
        <v/>
      </c>
      <c r="C42" s="22" t="str">
        <f>IF('Student List'!C40="","",'Student List'!C40)</f>
        <v/>
      </c>
      <c r="D42" s="14" t="str">
        <f>MidCom!G36</f>
        <v/>
      </c>
      <c r="E42" s="14" t="str">
        <f>MidCom!AL36</f>
        <v/>
      </c>
      <c r="F42" s="14" t="str">
        <f>MidCom!AQ36</f>
        <v/>
      </c>
      <c r="G42" s="17" t="str">
        <f>IF(MidCom!AT36="FA", "FA",
    IF(MidCom!AT36="DRP", "DRP",
    IF(MidCom!AT36="WF", "WF", MidCom!AS36)))</f>
        <v/>
      </c>
      <c r="H42" s="17" t="str">
        <f>FinCom!G36</f>
        <v/>
      </c>
      <c r="I42" s="17" t="str">
        <f>FinCom!AL36</f>
        <v/>
      </c>
      <c r="J42" s="17" t="str">
        <f>FinCom!AQ36</f>
        <v/>
      </c>
      <c r="K42" s="17" t="str">
        <f>IF(FinCom!AT36="FA","FA",
IF(FinCom!AT36="FA","FA",
IF(FinCom!AT36="DRP","DRP",
IF(FinCom!AT36="WF","WF",IF(FinCom!AT36="INC","INC",FinCom!AS36)))))</f>
        <v/>
      </c>
      <c r="L42" s="48" t="str">
        <f>IF(SUM(MidCom!AR36,FinCom!AR36)=0,"",SUM(MidCom!AR36,FinCom!AR36))</f>
        <v/>
      </c>
      <c r="M42" s="31"/>
      <c r="N42" s="17" t="str">
        <f>IF(C42="","",IF(G42="DRP","DRP",IF(G42="WF","WF",IF(K42="INC","INC",IF(OR(MidCom!AS36="ERR",FinCom!AS36="ERR"),"ERR",FLOOR(SUM(MidCom!AS36*Info!$B$34,FinCom!AS36*Info!$B$35,M42),1))))))</f>
        <v/>
      </c>
      <c r="O42" s="17" t="str">
        <f>IF(C42="","",IF(G42="DRP","DRP",IF(G42="WF","WF",IF(K42="INC","INC",IF(K42="FA","FA",IF(N42&lt;75,5,VLOOKUP(_xlfn.FLOOR.MATH(N42,1),'New Grade Equivalent'!$A$3:$C$47,2,FALSE)))))))</f>
        <v/>
      </c>
      <c r="P42" s="8" t="str">
        <f>IF(C42="","",VLOOKUP(O42,'New Grade Equivalent'!$B$3:$C$47,2,FALSE))</f>
        <v/>
      </c>
      <c r="Q42" s="2"/>
      <c r="R42" s="2"/>
    </row>
    <row r="43" spans="1:18" x14ac:dyDescent="0.25">
      <c r="A43" s="13">
        <v>32</v>
      </c>
      <c r="B43" s="13" t="str">
        <f>IF('Student List'!B41="","",'Student List'!B41)</f>
        <v/>
      </c>
      <c r="C43" s="22" t="str">
        <f>IF('Student List'!C41="","",'Student List'!C41)</f>
        <v/>
      </c>
      <c r="D43" s="14" t="str">
        <f>MidCom!G37</f>
        <v/>
      </c>
      <c r="E43" s="14" t="str">
        <f>MidCom!AL37</f>
        <v/>
      </c>
      <c r="F43" s="14" t="str">
        <f>MidCom!AQ37</f>
        <v/>
      </c>
      <c r="G43" s="17" t="str">
        <f>IF(MidCom!AT37="FA", "FA",
    IF(MidCom!AT37="DRP", "DRP",
    IF(MidCom!AT37="WF", "WF", MidCom!AS37)))</f>
        <v/>
      </c>
      <c r="H43" s="17" t="str">
        <f>FinCom!G37</f>
        <v/>
      </c>
      <c r="I43" s="17" t="str">
        <f>FinCom!AL37</f>
        <v/>
      </c>
      <c r="J43" s="17" t="str">
        <f>FinCom!AQ37</f>
        <v/>
      </c>
      <c r="K43" s="17" t="str">
        <f>IF(FinCom!AT37="FA","FA",
IF(FinCom!AT37="FA","FA",
IF(FinCom!AT37="DRP","DRP",
IF(FinCom!AT37="WF","WF",IF(FinCom!AT37="INC","INC",FinCom!AS37)))))</f>
        <v/>
      </c>
      <c r="L43" s="48" t="str">
        <f>IF(SUM(MidCom!AR37,FinCom!AR37)=0,"",SUM(MidCom!AR37,FinCom!AR37))</f>
        <v/>
      </c>
      <c r="M43" s="31"/>
      <c r="N43" s="17" t="str">
        <f>IF(C43="","",IF(G43="DRP","DRP",IF(G43="WF","WF",IF(K43="INC","INC",IF(OR(MidCom!AS37="ERR",FinCom!AS37="ERR"),"ERR",FLOOR(SUM(MidCom!AS37*Info!$B$34,FinCom!AS37*Info!$B$35,M43),1))))))</f>
        <v/>
      </c>
      <c r="O43" s="17" t="str">
        <f>IF(C43="","",IF(G43="DRP","DRP",IF(G43="WF","WF",IF(K43="INC","INC",IF(K43="FA","FA",IF(N43&lt;75,5,VLOOKUP(_xlfn.FLOOR.MATH(N43,1),'New Grade Equivalent'!$A$3:$C$47,2,FALSE)))))))</f>
        <v/>
      </c>
      <c r="P43" s="8" t="str">
        <f>IF(C43="","",VLOOKUP(O43,'New Grade Equivalent'!$B$3:$C$47,2,FALSE))</f>
        <v/>
      </c>
      <c r="Q43" s="2"/>
      <c r="R43" s="2"/>
    </row>
    <row r="44" spans="1:18" x14ac:dyDescent="0.25">
      <c r="A44" s="13">
        <v>33</v>
      </c>
      <c r="B44" s="13" t="str">
        <f>IF('Student List'!B42="","",'Student List'!B42)</f>
        <v/>
      </c>
      <c r="C44" s="22" t="str">
        <f>IF('Student List'!C42="","",'Student List'!C42)</f>
        <v/>
      </c>
      <c r="D44" s="14" t="str">
        <f>MidCom!G38</f>
        <v/>
      </c>
      <c r="E44" s="14" t="str">
        <f>MidCom!AL38</f>
        <v/>
      </c>
      <c r="F44" s="14" t="str">
        <f>MidCom!AQ38</f>
        <v/>
      </c>
      <c r="G44" s="17" t="str">
        <f>IF(MidCom!AT38="FA", "FA",
    IF(MidCom!AT38="DRP", "DRP",
    IF(MidCom!AT38="WF", "WF", MidCom!AS38)))</f>
        <v/>
      </c>
      <c r="H44" s="17" t="str">
        <f>FinCom!G38</f>
        <v/>
      </c>
      <c r="I44" s="17" t="str">
        <f>FinCom!AL38</f>
        <v/>
      </c>
      <c r="J44" s="17" t="str">
        <f>FinCom!AQ38</f>
        <v/>
      </c>
      <c r="K44" s="17" t="str">
        <f>IF(FinCom!AT38="FA","FA",
IF(FinCom!AT38="FA","FA",
IF(FinCom!AT38="DRP","DRP",
IF(FinCom!AT38="WF","WF",IF(FinCom!AT38="INC","INC",FinCom!AS38)))))</f>
        <v/>
      </c>
      <c r="L44" s="48" t="str">
        <f>IF(SUM(MidCom!AR38,FinCom!AR38)=0,"",SUM(MidCom!AR38,FinCom!AR38))</f>
        <v/>
      </c>
      <c r="M44" s="31"/>
      <c r="N44" s="17" t="str">
        <f>IF(C44="","",IF(G44="DRP","DRP",IF(G44="WF","WF",IF(K44="INC","INC",IF(OR(MidCom!AS38="ERR",FinCom!AS38="ERR"),"ERR",FLOOR(SUM(MidCom!AS38*Info!$B$34,FinCom!AS38*Info!$B$35,M44),1))))))</f>
        <v/>
      </c>
      <c r="O44" s="17" t="str">
        <f>IF(C44="","",IF(G44="DRP","DRP",IF(G44="WF","WF",IF(K44="INC","INC",IF(K44="FA","FA",IF(N44&lt;75,5,VLOOKUP(_xlfn.FLOOR.MATH(N44,1),'New Grade Equivalent'!$A$3:$C$47,2,FALSE)))))))</f>
        <v/>
      </c>
      <c r="P44" s="8" t="str">
        <f>IF(C44="","",VLOOKUP(O44,'New Grade Equivalent'!$B$3:$C$47,2,FALSE))</f>
        <v/>
      </c>
      <c r="Q44" s="2"/>
      <c r="R44" s="2"/>
    </row>
    <row r="45" spans="1:18" x14ac:dyDescent="0.25">
      <c r="A45" s="13">
        <v>34</v>
      </c>
      <c r="B45" s="13" t="str">
        <f>IF('Student List'!B43="","",'Student List'!B43)</f>
        <v/>
      </c>
      <c r="C45" s="22" t="str">
        <f>IF('Student List'!C43="","",'Student List'!C43)</f>
        <v/>
      </c>
      <c r="D45" s="14" t="str">
        <f>MidCom!G39</f>
        <v/>
      </c>
      <c r="E45" s="14" t="str">
        <f>MidCom!AL39</f>
        <v/>
      </c>
      <c r="F45" s="14" t="str">
        <f>MidCom!AQ39</f>
        <v/>
      </c>
      <c r="G45" s="17" t="str">
        <f>IF(MidCom!AT39="FA", "FA",
    IF(MidCom!AT39="DRP", "DRP",
    IF(MidCom!AT39="WF", "WF", MidCom!AS39)))</f>
        <v/>
      </c>
      <c r="H45" s="17" t="str">
        <f>FinCom!G39</f>
        <v/>
      </c>
      <c r="I45" s="17" t="str">
        <f>FinCom!AL39</f>
        <v/>
      </c>
      <c r="J45" s="17" t="str">
        <f>FinCom!AQ39</f>
        <v/>
      </c>
      <c r="K45" s="17" t="str">
        <f>IF(FinCom!AT39="FA","FA",
IF(FinCom!AT39="FA","FA",
IF(FinCom!AT39="DRP","DRP",
IF(FinCom!AT39="WF","WF",IF(FinCom!AT39="INC","INC",FinCom!AS39)))))</f>
        <v/>
      </c>
      <c r="L45" s="48" t="str">
        <f>IF(SUM(MidCom!AR39,FinCom!AR39)=0,"",SUM(MidCom!AR39,FinCom!AR39))</f>
        <v/>
      </c>
      <c r="M45" s="31"/>
      <c r="N45" s="17" t="str">
        <f>IF(C45="","",IF(G45="DRP","DRP",IF(G45="WF","WF",IF(K45="INC","INC",IF(OR(MidCom!AS39="ERR",FinCom!AS39="ERR"),"ERR",FLOOR(SUM(MidCom!AS39*Info!$B$34,FinCom!AS39*Info!$B$35,M45),1))))))</f>
        <v/>
      </c>
      <c r="O45" s="17" t="str">
        <f>IF(C45="","",IF(G45="DRP","DRP",IF(G45="WF","WF",IF(K45="INC","INC",IF(K45="FA","FA",IF(N45&lt;75,5,VLOOKUP(_xlfn.FLOOR.MATH(N45,1),'New Grade Equivalent'!$A$3:$C$47,2,FALSE)))))))</f>
        <v/>
      </c>
      <c r="P45" s="8" t="str">
        <f>IF(C45="","",VLOOKUP(O45,'New Grade Equivalent'!$B$3:$C$47,2,FALSE))</f>
        <v/>
      </c>
      <c r="Q45" s="2"/>
      <c r="R45" s="2"/>
    </row>
    <row r="46" spans="1:18" x14ac:dyDescent="0.25">
      <c r="A46" s="13">
        <v>35</v>
      </c>
      <c r="B46" s="13" t="str">
        <f>IF('Student List'!B44="","",'Student List'!B44)</f>
        <v/>
      </c>
      <c r="C46" s="22" t="str">
        <f>IF('Student List'!C44="","",'Student List'!C44)</f>
        <v/>
      </c>
      <c r="D46" s="14" t="str">
        <f>MidCom!G40</f>
        <v/>
      </c>
      <c r="E46" s="14" t="str">
        <f>MidCom!AL40</f>
        <v/>
      </c>
      <c r="F46" s="14" t="str">
        <f>MidCom!AQ40</f>
        <v/>
      </c>
      <c r="G46" s="17" t="str">
        <f>IF(MidCom!AT40="FA", "FA",
    IF(MidCom!AT40="DRP", "DRP",
    IF(MidCom!AT40="WF", "WF", MidCom!AS40)))</f>
        <v/>
      </c>
      <c r="H46" s="17" t="str">
        <f>FinCom!G40</f>
        <v/>
      </c>
      <c r="I46" s="17" t="str">
        <f>FinCom!AL40</f>
        <v/>
      </c>
      <c r="J46" s="17" t="str">
        <f>FinCom!AQ40</f>
        <v/>
      </c>
      <c r="K46" s="17" t="str">
        <f>IF(FinCom!AT40="FA","FA",
IF(FinCom!AT40="FA","FA",
IF(FinCom!AT40="DRP","DRP",
IF(FinCom!AT40="WF","WF",IF(FinCom!AT40="INC","INC",FinCom!AS40)))))</f>
        <v/>
      </c>
      <c r="L46" s="48"/>
      <c r="M46" s="31"/>
      <c r="N46" s="17" t="str">
        <f>IF(C46="","",IF(G46="DRP","DRP",IF(G46="WF","WF",IF(K46="INC","INC",IF(OR(MidCom!AS40="ERR",FinCom!AS40="ERR"),"ERR",FLOOR(SUM(MidCom!AS40*Info!$B$34,FinCom!AS40*Info!$B$35,M46),1))))))</f>
        <v/>
      </c>
      <c r="O46" s="17" t="str">
        <f>IF(C46="","",IF(G46="DRP","DRP",IF(G46="WF","WF",IF(K46="INC","INC",IF(K46="FA","FA",IF(N46&lt;75,5,VLOOKUP(_xlfn.FLOOR.MATH(N46,1),'New Grade Equivalent'!$A$3:$C$47,2,FALSE)))))))</f>
        <v/>
      </c>
      <c r="P46" s="8" t="str">
        <f>IF(C46="","",VLOOKUP(O46,'New Grade Equivalent'!$B$3:$C$47,2,FALSE))</f>
        <v/>
      </c>
      <c r="Q46" s="2"/>
      <c r="R46" s="2"/>
    </row>
    <row r="47" spans="1:18" x14ac:dyDescent="0.25">
      <c r="A47" s="13">
        <v>36</v>
      </c>
      <c r="B47" s="13" t="str">
        <f>IF('Student List'!B45="","",'Student List'!B45)</f>
        <v/>
      </c>
      <c r="C47" s="22" t="str">
        <f>IF('Student List'!C45="","",'Student List'!C45)</f>
        <v/>
      </c>
      <c r="D47" s="14" t="str">
        <f>MidCom!G41</f>
        <v/>
      </c>
      <c r="E47" s="14" t="str">
        <f>MidCom!AL41</f>
        <v/>
      </c>
      <c r="F47" s="14" t="str">
        <f>MidCom!AQ41</f>
        <v/>
      </c>
      <c r="G47" s="17" t="str">
        <f>IF(MidCom!AT41="FA", "FA",
    IF(MidCom!AT41="DRP", "DRP",
    IF(MidCom!AT41="WF", "WF", MidCom!AS41)))</f>
        <v/>
      </c>
      <c r="H47" s="17" t="str">
        <f>FinCom!G41</f>
        <v/>
      </c>
      <c r="I47" s="17" t="str">
        <f>FinCom!AL41</f>
        <v/>
      </c>
      <c r="J47" s="17" t="str">
        <f>FinCom!AQ41</f>
        <v/>
      </c>
      <c r="K47" s="17" t="str">
        <f>IF(FinCom!AT41="FA","FA",
IF(FinCom!AT41="FA","FA",
IF(FinCom!AT41="DRP","DRP",
IF(FinCom!AT41="WF","WF",IF(FinCom!AT41="INC","INC",FinCom!AS41)))))</f>
        <v/>
      </c>
      <c r="L47" s="48" t="str">
        <f>IF(SUM(MidCom!AR41,FinCom!AR41)=0,"",SUM(MidCom!AR41,FinCom!AR41))</f>
        <v/>
      </c>
      <c r="M47" s="31"/>
      <c r="N47" s="17" t="str">
        <f>IF(C47="","",IF(G47="DRP","DRP",IF(G47="WF","WF",IF(K47="INC","INC",IF(OR(MidCom!AS41="ERR",FinCom!AS41="ERR"),"ERR",FLOOR(SUM(MidCom!AS41*Info!$B$34,FinCom!AS41*Info!$B$35,M47),1))))))</f>
        <v/>
      </c>
      <c r="O47" s="17" t="str">
        <f>IF(C47="","",IF(G47="DRP","DRP",IF(G47="WF","WF",IF(K47="INC","INC",IF(K47="FA","FA",IF(N47&lt;75,5,VLOOKUP(_xlfn.FLOOR.MATH(N47,1),'New Grade Equivalent'!$A$3:$C$47,2,FALSE)))))))</f>
        <v/>
      </c>
      <c r="P47" s="8" t="str">
        <f>IF(C47="","",VLOOKUP(O47,'New Grade Equivalent'!$B$3:$C$47,2,FALSE))</f>
        <v/>
      </c>
      <c r="Q47" s="2"/>
      <c r="R47" s="2"/>
    </row>
    <row r="48" spans="1:18" x14ac:dyDescent="0.25">
      <c r="A48" s="13">
        <v>37</v>
      </c>
      <c r="B48" s="13" t="str">
        <f>IF('Student List'!B46="","",'Student List'!B46)</f>
        <v/>
      </c>
      <c r="C48" s="22" t="str">
        <f>IF('Student List'!C46="","",'Student List'!C46)</f>
        <v/>
      </c>
      <c r="D48" s="14" t="str">
        <f>MidCom!G42</f>
        <v/>
      </c>
      <c r="E48" s="14" t="str">
        <f>MidCom!AL42</f>
        <v/>
      </c>
      <c r="F48" s="14" t="str">
        <f>MidCom!AQ42</f>
        <v/>
      </c>
      <c r="G48" s="17" t="str">
        <f>IF(MidCom!AT42="FA", "FA",
    IF(MidCom!AT42="DRP", "DRP",
    IF(MidCom!AT42="WF", "WF", MidCom!AS42)))</f>
        <v/>
      </c>
      <c r="H48" s="17" t="str">
        <f>FinCom!G42</f>
        <v/>
      </c>
      <c r="I48" s="17" t="str">
        <f>FinCom!AL42</f>
        <v/>
      </c>
      <c r="J48" s="17" t="str">
        <f>FinCom!AQ42</f>
        <v/>
      </c>
      <c r="K48" s="17" t="str">
        <f>IF(FinCom!AT42="FA","FA",
IF(FinCom!AT42="FA","FA",
IF(FinCom!AT42="DRP","DRP",
IF(FinCom!AT42="WF","WF",IF(FinCom!AT42="INC","INC",FinCom!AS42)))))</f>
        <v/>
      </c>
      <c r="L48" s="48" t="str">
        <f>IF(SUM(MidCom!AR42,FinCom!AR42)=0,"",SUM(MidCom!AR42,FinCom!AR42))</f>
        <v/>
      </c>
      <c r="M48" s="31"/>
      <c r="N48" s="17" t="str">
        <f>IF(C48="","",IF(G48="DRP","DRP",IF(G48="WF","WF",IF(K48="INC","INC",IF(OR(MidCom!AS42="ERR",FinCom!AS42="ERR"),"ERR",FLOOR(SUM(MidCom!AS42*Info!$B$34,FinCom!AS42*Info!$B$35,M48),1))))))</f>
        <v/>
      </c>
      <c r="O48" s="17" t="str">
        <f>IF(C48="","",IF(G48="DRP","DRP",IF(G48="WF","WF",IF(K48="INC","INC",IF(K48="FA","FA",IF(N48&lt;75,5,VLOOKUP(_xlfn.FLOOR.MATH(N48,1),'New Grade Equivalent'!$A$3:$C$47,2,FALSE)))))))</f>
        <v/>
      </c>
      <c r="P48" s="8" t="str">
        <f>IF(C48="","",VLOOKUP(O48,'New Grade Equivalent'!$B$3:$C$47,2,FALSE))</f>
        <v/>
      </c>
      <c r="Q48" s="2"/>
      <c r="R48" s="2"/>
    </row>
    <row r="49" spans="1:18" x14ac:dyDescent="0.25">
      <c r="A49" s="13">
        <v>38</v>
      </c>
      <c r="B49" s="13" t="str">
        <f>IF('Student List'!B47="","",'Student List'!B47)</f>
        <v/>
      </c>
      <c r="C49" s="22" t="str">
        <f>IF('Student List'!C47="","",'Student List'!C47)</f>
        <v/>
      </c>
      <c r="D49" s="14" t="str">
        <f>MidCom!G43</f>
        <v/>
      </c>
      <c r="E49" s="14" t="str">
        <f>MidCom!AL43</f>
        <v/>
      </c>
      <c r="F49" s="14" t="str">
        <f>MidCom!AQ43</f>
        <v/>
      </c>
      <c r="G49" s="17" t="str">
        <f>IF(MidCom!AT43="FA", "FA",
    IF(MidCom!AT43="DRP", "DRP",
    IF(MidCom!AT43="WF", "WF", MidCom!AS43)))</f>
        <v/>
      </c>
      <c r="H49" s="17" t="str">
        <f>FinCom!G43</f>
        <v/>
      </c>
      <c r="I49" s="17" t="str">
        <f>FinCom!AL43</f>
        <v/>
      </c>
      <c r="J49" s="17" t="str">
        <f>FinCom!AQ43</f>
        <v/>
      </c>
      <c r="K49" s="17" t="str">
        <f>IF(FinCom!AT43="FA","FA",
IF(FinCom!AT43="FA","FA",
IF(FinCom!AT43="DRP","DRP",
IF(FinCom!AT43="WF","WF",IF(FinCom!AT43="INC","INC",FinCom!AS43)))))</f>
        <v/>
      </c>
      <c r="L49" s="48" t="str">
        <f>IF(SUM(MidCom!AR43,FinCom!AR43)=0,"",SUM(MidCom!AR43,FinCom!AR43))</f>
        <v/>
      </c>
      <c r="M49" s="31"/>
      <c r="N49" s="17" t="str">
        <f>IF(C49="","",IF(G49="DRP","DRP",IF(G49="WF","WF",IF(K49="INC","INC",IF(OR(MidCom!AS43="ERR",FinCom!AS43="ERR"),"ERR",FLOOR(SUM(MidCom!AS43*Info!$B$34,FinCom!AS43*Info!$B$35,M49),1))))))</f>
        <v/>
      </c>
      <c r="O49" s="17" t="str">
        <f>IF(C49="","",IF(G49="DRP","DRP",IF(G49="WF","WF",IF(K49="INC","INC",IF(K49="FA","FA",IF(N49&lt;75,5,VLOOKUP(_xlfn.FLOOR.MATH(N49,1),'New Grade Equivalent'!$A$3:$C$47,2,FALSE)))))))</f>
        <v/>
      </c>
      <c r="P49" s="8" t="str">
        <f>IF(C49="","",VLOOKUP(O49,'New Grade Equivalent'!$B$3:$C$47,2,FALSE))</f>
        <v/>
      </c>
      <c r="Q49" s="2"/>
      <c r="R49" s="2"/>
    </row>
    <row r="50" spans="1:18" x14ac:dyDescent="0.25">
      <c r="A50" s="13">
        <v>39</v>
      </c>
      <c r="B50" s="13" t="str">
        <f>IF('Student List'!B48="","",'Student List'!B48)</f>
        <v/>
      </c>
      <c r="C50" s="22" t="str">
        <f>IF('Student List'!C48="","",'Student List'!C48)</f>
        <v/>
      </c>
      <c r="D50" s="14" t="str">
        <f>MidCom!G44</f>
        <v/>
      </c>
      <c r="E50" s="14" t="str">
        <f>MidCom!AL44</f>
        <v/>
      </c>
      <c r="F50" s="14" t="str">
        <f>MidCom!AQ44</f>
        <v/>
      </c>
      <c r="G50" s="17" t="str">
        <f>IF(MidCom!AT44="FA", "FA",
    IF(MidCom!AT44="DRP", "DRP",
    IF(MidCom!AT44="WF", "WF", MidCom!AS44)))</f>
        <v/>
      </c>
      <c r="H50" s="17" t="str">
        <f>FinCom!G44</f>
        <v/>
      </c>
      <c r="I50" s="17" t="str">
        <f>FinCom!AL44</f>
        <v/>
      </c>
      <c r="J50" s="17" t="str">
        <f>FinCom!AQ44</f>
        <v/>
      </c>
      <c r="K50" s="17" t="str">
        <f>IF(FinCom!AT44="FA","FA",
IF(FinCom!AT44="FA","FA",
IF(FinCom!AT44="DRP","DRP",
IF(FinCom!AT44="WF","WF",IF(FinCom!AT44="INC","INC",FinCom!AS44)))))</f>
        <v/>
      </c>
      <c r="L50" s="48" t="str">
        <f>IF(SUM(MidCom!AR44,FinCom!AR44)=0,"",SUM(MidCom!AR44,FinCom!AR44))</f>
        <v/>
      </c>
      <c r="M50" s="31"/>
      <c r="N50" s="17" t="str">
        <f>IF(C50="","",IF(G50="DRP","DRP",IF(G50="WF","WF",IF(K50="INC","INC",IF(OR(MidCom!AS44="ERR",FinCom!AS44="ERR"),"ERR",FLOOR(SUM(MidCom!AS44*Info!$B$34,FinCom!AS44*Info!$B$35,M50),1))))))</f>
        <v/>
      </c>
      <c r="O50" s="17" t="str">
        <f>IF(C50="","",IF(G50="DRP","DRP",IF(G50="WF","WF",IF(K50="INC","INC",IF(K50="FA","FA",IF(N50&lt;75,5,VLOOKUP(_xlfn.FLOOR.MATH(N50,1),'New Grade Equivalent'!$A$3:$C$47,2,FALSE)))))))</f>
        <v/>
      </c>
      <c r="P50" s="8" t="str">
        <f>IF(C50="","",VLOOKUP(O50,'New Grade Equivalent'!$B$3:$C$47,2,FALSE))</f>
        <v/>
      </c>
      <c r="Q50" s="2"/>
      <c r="R50" s="2"/>
    </row>
    <row r="51" spans="1:18" x14ac:dyDescent="0.25">
      <c r="A51" s="13">
        <v>40</v>
      </c>
      <c r="B51" s="13" t="str">
        <f>IF('Student List'!B49="","",'Student List'!B49)</f>
        <v/>
      </c>
      <c r="C51" s="22" t="str">
        <f>IF('Student List'!C49="","",'Student List'!C49)</f>
        <v/>
      </c>
      <c r="D51" s="14" t="str">
        <f>MidCom!G45</f>
        <v/>
      </c>
      <c r="E51" s="14" t="str">
        <f>MidCom!AL45</f>
        <v/>
      </c>
      <c r="F51" s="14" t="str">
        <f>MidCom!AQ45</f>
        <v/>
      </c>
      <c r="G51" s="17" t="str">
        <f>IF(MidCom!AT45="FA", "FA",
    IF(MidCom!AT45="DRP", "DRP",
    IF(MidCom!AT45="WF", "WF", MidCom!AS45)))</f>
        <v/>
      </c>
      <c r="H51" s="17" t="str">
        <f>FinCom!G45</f>
        <v/>
      </c>
      <c r="I51" s="17" t="str">
        <f>FinCom!AL45</f>
        <v/>
      </c>
      <c r="J51" s="17" t="str">
        <f>FinCom!AQ45</f>
        <v/>
      </c>
      <c r="K51" s="17" t="str">
        <f>IF(FinCom!AT45="FA","FA",
IF(FinCom!AT45="FA","FA",
IF(FinCom!AT45="DRP","DRP",
IF(FinCom!AT45="WF","WF",IF(FinCom!AT45="INC","INC",FinCom!AS45)))))</f>
        <v/>
      </c>
      <c r="L51" s="48" t="str">
        <f>IF(SUM(MidCom!AR45,FinCom!AR45)=0,"",SUM(MidCom!AR45,FinCom!AR45))</f>
        <v/>
      </c>
      <c r="M51" s="31"/>
      <c r="N51" s="17" t="str">
        <f>IF(C51="","",IF(G51="DRP","DRP",IF(G51="WF","WF",IF(K51="INC","INC",IF(OR(MidCom!AS45="ERR",FinCom!AS45="ERR"),"ERR",FLOOR(SUM(MidCom!AS45*Info!$B$34,FinCom!AS45*Info!$B$35,M51),1))))))</f>
        <v/>
      </c>
      <c r="O51" s="17" t="str">
        <f>IF(C51="","",IF(G51="DRP","DRP",IF(G51="WF","WF",IF(K51="INC","INC",IF(K51="FA","FA",IF(N51&lt;75,5,VLOOKUP(_xlfn.FLOOR.MATH(N51,1),'New Grade Equivalent'!$A$3:$C$47,2,FALSE)))))))</f>
        <v/>
      </c>
      <c r="P51" s="8" t="str">
        <f>IF(C51="","",VLOOKUP(O51,'New Grade Equivalent'!$B$3:$C$47,2,FALSE))</f>
        <v/>
      </c>
      <c r="Q51" s="2"/>
      <c r="R51" s="2"/>
    </row>
    <row r="52" spans="1:18" x14ac:dyDescent="0.25">
      <c r="A52" s="13">
        <v>41</v>
      </c>
      <c r="B52" s="13" t="str">
        <f>IF('Student List'!B50="","",'Student List'!B50)</f>
        <v/>
      </c>
      <c r="C52" s="22" t="str">
        <f>IF('Student List'!C50="","",'Student List'!C50)</f>
        <v/>
      </c>
      <c r="D52" s="14" t="str">
        <f>MidCom!G46</f>
        <v/>
      </c>
      <c r="E52" s="14" t="str">
        <f>MidCom!AL46</f>
        <v/>
      </c>
      <c r="F52" s="14" t="str">
        <f>MidCom!AQ46</f>
        <v/>
      </c>
      <c r="G52" s="17" t="str">
        <f>IF(MidCom!AT46="FA", "FA",
    IF(MidCom!AT46="DRP", "DRP",
    IF(MidCom!AT46="WF", "WF", MidCom!AS46)))</f>
        <v/>
      </c>
      <c r="H52" s="17" t="str">
        <f>FinCom!G46</f>
        <v/>
      </c>
      <c r="I52" s="17" t="str">
        <f>FinCom!AL46</f>
        <v/>
      </c>
      <c r="J52" s="17" t="str">
        <f>FinCom!AQ46</f>
        <v/>
      </c>
      <c r="K52" s="17" t="str">
        <f>IF(FinCom!AT46="FA","FA",
IF(FinCom!AT46="FA","FA",
IF(FinCom!AT46="DRP","DRP",
IF(FinCom!AT46="WF","WF",IF(FinCom!AT46="INC","INC",FinCom!AS46)))))</f>
        <v/>
      </c>
      <c r="L52" s="48" t="str">
        <f>IF(SUM(MidCom!AR46,FinCom!AR46)=0,"",SUM(MidCom!AR46,FinCom!AR46))</f>
        <v/>
      </c>
      <c r="M52" s="31"/>
      <c r="N52" s="17" t="str">
        <f>IF(C52="","",IF(G52="DRP","DRP",IF(G52="WF","WF",IF(K52="INC","INC",IF(OR(MidCom!AS46="ERR",FinCom!AS46="ERR"),"ERR",FLOOR(SUM(MidCom!AS46*Info!$B$34,FinCom!AS46*Info!$B$35,M52),1))))))</f>
        <v/>
      </c>
      <c r="O52" s="17" t="str">
        <f>IF(C52="","",IF(G52="DRP","DRP",IF(G52="WF","WF",IF(K52="INC","INC",IF(K52="FA","FA",IF(N52&lt;75,5,VLOOKUP(_xlfn.FLOOR.MATH(N52,1),'New Grade Equivalent'!$A$3:$C$47,2,FALSE)))))))</f>
        <v/>
      </c>
      <c r="P52" s="8" t="str">
        <f>IF(C52="","",VLOOKUP(O52,'New Grade Equivalent'!$B$3:$C$47,2,FALSE))</f>
        <v/>
      </c>
      <c r="Q52" s="2"/>
      <c r="R52" s="2"/>
    </row>
    <row r="53" spans="1:18" x14ac:dyDescent="0.25">
      <c r="A53" s="13">
        <v>42</v>
      </c>
      <c r="B53" s="13" t="str">
        <f>IF('Student List'!B51="","",'Student List'!B51)</f>
        <v/>
      </c>
      <c r="C53" s="22" t="str">
        <f>IF('Student List'!C51="","",'Student List'!C51)</f>
        <v/>
      </c>
      <c r="D53" s="14" t="str">
        <f>MidCom!G47</f>
        <v/>
      </c>
      <c r="E53" s="14" t="str">
        <f>MidCom!AL47</f>
        <v/>
      </c>
      <c r="F53" s="14" t="str">
        <f>MidCom!AQ47</f>
        <v/>
      </c>
      <c r="G53" s="17" t="str">
        <f>IF(MidCom!AT47="FA", "FA",
    IF(MidCom!AT47="DRP", "DRP",
    IF(MidCom!AT47="WF", "WF", MidCom!AS47)))</f>
        <v/>
      </c>
      <c r="H53" s="17" t="str">
        <f>FinCom!G47</f>
        <v/>
      </c>
      <c r="I53" s="17" t="str">
        <f>FinCom!AL47</f>
        <v/>
      </c>
      <c r="J53" s="17" t="str">
        <f>FinCom!AQ47</f>
        <v/>
      </c>
      <c r="K53" s="17" t="str">
        <f>IF(FinCom!AT47="FA","FA",
IF(FinCom!AT47="FA","FA",
IF(FinCom!AT47="DRP","DRP",
IF(FinCom!AT47="WF","WF",IF(FinCom!AT47="INC","INC",FinCom!AS47)))))</f>
        <v/>
      </c>
      <c r="L53" s="48" t="str">
        <f>IF(SUM(MidCom!AR47,FinCom!AR47)=0,"",SUM(MidCom!AR47,FinCom!AR47))</f>
        <v/>
      </c>
      <c r="M53" s="31"/>
      <c r="N53" s="17" t="str">
        <f>IF(C53="","",IF(G53="DRP","DRP",IF(G53="WF","WF",IF(K53="INC","INC",IF(OR(MidCom!AS47="ERR",FinCom!AS47="ERR"),"ERR",FLOOR(SUM(MidCom!AS47*Info!$B$34,FinCom!AS47*Info!$B$35,M53),1))))))</f>
        <v/>
      </c>
      <c r="O53" s="17" t="str">
        <f>IF(C53="","",IF(G53="DRP","DRP",IF(G53="WF","WF",IF(K53="INC","INC",IF(K53="FA","FA",IF(N53&lt;75,5,VLOOKUP(_xlfn.FLOOR.MATH(N53,1),'New Grade Equivalent'!$A$3:$C$47,2,FALSE)))))))</f>
        <v/>
      </c>
      <c r="P53" s="8" t="str">
        <f>IF(C53="","",VLOOKUP(O53,'New Grade Equivalent'!$B$3:$C$47,2,FALSE))</f>
        <v/>
      </c>
      <c r="Q53" s="2"/>
      <c r="R53" s="2"/>
    </row>
    <row r="54" spans="1:18" x14ac:dyDescent="0.25">
      <c r="A54" s="13">
        <v>43</v>
      </c>
      <c r="B54" s="13" t="str">
        <f>IF('Student List'!B52="","",'Student List'!B52)</f>
        <v/>
      </c>
      <c r="C54" s="22" t="str">
        <f>IF('Student List'!C52="","",'Student List'!C52)</f>
        <v/>
      </c>
      <c r="D54" s="14" t="str">
        <f>MidCom!G48</f>
        <v/>
      </c>
      <c r="E54" s="14" t="str">
        <f>MidCom!AL48</f>
        <v/>
      </c>
      <c r="F54" s="14" t="str">
        <f>MidCom!AQ48</f>
        <v/>
      </c>
      <c r="G54" s="17" t="str">
        <f>IF(MidCom!AT48="FA", "FA",
    IF(MidCom!AT48="DRP", "DRP",
    IF(MidCom!AT48="WF", "WF", MidCom!AS48)))</f>
        <v/>
      </c>
      <c r="H54" s="17" t="str">
        <f>FinCom!G48</f>
        <v/>
      </c>
      <c r="I54" s="17" t="str">
        <f>FinCom!AL48</f>
        <v/>
      </c>
      <c r="J54" s="17" t="str">
        <f>FinCom!AQ48</f>
        <v/>
      </c>
      <c r="K54" s="17" t="str">
        <f>IF(FinCom!AT48="FA","FA",
IF(FinCom!AT48="FA","FA",
IF(FinCom!AT48="DRP","DRP",
IF(FinCom!AT48="WF","WF",IF(FinCom!AT48="INC","INC",FinCom!AS48)))))</f>
        <v/>
      </c>
      <c r="L54" s="48" t="str">
        <f>IF(SUM(MidCom!AR48,FinCom!AR48)=0,"",SUM(MidCom!AR48,FinCom!AR48))</f>
        <v/>
      </c>
      <c r="M54" s="31"/>
      <c r="N54" s="17" t="str">
        <f>IF(C54="","",IF(G54="DRP","DRP",IF(G54="WF","WF",IF(K54="INC","INC",IF(OR(MidCom!AS48="ERR",FinCom!AS48="ERR"),"ERR",FLOOR(SUM(MidCom!AS48*Info!$B$34,FinCom!AS48*Info!$B$35,M54),1))))))</f>
        <v/>
      </c>
      <c r="O54" s="17" t="str">
        <f>IF(C54="","",IF(G54="DRP","DRP",IF(G54="WF","WF",IF(K54="INC","INC",IF(K54="FA","FA",IF(N54&lt;75,5,VLOOKUP(_xlfn.FLOOR.MATH(N54,1),'New Grade Equivalent'!$A$3:$C$47,2,FALSE)))))))</f>
        <v/>
      </c>
      <c r="P54" s="8" t="str">
        <f>IF(C54="","",VLOOKUP(O54,'New Grade Equivalent'!$B$3:$C$47,2,FALSE))</f>
        <v/>
      </c>
      <c r="Q54" s="2"/>
      <c r="R54" s="2"/>
    </row>
    <row r="55" spans="1:18" x14ac:dyDescent="0.25">
      <c r="A55" s="13">
        <v>44</v>
      </c>
      <c r="B55" s="13" t="str">
        <f>IF('Student List'!B53="","",'Student List'!B53)</f>
        <v/>
      </c>
      <c r="C55" s="22" t="str">
        <f>IF('Student List'!C53="","",'Student List'!C53)</f>
        <v/>
      </c>
      <c r="D55" s="14" t="str">
        <f>MidCom!G49</f>
        <v/>
      </c>
      <c r="E55" s="14" t="str">
        <f>MidCom!AL49</f>
        <v/>
      </c>
      <c r="F55" s="14" t="str">
        <f>MidCom!AQ49</f>
        <v/>
      </c>
      <c r="G55" s="17" t="str">
        <f>IF(MidCom!AT49="FA", "FA",
    IF(MidCom!AT49="DRP", "DRP",
    IF(MidCom!AT49="WF", "WF", MidCom!AS49)))</f>
        <v/>
      </c>
      <c r="H55" s="17" t="str">
        <f>FinCom!G49</f>
        <v/>
      </c>
      <c r="I55" s="17" t="str">
        <f>FinCom!AL49</f>
        <v/>
      </c>
      <c r="J55" s="17" t="str">
        <f>FinCom!AQ49</f>
        <v/>
      </c>
      <c r="K55" s="17" t="str">
        <f>IF(FinCom!AT49="FA","FA",
IF(FinCom!AT49="FA","FA",
IF(FinCom!AT49="DRP","DRP",
IF(FinCom!AT49="WF","WF",IF(FinCom!AT49="INC","INC",FinCom!AS49)))))</f>
        <v/>
      </c>
      <c r="L55" s="48" t="str">
        <f>IF(SUM(MidCom!AR49,FinCom!AR49)=0,"",SUM(MidCom!AR49,FinCom!AR49))</f>
        <v/>
      </c>
      <c r="M55" s="31"/>
      <c r="N55" s="17" t="str">
        <f>IF(C55="","",IF(G55="DRP","DRP",IF(G55="WF","WF",IF(K55="INC","INC",IF(OR(MidCom!AS49="ERR",FinCom!AS49="ERR"),"ERR",FLOOR(SUM(MidCom!AS49*Info!$B$34,FinCom!AS49*Info!$B$35,M55),1))))))</f>
        <v/>
      </c>
      <c r="O55" s="17" t="str">
        <f>IF(C55="","",IF(G55="DRP","DRP",IF(G55="WF","WF",IF(K55="INC","INC",IF(K55="FA","FA",IF(N55&lt;75,5,VLOOKUP(_xlfn.FLOOR.MATH(N55,1),'New Grade Equivalent'!$A$3:$C$47,2,FALSE)))))))</f>
        <v/>
      </c>
      <c r="P55" s="8" t="str">
        <f>IF(C55="","",VLOOKUP(O55,'New Grade Equivalent'!$B$3:$C$47,2,FALSE))</f>
        <v/>
      </c>
      <c r="Q55" s="2"/>
      <c r="R55" s="2"/>
    </row>
    <row r="56" spans="1:18" x14ac:dyDescent="0.25">
      <c r="A56" s="13">
        <v>45</v>
      </c>
      <c r="B56" s="13" t="str">
        <f>IF('Student List'!B54="","",'Student List'!B54)</f>
        <v/>
      </c>
      <c r="C56" s="22" t="str">
        <f>IF('Student List'!C54="","",'Student List'!C54)</f>
        <v/>
      </c>
      <c r="D56" s="14" t="str">
        <f>MidCom!G50</f>
        <v/>
      </c>
      <c r="E56" s="14" t="str">
        <f>MidCom!AL50</f>
        <v/>
      </c>
      <c r="F56" s="14" t="str">
        <f>MidCom!AQ50</f>
        <v/>
      </c>
      <c r="G56" s="17" t="str">
        <f>IF(MidCom!AT50="FA", "FA",
    IF(MidCom!AT50="DRP", "DRP",
    IF(MidCom!AT50="WF", "WF", MidCom!AS50)))</f>
        <v/>
      </c>
      <c r="H56" s="17" t="str">
        <f>FinCom!G50</f>
        <v/>
      </c>
      <c r="I56" s="17" t="str">
        <f>FinCom!AL50</f>
        <v/>
      </c>
      <c r="J56" s="17" t="str">
        <f>FinCom!AQ50</f>
        <v/>
      </c>
      <c r="K56" s="17" t="str">
        <f>IF(FinCom!AT50="FA","FA",
IF(FinCom!AT50="FA","FA",
IF(FinCom!AT50="DRP","DRP",
IF(FinCom!AT50="WF","WF",IF(FinCom!AT50="INC","INC",FinCom!AS50)))))</f>
        <v/>
      </c>
      <c r="L56" s="48" t="str">
        <f>IF(SUM(MidCom!AR50,FinCom!AR50)=0,"",SUM(MidCom!AR50,FinCom!AR50))</f>
        <v/>
      </c>
      <c r="M56" s="31"/>
      <c r="N56" s="17" t="str">
        <f>IF(C56="","",IF(G56="DRP","DRP",IF(G56="WF","WF",IF(K56="INC","INC",IF(OR(MidCom!AS50="ERR",FinCom!AS50="ERR"),"ERR",FLOOR(SUM(MidCom!AS50*Info!$B$34,FinCom!AS50*Info!$B$35,M56),1))))))</f>
        <v/>
      </c>
      <c r="O56" s="17" t="str">
        <f>IF(C56="","",IF(G56="DRP","DRP",IF(G56="WF","WF",IF(K56="INC","INC",IF(K56="FA","FA",IF(N56&lt;75,5,VLOOKUP(_xlfn.FLOOR.MATH(N56,1),'New Grade Equivalent'!$A$3:$C$47,2,FALSE)))))))</f>
        <v/>
      </c>
      <c r="P56" s="8" t="str">
        <f>IF(C56="","",VLOOKUP(O56,'New Grade Equivalent'!$B$3:$C$47,2,FALSE))</f>
        <v/>
      </c>
      <c r="Q56" s="2"/>
      <c r="R56" s="2"/>
    </row>
    <row r="57" spans="1:18" x14ac:dyDescent="0.25">
      <c r="A57" s="13">
        <v>46</v>
      </c>
      <c r="B57" s="13" t="str">
        <f>IF('Student List'!B55="","",'Student List'!B55)</f>
        <v/>
      </c>
      <c r="C57" s="22" t="str">
        <f>IF('Student List'!C55="","",'Student List'!C55)</f>
        <v/>
      </c>
      <c r="D57" s="14" t="str">
        <f>MidCom!G51</f>
        <v/>
      </c>
      <c r="E57" s="14" t="str">
        <f>MidCom!AL51</f>
        <v/>
      </c>
      <c r="F57" s="14" t="str">
        <f>MidCom!AQ51</f>
        <v/>
      </c>
      <c r="G57" s="17" t="str">
        <f>IF(MidCom!AT51="FA", "FA",
    IF(MidCom!AT51="DRP", "DRP",
    IF(MidCom!AT51="WF", "WF", MidCom!AS51)))</f>
        <v/>
      </c>
      <c r="H57" s="17" t="str">
        <f>FinCom!G51</f>
        <v/>
      </c>
      <c r="I57" s="17" t="str">
        <f>FinCom!AL51</f>
        <v/>
      </c>
      <c r="J57" s="17" t="str">
        <f>FinCom!AQ51</f>
        <v/>
      </c>
      <c r="K57" s="17" t="str">
        <f>IF(FinCom!AT51="FA","FA",
IF(FinCom!AT51="FA","FA",
IF(FinCom!AT51="DRP","DRP",
IF(FinCom!AT51="WF","WF",IF(FinCom!AT51="INC","INC",FinCom!AS51)))))</f>
        <v/>
      </c>
      <c r="L57" s="48" t="str">
        <f>IF(SUM(MidCom!AR51,FinCom!AR51)=0,"",SUM(MidCom!AR51,FinCom!AR51))</f>
        <v/>
      </c>
      <c r="M57" s="31"/>
      <c r="N57" s="17" t="str">
        <f>IF(C57="","",IF(G57="DRP","DRP",IF(G57="WF","WF",IF(K57="INC","INC",IF(OR(MidCom!AS51="ERR",FinCom!AS51="ERR"),"ERR",FLOOR(SUM(MidCom!AS51*Info!$B$34,FinCom!AS51*Info!$B$35,M57),1))))))</f>
        <v/>
      </c>
      <c r="O57" s="17" t="str">
        <f>IF(C57="","",IF(G57="DRP","DRP",IF(G57="WF","WF",IF(K57="INC","INC",IF(K57="FA","FA",IF(N57&lt;75,5,VLOOKUP(_xlfn.FLOOR.MATH(N57,1),'New Grade Equivalent'!$A$3:$C$47,2,FALSE)))))))</f>
        <v/>
      </c>
      <c r="P57" s="8" t="str">
        <f>IF(C57="","",VLOOKUP(O57,'New Grade Equivalent'!$B$3:$C$47,2,FALSE))</f>
        <v/>
      </c>
      <c r="Q57" s="2"/>
      <c r="R57" s="2"/>
    </row>
    <row r="58" spans="1:18" x14ac:dyDescent="0.25">
      <c r="A58" s="13">
        <v>47</v>
      </c>
      <c r="B58" s="13" t="str">
        <f>IF('Student List'!B56="","",'Student List'!B56)</f>
        <v/>
      </c>
      <c r="C58" s="22" t="str">
        <f>IF('Student List'!C56="","",'Student List'!C56)</f>
        <v/>
      </c>
      <c r="D58" s="14" t="str">
        <f>MidCom!G52</f>
        <v/>
      </c>
      <c r="E58" s="14" t="str">
        <f>MidCom!AL52</f>
        <v/>
      </c>
      <c r="F58" s="14" t="str">
        <f>MidCom!AQ52</f>
        <v/>
      </c>
      <c r="G58" s="17" t="str">
        <f>IF(MidCom!AT52="FA", "FA",
    IF(MidCom!AT52="DRP", "DRP",
    IF(MidCom!AT52="WF", "WF", MidCom!AS52)))</f>
        <v/>
      </c>
      <c r="H58" s="17" t="str">
        <f>FinCom!G52</f>
        <v/>
      </c>
      <c r="I58" s="17" t="str">
        <f>FinCom!AL52</f>
        <v/>
      </c>
      <c r="J58" s="17" t="str">
        <f>FinCom!AQ52</f>
        <v/>
      </c>
      <c r="K58" s="17" t="str">
        <f>IF(FinCom!AT52="FA","FA",
IF(FinCom!AT52="FA","FA",
IF(FinCom!AT52="DRP","DRP",
IF(FinCom!AT52="WF","WF",IF(FinCom!AT52="INC","INC",FinCom!AS52)))))</f>
        <v/>
      </c>
      <c r="L58" s="48" t="str">
        <f>IF(SUM(MidCom!AR52,FinCom!AR52)=0,"",SUM(MidCom!AR52,FinCom!AR52))</f>
        <v/>
      </c>
      <c r="M58" s="31"/>
      <c r="N58" s="17" t="str">
        <f>IF(C58="","",IF(G58="DRP","DRP",IF(G58="WF","WF",IF(K58="INC","INC",IF(OR(MidCom!AS52="ERR",FinCom!AS52="ERR"),"ERR",FLOOR(SUM(MidCom!AS52*Info!$B$34,FinCom!AS52*Info!$B$35,M58),1))))))</f>
        <v/>
      </c>
      <c r="O58" s="17" t="str">
        <f>IF(C58="","",IF(G58="DRP","DRP",IF(G58="WF","WF",IF(K58="INC","INC",IF(K58="FA","FA",IF(N58&lt;75,5,VLOOKUP(_xlfn.FLOOR.MATH(N58,1),'New Grade Equivalent'!$A$3:$C$47,2,FALSE)))))))</f>
        <v/>
      </c>
      <c r="P58" s="8" t="str">
        <f>IF(C58="","",VLOOKUP(O58,'New Grade Equivalent'!$B$3:$C$47,2,FALSE))</f>
        <v/>
      </c>
      <c r="Q58" s="2"/>
      <c r="R58" s="2"/>
    </row>
    <row r="59" spans="1:18" x14ac:dyDescent="0.25">
      <c r="A59" s="13">
        <v>48</v>
      </c>
      <c r="B59" s="13" t="str">
        <f>IF('Student List'!B57="","",'Student List'!B57)</f>
        <v/>
      </c>
      <c r="C59" s="22" t="str">
        <f>IF('Student List'!C57="","",'Student List'!C57)</f>
        <v/>
      </c>
      <c r="D59" s="14" t="str">
        <f>MidCom!G53</f>
        <v/>
      </c>
      <c r="E59" s="14" t="str">
        <f>MidCom!AL53</f>
        <v/>
      </c>
      <c r="F59" s="14" t="str">
        <f>MidCom!AQ53</f>
        <v/>
      </c>
      <c r="G59" s="17" t="str">
        <f>IF(MidCom!AT53="FA", "FA",
    IF(MidCom!AT53="DRP", "DRP",
    IF(MidCom!AT53="WF", "WF", MidCom!AS53)))</f>
        <v/>
      </c>
      <c r="H59" s="17" t="str">
        <f>FinCom!G53</f>
        <v/>
      </c>
      <c r="I59" s="17" t="str">
        <f>FinCom!AL53</f>
        <v/>
      </c>
      <c r="J59" s="17" t="str">
        <f>FinCom!AQ53</f>
        <v/>
      </c>
      <c r="K59" s="17" t="str">
        <f>IF(FinCom!AT53="FA","FA",
IF(FinCom!AT53="FA","FA",
IF(FinCom!AT53="DRP","DRP",
IF(FinCom!AT53="WF","WF",IF(FinCom!AT53="INC","INC",FinCom!AS53)))))</f>
        <v/>
      </c>
      <c r="L59" s="48" t="str">
        <f>IF(SUM(MidCom!AR53,FinCom!AR53)=0,"",SUM(MidCom!AR53,FinCom!AR53))</f>
        <v/>
      </c>
      <c r="M59" s="31"/>
      <c r="N59" s="17" t="str">
        <f>IF(C59="","",IF(G59="DRP","DRP",IF(G59="WF","WF",IF(K59="INC","INC",IF(OR(MidCom!AS53="ERR",FinCom!AS53="ERR"),"ERR",FLOOR(SUM(MidCom!AS53*Info!$B$34,FinCom!AS53*Info!$B$35,M59),1))))))</f>
        <v/>
      </c>
      <c r="O59" s="17" t="str">
        <f>IF(C59="","",IF(G59="DRP","DRP",IF(G59="WF","WF",IF(K59="INC","INC",IF(K59="FA","FA",IF(N59&lt;75,5,VLOOKUP(_xlfn.FLOOR.MATH(N59,1),'New Grade Equivalent'!$A$3:$C$47,2,FALSE)))))))</f>
        <v/>
      </c>
      <c r="P59" s="8" t="str">
        <f>IF(C59="","",VLOOKUP(O59,'New Grade Equivalent'!$B$3:$C$47,2,FALSE))</f>
        <v/>
      </c>
      <c r="Q59" s="2"/>
      <c r="R59" s="2"/>
    </row>
    <row r="60" spans="1:18" x14ac:dyDescent="0.25">
      <c r="A60" s="13">
        <v>49</v>
      </c>
      <c r="B60" s="13" t="str">
        <f>IF('Student List'!B58="","",'Student List'!B58)</f>
        <v/>
      </c>
      <c r="C60" s="22" t="str">
        <f>IF('Student List'!C58="","",'Student List'!C58)</f>
        <v/>
      </c>
      <c r="D60" s="14" t="str">
        <f>MidCom!G54</f>
        <v/>
      </c>
      <c r="E60" s="14" t="str">
        <f>MidCom!AL54</f>
        <v/>
      </c>
      <c r="F60" s="14" t="str">
        <f>MidCom!AQ54</f>
        <v/>
      </c>
      <c r="G60" s="17" t="str">
        <f>IF(MidCom!AT54="FA", "FA",
    IF(MidCom!AT54="DRP", "DRP",
    IF(MidCom!AT54="WF", "WF", MidCom!AS54)))</f>
        <v/>
      </c>
      <c r="H60" s="17" t="str">
        <f>FinCom!G54</f>
        <v/>
      </c>
      <c r="I60" s="17" t="str">
        <f>FinCom!AL54</f>
        <v/>
      </c>
      <c r="J60" s="17" t="str">
        <f>FinCom!AQ54</f>
        <v/>
      </c>
      <c r="K60" s="17" t="str">
        <f>IF(FinCom!AT54="FA","FA",
IF(FinCom!AT54="FA","FA",
IF(FinCom!AT54="DRP","DRP",
IF(FinCom!AT54="WF","WF",IF(FinCom!AT54="INC","INC",FinCom!AS54)))))</f>
        <v/>
      </c>
      <c r="L60" s="48" t="str">
        <f>IF(SUM(MidCom!AR54,FinCom!AR54)=0,"",SUM(MidCom!AR54,FinCom!AR54))</f>
        <v/>
      </c>
      <c r="M60" s="31"/>
      <c r="N60" s="17" t="str">
        <f>IF(C60="","",IF(G60="DRP","DRP",IF(G60="WF","WF",IF(K60="INC","INC",IF(OR(MidCom!AS54="ERR",FinCom!AS54="ERR"),"ERR",FLOOR(SUM(MidCom!AS54*Info!$B$34,FinCom!AS54*Info!$B$35,M60),1))))))</f>
        <v/>
      </c>
      <c r="O60" s="17" t="str">
        <f>IF(C60="","",IF(G60="DRP","DRP",IF(G60="WF","WF",IF(K60="INC","INC",IF(K60="FA","FA",IF(N60&lt;75,5,VLOOKUP(_xlfn.FLOOR.MATH(N60,1),'New Grade Equivalent'!$A$3:$C$47,2,FALSE)))))))</f>
        <v/>
      </c>
      <c r="P60" s="8" t="str">
        <f>IF(C60="","",VLOOKUP(O60,'New Grade Equivalent'!$B$3:$C$47,2,FALSE))</f>
        <v/>
      </c>
      <c r="Q60" s="2"/>
      <c r="R60" s="2"/>
    </row>
    <row r="61" spans="1:18" x14ac:dyDescent="0.25">
      <c r="A61" s="13">
        <v>50</v>
      </c>
      <c r="B61" s="13" t="str">
        <f>IF('Student List'!B59="","",'Student List'!B59)</f>
        <v/>
      </c>
      <c r="C61" s="22" t="str">
        <f>IF('Student List'!C59="","",'Student List'!C59)</f>
        <v/>
      </c>
      <c r="D61" s="14" t="str">
        <f>MidCom!G55</f>
        <v/>
      </c>
      <c r="E61" s="14" t="str">
        <f>MidCom!AL55</f>
        <v/>
      </c>
      <c r="F61" s="14" t="str">
        <f>MidCom!AQ55</f>
        <v/>
      </c>
      <c r="G61" s="17" t="str">
        <f>IF(MidCom!AT55="FA", "FA",
    IF(MidCom!AT55="DRP", "DRP",
    IF(MidCom!AT55="WF", "WF", MidCom!AS55)))</f>
        <v/>
      </c>
      <c r="H61" s="17" t="str">
        <f>FinCom!G55</f>
        <v/>
      </c>
      <c r="I61" s="17" t="str">
        <f>FinCom!AL55</f>
        <v/>
      </c>
      <c r="J61" s="17" t="str">
        <f>FinCom!AQ55</f>
        <v/>
      </c>
      <c r="K61" s="17" t="str">
        <f>IF(FinCom!AT55="FA","FA",
IF(FinCom!AT55="FA","FA",
IF(FinCom!AT55="DRP","DRP",
IF(FinCom!AT55="WF","WF",IF(FinCom!AT55="INC","INC",FinCom!AS55)))))</f>
        <v/>
      </c>
      <c r="L61" s="48" t="str">
        <f>IF(SUM(MidCom!AR55,FinCom!AR55)=0,"",SUM(MidCom!AR55,FinCom!AR55))</f>
        <v/>
      </c>
      <c r="M61" s="31"/>
      <c r="N61" s="17" t="str">
        <f>IF(C61="","",IF(G61="DRP","DRP",IF(G61="WF","WF",IF(K61="INC","INC",IF(OR(MidCom!AS55="ERR",FinCom!AS55="ERR"),"ERR",FLOOR(SUM(MidCom!AS55*Info!$B$34,FinCom!AS55*Info!$B$35,M61),1))))))</f>
        <v/>
      </c>
      <c r="O61" s="17" t="str">
        <f>IF(C61="","",IF(G61="DRP","DRP",IF(G61="WF","WF",IF(K61="INC","INC",IF(K61="FA","FA",IF(N61&lt;75,5,VLOOKUP(_xlfn.FLOOR.MATH(N61,1),'New Grade Equivalent'!$A$3:$C$47,2,FALSE)))))))</f>
        <v/>
      </c>
      <c r="P61" s="8" t="str">
        <f>IF(C61="","",VLOOKUP(O61,'New Grade Equivalent'!$B$3:$C$47,2,FALSE))</f>
        <v/>
      </c>
      <c r="Q61" s="2"/>
      <c r="R61" s="2"/>
    </row>
    <row r="62" spans="1:18" x14ac:dyDescent="0.25">
      <c r="A62" s="13">
        <v>51</v>
      </c>
      <c r="B62" s="13" t="str">
        <f>IF('Student List'!B60="","",'Student List'!B60)</f>
        <v/>
      </c>
      <c r="C62" s="22" t="str">
        <f>IF('Student List'!C60="","",'Student List'!C60)</f>
        <v/>
      </c>
      <c r="D62" s="14" t="str">
        <f>MidCom!G56</f>
        <v/>
      </c>
      <c r="E62" s="14" t="str">
        <f>MidCom!AL56</f>
        <v/>
      </c>
      <c r="F62" s="14" t="str">
        <f>MidCom!AQ56</f>
        <v/>
      </c>
      <c r="G62" s="17" t="str">
        <f>IF(MidCom!AT56="FA", "FA",
    IF(MidCom!AT56="DRP", "DRP",
    IF(MidCom!AT56="WF", "WF", MidCom!AS56)))</f>
        <v/>
      </c>
      <c r="H62" s="17" t="str">
        <f>FinCom!G56</f>
        <v/>
      </c>
      <c r="I62" s="17" t="str">
        <f>FinCom!AL56</f>
        <v/>
      </c>
      <c r="J62" s="17" t="str">
        <f>FinCom!AQ56</f>
        <v/>
      </c>
      <c r="K62" s="17" t="str">
        <f>IF(FinCom!AT56="FA","FA",
IF(FinCom!AT56="FA","FA",
IF(FinCom!AT56="DRP","DRP",
IF(FinCom!AT56="WF","WF",IF(FinCom!AT56="INC","INC",FinCom!AS56)))))</f>
        <v/>
      </c>
      <c r="L62" s="48" t="str">
        <f>IF(SUM(MidCom!AR56,FinCom!AR56)=0,"",SUM(MidCom!AR56,FinCom!AR56))</f>
        <v/>
      </c>
      <c r="M62" s="31"/>
      <c r="N62" s="17" t="str">
        <f>IF(C62="","",IF(G62="DRP","DRP",IF(G62="WF","WF",IF(K62="INC","INC",IF(OR(MidCom!AS56="ERR",FinCom!AS56="ERR"),"ERR",FLOOR(SUM(MidCom!AS56*Info!$B$34,FinCom!AS56*Info!$B$35,M62),1))))))</f>
        <v/>
      </c>
      <c r="O62" s="17" t="str">
        <f>IF(C62="","",IF(G62="DRP","DRP",IF(G62="WF","WF",IF(K62="INC","INC",IF(K62="FA","FA",IF(N62&lt;75,5,VLOOKUP(_xlfn.FLOOR.MATH(N62,1),'New Grade Equivalent'!$A$3:$C$47,2,FALSE)))))))</f>
        <v/>
      </c>
      <c r="P62" s="8" t="str">
        <f>IF(C62="","",VLOOKUP(O62,'New Grade Equivalent'!$B$3:$C$47,2,FALSE))</f>
        <v/>
      </c>
      <c r="Q62" s="2"/>
      <c r="R62" s="2"/>
    </row>
    <row r="63" spans="1:18" x14ac:dyDescent="0.25">
      <c r="A63" s="13">
        <v>52</v>
      </c>
      <c r="B63" s="13" t="str">
        <f>IF('Student List'!B61="","",'Student List'!B61)</f>
        <v/>
      </c>
      <c r="C63" s="22" t="str">
        <f>IF('Student List'!C61="","",'Student List'!C61)</f>
        <v/>
      </c>
      <c r="D63" s="14" t="str">
        <f>MidCom!G57</f>
        <v/>
      </c>
      <c r="E63" s="14" t="str">
        <f>MidCom!AL57</f>
        <v/>
      </c>
      <c r="F63" s="14" t="str">
        <f>MidCom!AQ57</f>
        <v/>
      </c>
      <c r="G63" s="17" t="str">
        <f>IF(MidCom!AT57="FA", "FA",
    IF(MidCom!AT57="DRP", "DRP",
    IF(MidCom!AT57="WF", "WF", MidCom!AS57)))</f>
        <v/>
      </c>
      <c r="H63" s="17" t="str">
        <f>FinCom!G57</f>
        <v/>
      </c>
      <c r="I63" s="17" t="str">
        <f>FinCom!AL57</f>
        <v/>
      </c>
      <c r="J63" s="17" t="str">
        <f>FinCom!AQ57</f>
        <v/>
      </c>
      <c r="K63" s="17" t="str">
        <f>IF(FinCom!AT57="FA","FA",
IF(FinCom!AT57="FA","FA",
IF(FinCom!AT57="DRP","DRP",
IF(FinCom!AT57="WF","WF",IF(FinCom!AT57="INC","INC",FinCom!AS57)))))</f>
        <v/>
      </c>
      <c r="L63" s="48" t="str">
        <f>IF(SUM(MidCom!AR57,FinCom!AR57)=0,"",SUM(MidCom!AR57,FinCom!AR57))</f>
        <v/>
      </c>
      <c r="M63" s="31"/>
      <c r="N63" s="17" t="str">
        <f>IF(C63="","",IF(G63="DRP","DRP",IF(G63="WF","WF",IF(K63="INC","INC",IF(OR(MidCom!AS57="ERR",FinCom!AS57="ERR"),"ERR",FLOOR(SUM(MidCom!AS57*Info!$B$34,FinCom!AS57*Info!$B$35,M63),1))))))</f>
        <v/>
      </c>
      <c r="O63" s="17" t="str">
        <f>IF(C63="","",IF(G63="DRP","DRP",IF(G63="WF","WF",IF(K63="INC","INC",IF(K63="FA","FA",IF(N63&lt;75,5,VLOOKUP(_xlfn.FLOOR.MATH(N63,1),'New Grade Equivalent'!$A$3:$C$47,2,FALSE)))))))</f>
        <v/>
      </c>
      <c r="P63" s="8" t="str">
        <f>IF(C63="","",VLOOKUP(O63,'New Grade Equivalent'!$B$3:$C$47,2,FALSE))</f>
        <v/>
      </c>
      <c r="Q63" s="2"/>
      <c r="R63" s="2"/>
    </row>
    <row r="64" spans="1:18" x14ac:dyDescent="0.25">
      <c r="A64" s="13">
        <v>53</v>
      </c>
      <c r="B64" s="13" t="str">
        <f>IF('Student List'!B62="","",'Student List'!B62)</f>
        <v/>
      </c>
      <c r="C64" s="22" t="str">
        <f>IF('Student List'!C62="","",'Student List'!C62)</f>
        <v/>
      </c>
      <c r="D64" s="14" t="str">
        <f>MidCom!G58</f>
        <v/>
      </c>
      <c r="E64" s="14" t="str">
        <f>MidCom!AL58</f>
        <v/>
      </c>
      <c r="F64" s="14" t="str">
        <f>MidCom!AQ58</f>
        <v/>
      </c>
      <c r="G64" s="17" t="str">
        <f>IF(MidCom!AT58="FA", "FA",
    IF(MidCom!AT58="DRP", "DRP",
    IF(MidCom!AT58="WF", "WF", MidCom!AS58)))</f>
        <v/>
      </c>
      <c r="H64" s="17" t="str">
        <f>FinCom!G58</f>
        <v/>
      </c>
      <c r="I64" s="17" t="str">
        <f>FinCom!AL58</f>
        <v/>
      </c>
      <c r="J64" s="17" t="str">
        <f>FinCom!AQ58</f>
        <v/>
      </c>
      <c r="K64" s="17" t="str">
        <f>IF(FinCom!AT58="FA","FA",
IF(FinCom!AT58="FA","FA",
IF(FinCom!AT58="DRP","DRP",
IF(FinCom!AT58="WF","WF",IF(FinCom!AT58="INC","INC",FinCom!AS58)))))</f>
        <v/>
      </c>
      <c r="L64" s="48" t="str">
        <f>IF(SUM(MidCom!AR58,FinCom!AR58)=0,"",SUM(MidCom!AR58,FinCom!AR58))</f>
        <v/>
      </c>
      <c r="M64" s="31"/>
      <c r="N64" s="17" t="str">
        <f>IF(C64="","",IF(G64="DRP","DRP",IF(G64="WF","WF",IF(K64="INC","INC",IF(OR(MidCom!AS58="ERR",FinCom!AS58="ERR"),"ERR",FLOOR(SUM(MidCom!AS58*Info!$B$34,FinCom!AS58*Info!$B$35,M64),1))))))</f>
        <v/>
      </c>
      <c r="O64" s="17" t="str">
        <f>IF(C64="","",IF(G64="DRP","DRP",IF(G64="WF","WF",IF(K64="INC","INC",IF(K64="FA","FA",IF(N64&lt;75,5,VLOOKUP(_xlfn.FLOOR.MATH(N64,1),'New Grade Equivalent'!$A$3:$C$47,2,FALSE)))))))</f>
        <v/>
      </c>
      <c r="P64" s="8" t="str">
        <f>IF(C64="","",VLOOKUP(O64,'New Grade Equivalent'!$B$3:$C$47,2,FALSE))</f>
        <v/>
      </c>
      <c r="Q64" s="2"/>
      <c r="R64" s="2"/>
    </row>
    <row r="65" spans="1:18" x14ac:dyDescent="0.25">
      <c r="A65" s="13">
        <v>54</v>
      </c>
      <c r="B65" s="13" t="str">
        <f>IF('Student List'!B63="","",'Student List'!B63)</f>
        <v/>
      </c>
      <c r="C65" s="22" t="str">
        <f>IF('Student List'!C63="","",'Student List'!C63)</f>
        <v/>
      </c>
      <c r="D65" s="14" t="str">
        <f>MidCom!G59</f>
        <v/>
      </c>
      <c r="E65" s="14" t="str">
        <f>MidCom!AL59</f>
        <v/>
      </c>
      <c r="F65" s="14" t="str">
        <f>MidCom!AQ59</f>
        <v/>
      </c>
      <c r="G65" s="17" t="str">
        <f>IF(MidCom!AT59="FA", "FA",
    IF(MidCom!AT59="DRP", "DRP",
    IF(MidCom!AT59="WF", "WF", MidCom!AS59)))</f>
        <v/>
      </c>
      <c r="H65" s="17" t="str">
        <f>FinCom!G59</f>
        <v/>
      </c>
      <c r="I65" s="17" t="str">
        <f>FinCom!AL59</f>
        <v/>
      </c>
      <c r="J65" s="17" t="str">
        <f>FinCom!AQ59</f>
        <v/>
      </c>
      <c r="K65" s="17" t="str">
        <f>IF(FinCom!AT59="FA","FA",
IF(FinCom!AT59="FA","FA",
IF(FinCom!AT59="DRP","DRP",
IF(FinCom!AT59="WF","WF",IF(FinCom!AT59="INC","INC",FinCom!AS59)))))</f>
        <v/>
      </c>
      <c r="L65" s="48" t="str">
        <f>IF(SUM(MidCom!AR59,FinCom!AR59)=0,"",SUM(MidCom!AR59,FinCom!AR59))</f>
        <v/>
      </c>
      <c r="M65" s="31"/>
      <c r="N65" s="17" t="str">
        <f>IF(C65="","",IF(G65="DRP","DRP",IF(G65="WF","WF",IF(K65="INC","INC",IF(OR(MidCom!AS59="ERR",FinCom!AS59="ERR"),"ERR",FLOOR(SUM(MidCom!AS59*Info!$B$34,FinCom!AS59*Info!$B$35,M65),1))))))</f>
        <v/>
      </c>
      <c r="O65" s="17" t="str">
        <f>IF(C65="","",IF(G65="DRP","DRP",IF(G65="WF","WF",IF(K65="INC","INC",IF(K65="FA","FA",IF(N65&lt;75,5,VLOOKUP(_xlfn.FLOOR.MATH(N65,1),'New Grade Equivalent'!$A$3:$C$47,2,FALSE)))))))</f>
        <v/>
      </c>
      <c r="P65" s="8" t="str">
        <f>IF(C65="","",VLOOKUP(O65,'New Grade Equivalent'!$B$3:$C$47,2,FALSE))</f>
        <v/>
      </c>
      <c r="Q65" s="2"/>
      <c r="R65" s="2"/>
    </row>
    <row r="66" spans="1:18" x14ac:dyDescent="0.25">
      <c r="A66" s="13">
        <v>55</v>
      </c>
      <c r="B66" s="13" t="str">
        <f>IF('Student List'!B64="","",'Student List'!B64)</f>
        <v/>
      </c>
      <c r="C66" s="22" t="str">
        <f>IF('Student List'!C64="","",'Student List'!C64)</f>
        <v/>
      </c>
      <c r="D66" s="14" t="str">
        <f>MidCom!G60</f>
        <v/>
      </c>
      <c r="E66" s="14" t="str">
        <f>MidCom!AL60</f>
        <v/>
      </c>
      <c r="F66" s="14" t="str">
        <f>MidCom!AQ60</f>
        <v/>
      </c>
      <c r="G66" s="17" t="str">
        <f>IF(MidCom!AT60="FA", "FA",
    IF(MidCom!AT60="DRP", "DRP",
    IF(MidCom!AT60="WF", "WF", MidCom!AS60)))</f>
        <v/>
      </c>
      <c r="H66" s="17" t="str">
        <f>FinCom!G60</f>
        <v/>
      </c>
      <c r="I66" s="17" t="str">
        <f>FinCom!AL60</f>
        <v/>
      </c>
      <c r="J66" s="17" t="str">
        <f>FinCom!AQ60</f>
        <v/>
      </c>
      <c r="K66" s="17" t="str">
        <f>IF(FinCom!AT60="FA","FA",
IF(FinCom!AT60="FA","FA",
IF(FinCom!AT60="DRP","DRP",
IF(FinCom!AT60="WF","WF",IF(FinCom!AT60="INC","INC",FinCom!AS60)))))</f>
        <v/>
      </c>
      <c r="L66" s="48" t="str">
        <f>IF(SUM(MidCom!AR60,FinCom!AR60)=0,"",SUM(MidCom!AR60,FinCom!AR60))</f>
        <v/>
      </c>
      <c r="M66" s="31"/>
      <c r="N66" s="17" t="str">
        <f>IF(C66="","",IF(G66="DRP","DRP",IF(G66="WF","WF",IF(K66="INC","INC",IF(OR(MidCom!AS60="ERR",FinCom!AS60="ERR"),"ERR",FLOOR(SUM(MidCom!AS60*Info!$B$34,FinCom!AS60*Info!$B$35,M66),1))))))</f>
        <v/>
      </c>
      <c r="O66" s="17" t="str">
        <f>IF(C66="","",IF(G66="DRP","DRP",IF(G66="WF","WF",IF(K66="INC","INC",IF(K66="FA","FA",IF(N66&lt;75,5,VLOOKUP(_xlfn.FLOOR.MATH(N66,1),'New Grade Equivalent'!$A$3:$C$47,2,FALSE)))))))</f>
        <v/>
      </c>
      <c r="P66" s="8" t="str">
        <f>IF(C66="","",VLOOKUP(O66,'New Grade Equivalent'!$B$3:$C$47,2,FALSE))</f>
        <v/>
      </c>
      <c r="Q66" s="2"/>
      <c r="R66" s="2"/>
    </row>
    <row r="67" spans="1:18" x14ac:dyDescent="0.25">
      <c r="A67" s="13">
        <v>56</v>
      </c>
      <c r="B67" s="13" t="str">
        <f>IF('Student List'!B65="","",'Student List'!B65)</f>
        <v/>
      </c>
      <c r="C67" s="22" t="str">
        <f>IF('Student List'!C65="","",'Student List'!C65)</f>
        <v/>
      </c>
      <c r="D67" s="14" t="str">
        <f>MidCom!G61</f>
        <v/>
      </c>
      <c r="E67" s="14" t="str">
        <f>MidCom!AL61</f>
        <v/>
      </c>
      <c r="F67" s="14" t="str">
        <f>MidCom!AQ61</f>
        <v/>
      </c>
      <c r="G67" s="17" t="str">
        <f>IF(MidCom!AT61="FA", "FA",
    IF(MidCom!AT61="DRP", "DRP",
    IF(MidCom!AT61="WF", "WF", MidCom!AS61)))</f>
        <v/>
      </c>
      <c r="H67" s="17" t="str">
        <f>FinCom!G61</f>
        <v/>
      </c>
      <c r="I67" s="17" t="str">
        <f>FinCom!AL61</f>
        <v/>
      </c>
      <c r="J67" s="17" t="str">
        <f>FinCom!AQ61</f>
        <v/>
      </c>
      <c r="K67" s="17" t="str">
        <f>IF(FinCom!AT61="FA","FA",
IF(FinCom!AT61="FA","FA",
IF(FinCom!AT61="DRP","DRP",
IF(FinCom!AT61="WF","WF",IF(FinCom!AT61="INC","INC",FinCom!AS61)))))</f>
        <v/>
      </c>
      <c r="L67" s="48" t="str">
        <f>IF(SUM(MidCom!AR61,FinCom!AR61)=0,"",SUM(MidCom!AR61,FinCom!AR61))</f>
        <v/>
      </c>
      <c r="M67" s="31"/>
      <c r="N67" s="17" t="str">
        <f>IF(C67="","",IF(G67="DRP","DRP",IF(G67="WF","WF",IF(K67="INC","INC",IF(OR(MidCom!AS61="ERR",FinCom!AS61="ERR"),"ERR",FLOOR(SUM(MidCom!AS61*Info!$B$34,FinCom!AS61*Info!$B$35,M67),1))))))</f>
        <v/>
      </c>
      <c r="O67" s="17" t="str">
        <f>IF(C67="","",IF(G67="DRP","DRP",IF(G67="WF","WF",IF(K67="INC","INC",IF(K67="FA","FA",IF(N67&lt;75,5,VLOOKUP(_xlfn.FLOOR.MATH(N67,1),'New Grade Equivalent'!$A$3:$C$47,2,FALSE)))))))</f>
        <v/>
      </c>
      <c r="P67" s="8" t="str">
        <f>IF(C67="","",VLOOKUP(O67,'New Grade Equivalent'!$B$3:$C$47,2,FALSE))</f>
        <v/>
      </c>
      <c r="Q67" s="2"/>
      <c r="R67" s="2"/>
    </row>
    <row r="68" spans="1:18" x14ac:dyDescent="0.25">
      <c r="A68" s="13">
        <v>57</v>
      </c>
      <c r="B68" s="13" t="str">
        <f>IF('Student List'!B66="","",'Student List'!B66)</f>
        <v/>
      </c>
      <c r="C68" s="22" t="str">
        <f>IF('Student List'!C66="","",'Student List'!C66)</f>
        <v/>
      </c>
      <c r="D68" s="14" t="str">
        <f>MidCom!G62</f>
        <v/>
      </c>
      <c r="E68" s="14" t="str">
        <f>MidCom!AL62</f>
        <v/>
      </c>
      <c r="F68" s="14" t="str">
        <f>MidCom!AQ62</f>
        <v/>
      </c>
      <c r="G68" s="17" t="str">
        <f>IF(MidCom!AT62="FA", "FA",
    IF(MidCom!AT62="DRP", "DRP",
    IF(MidCom!AT62="WF", "WF", MidCom!AS62)))</f>
        <v/>
      </c>
      <c r="H68" s="17" t="str">
        <f>FinCom!G62</f>
        <v/>
      </c>
      <c r="I68" s="17" t="str">
        <f>FinCom!AL62</f>
        <v/>
      </c>
      <c r="J68" s="17" t="str">
        <f>FinCom!AQ62</f>
        <v/>
      </c>
      <c r="K68" s="17" t="str">
        <f>IF(FinCom!AT62="FA","FA",
IF(FinCom!AT62="FA","FA",
IF(FinCom!AT62="DRP","DRP",
IF(FinCom!AT62="WF","WF",IF(FinCom!AT62="INC","INC",FinCom!AS62)))))</f>
        <v/>
      </c>
      <c r="L68" s="48" t="str">
        <f>IF(SUM(MidCom!AR62,FinCom!AR62)=0,"",SUM(MidCom!AR62,FinCom!AR62))</f>
        <v/>
      </c>
      <c r="M68" s="31"/>
      <c r="N68" s="17" t="str">
        <f>IF(C68="","",IF(G68="DRP","DRP",IF(G68="WF","WF",IF(K68="INC","INC",IF(OR(MidCom!AS62="ERR",FinCom!AS62="ERR"),"ERR",FLOOR(SUM(MidCom!AS62*Info!$B$34,FinCom!AS62*Info!$B$35,M68),1))))))</f>
        <v/>
      </c>
      <c r="O68" s="17" t="str">
        <f>IF(C68="","",IF(G68="DRP","DRP",IF(G68="WF","WF",IF(K68="INC","INC",IF(K68="FA","FA",IF(N68&lt;75,5,VLOOKUP(_xlfn.FLOOR.MATH(N68,1),'New Grade Equivalent'!$A$3:$C$47,2,FALSE)))))))</f>
        <v/>
      </c>
      <c r="P68" s="8" t="str">
        <f>IF(C68="","",VLOOKUP(O68,'New Grade Equivalent'!$B$3:$C$47,2,FALSE))</f>
        <v/>
      </c>
      <c r="Q68" s="2"/>
      <c r="R68" s="2"/>
    </row>
    <row r="69" spans="1:18" x14ac:dyDescent="0.25">
      <c r="A69" s="13">
        <v>58</v>
      </c>
      <c r="B69" s="13" t="str">
        <f>IF('Student List'!B67="","",'Student List'!B67)</f>
        <v/>
      </c>
      <c r="C69" s="22" t="str">
        <f>IF('Student List'!C67="","",'Student List'!C67)</f>
        <v/>
      </c>
      <c r="D69" s="14" t="str">
        <f>MidCom!G63</f>
        <v/>
      </c>
      <c r="E69" s="14" t="str">
        <f>MidCom!AL63</f>
        <v/>
      </c>
      <c r="F69" s="14" t="str">
        <f>MidCom!AQ63</f>
        <v/>
      </c>
      <c r="G69" s="17" t="str">
        <f>IF(MidCom!AT63="FA", "FA",
    IF(MidCom!AT63="DRP", "DRP",
    IF(MidCom!AT63="WF", "WF", MidCom!AS63)))</f>
        <v/>
      </c>
      <c r="H69" s="17" t="str">
        <f>FinCom!G63</f>
        <v/>
      </c>
      <c r="I69" s="17" t="str">
        <f>FinCom!AL63</f>
        <v/>
      </c>
      <c r="J69" s="17" t="str">
        <f>FinCom!AQ63</f>
        <v/>
      </c>
      <c r="K69" s="17" t="str">
        <f>IF(FinCom!AT63="FA","FA",
IF(FinCom!AT63="FA","FA",
IF(FinCom!AT63="DRP","DRP",
IF(FinCom!AT63="WF","WF",IF(FinCom!AT63="INC","INC",FinCom!AS63)))))</f>
        <v/>
      </c>
      <c r="L69" s="48" t="str">
        <f>IF(SUM(MidCom!AR63,FinCom!AR63)=0,"",SUM(MidCom!AR63,FinCom!AR63))</f>
        <v/>
      </c>
      <c r="M69" s="31"/>
      <c r="N69" s="17" t="str">
        <f>IF(C69="","",IF(G69="DRP","DRP",IF(G69="WF","WF",IF(K69="INC","INC",IF(OR(MidCom!AS63="ERR",FinCom!AS63="ERR"),"ERR",FLOOR(SUM(MidCom!AS63*Info!$B$34,FinCom!AS63*Info!$B$35,M69),1))))))</f>
        <v/>
      </c>
      <c r="O69" s="17" t="str">
        <f>IF(C69="","",IF(G69="DRP","DRP",IF(G69="WF","WF",IF(K69="INC","INC",IF(K69="FA","FA",IF(N69&lt;75,5,VLOOKUP(_xlfn.FLOOR.MATH(N69,1),'New Grade Equivalent'!$A$3:$C$47,2,FALSE)))))))</f>
        <v/>
      </c>
      <c r="P69" s="8" t="str">
        <f>IF(C69="","",VLOOKUP(O69,'New Grade Equivalent'!$B$3:$C$47,2,FALSE))</f>
        <v/>
      </c>
      <c r="Q69" s="2"/>
      <c r="R69" s="2"/>
    </row>
    <row r="70" spans="1:18" x14ac:dyDescent="0.25">
      <c r="A70" s="13">
        <v>59</v>
      </c>
      <c r="B70" s="13" t="str">
        <f>IF('Student List'!B68="","",'Student List'!B68)</f>
        <v/>
      </c>
      <c r="C70" s="22" t="str">
        <f>IF('Student List'!C68="","",'Student List'!C68)</f>
        <v/>
      </c>
      <c r="D70" s="14" t="str">
        <f>MidCom!G64</f>
        <v/>
      </c>
      <c r="E70" s="14" t="str">
        <f>MidCom!AL64</f>
        <v/>
      </c>
      <c r="F70" s="14" t="str">
        <f>MidCom!AQ64</f>
        <v/>
      </c>
      <c r="G70" s="17" t="str">
        <f>IF(MidCom!AT64="FA", "FA",
    IF(MidCom!AT64="DRP", "DRP",
    IF(MidCom!AT64="WF", "WF", MidCom!AS64)))</f>
        <v/>
      </c>
      <c r="H70" s="17" t="str">
        <f>FinCom!G64</f>
        <v/>
      </c>
      <c r="I70" s="17" t="str">
        <f>FinCom!AL64</f>
        <v/>
      </c>
      <c r="J70" s="17" t="str">
        <f>FinCom!AQ64</f>
        <v/>
      </c>
      <c r="K70" s="17" t="str">
        <f>IF(FinCom!AT64="FA","FA",
IF(FinCom!AT64="FA","FA",
IF(FinCom!AT64="DRP","DRP",
IF(FinCom!AT64="WF","WF",IF(FinCom!AT64="INC","INC",FinCom!AS64)))))</f>
        <v/>
      </c>
      <c r="L70" s="48" t="str">
        <f>IF(SUM(MidCom!AR64,FinCom!AR64)=0,"",SUM(MidCom!AR64,FinCom!AR64))</f>
        <v/>
      </c>
      <c r="M70" s="31"/>
      <c r="N70" s="17" t="str">
        <f>IF(C70="","",IF(G70="DRP","DRP",IF(G70="WF","WF",IF(K70="INC","INC",IF(OR(MidCom!AS64="ERR",FinCom!AS64="ERR"),"ERR",FLOOR(SUM(MidCom!AS64*Info!$B$34,FinCom!AS64*Info!$B$35,M70),1))))))</f>
        <v/>
      </c>
      <c r="O70" s="17" t="str">
        <f>IF(C70="","",IF(G70="DRP","DRP",IF(G70="WF","WF",IF(K70="INC","INC",IF(K70="FA","FA",IF(N70&lt;75,5,VLOOKUP(_xlfn.FLOOR.MATH(N70,1),'New Grade Equivalent'!$A$3:$C$47,2,FALSE)))))))</f>
        <v/>
      </c>
      <c r="P70" s="8" t="str">
        <f>IF(C70="","",VLOOKUP(O70,'New Grade Equivalent'!$B$3:$C$47,2,FALSE))</f>
        <v/>
      </c>
      <c r="Q70" s="2"/>
      <c r="R70" s="2"/>
    </row>
    <row r="71" spans="1:18" x14ac:dyDescent="0.25">
      <c r="A71" s="13">
        <v>60</v>
      </c>
      <c r="B71" s="13" t="str">
        <f>IF('Student List'!B69="","",'Student List'!B69)</f>
        <v/>
      </c>
      <c r="C71" s="22" t="str">
        <f>IF('Student List'!C69="","",'Student List'!C69)</f>
        <v/>
      </c>
      <c r="D71" s="14" t="str">
        <f>MidCom!G65</f>
        <v/>
      </c>
      <c r="E71" s="14" t="str">
        <f>MidCom!AL65</f>
        <v/>
      </c>
      <c r="F71" s="14" t="str">
        <f>MidCom!AQ65</f>
        <v/>
      </c>
      <c r="G71" s="17" t="str">
        <f>IF(MidCom!AT65="FA", "FA",
    IF(MidCom!AT65="DRP", "DRP",
    IF(MidCom!AT65="WF", "WF", MidCom!AS65)))</f>
        <v/>
      </c>
      <c r="H71" s="17" t="str">
        <f>FinCom!G65</f>
        <v/>
      </c>
      <c r="I71" s="17" t="str">
        <f>FinCom!AL65</f>
        <v/>
      </c>
      <c r="J71" s="17" t="str">
        <f>FinCom!AQ65</f>
        <v/>
      </c>
      <c r="K71" s="17" t="str">
        <f>IF(FinCom!AT65="FA","FA",
IF(FinCom!AT65="FA","FA",
IF(FinCom!AT65="DRP","DRP",
IF(FinCom!AT65="WF","WF",IF(FinCom!AT65="INC","INC",FinCom!AS65)))))</f>
        <v/>
      </c>
      <c r="L71" s="48" t="str">
        <f>IF(SUM(MidCom!AR65,FinCom!AR65)=0,"",SUM(MidCom!AR65,FinCom!AR65))</f>
        <v/>
      </c>
      <c r="M71" s="31"/>
      <c r="N71" s="17" t="str">
        <f>IF(C71="","",IF(G71="DRP","DRP",IF(G71="WF","WF",IF(K71="INC","INC",IF(OR(MidCom!AS65="ERR",FinCom!AS65="ERR"),"ERR",FLOOR(SUM(MidCom!AS65*Info!$B$34,FinCom!AS65*Info!$B$35,M71),1))))))</f>
        <v/>
      </c>
      <c r="O71" s="17" t="str">
        <f>IF(C71="","",IF(G71="DRP","DRP",IF(G71="WF","WF",IF(K71="INC","INC",IF(K71="FA","FA",IF(N71&lt;75,5,VLOOKUP(_xlfn.FLOOR.MATH(N71,1),'New Grade Equivalent'!$A$3:$C$47,2,FALSE)))))))</f>
        <v/>
      </c>
      <c r="P71" s="8" t="str">
        <f>IF(C71="","",VLOOKUP(O71,'New Grade Equivalent'!$B$3:$C$47,2,FALSE))</f>
        <v/>
      </c>
      <c r="Q71" s="2"/>
      <c r="R71" s="2"/>
    </row>
    <row r="72" spans="1:18" x14ac:dyDescent="0.25">
      <c r="A72" s="13">
        <v>61</v>
      </c>
      <c r="B72" s="13" t="str">
        <f>IF('Student List'!B70="","",'Student List'!B70)</f>
        <v/>
      </c>
      <c r="C72" s="22" t="str">
        <f>IF('Student List'!C70="","",'Student List'!C70)</f>
        <v/>
      </c>
      <c r="D72" s="14" t="str">
        <f>MidCom!G66</f>
        <v/>
      </c>
      <c r="E72" s="14" t="str">
        <f>MidCom!AL66</f>
        <v/>
      </c>
      <c r="F72" s="14" t="str">
        <f>MidCom!AQ66</f>
        <v/>
      </c>
      <c r="G72" s="17" t="str">
        <f>IF(MidCom!AT66="FA", "FA",
    IF(MidCom!AT66="DRP", "DRP",
    IF(MidCom!AT66="WF", "WF", MidCom!AS66)))</f>
        <v/>
      </c>
      <c r="H72" s="17" t="str">
        <f>FinCom!G66</f>
        <v/>
      </c>
      <c r="I72" s="17" t="str">
        <f>FinCom!AL66</f>
        <v/>
      </c>
      <c r="J72" s="17" t="str">
        <f>FinCom!AQ66</f>
        <v/>
      </c>
      <c r="K72" s="17" t="str">
        <f>IF(FinCom!AT66="FA","FA",
IF(FinCom!AT66="FA","FA",
IF(FinCom!AT66="DRP","DRP",
IF(FinCom!AT66="WF","WF",IF(FinCom!AT66="INC","INC",FinCom!AS66)))))</f>
        <v/>
      </c>
      <c r="L72" s="48" t="str">
        <f>IF(SUM(MidCom!AR66,FinCom!AR66)=0,"",SUM(MidCom!AR66,FinCom!AR66))</f>
        <v/>
      </c>
      <c r="M72" s="31"/>
      <c r="N72" s="17" t="str">
        <f>IF(C72="","",IF(G72="DRP","DRP",IF(G72="WF","WF",IF(K72="INC","INC",IF(OR(MidCom!AS66="ERR",FinCom!AS66="ERR"),"ERR",FLOOR(SUM(MidCom!AS66*Info!$B$34,FinCom!AS66*Info!$B$35,M72),1))))))</f>
        <v/>
      </c>
      <c r="O72" s="17" t="str">
        <f>IF(C72="","",IF(G72="DRP","DRP",IF(G72="WF","WF",IF(K72="INC","INC",IF(K72="FA","FA",IF(N72&lt;75,5,VLOOKUP(_xlfn.FLOOR.MATH(N72,1),'New Grade Equivalent'!$A$3:$C$47,2,FALSE)))))))</f>
        <v/>
      </c>
      <c r="P72" s="8" t="str">
        <f>IF(C72="","",VLOOKUP(O72,'New Grade Equivalent'!$B$3:$C$47,2,FALSE))</f>
        <v/>
      </c>
      <c r="Q72" s="2"/>
      <c r="R72" s="2"/>
    </row>
    <row r="73" spans="1:18" x14ac:dyDescent="0.25">
      <c r="A73" s="13">
        <v>62</v>
      </c>
      <c r="B73" s="13" t="str">
        <f>IF('Student List'!B71="","",'Student List'!B71)</f>
        <v/>
      </c>
      <c r="C73" s="22" t="str">
        <f>IF('Student List'!C71="","",'Student List'!C71)</f>
        <v/>
      </c>
      <c r="D73" s="14" t="str">
        <f>MidCom!G67</f>
        <v/>
      </c>
      <c r="E73" s="14" t="str">
        <f>MidCom!AL67</f>
        <v/>
      </c>
      <c r="F73" s="14" t="str">
        <f>MidCom!AQ67</f>
        <v/>
      </c>
      <c r="G73" s="17" t="str">
        <f>IF(MidCom!AT67="FA", "FA",
    IF(MidCom!AT67="DRP", "DRP",
    IF(MidCom!AT67="WF", "WF", MidCom!AS67)))</f>
        <v/>
      </c>
      <c r="H73" s="17" t="str">
        <f>FinCom!G67</f>
        <v/>
      </c>
      <c r="I73" s="17" t="str">
        <f>FinCom!AL67</f>
        <v/>
      </c>
      <c r="J73" s="17" t="str">
        <f>FinCom!AQ67</f>
        <v/>
      </c>
      <c r="K73" s="17" t="str">
        <f>IF(FinCom!AT67="FA","FA",
IF(FinCom!AT67="FA","FA",
IF(FinCom!AT67="DRP","DRP",
IF(FinCom!AT67="WF","WF",IF(FinCom!AT67="INC","INC",FinCom!AS67)))))</f>
        <v/>
      </c>
      <c r="L73" s="48" t="str">
        <f>IF(SUM(MidCom!AR67,FinCom!AR67)=0,"",SUM(MidCom!AR67,FinCom!AR67))</f>
        <v/>
      </c>
      <c r="M73" s="31"/>
      <c r="N73" s="17" t="str">
        <f>IF(C73="","",IF(G73="DRP","DRP",IF(G73="WF","WF",IF(K73="INC","INC",IF(OR(MidCom!AS67="ERR",FinCom!AS67="ERR"),"ERR",FLOOR(SUM(MidCom!AS67*Info!$B$34,FinCom!AS67*Info!$B$35,M73),1))))))</f>
        <v/>
      </c>
      <c r="O73" s="17" t="str">
        <f>IF(C73="","",IF(G73="DRP","DRP",IF(G73="WF","WF",IF(K73="INC","INC",IF(K73="FA","FA",IF(N73&lt;75,5,VLOOKUP(_xlfn.FLOOR.MATH(N73,1),'New Grade Equivalent'!$A$3:$C$47,2,FALSE)))))))</f>
        <v/>
      </c>
      <c r="P73" s="8" t="str">
        <f>IF(C73="","",VLOOKUP(O73,'New Grade Equivalent'!$B$3:$C$47,2,FALSE))</f>
        <v/>
      </c>
      <c r="Q73" s="2"/>
      <c r="R73" s="2"/>
    </row>
    <row r="74" spans="1:18" x14ac:dyDescent="0.25">
      <c r="A74" s="13">
        <v>63</v>
      </c>
      <c r="B74" s="13" t="str">
        <f>IF('Student List'!B72="","",'Student List'!B72)</f>
        <v/>
      </c>
      <c r="C74" s="22" t="str">
        <f>IF('Student List'!C72="","",'Student List'!C72)</f>
        <v/>
      </c>
      <c r="D74" s="14" t="str">
        <f>MidCom!G68</f>
        <v/>
      </c>
      <c r="E74" s="14" t="str">
        <f>MidCom!AL68</f>
        <v/>
      </c>
      <c r="F74" s="14" t="str">
        <f>MidCom!AQ68</f>
        <v/>
      </c>
      <c r="G74" s="17" t="str">
        <f>IF(MidCom!AT68="FA", "FA",
    IF(MidCom!AT68="DRP", "DRP",
    IF(MidCom!AT68="WF", "WF", MidCom!AS68)))</f>
        <v/>
      </c>
      <c r="H74" s="17" t="str">
        <f>FinCom!G68</f>
        <v/>
      </c>
      <c r="I74" s="17" t="str">
        <f>FinCom!AL68</f>
        <v/>
      </c>
      <c r="J74" s="17" t="str">
        <f>FinCom!AQ68</f>
        <v/>
      </c>
      <c r="K74" s="17" t="str">
        <f>IF(FinCom!AT68="FA","FA",
IF(FinCom!AT68="FA","FA",
IF(FinCom!AT68="DRP","DRP",
IF(FinCom!AT68="WF","WF",IF(FinCom!AT68="INC","INC",FinCom!AS68)))))</f>
        <v/>
      </c>
      <c r="L74" s="48" t="str">
        <f>IF(SUM(MidCom!AR68,FinCom!AR68)=0,"",SUM(MidCom!AR68,FinCom!AR68))</f>
        <v/>
      </c>
      <c r="M74" s="31"/>
      <c r="N74" s="17" t="str">
        <f>IF(C74="","",IF(G74="DRP","DRP",IF(G74="WF","WF",IF(K74="INC","INC",IF(OR(MidCom!AS68="ERR",FinCom!AS68="ERR"),"ERR",FLOOR(SUM(MidCom!AS68*Info!$B$34,FinCom!AS68*Info!$B$35,M74),1))))))</f>
        <v/>
      </c>
      <c r="O74" s="17" t="str">
        <f>IF(C74="","",IF(G74="DRP","DRP",IF(G74="WF","WF",IF(K74="INC","INC",IF(K74="FA","FA",IF(N74&lt;75,5,VLOOKUP(_xlfn.FLOOR.MATH(N74,1),'New Grade Equivalent'!$A$3:$C$47,2,FALSE)))))))</f>
        <v/>
      </c>
      <c r="P74" s="8" t="str">
        <f>IF(C74="","",VLOOKUP(O74,'New Grade Equivalent'!$B$3:$C$47,2,FALSE))</f>
        <v/>
      </c>
      <c r="Q74" s="2"/>
      <c r="R74" s="2"/>
    </row>
    <row r="75" spans="1:18" x14ac:dyDescent="0.25">
      <c r="A75" s="13">
        <v>64</v>
      </c>
      <c r="B75" s="13" t="str">
        <f>IF('Student List'!B73="","",'Student List'!B73)</f>
        <v/>
      </c>
      <c r="C75" s="22" t="str">
        <f>IF('Student List'!C73="","",'Student List'!C73)</f>
        <v/>
      </c>
      <c r="D75" s="14" t="str">
        <f>MidCom!G69</f>
        <v/>
      </c>
      <c r="E75" s="14" t="str">
        <f>MidCom!AL69</f>
        <v/>
      </c>
      <c r="F75" s="14" t="str">
        <f>MidCom!AQ69</f>
        <v/>
      </c>
      <c r="G75" s="17" t="str">
        <f>IF(MidCom!AT69="FA", "FA",
    IF(MidCom!AT69="DRP", "DRP",
    IF(MidCom!AT69="WF", "WF", MidCom!AS69)))</f>
        <v/>
      </c>
      <c r="H75" s="17" t="str">
        <f>FinCom!G69</f>
        <v/>
      </c>
      <c r="I75" s="17" t="str">
        <f>FinCom!AL69</f>
        <v/>
      </c>
      <c r="J75" s="17" t="str">
        <f>FinCom!AQ69</f>
        <v/>
      </c>
      <c r="K75" s="17" t="str">
        <f>IF(FinCom!AT69="FA","FA",
IF(FinCom!AT69="FA","FA",
IF(FinCom!AT69="DRP","DRP",
IF(FinCom!AT69="WF","WF",IF(FinCom!AT69="INC","INC",FinCom!AS69)))))</f>
        <v/>
      </c>
      <c r="L75" s="48" t="str">
        <f>IF(SUM(MidCom!AR69,FinCom!AR69)=0,"",SUM(MidCom!AR69,FinCom!AR69))</f>
        <v/>
      </c>
      <c r="M75" s="31"/>
      <c r="N75" s="17" t="str">
        <f>IF(C75="","",IF(G75="DRP","DRP",IF(G75="WF","WF",IF(K75="INC","INC",IF(OR(MidCom!AS69="ERR",FinCom!AS69="ERR"),"ERR",FLOOR(SUM(MidCom!AS69*Info!$B$34,FinCom!AS69*Info!$B$35,M75),1))))))</f>
        <v/>
      </c>
      <c r="O75" s="17" t="str">
        <f>IF(C75="","",IF(G75="DRP","DRP",IF(G75="WF","WF",IF(K75="INC","INC",IF(K75="FA","FA",IF(N75&lt;75,5,VLOOKUP(_xlfn.FLOOR.MATH(N75,1),'New Grade Equivalent'!$A$3:$C$47,2,FALSE)))))))</f>
        <v/>
      </c>
      <c r="P75" s="8" t="str">
        <f>IF(C75="","",VLOOKUP(O75,'New Grade Equivalent'!$B$3:$C$47,2,FALSE))</f>
        <v/>
      </c>
      <c r="Q75" s="2"/>
      <c r="R75" s="2"/>
    </row>
    <row r="76" spans="1:18" x14ac:dyDescent="0.25">
      <c r="A76" s="13">
        <v>65</v>
      </c>
      <c r="B76" s="13" t="str">
        <f>IF('Student List'!B74="","",'Student List'!B74)</f>
        <v/>
      </c>
      <c r="C76" s="22" t="str">
        <f>IF('Student List'!C74="","",'Student List'!C74)</f>
        <v/>
      </c>
      <c r="D76" s="14" t="str">
        <f>MidCom!G70</f>
        <v/>
      </c>
      <c r="E76" s="14" t="str">
        <f>MidCom!AL70</f>
        <v/>
      </c>
      <c r="F76" s="14" t="str">
        <f>MidCom!AQ70</f>
        <v/>
      </c>
      <c r="G76" s="17" t="str">
        <f>IF(MidCom!AT70="FA", "FA",
    IF(MidCom!AT70="DRP", "DRP",
    IF(MidCom!AT70="WF", "WF", MidCom!AS70)))</f>
        <v/>
      </c>
      <c r="H76" s="17" t="str">
        <f>FinCom!G70</f>
        <v/>
      </c>
      <c r="I76" s="17" t="str">
        <f>FinCom!AL70</f>
        <v/>
      </c>
      <c r="J76" s="17" t="str">
        <f>FinCom!AQ70</f>
        <v/>
      </c>
      <c r="K76" s="17" t="str">
        <f>IF(FinCom!AT70="FA","FA",
IF(FinCom!AT70="FA","FA",
IF(FinCom!AT70="DRP","DRP",
IF(FinCom!AT70="WF","WF",IF(FinCom!AT70="INC","INC",FinCom!AS70)))))</f>
        <v/>
      </c>
      <c r="L76" s="48" t="str">
        <f>IF(SUM(MidCom!AR70,FinCom!AR70)=0,"",SUM(MidCom!AR70,FinCom!AR70))</f>
        <v/>
      </c>
      <c r="M76" s="31"/>
      <c r="N76" s="17" t="str">
        <f>IF(C76="","",IF(G76="DRP","DRP",IF(G76="WF","WF",IF(K76="INC","INC",IF(OR(MidCom!AS70="ERR",FinCom!AS70="ERR"),"ERR",FLOOR(SUM(MidCom!AS70*Info!$B$34,FinCom!AS70*Info!$B$35,M76),1))))))</f>
        <v/>
      </c>
      <c r="O76" s="17" t="str">
        <f>IF(C76="","",IF(G76="DRP","DRP",IF(G76="WF","WF",IF(K76="INC","INC",IF(K76="FA","FA",IF(N76&lt;75,5,VLOOKUP(_xlfn.FLOOR.MATH(N76,1),'New Grade Equivalent'!$A$3:$C$47,2,FALSE)))))))</f>
        <v/>
      </c>
      <c r="P76" s="8" t="str">
        <f>IF(C76="","",VLOOKUP(O76,'New Grade Equivalent'!$B$3:$C$47,2,FALSE))</f>
        <v/>
      </c>
      <c r="Q76" s="2"/>
      <c r="R76" s="2"/>
    </row>
    <row r="77" spans="1:18" x14ac:dyDescent="0.25">
      <c r="A77" s="13">
        <v>66</v>
      </c>
      <c r="B77" s="13" t="str">
        <f>IF('Student List'!B75="","",'Student List'!B75)</f>
        <v/>
      </c>
      <c r="C77" s="22" t="str">
        <f>IF('Student List'!C75="","",'Student List'!C75)</f>
        <v/>
      </c>
      <c r="D77" s="14" t="str">
        <f>MidCom!G71</f>
        <v/>
      </c>
      <c r="E77" s="14" t="str">
        <f>MidCom!AL71</f>
        <v/>
      </c>
      <c r="F77" s="14" t="str">
        <f>MidCom!AQ71</f>
        <v/>
      </c>
      <c r="G77" s="17" t="str">
        <f>IF(MidCom!AT71="FA", "FA",
    IF(MidCom!AT71="DRP", "DRP",
    IF(MidCom!AT71="WF", "WF", MidCom!AS71)))</f>
        <v/>
      </c>
      <c r="H77" s="17" t="str">
        <f>FinCom!G71</f>
        <v/>
      </c>
      <c r="I77" s="17" t="str">
        <f>FinCom!AL71</f>
        <v/>
      </c>
      <c r="J77" s="17" t="str">
        <f>FinCom!AQ71</f>
        <v/>
      </c>
      <c r="K77" s="17" t="str">
        <f>IF(FinCom!AT71="FA","FA",
IF(FinCom!AT71="FA","FA",
IF(FinCom!AT71="DRP","DRP",
IF(FinCom!AT71="WF","WF",IF(FinCom!AT71="INC","INC",FinCom!AS71)))))</f>
        <v/>
      </c>
      <c r="L77" s="48" t="str">
        <f>IF(SUM(MidCom!AR71,FinCom!AR71)=0,"",SUM(MidCom!AR71,FinCom!AR71))</f>
        <v/>
      </c>
      <c r="M77" s="31"/>
      <c r="N77" s="17" t="str">
        <f>IF(C77="","",IF(G77="DRP","DRP",IF(G77="WF","WF",IF(K77="INC","INC",IF(OR(MidCom!AS71="ERR",FinCom!AS71="ERR"),"ERR",FLOOR(SUM(MidCom!AS71*Info!$B$34,FinCom!AS71*Info!$B$35,M77),1))))))</f>
        <v/>
      </c>
      <c r="O77" s="17" t="str">
        <f>IF(C77="","",IF(G77="DRP","DRP",IF(G77="WF","WF",IF(K77="INC","INC",IF(K77="FA","FA",IF(N77&lt;75,5,VLOOKUP(_xlfn.FLOOR.MATH(N77,1),'New Grade Equivalent'!$A$3:$C$47,2,FALSE)))))))</f>
        <v/>
      </c>
      <c r="P77" s="8" t="str">
        <f>IF(C77="","",VLOOKUP(O77,'New Grade Equivalent'!$B$3:$C$47,2,FALSE))</f>
        <v/>
      </c>
      <c r="Q77" s="164"/>
      <c r="R77" s="164"/>
    </row>
    <row r="78" spans="1:18" x14ac:dyDescent="0.25">
      <c r="A78" s="13">
        <v>67</v>
      </c>
      <c r="B78" s="13" t="str">
        <f>IF('Student List'!B76="","",'Student List'!B76)</f>
        <v/>
      </c>
      <c r="C78" s="22" t="str">
        <f>IF('Student List'!C76="","",'Student List'!C76)</f>
        <v/>
      </c>
      <c r="D78" s="14" t="str">
        <f>MidCom!G72</f>
        <v/>
      </c>
      <c r="E78" s="14" t="str">
        <f>MidCom!AL72</f>
        <v/>
      </c>
      <c r="F78" s="14" t="str">
        <f>MidCom!AQ72</f>
        <v/>
      </c>
      <c r="G78" s="17" t="str">
        <f>IF(MidCom!AT72="FA", "FA",
    IF(MidCom!AT72="DRP", "DRP",
    IF(MidCom!AT72="WF", "WF", MidCom!AS72)))</f>
        <v/>
      </c>
      <c r="H78" s="17" t="str">
        <f>FinCom!G72</f>
        <v/>
      </c>
      <c r="I78" s="17" t="str">
        <f>FinCom!AL72</f>
        <v/>
      </c>
      <c r="J78" s="17" t="str">
        <f>FinCom!AQ72</f>
        <v/>
      </c>
      <c r="K78" s="17" t="str">
        <f>IF(FinCom!AT72="FA","FA",
IF(FinCom!AT72="FA","FA",
IF(FinCom!AT72="DRP","DRP",
IF(FinCom!AT72="WF","WF",IF(FinCom!AT72="INC","INC",FinCom!AS72)))))</f>
        <v/>
      </c>
      <c r="L78" s="48" t="str">
        <f>IF(SUM(MidCom!AR72,FinCom!AR72)=0,"",SUM(MidCom!AR72,FinCom!AR72))</f>
        <v/>
      </c>
      <c r="M78" s="31"/>
      <c r="N78" s="17" t="str">
        <f>IF(C78="","",IF(G78="DRP","DRP",IF(G78="WF","WF",IF(K78="INC","INC",IF(OR(MidCom!AS72="ERR",FinCom!AS72="ERR"),"ERR",FLOOR(SUM(MidCom!AS72*Info!$B$34,FinCom!AS72*Info!$B$35,M78),1))))))</f>
        <v/>
      </c>
      <c r="O78" s="17" t="str">
        <f>IF(C78="","",IF(G78="DRP","DRP",IF(G78="WF","WF",IF(K78="INC","INC",IF(K78="FA","FA",IF(N78&lt;75,5,VLOOKUP(_xlfn.FLOOR.MATH(N78,1),'New Grade Equivalent'!$A$3:$C$47,2,FALSE)))))))</f>
        <v/>
      </c>
      <c r="P78" s="8" t="str">
        <f>IF(C78="","",VLOOKUP(O78,'New Grade Equivalent'!$B$3:$C$47,2,FALSE))</f>
        <v/>
      </c>
      <c r="Q78" s="164"/>
      <c r="R78" s="164"/>
    </row>
    <row r="79" spans="1:18" x14ac:dyDescent="0.25">
      <c r="A79" s="13">
        <v>68</v>
      </c>
      <c r="B79" s="13" t="str">
        <f>IF('Student List'!B77="","",'Student List'!B77)</f>
        <v/>
      </c>
      <c r="C79" s="22" t="str">
        <f>IF('Student List'!C77="","",'Student List'!C77)</f>
        <v/>
      </c>
      <c r="D79" s="14" t="str">
        <f>MidCom!G73</f>
        <v/>
      </c>
      <c r="E79" s="14" t="str">
        <f>MidCom!AL73</f>
        <v/>
      </c>
      <c r="F79" s="14" t="str">
        <f>MidCom!AQ73</f>
        <v/>
      </c>
      <c r="G79" s="17" t="str">
        <f>IF(MidCom!AT73="FA", "FA",
    IF(MidCom!AT73="DRP", "DRP",
    IF(MidCom!AT73="WF", "WF", MidCom!AS73)))</f>
        <v/>
      </c>
      <c r="H79" s="17" t="str">
        <f>FinCom!G73</f>
        <v/>
      </c>
      <c r="I79" s="17" t="str">
        <f>FinCom!AL73</f>
        <v/>
      </c>
      <c r="J79" s="17" t="str">
        <f>FinCom!AQ73</f>
        <v/>
      </c>
      <c r="K79" s="17" t="str">
        <f>IF(FinCom!AT73="FA","FA",
IF(FinCom!AT73="FA","FA",
IF(FinCom!AT73="DRP","DRP",
IF(FinCom!AT73="WF","WF",IF(FinCom!AT73="INC","INC",FinCom!AS73)))))</f>
        <v/>
      </c>
      <c r="L79" s="48" t="str">
        <f>IF(SUM(MidCom!AR73,FinCom!AR73)=0,"",SUM(MidCom!AR73,FinCom!AR73))</f>
        <v/>
      </c>
      <c r="M79" s="31"/>
      <c r="N79" s="17" t="str">
        <f>IF(C79="","",IF(G79="DRP","DRP",IF(G79="WF","WF",IF(K79="INC","INC",IF(OR(MidCom!AS73="ERR",FinCom!AS73="ERR"),"ERR",FLOOR(SUM(MidCom!AS73*Info!$B$34,FinCom!AS73*Info!$B$35,M79),1))))))</f>
        <v/>
      </c>
      <c r="O79" s="17" t="str">
        <f>IF(C79="","",IF(G79="DRP","DRP",IF(G79="WF","WF",IF(K79="INC","INC",IF(K79="FA","FA",IF(N79&lt;75,5,VLOOKUP(_xlfn.FLOOR.MATH(N79,1),'New Grade Equivalent'!$A$3:$C$47,2,FALSE)))))))</f>
        <v/>
      </c>
      <c r="P79" s="8" t="str">
        <f>IF(C79="","",VLOOKUP(O79,'New Grade Equivalent'!$B$3:$C$47,2,FALSE))</f>
        <v/>
      </c>
      <c r="Q79" s="164"/>
      <c r="R79" s="164"/>
    </row>
    <row r="80" spans="1:18" x14ac:dyDescent="0.25">
      <c r="A80" s="13">
        <v>69</v>
      </c>
      <c r="B80" s="13" t="str">
        <f>IF('Student List'!B78="","",'Student List'!B78)</f>
        <v/>
      </c>
      <c r="C80" s="22" t="str">
        <f>IF('Student List'!C78="","",'Student List'!C78)</f>
        <v/>
      </c>
      <c r="D80" s="14" t="str">
        <f>MidCom!G74</f>
        <v/>
      </c>
      <c r="E80" s="14" t="str">
        <f>MidCom!AL74</f>
        <v/>
      </c>
      <c r="F80" s="14" t="str">
        <f>MidCom!AQ74</f>
        <v/>
      </c>
      <c r="G80" s="17" t="str">
        <f>IF(MidCom!AT74="FA", "FA",
    IF(MidCom!AT74="DRP", "DRP",
    IF(MidCom!AT74="WF", "WF", MidCom!AS74)))</f>
        <v/>
      </c>
      <c r="H80" s="17" t="str">
        <f>FinCom!G74</f>
        <v/>
      </c>
      <c r="I80" s="17" t="str">
        <f>FinCom!AL74</f>
        <v/>
      </c>
      <c r="J80" s="17" t="str">
        <f>FinCom!AQ74</f>
        <v/>
      </c>
      <c r="K80" s="17" t="str">
        <f>IF(FinCom!AT74="FA","FA",
IF(FinCom!AT74="FA","FA",
IF(FinCom!AT74="DRP","DRP",
IF(FinCom!AT74="WF","WF",IF(FinCom!AT74="INC","INC",FinCom!AS74)))))</f>
        <v/>
      </c>
      <c r="L80" s="48" t="str">
        <f>IF(SUM(MidCom!AR74,FinCom!AR74)=0,"",SUM(MidCom!AR74,FinCom!AR74))</f>
        <v/>
      </c>
      <c r="M80" s="31"/>
      <c r="N80" s="17" t="str">
        <f>IF(C80="","",IF(G80="DRP","DRP",IF(G80="WF","WF",IF(K80="INC","INC",IF(OR(MidCom!AS74="ERR",FinCom!AS74="ERR"),"ERR",FLOOR(SUM(MidCom!AS74*Info!$B$34,FinCom!AS74*Info!$B$35,M80),1))))))</f>
        <v/>
      </c>
      <c r="O80" s="17" t="str">
        <f>IF(C80="","",IF(G80="DRP","DRP",IF(G80="WF","WF",IF(K80="INC","INC",IF(K80="FA","FA",IF(N80&lt;75,5,VLOOKUP(_xlfn.FLOOR.MATH(N80,1),'New Grade Equivalent'!$A$3:$C$47,2,FALSE)))))))</f>
        <v/>
      </c>
      <c r="P80" s="8" t="str">
        <f>IF(C80="","",VLOOKUP(O80,'New Grade Equivalent'!$B$3:$C$47,2,FALSE))</f>
        <v/>
      </c>
      <c r="Q80" s="164"/>
      <c r="R80" s="164"/>
    </row>
    <row r="81" spans="1:18" x14ac:dyDescent="0.25">
      <c r="A81" s="13">
        <v>70</v>
      </c>
      <c r="B81" s="13" t="str">
        <f>IF('Student List'!B79="","",'Student List'!B79)</f>
        <v/>
      </c>
      <c r="C81" s="22" t="str">
        <f>IF('Student List'!C79="","",'Student List'!C79)</f>
        <v/>
      </c>
      <c r="D81" s="14" t="str">
        <f>MidCom!G75</f>
        <v/>
      </c>
      <c r="E81" s="14" t="str">
        <f>MidCom!AL75</f>
        <v/>
      </c>
      <c r="F81" s="14" t="str">
        <f>MidCom!AQ75</f>
        <v/>
      </c>
      <c r="G81" s="17" t="str">
        <f>IF(MidCom!AT75="FA", "FA",
    IF(MidCom!AT75="DRP", "DRP",
    IF(MidCom!AT75="WF", "WF", MidCom!AS75)))</f>
        <v/>
      </c>
      <c r="H81" s="17" t="str">
        <f>FinCom!G75</f>
        <v/>
      </c>
      <c r="I81" s="17" t="str">
        <f>FinCom!AL75</f>
        <v/>
      </c>
      <c r="J81" s="17" t="str">
        <f>FinCom!AQ75</f>
        <v/>
      </c>
      <c r="K81" s="17" t="str">
        <f>IF(FinCom!AT75="FA","FA",
IF(FinCom!AT75="FA","FA",
IF(FinCom!AT75="DRP","DRP",
IF(FinCom!AT75="WF","WF",IF(FinCom!AT75="INC","INC",FinCom!AS75)))))</f>
        <v/>
      </c>
      <c r="L81" s="48" t="str">
        <f>IF(SUM(MidCom!AR75,FinCom!AR75)=0,"",SUM(MidCom!AR75,FinCom!AR75))</f>
        <v/>
      </c>
      <c r="M81" s="31"/>
      <c r="N81" s="17" t="str">
        <f>IF(C81="","",IF(G81="DRP","DRP",IF(G81="WF","WF",IF(K81="INC","INC",IF(OR(MidCom!AS75="ERR",FinCom!AS75="ERR"),"ERR",FLOOR(SUM(MidCom!AS75*Info!$B$34,FinCom!AS75*Info!$B$35,M81),1))))))</f>
        <v/>
      </c>
      <c r="O81" s="17" t="str">
        <f>IF(C81="","",IF(G81="DRP","DRP",IF(G81="WF","WF",IF(K81="INC","INC",IF(K81="FA","FA",IF(N81&lt;75,5,VLOOKUP(_xlfn.FLOOR.MATH(N81,1),'New Grade Equivalent'!$A$3:$C$47,2,FALSE)))))))</f>
        <v/>
      </c>
      <c r="P81" s="8" t="str">
        <f>IF(C81="","",VLOOKUP(O81,'New Grade Equivalent'!$B$3:$C$47,2,FALSE))</f>
        <v/>
      </c>
      <c r="Q81" s="164"/>
      <c r="R81" s="164"/>
    </row>
    <row r="82" spans="1:18" x14ac:dyDescent="0.25">
      <c r="A82" s="13">
        <v>71</v>
      </c>
      <c r="B82" s="13" t="str">
        <f>IF('Student List'!B80="","",'Student List'!B80)</f>
        <v/>
      </c>
      <c r="C82" s="22" t="str">
        <f>IF('Student List'!C80="","",'Student List'!C80)</f>
        <v/>
      </c>
      <c r="D82" s="14" t="str">
        <f>MidCom!G76</f>
        <v/>
      </c>
      <c r="E82" s="14" t="str">
        <f>MidCom!AL76</f>
        <v/>
      </c>
      <c r="F82" s="14" t="str">
        <f>MidCom!AQ76</f>
        <v/>
      </c>
      <c r="G82" s="17" t="str">
        <f>IF(MidCom!AT76="FA", "FA",
    IF(MidCom!AT76="DRP", "DRP",
    IF(MidCom!AT76="WF", "WF", MidCom!AS76)))</f>
        <v/>
      </c>
      <c r="H82" s="17" t="str">
        <f>FinCom!G76</f>
        <v/>
      </c>
      <c r="I82" s="17" t="str">
        <f>FinCom!AL76</f>
        <v/>
      </c>
      <c r="J82" s="17" t="str">
        <f>FinCom!AQ76</f>
        <v/>
      </c>
      <c r="K82" s="17" t="str">
        <f>IF(FinCom!AT76="FA","FA",
IF(FinCom!AT76="FA","FA",
IF(FinCom!AT76="DRP","DRP",
IF(FinCom!AT76="WF","WF",IF(FinCom!AT76="INC","INC",FinCom!AS76)))))</f>
        <v/>
      </c>
      <c r="L82" s="48" t="str">
        <f>IF(SUM(MidCom!AR76,FinCom!AR76)=0,"",SUM(MidCom!AR76,FinCom!AR76))</f>
        <v/>
      </c>
      <c r="M82" s="31"/>
      <c r="N82" s="17" t="str">
        <f>IF(C82="","",IF(G82="DRP","DRP",IF(G82="WF","WF",IF(K82="INC","INC",IF(OR(MidCom!AS76="ERR",FinCom!AS76="ERR"),"ERR",FLOOR(SUM(MidCom!AS76*Info!$B$34,FinCom!AS76*Info!$B$35,M82),1))))))</f>
        <v/>
      </c>
      <c r="O82" s="17" t="str">
        <f>IF(C82="","",IF(G82="DRP","DRP",IF(G82="WF","WF",IF(K82="INC","INC",IF(K82="FA","FA",IF(N82&lt;75,5,VLOOKUP(_xlfn.FLOOR.MATH(N82,1),'New Grade Equivalent'!$A$3:$C$47,2,FALSE)))))))</f>
        <v/>
      </c>
      <c r="P82" s="8" t="str">
        <f>IF(C82="","",VLOOKUP(O82,'New Grade Equivalent'!$B$3:$C$47,2,FALSE))</f>
        <v/>
      </c>
      <c r="Q82" s="164"/>
      <c r="R82" s="164"/>
    </row>
    <row r="83" spans="1:18" x14ac:dyDescent="0.25">
      <c r="A83" s="13">
        <v>72</v>
      </c>
      <c r="B83" s="13" t="str">
        <f>IF('Student List'!B81="","",'Student List'!B81)</f>
        <v/>
      </c>
      <c r="C83" s="22" t="str">
        <f>IF('Student List'!C81="","",'Student List'!C81)</f>
        <v/>
      </c>
      <c r="D83" s="14" t="str">
        <f>MidCom!G77</f>
        <v/>
      </c>
      <c r="E83" s="14" t="str">
        <f>MidCom!AL77</f>
        <v/>
      </c>
      <c r="F83" s="14" t="str">
        <f>MidCom!AQ77</f>
        <v/>
      </c>
      <c r="G83" s="17" t="str">
        <f>IF(MidCom!AT77="FA", "FA",
    IF(MidCom!AT77="DRP", "DRP",
    IF(MidCom!AT77="WF", "WF", MidCom!AS77)))</f>
        <v/>
      </c>
      <c r="H83" s="17" t="str">
        <f>FinCom!G77</f>
        <v/>
      </c>
      <c r="I83" s="17" t="str">
        <f>FinCom!AL77</f>
        <v/>
      </c>
      <c r="J83" s="17" t="str">
        <f>FinCom!AQ77</f>
        <v/>
      </c>
      <c r="K83" s="17" t="str">
        <f>IF(FinCom!AT77="FA","FA",
IF(FinCom!AT77="FA","FA",
IF(FinCom!AT77="DRP","DRP",
IF(FinCom!AT77="WF","WF",IF(FinCom!AT77="INC","INC",FinCom!AS77)))))</f>
        <v/>
      </c>
      <c r="L83" s="48" t="str">
        <f>IF(SUM(MidCom!AR77,FinCom!AR77)=0,"",SUM(MidCom!AR77,FinCom!AR77))</f>
        <v/>
      </c>
      <c r="M83" s="31"/>
      <c r="N83" s="17" t="str">
        <f>IF(C83="","",IF(G83="DRP","DRP",IF(G83="WF","WF",IF(K83="INC","INC",IF(OR(MidCom!AS77="ERR",FinCom!AS77="ERR"),"ERR",FLOOR(SUM(MidCom!AS77*Info!$B$34,FinCom!AS77*Info!$B$35,M83),1))))))</f>
        <v/>
      </c>
      <c r="O83" s="17" t="str">
        <f>IF(C83="","",IF(G83="DRP","DRP",IF(G83="WF","WF",IF(K83="INC","INC",IF(K83="FA","FA",IF(N83&lt;75,5,VLOOKUP(_xlfn.FLOOR.MATH(N83,1),'New Grade Equivalent'!$A$3:$C$47,2,FALSE)))))))</f>
        <v/>
      </c>
      <c r="P83" s="8" t="str">
        <f>IF(C83="","",VLOOKUP(O83,'New Grade Equivalent'!$B$3:$C$47,2,FALSE))</f>
        <v/>
      </c>
      <c r="Q83" s="164"/>
      <c r="R83" s="164"/>
    </row>
    <row r="84" spans="1:18" x14ac:dyDescent="0.25">
      <c r="A84" s="13">
        <v>73</v>
      </c>
      <c r="B84" s="13" t="str">
        <f>IF('Student List'!B82="","",'Student List'!B82)</f>
        <v/>
      </c>
      <c r="C84" s="22" t="str">
        <f>IF('Student List'!C82="","",'Student List'!C82)</f>
        <v/>
      </c>
      <c r="D84" s="14" t="str">
        <f>MidCom!G78</f>
        <v/>
      </c>
      <c r="E84" s="14" t="str">
        <f>MidCom!AL78</f>
        <v/>
      </c>
      <c r="F84" s="14" t="str">
        <f>MidCom!AQ78</f>
        <v/>
      </c>
      <c r="G84" s="17" t="str">
        <f>IF(MidCom!AT78="FA", "FA",
    IF(MidCom!AT78="DRP", "DRP",
    IF(MidCom!AT78="WF", "WF", MidCom!AS78)))</f>
        <v/>
      </c>
      <c r="H84" s="17" t="str">
        <f>FinCom!G78</f>
        <v/>
      </c>
      <c r="I84" s="17" t="str">
        <f>FinCom!AL78</f>
        <v/>
      </c>
      <c r="J84" s="17" t="str">
        <f>FinCom!AQ78</f>
        <v/>
      </c>
      <c r="K84" s="17" t="str">
        <f>IF(FinCom!AT78="FA","FA",
IF(FinCom!AT78="FA","FA",
IF(FinCom!AT78="DRP","DRP",
IF(FinCom!AT78="WF","WF",IF(FinCom!AT78="INC","INC",FinCom!AS78)))))</f>
        <v/>
      </c>
      <c r="L84" s="48" t="str">
        <f>IF(SUM(MidCom!AR78,FinCom!AR78)=0,"",SUM(MidCom!AR78,FinCom!AR78))</f>
        <v/>
      </c>
      <c r="M84" s="31"/>
      <c r="N84" s="17" t="str">
        <f>IF(C84="","",IF(G84="DRP","DRP",IF(G84="WF","WF",IF(K84="INC","INC",IF(OR(MidCom!AS78="ERR",FinCom!AS78="ERR"),"ERR",FLOOR(SUM(MidCom!AS78*Info!$B$34,FinCom!AS78*Info!$B$35,M84),1))))))</f>
        <v/>
      </c>
      <c r="O84" s="17" t="str">
        <f>IF(C84="","",IF(G84="DRP","DRP",IF(G84="WF","WF",IF(K84="INC","INC",IF(K84="FA","FA",IF(N84&lt;75,5,VLOOKUP(_xlfn.FLOOR.MATH(N84,1),'New Grade Equivalent'!$A$3:$C$47,2,FALSE)))))))</f>
        <v/>
      </c>
      <c r="P84" s="8" t="str">
        <f>IF(C84="","",VLOOKUP(O84,'New Grade Equivalent'!$B$3:$C$47,2,FALSE))</f>
        <v/>
      </c>
      <c r="Q84" s="164"/>
      <c r="R84" s="164"/>
    </row>
    <row r="85" spans="1:18" x14ac:dyDescent="0.25">
      <c r="A85" s="13">
        <v>74</v>
      </c>
      <c r="B85" s="13" t="str">
        <f>IF('Student List'!B83="","",'Student List'!B83)</f>
        <v/>
      </c>
      <c r="C85" s="22" t="str">
        <f>IF('Student List'!C83="","",'Student List'!C83)</f>
        <v/>
      </c>
      <c r="D85" s="14" t="str">
        <f>MidCom!G79</f>
        <v/>
      </c>
      <c r="E85" s="14" t="str">
        <f>MidCom!AL79</f>
        <v/>
      </c>
      <c r="F85" s="14" t="str">
        <f>MidCom!AQ79</f>
        <v/>
      </c>
      <c r="G85" s="17" t="str">
        <f>IF(MidCom!AT79="FA", "FA",
    IF(MidCom!AT79="DRP", "DRP",
    IF(MidCom!AT79="WF", "WF", MidCom!AS79)))</f>
        <v/>
      </c>
      <c r="H85" s="17" t="str">
        <f>FinCom!G79</f>
        <v/>
      </c>
      <c r="I85" s="17" t="str">
        <f>FinCom!AL79</f>
        <v/>
      </c>
      <c r="J85" s="17" t="str">
        <f>FinCom!AQ79</f>
        <v/>
      </c>
      <c r="K85" s="17" t="str">
        <f>IF(FinCom!AT79="FA","FA",
IF(FinCom!AT79="FA","FA",
IF(FinCom!AT79="DRP","DRP",
IF(FinCom!AT79="WF","WF",IF(FinCom!AT79="INC","INC",FinCom!AS79)))))</f>
        <v/>
      </c>
      <c r="L85" s="48" t="str">
        <f>IF(SUM(MidCom!AR79,FinCom!AR79)=0,"",SUM(MidCom!AR79,FinCom!AR79))</f>
        <v/>
      </c>
      <c r="M85" s="31"/>
      <c r="N85" s="17" t="str">
        <f>IF(C85="","",IF(G85="DRP","DRP",IF(G85="WF","WF",IF(K85="INC","INC",IF(OR(MidCom!AS79="ERR",FinCom!AS79="ERR"),"ERR",FLOOR(SUM(MidCom!AS79*Info!$B$34,FinCom!AS79*Info!$B$35,M85),1))))))</f>
        <v/>
      </c>
      <c r="O85" s="17" t="str">
        <f>IF(C85="","",IF(G85="DRP","DRP",IF(G85="WF","WF",IF(K85="INC","INC",IF(K85="FA","FA",IF(N85&lt;75,5,VLOOKUP(_xlfn.FLOOR.MATH(N85,1),'New Grade Equivalent'!$A$3:$C$47,2,FALSE)))))))</f>
        <v/>
      </c>
      <c r="P85" s="8" t="str">
        <f>IF(C85="","",VLOOKUP(O85,'New Grade Equivalent'!$B$3:$C$47,2,FALSE))</f>
        <v/>
      </c>
      <c r="Q85" s="164"/>
      <c r="R85" s="164"/>
    </row>
    <row r="86" spans="1:18" x14ac:dyDescent="0.25">
      <c r="A86" s="13">
        <v>75</v>
      </c>
      <c r="B86" s="13" t="str">
        <f>IF('Student List'!B84="","",'Student List'!B84)</f>
        <v/>
      </c>
      <c r="C86" s="22" t="str">
        <f>IF('Student List'!C84="","",'Student List'!C84)</f>
        <v/>
      </c>
      <c r="D86" s="14" t="str">
        <f>MidCom!G80</f>
        <v/>
      </c>
      <c r="E86" s="14" t="str">
        <f>MidCom!AL80</f>
        <v/>
      </c>
      <c r="F86" s="14" t="str">
        <f>MidCom!AQ80</f>
        <v/>
      </c>
      <c r="G86" s="17" t="str">
        <f>IF(MidCom!AT80="FA", "FA",
    IF(MidCom!AT80="DRP", "DRP",
    IF(MidCom!AT80="WF", "WF", MidCom!AS80)))</f>
        <v/>
      </c>
      <c r="H86" s="17" t="str">
        <f>FinCom!G80</f>
        <v/>
      </c>
      <c r="I86" s="17" t="str">
        <f>FinCom!AL80</f>
        <v/>
      </c>
      <c r="J86" s="17" t="str">
        <f>FinCom!AQ80</f>
        <v/>
      </c>
      <c r="K86" s="17" t="str">
        <f>IF(FinCom!AT80="FA","FA",
IF(FinCom!AT80="FA","FA",
IF(FinCom!AT80="DRP","DRP",
IF(FinCom!AT80="WF","WF",IF(FinCom!AT80="INC","INC",FinCom!AS80)))))</f>
        <v/>
      </c>
      <c r="L86" s="48" t="str">
        <f>IF(SUM(MidCom!AR80,FinCom!AR80)=0,"",SUM(MidCom!AR80,FinCom!AR80))</f>
        <v/>
      </c>
      <c r="M86" s="31"/>
      <c r="N86" s="17" t="str">
        <f>IF(C86="","",IF(G86="DRP","DRP",IF(G86="WF","WF",IF(K86="INC","INC",IF(OR(MidCom!AS80="ERR",FinCom!AS80="ERR"),"ERR",FLOOR(SUM(MidCom!AS80*Info!$B$34,FinCom!AS80*Info!$B$35,M86),1))))))</f>
        <v/>
      </c>
      <c r="O86" s="17" t="str">
        <f>IF(C86="","",IF(G86="DRP","DRP",IF(G86="WF","WF",IF(K86="INC","INC",IF(K86="FA","FA",IF(N86&lt;75,5,VLOOKUP(_xlfn.FLOOR.MATH(N86,1),'New Grade Equivalent'!$A$3:$C$47,2,FALSE)))))))</f>
        <v/>
      </c>
      <c r="P86" s="8" t="str">
        <f>IF(C86="","",VLOOKUP(O86,'New Grade Equivalent'!$B$3:$C$47,2,FALSE))</f>
        <v/>
      </c>
      <c r="Q86" s="164"/>
      <c r="R86" s="164"/>
    </row>
    <row r="87" spans="1:18" x14ac:dyDescent="0.25">
      <c r="A87" s="13">
        <v>76</v>
      </c>
      <c r="B87" s="13" t="str">
        <f>IF('Student List'!B85="","",'Student List'!B85)</f>
        <v/>
      </c>
      <c r="C87" s="22" t="str">
        <f>IF('Student List'!C85="","",'Student List'!C85)</f>
        <v/>
      </c>
      <c r="D87" s="14" t="str">
        <f>MidCom!G81</f>
        <v/>
      </c>
      <c r="E87" s="14" t="str">
        <f>MidCom!AL81</f>
        <v/>
      </c>
      <c r="F87" s="14" t="str">
        <f>MidCom!AQ81</f>
        <v/>
      </c>
      <c r="G87" s="17" t="str">
        <f>IF(MidCom!AT81="FA", "FA",
    IF(MidCom!AT81="DRP", "DRP",
    IF(MidCom!AT81="WF", "WF", MidCom!AS81)))</f>
        <v/>
      </c>
      <c r="H87" s="17" t="str">
        <f>FinCom!G81</f>
        <v/>
      </c>
      <c r="I87" s="17" t="str">
        <f>FinCom!AL81</f>
        <v/>
      </c>
      <c r="J87" s="17" t="str">
        <f>FinCom!AQ81</f>
        <v/>
      </c>
      <c r="K87" s="17" t="str">
        <f>IF(FinCom!AT81="FA","FA",
IF(FinCom!AT81="FA","FA",
IF(FinCom!AT81="DRP","DRP",
IF(FinCom!AT81="WF","WF",IF(FinCom!AT81="INC","INC",FinCom!AS81)))))</f>
        <v/>
      </c>
      <c r="L87" s="48" t="str">
        <f>IF(SUM(MidCom!AR81,FinCom!AR81)=0,"",SUM(MidCom!AR81,FinCom!AR81))</f>
        <v/>
      </c>
      <c r="M87" s="31"/>
      <c r="N87" s="17" t="str">
        <f>IF(C87="","",IF(G87="DRP","DRP",IF(G87="WF","WF",IF(K87="INC","INC",IF(OR(MidCom!AS81="ERR",FinCom!AS81="ERR"),"ERR",FLOOR(SUM(MidCom!AS81*Info!$B$34,FinCom!AS81*Info!$B$35,M87),1))))))</f>
        <v/>
      </c>
      <c r="O87" s="17" t="str">
        <f>IF(C87="","",IF(G87="DRP","DRP",IF(G87="WF","WF",IF(K87="INC","INC",IF(K87="FA","FA",IF(N87&lt;75,5,VLOOKUP(_xlfn.FLOOR.MATH(N87,1),'New Grade Equivalent'!$A$3:$C$47,2,FALSE)))))))</f>
        <v/>
      </c>
      <c r="P87" s="8" t="str">
        <f>IF(C87="","",VLOOKUP(O87,'New Grade Equivalent'!$B$3:$C$47,2,FALSE))</f>
        <v/>
      </c>
      <c r="Q87" s="164"/>
      <c r="R87" s="164"/>
    </row>
    <row r="88" spans="1:18" x14ac:dyDescent="0.25">
      <c r="A88" s="13">
        <v>77</v>
      </c>
      <c r="B88" s="13" t="str">
        <f>IF('Student List'!B86="","",'Student List'!B86)</f>
        <v/>
      </c>
      <c r="C88" s="22" t="str">
        <f>IF('Student List'!C86="","",'Student List'!C86)</f>
        <v/>
      </c>
      <c r="D88" s="14" t="str">
        <f>MidCom!G82</f>
        <v/>
      </c>
      <c r="E88" s="14" t="str">
        <f>MidCom!AL82</f>
        <v/>
      </c>
      <c r="F88" s="14" t="str">
        <f>MidCom!AQ82</f>
        <v/>
      </c>
      <c r="G88" s="17" t="str">
        <f>IF(MidCom!AT82="FA", "FA",
    IF(MidCom!AT82="DRP", "DRP",
    IF(MidCom!AT82="WF", "WF", MidCom!AS82)))</f>
        <v/>
      </c>
      <c r="H88" s="17" t="str">
        <f>FinCom!G82</f>
        <v/>
      </c>
      <c r="I88" s="17" t="str">
        <f>FinCom!AL82</f>
        <v/>
      </c>
      <c r="J88" s="17" t="str">
        <f>FinCom!AQ82</f>
        <v/>
      </c>
      <c r="K88" s="17" t="str">
        <f>IF(FinCom!AT82="FA","FA",
IF(FinCom!AT82="FA","FA",
IF(FinCom!AT82="DRP","DRP",
IF(FinCom!AT82="WF","WF",IF(FinCom!AT82="INC","INC",FinCom!AS82)))))</f>
        <v/>
      </c>
      <c r="L88" s="48" t="str">
        <f>IF(SUM(MidCom!AR82,FinCom!AR82)=0,"",SUM(MidCom!AR82,FinCom!AR82))</f>
        <v/>
      </c>
      <c r="M88" s="31"/>
      <c r="N88" s="17" t="str">
        <f>IF(C88="","",IF(G88="DRP","DRP",IF(G88="WF","WF",IF(K88="INC","INC",IF(OR(MidCom!AS82="ERR",FinCom!AS82="ERR"),"ERR",FLOOR(SUM(MidCom!AS82*Info!$B$34,FinCom!AS82*Info!$B$35,M88),1))))))</f>
        <v/>
      </c>
      <c r="O88" s="17" t="str">
        <f>IF(C88="","",IF(G88="DRP","DRP",IF(G88="WF","WF",IF(K88="INC","INC",IF(K88="FA","FA",IF(N88&lt;75,5,VLOOKUP(_xlfn.FLOOR.MATH(N88,1),'New Grade Equivalent'!$A$3:$C$47,2,FALSE)))))))</f>
        <v/>
      </c>
      <c r="P88" s="8" t="str">
        <f>IF(C88="","",VLOOKUP(O88,'New Grade Equivalent'!$B$3:$C$47,2,FALSE))</f>
        <v/>
      </c>
      <c r="Q88" s="164"/>
      <c r="R88" s="164"/>
    </row>
    <row r="89" spans="1:18" x14ac:dyDescent="0.25">
      <c r="A89" s="13">
        <v>78</v>
      </c>
      <c r="B89" s="13" t="str">
        <f>IF('Student List'!B87="","",'Student List'!B87)</f>
        <v/>
      </c>
      <c r="C89" s="22" t="str">
        <f>IF('Student List'!C87="","",'Student List'!C87)</f>
        <v/>
      </c>
      <c r="D89" s="14" t="str">
        <f>MidCom!G83</f>
        <v/>
      </c>
      <c r="E89" s="14" t="str">
        <f>MidCom!AL83</f>
        <v/>
      </c>
      <c r="F89" s="14" t="str">
        <f>MidCom!AQ83</f>
        <v/>
      </c>
      <c r="G89" s="17" t="str">
        <f>IF(MidCom!AT83="FA", "FA",
    IF(MidCom!AT83="DRP", "DRP",
    IF(MidCom!AT83="WF", "WF", MidCom!AS83)))</f>
        <v/>
      </c>
      <c r="H89" s="17" t="str">
        <f>FinCom!G83</f>
        <v/>
      </c>
      <c r="I89" s="17" t="str">
        <f>FinCom!AL83</f>
        <v/>
      </c>
      <c r="J89" s="17" t="str">
        <f>FinCom!AQ83</f>
        <v/>
      </c>
      <c r="K89" s="17" t="str">
        <f>IF(FinCom!AT83="FA","FA",
IF(FinCom!AT83="FA","FA",
IF(FinCom!AT83="DRP","DRP",
IF(FinCom!AT83="WF","WF",IF(FinCom!AT83="INC","INC",FinCom!AS83)))))</f>
        <v/>
      </c>
      <c r="L89" s="48" t="str">
        <f>IF(SUM(MidCom!AR83,FinCom!AR83)=0,"",SUM(MidCom!AR83,FinCom!AR83))</f>
        <v/>
      </c>
      <c r="M89" s="31"/>
      <c r="N89" s="17" t="str">
        <f>IF(C89="","",IF(G89="DRP","DRP",IF(G89="WF","WF",IF(K89="INC","INC",IF(OR(MidCom!AS83="ERR",FinCom!AS83="ERR"),"ERR",FLOOR(SUM(MidCom!AS83*Info!$B$34,FinCom!AS83*Info!$B$35,M89),1))))))</f>
        <v/>
      </c>
      <c r="O89" s="17" t="str">
        <f>IF(C89="","",IF(G89="DRP","DRP",IF(G89="WF","WF",IF(K89="INC","INC",IF(K89="FA","FA",IF(N89&lt;75,5,VLOOKUP(_xlfn.FLOOR.MATH(N89,1),'New Grade Equivalent'!$A$3:$C$47,2,FALSE)))))))</f>
        <v/>
      </c>
      <c r="P89" s="8" t="str">
        <f>IF(C89="","",VLOOKUP(O89,'New Grade Equivalent'!$B$3:$C$47,2,FALSE))</f>
        <v/>
      </c>
      <c r="Q89" s="164"/>
      <c r="R89" s="164"/>
    </row>
    <row r="90" spans="1:18" x14ac:dyDescent="0.25">
      <c r="A90" s="13">
        <v>79</v>
      </c>
      <c r="B90" s="13" t="str">
        <f>IF('Student List'!B88="","",'Student List'!B88)</f>
        <v/>
      </c>
      <c r="C90" s="22" t="str">
        <f>IF('Student List'!C88="","",'Student List'!C88)</f>
        <v/>
      </c>
      <c r="D90" s="14" t="str">
        <f>MidCom!G84</f>
        <v/>
      </c>
      <c r="E90" s="14" t="str">
        <f>MidCom!AL84</f>
        <v/>
      </c>
      <c r="F90" s="14" t="str">
        <f>MidCom!AQ84</f>
        <v/>
      </c>
      <c r="G90" s="17" t="str">
        <f>IF(MidCom!AT84="FA", "FA",
    IF(MidCom!AT84="DRP", "DRP",
    IF(MidCom!AT84="WF", "WF", MidCom!AS84)))</f>
        <v/>
      </c>
      <c r="H90" s="17" t="str">
        <f>FinCom!G84</f>
        <v/>
      </c>
      <c r="I90" s="17" t="str">
        <f>FinCom!AL84</f>
        <v/>
      </c>
      <c r="J90" s="17" t="str">
        <f>FinCom!AQ84</f>
        <v/>
      </c>
      <c r="K90" s="17" t="str">
        <f>IF(FinCom!AT84="FA","FA",
IF(FinCom!AT84="FA","FA",
IF(FinCom!AT84="DRP","DRP",
IF(FinCom!AT84="WF","WF",IF(FinCom!AT84="INC","INC",FinCom!AS84)))))</f>
        <v/>
      </c>
      <c r="L90" s="48" t="str">
        <f>IF(SUM(MidCom!AR84,FinCom!AR84)=0,"",SUM(MidCom!AR84,FinCom!AR84))</f>
        <v/>
      </c>
      <c r="M90" s="31"/>
      <c r="N90" s="17" t="str">
        <f>IF(C90="","",IF(G90="DRP","DRP",IF(G90="WF","WF",IF(K90="INC","INC",IF(OR(MidCom!AS84="ERR",FinCom!AS84="ERR"),"ERR",FLOOR(SUM(MidCom!AS84*Info!$B$34,FinCom!AS84*Info!$B$35,M90),1))))))</f>
        <v/>
      </c>
      <c r="O90" s="17" t="str">
        <f>IF(C90="","",IF(G90="DRP","DRP",IF(G90="WF","WF",IF(K90="INC","INC",IF(K90="FA","FA",IF(N90&lt;75,5,VLOOKUP(_xlfn.FLOOR.MATH(N90,1),'New Grade Equivalent'!$A$3:$C$47,2,FALSE)))))))</f>
        <v/>
      </c>
      <c r="P90" s="8" t="str">
        <f>IF(C90="","",VLOOKUP(O90,'New Grade Equivalent'!$B$3:$C$47,2,FALSE))</f>
        <v/>
      </c>
      <c r="Q90" s="164"/>
      <c r="R90" s="164"/>
    </row>
    <row r="91" spans="1:18" x14ac:dyDescent="0.25">
      <c r="A91" s="13">
        <v>80</v>
      </c>
      <c r="B91" s="13" t="str">
        <f>IF('Student List'!B89="","",'Student List'!B89)</f>
        <v/>
      </c>
      <c r="C91" s="22" t="str">
        <f>IF('Student List'!C89="","",'Student List'!C89)</f>
        <v/>
      </c>
      <c r="D91" s="14" t="str">
        <f>MidCom!G85</f>
        <v/>
      </c>
      <c r="E91" s="14" t="str">
        <f>MidCom!AL85</f>
        <v/>
      </c>
      <c r="F91" s="14" t="str">
        <f>MidCom!AQ85</f>
        <v/>
      </c>
      <c r="G91" s="17" t="str">
        <f>IF(MidCom!AT85="FA", "FA",
    IF(MidCom!AT85="DRP", "DRP",
    IF(MidCom!AT85="WF", "WF", MidCom!AS85)))</f>
        <v/>
      </c>
      <c r="H91" s="17" t="str">
        <f>FinCom!G85</f>
        <v/>
      </c>
      <c r="I91" s="17" t="str">
        <f>FinCom!AL85</f>
        <v/>
      </c>
      <c r="J91" s="17" t="str">
        <f>FinCom!AQ85</f>
        <v/>
      </c>
      <c r="K91" s="17" t="str">
        <f>IF(FinCom!AT85="FA","FA",
IF(FinCom!AT85="FA","FA",
IF(FinCom!AT85="DRP","DRP",
IF(FinCom!AT85="WF","WF",IF(FinCom!AT85="INC","INC",FinCom!AS85)))))</f>
        <v/>
      </c>
      <c r="L91" s="48" t="str">
        <f>IF(SUM(MidCom!AR85,FinCom!AR85)=0,"",SUM(MidCom!AR85,FinCom!AR85))</f>
        <v/>
      </c>
      <c r="M91" s="31"/>
      <c r="N91" s="17" t="str">
        <f>IF(C91="","",IF(G91="DRP","DRP",IF(G91="WF","WF",IF(K91="INC","INC",IF(OR(MidCom!AS85="ERR",FinCom!AS85="ERR"),"ERR",FLOOR(SUM(MidCom!AS85*Info!$B$34,FinCom!AS85*Info!$B$35,M91),1))))))</f>
        <v/>
      </c>
      <c r="O91" s="17" t="str">
        <f>IF(C91="","",IF(G91="DRP","DRP",IF(G91="WF","WF",IF(K91="INC","INC",IF(K91="FA","FA",IF(N91&lt;75,5,VLOOKUP(_xlfn.FLOOR.MATH(N91,1),'New Grade Equivalent'!$A$3:$C$47,2,FALSE)))))))</f>
        <v/>
      </c>
      <c r="P91" s="8" t="str">
        <f>IF(C91="","",VLOOKUP(O91,'New Grade Equivalent'!$B$3:$C$47,2,FALSE))</f>
        <v/>
      </c>
      <c r="Q91" s="164"/>
      <c r="R91" s="164"/>
    </row>
    <row r="92" spans="1:18" x14ac:dyDescent="0.25">
      <c r="A92" s="13">
        <v>81</v>
      </c>
      <c r="B92" s="13" t="str">
        <f>IF('Student List'!B90="","",'Student List'!B90)</f>
        <v/>
      </c>
      <c r="C92" s="22" t="str">
        <f>IF('Student List'!C90="","",'Student List'!C90)</f>
        <v/>
      </c>
      <c r="D92" s="14" t="str">
        <f>MidCom!G86</f>
        <v/>
      </c>
      <c r="E92" s="14" t="str">
        <f>MidCom!AL86</f>
        <v/>
      </c>
      <c r="F92" s="14" t="str">
        <f>MidCom!AQ86</f>
        <v/>
      </c>
      <c r="G92" s="17" t="str">
        <f>IF(MidCom!AT86="FA", "FA",
    IF(MidCom!AT86="DRP", "DRP",
    IF(MidCom!AT86="WF", "WF", MidCom!AS86)))</f>
        <v/>
      </c>
      <c r="H92" s="17" t="str">
        <f>FinCom!G86</f>
        <v/>
      </c>
      <c r="I92" s="17" t="str">
        <f>FinCom!AL86</f>
        <v/>
      </c>
      <c r="J92" s="17" t="str">
        <f>FinCom!AQ86</f>
        <v/>
      </c>
      <c r="K92" s="17" t="str">
        <f>IF(FinCom!AT86="FA","FA",
IF(FinCom!AT86="FA","FA",
IF(FinCom!AT86="DRP","DRP",
IF(FinCom!AT86="WF","WF",IF(FinCom!AT86="INC","INC",FinCom!AS86)))))</f>
        <v/>
      </c>
      <c r="L92" s="48" t="str">
        <f>IF(SUM(MidCom!AR86,FinCom!AR86)=0,"",SUM(MidCom!AR86,FinCom!AR86))</f>
        <v/>
      </c>
      <c r="M92" s="31"/>
      <c r="N92" s="17" t="str">
        <f>IF(C92="","",IF(G92="DRP","DRP",IF(G92="WF","WF",IF(K92="INC","INC",IF(OR(MidCom!AS86="ERR",FinCom!AS86="ERR"),"ERR",FLOOR(SUM(MidCom!AS86*Info!$B$34,FinCom!AS86*Info!$B$35,M92),1))))))</f>
        <v/>
      </c>
      <c r="O92" s="17" t="str">
        <f>IF(C92="","",IF(G92="DRP","DRP",IF(G92="WF","WF",IF(K92="INC","INC",IF(K92="FA","FA",IF(N92&lt;75,5,VLOOKUP(_xlfn.FLOOR.MATH(N92,1),'New Grade Equivalent'!$A$3:$C$47,2,FALSE)))))))</f>
        <v/>
      </c>
      <c r="P92" s="8" t="str">
        <f>IF(C92="","",VLOOKUP(O92,'New Grade Equivalent'!$B$3:$C$47,2,FALSE))</f>
        <v/>
      </c>
      <c r="Q92" s="164"/>
      <c r="R92" s="164"/>
    </row>
    <row r="93" spans="1:18" x14ac:dyDescent="0.25">
      <c r="A93" s="13">
        <v>82</v>
      </c>
      <c r="B93" s="13" t="str">
        <f>IF('Student List'!B91="","",'Student List'!B91)</f>
        <v/>
      </c>
      <c r="C93" s="22" t="str">
        <f>IF('Student List'!C91="","",'Student List'!C91)</f>
        <v/>
      </c>
      <c r="D93" s="14" t="str">
        <f>MidCom!G87</f>
        <v/>
      </c>
      <c r="E93" s="14" t="str">
        <f>MidCom!AL87</f>
        <v/>
      </c>
      <c r="F93" s="14" t="str">
        <f>MidCom!AQ87</f>
        <v/>
      </c>
      <c r="G93" s="17" t="str">
        <f>IF(MidCom!AT87="FA", "FA",
    IF(MidCom!AT87="DRP", "DRP",
    IF(MidCom!AT87="WF", "WF", MidCom!AS87)))</f>
        <v/>
      </c>
      <c r="H93" s="17" t="str">
        <f>FinCom!G87</f>
        <v/>
      </c>
      <c r="I93" s="17" t="str">
        <f>FinCom!AL87</f>
        <v/>
      </c>
      <c r="J93" s="17" t="str">
        <f>FinCom!AQ87</f>
        <v/>
      </c>
      <c r="K93" s="17" t="str">
        <f>IF(FinCom!AT87="FA","FA",
IF(FinCom!AT87="FA","FA",
IF(FinCom!AT87="DRP","DRP",
IF(FinCom!AT87="WF","WF",IF(FinCom!AT87="INC","INC",FinCom!AS87)))))</f>
        <v/>
      </c>
      <c r="L93" s="48" t="str">
        <f>IF(SUM(MidCom!AR87,FinCom!AR87)=0,"",SUM(MidCom!AR87,FinCom!AR87))</f>
        <v/>
      </c>
      <c r="M93" s="31"/>
      <c r="N93" s="17" t="str">
        <f>IF(C93="","",IF(G93="DRP","DRP",IF(G93="WF","WF",IF(K93="INC","INC",IF(OR(MidCom!AS87="ERR",FinCom!AS87="ERR"),"ERR",FLOOR(SUM(MidCom!AS87*Info!$B$34,FinCom!AS87*Info!$B$35,M93),1))))))</f>
        <v/>
      </c>
      <c r="O93" s="17" t="str">
        <f>IF(C93="","",IF(G93="DRP","DRP",IF(G93="WF","WF",IF(K93="INC","INC",IF(K93="FA","FA",IF(N93&lt;75,5,VLOOKUP(_xlfn.FLOOR.MATH(N93,1),'New Grade Equivalent'!$A$3:$C$47,2,FALSE)))))))</f>
        <v/>
      </c>
      <c r="P93" s="8" t="str">
        <f>IF(C93="","",VLOOKUP(O93,'New Grade Equivalent'!$B$3:$C$47,2,FALSE))</f>
        <v/>
      </c>
      <c r="Q93" s="164"/>
      <c r="R93" s="164"/>
    </row>
    <row r="94" spans="1:18" x14ac:dyDescent="0.25">
      <c r="A94" s="13">
        <v>83</v>
      </c>
      <c r="B94" s="13" t="str">
        <f>IF('Student List'!B92="","",'Student List'!B92)</f>
        <v/>
      </c>
      <c r="C94" s="22" t="str">
        <f>IF('Student List'!C92="","",'Student List'!C92)</f>
        <v/>
      </c>
      <c r="D94" s="14" t="str">
        <f>MidCom!G88</f>
        <v/>
      </c>
      <c r="E94" s="14" t="str">
        <f>MidCom!AL88</f>
        <v/>
      </c>
      <c r="F94" s="14" t="str">
        <f>MidCom!AQ88</f>
        <v/>
      </c>
      <c r="G94" s="17" t="str">
        <f>IF(MidCom!AT88="FA", "FA",
    IF(MidCom!AT88="DRP", "DRP",
    IF(MidCom!AT88="WF", "WF", MidCom!AS88)))</f>
        <v/>
      </c>
      <c r="H94" s="17" t="str">
        <f>FinCom!G88</f>
        <v/>
      </c>
      <c r="I94" s="17" t="str">
        <f>FinCom!AL88</f>
        <v/>
      </c>
      <c r="J94" s="17" t="str">
        <f>FinCom!AQ88</f>
        <v/>
      </c>
      <c r="K94" s="17" t="str">
        <f>IF(FinCom!AT88="FA","FA",
IF(FinCom!AT88="FA","FA",
IF(FinCom!AT88="DRP","DRP",
IF(FinCom!AT88="WF","WF",IF(FinCom!AT88="INC","INC",FinCom!AS88)))))</f>
        <v/>
      </c>
      <c r="L94" s="48" t="str">
        <f>IF(SUM(MidCom!AR88,FinCom!AR88)=0,"",SUM(MidCom!AR88,FinCom!AR88))</f>
        <v/>
      </c>
      <c r="M94" s="31"/>
      <c r="N94" s="17" t="str">
        <f>IF(C94="","",IF(G94="DRP","DRP",IF(G94="WF","WF",IF(K94="INC","INC",IF(OR(MidCom!AS88="ERR",FinCom!AS88="ERR"),"ERR",FLOOR(SUM(MidCom!AS88*Info!$B$34,FinCom!AS88*Info!$B$35,M94),1))))))</f>
        <v/>
      </c>
      <c r="O94" s="17" t="str">
        <f>IF(C94="","",IF(G94="DRP","DRP",IF(G94="WF","WF",IF(K94="INC","INC",IF(K94="FA","FA",IF(N94&lt;75,5,VLOOKUP(_xlfn.FLOOR.MATH(N94,1),'New Grade Equivalent'!$A$3:$C$47,2,FALSE)))))))</f>
        <v/>
      </c>
      <c r="P94" s="8" t="str">
        <f>IF(C94="","",VLOOKUP(O94,'New Grade Equivalent'!$B$3:$C$47,2,FALSE))</f>
        <v/>
      </c>
      <c r="Q94" s="164"/>
      <c r="R94" s="164"/>
    </row>
    <row r="95" spans="1:18" x14ac:dyDescent="0.25">
      <c r="A95" s="13">
        <v>84</v>
      </c>
      <c r="B95" s="13" t="str">
        <f>IF('Student List'!B93="","",'Student List'!B93)</f>
        <v/>
      </c>
      <c r="C95" s="22" t="str">
        <f>IF('Student List'!C93="","",'Student List'!C93)</f>
        <v/>
      </c>
      <c r="D95" s="14" t="str">
        <f>MidCom!G89</f>
        <v/>
      </c>
      <c r="E95" s="14" t="str">
        <f>MidCom!AL89</f>
        <v/>
      </c>
      <c r="F95" s="14" t="str">
        <f>MidCom!AQ89</f>
        <v/>
      </c>
      <c r="G95" s="17" t="str">
        <f>IF(MidCom!AT89="FA", "FA",
    IF(MidCom!AT89="DRP", "DRP",
    IF(MidCom!AT89="WF", "WF", MidCom!AS89)))</f>
        <v/>
      </c>
      <c r="H95" s="17" t="str">
        <f>FinCom!G89</f>
        <v/>
      </c>
      <c r="I95" s="17" t="str">
        <f>FinCom!AL89</f>
        <v/>
      </c>
      <c r="J95" s="17" t="str">
        <f>FinCom!AQ89</f>
        <v/>
      </c>
      <c r="K95" s="17" t="str">
        <f>IF(FinCom!AT89="FA","FA",
IF(FinCom!AT89="FA","FA",
IF(FinCom!AT89="DRP","DRP",
IF(FinCom!AT89="WF","WF",IF(FinCom!AT89="INC","INC",FinCom!AS89)))))</f>
        <v/>
      </c>
      <c r="L95" s="48" t="str">
        <f>IF(SUM(MidCom!AR89,FinCom!AR89)=0,"",SUM(MidCom!AR89,FinCom!AR89))</f>
        <v/>
      </c>
      <c r="M95" s="31"/>
      <c r="N95" s="17" t="str">
        <f>IF(C95="","",IF(G95="DRP","DRP",IF(G95="WF","WF",IF(K95="INC","INC",IF(OR(MidCom!AS89="ERR",FinCom!AS89="ERR"),"ERR",FLOOR(SUM(MidCom!AS89*Info!$B$34,FinCom!AS89*Info!$B$35,M95),1))))))</f>
        <v/>
      </c>
      <c r="O95" s="17" t="str">
        <f>IF(C95="","",IF(G95="DRP","DRP",IF(G95="WF","WF",IF(K95="INC","INC",IF(K95="FA","FA",IF(N95&lt;75,5,VLOOKUP(_xlfn.FLOOR.MATH(N95,1),'New Grade Equivalent'!$A$3:$C$47,2,FALSE)))))))</f>
        <v/>
      </c>
      <c r="P95" s="8" t="str">
        <f>IF(C95="","",VLOOKUP(O95,'New Grade Equivalent'!$B$3:$C$47,2,FALSE))</f>
        <v/>
      </c>
      <c r="Q95" s="164"/>
      <c r="R95" s="164"/>
    </row>
    <row r="96" spans="1:18" x14ac:dyDescent="0.25">
      <c r="A96" s="13">
        <v>85</v>
      </c>
      <c r="B96" s="13" t="str">
        <f>IF('Student List'!B94="","",'Student List'!B94)</f>
        <v/>
      </c>
      <c r="C96" s="22" t="str">
        <f>IF('Student List'!C94="","",'Student List'!C94)</f>
        <v/>
      </c>
      <c r="D96" s="14" t="str">
        <f>MidCom!G90</f>
        <v/>
      </c>
      <c r="E96" s="14" t="str">
        <f>MidCom!AL90</f>
        <v/>
      </c>
      <c r="F96" s="14" t="str">
        <f>MidCom!AQ90</f>
        <v/>
      </c>
      <c r="G96" s="17" t="str">
        <f>IF(MidCom!AT90="FA", "FA",
    IF(MidCom!AT90="DRP", "DRP",
    IF(MidCom!AT90="WF", "WF", MidCom!AS90)))</f>
        <v/>
      </c>
      <c r="H96" s="17" t="str">
        <f>FinCom!G90</f>
        <v/>
      </c>
      <c r="I96" s="17" t="str">
        <f>FinCom!AL90</f>
        <v/>
      </c>
      <c r="J96" s="17" t="str">
        <f>FinCom!AQ90</f>
        <v/>
      </c>
      <c r="K96" s="17" t="str">
        <f>IF(FinCom!AT90="FA","FA",
IF(FinCom!AT90="FA","FA",
IF(FinCom!AT90="DRP","DRP",
IF(FinCom!AT90="WF","WF",IF(FinCom!AT90="INC","INC",FinCom!AS90)))))</f>
        <v/>
      </c>
      <c r="L96" s="48" t="str">
        <f>IF(SUM(MidCom!AR90,FinCom!AR90)=0,"",SUM(MidCom!AR90,FinCom!AR90))</f>
        <v/>
      </c>
      <c r="M96" s="31"/>
      <c r="N96" s="17" t="str">
        <f>IF(C96="","",IF(G96="DRP","DRP",IF(G96="WF","WF",IF(K96="INC","INC",IF(OR(MidCom!AS90="ERR",FinCom!AS90="ERR"),"ERR",FLOOR(SUM(MidCom!AS90*Info!$B$34,FinCom!AS90*Info!$B$35,M96),1))))))</f>
        <v/>
      </c>
      <c r="O96" s="17" t="str">
        <f>IF(C96="","",IF(G96="DRP","DRP",IF(G96="WF","WF",IF(K96="INC","INC",IF(K96="FA","FA",IF(N96&lt;75,5,VLOOKUP(_xlfn.FLOOR.MATH(N96,1),'New Grade Equivalent'!$A$3:$C$47,2,FALSE)))))))</f>
        <v/>
      </c>
      <c r="P96" s="8" t="str">
        <f>IF(C96="","",VLOOKUP(O96,'New Grade Equivalent'!$B$3:$C$47,2,FALSE))</f>
        <v/>
      </c>
      <c r="Q96" s="164"/>
      <c r="R96" s="164"/>
    </row>
    <row r="97" spans="3:24" x14ac:dyDescent="0.25">
      <c r="C97" s="21"/>
    </row>
    <row r="98" spans="3:24" x14ac:dyDescent="0.25">
      <c r="C98" s="83" t="s">
        <v>138</v>
      </c>
      <c r="D98" s="46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</row>
    <row r="99" spans="3:24" x14ac:dyDescent="0.25">
      <c r="C99" s="80"/>
      <c r="D99" s="46"/>
      <c r="E99" s="46"/>
      <c r="F99" s="46"/>
      <c r="P99" s="124"/>
    </row>
    <row r="100" spans="3:24" x14ac:dyDescent="0.25">
      <c r="C100" s="46"/>
      <c r="D100" s="46"/>
      <c r="E100" s="46"/>
      <c r="F100" s="46"/>
      <c r="G100" s="46"/>
      <c r="H100" s="46"/>
      <c r="I100" s="46"/>
      <c r="J100" s="133"/>
      <c r="K100" s="82"/>
      <c r="L100" s="82"/>
      <c r="M100" s="82"/>
      <c r="N100" s="271"/>
      <c r="O100" s="271"/>
      <c r="P100" s="271"/>
      <c r="Q100" s="134"/>
      <c r="R100" s="134"/>
      <c r="S100" s="134"/>
      <c r="T100" s="134"/>
    </row>
    <row r="101" spans="3:24" x14ac:dyDescent="0.25">
      <c r="C101" s="81"/>
      <c r="D101" s="264" t="s">
        <v>137</v>
      </c>
      <c r="E101" s="264"/>
      <c r="F101" s="264"/>
      <c r="G101" s="264"/>
      <c r="H101" s="264"/>
      <c r="I101" s="264"/>
      <c r="J101" s="264"/>
      <c r="K101" s="264"/>
      <c r="L101" s="1"/>
      <c r="M101" s="1"/>
      <c r="R101" s="134"/>
      <c r="S101" s="134"/>
      <c r="T101" s="134"/>
    </row>
    <row r="102" spans="3:24" x14ac:dyDescent="0.25">
      <c r="C102" s="46"/>
      <c r="D102" s="81"/>
      <c r="E102" s="81"/>
      <c r="F102" s="81"/>
      <c r="G102" s="21"/>
      <c r="H102" s="21"/>
      <c r="I102" s="82"/>
      <c r="J102" s="82"/>
      <c r="K102" s="82"/>
      <c r="L102" s="1"/>
      <c r="M102" s="1"/>
      <c r="S102" s="1"/>
    </row>
    <row r="103" spans="3:24" x14ac:dyDescent="0.25">
      <c r="C103" s="81"/>
      <c r="D103" s="264" t="s">
        <v>140</v>
      </c>
      <c r="E103" s="264"/>
      <c r="F103" s="264"/>
      <c r="G103" s="21"/>
      <c r="H103" s="130" t="s">
        <v>139</v>
      </c>
      <c r="I103" s="130"/>
      <c r="J103" s="130"/>
      <c r="L103" s="1"/>
      <c r="M103" s="1"/>
      <c r="R103" s="134"/>
    </row>
    <row r="104" spans="3:24" x14ac:dyDescent="0.25">
      <c r="C104" s="81"/>
      <c r="D104" s="49">
        <f>SUMPRODUCT(COUNTIF(Summary!$P$12:$XFD$96, {"Excellent","Superior","Very Good","Good","Fair"}))</f>
        <v>0</v>
      </c>
      <c r="E104" s="25" t="s">
        <v>64</v>
      </c>
      <c r="G104" s="21"/>
      <c r="H104" s="50">
        <f>(D104/COUNTA('Student List'!$C$10:$C$94))</f>
        <v>0</v>
      </c>
      <c r="I104" s="25" t="s">
        <v>132</v>
      </c>
      <c r="L104" s="1"/>
      <c r="M104" s="1"/>
    </row>
    <row r="105" spans="3:24" x14ac:dyDescent="0.25">
      <c r="C105" s="81"/>
      <c r="D105" s="49">
        <f>COUNTIF(Summary!$P$12:$XFD$96,E105)</f>
        <v>1</v>
      </c>
      <c r="E105" s="25" t="s">
        <v>53</v>
      </c>
      <c r="G105" s="21"/>
      <c r="H105" s="50">
        <f>(D105/COUNTA('Student List'!$C$10:$C$94))</f>
        <v>1</v>
      </c>
      <c r="I105" s="25" t="s">
        <v>133</v>
      </c>
      <c r="L105" s="1"/>
      <c r="M105" s="1"/>
    </row>
    <row r="106" spans="3:24" ht="15" customHeight="1" x14ac:dyDescent="0.25">
      <c r="C106" s="81"/>
      <c r="D106" s="49">
        <f>COUNTIF(Summary!$P$12:$P$96,E106)</f>
        <v>0</v>
      </c>
      <c r="E106" s="25" t="s">
        <v>55</v>
      </c>
      <c r="G106" s="21"/>
      <c r="H106" s="50">
        <f>(D106/COUNTA('Student List'!$C$10:$C$94))</f>
        <v>0</v>
      </c>
      <c r="I106" s="25" t="s">
        <v>135</v>
      </c>
      <c r="L106" s="1"/>
      <c r="M106" s="1"/>
      <c r="N106" s="266" t="str">
        <f>IF(OR(Info!B40&lt;60%,Info!B40&gt;60%),"Class Standing percentage is NOT EQUAL to 60%","")</f>
        <v/>
      </c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</row>
    <row r="107" spans="3:24" ht="15" customHeight="1" x14ac:dyDescent="0.25">
      <c r="C107" s="81"/>
      <c r="D107" s="49">
        <f>COUNTIF(Summary!$P$12:$XFD$96, "Withdrew with Permission") + COUNTIF(Summary!$P$12:$P$96, "Withdrew without Permission")</f>
        <v>0</v>
      </c>
      <c r="E107" s="25" t="s">
        <v>56</v>
      </c>
      <c r="G107" s="21"/>
      <c r="H107" s="50">
        <f>(D107/COUNTA('Student List'!$C$10:$C$94))</f>
        <v>0</v>
      </c>
      <c r="I107" s="25" t="s">
        <v>134</v>
      </c>
      <c r="L107" s="1"/>
      <c r="M107" s="1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</row>
    <row r="108" spans="3:24" ht="15" customHeight="1" x14ac:dyDescent="0.25">
      <c r="C108" s="81"/>
      <c r="D108" s="49">
        <f>COUNTIF(Summary!$P$12:$P$96,E108)</f>
        <v>0</v>
      </c>
      <c r="E108" s="25" t="s">
        <v>285</v>
      </c>
      <c r="G108" s="21"/>
      <c r="H108" s="50">
        <f>(D108/COUNTA('Student List'!$C$10:$C$94))</f>
        <v>0</v>
      </c>
      <c r="I108" s="25" t="s">
        <v>65</v>
      </c>
      <c r="L108" s="1"/>
      <c r="M108" s="1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</row>
    <row r="109" spans="3:24" ht="15" customHeight="1" x14ac:dyDescent="0.25">
      <c r="C109" s="46"/>
      <c r="G109" s="21"/>
      <c r="H109" s="21"/>
      <c r="L109" s="1"/>
      <c r="M109" s="1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</row>
    <row r="110" spans="3:24" ht="15" customHeight="1" x14ac:dyDescent="0.25">
      <c r="C110" s="81"/>
      <c r="D110" s="264" t="s">
        <v>149</v>
      </c>
      <c r="E110" s="264"/>
      <c r="F110" s="264"/>
      <c r="G110" s="264"/>
      <c r="H110" s="264"/>
      <c r="I110" s="264"/>
      <c r="J110" s="264"/>
      <c r="K110" s="264"/>
      <c r="L110" s="1"/>
      <c r="M110" s="1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</row>
    <row r="111" spans="3:24" ht="15" customHeight="1" x14ac:dyDescent="0.25">
      <c r="C111" s="81"/>
      <c r="G111" s="21"/>
      <c r="H111" s="21"/>
      <c r="L111" s="1"/>
      <c r="M111" s="1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</row>
    <row r="112" spans="3:24" ht="15" customHeight="1" x14ac:dyDescent="0.25">
      <c r="C112" s="81"/>
      <c r="D112" s="49">
        <f>SUMPRODUCT(('Student List'!$C$10:$C$94&lt;&gt;"") * ((('Student List'!$E$10:$E$94=E112) + ('Student List'!$F$10:$F$94=E112) + ('Student List'!$G$10:$G$94=E112) + ('Student List'!$H$10:$H$94=E112) + ('Student List'!$I$10:$I$94=E112) + ('Student List'!$J$10:$J$94=E112)) &gt; 0))</f>
        <v>0</v>
      </c>
      <c r="E112" s="23" t="s">
        <v>147</v>
      </c>
      <c r="G112" s="21"/>
      <c r="H112" s="49">
        <f>SUMPRODUCT(('Student List'!$C$10:$C$94&lt;&gt;"") * ((('Student List'!$E$10:$E$94=I112) + ('Student List'!$F$10:$F$94=I112) + ('Student List'!$G$10:$G$94=I112) + ('Student List'!$H$10:$H$94=I112) + ('Student List'!$I$10:$I$94=I112) + ('Student List'!$J$10:$J$94=I112)) &gt; 0))</f>
        <v>0</v>
      </c>
      <c r="I112" s="23" t="s">
        <v>160</v>
      </c>
      <c r="L112" s="1"/>
      <c r="M112" s="1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</row>
    <row r="113" spans="3:24" ht="15" customHeight="1" x14ac:dyDescent="0.25">
      <c r="C113" s="81"/>
      <c r="D113" s="49">
        <f>SUMPRODUCT(('Student List'!$C$10:$C$94&lt;&gt;"") * ((('Student List'!$E$10:$E$94=E113) + ('Student List'!$F$10:$F$94=E113) + ('Student List'!$G$10:$G$94=E113) + ('Student List'!$H$10:$H$94=E113) + ('Student List'!$I$10:$I$94=E113) + ('Student List'!$J$10:$J$94=E113)) &gt; 0))</f>
        <v>0</v>
      </c>
      <c r="E113" s="23" t="s">
        <v>148</v>
      </c>
      <c r="G113" s="21"/>
      <c r="H113" s="49">
        <f>COUNTIF('Student List'!D10:D94, "M")</f>
        <v>0</v>
      </c>
      <c r="I113" s="25" t="s">
        <v>150</v>
      </c>
      <c r="L113" s="1"/>
      <c r="M113" s="1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</row>
    <row r="114" spans="3:24" ht="15" customHeight="1" x14ac:dyDescent="0.25">
      <c r="D114" s="49">
        <f>SUMPRODUCT(('Student List'!$C$10:$C$94&lt;&gt;"") * ((('Student List'!$E$10:$E$94=E114) + ('Student List'!$F$10:$F$94=E114) + ('Student List'!$G$10:$G$94=E114) + ('Student List'!$H$10:$H$94=E114) + ('Student List'!$I$10:$I$94=E114) + ('Student List'!$J$10:$J$94=E114)) &gt; 0))</f>
        <v>0</v>
      </c>
      <c r="E114" s="23" t="s">
        <v>146</v>
      </c>
      <c r="G114" s="21"/>
      <c r="H114" s="79">
        <f>COUNTIF('Student List'!D10:D94, "F")</f>
        <v>0</v>
      </c>
      <c r="I114" s="25" t="s">
        <v>151</v>
      </c>
      <c r="L114" s="1"/>
      <c r="M114" s="1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</row>
    <row r="115" spans="3:24" ht="15" customHeight="1" x14ac:dyDescent="0.25">
      <c r="D115" s="49">
        <f>SUMPRODUCT(('Student List'!$C$10:$C$94&lt;&gt;"") * ((('Student List'!$E$10:$E$94=E115) + ('Student List'!$F$10:$F$94=E115) + ('Student List'!$G$10:$G$94=E115) + ('Student List'!$H$10:$H$94=E115) + ('Student List'!$I$10:$I$94=E115) + ('Student List'!$J$10:$J$94=E115)) &gt; 0))</f>
        <v>0</v>
      </c>
      <c r="E115" s="23" t="s">
        <v>284</v>
      </c>
      <c r="G115" s="21"/>
      <c r="H115" s="155">
        <f>SUMPRODUCT(('Student List'!$D$10:$D$94="F") * ((('Student List'!$E$10:$E$94="First generation student") + ('Student List'!$F$10:$F$94="First generation student") + ('Student List'!$G$10:$G$94="First generation student") + ('Student List'!$H$10:$H$94="First generation student") + ('Student List'!$I$10:$I$94="First generation student") + ('Student List'!$J$10:$J$94="First generation student")) &gt; 0))</f>
        <v>0</v>
      </c>
      <c r="I115" s="25" t="s">
        <v>373</v>
      </c>
      <c r="L115" s="1"/>
      <c r="M115" s="1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</row>
    <row r="116" spans="3:24" ht="15" customHeight="1" x14ac:dyDescent="0.25">
      <c r="D116" s="49">
        <f>SUMPRODUCT(('Student List'!$C$10:$C$94&lt;&gt;"") * ((('Student List'!$E$10:$E$94=E116) + ('Student List'!$F$10:$F$94=E116) + ('Student List'!$G$10:$G$94=E116) + ('Student List'!$H$10:$H$94=E116) + ('Student List'!$I$10:$I$94=E116) + ('Student List'!$J$10:$J$94=E116)) &gt; 0))</f>
        <v>0</v>
      </c>
      <c r="E116" s="23" t="s">
        <v>374</v>
      </c>
      <c r="G116" s="21"/>
      <c r="H116" s="155">
        <f>SUMPRODUCT(('Student List'!$D$10:$D$94="F") * ((('Student List'!$E$10:$E$94="Handicapped") + ('Student List'!$F$10:$F$94="Handicapped") + ('Student List'!$G$10:$G$94="Handicapped") + ('Student List'!$H$10:$H$94="Handicapped") + ('Student List'!$I$10:$I$94="Handicapped") + ('Student List'!$J$10:$J$94="Handicapped")) &gt; 0))</f>
        <v>0</v>
      </c>
      <c r="I116" s="25" t="s">
        <v>378</v>
      </c>
      <c r="L116" s="1"/>
      <c r="M116" s="1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</row>
    <row r="117" spans="3:24" x14ac:dyDescent="0.25">
      <c r="N117" s="26"/>
    </row>
    <row r="118" spans="3:24" x14ac:dyDescent="0.25">
      <c r="D118" s="265" t="s">
        <v>136</v>
      </c>
      <c r="E118" s="265"/>
      <c r="F118" s="265"/>
      <c r="G118" s="265"/>
      <c r="H118" s="265"/>
      <c r="I118" s="265"/>
      <c r="J118" s="265"/>
      <c r="K118" s="265"/>
    </row>
    <row r="119" spans="3:24" ht="17.25" customHeight="1" x14ac:dyDescent="0.25">
      <c r="D119" s="1"/>
      <c r="E119" s="1"/>
      <c r="F119" s="1"/>
    </row>
    <row r="120" spans="3:24" ht="15" customHeight="1" x14ac:dyDescent="0.25">
      <c r="D120" s="271" t="s">
        <v>97</v>
      </c>
      <c r="E120" s="271"/>
      <c r="H120" s="130" t="s">
        <v>98</v>
      </c>
      <c r="I120" s="134"/>
    </row>
    <row r="121" spans="3:24" ht="15" customHeight="1" x14ac:dyDescent="0.25">
      <c r="D121" s="52">
        <f>IF(Midterm!AQ1="","",COUNTA(Midterm!AM5:AP5))</f>
        <v>1</v>
      </c>
      <c r="E121" s="51" t="str">
        <f>IF(PROPER(MidCom!AQ1)="N/A","",PROPER(MidCom!AQ1))</f>
        <v>Major Exam</v>
      </c>
      <c r="H121" s="52">
        <f>IF('Final Term'!AQ1="","",COUNTA('Final Term'!AM5:AP5))</f>
        <v>0</v>
      </c>
      <c r="I121" s="51" t="str">
        <f>IF(PROPER(FinCom!AQ1)="N/A","",PROPER(FinCom!AQ1))</f>
        <v>Major Exam</v>
      </c>
    </row>
    <row r="122" spans="3:24" ht="15" customHeight="1" x14ac:dyDescent="0.25">
      <c r="D122" s="52">
        <f>IF(Midterm!M2="","",COUNTA(Midterm!H5:L5))</f>
        <v>1</v>
      </c>
      <c r="E122" s="25" t="str">
        <f>IF(PROPER(MidCom!M2)="N/A","",PROPER(MidCom!M2))</f>
        <v>Quizzes</v>
      </c>
      <c r="H122" s="52">
        <f>IF('Final Term'!M2="","",COUNTA('Final Term'!H5:L5))</f>
        <v>0</v>
      </c>
      <c r="I122" s="25" t="str">
        <f>IF(PROPER(FinCom!M2)="N/A","",PROPER(FinCom!M2))</f>
        <v>Quizzes</v>
      </c>
    </row>
    <row r="123" spans="3:24" ht="15" customHeight="1" x14ac:dyDescent="0.25">
      <c r="D123" s="52">
        <f>IF(Midterm!S2="","",COUNTA(Midterm!N5:R5))</f>
        <v>1</v>
      </c>
      <c r="E123" s="25" t="str">
        <f>IF(PROPER(MidCom!S2)="N/A","",PROPER(MidCom!S2))</f>
        <v>Recitation</v>
      </c>
      <c r="H123" s="52">
        <f>IF('Final Term'!S2="","",COUNTA('Final Term'!N5:R5))</f>
        <v>0</v>
      </c>
      <c r="I123" s="25" t="str">
        <f>IF(PROPER(FinCom!S2)="N/A","",PROPER(FinCom!S2))</f>
        <v>Recitation</v>
      </c>
    </row>
    <row r="124" spans="3:24" ht="15" customHeight="1" x14ac:dyDescent="0.25">
      <c r="D124" s="52">
        <f>IF(Midterm!Y2="","",COUNTA(Midterm!T5:X5))</f>
        <v>1</v>
      </c>
      <c r="E124" s="51" t="str">
        <f>IF(PROPER(MidCom!Y2)="N/A","",PROPER(MidCom!Y2))</f>
        <v>Other</v>
      </c>
      <c r="H124" s="52">
        <f>IF('Final Term'!Y2="","",COUNTA('Final Term'!T5:X5))</f>
        <v>0</v>
      </c>
      <c r="I124" s="51" t="str">
        <f>IF(PROPER(FinCom!Y2)="N/A","",PROPER(FinCom!Y2))</f>
        <v>Other</v>
      </c>
    </row>
    <row r="125" spans="3:24" ht="15" customHeight="1" x14ac:dyDescent="0.25">
      <c r="D125" s="52">
        <f>IF(Midterm!AE2="","",COUNTA(Midterm!Z5:AD5))</f>
        <v>1</v>
      </c>
      <c r="E125" s="51" t="str">
        <f>IF(PROPER(MidCom!AE2)="N/A","",PROPER(MidCom!AE2))</f>
        <v>Activities</v>
      </c>
      <c r="H125" s="52">
        <f>IF('Final Term'!AE2="","",COUNTA('Final Term'!Z5:AD5))</f>
        <v>0</v>
      </c>
      <c r="I125" s="51" t="str">
        <f>IF(PROPER(FinCom!AE2)="N/A","",PROPER(FinCom!AE2))</f>
        <v>Activities</v>
      </c>
    </row>
    <row r="126" spans="3:24" x14ac:dyDescent="0.25">
      <c r="D126" s="52" t="str">
        <f>IF(Midterm!AK2="","",COUNTA(Midterm!AF5:AJ5))</f>
        <v/>
      </c>
      <c r="E126" s="51" t="str">
        <f>IF(PROPER(MidCom!AK2)="N/A","",PROPER(MidCom!AK2))</f>
        <v/>
      </c>
      <c r="H126" s="52" t="str">
        <f>IF('Final Term'!AK2="","",COUNTA('Final Term'!AF5:AJ5))</f>
        <v/>
      </c>
      <c r="I126" s="51" t="str">
        <f>IF(PROPER(FinCom!AK2)="N/A","",PROPER(FinCom!AK2))</f>
        <v/>
      </c>
    </row>
    <row r="127" spans="3:24" x14ac:dyDescent="0.25"/>
    <row r="128" spans="3:24" x14ac:dyDescent="0.25">
      <c r="D128" s="264" t="s">
        <v>161</v>
      </c>
      <c r="E128" s="264"/>
      <c r="F128" s="264"/>
      <c r="G128" s="264"/>
      <c r="H128" s="264"/>
      <c r="I128" s="264"/>
      <c r="J128" s="264"/>
      <c r="K128" s="264"/>
    </row>
    <row r="129" spans="3:13" x14ac:dyDescent="0.25"/>
    <row r="130" spans="3:13" x14ac:dyDescent="0.25">
      <c r="D130" s="79">
        <f>COUNTA('MT Attendance'!C2:AU2)</f>
        <v>1</v>
      </c>
      <c r="E130" s="25" t="s">
        <v>158</v>
      </c>
      <c r="I130" s="79">
        <f>COUNTA('FT Attendance'!C2:AU2)</f>
        <v>0</v>
      </c>
      <c r="J130" s="25" t="s">
        <v>157</v>
      </c>
    </row>
    <row r="131" spans="3:13" x14ac:dyDescent="0.25">
      <c r="D131" s="78">
        <f>COUNTIF('MT Attendance'!AV4:AV1048576, COUNTA('MT Attendance'!C2:AU2))</f>
        <v>0</v>
      </c>
      <c r="E131" s="25" t="s">
        <v>163</v>
      </c>
      <c r="I131" s="78">
        <f>COUNTIF('FT Attendance'!AV4:AV90, COUNTA('FT Attendance'!C2:AU2))</f>
        <v>1</v>
      </c>
      <c r="J131" s="25" t="s">
        <v>163</v>
      </c>
    </row>
    <row r="132" spans="3:13" x14ac:dyDescent="0.25">
      <c r="D132" s="78">
        <f>MAX('MT Attendance'!AY4:AY1048576)</f>
        <v>0</v>
      </c>
      <c r="E132" s="25" t="s">
        <v>164</v>
      </c>
      <c r="I132" s="79">
        <f>MAX('FT Attendance'!AY4:AY1048576)</f>
        <v>0</v>
      </c>
      <c r="J132" s="25" t="s">
        <v>164</v>
      </c>
    </row>
    <row r="133" spans="3:13" x14ac:dyDescent="0.25"/>
    <row r="134" spans="3:13" x14ac:dyDescent="0.25"/>
    <row r="135" spans="3:13" x14ac:dyDescent="0.25">
      <c r="D135" s="47"/>
      <c r="E135" s="47"/>
      <c r="F135" s="47"/>
    </row>
    <row r="136" spans="3:13" x14ac:dyDescent="0.25">
      <c r="C136" s="23" t="s">
        <v>61</v>
      </c>
      <c r="E136" s="23" t="s">
        <v>62</v>
      </c>
      <c r="L136" s="23" t="s">
        <v>63</v>
      </c>
      <c r="M136" s="23"/>
    </row>
    <row r="137" spans="3:13" x14ac:dyDescent="0.25">
      <c r="C137" s="21"/>
      <c r="E137" s="23"/>
      <c r="L137" s="23"/>
      <c r="M137" s="23"/>
    </row>
    <row r="138" spans="3:13" x14ac:dyDescent="0.25">
      <c r="C138" s="21"/>
      <c r="E138" s="23"/>
      <c r="L138" s="23"/>
      <c r="M138" s="23"/>
    </row>
    <row r="139" spans="3:13" x14ac:dyDescent="0.25">
      <c r="C139" s="24">
        <f>Info!B23</f>
        <v>0</v>
      </c>
      <c r="E139" s="24">
        <f>Info!B27</f>
        <v>0</v>
      </c>
      <c r="L139" s="24">
        <f>Info!B29</f>
        <v>0</v>
      </c>
      <c r="M139" s="24"/>
    </row>
    <row r="140" spans="3:13" x14ac:dyDescent="0.25">
      <c r="C140" s="23" t="str">
        <f>Info!B24</f>
        <v>Instructor I</v>
      </c>
      <c r="E140" s="23" t="str">
        <f>Info!B28</f>
        <v>Area Chairperson</v>
      </c>
      <c r="L140" s="23" t="str">
        <f>Info!B30</f>
        <v>Campus Director</v>
      </c>
      <c r="M140" s="23"/>
    </row>
    <row r="141" spans="3:13" x14ac:dyDescent="0.25">
      <c r="C141" s="21"/>
    </row>
    <row r="142" spans="3:13" x14ac:dyDescent="0.25">
      <c r="C142" s="21"/>
    </row>
    <row r="143" spans="3:13" x14ac:dyDescent="0.25"/>
  </sheetData>
  <sheetProtection algorithmName="SHA-512" hashValue="Kx9HAVT+J221/FvHgooEXYzK233dMWOcie8Xb0cghhOlMPKQ8SOdNKtp4N7OEn3171ABzLs5qHx2z2nubikjFQ==" saltValue="UfFwvGE8nJqpvqxgeB8+Fw==" spinCount="100000" sheet="1" formatRows="0"/>
  <mergeCells count="26">
    <mergeCell ref="P10:P11"/>
    <mergeCell ref="A10:A11"/>
    <mergeCell ref="N10:N11"/>
    <mergeCell ref="O10:O11"/>
    <mergeCell ref="C10:C11"/>
    <mergeCell ref="B10:B11"/>
    <mergeCell ref="D10:G10"/>
    <mergeCell ref="H10:K10"/>
    <mergeCell ref="L10:L11"/>
    <mergeCell ref="M10:M11"/>
    <mergeCell ref="D128:K128"/>
    <mergeCell ref="D118:K118"/>
    <mergeCell ref="N106:X115"/>
    <mergeCell ref="L2:P2"/>
    <mergeCell ref="L3:P3"/>
    <mergeCell ref="L4:P4"/>
    <mergeCell ref="L5:P5"/>
    <mergeCell ref="C5:K5"/>
    <mergeCell ref="C8:K8"/>
    <mergeCell ref="D103:F103"/>
    <mergeCell ref="D110:K110"/>
    <mergeCell ref="D120:E120"/>
    <mergeCell ref="N100:P100"/>
    <mergeCell ref="D101:K101"/>
    <mergeCell ref="Q10:Q11"/>
    <mergeCell ref="R10:R11"/>
  </mergeCells>
  <conditionalFormatting sqref="D11:K96">
    <cfRule type="cellIs" dxfId="19" priority="17" operator="lessThan">
      <formula>75</formula>
    </cfRule>
  </conditionalFormatting>
  <conditionalFormatting sqref="O12:O96">
    <cfRule type="containsText" dxfId="18" priority="15" operator="containsText" text="INC">
      <formula>NOT(ISERROR(SEARCH("INC",O12)))</formula>
    </cfRule>
    <cfRule type="cellIs" dxfId="17" priority="16" operator="greaterThan">
      <formula>3</formula>
    </cfRule>
  </conditionalFormatting>
  <conditionalFormatting sqref="H122:H126">
    <cfRule type="notContainsBlanks" dxfId="16" priority="9">
      <formula>LEN(TRIM(H122))&gt;0</formula>
    </cfRule>
  </conditionalFormatting>
  <conditionalFormatting sqref="D122:D126">
    <cfRule type="notContainsBlanks" dxfId="15" priority="10">
      <formula>LEN(TRIM(D122))&gt;0</formula>
    </cfRule>
  </conditionalFormatting>
  <conditionalFormatting sqref="D121">
    <cfRule type="notContainsBlanks" dxfId="14" priority="8">
      <formula>LEN(TRIM(D121))&gt;0</formula>
    </cfRule>
  </conditionalFormatting>
  <conditionalFormatting sqref="H121">
    <cfRule type="notContainsBlanks" dxfId="13" priority="7">
      <formula>LEN(TRIM(H121))&gt;0</formula>
    </cfRule>
  </conditionalFormatting>
  <conditionalFormatting sqref="N106">
    <cfRule type="containsText" dxfId="12" priority="6" operator="containsText" text="NOT EQUAL">
      <formula>NOT(ISERROR(SEARCH("NOT EQUAL",N106)))</formula>
    </cfRule>
  </conditionalFormatting>
  <conditionalFormatting sqref="G12:G96">
    <cfRule type="cellIs" dxfId="11" priority="5" operator="equal">
      <formula>"FA"</formula>
    </cfRule>
  </conditionalFormatting>
  <conditionalFormatting sqref="K12:K96">
    <cfRule type="containsText" dxfId="10" priority="4" operator="containsText" text="FA">
      <formula>NOT(ISERROR(SEARCH("FA",K12)))</formula>
    </cfRule>
  </conditionalFormatting>
  <conditionalFormatting sqref="D12:O96">
    <cfRule type="cellIs" dxfId="9" priority="1" operator="equal">
      <formula>"INC"</formula>
    </cfRule>
    <cfRule type="cellIs" dxfId="8" priority="2" operator="equal">
      <formula>"WF"</formula>
    </cfRule>
    <cfRule type="cellIs" dxfId="7" priority="3" operator="equal">
      <formula>"DRP"</formula>
    </cfRule>
  </conditionalFormatting>
  <pageMargins left="0.7" right="0.7" top="0.75" bottom="0.75" header="0.3" footer="0.3"/>
  <pageSetup paperSize="5" scale="8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D58D-C28B-4E9E-B81F-0F919834D029}">
  <sheetPr codeName="Sheet10"/>
  <dimension ref="A1:F187"/>
  <sheetViews>
    <sheetView showGridLines="0" zoomScale="115" zoomScaleNormal="115" workbookViewId="0">
      <selection activeCell="A44" sqref="A44:C47"/>
    </sheetView>
  </sheetViews>
  <sheetFormatPr defaultColWidth="0" defaultRowHeight="15" zeroHeight="1" x14ac:dyDescent="0.25"/>
  <cols>
    <col min="1" max="1" width="12" customWidth="1"/>
    <col min="2" max="2" width="19.5703125" customWidth="1"/>
    <col min="3" max="3" width="31.7109375" style="1" customWidth="1"/>
    <col min="4" max="16384" width="31.7109375" hidden="1"/>
  </cols>
  <sheetData>
    <row r="1" spans="1:6" x14ac:dyDescent="0.25">
      <c r="A1" s="286" t="s">
        <v>303</v>
      </c>
      <c r="B1" s="287"/>
      <c r="C1" s="288"/>
    </row>
    <row r="2" spans="1:6" x14ac:dyDescent="0.25">
      <c r="A2" s="19" t="s">
        <v>43</v>
      </c>
      <c r="B2" s="19" t="s">
        <v>44</v>
      </c>
      <c r="C2" s="19" t="s">
        <v>48</v>
      </c>
    </row>
    <row r="3" spans="1:6" x14ac:dyDescent="0.25">
      <c r="A3" s="8">
        <v>100</v>
      </c>
      <c r="B3" s="17">
        <v>1</v>
      </c>
      <c r="C3" s="20" t="s">
        <v>367</v>
      </c>
    </row>
    <row r="4" spans="1:6" x14ac:dyDescent="0.25">
      <c r="A4" s="8">
        <v>99</v>
      </c>
      <c r="B4" s="17">
        <v>1</v>
      </c>
      <c r="C4" s="20" t="s">
        <v>367</v>
      </c>
    </row>
    <row r="5" spans="1:6" x14ac:dyDescent="0.25">
      <c r="A5" s="8">
        <v>98</v>
      </c>
      <c r="B5" s="17">
        <v>1.25</v>
      </c>
      <c r="C5" s="20" t="s">
        <v>369</v>
      </c>
      <c r="E5" s="1"/>
      <c r="F5" s="18"/>
    </row>
    <row r="6" spans="1:6" x14ac:dyDescent="0.25">
      <c r="A6" s="8">
        <v>97</v>
      </c>
      <c r="B6" s="17">
        <v>1.25</v>
      </c>
      <c r="C6" s="20" t="s">
        <v>369</v>
      </c>
      <c r="E6" s="1"/>
      <c r="F6" s="18"/>
    </row>
    <row r="7" spans="1:6" x14ac:dyDescent="0.25">
      <c r="A7" s="8">
        <v>96</v>
      </c>
      <c r="B7" s="17">
        <v>1.25</v>
      </c>
      <c r="C7" s="20" t="s">
        <v>369</v>
      </c>
      <c r="E7" s="1"/>
      <c r="F7" s="18"/>
    </row>
    <row r="8" spans="1:6" x14ac:dyDescent="0.25">
      <c r="A8" s="8">
        <v>95</v>
      </c>
      <c r="B8" s="17">
        <v>1.5</v>
      </c>
      <c r="C8" s="20" t="s">
        <v>369</v>
      </c>
      <c r="E8" s="1"/>
      <c r="F8" s="18"/>
    </row>
    <row r="9" spans="1:6" x14ac:dyDescent="0.25">
      <c r="A9" s="8">
        <v>94</v>
      </c>
      <c r="B9" s="17">
        <v>1.5</v>
      </c>
      <c r="C9" s="20" t="s">
        <v>369</v>
      </c>
      <c r="E9" s="1"/>
      <c r="F9" s="18"/>
    </row>
    <row r="10" spans="1:6" x14ac:dyDescent="0.25">
      <c r="A10" s="8">
        <v>93</v>
      </c>
      <c r="B10" s="17">
        <v>1.5</v>
      </c>
      <c r="C10" s="20" t="s">
        <v>369</v>
      </c>
      <c r="E10" s="1"/>
      <c r="F10" s="18"/>
    </row>
    <row r="11" spans="1:6" x14ac:dyDescent="0.25">
      <c r="A11" s="8">
        <v>92</v>
      </c>
      <c r="B11" s="17">
        <v>1.75</v>
      </c>
      <c r="C11" s="20" t="s">
        <v>369</v>
      </c>
      <c r="E11" s="1"/>
      <c r="F11" s="18"/>
    </row>
    <row r="12" spans="1:6" x14ac:dyDescent="0.25">
      <c r="A12" s="8">
        <v>91</v>
      </c>
      <c r="B12" s="17">
        <v>1.75</v>
      </c>
      <c r="C12" s="20" t="s">
        <v>369</v>
      </c>
      <c r="E12" s="1"/>
      <c r="F12" s="18"/>
    </row>
    <row r="13" spans="1:6" x14ac:dyDescent="0.25">
      <c r="A13" s="8">
        <v>90</v>
      </c>
      <c r="B13" s="17">
        <v>1.75</v>
      </c>
      <c r="C13" s="20" t="s">
        <v>369</v>
      </c>
      <c r="E13" s="1"/>
      <c r="F13" s="18"/>
    </row>
    <row r="14" spans="1:6" x14ac:dyDescent="0.25">
      <c r="A14" s="8">
        <v>89</v>
      </c>
      <c r="B14" s="17">
        <v>2</v>
      </c>
      <c r="C14" s="20" t="s">
        <v>369</v>
      </c>
      <c r="E14" s="1"/>
      <c r="F14" s="18"/>
    </row>
    <row r="15" spans="1:6" x14ac:dyDescent="0.25">
      <c r="A15" s="8">
        <v>88</v>
      </c>
      <c r="B15" s="17">
        <v>2</v>
      </c>
      <c r="C15" s="20" t="s">
        <v>369</v>
      </c>
      <c r="E15" s="1"/>
      <c r="F15" s="18"/>
    </row>
    <row r="16" spans="1:6" x14ac:dyDescent="0.25">
      <c r="A16" s="8">
        <v>87</v>
      </c>
      <c r="B16" s="17">
        <v>2</v>
      </c>
      <c r="C16" s="20" t="s">
        <v>369</v>
      </c>
      <c r="E16" s="1"/>
      <c r="F16" s="18"/>
    </row>
    <row r="17" spans="1:6" x14ac:dyDescent="0.25">
      <c r="A17" s="8">
        <v>86</v>
      </c>
      <c r="B17" s="17">
        <v>2.25</v>
      </c>
      <c r="C17" s="20" t="s">
        <v>369</v>
      </c>
      <c r="E17" s="1"/>
      <c r="F17" s="18"/>
    </row>
    <row r="18" spans="1:6" x14ac:dyDescent="0.25">
      <c r="A18" s="8">
        <v>85</v>
      </c>
      <c r="B18" s="17">
        <v>2.25</v>
      </c>
      <c r="C18" s="20" t="s">
        <v>369</v>
      </c>
      <c r="E18" s="1"/>
      <c r="F18" s="18"/>
    </row>
    <row r="19" spans="1:6" x14ac:dyDescent="0.25">
      <c r="A19" s="8">
        <v>84</v>
      </c>
      <c r="B19" s="17">
        <v>2.25</v>
      </c>
      <c r="C19" s="20" t="s">
        <v>369</v>
      </c>
      <c r="E19" s="1"/>
      <c r="F19" s="18"/>
    </row>
    <row r="20" spans="1:6" x14ac:dyDescent="0.25">
      <c r="A20" s="8">
        <v>83</v>
      </c>
      <c r="B20" s="17">
        <v>2.5</v>
      </c>
      <c r="C20" s="20" t="s">
        <v>369</v>
      </c>
      <c r="E20" s="1"/>
      <c r="F20" s="18"/>
    </row>
    <row r="21" spans="1:6" x14ac:dyDescent="0.25">
      <c r="A21" s="8">
        <v>82</v>
      </c>
      <c r="B21" s="17">
        <v>2.5</v>
      </c>
      <c r="C21" s="20" t="s">
        <v>369</v>
      </c>
      <c r="E21" s="1"/>
      <c r="F21" s="18"/>
    </row>
    <row r="22" spans="1:6" x14ac:dyDescent="0.25">
      <c r="A22" s="8">
        <v>81</v>
      </c>
      <c r="B22" s="17">
        <v>2.5</v>
      </c>
      <c r="C22" s="20" t="s">
        <v>369</v>
      </c>
      <c r="E22" s="1"/>
      <c r="F22" s="18"/>
    </row>
    <row r="23" spans="1:6" x14ac:dyDescent="0.25">
      <c r="A23" s="8">
        <v>80</v>
      </c>
      <c r="B23" s="17">
        <v>2.75</v>
      </c>
      <c r="C23" s="20" t="s">
        <v>369</v>
      </c>
      <c r="E23" s="1"/>
      <c r="F23" s="18"/>
    </row>
    <row r="24" spans="1:6" x14ac:dyDescent="0.25">
      <c r="A24" s="8">
        <v>79</v>
      </c>
      <c r="B24" s="17">
        <v>2.75</v>
      </c>
      <c r="C24" s="20" t="s">
        <v>369</v>
      </c>
      <c r="E24" s="1"/>
      <c r="F24" s="18"/>
    </row>
    <row r="25" spans="1:6" x14ac:dyDescent="0.25">
      <c r="A25" s="8">
        <v>78</v>
      </c>
      <c r="B25" s="17">
        <v>2.75</v>
      </c>
      <c r="C25" s="20" t="s">
        <v>369</v>
      </c>
      <c r="E25" s="1"/>
      <c r="F25" s="18"/>
    </row>
    <row r="26" spans="1:6" x14ac:dyDescent="0.25">
      <c r="A26" s="8">
        <v>77</v>
      </c>
      <c r="B26" s="17">
        <v>3</v>
      </c>
      <c r="C26" s="20" t="s">
        <v>368</v>
      </c>
      <c r="E26" s="1"/>
      <c r="F26" s="18"/>
    </row>
    <row r="27" spans="1:6" x14ac:dyDescent="0.25">
      <c r="A27" s="8">
        <v>76</v>
      </c>
      <c r="B27" s="17">
        <v>3</v>
      </c>
      <c r="C27" s="20" t="s">
        <v>368</v>
      </c>
      <c r="E27" s="1"/>
      <c r="F27" s="18"/>
    </row>
    <row r="28" spans="1:6" x14ac:dyDescent="0.25">
      <c r="A28" s="8">
        <v>75</v>
      </c>
      <c r="B28" s="17">
        <v>3</v>
      </c>
      <c r="C28" s="20" t="s">
        <v>368</v>
      </c>
      <c r="E28" s="1"/>
      <c r="F28" s="18"/>
    </row>
    <row r="29" spans="1:6" x14ac:dyDescent="0.25">
      <c r="A29" s="8">
        <v>74</v>
      </c>
      <c r="B29" s="17">
        <v>5</v>
      </c>
      <c r="C29" s="20" t="s">
        <v>53</v>
      </c>
      <c r="E29" s="1"/>
      <c r="F29" s="18"/>
    </row>
    <row r="30" spans="1:6" x14ac:dyDescent="0.25">
      <c r="A30" s="8">
        <v>73</v>
      </c>
      <c r="B30" s="17">
        <v>5</v>
      </c>
      <c r="C30" s="20" t="s">
        <v>53</v>
      </c>
      <c r="E30" s="1"/>
      <c r="F30" s="18"/>
    </row>
    <row r="31" spans="1:6" x14ac:dyDescent="0.25">
      <c r="A31" s="8">
        <v>72</v>
      </c>
      <c r="B31" s="17">
        <v>5</v>
      </c>
      <c r="C31" s="20" t="s">
        <v>53</v>
      </c>
      <c r="E31" s="1"/>
      <c r="F31" s="18"/>
    </row>
    <row r="32" spans="1:6" x14ac:dyDescent="0.25">
      <c r="A32" s="8">
        <v>71</v>
      </c>
      <c r="B32" s="17">
        <v>5</v>
      </c>
      <c r="C32" s="20" t="s">
        <v>53</v>
      </c>
      <c r="E32" s="1"/>
      <c r="F32" s="18"/>
    </row>
    <row r="33" spans="1:6" x14ac:dyDescent="0.25">
      <c r="A33" s="8">
        <v>70</v>
      </c>
      <c r="B33" s="17">
        <v>5</v>
      </c>
      <c r="C33" s="20" t="s">
        <v>53</v>
      </c>
      <c r="E33" s="1"/>
      <c r="F33" s="18"/>
    </row>
    <row r="34" spans="1:6" x14ac:dyDescent="0.25">
      <c r="A34" s="8">
        <v>69</v>
      </c>
      <c r="B34" s="17">
        <v>5</v>
      </c>
      <c r="C34" s="20" t="s">
        <v>53</v>
      </c>
      <c r="E34" s="1"/>
      <c r="F34" s="18"/>
    </row>
    <row r="35" spans="1:6" x14ac:dyDescent="0.25">
      <c r="A35" s="8">
        <v>68</v>
      </c>
      <c r="B35" s="17">
        <v>5</v>
      </c>
      <c r="C35" s="20" t="s">
        <v>53</v>
      </c>
      <c r="E35" s="1"/>
      <c r="F35" s="18"/>
    </row>
    <row r="36" spans="1:6" x14ac:dyDescent="0.25">
      <c r="A36" s="8">
        <v>67</v>
      </c>
      <c r="B36" s="17">
        <v>5</v>
      </c>
      <c r="C36" s="20" t="s">
        <v>53</v>
      </c>
      <c r="E36" s="1"/>
      <c r="F36" s="18"/>
    </row>
    <row r="37" spans="1:6" x14ac:dyDescent="0.25">
      <c r="A37" s="8">
        <v>66</v>
      </c>
      <c r="B37" s="17">
        <v>5</v>
      </c>
      <c r="C37" s="20" t="s">
        <v>53</v>
      </c>
      <c r="E37" s="1"/>
      <c r="F37" s="18"/>
    </row>
    <row r="38" spans="1:6" x14ac:dyDescent="0.25">
      <c r="A38" s="8">
        <v>65</v>
      </c>
      <c r="B38" s="17">
        <v>5</v>
      </c>
      <c r="C38" s="20" t="s">
        <v>53</v>
      </c>
      <c r="E38" s="1"/>
      <c r="F38" s="18"/>
    </row>
    <row r="39" spans="1:6" x14ac:dyDescent="0.25">
      <c r="A39" s="8">
        <v>64</v>
      </c>
      <c r="B39" s="17">
        <v>5</v>
      </c>
      <c r="C39" s="20" t="s">
        <v>53</v>
      </c>
      <c r="E39" s="1"/>
      <c r="F39" s="18"/>
    </row>
    <row r="40" spans="1:6" x14ac:dyDescent="0.25">
      <c r="A40" s="8">
        <v>63</v>
      </c>
      <c r="B40" s="17">
        <v>5</v>
      </c>
      <c r="C40" s="20" t="s">
        <v>53</v>
      </c>
      <c r="E40" s="1"/>
      <c r="F40" s="18"/>
    </row>
    <row r="41" spans="1:6" x14ac:dyDescent="0.25">
      <c r="A41" s="8">
        <v>62</v>
      </c>
      <c r="B41" s="17">
        <v>5</v>
      </c>
      <c r="C41" s="20" t="s">
        <v>53</v>
      </c>
      <c r="E41" s="1"/>
      <c r="F41" s="18"/>
    </row>
    <row r="42" spans="1:6" x14ac:dyDescent="0.25">
      <c r="A42" s="8">
        <v>61</v>
      </c>
      <c r="B42" s="17">
        <v>5</v>
      </c>
      <c r="C42" s="20" t="s">
        <v>53</v>
      </c>
      <c r="E42" s="1"/>
      <c r="F42" s="18"/>
    </row>
    <row r="43" spans="1:6" x14ac:dyDescent="0.25">
      <c r="A43" s="8">
        <v>60</v>
      </c>
      <c r="B43" s="17">
        <v>5</v>
      </c>
      <c r="C43" s="20" t="s">
        <v>53</v>
      </c>
      <c r="E43" s="1"/>
      <c r="F43" s="18"/>
    </row>
    <row r="44" spans="1:6" x14ac:dyDescent="0.25">
      <c r="A44" s="8" t="s">
        <v>45</v>
      </c>
      <c r="B44" s="8" t="s">
        <v>45</v>
      </c>
      <c r="C44" s="8" t="s">
        <v>285</v>
      </c>
      <c r="E44" s="1"/>
      <c r="F44" s="18"/>
    </row>
    <row r="45" spans="1:6" x14ac:dyDescent="0.25">
      <c r="A45" s="8" t="s">
        <v>46</v>
      </c>
      <c r="B45" s="8" t="s">
        <v>46</v>
      </c>
      <c r="C45" s="8" t="s">
        <v>55</v>
      </c>
      <c r="E45" s="1"/>
      <c r="F45" s="18"/>
    </row>
    <row r="46" spans="1:6" x14ac:dyDescent="0.25">
      <c r="A46" s="8" t="s">
        <v>47</v>
      </c>
      <c r="B46" s="8" t="s">
        <v>47</v>
      </c>
      <c r="C46" s="8" t="s">
        <v>286</v>
      </c>
    </row>
    <row r="47" spans="1:6" x14ac:dyDescent="0.25">
      <c r="A47" s="8" t="s">
        <v>274</v>
      </c>
      <c r="B47" s="8" t="s">
        <v>274</v>
      </c>
      <c r="C47" s="8" t="s">
        <v>283</v>
      </c>
    </row>
    <row r="48" spans="1:6" x14ac:dyDescent="0.25"/>
    <row r="49" spans="1:3" hidden="1" x14ac:dyDescent="0.25">
      <c r="A49" s="294" t="s">
        <v>307</v>
      </c>
      <c r="B49" s="196"/>
      <c r="C49" s="196"/>
    </row>
    <row r="50" spans="1:3" hidden="1" x14ac:dyDescent="0.25">
      <c r="A50" s="196"/>
      <c r="B50" s="196"/>
      <c r="C50" s="196"/>
    </row>
    <row r="51" spans="1:3" hidden="1" x14ac:dyDescent="0.25">
      <c r="A51" s="196"/>
      <c r="B51" s="196"/>
      <c r="C51" s="196"/>
    </row>
    <row r="52" spans="1:3" hidden="1" x14ac:dyDescent="0.25">
      <c r="A52" s="196"/>
      <c r="B52" s="196"/>
      <c r="C52" s="196"/>
    </row>
    <row r="53" spans="1:3" ht="15.75" hidden="1" customHeight="1" x14ac:dyDescent="0.25">
      <c r="A53" s="1"/>
    </row>
    <row r="102" spans="2:2" hidden="1" x14ac:dyDescent="0.25">
      <c r="B102" s="32"/>
    </row>
    <row r="103" spans="2:2" hidden="1" x14ac:dyDescent="0.25">
      <c r="B103" s="32"/>
    </row>
    <row r="104" spans="2:2" hidden="1" x14ac:dyDescent="0.25">
      <c r="B104" s="32"/>
    </row>
    <row r="105" spans="2:2" hidden="1" x14ac:dyDescent="0.25">
      <c r="B105" s="32"/>
    </row>
    <row r="106" spans="2:2" hidden="1" x14ac:dyDescent="0.25">
      <c r="B106" s="32"/>
    </row>
    <row r="107" spans="2:2" hidden="1" x14ac:dyDescent="0.25">
      <c r="B107" s="32"/>
    </row>
    <row r="108" spans="2:2" hidden="1" x14ac:dyDescent="0.25">
      <c r="B108" s="32"/>
    </row>
    <row r="109" spans="2:2" hidden="1" x14ac:dyDescent="0.25">
      <c r="B109" s="32"/>
    </row>
    <row r="110" spans="2:2" hidden="1" x14ac:dyDescent="0.25">
      <c r="B110" s="32"/>
    </row>
    <row r="111" spans="2:2" hidden="1" x14ac:dyDescent="0.25">
      <c r="B111" s="32"/>
    </row>
    <row r="112" spans="2:2" hidden="1" x14ac:dyDescent="0.25">
      <c r="B112" s="32"/>
    </row>
    <row r="113" spans="2:2" hidden="1" x14ac:dyDescent="0.25">
      <c r="B113" s="32"/>
    </row>
    <row r="114" spans="2:2" hidden="1" x14ac:dyDescent="0.25">
      <c r="B114" s="32"/>
    </row>
    <row r="115" spans="2:2" hidden="1" x14ac:dyDescent="0.25">
      <c r="B115" s="32"/>
    </row>
    <row r="116" spans="2:2" hidden="1" x14ac:dyDescent="0.25">
      <c r="B116" s="32"/>
    </row>
    <row r="117" spans="2:2" hidden="1" x14ac:dyDescent="0.25">
      <c r="B117" s="32"/>
    </row>
    <row r="118" spans="2:2" hidden="1" x14ac:dyDescent="0.25">
      <c r="B118" s="32"/>
    </row>
    <row r="119" spans="2:2" hidden="1" x14ac:dyDescent="0.25">
      <c r="B119" s="32"/>
    </row>
    <row r="120" spans="2:2" hidden="1" x14ac:dyDescent="0.25">
      <c r="B120" s="32"/>
    </row>
    <row r="121" spans="2:2" hidden="1" x14ac:dyDescent="0.25">
      <c r="B121" s="32"/>
    </row>
    <row r="122" spans="2:2" hidden="1" x14ac:dyDescent="0.25">
      <c r="B122" s="32"/>
    </row>
    <row r="133" spans="1:2" hidden="1" x14ac:dyDescent="0.25">
      <c r="A133" s="38"/>
    </row>
    <row r="134" spans="1:2" hidden="1" x14ac:dyDescent="0.25">
      <c r="B134" s="32"/>
    </row>
    <row r="135" spans="1:2" hidden="1" x14ac:dyDescent="0.25">
      <c r="B135" s="39"/>
    </row>
    <row r="136" spans="1:2" hidden="1" x14ac:dyDescent="0.25">
      <c r="B136" s="39"/>
    </row>
    <row r="137" spans="1:2" hidden="1" x14ac:dyDescent="0.25">
      <c r="B137" s="39"/>
    </row>
    <row r="138" spans="1:2" hidden="1" x14ac:dyDescent="0.25">
      <c r="B138" s="39"/>
    </row>
    <row r="140" spans="1:2" hidden="1" x14ac:dyDescent="0.25">
      <c r="A140" s="38"/>
    </row>
    <row r="141" spans="1:2" hidden="1" x14ac:dyDescent="0.25">
      <c r="B141" s="39"/>
    </row>
    <row r="142" spans="1:2" hidden="1" x14ac:dyDescent="0.25">
      <c r="B142" s="39"/>
    </row>
    <row r="143" spans="1:2" hidden="1" x14ac:dyDescent="0.25">
      <c r="B143" s="39"/>
    </row>
    <row r="144" spans="1:2" hidden="1" x14ac:dyDescent="0.25">
      <c r="B144" s="39"/>
    </row>
    <row r="145" spans="1:2" hidden="1" x14ac:dyDescent="0.25">
      <c r="B145" s="39"/>
    </row>
    <row r="147" spans="1:2" hidden="1" x14ac:dyDescent="0.25">
      <c r="A147" s="38"/>
    </row>
    <row r="148" spans="1:2" hidden="1" x14ac:dyDescent="0.25">
      <c r="B148" s="39"/>
    </row>
    <row r="149" spans="1:2" hidden="1" x14ac:dyDescent="0.25">
      <c r="B149" s="39"/>
    </row>
    <row r="150" spans="1:2" hidden="1" x14ac:dyDescent="0.25">
      <c r="B150" s="39"/>
    </row>
    <row r="151" spans="1:2" hidden="1" x14ac:dyDescent="0.25">
      <c r="B151" s="39"/>
    </row>
    <row r="152" spans="1:2" hidden="1" x14ac:dyDescent="0.25">
      <c r="B152" s="39"/>
    </row>
    <row r="154" spans="1:2" hidden="1" x14ac:dyDescent="0.25">
      <c r="A154" s="38"/>
    </row>
    <row r="155" spans="1:2" hidden="1" x14ac:dyDescent="0.25">
      <c r="B155" s="39"/>
    </row>
    <row r="156" spans="1:2" hidden="1" x14ac:dyDescent="0.25">
      <c r="B156" s="39"/>
    </row>
    <row r="157" spans="1:2" hidden="1" x14ac:dyDescent="0.25">
      <c r="B157" s="39"/>
    </row>
    <row r="161" spans="1:2" hidden="1" x14ac:dyDescent="0.25">
      <c r="A161" s="38"/>
    </row>
    <row r="162" spans="1:2" hidden="1" x14ac:dyDescent="0.25">
      <c r="B162" s="32"/>
    </row>
    <row r="163" spans="1:2" hidden="1" x14ac:dyDescent="0.25">
      <c r="B163" s="32"/>
    </row>
    <row r="168" spans="1:2" hidden="1" x14ac:dyDescent="0.25">
      <c r="A168" s="38"/>
    </row>
    <row r="169" spans="1:2" hidden="1" x14ac:dyDescent="0.25">
      <c r="B169" s="32"/>
    </row>
    <row r="170" spans="1:2" hidden="1" x14ac:dyDescent="0.25">
      <c r="B170" s="32"/>
    </row>
    <row r="171" spans="1:2" hidden="1" x14ac:dyDescent="0.25">
      <c r="B171" s="32"/>
    </row>
    <row r="172" spans="1:2" hidden="1" x14ac:dyDescent="0.25">
      <c r="B172" s="32"/>
    </row>
    <row r="175" spans="1:2" hidden="1" x14ac:dyDescent="0.25">
      <c r="A175" s="38"/>
    </row>
    <row r="176" spans="1:2" hidden="1" x14ac:dyDescent="0.25">
      <c r="B176" s="32"/>
    </row>
    <row r="177" spans="1:2" hidden="1" x14ac:dyDescent="0.25">
      <c r="B177" s="32"/>
    </row>
    <row r="178" spans="1:2" hidden="1" x14ac:dyDescent="0.25">
      <c r="B178" s="32"/>
    </row>
    <row r="179" spans="1:2" hidden="1" x14ac:dyDescent="0.25">
      <c r="B179" s="32"/>
    </row>
    <row r="182" spans="1:2" hidden="1" x14ac:dyDescent="0.25">
      <c r="A182" s="38"/>
    </row>
    <row r="183" spans="1:2" hidden="1" x14ac:dyDescent="0.25">
      <c r="B183" s="32"/>
    </row>
    <row r="184" spans="1:2" hidden="1" x14ac:dyDescent="0.25">
      <c r="B184" s="32"/>
    </row>
    <row r="185" spans="1:2" hidden="1" x14ac:dyDescent="0.25">
      <c r="B185" s="32"/>
    </row>
    <row r="186" spans="1:2" hidden="1" x14ac:dyDescent="0.25">
      <c r="B186" s="32"/>
    </row>
    <row r="187" spans="1:2" hidden="1" x14ac:dyDescent="0.25">
      <c r="B187" s="32"/>
    </row>
  </sheetData>
  <sheetProtection algorithmName="SHA-512" hashValue="gW4LgizwQFBJjXHMUtl3A0z9AYuTXXWlkEDuYyM8N7bUm9tMh4N8bbG7HbOFGaEorc1Iev0LHi1mE2HkXGD2IQ==" saltValue="5GZb71E8phClftIFZH/5PA==" spinCount="100000" sheet="1" objects="1" scenarios="1"/>
  <mergeCells count="2">
    <mergeCell ref="A1:C1"/>
    <mergeCell ref="A49:C5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1EB7-C7F3-4D79-B04E-058977B3081D}">
  <sheetPr codeName="Sheet11"/>
  <dimension ref="A4:C49"/>
  <sheetViews>
    <sheetView topLeftCell="A4" workbookViewId="0">
      <selection activeCell="A5" sqref="A5:C49"/>
    </sheetView>
  </sheetViews>
  <sheetFormatPr defaultColWidth="0" defaultRowHeight="15" zeroHeight="1" x14ac:dyDescent="0.25"/>
  <cols>
    <col min="1" max="1" width="14.42578125" customWidth="1"/>
    <col min="2" max="2" width="16.28515625" customWidth="1"/>
    <col min="3" max="3" width="24.140625" customWidth="1"/>
    <col min="4" max="16384" width="9.140625" hidden="1"/>
  </cols>
  <sheetData>
    <row r="4" spans="1:3" x14ac:dyDescent="0.25">
      <c r="A4" s="286" t="s">
        <v>302</v>
      </c>
      <c r="B4" s="287"/>
      <c r="C4" s="288"/>
    </row>
    <row r="5" spans="1:3" x14ac:dyDescent="0.25">
      <c r="A5" s="19" t="s">
        <v>43</v>
      </c>
      <c r="B5" s="19" t="s">
        <v>44</v>
      </c>
      <c r="C5" s="19" t="s">
        <v>48</v>
      </c>
    </row>
    <row r="6" spans="1:3" x14ac:dyDescent="0.25">
      <c r="A6" s="8">
        <v>100</v>
      </c>
      <c r="B6" s="17">
        <v>1</v>
      </c>
      <c r="C6" s="20" t="s">
        <v>49</v>
      </c>
    </row>
    <row r="7" spans="1:3" x14ac:dyDescent="0.25">
      <c r="A7" s="8">
        <v>99</v>
      </c>
      <c r="B7" s="17">
        <v>1.05</v>
      </c>
      <c r="C7" s="20" t="s">
        <v>49</v>
      </c>
    </row>
    <row r="8" spans="1:3" x14ac:dyDescent="0.25">
      <c r="A8" s="8">
        <v>98</v>
      </c>
      <c r="B8" s="17">
        <v>1.1000000000000001</v>
      </c>
      <c r="C8" s="20" t="s">
        <v>301</v>
      </c>
    </row>
    <row r="9" spans="1:3" x14ac:dyDescent="0.25">
      <c r="A9" s="8">
        <v>97</v>
      </c>
      <c r="B9" s="17">
        <v>1.1499999999999999</v>
      </c>
      <c r="C9" s="20" t="s">
        <v>301</v>
      </c>
    </row>
    <row r="10" spans="1:3" x14ac:dyDescent="0.25">
      <c r="A10" s="8">
        <v>96</v>
      </c>
      <c r="B10" s="17">
        <v>1.2</v>
      </c>
      <c r="C10" s="20" t="s">
        <v>301</v>
      </c>
    </row>
    <row r="11" spans="1:3" x14ac:dyDescent="0.25">
      <c r="A11" s="8">
        <v>95</v>
      </c>
      <c r="B11" s="17">
        <v>1.25</v>
      </c>
      <c r="C11" s="20" t="s">
        <v>301</v>
      </c>
    </row>
    <row r="12" spans="1:3" x14ac:dyDescent="0.25">
      <c r="A12" s="8">
        <v>94</v>
      </c>
      <c r="B12" s="17">
        <v>1.3</v>
      </c>
      <c r="C12" s="20" t="s">
        <v>301</v>
      </c>
    </row>
    <row r="13" spans="1:3" x14ac:dyDescent="0.25">
      <c r="A13" s="8">
        <v>93</v>
      </c>
      <c r="B13" s="17">
        <v>1.35</v>
      </c>
      <c r="C13" s="20" t="s">
        <v>301</v>
      </c>
    </row>
    <row r="14" spans="1:3" x14ac:dyDescent="0.25">
      <c r="A14" s="8">
        <v>92</v>
      </c>
      <c r="B14" s="17">
        <v>1.4</v>
      </c>
      <c r="C14" s="20" t="s">
        <v>301</v>
      </c>
    </row>
    <row r="15" spans="1:3" x14ac:dyDescent="0.25">
      <c r="A15" s="8">
        <v>91</v>
      </c>
      <c r="B15" s="17">
        <v>1.45</v>
      </c>
      <c r="C15" s="20" t="s">
        <v>301</v>
      </c>
    </row>
    <row r="16" spans="1:3" x14ac:dyDescent="0.25">
      <c r="A16" s="8">
        <v>90</v>
      </c>
      <c r="B16" s="17">
        <v>1.5</v>
      </c>
      <c r="C16" s="20" t="s">
        <v>50</v>
      </c>
    </row>
    <row r="17" spans="1:3" x14ac:dyDescent="0.25">
      <c r="A17" s="8">
        <v>89</v>
      </c>
      <c r="B17" s="17">
        <v>1.6</v>
      </c>
      <c r="C17" s="20" t="s">
        <v>50</v>
      </c>
    </row>
    <row r="18" spans="1:3" x14ac:dyDescent="0.25">
      <c r="A18" s="8">
        <v>88</v>
      </c>
      <c r="B18" s="17">
        <v>1.7</v>
      </c>
      <c r="C18" s="20" t="s">
        <v>50</v>
      </c>
    </row>
    <row r="19" spans="1:3" x14ac:dyDescent="0.25">
      <c r="A19" s="8">
        <v>87</v>
      </c>
      <c r="B19" s="17">
        <v>1.8</v>
      </c>
      <c r="C19" s="20" t="s">
        <v>50</v>
      </c>
    </row>
    <row r="20" spans="1:3" x14ac:dyDescent="0.25">
      <c r="A20" s="8">
        <v>86</v>
      </c>
      <c r="B20" s="17">
        <v>1.9</v>
      </c>
      <c r="C20" s="20" t="s">
        <v>50</v>
      </c>
    </row>
    <row r="21" spans="1:3" x14ac:dyDescent="0.25">
      <c r="A21" s="8">
        <v>85</v>
      </c>
      <c r="B21" s="17">
        <v>2</v>
      </c>
      <c r="C21" s="20" t="s">
        <v>51</v>
      </c>
    </row>
    <row r="22" spans="1:3" x14ac:dyDescent="0.25">
      <c r="A22" s="8">
        <v>84</v>
      </c>
      <c r="B22" s="17">
        <v>2.1</v>
      </c>
      <c r="C22" s="20" t="s">
        <v>51</v>
      </c>
    </row>
    <row r="23" spans="1:3" x14ac:dyDescent="0.25">
      <c r="A23" s="8">
        <v>83</v>
      </c>
      <c r="B23" s="17">
        <v>2.2000000000000002</v>
      </c>
      <c r="C23" s="20" t="s">
        <v>51</v>
      </c>
    </row>
    <row r="24" spans="1:3" x14ac:dyDescent="0.25">
      <c r="A24" s="8">
        <v>82</v>
      </c>
      <c r="B24" s="17">
        <v>2.2999999999999998</v>
      </c>
      <c r="C24" s="20" t="s">
        <v>51</v>
      </c>
    </row>
    <row r="25" spans="1:3" x14ac:dyDescent="0.25">
      <c r="A25" s="8">
        <v>81</v>
      </c>
      <c r="B25" s="17">
        <v>2.4</v>
      </c>
      <c r="C25" s="20" t="s">
        <v>51</v>
      </c>
    </row>
    <row r="26" spans="1:3" x14ac:dyDescent="0.25">
      <c r="A26" s="8">
        <v>80</v>
      </c>
      <c r="B26" s="17">
        <v>2.5</v>
      </c>
      <c r="C26" s="20" t="s">
        <v>51</v>
      </c>
    </row>
    <row r="27" spans="1:3" x14ac:dyDescent="0.25">
      <c r="A27" s="8">
        <v>79</v>
      </c>
      <c r="B27" s="17">
        <v>2.6</v>
      </c>
      <c r="C27" s="20" t="s">
        <v>52</v>
      </c>
    </row>
    <row r="28" spans="1:3" x14ac:dyDescent="0.25">
      <c r="A28" s="8">
        <v>78</v>
      </c>
      <c r="B28" s="17">
        <v>2.7</v>
      </c>
      <c r="C28" s="20" t="s">
        <v>52</v>
      </c>
    </row>
    <row r="29" spans="1:3" x14ac:dyDescent="0.25">
      <c r="A29" s="8">
        <v>77</v>
      </c>
      <c r="B29" s="17">
        <v>2.8</v>
      </c>
      <c r="C29" s="20" t="s">
        <v>52</v>
      </c>
    </row>
    <row r="30" spans="1:3" x14ac:dyDescent="0.25">
      <c r="A30" s="8">
        <v>76</v>
      </c>
      <c r="B30" s="17">
        <v>2.9</v>
      </c>
      <c r="C30" s="20" t="s">
        <v>52</v>
      </c>
    </row>
    <row r="31" spans="1:3" x14ac:dyDescent="0.25">
      <c r="A31" s="8">
        <v>75</v>
      </c>
      <c r="B31" s="17">
        <v>3</v>
      </c>
      <c r="C31" s="20" t="s">
        <v>52</v>
      </c>
    </row>
    <row r="32" spans="1:3" x14ac:dyDescent="0.25">
      <c r="A32" s="8">
        <v>74</v>
      </c>
      <c r="B32" s="17">
        <v>5</v>
      </c>
      <c r="C32" s="20" t="s">
        <v>53</v>
      </c>
    </row>
    <row r="33" spans="1:3" x14ac:dyDescent="0.25">
      <c r="A33" s="8">
        <v>73</v>
      </c>
      <c r="B33" s="17">
        <v>5</v>
      </c>
      <c r="C33" s="20" t="s">
        <v>53</v>
      </c>
    </row>
    <row r="34" spans="1:3" x14ac:dyDescent="0.25">
      <c r="A34" s="8">
        <v>72</v>
      </c>
      <c r="B34" s="17">
        <v>5</v>
      </c>
      <c r="C34" s="20" t="s">
        <v>53</v>
      </c>
    </row>
    <row r="35" spans="1:3" x14ac:dyDescent="0.25">
      <c r="A35" s="8">
        <v>71</v>
      </c>
      <c r="B35" s="17">
        <v>5</v>
      </c>
      <c r="C35" s="20" t="s">
        <v>53</v>
      </c>
    </row>
    <row r="36" spans="1:3" x14ac:dyDescent="0.25">
      <c r="A36" s="8">
        <v>70</v>
      </c>
      <c r="B36" s="17">
        <v>5</v>
      </c>
      <c r="C36" s="20" t="s">
        <v>53</v>
      </c>
    </row>
    <row r="37" spans="1:3" x14ac:dyDescent="0.25">
      <c r="A37" s="8">
        <v>69</v>
      </c>
      <c r="B37" s="17">
        <v>5</v>
      </c>
      <c r="C37" s="20" t="s">
        <v>53</v>
      </c>
    </row>
    <row r="38" spans="1:3" x14ac:dyDescent="0.25">
      <c r="A38" s="8">
        <v>68</v>
      </c>
      <c r="B38" s="17">
        <v>5</v>
      </c>
      <c r="C38" s="20" t="s">
        <v>53</v>
      </c>
    </row>
    <row r="39" spans="1:3" x14ac:dyDescent="0.25">
      <c r="A39" s="8">
        <v>67</v>
      </c>
      <c r="B39" s="17">
        <v>5</v>
      </c>
      <c r="C39" s="20" t="s">
        <v>53</v>
      </c>
    </row>
    <row r="40" spans="1:3" x14ac:dyDescent="0.25">
      <c r="A40" s="8">
        <v>66</v>
      </c>
      <c r="B40" s="17">
        <v>5</v>
      </c>
      <c r="C40" s="20" t="s">
        <v>53</v>
      </c>
    </row>
    <row r="41" spans="1:3" x14ac:dyDescent="0.25">
      <c r="A41" s="8">
        <v>65</v>
      </c>
      <c r="B41" s="17">
        <v>5</v>
      </c>
      <c r="C41" s="20" t="s">
        <v>53</v>
      </c>
    </row>
    <row r="42" spans="1:3" x14ac:dyDescent="0.25">
      <c r="A42" s="8">
        <v>65</v>
      </c>
      <c r="B42" s="17">
        <v>5</v>
      </c>
      <c r="C42" s="20" t="s">
        <v>53</v>
      </c>
    </row>
    <row r="43" spans="1:3" x14ac:dyDescent="0.25">
      <c r="A43" s="8">
        <v>65</v>
      </c>
      <c r="B43" s="17">
        <v>5</v>
      </c>
      <c r="C43" s="20" t="s">
        <v>53</v>
      </c>
    </row>
    <row r="44" spans="1:3" x14ac:dyDescent="0.25">
      <c r="A44" s="8">
        <v>65</v>
      </c>
      <c r="B44" s="17">
        <v>5</v>
      </c>
      <c r="C44" s="20" t="s">
        <v>53</v>
      </c>
    </row>
    <row r="45" spans="1:3" x14ac:dyDescent="0.25">
      <c r="A45" s="8">
        <v>65</v>
      </c>
      <c r="B45" s="17">
        <v>5</v>
      </c>
      <c r="C45" s="20" t="s">
        <v>53</v>
      </c>
    </row>
    <row r="46" spans="1:3" x14ac:dyDescent="0.25">
      <c r="A46" s="8">
        <v>65</v>
      </c>
      <c r="B46" s="17">
        <v>5</v>
      </c>
      <c r="C46" s="20" t="s">
        <v>53</v>
      </c>
    </row>
    <row r="47" spans="1:3" x14ac:dyDescent="0.25">
      <c r="A47" s="8" t="s">
        <v>45</v>
      </c>
      <c r="B47" s="17" t="s">
        <v>45</v>
      </c>
      <c r="C47" s="8" t="s">
        <v>54</v>
      </c>
    </row>
    <row r="48" spans="1:3" x14ac:dyDescent="0.25">
      <c r="A48" s="8" t="s">
        <v>46</v>
      </c>
      <c r="B48" s="8" t="s">
        <v>46</v>
      </c>
      <c r="C48" s="8" t="s">
        <v>55</v>
      </c>
    </row>
    <row r="49" spans="1:3" x14ac:dyDescent="0.25">
      <c r="A49" s="8" t="s">
        <v>47</v>
      </c>
      <c r="B49" s="8" t="s">
        <v>47</v>
      </c>
      <c r="C49" s="8" t="s">
        <v>56</v>
      </c>
    </row>
  </sheetData>
  <mergeCells count="1">
    <mergeCell ref="A4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ADC5-1AFD-48A7-A5B5-EFEBD407C0A8}">
  <sheetPr codeName="Sheet12"/>
  <dimension ref="A1:H323"/>
  <sheetViews>
    <sheetView showGridLines="0" workbookViewId="0">
      <selection sqref="A1:C5"/>
    </sheetView>
  </sheetViews>
  <sheetFormatPr defaultColWidth="0" defaultRowHeight="15" zeroHeight="1" x14ac:dyDescent="0.25"/>
  <cols>
    <col min="1" max="1" width="27" customWidth="1"/>
    <col min="2" max="2" width="9.140625" customWidth="1"/>
    <col min="3" max="3" width="29" customWidth="1"/>
    <col min="4" max="7" width="9.140625" hidden="1" customWidth="1"/>
    <col min="8" max="8" width="21.140625" hidden="1" customWidth="1"/>
    <col min="9" max="16384" width="9.140625" hidden="1"/>
  </cols>
  <sheetData>
    <row r="1" spans="1:3" x14ac:dyDescent="0.25">
      <c r="A1" s="295" t="s">
        <v>388</v>
      </c>
      <c r="B1" s="296"/>
      <c r="C1" s="296"/>
    </row>
    <row r="2" spans="1:3" x14ac:dyDescent="0.25">
      <c r="A2" s="296"/>
      <c r="B2" s="296"/>
      <c r="C2" s="296"/>
    </row>
    <row r="3" spans="1:3" x14ac:dyDescent="0.25">
      <c r="A3" s="296"/>
      <c r="B3" s="296"/>
      <c r="C3" s="296"/>
    </row>
    <row r="4" spans="1:3" x14ac:dyDescent="0.25">
      <c r="A4" s="296"/>
      <c r="B4" s="296"/>
      <c r="C4" s="296"/>
    </row>
    <row r="5" spans="1:3" x14ac:dyDescent="0.25">
      <c r="A5" s="296"/>
      <c r="B5" s="296"/>
      <c r="C5" s="296"/>
    </row>
    <row r="6" spans="1:3" hidden="1" x14ac:dyDescent="0.25">
      <c r="C6" s="1"/>
    </row>
    <row r="7" spans="1:3" hidden="1" x14ac:dyDescent="0.25">
      <c r="A7" t="s">
        <v>67</v>
      </c>
      <c r="B7" t="s">
        <v>3</v>
      </c>
      <c r="C7" s="1"/>
    </row>
    <row r="8" spans="1:3" hidden="1" x14ac:dyDescent="0.25">
      <c r="B8" t="s">
        <v>42</v>
      </c>
      <c r="C8" s="1"/>
    </row>
    <row r="9" spans="1:3" hidden="1" x14ac:dyDescent="0.25">
      <c r="B9" t="s">
        <v>304</v>
      </c>
      <c r="C9" s="1"/>
    </row>
    <row r="10" spans="1:3" hidden="1" x14ac:dyDescent="0.25">
      <c r="C10" s="1"/>
    </row>
    <row r="11" spans="1:3" hidden="1" x14ac:dyDescent="0.25">
      <c r="A11" t="s">
        <v>68</v>
      </c>
      <c r="B11" t="s">
        <v>69</v>
      </c>
      <c r="C11" s="1"/>
    </row>
    <row r="12" spans="1:3" hidden="1" x14ac:dyDescent="0.25">
      <c r="B12" t="s">
        <v>12</v>
      </c>
      <c r="C12" s="1"/>
    </row>
    <row r="13" spans="1:3" hidden="1" x14ac:dyDescent="0.25">
      <c r="B13" t="s">
        <v>70</v>
      </c>
      <c r="C13" s="1"/>
    </row>
    <row r="14" spans="1:3" hidden="1" x14ac:dyDescent="0.25">
      <c r="B14" t="s">
        <v>71</v>
      </c>
      <c r="C14" s="1"/>
    </row>
    <row r="15" spans="1:3" hidden="1" x14ac:dyDescent="0.25">
      <c r="C15" s="1"/>
    </row>
    <row r="16" spans="1:3" hidden="1" x14ac:dyDescent="0.25">
      <c r="A16" t="s">
        <v>72</v>
      </c>
      <c r="B16" t="s">
        <v>73</v>
      </c>
      <c r="C16" s="1"/>
    </row>
    <row r="17" spans="2:3" hidden="1" x14ac:dyDescent="0.25">
      <c r="B17" t="s">
        <v>74</v>
      </c>
      <c r="C17" s="1"/>
    </row>
    <row r="18" spans="2:3" hidden="1" x14ac:dyDescent="0.25">
      <c r="B18" t="s">
        <v>75</v>
      </c>
      <c r="C18" s="1"/>
    </row>
    <row r="19" spans="2:3" hidden="1" x14ac:dyDescent="0.25">
      <c r="B19" t="s">
        <v>76</v>
      </c>
      <c r="C19" s="1"/>
    </row>
    <row r="20" spans="2:3" hidden="1" x14ac:dyDescent="0.25">
      <c r="B20" t="s">
        <v>77</v>
      </c>
      <c r="C20" s="1"/>
    </row>
    <row r="21" spans="2:3" hidden="1" x14ac:dyDescent="0.25">
      <c r="B21" t="s">
        <v>78</v>
      </c>
      <c r="C21" s="1"/>
    </row>
    <row r="22" spans="2:3" hidden="1" x14ac:dyDescent="0.25">
      <c r="B22" t="s">
        <v>79</v>
      </c>
      <c r="C22" s="1"/>
    </row>
    <row r="23" spans="2:3" hidden="1" x14ac:dyDescent="0.25">
      <c r="B23" t="s">
        <v>80</v>
      </c>
      <c r="C23" s="1"/>
    </row>
    <row r="24" spans="2:3" hidden="1" x14ac:dyDescent="0.25">
      <c r="B24" t="s">
        <v>81</v>
      </c>
      <c r="C24" s="1"/>
    </row>
    <row r="25" spans="2:3" hidden="1" x14ac:dyDescent="0.25">
      <c r="B25" t="s">
        <v>82</v>
      </c>
      <c r="C25" s="1"/>
    </row>
    <row r="26" spans="2:3" hidden="1" x14ac:dyDescent="0.25">
      <c r="B26" t="s">
        <v>83</v>
      </c>
      <c r="C26" s="1"/>
    </row>
    <row r="27" spans="2:3" hidden="1" x14ac:dyDescent="0.25">
      <c r="B27" t="s">
        <v>16</v>
      </c>
      <c r="C27" s="1"/>
    </row>
    <row r="28" spans="2:3" hidden="1" x14ac:dyDescent="0.25">
      <c r="B28" t="s">
        <v>84</v>
      </c>
      <c r="C28" s="1"/>
    </row>
    <row r="29" spans="2:3" hidden="1" x14ac:dyDescent="0.25">
      <c r="B29" t="s">
        <v>85</v>
      </c>
      <c r="C29" s="1"/>
    </row>
    <row r="30" spans="2:3" hidden="1" x14ac:dyDescent="0.25">
      <c r="B30" t="s">
        <v>86</v>
      </c>
      <c r="C30" s="1"/>
    </row>
    <row r="31" spans="2:3" hidden="1" x14ac:dyDescent="0.25">
      <c r="B31" t="s">
        <v>87</v>
      </c>
      <c r="C31" s="1"/>
    </row>
    <row r="32" spans="2:3" hidden="1" x14ac:dyDescent="0.25">
      <c r="B32" t="s">
        <v>88</v>
      </c>
      <c r="C32" s="1"/>
    </row>
    <row r="33" spans="1:3" hidden="1" x14ac:dyDescent="0.25">
      <c r="B33" t="s">
        <v>89</v>
      </c>
      <c r="C33" s="1"/>
    </row>
    <row r="34" spans="1:3" hidden="1" x14ac:dyDescent="0.25">
      <c r="B34" t="s">
        <v>90</v>
      </c>
      <c r="C34" s="1"/>
    </row>
    <row r="35" spans="1:3" hidden="1" x14ac:dyDescent="0.25">
      <c r="C35" s="1"/>
    </row>
    <row r="36" spans="1:3" hidden="1" x14ac:dyDescent="0.25">
      <c r="A36" t="s">
        <v>91</v>
      </c>
      <c r="B36" t="s">
        <v>19</v>
      </c>
      <c r="C36" s="1"/>
    </row>
    <row r="37" spans="1:3" hidden="1" x14ac:dyDescent="0.25">
      <c r="B37" t="s">
        <v>92</v>
      </c>
      <c r="C37" s="1"/>
    </row>
    <row r="38" spans="1:3" hidden="1" x14ac:dyDescent="0.25">
      <c r="C38" s="1"/>
    </row>
    <row r="39" spans="1:3" hidden="1" x14ac:dyDescent="0.25">
      <c r="A39" t="s">
        <v>6</v>
      </c>
      <c r="B39" t="s">
        <v>93</v>
      </c>
      <c r="C39" s="1"/>
    </row>
    <row r="40" spans="1:3" hidden="1" x14ac:dyDescent="0.25">
      <c r="B40" t="s">
        <v>7</v>
      </c>
      <c r="C40" s="1"/>
    </row>
    <row r="41" spans="1:3" hidden="1" x14ac:dyDescent="0.25">
      <c r="B41" t="s">
        <v>94</v>
      </c>
      <c r="C41" s="1"/>
    </row>
    <row r="42" spans="1:3" hidden="1" x14ac:dyDescent="0.25">
      <c r="B42" t="s">
        <v>115</v>
      </c>
      <c r="C42" s="1"/>
    </row>
    <row r="43" spans="1:3" hidden="1" x14ac:dyDescent="0.25">
      <c r="B43" t="s">
        <v>116</v>
      </c>
      <c r="C43" s="1"/>
    </row>
    <row r="44" spans="1:3" hidden="1" x14ac:dyDescent="0.25">
      <c r="B44" t="s">
        <v>117</v>
      </c>
      <c r="C44" s="1"/>
    </row>
    <row r="45" spans="1:3" hidden="1" x14ac:dyDescent="0.25">
      <c r="B45" t="s">
        <v>118</v>
      </c>
      <c r="C45" s="1"/>
    </row>
    <row r="46" spans="1:3" hidden="1" x14ac:dyDescent="0.25">
      <c r="B46" t="s">
        <v>95</v>
      </c>
      <c r="C46" s="1"/>
    </row>
    <row r="47" spans="1:3" hidden="1" x14ac:dyDescent="0.25">
      <c r="C47" s="1"/>
    </row>
    <row r="48" spans="1:3" hidden="1" x14ac:dyDescent="0.25">
      <c r="A48" t="s">
        <v>96</v>
      </c>
      <c r="C48" s="1"/>
    </row>
    <row r="49" spans="1:3" hidden="1" x14ac:dyDescent="0.25">
      <c r="B49" t="s">
        <v>46</v>
      </c>
      <c r="C49" s="1"/>
    </row>
    <row r="50" spans="1:3" hidden="1" x14ac:dyDescent="0.25">
      <c r="B50" t="s">
        <v>45</v>
      </c>
      <c r="C50" s="1"/>
    </row>
    <row r="51" spans="1:3" hidden="1" x14ac:dyDescent="0.25">
      <c r="B51" t="s">
        <v>47</v>
      </c>
      <c r="C51" s="1"/>
    </row>
    <row r="52" spans="1:3" hidden="1" x14ac:dyDescent="0.25">
      <c r="C52" s="1"/>
    </row>
    <row r="53" spans="1:3" hidden="1" x14ac:dyDescent="0.25">
      <c r="A53" t="s">
        <v>99</v>
      </c>
      <c r="B53" s="32">
        <v>0</v>
      </c>
      <c r="C53" s="1"/>
    </row>
    <row r="54" spans="1:3" hidden="1" x14ac:dyDescent="0.25">
      <c r="B54" s="32">
        <v>0.05</v>
      </c>
      <c r="C54" s="1"/>
    </row>
    <row r="55" spans="1:3" hidden="1" x14ac:dyDescent="0.25">
      <c r="B55" s="32">
        <v>0.1</v>
      </c>
      <c r="C55" s="1"/>
    </row>
    <row r="56" spans="1:3" hidden="1" x14ac:dyDescent="0.25">
      <c r="B56" s="32">
        <v>0.15</v>
      </c>
      <c r="C56" s="1"/>
    </row>
    <row r="57" spans="1:3" hidden="1" x14ac:dyDescent="0.25">
      <c r="B57" s="32">
        <v>0.2</v>
      </c>
      <c r="C57" s="1"/>
    </row>
    <row r="58" spans="1:3" hidden="1" x14ac:dyDescent="0.25">
      <c r="B58" s="32">
        <v>0.25</v>
      </c>
      <c r="C58" s="1"/>
    </row>
    <row r="59" spans="1:3" hidden="1" x14ac:dyDescent="0.25">
      <c r="B59" s="32">
        <v>0.3</v>
      </c>
      <c r="C59" s="1"/>
    </row>
    <row r="60" spans="1:3" hidden="1" x14ac:dyDescent="0.25">
      <c r="B60" s="32">
        <v>0.35</v>
      </c>
      <c r="C60" s="1"/>
    </row>
    <row r="61" spans="1:3" hidden="1" x14ac:dyDescent="0.25">
      <c r="B61" s="32">
        <v>0.4</v>
      </c>
      <c r="C61" s="1"/>
    </row>
    <row r="62" spans="1:3" hidden="1" x14ac:dyDescent="0.25">
      <c r="B62" s="32">
        <v>0.45</v>
      </c>
      <c r="C62" s="1"/>
    </row>
    <row r="63" spans="1:3" hidden="1" x14ac:dyDescent="0.25">
      <c r="B63" s="32">
        <v>0.5</v>
      </c>
      <c r="C63" s="1"/>
    </row>
    <row r="64" spans="1:3" hidden="1" x14ac:dyDescent="0.25">
      <c r="B64" s="32">
        <v>0.55000000000000004</v>
      </c>
      <c r="C64" s="1"/>
    </row>
    <row r="65" spans="1:3" hidden="1" x14ac:dyDescent="0.25">
      <c r="B65" s="32">
        <v>0.6</v>
      </c>
      <c r="C65" s="1"/>
    </row>
    <row r="66" spans="1:3" hidden="1" x14ac:dyDescent="0.25">
      <c r="B66" s="32">
        <v>0.65</v>
      </c>
      <c r="C66" s="1"/>
    </row>
    <row r="67" spans="1:3" hidden="1" x14ac:dyDescent="0.25">
      <c r="B67" s="32">
        <v>0.7</v>
      </c>
      <c r="C67" s="1"/>
    </row>
    <row r="68" spans="1:3" hidden="1" x14ac:dyDescent="0.25">
      <c r="B68" s="32">
        <v>0.75</v>
      </c>
      <c r="C68" s="1"/>
    </row>
    <row r="69" spans="1:3" hidden="1" x14ac:dyDescent="0.25">
      <c r="B69" s="32">
        <v>0.8</v>
      </c>
      <c r="C69" s="1"/>
    </row>
    <row r="70" spans="1:3" hidden="1" x14ac:dyDescent="0.25">
      <c r="B70" s="32">
        <v>0.85</v>
      </c>
      <c r="C70" s="1"/>
    </row>
    <row r="71" spans="1:3" hidden="1" x14ac:dyDescent="0.25">
      <c r="B71" s="32">
        <v>0.9</v>
      </c>
      <c r="C71" s="1"/>
    </row>
    <row r="72" spans="1:3" hidden="1" x14ac:dyDescent="0.25">
      <c r="B72" s="32">
        <v>0.95</v>
      </c>
      <c r="C72" s="1"/>
    </row>
    <row r="73" spans="1:3" hidden="1" x14ac:dyDescent="0.25">
      <c r="B73" s="32">
        <v>1</v>
      </c>
      <c r="C73" s="1"/>
    </row>
    <row r="75" spans="1:3" hidden="1" x14ac:dyDescent="0.25">
      <c r="A75" t="s">
        <v>100</v>
      </c>
      <c r="B75" t="s">
        <v>106</v>
      </c>
      <c r="C75" s="1"/>
    </row>
    <row r="76" spans="1:3" hidden="1" x14ac:dyDescent="0.25">
      <c r="B76" t="s">
        <v>197</v>
      </c>
      <c r="C76" s="1"/>
    </row>
    <row r="77" spans="1:3" hidden="1" x14ac:dyDescent="0.25">
      <c r="B77" t="s">
        <v>105</v>
      </c>
      <c r="C77" s="1"/>
    </row>
    <row r="78" spans="1:3" hidden="1" x14ac:dyDescent="0.25">
      <c r="B78" t="s">
        <v>104</v>
      </c>
      <c r="C78" s="1"/>
    </row>
    <row r="79" spans="1:3" hidden="1" x14ac:dyDescent="0.25">
      <c r="B79" t="s">
        <v>101</v>
      </c>
      <c r="C79" s="1"/>
    </row>
    <row r="80" spans="1:3" hidden="1" x14ac:dyDescent="0.25">
      <c r="B80" t="s">
        <v>102</v>
      </c>
      <c r="C80" s="1"/>
    </row>
    <row r="81" spans="1:8" hidden="1" x14ac:dyDescent="0.25">
      <c r="B81" t="s">
        <v>107</v>
      </c>
      <c r="C81" s="1"/>
    </row>
    <row r="82" spans="1:8" hidden="1" x14ac:dyDescent="0.25">
      <c r="B82" t="s">
        <v>103</v>
      </c>
      <c r="C82" s="1"/>
    </row>
    <row r="83" spans="1:8" hidden="1" x14ac:dyDescent="0.25">
      <c r="C83" s="1"/>
    </row>
    <row r="84" spans="1:8" hidden="1" x14ac:dyDescent="0.25">
      <c r="C84" s="1"/>
    </row>
    <row r="85" spans="1:8" hidden="1" x14ac:dyDescent="0.25">
      <c r="A85" s="38" t="s">
        <v>93</v>
      </c>
      <c r="C85" s="1"/>
    </row>
    <row r="86" spans="1:8" hidden="1" x14ac:dyDescent="0.25">
      <c r="A86" t="s">
        <v>113</v>
      </c>
      <c r="B86" s="32">
        <v>0.1</v>
      </c>
      <c r="C86" t="s">
        <v>113</v>
      </c>
    </row>
    <row r="87" spans="1:8" hidden="1" x14ac:dyDescent="0.25">
      <c r="A87" t="s">
        <v>112</v>
      </c>
      <c r="B87" s="39">
        <v>0.2</v>
      </c>
      <c r="C87" t="s">
        <v>112</v>
      </c>
    </row>
    <row r="88" spans="1:8" hidden="1" x14ac:dyDescent="0.25">
      <c r="A88" t="s">
        <v>111</v>
      </c>
      <c r="B88" s="39">
        <v>0.3</v>
      </c>
      <c r="C88" t="s">
        <v>111</v>
      </c>
    </row>
    <row r="89" spans="1:8" hidden="1" x14ac:dyDescent="0.25">
      <c r="A89" t="s">
        <v>114</v>
      </c>
      <c r="B89" s="39">
        <v>0.1</v>
      </c>
      <c r="C89" t="s">
        <v>114</v>
      </c>
    </row>
    <row r="90" spans="1:8" hidden="1" x14ac:dyDescent="0.25">
      <c r="A90" t="s">
        <v>36</v>
      </c>
      <c r="B90" s="39">
        <v>0.3</v>
      </c>
      <c r="C90" t="s">
        <v>36</v>
      </c>
    </row>
    <row r="91" spans="1:8" hidden="1" x14ac:dyDescent="0.25">
      <c r="C91" s="1"/>
      <c r="H91" t="str">
        <f>INDEX(lec_percent,3,1)</f>
        <v>QUIZZES</v>
      </c>
    </row>
    <row r="92" spans="1:8" hidden="1" x14ac:dyDescent="0.25">
      <c r="A92" s="38" t="s">
        <v>7</v>
      </c>
      <c r="C92" s="1"/>
    </row>
    <row r="93" spans="1:8" hidden="1" x14ac:dyDescent="0.25">
      <c r="A93" t="s">
        <v>113</v>
      </c>
      <c r="B93" s="39">
        <v>0.1</v>
      </c>
      <c r="C93" s="1"/>
    </row>
    <row r="94" spans="1:8" hidden="1" x14ac:dyDescent="0.25">
      <c r="A94" t="s">
        <v>112</v>
      </c>
      <c r="B94" s="39">
        <v>0.15</v>
      </c>
      <c r="C94" s="1"/>
    </row>
    <row r="95" spans="1:8" hidden="1" x14ac:dyDescent="0.25">
      <c r="A95" t="s">
        <v>111</v>
      </c>
      <c r="B95" s="39">
        <v>0.15</v>
      </c>
      <c r="C95" s="1"/>
    </row>
    <row r="96" spans="1:8" hidden="1" x14ac:dyDescent="0.25">
      <c r="A96" t="s">
        <v>114</v>
      </c>
      <c r="B96" s="39">
        <v>0.3</v>
      </c>
      <c r="C96" s="1"/>
    </row>
    <row r="97" spans="1:3" hidden="1" x14ac:dyDescent="0.25">
      <c r="A97" t="s">
        <v>36</v>
      </c>
      <c r="B97" s="39">
        <v>0.3</v>
      </c>
      <c r="C97" s="1"/>
    </row>
    <row r="98" spans="1:3" hidden="1" x14ac:dyDescent="0.25">
      <c r="C98" s="1"/>
    </row>
    <row r="99" spans="1:3" hidden="1" x14ac:dyDescent="0.25">
      <c r="A99" s="38" t="s">
        <v>94</v>
      </c>
      <c r="C99" s="1"/>
    </row>
    <row r="100" spans="1:3" hidden="1" x14ac:dyDescent="0.25">
      <c r="A100" t="s">
        <v>113</v>
      </c>
      <c r="B100" s="39">
        <v>0.1</v>
      </c>
      <c r="C100" s="1"/>
    </row>
    <row r="101" spans="1:3" hidden="1" x14ac:dyDescent="0.25">
      <c r="A101" t="s">
        <v>112</v>
      </c>
      <c r="B101" s="39">
        <v>0.05</v>
      </c>
      <c r="C101" s="1"/>
    </row>
    <row r="102" spans="1:3" hidden="1" x14ac:dyDescent="0.25">
      <c r="A102" t="s">
        <v>111</v>
      </c>
      <c r="B102" s="39">
        <v>0.1</v>
      </c>
      <c r="C102" s="1"/>
    </row>
    <row r="103" spans="1:3" hidden="1" x14ac:dyDescent="0.25">
      <c r="A103" t="s">
        <v>114</v>
      </c>
      <c r="B103" s="39">
        <v>0.5</v>
      </c>
      <c r="C103" s="1"/>
    </row>
    <row r="104" spans="1:3" hidden="1" x14ac:dyDescent="0.25">
      <c r="A104" t="s">
        <v>36</v>
      </c>
      <c r="B104" s="39">
        <v>0.25</v>
      </c>
      <c r="C104" s="1"/>
    </row>
    <row r="105" spans="1:3" hidden="1" x14ac:dyDescent="0.25">
      <c r="C105" s="1"/>
    </row>
    <row r="106" spans="1:3" hidden="1" x14ac:dyDescent="0.25">
      <c r="A106" s="38" t="s">
        <v>115</v>
      </c>
      <c r="C106" s="1"/>
    </row>
    <row r="107" spans="1:3" hidden="1" x14ac:dyDescent="0.25">
      <c r="A107" t="s">
        <v>119</v>
      </c>
      <c r="B107" s="39">
        <v>0.6</v>
      </c>
      <c r="C107" s="1"/>
    </row>
    <row r="108" spans="1:3" hidden="1" x14ac:dyDescent="0.25">
      <c r="A108" t="s">
        <v>120</v>
      </c>
      <c r="B108" s="39">
        <v>0.3</v>
      </c>
      <c r="C108" s="1"/>
    </row>
    <row r="109" spans="1:3" hidden="1" x14ac:dyDescent="0.25">
      <c r="A109" t="s">
        <v>121</v>
      </c>
      <c r="B109" s="39">
        <v>0.1</v>
      </c>
      <c r="C109" s="1"/>
    </row>
    <row r="110" spans="1:3" hidden="1" x14ac:dyDescent="0.25">
      <c r="C110" s="1"/>
    </row>
    <row r="111" spans="1:3" hidden="1" x14ac:dyDescent="0.25">
      <c r="C111" s="1"/>
    </row>
    <row r="112" spans="1:3" hidden="1" x14ac:dyDescent="0.25">
      <c r="C112" s="1"/>
    </row>
    <row r="113" spans="1:3" hidden="1" x14ac:dyDescent="0.25">
      <c r="A113" s="38" t="s">
        <v>116</v>
      </c>
      <c r="C113" s="1"/>
    </row>
    <row r="114" spans="1:3" hidden="1" x14ac:dyDescent="0.25">
      <c r="A114" t="s">
        <v>122</v>
      </c>
      <c r="B114" s="32">
        <v>0.7</v>
      </c>
      <c r="C114" s="1"/>
    </row>
    <row r="115" spans="1:3" hidden="1" x14ac:dyDescent="0.25">
      <c r="A115" t="s">
        <v>123</v>
      </c>
      <c r="B115" s="32">
        <v>0.3</v>
      </c>
      <c r="C115" s="1"/>
    </row>
    <row r="116" spans="1:3" hidden="1" x14ac:dyDescent="0.25">
      <c r="C116" s="1"/>
    </row>
    <row r="117" spans="1:3" hidden="1" x14ac:dyDescent="0.25">
      <c r="C117" s="1"/>
    </row>
    <row r="118" spans="1:3" hidden="1" x14ac:dyDescent="0.25">
      <c r="C118" s="1"/>
    </row>
    <row r="119" spans="1:3" hidden="1" x14ac:dyDescent="0.25">
      <c r="C119" s="1"/>
    </row>
    <row r="120" spans="1:3" hidden="1" x14ac:dyDescent="0.25">
      <c r="A120" s="38" t="s">
        <v>117</v>
      </c>
      <c r="C120" s="1"/>
    </row>
    <row r="121" spans="1:3" hidden="1" x14ac:dyDescent="0.25">
      <c r="A121" t="s">
        <v>124</v>
      </c>
      <c r="B121" s="32">
        <v>0.1</v>
      </c>
      <c r="C121" s="1"/>
    </row>
    <row r="122" spans="1:3" hidden="1" x14ac:dyDescent="0.25">
      <c r="A122" t="s">
        <v>125</v>
      </c>
      <c r="B122" s="32">
        <v>0.25</v>
      </c>
      <c r="C122" s="1"/>
    </row>
    <row r="123" spans="1:3" hidden="1" x14ac:dyDescent="0.25">
      <c r="A123" t="s">
        <v>126</v>
      </c>
      <c r="B123" s="32">
        <v>0.4</v>
      </c>
      <c r="C123" s="1"/>
    </row>
    <row r="124" spans="1:3" hidden="1" x14ac:dyDescent="0.25">
      <c r="A124" t="s">
        <v>127</v>
      </c>
      <c r="B124" s="32">
        <v>0.25</v>
      </c>
      <c r="C124" s="1"/>
    </row>
    <row r="125" spans="1:3" hidden="1" x14ac:dyDescent="0.25">
      <c r="C125" s="1"/>
    </row>
    <row r="126" spans="1:3" hidden="1" x14ac:dyDescent="0.25">
      <c r="C126" s="1"/>
    </row>
    <row r="127" spans="1:3" hidden="1" x14ac:dyDescent="0.25">
      <c r="A127" s="38" t="s">
        <v>118</v>
      </c>
      <c r="C127" s="1"/>
    </row>
    <row r="128" spans="1:3" hidden="1" x14ac:dyDescent="0.25">
      <c r="A128" t="s">
        <v>128</v>
      </c>
      <c r="B128" s="32">
        <v>0.25</v>
      </c>
      <c r="C128" s="1"/>
    </row>
    <row r="129" spans="1:3" hidden="1" x14ac:dyDescent="0.25">
      <c r="A129" t="s">
        <v>127</v>
      </c>
      <c r="B129" s="32">
        <v>0.35</v>
      </c>
      <c r="C129" s="1"/>
    </row>
    <row r="130" spans="1:3" hidden="1" x14ac:dyDescent="0.25">
      <c r="A130" t="s">
        <v>126</v>
      </c>
      <c r="B130" s="32">
        <v>0.25</v>
      </c>
      <c r="C130" s="1"/>
    </row>
    <row r="131" spans="1:3" hidden="1" x14ac:dyDescent="0.25">
      <c r="A131" t="s">
        <v>129</v>
      </c>
      <c r="B131" s="32">
        <v>0.15</v>
      </c>
      <c r="C131" s="1"/>
    </row>
    <row r="132" spans="1:3" hidden="1" x14ac:dyDescent="0.25">
      <c r="C132" s="1"/>
    </row>
    <row r="133" spans="1:3" hidden="1" x14ac:dyDescent="0.25">
      <c r="C133" s="1"/>
    </row>
    <row r="134" spans="1:3" hidden="1" x14ac:dyDescent="0.25">
      <c r="A134" s="38" t="s">
        <v>95</v>
      </c>
      <c r="C134" s="1"/>
    </row>
    <row r="135" spans="1:3" hidden="1" x14ac:dyDescent="0.25">
      <c r="A135" t="s">
        <v>113</v>
      </c>
      <c r="B135" s="32">
        <v>0.1</v>
      </c>
      <c r="C135" s="1"/>
    </row>
    <row r="136" spans="1:3" hidden="1" x14ac:dyDescent="0.25">
      <c r="A136" t="s">
        <v>112</v>
      </c>
      <c r="B136" s="32">
        <v>0.1</v>
      </c>
      <c r="C136" s="1"/>
    </row>
    <row r="137" spans="1:3" hidden="1" x14ac:dyDescent="0.25">
      <c r="A137" t="s">
        <v>111</v>
      </c>
      <c r="B137" s="32">
        <v>0.2</v>
      </c>
      <c r="C137" s="1"/>
    </row>
    <row r="138" spans="1:3" hidden="1" x14ac:dyDescent="0.25">
      <c r="A138" t="s">
        <v>114</v>
      </c>
      <c r="B138" s="32">
        <v>0.3</v>
      </c>
      <c r="C138" s="1"/>
    </row>
    <row r="139" spans="1:3" hidden="1" x14ac:dyDescent="0.25">
      <c r="A139" t="s">
        <v>36</v>
      </c>
      <c r="B139" s="32">
        <v>0.3</v>
      </c>
      <c r="C139" s="1"/>
    </row>
    <row r="140" spans="1:3" hidden="1" x14ac:dyDescent="0.25">
      <c r="C140" s="1"/>
    </row>
    <row r="141" spans="1:3" hidden="1" x14ac:dyDescent="0.25">
      <c r="C141" s="1"/>
    </row>
    <row r="142" spans="1:3" hidden="1" x14ac:dyDescent="0.25">
      <c r="A142" t="s">
        <v>143</v>
      </c>
      <c r="C142" s="1"/>
    </row>
    <row r="143" spans="1:3" hidden="1" x14ac:dyDescent="0.25">
      <c r="C143" s="1"/>
    </row>
    <row r="144" spans="1:3" hidden="1" x14ac:dyDescent="0.25">
      <c r="A144" t="s">
        <v>276</v>
      </c>
      <c r="C144" s="1"/>
    </row>
    <row r="145" spans="1:3" hidden="1" x14ac:dyDescent="0.25">
      <c r="A145" t="s">
        <v>144</v>
      </c>
      <c r="C145" s="1"/>
    </row>
    <row r="146" spans="1:3" hidden="1" x14ac:dyDescent="0.25">
      <c r="C146" s="1"/>
    </row>
    <row r="147" spans="1:3" hidden="1" x14ac:dyDescent="0.25">
      <c r="A147" t="s">
        <v>145</v>
      </c>
      <c r="C147" s="1"/>
    </row>
    <row r="148" spans="1:3" hidden="1" x14ac:dyDescent="0.25">
      <c r="C148" s="1"/>
    </row>
    <row r="149" spans="1:3" hidden="1" x14ac:dyDescent="0.25">
      <c r="A149" t="s">
        <v>147</v>
      </c>
      <c r="C149" s="1"/>
    </row>
    <row r="150" spans="1:3" hidden="1" x14ac:dyDescent="0.25">
      <c r="A150" t="s">
        <v>146</v>
      </c>
      <c r="C150" s="1"/>
    </row>
    <row r="151" spans="1:3" hidden="1" x14ac:dyDescent="0.25">
      <c r="A151" t="s">
        <v>148</v>
      </c>
      <c r="C151" s="1"/>
    </row>
    <row r="152" spans="1:3" hidden="1" x14ac:dyDescent="0.25">
      <c r="A152" t="s">
        <v>159</v>
      </c>
      <c r="C152" s="1"/>
    </row>
    <row r="153" spans="1:3" hidden="1" x14ac:dyDescent="0.25">
      <c r="A153" t="s">
        <v>284</v>
      </c>
      <c r="C153" s="1"/>
    </row>
    <row r="154" spans="1:3" hidden="1" x14ac:dyDescent="0.25">
      <c r="A154" t="s">
        <v>374</v>
      </c>
      <c r="C154" s="1"/>
    </row>
    <row r="155" spans="1:3" hidden="1" x14ac:dyDescent="0.25">
      <c r="C155" s="1"/>
    </row>
    <row r="156" spans="1:3" hidden="1" x14ac:dyDescent="0.25">
      <c r="A156" t="s">
        <v>180</v>
      </c>
      <c r="B156" s="32">
        <v>0</v>
      </c>
      <c r="C156" s="1"/>
    </row>
    <row r="157" spans="1:3" hidden="1" x14ac:dyDescent="0.25">
      <c r="B157" s="32">
        <v>0.05</v>
      </c>
      <c r="C157" s="1"/>
    </row>
    <row r="158" spans="1:3" hidden="1" x14ac:dyDescent="0.25">
      <c r="B158" s="32">
        <v>0.1</v>
      </c>
      <c r="C158" s="1"/>
    </row>
    <row r="159" spans="1:3" hidden="1" x14ac:dyDescent="0.25">
      <c r="B159" s="32">
        <v>0.15</v>
      </c>
      <c r="C159" s="1"/>
    </row>
    <row r="160" spans="1:3" hidden="1" x14ac:dyDescent="0.25">
      <c r="B160" s="32">
        <v>0.2</v>
      </c>
      <c r="C160" s="1"/>
    </row>
    <row r="161" spans="1:3" hidden="1" x14ac:dyDescent="0.25">
      <c r="B161" s="32">
        <v>0.25</v>
      </c>
      <c r="C161" s="1"/>
    </row>
    <row r="162" spans="1:3" hidden="1" x14ac:dyDescent="0.25">
      <c r="B162" s="32">
        <v>0.3</v>
      </c>
      <c r="C162" s="1"/>
    </row>
    <row r="163" spans="1:3" hidden="1" x14ac:dyDescent="0.25">
      <c r="B163" s="32">
        <v>0.35</v>
      </c>
      <c r="C163" s="1"/>
    </row>
    <row r="164" spans="1:3" hidden="1" x14ac:dyDescent="0.25">
      <c r="B164" s="32">
        <v>0.4</v>
      </c>
      <c r="C164" s="1"/>
    </row>
    <row r="165" spans="1:3" hidden="1" x14ac:dyDescent="0.25">
      <c r="B165" s="32">
        <v>0.45</v>
      </c>
      <c r="C165" s="1"/>
    </row>
    <row r="166" spans="1:3" hidden="1" x14ac:dyDescent="0.25">
      <c r="B166" s="32">
        <v>0.5</v>
      </c>
      <c r="C166" s="1"/>
    </row>
    <row r="167" spans="1:3" hidden="1" x14ac:dyDescent="0.25">
      <c r="B167" s="32">
        <v>0.55000000000000004</v>
      </c>
      <c r="C167" s="1"/>
    </row>
    <row r="168" spans="1:3" hidden="1" x14ac:dyDescent="0.25">
      <c r="B168" s="32">
        <v>0.6</v>
      </c>
      <c r="C168" s="1"/>
    </row>
    <row r="169" spans="1:3" hidden="1" x14ac:dyDescent="0.25">
      <c r="C169" s="1"/>
    </row>
    <row r="170" spans="1:3" hidden="1" x14ac:dyDescent="0.25">
      <c r="A170" t="s">
        <v>188</v>
      </c>
      <c r="C170" s="1"/>
    </row>
    <row r="171" spans="1:3" hidden="1" x14ac:dyDescent="0.25">
      <c r="A171" t="s">
        <v>238</v>
      </c>
      <c r="B171" t="s">
        <v>190</v>
      </c>
      <c r="C171" s="1"/>
    </row>
    <row r="172" spans="1:3" hidden="1" x14ac:dyDescent="0.25">
      <c r="A172" t="s">
        <v>239</v>
      </c>
      <c r="B172" t="s">
        <v>189</v>
      </c>
      <c r="C172" s="1"/>
    </row>
    <row r="173" spans="1:3" hidden="1" x14ac:dyDescent="0.25">
      <c r="A173" t="s">
        <v>240</v>
      </c>
      <c r="B173" t="s">
        <v>191</v>
      </c>
      <c r="C173" s="1"/>
    </row>
    <row r="174" spans="1:3" hidden="1" x14ac:dyDescent="0.25">
      <c r="A174" t="s">
        <v>241</v>
      </c>
      <c r="B174" t="s">
        <v>192</v>
      </c>
      <c r="C174" s="1"/>
    </row>
    <row r="175" spans="1:3" hidden="1" x14ac:dyDescent="0.25">
      <c r="A175" t="s">
        <v>242</v>
      </c>
      <c r="B175" t="s">
        <v>193</v>
      </c>
      <c r="C175" s="1"/>
    </row>
    <row r="176" spans="1:3" hidden="1" x14ac:dyDescent="0.25">
      <c r="A176" t="s">
        <v>243</v>
      </c>
      <c r="B176" t="s">
        <v>194</v>
      </c>
      <c r="C176" s="1"/>
    </row>
    <row r="177" spans="1:3" hidden="1" x14ac:dyDescent="0.25">
      <c r="A177" t="s">
        <v>245</v>
      </c>
      <c r="B177" t="s">
        <v>195</v>
      </c>
      <c r="C177" s="1"/>
    </row>
    <row r="178" spans="1:3" hidden="1" x14ac:dyDescent="0.25">
      <c r="A178" t="s">
        <v>244</v>
      </c>
      <c r="B178" t="s">
        <v>196</v>
      </c>
      <c r="C178" s="1"/>
    </row>
    <row r="179" spans="1:3" hidden="1" x14ac:dyDescent="0.25">
      <c r="C179" s="1"/>
    </row>
    <row r="180" spans="1:3" hidden="1" x14ac:dyDescent="0.25">
      <c r="C180" s="1"/>
    </row>
    <row r="181" spans="1:3" hidden="1" x14ac:dyDescent="0.25">
      <c r="A181" t="s">
        <v>190</v>
      </c>
      <c r="C181" s="1"/>
    </row>
    <row r="182" spans="1:3" hidden="1" x14ac:dyDescent="0.25">
      <c r="B182" t="s">
        <v>198</v>
      </c>
      <c r="C182" s="1"/>
    </row>
    <row r="183" spans="1:3" hidden="1" x14ac:dyDescent="0.25">
      <c r="B183" t="s">
        <v>199</v>
      </c>
      <c r="C183" s="1"/>
    </row>
    <row r="184" spans="1:3" hidden="1" x14ac:dyDescent="0.25">
      <c r="B184" t="s">
        <v>200</v>
      </c>
      <c r="C184" s="1"/>
    </row>
    <row r="185" spans="1:3" hidden="1" x14ac:dyDescent="0.25">
      <c r="B185" t="s">
        <v>201</v>
      </c>
      <c r="C185" s="1"/>
    </row>
    <row r="186" spans="1:3" hidden="1" x14ac:dyDescent="0.25">
      <c r="B186" t="s">
        <v>233</v>
      </c>
      <c r="C186" s="1"/>
    </row>
    <row r="187" spans="1:3" hidden="1" x14ac:dyDescent="0.25">
      <c r="C187" s="1"/>
    </row>
    <row r="188" spans="1:3" hidden="1" x14ac:dyDescent="0.25">
      <c r="A188" t="s">
        <v>189</v>
      </c>
      <c r="C188" s="1"/>
    </row>
    <row r="189" spans="1:3" hidden="1" x14ac:dyDescent="0.25">
      <c r="B189" t="s">
        <v>202</v>
      </c>
      <c r="C189" s="1"/>
    </row>
    <row r="190" spans="1:3" hidden="1" x14ac:dyDescent="0.25">
      <c r="B190" t="s">
        <v>205</v>
      </c>
      <c r="C190" s="1"/>
    </row>
    <row r="191" spans="1:3" hidden="1" x14ac:dyDescent="0.25">
      <c r="B191" t="s">
        <v>206</v>
      </c>
      <c r="C191" s="1"/>
    </row>
    <row r="192" spans="1:3" hidden="1" x14ac:dyDescent="0.25">
      <c r="B192" t="s">
        <v>207</v>
      </c>
      <c r="C192" s="1"/>
    </row>
    <row r="193" spans="1:3" hidden="1" x14ac:dyDescent="0.25">
      <c r="B193" t="s">
        <v>208</v>
      </c>
      <c r="C193" s="1"/>
    </row>
    <row r="194" spans="1:3" hidden="1" x14ac:dyDescent="0.25">
      <c r="B194" t="s">
        <v>209</v>
      </c>
      <c r="C194" s="1"/>
    </row>
    <row r="195" spans="1:3" hidden="1" x14ac:dyDescent="0.25">
      <c r="B195" t="s">
        <v>210</v>
      </c>
      <c r="C195" s="1"/>
    </row>
    <row r="196" spans="1:3" hidden="1" x14ac:dyDescent="0.25">
      <c r="B196" t="s">
        <v>211</v>
      </c>
      <c r="C196" s="1"/>
    </row>
    <row r="197" spans="1:3" hidden="1" x14ac:dyDescent="0.25">
      <c r="C197" s="1"/>
    </row>
    <row r="198" spans="1:3" hidden="1" x14ac:dyDescent="0.25">
      <c r="A198" t="s">
        <v>191</v>
      </c>
      <c r="C198" s="1"/>
    </row>
    <row r="199" spans="1:3" hidden="1" x14ac:dyDescent="0.25">
      <c r="B199" t="s">
        <v>212</v>
      </c>
      <c r="C199" s="1"/>
    </row>
    <row r="200" spans="1:3" hidden="1" x14ac:dyDescent="0.25">
      <c r="B200" t="s">
        <v>213</v>
      </c>
      <c r="C200" s="1"/>
    </row>
    <row r="201" spans="1:3" hidden="1" x14ac:dyDescent="0.25">
      <c r="B201" t="s">
        <v>214</v>
      </c>
      <c r="C201" s="1"/>
    </row>
    <row r="202" spans="1:3" hidden="1" x14ac:dyDescent="0.25">
      <c r="B202" t="s">
        <v>215</v>
      </c>
      <c r="C202" s="1"/>
    </row>
    <row r="203" spans="1:3" hidden="1" x14ac:dyDescent="0.25">
      <c r="C203" s="1"/>
    </row>
    <row r="204" spans="1:3" hidden="1" x14ac:dyDescent="0.25">
      <c r="A204" t="s">
        <v>192</v>
      </c>
      <c r="C204" s="1"/>
    </row>
    <row r="205" spans="1:3" hidden="1" x14ac:dyDescent="0.25">
      <c r="B205" t="s">
        <v>216</v>
      </c>
      <c r="C205" s="1"/>
    </row>
    <row r="206" spans="1:3" hidden="1" x14ac:dyDescent="0.25">
      <c r="B206" t="s">
        <v>217</v>
      </c>
      <c r="C206" s="1"/>
    </row>
    <row r="207" spans="1:3" hidden="1" x14ac:dyDescent="0.25">
      <c r="B207" t="s">
        <v>218</v>
      </c>
      <c r="C207" s="1"/>
    </row>
    <row r="208" spans="1:3" hidden="1" x14ac:dyDescent="0.25">
      <c r="B208" t="s">
        <v>219</v>
      </c>
      <c r="C208" s="1"/>
    </row>
    <row r="209" spans="1:3" hidden="1" x14ac:dyDescent="0.25">
      <c r="B209" t="s">
        <v>222</v>
      </c>
      <c r="C209" s="1"/>
    </row>
    <row r="210" spans="1:3" hidden="1" x14ac:dyDescent="0.25">
      <c r="B210" t="s">
        <v>220</v>
      </c>
      <c r="C210" s="1"/>
    </row>
    <row r="211" spans="1:3" hidden="1" x14ac:dyDescent="0.25">
      <c r="B211" t="s">
        <v>221</v>
      </c>
      <c r="C211" s="1"/>
    </row>
    <row r="212" spans="1:3" hidden="1" x14ac:dyDescent="0.25">
      <c r="C212" s="1"/>
    </row>
    <row r="213" spans="1:3" hidden="1" x14ac:dyDescent="0.25">
      <c r="A213" t="s">
        <v>193</v>
      </c>
      <c r="C213" s="1"/>
    </row>
    <row r="214" spans="1:3" hidden="1" x14ac:dyDescent="0.25">
      <c r="B214" t="s">
        <v>223</v>
      </c>
      <c r="C214" s="1"/>
    </row>
    <row r="215" spans="1:3" hidden="1" x14ac:dyDescent="0.25">
      <c r="B215" t="s">
        <v>224</v>
      </c>
      <c r="C215" s="1"/>
    </row>
    <row r="216" spans="1:3" hidden="1" x14ac:dyDescent="0.25">
      <c r="C216" s="1"/>
    </row>
    <row r="217" spans="1:3" hidden="1" x14ac:dyDescent="0.25">
      <c r="A217" t="s">
        <v>194</v>
      </c>
      <c r="C217" s="1"/>
    </row>
    <row r="218" spans="1:3" hidden="1" x14ac:dyDescent="0.25">
      <c r="B218" t="s">
        <v>225</v>
      </c>
      <c r="C218" s="1"/>
    </row>
    <row r="219" spans="1:3" hidden="1" x14ac:dyDescent="0.25">
      <c r="C219" s="1"/>
    </row>
    <row r="220" spans="1:3" hidden="1" x14ac:dyDescent="0.25">
      <c r="A220" t="s">
        <v>195</v>
      </c>
      <c r="C220" s="1"/>
    </row>
    <row r="221" spans="1:3" hidden="1" x14ac:dyDescent="0.25">
      <c r="B221" t="s">
        <v>226</v>
      </c>
      <c r="C221" s="1"/>
    </row>
    <row r="222" spans="1:3" hidden="1" x14ac:dyDescent="0.25">
      <c r="B222" t="s">
        <v>227</v>
      </c>
      <c r="C222" s="1"/>
    </row>
    <row r="223" spans="1:3" hidden="1" x14ac:dyDescent="0.25">
      <c r="B223" t="s">
        <v>228</v>
      </c>
      <c r="C223" s="1"/>
    </row>
    <row r="224" spans="1:3" hidden="1" x14ac:dyDescent="0.25">
      <c r="B224" t="s">
        <v>229</v>
      </c>
      <c r="C224" s="1"/>
    </row>
    <row r="225" spans="1:3" hidden="1" x14ac:dyDescent="0.25">
      <c r="B225" t="s">
        <v>230</v>
      </c>
      <c r="C225" s="1"/>
    </row>
    <row r="226" spans="1:3" hidden="1" x14ac:dyDescent="0.25">
      <c r="B226" t="s">
        <v>231</v>
      </c>
      <c r="C226" s="1"/>
    </row>
    <row r="227" spans="1:3" hidden="1" x14ac:dyDescent="0.25">
      <c r="B227" t="s">
        <v>232</v>
      </c>
      <c r="C227" s="1"/>
    </row>
    <row r="228" spans="1:3" hidden="1" x14ac:dyDescent="0.25">
      <c r="C228" s="1"/>
    </row>
    <row r="229" spans="1:3" hidden="1" x14ac:dyDescent="0.25">
      <c r="A229" t="s">
        <v>196</v>
      </c>
      <c r="C229" s="1"/>
    </row>
    <row r="230" spans="1:3" hidden="1" x14ac:dyDescent="0.25">
      <c r="B230" t="s">
        <v>234</v>
      </c>
      <c r="C230" s="1"/>
    </row>
    <row r="231" spans="1:3" hidden="1" x14ac:dyDescent="0.25">
      <c r="B231" t="s">
        <v>235</v>
      </c>
      <c r="C231" s="1"/>
    </row>
    <row r="232" spans="1:3" hidden="1" x14ac:dyDescent="0.25">
      <c r="B232" t="s">
        <v>236</v>
      </c>
      <c r="C232" s="1"/>
    </row>
    <row r="233" spans="1:3" hidden="1" x14ac:dyDescent="0.25">
      <c r="B233" t="s">
        <v>237</v>
      </c>
      <c r="C233" s="1"/>
    </row>
    <row r="234" spans="1:3" hidden="1" x14ac:dyDescent="0.25">
      <c r="C234" s="1"/>
    </row>
    <row r="235" spans="1:3" hidden="1" x14ac:dyDescent="0.25">
      <c r="A235" t="s">
        <v>203</v>
      </c>
      <c r="C235" s="1"/>
    </row>
    <row r="236" spans="1:3" hidden="1" x14ac:dyDescent="0.25">
      <c r="A236" t="s">
        <v>247</v>
      </c>
      <c r="B236" t="s">
        <v>265</v>
      </c>
      <c r="C236" s="1"/>
    </row>
    <row r="237" spans="1:3" hidden="1" x14ac:dyDescent="0.25">
      <c r="B237" t="s">
        <v>266</v>
      </c>
      <c r="C237" s="1"/>
    </row>
    <row r="238" spans="1:3" hidden="1" x14ac:dyDescent="0.25">
      <c r="B238" t="s">
        <v>267</v>
      </c>
      <c r="C238" s="1"/>
    </row>
    <row r="239" spans="1:3" hidden="1" x14ac:dyDescent="0.25">
      <c r="B239" t="s">
        <v>268</v>
      </c>
      <c r="C239" s="1"/>
    </row>
    <row r="240" spans="1:3" hidden="1" x14ac:dyDescent="0.25">
      <c r="B240" t="s">
        <v>269</v>
      </c>
      <c r="C240" s="1"/>
    </row>
    <row r="241" spans="1:3" hidden="1" x14ac:dyDescent="0.25">
      <c r="C241" s="1"/>
    </row>
    <row r="242" spans="1:3" hidden="1" x14ac:dyDescent="0.25">
      <c r="A242" t="s">
        <v>251</v>
      </c>
      <c r="B242" t="s">
        <v>270</v>
      </c>
      <c r="C242" s="1"/>
    </row>
    <row r="243" spans="1:3" hidden="1" x14ac:dyDescent="0.25">
      <c r="B243" t="s">
        <v>271</v>
      </c>
      <c r="C243" s="1"/>
    </row>
    <row r="244" spans="1:3" hidden="1" x14ac:dyDescent="0.25">
      <c r="C244" s="1"/>
    </row>
    <row r="245" spans="1:3" hidden="1" x14ac:dyDescent="0.25">
      <c r="A245" t="s">
        <v>250</v>
      </c>
      <c r="B245" t="s">
        <v>246</v>
      </c>
      <c r="C245" s="1"/>
    </row>
    <row r="246" spans="1:3" hidden="1" x14ac:dyDescent="0.25">
      <c r="C246" s="1"/>
    </row>
    <row r="247" spans="1:3" hidden="1" x14ac:dyDescent="0.25">
      <c r="A247" t="s">
        <v>249</v>
      </c>
      <c r="B247" t="s">
        <v>248</v>
      </c>
      <c r="C247" s="1"/>
    </row>
    <row r="248" spans="1:3" hidden="1" x14ac:dyDescent="0.25">
      <c r="C248" s="1"/>
    </row>
    <row r="249" spans="1:3" hidden="1" x14ac:dyDescent="0.25">
      <c r="A249" t="s">
        <v>261</v>
      </c>
      <c r="B249" t="s">
        <v>252</v>
      </c>
      <c r="C249" s="1"/>
    </row>
    <row r="250" spans="1:3" hidden="1" x14ac:dyDescent="0.25">
      <c r="B250" t="s">
        <v>253</v>
      </c>
      <c r="C250" s="1"/>
    </row>
    <row r="251" spans="1:3" hidden="1" x14ac:dyDescent="0.25">
      <c r="B251" t="s">
        <v>254</v>
      </c>
      <c r="C251" s="1"/>
    </row>
    <row r="252" spans="1:3" hidden="1" x14ac:dyDescent="0.25">
      <c r="B252" t="s">
        <v>255</v>
      </c>
      <c r="C252" s="1"/>
    </row>
    <row r="253" spans="1:3" hidden="1" x14ac:dyDescent="0.25">
      <c r="B253" t="s">
        <v>256</v>
      </c>
      <c r="C253" s="1"/>
    </row>
    <row r="254" spans="1:3" hidden="1" x14ac:dyDescent="0.25">
      <c r="B254" t="s">
        <v>257</v>
      </c>
      <c r="C254" s="1"/>
    </row>
    <row r="255" spans="1:3" hidden="1" x14ac:dyDescent="0.25">
      <c r="B255" t="s">
        <v>258</v>
      </c>
      <c r="C255" s="1"/>
    </row>
    <row r="256" spans="1:3" hidden="1" x14ac:dyDescent="0.25">
      <c r="B256" t="s">
        <v>259</v>
      </c>
      <c r="C256" s="1"/>
    </row>
    <row r="257" spans="1:3" hidden="1" x14ac:dyDescent="0.25">
      <c r="B257" t="s">
        <v>260</v>
      </c>
      <c r="C257" s="1"/>
    </row>
    <row r="258" spans="1:3" hidden="1" x14ac:dyDescent="0.25">
      <c r="C258" s="1"/>
    </row>
    <row r="259" spans="1:3" hidden="1" x14ac:dyDescent="0.25">
      <c r="A259" t="s">
        <v>262</v>
      </c>
      <c r="C259" s="1"/>
    </row>
    <row r="260" spans="1:3" hidden="1" x14ac:dyDescent="0.25">
      <c r="B260" t="s">
        <v>263</v>
      </c>
      <c r="C260" s="1"/>
    </row>
    <row r="261" spans="1:3" hidden="1" x14ac:dyDescent="0.25">
      <c r="B261" t="s">
        <v>264</v>
      </c>
      <c r="C261" s="1"/>
    </row>
    <row r="262" spans="1:3" hidden="1" x14ac:dyDescent="0.25">
      <c r="C262" s="1"/>
    </row>
    <row r="264" spans="1:3" hidden="1" x14ac:dyDescent="0.25">
      <c r="A264" t="s">
        <v>55</v>
      </c>
    </row>
    <row r="266" spans="1:3" hidden="1" x14ac:dyDescent="0.25">
      <c r="A266" t="s">
        <v>144</v>
      </c>
    </row>
    <row r="268" spans="1:3" hidden="1" x14ac:dyDescent="0.25">
      <c r="A268" t="s">
        <v>295</v>
      </c>
    </row>
    <row r="269" spans="1:3" hidden="1" x14ac:dyDescent="0.25">
      <c r="B269" t="s">
        <v>296</v>
      </c>
    </row>
    <row r="270" spans="1:3" hidden="1" x14ac:dyDescent="0.25">
      <c r="B270" t="s">
        <v>297</v>
      </c>
    </row>
    <row r="271" spans="1:3" hidden="1" x14ac:dyDescent="0.25">
      <c r="B271" t="s">
        <v>298</v>
      </c>
    </row>
    <row r="272" spans="1:3" hidden="1" x14ac:dyDescent="0.25">
      <c r="B272" t="s">
        <v>299</v>
      </c>
    </row>
    <row r="273" spans="1:2" hidden="1" x14ac:dyDescent="0.25">
      <c r="B273" t="s">
        <v>300</v>
      </c>
    </row>
    <row r="275" spans="1:2" hidden="1" x14ac:dyDescent="0.25">
      <c r="A275" t="s">
        <v>312</v>
      </c>
    </row>
    <row r="276" spans="1:2" hidden="1" x14ac:dyDescent="0.25">
      <c r="B276" t="s">
        <v>353</v>
      </c>
    </row>
    <row r="277" spans="1:2" hidden="1" x14ac:dyDescent="0.25">
      <c r="B277" t="s">
        <v>313</v>
      </c>
    </row>
    <row r="278" spans="1:2" hidden="1" x14ac:dyDescent="0.25">
      <c r="B278" t="s">
        <v>327</v>
      </c>
    </row>
    <row r="279" spans="1:2" hidden="1" x14ac:dyDescent="0.25">
      <c r="B279" t="s">
        <v>339</v>
      </c>
    </row>
    <row r="280" spans="1:2" hidden="1" x14ac:dyDescent="0.25">
      <c r="B280" t="s">
        <v>336</v>
      </c>
    </row>
    <row r="281" spans="1:2" hidden="1" x14ac:dyDescent="0.25">
      <c r="B281" t="s">
        <v>318</v>
      </c>
    </row>
    <row r="282" spans="1:2" hidden="1" x14ac:dyDescent="0.25">
      <c r="B282" t="s">
        <v>328</v>
      </c>
    </row>
    <row r="283" spans="1:2" hidden="1" x14ac:dyDescent="0.25">
      <c r="B283" t="s">
        <v>346</v>
      </c>
    </row>
    <row r="284" spans="1:2" hidden="1" x14ac:dyDescent="0.25">
      <c r="B284" t="s">
        <v>331</v>
      </c>
    </row>
    <row r="285" spans="1:2" hidden="1" x14ac:dyDescent="0.25">
      <c r="B285" t="s">
        <v>349</v>
      </c>
    </row>
    <row r="286" spans="1:2" hidden="1" x14ac:dyDescent="0.25">
      <c r="B286" t="s">
        <v>321</v>
      </c>
    </row>
    <row r="287" spans="1:2" hidden="1" x14ac:dyDescent="0.25">
      <c r="B287" t="s">
        <v>319</v>
      </c>
    </row>
    <row r="288" spans="1:2" hidden="1" x14ac:dyDescent="0.25">
      <c r="B288" t="s">
        <v>354</v>
      </c>
    </row>
    <row r="289" spans="2:2" hidden="1" x14ac:dyDescent="0.25">
      <c r="B289" t="s">
        <v>325</v>
      </c>
    </row>
    <row r="290" spans="2:2" hidden="1" x14ac:dyDescent="0.25">
      <c r="B290" t="s">
        <v>345</v>
      </c>
    </row>
    <row r="291" spans="2:2" hidden="1" x14ac:dyDescent="0.25">
      <c r="B291" t="s">
        <v>356</v>
      </c>
    </row>
    <row r="292" spans="2:2" hidden="1" x14ac:dyDescent="0.25">
      <c r="B292" t="s">
        <v>352</v>
      </c>
    </row>
    <row r="293" spans="2:2" hidden="1" x14ac:dyDescent="0.25">
      <c r="B293" t="s">
        <v>322</v>
      </c>
    </row>
    <row r="294" spans="2:2" hidden="1" x14ac:dyDescent="0.25">
      <c r="B294" t="s">
        <v>323</v>
      </c>
    </row>
    <row r="295" spans="2:2" hidden="1" x14ac:dyDescent="0.25">
      <c r="B295" t="s">
        <v>344</v>
      </c>
    </row>
    <row r="296" spans="2:2" hidden="1" x14ac:dyDescent="0.25">
      <c r="B296" t="s">
        <v>332</v>
      </c>
    </row>
    <row r="297" spans="2:2" hidden="1" x14ac:dyDescent="0.25">
      <c r="B297" t="s">
        <v>372</v>
      </c>
    </row>
    <row r="298" spans="2:2" hidden="1" x14ac:dyDescent="0.25">
      <c r="B298" t="s">
        <v>315</v>
      </c>
    </row>
    <row r="299" spans="2:2" hidden="1" x14ac:dyDescent="0.25">
      <c r="B299" t="s">
        <v>348</v>
      </c>
    </row>
    <row r="300" spans="2:2" hidden="1" x14ac:dyDescent="0.25">
      <c r="B300" t="s">
        <v>333</v>
      </c>
    </row>
    <row r="301" spans="2:2" hidden="1" x14ac:dyDescent="0.25">
      <c r="B301" t="s">
        <v>343</v>
      </c>
    </row>
    <row r="302" spans="2:2" hidden="1" x14ac:dyDescent="0.25">
      <c r="B302" t="s">
        <v>338</v>
      </c>
    </row>
    <row r="303" spans="2:2" hidden="1" x14ac:dyDescent="0.25">
      <c r="B303" t="s">
        <v>337</v>
      </c>
    </row>
    <row r="304" spans="2:2" hidden="1" x14ac:dyDescent="0.25">
      <c r="B304" t="s">
        <v>351</v>
      </c>
    </row>
    <row r="305" spans="2:2" hidden="1" x14ac:dyDescent="0.25">
      <c r="B305" t="s">
        <v>350</v>
      </c>
    </row>
    <row r="306" spans="2:2" hidden="1" x14ac:dyDescent="0.25">
      <c r="B306" t="s">
        <v>326</v>
      </c>
    </row>
    <row r="307" spans="2:2" hidden="1" x14ac:dyDescent="0.25">
      <c r="B307" t="s">
        <v>334</v>
      </c>
    </row>
    <row r="308" spans="2:2" hidden="1" x14ac:dyDescent="0.25">
      <c r="B308" t="s">
        <v>329</v>
      </c>
    </row>
    <row r="309" spans="2:2" hidden="1" x14ac:dyDescent="0.25">
      <c r="B309" t="s">
        <v>308</v>
      </c>
    </row>
    <row r="310" spans="2:2" hidden="1" x14ac:dyDescent="0.25">
      <c r="B310" t="s">
        <v>316</v>
      </c>
    </row>
    <row r="311" spans="2:2" hidden="1" x14ac:dyDescent="0.25">
      <c r="B311" t="s">
        <v>357</v>
      </c>
    </row>
    <row r="312" spans="2:2" hidden="1" x14ac:dyDescent="0.25">
      <c r="B312" t="s">
        <v>335</v>
      </c>
    </row>
    <row r="313" spans="2:2" hidden="1" x14ac:dyDescent="0.25">
      <c r="B313" t="s">
        <v>320</v>
      </c>
    </row>
    <row r="314" spans="2:2" hidden="1" x14ac:dyDescent="0.25">
      <c r="B314" t="s">
        <v>347</v>
      </c>
    </row>
    <row r="315" spans="2:2" hidden="1" x14ac:dyDescent="0.25">
      <c r="B315" t="s">
        <v>314</v>
      </c>
    </row>
    <row r="316" spans="2:2" hidden="1" x14ac:dyDescent="0.25">
      <c r="B316" t="s">
        <v>355</v>
      </c>
    </row>
    <row r="317" spans="2:2" hidden="1" x14ac:dyDescent="0.25">
      <c r="B317" t="s">
        <v>342</v>
      </c>
    </row>
    <row r="318" spans="2:2" hidden="1" x14ac:dyDescent="0.25">
      <c r="B318" t="s">
        <v>340</v>
      </c>
    </row>
    <row r="319" spans="2:2" hidden="1" x14ac:dyDescent="0.25">
      <c r="B319" t="s">
        <v>324</v>
      </c>
    </row>
    <row r="320" spans="2:2" hidden="1" x14ac:dyDescent="0.25">
      <c r="B320" t="s">
        <v>330</v>
      </c>
    </row>
    <row r="321" spans="2:2" hidden="1" x14ac:dyDescent="0.25">
      <c r="B321" t="s">
        <v>341</v>
      </c>
    </row>
    <row r="322" spans="2:2" hidden="1" x14ac:dyDescent="0.25">
      <c r="B322" t="s">
        <v>317</v>
      </c>
    </row>
    <row r="323" spans="2:2" hidden="1" x14ac:dyDescent="0.25">
      <c r="B323" t="s">
        <v>358</v>
      </c>
    </row>
  </sheetData>
  <sheetProtection algorithmName="SHA-512" hashValue="Pd7WwFhR/ukbKLAF5wctY+/cTo9Ke0GpnVm1L4haHYEpRQKqjUZ9kkA3ZV0w/FftzuH3iJ6uMYIglzzVHIk0cA==" saltValue="3sdfxLT8xOTGp0MvVjRwtg==" spinCount="100000" sheet="1" objects="1" scenarios="1"/>
  <sortState xmlns:xlrd2="http://schemas.microsoft.com/office/spreadsheetml/2017/richdata2" ref="B75:B82">
    <sortCondition ref="B75:B82"/>
  </sortState>
  <mergeCells count="1">
    <mergeCell ref="A1:C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CBF6-D24B-4096-A738-0FE20D61331C}">
  <sheetPr codeName="Sheet13"/>
  <dimension ref="A1:E103"/>
  <sheetViews>
    <sheetView topLeftCell="A4" workbookViewId="0">
      <selection activeCell="B43" sqref="B43"/>
    </sheetView>
  </sheetViews>
  <sheetFormatPr defaultColWidth="0" defaultRowHeight="15" zeroHeight="1" x14ac:dyDescent="0.25"/>
  <cols>
    <col min="1" max="1" width="11.5703125" customWidth="1"/>
    <col min="2" max="2" width="17.7109375" customWidth="1"/>
    <col min="3" max="3" width="14.28515625" style="1" customWidth="1"/>
    <col min="4" max="16384" width="9.140625" hidden="1"/>
  </cols>
  <sheetData>
    <row r="1" spans="1:5" x14ac:dyDescent="0.25">
      <c r="A1" s="297" t="s">
        <v>108</v>
      </c>
      <c r="B1" s="298"/>
      <c r="C1" s="298"/>
    </row>
    <row r="2" spans="1:5" x14ac:dyDescent="0.25">
      <c r="A2" s="36" t="s">
        <v>41</v>
      </c>
      <c r="B2" s="35" t="s">
        <v>109</v>
      </c>
      <c r="C2" s="34" t="s">
        <v>110</v>
      </c>
    </row>
    <row r="3" spans="1:5" x14ac:dyDescent="0.25">
      <c r="A3" s="8">
        <v>100</v>
      </c>
      <c r="B3" s="122">
        <v>100</v>
      </c>
      <c r="C3" s="8">
        <v>100</v>
      </c>
    </row>
    <row r="4" spans="1:5" x14ac:dyDescent="0.25">
      <c r="A4" s="8">
        <v>99</v>
      </c>
      <c r="B4" s="17">
        <v>100</v>
      </c>
      <c r="C4" s="17">
        <v>100</v>
      </c>
      <c r="D4" s="124"/>
      <c r="E4" s="124"/>
    </row>
    <row r="5" spans="1:5" x14ac:dyDescent="0.25">
      <c r="A5" s="8">
        <v>98</v>
      </c>
      <c r="B5" s="17">
        <v>96</v>
      </c>
      <c r="C5" s="17">
        <v>96</v>
      </c>
      <c r="D5" s="124"/>
      <c r="E5" s="124"/>
    </row>
    <row r="6" spans="1:5" x14ac:dyDescent="0.25">
      <c r="A6" s="8">
        <v>97</v>
      </c>
      <c r="B6" s="17">
        <v>96</v>
      </c>
      <c r="C6" s="17">
        <v>96</v>
      </c>
      <c r="D6" s="124"/>
      <c r="E6" s="124"/>
    </row>
    <row r="7" spans="1:5" x14ac:dyDescent="0.25">
      <c r="A7" s="8">
        <v>96</v>
      </c>
      <c r="B7" s="17">
        <v>96</v>
      </c>
      <c r="C7" s="17">
        <v>93</v>
      </c>
      <c r="D7" s="124"/>
      <c r="E7" s="124"/>
    </row>
    <row r="8" spans="1:5" x14ac:dyDescent="0.25">
      <c r="A8" s="8">
        <v>95</v>
      </c>
      <c r="B8" s="17">
        <v>93</v>
      </c>
      <c r="C8" s="17">
        <v>93</v>
      </c>
      <c r="D8" s="124"/>
      <c r="E8" s="124"/>
    </row>
    <row r="9" spans="1:5" x14ac:dyDescent="0.25">
      <c r="A9" s="8">
        <v>94</v>
      </c>
      <c r="B9" s="17">
        <v>93</v>
      </c>
      <c r="C9" s="17">
        <v>90</v>
      </c>
      <c r="D9" s="124"/>
      <c r="E9" s="124"/>
    </row>
    <row r="10" spans="1:5" x14ac:dyDescent="0.25">
      <c r="A10" s="8">
        <v>93</v>
      </c>
      <c r="B10" s="17">
        <v>93</v>
      </c>
      <c r="C10" s="17">
        <v>90</v>
      </c>
      <c r="D10" s="124"/>
      <c r="E10" s="124"/>
    </row>
    <row r="11" spans="1:5" x14ac:dyDescent="0.25">
      <c r="A11" s="8">
        <v>92</v>
      </c>
      <c r="B11" s="17">
        <v>90</v>
      </c>
      <c r="C11" s="17">
        <v>87</v>
      </c>
      <c r="D11" s="124"/>
      <c r="E11" s="124"/>
    </row>
    <row r="12" spans="1:5" x14ac:dyDescent="0.25">
      <c r="A12" s="8">
        <v>91</v>
      </c>
      <c r="B12" s="17">
        <v>90</v>
      </c>
      <c r="C12" s="17">
        <v>87</v>
      </c>
      <c r="D12" s="124"/>
      <c r="E12" s="124"/>
    </row>
    <row r="13" spans="1:5" x14ac:dyDescent="0.25">
      <c r="A13" s="8">
        <v>90</v>
      </c>
      <c r="B13" s="17">
        <v>90</v>
      </c>
      <c r="C13" s="17">
        <v>84</v>
      </c>
      <c r="D13" s="124"/>
      <c r="E13" s="124"/>
    </row>
    <row r="14" spans="1:5" x14ac:dyDescent="0.25">
      <c r="A14" s="8">
        <v>89</v>
      </c>
      <c r="B14" s="17">
        <v>87</v>
      </c>
      <c r="C14" s="17">
        <v>84</v>
      </c>
      <c r="D14" s="124"/>
      <c r="E14" s="124"/>
    </row>
    <row r="15" spans="1:5" x14ac:dyDescent="0.25">
      <c r="A15" s="8">
        <v>88</v>
      </c>
      <c r="B15" s="17">
        <v>87</v>
      </c>
      <c r="C15" s="17">
        <v>81</v>
      </c>
      <c r="D15" s="124"/>
      <c r="E15" s="124"/>
    </row>
    <row r="16" spans="1:5" x14ac:dyDescent="0.25">
      <c r="A16" s="8">
        <v>87</v>
      </c>
      <c r="B16" s="17">
        <v>87</v>
      </c>
      <c r="C16" s="17">
        <v>81</v>
      </c>
      <c r="D16" s="124"/>
      <c r="E16" s="124"/>
    </row>
    <row r="17" spans="1:5" x14ac:dyDescent="0.25">
      <c r="A17" s="8">
        <v>86</v>
      </c>
      <c r="B17" s="17">
        <v>84</v>
      </c>
      <c r="C17" s="17">
        <v>80</v>
      </c>
      <c r="D17" s="124"/>
      <c r="E17" s="124"/>
    </row>
    <row r="18" spans="1:5" x14ac:dyDescent="0.25">
      <c r="A18" s="8">
        <v>85</v>
      </c>
      <c r="B18" s="17">
        <v>84</v>
      </c>
      <c r="C18" s="17">
        <v>80</v>
      </c>
      <c r="D18" s="124"/>
      <c r="E18" s="124"/>
    </row>
    <row r="19" spans="1:5" x14ac:dyDescent="0.25">
      <c r="A19" s="8">
        <v>84</v>
      </c>
      <c r="B19" s="17">
        <v>84</v>
      </c>
      <c r="C19" s="17">
        <v>79</v>
      </c>
      <c r="D19" s="124"/>
      <c r="E19" s="124"/>
    </row>
    <row r="20" spans="1:5" x14ac:dyDescent="0.25">
      <c r="A20" s="8">
        <v>83</v>
      </c>
      <c r="B20" s="17">
        <v>81</v>
      </c>
      <c r="C20" s="17">
        <v>79</v>
      </c>
      <c r="D20" s="124"/>
      <c r="E20" s="124"/>
    </row>
    <row r="21" spans="1:5" x14ac:dyDescent="0.25">
      <c r="A21" s="8">
        <v>82</v>
      </c>
      <c r="B21" s="17">
        <v>81</v>
      </c>
      <c r="C21" s="17">
        <v>79</v>
      </c>
      <c r="D21" s="124"/>
      <c r="E21" s="124"/>
    </row>
    <row r="22" spans="1:5" x14ac:dyDescent="0.25">
      <c r="A22" s="8">
        <v>81</v>
      </c>
      <c r="B22" s="17">
        <v>81</v>
      </c>
      <c r="C22" s="17">
        <v>79</v>
      </c>
      <c r="D22" s="124"/>
      <c r="E22" s="124"/>
    </row>
    <row r="23" spans="1:5" x14ac:dyDescent="0.25">
      <c r="A23" s="8">
        <v>80</v>
      </c>
      <c r="B23" s="17">
        <v>80</v>
      </c>
      <c r="C23" s="17">
        <v>79</v>
      </c>
      <c r="D23" s="124"/>
      <c r="E23" s="124"/>
    </row>
    <row r="24" spans="1:5" x14ac:dyDescent="0.25">
      <c r="A24" s="8">
        <v>79</v>
      </c>
      <c r="B24" s="17">
        <v>80</v>
      </c>
      <c r="C24" s="17">
        <v>78</v>
      </c>
      <c r="D24" s="124"/>
      <c r="E24" s="124"/>
    </row>
    <row r="25" spans="1:5" x14ac:dyDescent="0.25">
      <c r="A25" s="8">
        <v>78</v>
      </c>
      <c r="B25" s="17">
        <v>80</v>
      </c>
      <c r="C25" s="17">
        <v>78</v>
      </c>
      <c r="D25" s="124"/>
      <c r="E25" s="124"/>
    </row>
    <row r="26" spans="1:5" x14ac:dyDescent="0.25">
      <c r="A26" s="8">
        <v>77</v>
      </c>
      <c r="B26" s="17">
        <v>79</v>
      </c>
      <c r="C26" s="17">
        <v>78</v>
      </c>
      <c r="D26" s="124"/>
      <c r="E26" s="124"/>
    </row>
    <row r="27" spans="1:5" x14ac:dyDescent="0.25">
      <c r="A27" s="8">
        <v>76</v>
      </c>
      <c r="B27" s="17">
        <v>79</v>
      </c>
      <c r="C27" s="17">
        <v>78</v>
      </c>
      <c r="D27" s="124"/>
      <c r="E27" s="124"/>
    </row>
    <row r="28" spans="1:5" x14ac:dyDescent="0.25">
      <c r="A28" s="8">
        <v>75</v>
      </c>
      <c r="B28" s="17">
        <v>79</v>
      </c>
      <c r="C28" s="17">
        <v>78</v>
      </c>
      <c r="D28" s="124"/>
      <c r="E28" s="124"/>
    </row>
    <row r="29" spans="1:5" x14ac:dyDescent="0.25">
      <c r="A29" s="8">
        <v>74</v>
      </c>
      <c r="B29" s="17">
        <v>79</v>
      </c>
      <c r="C29" s="17">
        <v>77</v>
      </c>
      <c r="D29" s="124"/>
      <c r="E29" s="124"/>
    </row>
    <row r="30" spans="1:5" x14ac:dyDescent="0.25">
      <c r="A30" s="8">
        <v>73</v>
      </c>
      <c r="B30" s="17">
        <v>79</v>
      </c>
      <c r="C30" s="17">
        <v>77</v>
      </c>
      <c r="D30" s="124"/>
      <c r="E30" s="124"/>
    </row>
    <row r="31" spans="1:5" x14ac:dyDescent="0.25">
      <c r="A31" s="8">
        <v>72</v>
      </c>
      <c r="B31" s="17">
        <v>79</v>
      </c>
      <c r="C31" s="17">
        <v>77</v>
      </c>
      <c r="D31" s="124"/>
      <c r="E31" s="124"/>
    </row>
    <row r="32" spans="1:5" x14ac:dyDescent="0.25">
      <c r="A32" s="8">
        <v>71</v>
      </c>
      <c r="B32" s="17">
        <v>78</v>
      </c>
      <c r="C32" s="17">
        <v>77</v>
      </c>
      <c r="D32" s="124"/>
      <c r="E32" s="124"/>
    </row>
    <row r="33" spans="1:5" x14ac:dyDescent="0.25">
      <c r="A33" s="8">
        <v>70</v>
      </c>
      <c r="B33" s="17">
        <v>78</v>
      </c>
      <c r="C33" s="17">
        <v>77</v>
      </c>
      <c r="D33" s="124"/>
      <c r="E33" s="124"/>
    </row>
    <row r="34" spans="1:5" x14ac:dyDescent="0.25">
      <c r="A34" s="8">
        <v>69</v>
      </c>
      <c r="B34" s="17">
        <v>78</v>
      </c>
      <c r="C34" s="17">
        <v>76</v>
      </c>
      <c r="D34" s="124"/>
      <c r="E34" s="124"/>
    </row>
    <row r="35" spans="1:5" x14ac:dyDescent="0.25">
      <c r="A35" s="8">
        <v>68</v>
      </c>
      <c r="B35" s="17">
        <v>78</v>
      </c>
      <c r="C35" s="17">
        <v>76</v>
      </c>
      <c r="D35" s="124"/>
      <c r="E35" s="124"/>
    </row>
    <row r="36" spans="1:5" x14ac:dyDescent="0.25">
      <c r="A36" s="8">
        <v>67</v>
      </c>
      <c r="B36" s="17">
        <v>78</v>
      </c>
      <c r="C36" s="17">
        <v>76</v>
      </c>
      <c r="D36" s="124"/>
      <c r="E36" s="124"/>
    </row>
    <row r="37" spans="1:5" x14ac:dyDescent="0.25">
      <c r="A37" s="8">
        <v>66</v>
      </c>
      <c r="B37" s="17">
        <v>78</v>
      </c>
      <c r="C37" s="17">
        <v>76</v>
      </c>
      <c r="D37" s="124"/>
      <c r="E37" s="124"/>
    </row>
    <row r="38" spans="1:5" x14ac:dyDescent="0.25">
      <c r="A38" s="8">
        <v>65</v>
      </c>
      <c r="B38" s="17">
        <v>77</v>
      </c>
      <c r="C38" s="17">
        <v>76</v>
      </c>
      <c r="D38" s="124"/>
      <c r="E38" s="124"/>
    </row>
    <row r="39" spans="1:5" x14ac:dyDescent="0.25">
      <c r="A39" s="8">
        <v>64</v>
      </c>
      <c r="B39" s="17">
        <v>77</v>
      </c>
      <c r="C39" s="17">
        <v>75</v>
      </c>
      <c r="D39" s="124"/>
      <c r="E39" s="124"/>
    </row>
    <row r="40" spans="1:5" x14ac:dyDescent="0.25">
      <c r="A40" s="8">
        <v>63</v>
      </c>
      <c r="B40" s="17">
        <v>77</v>
      </c>
      <c r="C40" s="17">
        <v>75</v>
      </c>
      <c r="D40" s="124"/>
      <c r="E40" s="124"/>
    </row>
    <row r="41" spans="1:5" x14ac:dyDescent="0.25">
      <c r="A41" s="8">
        <v>62</v>
      </c>
      <c r="B41" s="17">
        <v>77</v>
      </c>
      <c r="C41" s="17">
        <v>75</v>
      </c>
      <c r="D41" s="124"/>
      <c r="E41" s="124"/>
    </row>
    <row r="42" spans="1:5" x14ac:dyDescent="0.25">
      <c r="A42" s="8">
        <v>61</v>
      </c>
      <c r="B42" s="17">
        <v>77</v>
      </c>
      <c r="C42" s="17">
        <v>75</v>
      </c>
      <c r="D42" s="124"/>
      <c r="E42" s="124"/>
    </row>
    <row r="43" spans="1:5" x14ac:dyDescent="0.25">
      <c r="A43" s="96">
        <v>60</v>
      </c>
      <c r="B43" s="17">
        <v>77</v>
      </c>
      <c r="C43" s="96">
        <v>75</v>
      </c>
      <c r="D43" s="124"/>
    </row>
    <row r="44" spans="1:5" x14ac:dyDescent="0.25">
      <c r="A44" s="8">
        <v>59</v>
      </c>
      <c r="B44" s="17">
        <v>76</v>
      </c>
      <c r="C44" s="17">
        <v>74.75</v>
      </c>
      <c r="D44" s="124"/>
    </row>
    <row r="45" spans="1:5" x14ac:dyDescent="0.25">
      <c r="A45" s="8">
        <v>58</v>
      </c>
      <c r="B45" s="17">
        <v>76</v>
      </c>
      <c r="C45" s="17">
        <v>74.5</v>
      </c>
      <c r="D45" s="124"/>
    </row>
    <row r="46" spans="1:5" x14ac:dyDescent="0.25">
      <c r="A46" s="8">
        <v>57</v>
      </c>
      <c r="B46" s="17">
        <v>76</v>
      </c>
      <c r="C46" s="17">
        <v>74.25</v>
      </c>
      <c r="D46" s="124"/>
    </row>
    <row r="47" spans="1:5" x14ac:dyDescent="0.25">
      <c r="A47" s="8">
        <v>56</v>
      </c>
      <c r="B47" s="17">
        <v>76</v>
      </c>
      <c r="C47" s="17">
        <v>74</v>
      </c>
      <c r="D47" s="124"/>
    </row>
    <row r="48" spans="1:5" x14ac:dyDescent="0.25">
      <c r="A48" s="8">
        <v>55</v>
      </c>
      <c r="B48" s="17">
        <v>76</v>
      </c>
      <c r="C48" s="17">
        <v>73.75</v>
      </c>
      <c r="D48" s="124"/>
    </row>
    <row r="49" spans="1:4" x14ac:dyDescent="0.25">
      <c r="A49" s="8">
        <v>54</v>
      </c>
      <c r="B49" s="17">
        <v>76</v>
      </c>
      <c r="C49" s="17">
        <v>73.5</v>
      </c>
      <c r="D49" s="124"/>
    </row>
    <row r="50" spans="1:4" x14ac:dyDescent="0.25">
      <c r="A50" s="8">
        <v>53</v>
      </c>
      <c r="B50" s="17">
        <v>75</v>
      </c>
      <c r="C50" s="17">
        <v>73.25</v>
      </c>
      <c r="D50" s="124"/>
    </row>
    <row r="51" spans="1:4" x14ac:dyDescent="0.25">
      <c r="A51" s="8">
        <v>52</v>
      </c>
      <c r="B51" s="17">
        <v>75</v>
      </c>
      <c r="C51" s="17">
        <v>73</v>
      </c>
      <c r="D51" s="124"/>
    </row>
    <row r="52" spans="1:4" x14ac:dyDescent="0.25">
      <c r="A52" s="8">
        <v>51</v>
      </c>
      <c r="B52" s="17">
        <v>75</v>
      </c>
      <c r="C52" s="17">
        <v>72.75</v>
      </c>
      <c r="D52" s="124"/>
    </row>
    <row r="53" spans="1:4" x14ac:dyDescent="0.25">
      <c r="A53" s="95">
        <v>50</v>
      </c>
      <c r="B53" s="95">
        <v>75</v>
      </c>
      <c r="C53" s="17">
        <v>72.5</v>
      </c>
    </row>
    <row r="54" spans="1:4" x14ac:dyDescent="0.25">
      <c r="A54" s="8">
        <v>49</v>
      </c>
      <c r="B54" s="17">
        <v>74.7</v>
      </c>
      <c r="C54" s="17">
        <v>72.25</v>
      </c>
    </row>
    <row r="55" spans="1:4" x14ac:dyDescent="0.25">
      <c r="A55" s="8">
        <v>48</v>
      </c>
      <c r="B55" s="17">
        <v>74.400000000000006</v>
      </c>
      <c r="C55" s="17">
        <v>72</v>
      </c>
    </row>
    <row r="56" spans="1:4" x14ac:dyDescent="0.25">
      <c r="A56" s="8">
        <v>47</v>
      </c>
      <c r="B56" s="17">
        <v>74.099999999999994</v>
      </c>
      <c r="C56" s="17">
        <v>71.75</v>
      </c>
    </row>
    <row r="57" spans="1:4" x14ac:dyDescent="0.25">
      <c r="A57" s="8">
        <v>46</v>
      </c>
      <c r="B57" s="17">
        <v>73.8</v>
      </c>
      <c r="C57" s="17">
        <v>71.5</v>
      </c>
    </row>
    <row r="58" spans="1:4" x14ac:dyDescent="0.25">
      <c r="A58" s="8">
        <v>45</v>
      </c>
      <c r="B58" s="17">
        <v>73.5</v>
      </c>
      <c r="C58" s="17">
        <v>71.25</v>
      </c>
    </row>
    <row r="59" spans="1:4" x14ac:dyDescent="0.25">
      <c r="A59" s="8">
        <v>44</v>
      </c>
      <c r="B59" s="17">
        <v>73.2</v>
      </c>
      <c r="C59" s="17">
        <v>71</v>
      </c>
    </row>
    <row r="60" spans="1:4" x14ac:dyDescent="0.25">
      <c r="A60" s="8">
        <v>43</v>
      </c>
      <c r="B60" s="17">
        <v>72.900000000000006</v>
      </c>
      <c r="C60" s="17">
        <v>70.75</v>
      </c>
    </row>
    <row r="61" spans="1:4" x14ac:dyDescent="0.25">
      <c r="A61" s="8">
        <v>42</v>
      </c>
      <c r="B61" s="17">
        <v>72.599999999999994</v>
      </c>
      <c r="C61" s="17">
        <v>70.5</v>
      </c>
    </row>
    <row r="62" spans="1:4" x14ac:dyDescent="0.25">
      <c r="A62" s="8">
        <v>41</v>
      </c>
      <c r="B62" s="17">
        <v>72.3</v>
      </c>
      <c r="C62" s="17">
        <v>70.25</v>
      </c>
    </row>
    <row r="63" spans="1:4" x14ac:dyDescent="0.25">
      <c r="A63" s="8">
        <v>40</v>
      </c>
      <c r="B63" s="17">
        <v>72</v>
      </c>
      <c r="C63" s="17">
        <v>70</v>
      </c>
    </row>
    <row r="64" spans="1:4" x14ac:dyDescent="0.25">
      <c r="A64" s="8">
        <v>39</v>
      </c>
      <c r="B64" s="17">
        <v>71.7</v>
      </c>
      <c r="C64" s="17">
        <v>69.75</v>
      </c>
    </row>
    <row r="65" spans="1:3" x14ac:dyDescent="0.25">
      <c r="A65" s="8">
        <v>38</v>
      </c>
      <c r="B65" s="17">
        <v>71.400000000000006</v>
      </c>
      <c r="C65" s="17">
        <v>69.5</v>
      </c>
    </row>
    <row r="66" spans="1:3" x14ac:dyDescent="0.25">
      <c r="A66" s="8">
        <v>37</v>
      </c>
      <c r="B66" s="17">
        <v>71.099999999999994</v>
      </c>
      <c r="C66" s="17">
        <v>69.25</v>
      </c>
    </row>
    <row r="67" spans="1:3" x14ac:dyDescent="0.25">
      <c r="A67" s="8">
        <v>36</v>
      </c>
      <c r="B67" s="17">
        <v>70.8</v>
      </c>
      <c r="C67" s="17">
        <v>69</v>
      </c>
    </row>
    <row r="68" spans="1:3" x14ac:dyDescent="0.25">
      <c r="A68" s="8">
        <v>35</v>
      </c>
      <c r="B68" s="17">
        <v>70.5</v>
      </c>
      <c r="C68" s="17">
        <v>68.75</v>
      </c>
    </row>
    <row r="69" spans="1:3" x14ac:dyDescent="0.25">
      <c r="A69" s="8">
        <v>34</v>
      </c>
      <c r="B69" s="17">
        <v>70.2</v>
      </c>
      <c r="C69" s="17">
        <v>68.5</v>
      </c>
    </row>
    <row r="70" spans="1:3" x14ac:dyDescent="0.25">
      <c r="A70" s="8">
        <v>33</v>
      </c>
      <c r="B70" s="17">
        <v>69.900000000000006</v>
      </c>
      <c r="C70" s="17">
        <v>68.25</v>
      </c>
    </row>
    <row r="71" spans="1:3" x14ac:dyDescent="0.25">
      <c r="A71" s="8">
        <v>32</v>
      </c>
      <c r="B71" s="17">
        <v>69.599999999999994</v>
      </c>
      <c r="C71" s="17">
        <v>68</v>
      </c>
    </row>
    <row r="72" spans="1:3" x14ac:dyDescent="0.25">
      <c r="A72" s="8">
        <v>31</v>
      </c>
      <c r="B72" s="17">
        <v>69.3</v>
      </c>
      <c r="C72" s="17">
        <v>67.75</v>
      </c>
    </row>
    <row r="73" spans="1:3" x14ac:dyDescent="0.25">
      <c r="A73" s="8">
        <v>30</v>
      </c>
      <c r="B73" s="17">
        <v>69</v>
      </c>
      <c r="C73" s="17">
        <v>67.5</v>
      </c>
    </row>
    <row r="74" spans="1:3" x14ac:dyDescent="0.25">
      <c r="A74" s="8">
        <v>29</v>
      </c>
      <c r="B74" s="17">
        <v>68.7</v>
      </c>
      <c r="C74" s="17">
        <v>67.25</v>
      </c>
    </row>
    <row r="75" spans="1:3" x14ac:dyDescent="0.25">
      <c r="A75" s="8">
        <v>28</v>
      </c>
      <c r="B75" s="17">
        <v>68.400000000000006</v>
      </c>
      <c r="C75" s="17">
        <v>67</v>
      </c>
    </row>
    <row r="76" spans="1:3" x14ac:dyDescent="0.25">
      <c r="A76" s="8">
        <v>27</v>
      </c>
      <c r="B76" s="17">
        <v>68.099999999999994</v>
      </c>
      <c r="C76" s="17">
        <v>66.75</v>
      </c>
    </row>
    <row r="77" spans="1:3" x14ac:dyDescent="0.25">
      <c r="A77" s="8">
        <v>26</v>
      </c>
      <c r="B77" s="17">
        <v>67.8</v>
      </c>
      <c r="C77" s="17">
        <v>66.5</v>
      </c>
    </row>
    <row r="78" spans="1:3" x14ac:dyDescent="0.25">
      <c r="A78" s="8">
        <v>25</v>
      </c>
      <c r="B78" s="17">
        <v>67.5</v>
      </c>
      <c r="C78" s="17">
        <v>66.25</v>
      </c>
    </row>
    <row r="79" spans="1:3" x14ac:dyDescent="0.25">
      <c r="A79" s="8">
        <v>24</v>
      </c>
      <c r="B79" s="17">
        <v>67.2</v>
      </c>
      <c r="C79" s="17">
        <v>66</v>
      </c>
    </row>
    <row r="80" spans="1:3" x14ac:dyDescent="0.25">
      <c r="A80" s="8">
        <v>23</v>
      </c>
      <c r="B80" s="17">
        <v>66.900000000000006</v>
      </c>
      <c r="C80" s="17">
        <v>65.75</v>
      </c>
    </row>
    <row r="81" spans="1:3" x14ac:dyDescent="0.25">
      <c r="A81" s="8">
        <v>22</v>
      </c>
      <c r="B81" s="17">
        <v>66.599999999999994</v>
      </c>
      <c r="C81" s="17">
        <v>65.5</v>
      </c>
    </row>
    <row r="82" spans="1:3" x14ac:dyDescent="0.25">
      <c r="A82" s="8">
        <v>21</v>
      </c>
      <c r="B82" s="17">
        <v>66.3</v>
      </c>
      <c r="C82" s="17">
        <v>65.25</v>
      </c>
    </row>
    <row r="83" spans="1:3" x14ac:dyDescent="0.25">
      <c r="A83" s="8">
        <v>20</v>
      </c>
      <c r="B83" s="17">
        <v>66</v>
      </c>
      <c r="C83" s="17">
        <v>65</v>
      </c>
    </row>
    <row r="84" spans="1:3" x14ac:dyDescent="0.25">
      <c r="A84" s="8">
        <v>19</v>
      </c>
      <c r="B84" s="17">
        <v>65.7</v>
      </c>
      <c r="C84" s="17">
        <v>64.75</v>
      </c>
    </row>
    <row r="85" spans="1:3" x14ac:dyDescent="0.25">
      <c r="A85" s="8">
        <v>18</v>
      </c>
      <c r="B85" s="17">
        <v>65.400000000000006</v>
      </c>
      <c r="C85" s="17">
        <v>64.5</v>
      </c>
    </row>
    <row r="86" spans="1:3" x14ac:dyDescent="0.25">
      <c r="A86" s="8">
        <v>17</v>
      </c>
      <c r="B86" s="17">
        <v>65.099999999999994</v>
      </c>
      <c r="C86" s="17">
        <v>64.25</v>
      </c>
    </row>
    <row r="87" spans="1:3" x14ac:dyDescent="0.25">
      <c r="A87" s="8">
        <v>16</v>
      </c>
      <c r="B87" s="17">
        <v>64.8</v>
      </c>
      <c r="C87" s="17">
        <v>64</v>
      </c>
    </row>
    <row r="88" spans="1:3" x14ac:dyDescent="0.25">
      <c r="A88" s="8">
        <v>15</v>
      </c>
      <c r="B88" s="17">
        <v>64.5</v>
      </c>
      <c r="C88" s="17">
        <v>63.75</v>
      </c>
    </row>
    <row r="89" spans="1:3" x14ac:dyDescent="0.25">
      <c r="A89" s="8">
        <v>14</v>
      </c>
      <c r="B89" s="17">
        <v>64.2</v>
      </c>
      <c r="C89" s="17">
        <v>63.5</v>
      </c>
    </row>
    <row r="90" spans="1:3" x14ac:dyDescent="0.25">
      <c r="A90" s="8">
        <v>13</v>
      </c>
      <c r="B90" s="17">
        <v>63.9</v>
      </c>
      <c r="C90" s="17">
        <v>63.25</v>
      </c>
    </row>
    <row r="91" spans="1:3" x14ac:dyDescent="0.25">
      <c r="A91" s="8">
        <v>12</v>
      </c>
      <c r="B91" s="17">
        <v>63.6</v>
      </c>
      <c r="C91" s="17">
        <v>63</v>
      </c>
    </row>
    <row r="92" spans="1:3" x14ac:dyDescent="0.25">
      <c r="A92" s="8">
        <v>11</v>
      </c>
      <c r="B92" s="17">
        <v>63.3</v>
      </c>
      <c r="C92" s="17">
        <v>62.75</v>
      </c>
    </row>
    <row r="93" spans="1:3" x14ac:dyDescent="0.25">
      <c r="A93" s="8">
        <v>10</v>
      </c>
      <c r="B93" s="17">
        <v>63</v>
      </c>
      <c r="C93" s="17">
        <v>62.5</v>
      </c>
    </row>
    <row r="94" spans="1:3" x14ac:dyDescent="0.25">
      <c r="A94" s="8">
        <v>9</v>
      </c>
      <c r="B94" s="17">
        <v>62.7</v>
      </c>
      <c r="C94" s="17">
        <v>62.25</v>
      </c>
    </row>
    <row r="95" spans="1:3" x14ac:dyDescent="0.25">
      <c r="A95" s="8">
        <v>8</v>
      </c>
      <c r="B95" s="17">
        <v>62.4</v>
      </c>
      <c r="C95" s="17">
        <v>62</v>
      </c>
    </row>
    <row r="96" spans="1:3" x14ac:dyDescent="0.25">
      <c r="A96" s="8">
        <v>7</v>
      </c>
      <c r="B96" s="17">
        <v>62.1</v>
      </c>
      <c r="C96" s="17">
        <v>61.75</v>
      </c>
    </row>
    <row r="97" spans="1:3" x14ac:dyDescent="0.25">
      <c r="A97" s="8">
        <v>6</v>
      </c>
      <c r="B97" s="17">
        <v>61.8</v>
      </c>
      <c r="C97" s="17">
        <v>61.5</v>
      </c>
    </row>
    <row r="98" spans="1:3" x14ac:dyDescent="0.25">
      <c r="A98" s="8">
        <v>5</v>
      </c>
      <c r="B98" s="17">
        <v>61.5</v>
      </c>
      <c r="C98" s="17">
        <v>61.25</v>
      </c>
    </row>
    <row r="99" spans="1:3" x14ac:dyDescent="0.25">
      <c r="A99" s="8">
        <v>4</v>
      </c>
      <c r="B99" s="17">
        <v>61.2</v>
      </c>
      <c r="C99" s="17">
        <v>61</v>
      </c>
    </row>
    <row r="100" spans="1:3" x14ac:dyDescent="0.25">
      <c r="A100" s="8">
        <v>3</v>
      </c>
      <c r="B100" s="17">
        <v>60.9</v>
      </c>
      <c r="C100" s="17">
        <v>60.75</v>
      </c>
    </row>
    <row r="101" spans="1:3" x14ac:dyDescent="0.25">
      <c r="A101" s="8">
        <v>2</v>
      </c>
      <c r="B101" s="17">
        <v>60.6</v>
      </c>
      <c r="C101" s="17">
        <v>60.5</v>
      </c>
    </row>
    <row r="102" spans="1:3" x14ac:dyDescent="0.25">
      <c r="A102" s="8">
        <v>1</v>
      </c>
      <c r="B102" s="17">
        <v>60.3</v>
      </c>
      <c r="C102" s="17">
        <v>60.25</v>
      </c>
    </row>
    <row r="103" spans="1:3" x14ac:dyDescent="0.25">
      <c r="A103" s="8">
        <v>0</v>
      </c>
      <c r="B103" s="17">
        <v>60</v>
      </c>
      <c r="C103" s="17">
        <v>60</v>
      </c>
    </row>
  </sheetData>
  <sheetProtection algorithmName="SHA-512" hashValue="Zb1m3wqxGp+jRpK0KT9zJiCLJ5j4KPvZ/5kM2cJGCWuhURDeCs2y4QbXk7BJMLohm+oz+zw+4o1BZsm9EFuxvw==" saltValue="4kqud8w/1xfn97G8uJFjpw==" spinCount="100000" sheet="1" objects="1" scenarios="1"/>
  <mergeCells count="1">
    <mergeCell ref="A1:C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E34A-BE37-4567-B65F-1F65361CAC34}">
  <sheetPr codeName="Sheet14"/>
  <dimension ref="A1:E103"/>
  <sheetViews>
    <sheetView topLeftCell="A22" workbookViewId="0">
      <selection activeCell="B36" sqref="B36"/>
    </sheetView>
  </sheetViews>
  <sheetFormatPr defaultColWidth="0" defaultRowHeight="15" zeroHeight="1" x14ac:dyDescent="0.25"/>
  <cols>
    <col min="1" max="1" width="11.5703125" customWidth="1"/>
    <col min="2" max="2" width="17.7109375" customWidth="1"/>
    <col min="3" max="3" width="14.28515625" style="1" customWidth="1"/>
    <col min="4" max="16384" width="9.140625" hidden="1"/>
  </cols>
  <sheetData>
    <row r="1" spans="1:5" x14ac:dyDescent="0.25">
      <c r="A1" s="297" t="s">
        <v>108</v>
      </c>
      <c r="B1" s="298"/>
      <c r="C1" s="298"/>
    </row>
    <row r="2" spans="1:5" x14ac:dyDescent="0.25">
      <c r="A2" s="36" t="s">
        <v>41</v>
      </c>
      <c r="B2" s="35" t="s">
        <v>109</v>
      </c>
      <c r="C2" s="34" t="s">
        <v>110</v>
      </c>
    </row>
    <row r="3" spans="1:5" x14ac:dyDescent="0.25">
      <c r="A3" s="8">
        <v>100</v>
      </c>
      <c r="B3" s="122">
        <v>100</v>
      </c>
      <c r="C3" s="8">
        <v>100</v>
      </c>
    </row>
    <row r="4" spans="1:5" x14ac:dyDescent="0.25">
      <c r="A4" s="8">
        <v>99</v>
      </c>
      <c r="B4" s="17">
        <v>99.5</v>
      </c>
      <c r="C4" s="17">
        <v>99.375</v>
      </c>
      <c r="D4" s="124"/>
      <c r="E4" s="124"/>
    </row>
    <row r="5" spans="1:5" x14ac:dyDescent="0.25">
      <c r="A5" s="8">
        <v>98</v>
      </c>
      <c r="B5" s="17">
        <v>99</v>
      </c>
      <c r="C5" s="17">
        <v>98.75</v>
      </c>
      <c r="D5" s="124"/>
      <c r="E5" s="124"/>
    </row>
    <row r="6" spans="1:5" x14ac:dyDescent="0.25">
      <c r="A6" s="8">
        <v>97</v>
      </c>
      <c r="B6" s="17">
        <v>98.5</v>
      </c>
      <c r="C6" s="17">
        <v>98.125</v>
      </c>
      <c r="D6" s="124"/>
      <c r="E6" s="124"/>
    </row>
    <row r="7" spans="1:5" x14ac:dyDescent="0.25">
      <c r="A7" s="8">
        <v>96</v>
      </c>
      <c r="B7" s="17">
        <v>98</v>
      </c>
      <c r="C7" s="17">
        <v>97.5</v>
      </c>
      <c r="D7" s="124"/>
      <c r="E7" s="124"/>
    </row>
    <row r="8" spans="1:5" x14ac:dyDescent="0.25">
      <c r="A8" s="8">
        <v>95</v>
      </c>
      <c r="B8" s="17">
        <v>97.5</v>
      </c>
      <c r="C8" s="17">
        <v>96.875</v>
      </c>
      <c r="D8" s="124"/>
      <c r="E8" s="124"/>
    </row>
    <row r="9" spans="1:5" x14ac:dyDescent="0.25">
      <c r="A9" s="8">
        <v>94</v>
      </c>
      <c r="B9" s="17">
        <v>97</v>
      </c>
      <c r="C9" s="17">
        <v>96.25</v>
      </c>
      <c r="D9" s="124"/>
      <c r="E9" s="124"/>
    </row>
    <row r="10" spans="1:5" x14ac:dyDescent="0.25">
      <c r="A10" s="8">
        <v>93</v>
      </c>
      <c r="B10" s="17">
        <v>96.5</v>
      </c>
      <c r="C10" s="17">
        <v>95.625</v>
      </c>
      <c r="D10" s="124"/>
      <c r="E10" s="124"/>
    </row>
    <row r="11" spans="1:5" x14ac:dyDescent="0.25">
      <c r="A11" s="8">
        <v>92</v>
      </c>
      <c r="B11" s="17">
        <v>96</v>
      </c>
      <c r="C11" s="17">
        <v>95</v>
      </c>
      <c r="D11" s="124"/>
      <c r="E11" s="124"/>
    </row>
    <row r="12" spans="1:5" x14ac:dyDescent="0.25">
      <c r="A12" s="8">
        <v>91</v>
      </c>
      <c r="B12" s="17">
        <v>95.5</v>
      </c>
      <c r="C12" s="17">
        <v>94.375</v>
      </c>
      <c r="D12" s="124"/>
      <c r="E12" s="124"/>
    </row>
    <row r="13" spans="1:5" x14ac:dyDescent="0.25">
      <c r="A13" s="8">
        <v>90</v>
      </c>
      <c r="B13" s="17">
        <v>95</v>
      </c>
      <c r="C13" s="17">
        <v>93.75</v>
      </c>
      <c r="D13" s="124"/>
      <c r="E13" s="124"/>
    </row>
    <row r="14" spans="1:5" x14ac:dyDescent="0.25">
      <c r="A14" s="8">
        <v>89</v>
      </c>
      <c r="B14" s="17">
        <v>94.5</v>
      </c>
      <c r="C14" s="17">
        <v>93.125</v>
      </c>
      <c r="D14" s="124"/>
      <c r="E14" s="124"/>
    </row>
    <row r="15" spans="1:5" x14ac:dyDescent="0.25">
      <c r="A15" s="8">
        <v>88</v>
      </c>
      <c r="B15" s="17">
        <v>94</v>
      </c>
      <c r="C15" s="17">
        <v>92.5</v>
      </c>
      <c r="D15" s="124"/>
      <c r="E15" s="124"/>
    </row>
    <row r="16" spans="1:5" x14ac:dyDescent="0.25">
      <c r="A16" s="8">
        <v>87</v>
      </c>
      <c r="B16" s="17">
        <v>93.5</v>
      </c>
      <c r="C16" s="17">
        <v>91.875</v>
      </c>
      <c r="D16" s="124"/>
      <c r="E16" s="124"/>
    </row>
    <row r="17" spans="1:5" x14ac:dyDescent="0.25">
      <c r="A17" s="8">
        <v>86</v>
      </c>
      <c r="B17" s="17">
        <v>93</v>
      </c>
      <c r="C17" s="17">
        <v>91.25</v>
      </c>
      <c r="D17" s="124"/>
      <c r="E17" s="124"/>
    </row>
    <row r="18" spans="1:5" x14ac:dyDescent="0.25">
      <c r="A18" s="8">
        <v>85</v>
      </c>
      <c r="B18" s="17">
        <v>92.5</v>
      </c>
      <c r="C18" s="17">
        <v>90.625</v>
      </c>
      <c r="D18" s="124"/>
      <c r="E18" s="124"/>
    </row>
    <row r="19" spans="1:5" x14ac:dyDescent="0.25">
      <c r="A19" s="8">
        <v>84</v>
      </c>
      <c r="B19" s="17">
        <v>92</v>
      </c>
      <c r="C19" s="17">
        <v>90</v>
      </c>
      <c r="D19" s="124"/>
      <c r="E19" s="124"/>
    </row>
    <row r="20" spans="1:5" x14ac:dyDescent="0.25">
      <c r="A20" s="8">
        <v>83</v>
      </c>
      <c r="B20" s="17">
        <v>91.5</v>
      </c>
      <c r="C20" s="17">
        <v>89.375</v>
      </c>
      <c r="D20" s="124"/>
      <c r="E20" s="124"/>
    </row>
    <row r="21" spans="1:5" x14ac:dyDescent="0.25">
      <c r="A21" s="8">
        <v>82</v>
      </c>
      <c r="B21" s="17">
        <v>91</v>
      </c>
      <c r="C21" s="17">
        <v>88.75</v>
      </c>
      <c r="D21" s="124"/>
      <c r="E21" s="124"/>
    </row>
    <row r="22" spans="1:5" x14ac:dyDescent="0.25">
      <c r="A22" s="8">
        <v>81</v>
      </c>
      <c r="B22" s="17">
        <v>90.5</v>
      </c>
      <c r="C22" s="17">
        <v>88.125</v>
      </c>
      <c r="D22" s="124"/>
      <c r="E22" s="124"/>
    </row>
    <row r="23" spans="1:5" x14ac:dyDescent="0.25">
      <c r="A23" s="8">
        <v>80</v>
      </c>
      <c r="B23" s="17">
        <v>90</v>
      </c>
      <c r="C23" s="17">
        <v>87.5</v>
      </c>
      <c r="D23" s="124"/>
      <c r="E23" s="124"/>
    </row>
    <row r="24" spans="1:5" x14ac:dyDescent="0.25">
      <c r="A24" s="8">
        <v>79</v>
      </c>
      <c r="B24" s="17">
        <v>89.5</v>
      </c>
      <c r="C24" s="17">
        <v>86.875</v>
      </c>
      <c r="D24" s="124"/>
      <c r="E24" s="124"/>
    </row>
    <row r="25" spans="1:5" x14ac:dyDescent="0.25">
      <c r="A25" s="8">
        <v>78</v>
      </c>
      <c r="B25" s="17">
        <v>89</v>
      </c>
      <c r="C25" s="17">
        <v>86.25</v>
      </c>
      <c r="D25" s="124"/>
      <c r="E25" s="124"/>
    </row>
    <row r="26" spans="1:5" x14ac:dyDescent="0.25">
      <c r="A26" s="8">
        <v>77</v>
      </c>
      <c r="B26" s="17">
        <v>88.5</v>
      </c>
      <c r="C26" s="17">
        <v>85.625</v>
      </c>
      <c r="D26" s="124"/>
      <c r="E26" s="124"/>
    </row>
    <row r="27" spans="1:5" x14ac:dyDescent="0.25">
      <c r="A27" s="8">
        <v>76</v>
      </c>
      <c r="B27" s="17">
        <v>88</v>
      </c>
      <c r="C27" s="17">
        <v>85</v>
      </c>
      <c r="D27" s="124"/>
      <c r="E27" s="124"/>
    </row>
    <row r="28" spans="1:5" x14ac:dyDescent="0.25">
      <c r="A28" s="8">
        <v>75</v>
      </c>
      <c r="B28" s="17">
        <v>87.5</v>
      </c>
      <c r="C28" s="17">
        <v>84.375</v>
      </c>
      <c r="D28" s="124"/>
      <c r="E28" s="124"/>
    </row>
    <row r="29" spans="1:5" x14ac:dyDescent="0.25">
      <c r="A29" s="8">
        <v>74</v>
      </c>
      <c r="B29" s="17">
        <v>87</v>
      </c>
      <c r="C29" s="17">
        <v>83.75</v>
      </c>
      <c r="D29" s="124"/>
      <c r="E29" s="124"/>
    </row>
    <row r="30" spans="1:5" x14ac:dyDescent="0.25">
      <c r="A30" s="8">
        <v>73</v>
      </c>
      <c r="B30" s="17">
        <v>87</v>
      </c>
      <c r="C30" s="17">
        <v>83.125</v>
      </c>
      <c r="D30" s="124"/>
      <c r="E30" s="124"/>
    </row>
    <row r="31" spans="1:5" x14ac:dyDescent="0.25">
      <c r="A31" s="8">
        <v>72</v>
      </c>
      <c r="B31" s="17">
        <v>86</v>
      </c>
      <c r="C31" s="17">
        <v>82.5</v>
      </c>
      <c r="D31" s="124"/>
      <c r="E31" s="124"/>
    </row>
    <row r="32" spans="1:5" x14ac:dyDescent="0.25">
      <c r="A32" s="8">
        <v>71</v>
      </c>
      <c r="B32" s="17">
        <v>85.5</v>
      </c>
      <c r="C32" s="17">
        <v>81.875</v>
      </c>
      <c r="D32" s="124"/>
      <c r="E32" s="124"/>
    </row>
    <row r="33" spans="1:5" x14ac:dyDescent="0.25">
      <c r="A33" s="8">
        <v>70</v>
      </c>
      <c r="B33" s="17">
        <v>85</v>
      </c>
      <c r="C33" s="17">
        <v>81.25</v>
      </c>
      <c r="D33" s="124"/>
      <c r="E33" s="124"/>
    </row>
    <row r="34" spans="1:5" x14ac:dyDescent="0.25">
      <c r="A34" s="8">
        <v>69</v>
      </c>
      <c r="B34" s="17">
        <v>84.5</v>
      </c>
      <c r="C34" s="17">
        <v>80.625</v>
      </c>
      <c r="D34" s="124"/>
      <c r="E34" s="124"/>
    </row>
    <row r="35" spans="1:5" x14ac:dyDescent="0.25">
      <c r="A35" s="8">
        <v>68</v>
      </c>
      <c r="B35" s="17">
        <v>84</v>
      </c>
      <c r="C35" s="17">
        <v>80</v>
      </c>
      <c r="D35" s="124"/>
      <c r="E35" s="124"/>
    </row>
    <row r="36" spans="1:5" x14ac:dyDescent="0.25">
      <c r="A36" s="8">
        <v>67</v>
      </c>
      <c r="B36" s="17">
        <v>83.5</v>
      </c>
      <c r="C36" s="17">
        <v>79.375</v>
      </c>
      <c r="D36" s="124"/>
      <c r="E36" s="124"/>
    </row>
    <row r="37" spans="1:5" x14ac:dyDescent="0.25">
      <c r="A37" s="8">
        <v>66</v>
      </c>
      <c r="B37" s="17">
        <v>83</v>
      </c>
      <c r="C37" s="17">
        <v>78.75</v>
      </c>
      <c r="D37" s="124"/>
      <c r="E37" s="124"/>
    </row>
    <row r="38" spans="1:5" x14ac:dyDescent="0.25">
      <c r="A38" s="8">
        <v>65</v>
      </c>
      <c r="B38" s="17">
        <v>82.5</v>
      </c>
      <c r="C38" s="17">
        <v>78.125</v>
      </c>
      <c r="D38" s="124"/>
      <c r="E38" s="124"/>
    </row>
    <row r="39" spans="1:5" x14ac:dyDescent="0.25">
      <c r="A39" s="8">
        <v>64</v>
      </c>
      <c r="B39" s="17">
        <v>82</v>
      </c>
      <c r="C39" s="17">
        <v>77.5</v>
      </c>
      <c r="D39" s="124"/>
      <c r="E39" s="124"/>
    </row>
    <row r="40" spans="1:5" x14ac:dyDescent="0.25">
      <c r="A40" s="8">
        <v>63</v>
      </c>
      <c r="B40" s="17">
        <v>81.5</v>
      </c>
      <c r="C40" s="17">
        <v>76.875</v>
      </c>
      <c r="D40" s="124"/>
      <c r="E40" s="124"/>
    </row>
    <row r="41" spans="1:5" x14ac:dyDescent="0.25">
      <c r="A41" s="8">
        <v>62</v>
      </c>
      <c r="B41" s="17">
        <v>81</v>
      </c>
      <c r="C41" s="17">
        <v>76.25</v>
      </c>
      <c r="D41" s="124"/>
      <c r="E41" s="124"/>
    </row>
    <row r="42" spans="1:5" x14ac:dyDescent="0.25">
      <c r="A42" s="8">
        <v>61</v>
      </c>
      <c r="B42" s="17">
        <v>80.5</v>
      </c>
      <c r="C42" s="17">
        <v>75.625</v>
      </c>
      <c r="D42" s="124"/>
      <c r="E42" s="124"/>
    </row>
    <row r="43" spans="1:5" x14ac:dyDescent="0.25">
      <c r="A43" s="96">
        <v>60</v>
      </c>
      <c r="B43" s="17">
        <v>80</v>
      </c>
      <c r="C43" s="96">
        <v>75</v>
      </c>
      <c r="D43" s="124"/>
    </row>
    <row r="44" spans="1:5" x14ac:dyDescent="0.25">
      <c r="A44" s="8">
        <v>59</v>
      </c>
      <c r="B44" s="17">
        <v>79.5</v>
      </c>
      <c r="C44" s="17">
        <v>74.75</v>
      </c>
      <c r="D44" s="124"/>
    </row>
    <row r="45" spans="1:5" x14ac:dyDescent="0.25">
      <c r="A45" s="8">
        <v>58</v>
      </c>
      <c r="B45" s="17">
        <v>79</v>
      </c>
      <c r="C45" s="17">
        <v>74.5</v>
      </c>
      <c r="D45" s="124"/>
    </row>
    <row r="46" spans="1:5" x14ac:dyDescent="0.25">
      <c r="A46" s="8">
        <v>57</v>
      </c>
      <c r="B46" s="17">
        <v>78.5</v>
      </c>
      <c r="C46" s="17">
        <v>74.25</v>
      </c>
      <c r="D46" s="124"/>
    </row>
    <row r="47" spans="1:5" x14ac:dyDescent="0.25">
      <c r="A47" s="8">
        <v>56</v>
      </c>
      <c r="B47" s="17">
        <v>78</v>
      </c>
      <c r="C47" s="17">
        <v>74</v>
      </c>
      <c r="D47" s="124"/>
    </row>
    <row r="48" spans="1:5" x14ac:dyDescent="0.25">
      <c r="A48" s="8">
        <v>55</v>
      </c>
      <c r="B48" s="17">
        <v>77.5</v>
      </c>
      <c r="C48" s="17">
        <v>73.75</v>
      </c>
      <c r="D48" s="124"/>
    </row>
    <row r="49" spans="1:4" x14ac:dyDescent="0.25">
      <c r="A49" s="8">
        <v>54</v>
      </c>
      <c r="B49" s="17">
        <v>77</v>
      </c>
      <c r="C49" s="17">
        <v>73.5</v>
      </c>
      <c r="D49" s="124"/>
    </row>
    <row r="50" spans="1:4" x14ac:dyDescent="0.25">
      <c r="A50" s="8">
        <v>53</v>
      </c>
      <c r="B50" s="17">
        <v>76.5</v>
      </c>
      <c r="C50" s="17">
        <v>73.25</v>
      </c>
      <c r="D50" s="124"/>
    </row>
    <row r="51" spans="1:4" x14ac:dyDescent="0.25">
      <c r="A51" s="8">
        <v>52</v>
      </c>
      <c r="B51" s="17">
        <v>76</v>
      </c>
      <c r="C51" s="17">
        <v>73</v>
      </c>
      <c r="D51" s="124"/>
    </row>
    <row r="52" spans="1:4" x14ac:dyDescent="0.25">
      <c r="A52" s="8">
        <v>51</v>
      </c>
      <c r="B52" s="17">
        <v>75.5</v>
      </c>
      <c r="C52" s="17">
        <v>72.75</v>
      </c>
      <c r="D52" s="124"/>
    </row>
    <row r="53" spans="1:4" x14ac:dyDescent="0.25">
      <c r="A53" s="95">
        <v>50</v>
      </c>
      <c r="B53" s="95">
        <v>75</v>
      </c>
      <c r="C53" s="17">
        <v>72.5</v>
      </c>
    </row>
    <row r="54" spans="1:4" x14ac:dyDescent="0.25">
      <c r="A54" s="8">
        <v>49</v>
      </c>
      <c r="B54" s="17">
        <v>74.7</v>
      </c>
      <c r="C54" s="17">
        <v>72.25</v>
      </c>
    </row>
    <row r="55" spans="1:4" x14ac:dyDescent="0.25">
      <c r="A55" s="8">
        <v>48</v>
      </c>
      <c r="B55" s="17">
        <v>74.400000000000006</v>
      </c>
      <c r="C55" s="17">
        <v>72</v>
      </c>
    </row>
    <row r="56" spans="1:4" x14ac:dyDescent="0.25">
      <c r="A56" s="8">
        <v>47</v>
      </c>
      <c r="B56" s="17">
        <v>74.099999999999994</v>
      </c>
      <c r="C56" s="17">
        <v>71.75</v>
      </c>
    </row>
    <row r="57" spans="1:4" x14ac:dyDescent="0.25">
      <c r="A57" s="8">
        <v>46</v>
      </c>
      <c r="B57" s="17">
        <v>73.8</v>
      </c>
      <c r="C57" s="17">
        <v>71.5</v>
      </c>
    </row>
    <row r="58" spans="1:4" x14ac:dyDescent="0.25">
      <c r="A58" s="8">
        <v>45</v>
      </c>
      <c r="B58" s="17">
        <v>73.5</v>
      </c>
      <c r="C58" s="17">
        <v>71.25</v>
      </c>
    </row>
    <row r="59" spans="1:4" x14ac:dyDescent="0.25">
      <c r="A59" s="8">
        <v>44</v>
      </c>
      <c r="B59" s="17">
        <v>73.2</v>
      </c>
      <c r="C59" s="17">
        <v>71</v>
      </c>
    </row>
    <row r="60" spans="1:4" x14ac:dyDescent="0.25">
      <c r="A60" s="8">
        <v>43</v>
      </c>
      <c r="B60" s="17">
        <v>72.900000000000006</v>
      </c>
      <c r="C60" s="17">
        <v>70.75</v>
      </c>
    </row>
    <row r="61" spans="1:4" x14ac:dyDescent="0.25">
      <c r="A61" s="8">
        <v>42</v>
      </c>
      <c r="B61" s="17">
        <v>72.599999999999994</v>
      </c>
      <c r="C61" s="17">
        <v>70.5</v>
      </c>
    </row>
    <row r="62" spans="1:4" x14ac:dyDescent="0.25">
      <c r="A62" s="8">
        <v>41</v>
      </c>
      <c r="B62" s="17">
        <v>72.3</v>
      </c>
      <c r="C62" s="17">
        <v>70.25</v>
      </c>
    </row>
    <row r="63" spans="1:4" x14ac:dyDescent="0.25">
      <c r="A63" s="8">
        <v>40</v>
      </c>
      <c r="B63" s="17">
        <v>72</v>
      </c>
      <c r="C63" s="17">
        <v>70</v>
      </c>
    </row>
    <row r="64" spans="1:4" x14ac:dyDescent="0.25">
      <c r="A64" s="8">
        <v>39</v>
      </c>
      <c r="B64" s="17">
        <v>71.7</v>
      </c>
      <c r="C64" s="17">
        <v>69.75</v>
      </c>
    </row>
    <row r="65" spans="1:3" x14ac:dyDescent="0.25">
      <c r="A65" s="8">
        <v>38</v>
      </c>
      <c r="B65" s="17">
        <v>71.400000000000006</v>
      </c>
      <c r="C65" s="17">
        <v>69.5</v>
      </c>
    </row>
    <row r="66" spans="1:3" x14ac:dyDescent="0.25">
      <c r="A66" s="8">
        <v>37</v>
      </c>
      <c r="B66" s="17">
        <v>71.099999999999994</v>
      </c>
      <c r="C66" s="17">
        <v>69.25</v>
      </c>
    </row>
    <row r="67" spans="1:3" x14ac:dyDescent="0.25">
      <c r="A67" s="8">
        <v>36</v>
      </c>
      <c r="B67" s="17">
        <v>70.8</v>
      </c>
      <c r="C67" s="17">
        <v>69</v>
      </c>
    </row>
    <row r="68" spans="1:3" x14ac:dyDescent="0.25">
      <c r="A68" s="8">
        <v>35</v>
      </c>
      <c r="B68" s="17">
        <v>70.5</v>
      </c>
      <c r="C68" s="17">
        <v>68.75</v>
      </c>
    </row>
    <row r="69" spans="1:3" x14ac:dyDescent="0.25">
      <c r="A69" s="8">
        <v>34</v>
      </c>
      <c r="B69" s="17">
        <v>70.2</v>
      </c>
      <c r="C69" s="17">
        <v>68.5</v>
      </c>
    </row>
    <row r="70" spans="1:3" x14ac:dyDescent="0.25">
      <c r="A70" s="8">
        <v>33</v>
      </c>
      <c r="B70" s="17">
        <v>69.900000000000006</v>
      </c>
      <c r="C70" s="17">
        <v>68.25</v>
      </c>
    </row>
    <row r="71" spans="1:3" x14ac:dyDescent="0.25">
      <c r="A71" s="8">
        <v>32</v>
      </c>
      <c r="B71" s="17">
        <v>69.599999999999994</v>
      </c>
      <c r="C71" s="17">
        <v>68</v>
      </c>
    </row>
    <row r="72" spans="1:3" x14ac:dyDescent="0.25">
      <c r="A72" s="8">
        <v>31</v>
      </c>
      <c r="B72" s="17">
        <v>69.3</v>
      </c>
      <c r="C72" s="17">
        <v>67.75</v>
      </c>
    </row>
    <row r="73" spans="1:3" x14ac:dyDescent="0.25">
      <c r="A73" s="8">
        <v>30</v>
      </c>
      <c r="B73" s="17">
        <v>69</v>
      </c>
      <c r="C73" s="17">
        <v>67.5</v>
      </c>
    </row>
    <row r="74" spans="1:3" x14ac:dyDescent="0.25">
      <c r="A74" s="8">
        <v>29</v>
      </c>
      <c r="B74" s="17">
        <v>68.7</v>
      </c>
      <c r="C74" s="17">
        <v>67.25</v>
      </c>
    </row>
    <row r="75" spans="1:3" x14ac:dyDescent="0.25">
      <c r="A75" s="8">
        <v>28</v>
      </c>
      <c r="B75" s="17">
        <v>68.400000000000006</v>
      </c>
      <c r="C75" s="17">
        <v>67</v>
      </c>
    </row>
    <row r="76" spans="1:3" x14ac:dyDescent="0.25">
      <c r="A76" s="8">
        <v>27</v>
      </c>
      <c r="B76" s="17">
        <v>68.099999999999994</v>
      </c>
      <c r="C76" s="17">
        <v>66.75</v>
      </c>
    </row>
    <row r="77" spans="1:3" x14ac:dyDescent="0.25">
      <c r="A77" s="8">
        <v>26</v>
      </c>
      <c r="B77" s="17">
        <v>67.8</v>
      </c>
      <c r="C77" s="17">
        <v>66.5</v>
      </c>
    </row>
    <row r="78" spans="1:3" x14ac:dyDescent="0.25">
      <c r="A78" s="8">
        <v>25</v>
      </c>
      <c r="B78" s="17">
        <v>67.5</v>
      </c>
      <c r="C78" s="17">
        <v>66.25</v>
      </c>
    </row>
    <row r="79" spans="1:3" x14ac:dyDescent="0.25">
      <c r="A79" s="8">
        <v>24</v>
      </c>
      <c r="B79" s="17">
        <v>67.2</v>
      </c>
      <c r="C79" s="17">
        <v>66</v>
      </c>
    </row>
    <row r="80" spans="1:3" x14ac:dyDescent="0.25">
      <c r="A80" s="8">
        <v>23</v>
      </c>
      <c r="B80" s="17">
        <v>66.900000000000006</v>
      </c>
      <c r="C80" s="17">
        <v>65.75</v>
      </c>
    </row>
    <row r="81" spans="1:3" x14ac:dyDescent="0.25">
      <c r="A81" s="8">
        <v>22</v>
      </c>
      <c r="B81" s="17">
        <v>66.599999999999994</v>
      </c>
      <c r="C81" s="17">
        <v>65.5</v>
      </c>
    </row>
    <row r="82" spans="1:3" x14ac:dyDescent="0.25">
      <c r="A82" s="8">
        <v>21</v>
      </c>
      <c r="B82" s="17">
        <v>66.3</v>
      </c>
      <c r="C82" s="17">
        <v>65.25</v>
      </c>
    </row>
    <row r="83" spans="1:3" x14ac:dyDescent="0.25">
      <c r="A83" s="8">
        <v>20</v>
      </c>
      <c r="B83" s="17">
        <v>66</v>
      </c>
      <c r="C83" s="17">
        <v>65</v>
      </c>
    </row>
    <row r="84" spans="1:3" x14ac:dyDescent="0.25">
      <c r="A84" s="8">
        <v>19</v>
      </c>
      <c r="B84" s="17">
        <v>65.7</v>
      </c>
      <c r="C84" s="17">
        <v>64.75</v>
      </c>
    </row>
    <row r="85" spans="1:3" x14ac:dyDescent="0.25">
      <c r="A85" s="8">
        <v>18</v>
      </c>
      <c r="B85" s="17">
        <v>65.400000000000006</v>
      </c>
      <c r="C85" s="17">
        <v>64.5</v>
      </c>
    </row>
    <row r="86" spans="1:3" x14ac:dyDescent="0.25">
      <c r="A86" s="8">
        <v>17</v>
      </c>
      <c r="B86" s="17">
        <v>65.099999999999994</v>
      </c>
      <c r="C86" s="17">
        <v>64.25</v>
      </c>
    </row>
    <row r="87" spans="1:3" x14ac:dyDescent="0.25">
      <c r="A87" s="8">
        <v>16</v>
      </c>
      <c r="B87" s="17">
        <v>64.8</v>
      </c>
      <c r="C87" s="17">
        <v>64</v>
      </c>
    </row>
    <row r="88" spans="1:3" x14ac:dyDescent="0.25">
      <c r="A88" s="8">
        <v>15</v>
      </c>
      <c r="B88" s="17">
        <v>64.5</v>
      </c>
      <c r="C88" s="17">
        <v>63.75</v>
      </c>
    </row>
    <row r="89" spans="1:3" x14ac:dyDescent="0.25">
      <c r="A89" s="8">
        <v>14</v>
      </c>
      <c r="B89" s="17">
        <v>64.2</v>
      </c>
      <c r="C89" s="17">
        <v>63.5</v>
      </c>
    </row>
    <row r="90" spans="1:3" x14ac:dyDescent="0.25">
      <c r="A90" s="8">
        <v>13</v>
      </c>
      <c r="B90" s="17">
        <v>63.9</v>
      </c>
      <c r="C90" s="17">
        <v>63.25</v>
      </c>
    </row>
    <row r="91" spans="1:3" x14ac:dyDescent="0.25">
      <c r="A91" s="8">
        <v>12</v>
      </c>
      <c r="B91" s="17">
        <v>63.6</v>
      </c>
      <c r="C91" s="17">
        <v>63</v>
      </c>
    </row>
    <row r="92" spans="1:3" x14ac:dyDescent="0.25">
      <c r="A92" s="8">
        <v>11</v>
      </c>
      <c r="B92" s="17">
        <v>63.3</v>
      </c>
      <c r="C92" s="17">
        <v>62.75</v>
      </c>
    </row>
    <row r="93" spans="1:3" x14ac:dyDescent="0.25">
      <c r="A93" s="8">
        <v>10</v>
      </c>
      <c r="B93" s="17">
        <v>63</v>
      </c>
      <c r="C93" s="17">
        <v>62.5</v>
      </c>
    </row>
    <row r="94" spans="1:3" x14ac:dyDescent="0.25">
      <c r="A94" s="8">
        <v>9</v>
      </c>
      <c r="B94" s="17">
        <v>62.7</v>
      </c>
      <c r="C94" s="17">
        <v>62.25</v>
      </c>
    </row>
    <row r="95" spans="1:3" x14ac:dyDescent="0.25">
      <c r="A95" s="8">
        <v>8</v>
      </c>
      <c r="B95" s="17">
        <v>62.4</v>
      </c>
      <c r="C95" s="17">
        <v>62</v>
      </c>
    </row>
    <row r="96" spans="1:3" x14ac:dyDescent="0.25">
      <c r="A96" s="8">
        <v>7</v>
      </c>
      <c r="B96" s="17">
        <v>62.1</v>
      </c>
      <c r="C96" s="17">
        <v>61.75</v>
      </c>
    </row>
    <row r="97" spans="1:3" x14ac:dyDescent="0.25">
      <c r="A97" s="8">
        <v>6</v>
      </c>
      <c r="B97" s="17">
        <v>61.8</v>
      </c>
      <c r="C97" s="17">
        <v>61.5</v>
      </c>
    </row>
    <row r="98" spans="1:3" x14ac:dyDescent="0.25">
      <c r="A98" s="8">
        <v>5</v>
      </c>
      <c r="B98" s="17">
        <v>61.5</v>
      </c>
      <c r="C98" s="17">
        <v>61.25</v>
      </c>
    </row>
    <row r="99" spans="1:3" x14ac:dyDescent="0.25">
      <c r="A99" s="8">
        <v>4</v>
      </c>
      <c r="B99" s="17">
        <v>61.2</v>
      </c>
      <c r="C99" s="17">
        <v>61</v>
      </c>
    </row>
    <row r="100" spans="1:3" x14ac:dyDescent="0.25">
      <c r="A100" s="8">
        <v>3</v>
      </c>
      <c r="B100" s="17">
        <v>60.9</v>
      </c>
      <c r="C100" s="17">
        <v>60.75</v>
      </c>
    </row>
    <row r="101" spans="1:3" x14ac:dyDescent="0.25">
      <c r="A101" s="8">
        <v>2</v>
      </c>
      <c r="B101" s="17">
        <v>60.6</v>
      </c>
      <c r="C101" s="17">
        <v>60.5</v>
      </c>
    </row>
    <row r="102" spans="1:3" x14ac:dyDescent="0.25">
      <c r="A102" s="8">
        <v>1</v>
      </c>
      <c r="B102" s="17">
        <v>60.3</v>
      </c>
      <c r="C102" s="17">
        <v>60.25</v>
      </c>
    </row>
    <row r="103" spans="1:3" x14ac:dyDescent="0.25">
      <c r="A103" s="8">
        <v>0</v>
      </c>
      <c r="B103" s="17">
        <v>60</v>
      </c>
      <c r="C103" s="17">
        <v>60</v>
      </c>
    </row>
  </sheetData>
  <sheetProtection algorithmName="SHA-512" hashValue="2hb9stcw5VyIe9tboHNkz9g7FHWdAO79wMstHtU8IIvrO+Ui3ma3UmMM2mlsBfgTKNl9WzNtMmUs/nbgF8HP8Q==" saltValue="9d7zz0kPKyNSINOY+/GwYQ==" spinCount="100000" sheet="1" objects="1" scenarios="1"/>
  <mergeCells count="1">
    <mergeCell ref="A1:C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D585-505C-46C4-B966-C3426CBCDACB}">
  <sheetPr codeName="Sheet15"/>
  <dimension ref="A1:D106"/>
  <sheetViews>
    <sheetView topLeftCell="A49" workbookViewId="0">
      <selection activeCell="B93" sqref="B93"/>
    </sheetView>
  </sheetViews>
  <sheetFormatPr defaultColWidth="0" defaultRowHeight="15" zeroHeight="1" x14ac:dyDescent="0.25"/>
  <cols>
    <col min="1" max="1" width="11.5703125" customWidth="1"/>
    <col min="2" max="2" width="17.7109375" customWidth="1"/>
    <col min="3" max="3" width="14.28515625" style="1" customWidth="1"/>
    <col min="4" max="4" width="13.140625" style="1" customWidth="1"/>
    <col min="5" max="16384" width="9.140625" hidden="1"/>
  </cols>
  <sheetData>
    <row r="1" spans="1:4" x14ac:dyDescent="0.25">
      <c r="A1" s="297" t="s">
        <v>108</v>
      </c>
      <c r="B1" s="299"/>
      <c r="C1" s="299"/>
      <c r="D1" s="299"/>
    </row>
    <row r="2" spans="1:4" x14ac:dyDescent="0.25">
      <c r="A2" s="36" t="s">
        <v>41</v>
      </c>
      <c r="B2" s="35" t="s">
        <v>109</v>
      </c>
      <c r="C2" s="34" t="s">
        <v>110</v>
      </c>
      <c r="D2" s="149" t="s">
        <v>294</v>
      </c>
    </row>
    <row r="3" spans="1:4" x14ac:dyDescent="0.25">
      <c r="A3" s="8">
        <v>100</v>
      </c>
      <c r="B3" s="8">
        <v>100</v>
      </c>
      <c r="C3" s="8">
        <v>100</v>
      </c>
      <c r="D3" s="122">
        <v>100</v>
      </c>
    </row>
    <row r="4" spans="1:4" x14ac:dyDescent="0.25">
      <c r="A4" s="8">
        <v>99</v>
      </c>
      <c r="B4" s="17">
        <v>99</v>
      </c>
      <c r="C4" s="17">
        <v>99</v>
      </c>
      <c r="D4" s="17">
        <v>99</v>
      </c>
    </row>
    <row r="5" spans="1:4" x14ac:dyDescent="0.25">
      <c r="A5" s="8">
        <v>98</v>
      </c>
      <c r="B5" s="17">
        <v>96.9</v>
      </c>
      <c r="C5" s="17">
        <v>96.9</v>
      </c>
      <c r="D5" s="17">
        <v>96.9</v>
      </c>
    </row>
    <row r="6" spans="1:4" x14ac:dyDescent="0.25">
      <c r="A6" s="8">
        <v>97</v>
      </c>
      <c r="B6" s="17">
        <v>96.45</v>
      </c>
      <c r="C6" s="17">
        <v>96.45</v>
      </c>
      <c r="D6" s="17">
        <v>96.45</v>
      </c>
    </row>
    <row r="7" spans="1:4" x14ac:dyDescent="0.25">
      <c r="A7" s="8">
        <v>96</v>
      </c>
      <c r="B7" s="17">
        <v>96</v>
      </c>
      <c r="C7" s="17">
        <v>96</v>
      </c>
      <c r="D7" s="17">
        <v>96</v>
      </c>
    </row>
    <row r="8" spans="1:4" x14ac:dyDescent="0.25">
      <c r="A8" s="8">
        <v>95</v>
      </c>
      <c r="B8" s="17">
        <v>93.9</v>
      </c>
      <c r="C8" s="17">
        <v>93.9</v>
      </c>
      <c r="D8" s="17">
        <v>93.9</v>
      </c>
    </row>
    <row r="9" spans="1:4" x14ac:dyDescent="0.25">
      <c r="A9" s="8">
        <v>94</v>
      </c>
      <c r="B9" s="17">
        <v>93.45</v>
      </c>
      <c r="C9" s="17">
        <v>93.45</v>
      </c>
      <c r="D9" s="17">
        <v>93.45</v>
      </c>
    </row>
    <row r="10" spans="1:4" x14ac:dyDescent="0.25">
      <c r="A10" s="8">
        <v>93</v>
      </c>
      <c r="B10" s="17">
        <v>93</v>
      </c>
      <c r="C10" s="17">
        <v>93</v>
      </c>
      <c r="D10" s="17">
        <v>93</v>
      </c>
    </row>
    <row r="11" spans="1:4" x14ac:dyDescent="0.25">
      <c r="A11" s="8">
        <v>92</v>
      </c>
      <c r="B11" s="17">
        <v>90.9</v>
      </c>
      <c r="C11" s="17">
        <v>90.9</v>
      </c>
      <c r="D11" s="17">
        <v>90.9</v>
      </c>
    </row>
    <row r="12" spans="1:4" x14ac:dyDescent="0.25">
      <c r="A12" s="8">
        <v>91</v>
      </c>
      <c r="B12" s="17">
        <v>90.45</v>
      </c>
      <c r="C12" s="17">
        <v>90.45</v>
      </c>
      <c r="D12" s="17">
        <v>90.45</v>
      </c>
    </row>
    <row r="13" spans="1:4" x14ac:dyDescent="0.25">
      <c r="A13" s="8">
        <v>90</v>
      </c>
      <c r="B13" s="17">
        <v>90</v>
      </c>
      <c r="C13" s="17">
        <v>90</v>
      </c>
      <c r="D13" s="17">
        <v>90</v>
      </c>
    </row>
    <row r="14" spans="1:4" x14ac:dyDescent="0.25">
      <c r="A14" s="8">
        <v>89</v>
      </c>
      <c r="B14" s="17">
        <v>87.9</v>
      </c>
      <c r="C14" s="17">
        <v>87.9</v>
      </c>
      <c r="D14" s="17">
        <v>87.9</v>
      </c>
    </row>
    <row r="15" spans="1:4" x14ac:dyDescent="0.25">
      <c r="A15" s="8">
        <v>88</v>
      </c>
      <c r="B15" s="17">
        <v>87.45</v>
      </c>
      <c r="C15" s="17">
        <v>87.45</v>
      </c>
      <c r="D15" s="17">
        <v>87.45</v>
      </c>
    </row>
    <row r="16" spans="1:4" x14ac:dyDescent="0.25">
      <c r="A16" s="8">
        <v>87</v>
      </c>
      <c r="B16" s="17">
        <v>87</v>
      </c>
      <c r="C16" s="17">
        <v>87</v>
      </c>
      <c r="D16" s="17">
        <v>87</v>
      </c>
    </row>
    <row r="17" spans="1:4" x14ac:dyDescent="0.25">
      <c r="A17" s="8">
        <v>86</v>
      </c>
      <c r="B17" s="17">
        <v>84.9</v>
      </c>
      <c r="C17" s="17">
        <v>84.9</v>
      </c>
      <c r="D17" s="17">
        <v>84.9</v>
      </c>
    </row>
    <row r="18" spans="1:4" x14ac:dyDescent="0.25">
      <c r="A18" s="8">
        <v>85</v>
      </c>
      <c r="B18" s="17">
        <v>84.45</v>
      </c>
      <c r="C18" s="17">
        <v>84.45</v>
      </c>
      <c r="D18" s="17">
        <v>84.45</v>
      </c>
    </row>
    <row r="19" spans="1:4" x14ac:dyDescent="0.25">
      <c r="A19" s="8">
        <v>84</v>
      </c>
      <c r="B19" s="17">
        <v>84</v>
      </c>
      <c r="C19" s="17">
        <v>84</v>
      </c>
      <c r="D19" s="17">
        <v>84</v>
      </c>
    </row>
    <row r="20" spans="1:4" x14ac:dyDescent="0.25">
      <c r="A20" s="8">
        <v>83</v>
      </c>
      <c r="B20" s="17">
        <v>81.900000000000006</v>
      </c>
      <c r="C20" s="17">
        <v>81.900000000000006</v>
      </c>
      <c r="D20" s="17">
        <v>81.900000000000006</v>
      </c>
    </row>
    <row r="21" spans="1:4" x14ac:dyDescent="0.25">
      <c r="A21" s="8">
        <v>82</v>
      </c>
      <c r="B21" s="17">
        <v>81.45</v>
      </c>
      <c r="C21" s="17">
        <v>81.45</v>
      </c>
      <c r="D21" s="17">
        <v>81.45</v>
      </c>
    </row>
    <row r="22" spans="1:4" x14ac:dyDescent="0.25">
      <c r="A22" s="8">
        <v>81</v>
      </c>
      <c r="B22" s="17">
        <v>81</v>
      </c>
      <c r="C22" s="17">
        <v>81</v>
      </c>
      <c r="D22" s="17">
        <v>81</v>
      </c>
    </row>
    <row r="23" spans="1:4" x14ac:dyDescent="0.25">
      <c r="A23" s="8">
        <v>80</v>
      </c>
      <c r="B23" s="17">
        <v>78.900000000000006</v>
      </c>
      <c r="C23" s="17">
        <v>78.900000000000006</v>
      </c>
      <c r="D23" s="17">
        <v>78.900000000000006</v>
      </c>
    </row>
    <row r="24" spans="1:4" x14ac:dyDescent="0.25">
      <c r="A24" s="8">
        <v>79</v>
      </c>
      <c r="B24" s="17">
        <v>78.45</v>
      </c>
      <c r="C24" s="17">
        <v>78.45</v>
      </c>
      <c r="D24" s="17">
        <v>78.45</v>
      </c>
    </row>
    <row r="25" spans="1:4" x14ac:dyDescent="0.25">
      <c r="A25" s="8">
        <v>78</v>
      </c>
      <c r="B25" s="17">
        <v>78</v>
      </c>
      <c r="C25" s="17">
        <v>78</v>
      </c>
      <c r="D25" s="17">
        <v>78</v>
      </c>
    </row>
    <row r="26" spans="1:4" x14ac:dyDescent="0.25">
      <c r="A26" s="8">
        <v>77</v>
      </c>
      <c r="B26" s="17">
        <v>77.900000000000006</v>
      </c>
      <c r="C26" s="17">
        <v>77.900000000000006</v>
      </c>
      <c r="D26" s="17">
        <v>77.900000000000006</v>
      </c>
    </row>
    <row r="27" spans="1:4" x14ac:dyDescent="0.25">
      <c r="A27" s="8">
        <v>76</v>
      </c>
      <c r="B27" s="17">
        <v>77.788846153846166</v>
      </c>
      <c r="C27" s="17">
        <v>77.72</v>
      </c>
      <c r="D27" s="17">
        <v>77.64</v>
      </c>
    </row>
    <row r="28" spans="1:4" x14ac:dyDescent="0.25">
      <c r="A28" s="8">
        <v>75</v>
      </c>
      <c r="B28" s="17">
        <v>77.677692307692311</v>
      </c>
      <c r="C28" s="17">
        <v>77.540000000000006</v>
      </c>
      <c r="D28" s="17">
        <v>77.37</v>
      </c>
    </row>
    <row r="29" spans="1:4" x14ac:dyDescent="0.25">
      <c r="A29" s="8">
        <v>74</v>
      </c>
      <c r="B29" s="17">
        <v>77.566538461538471</v>
      </c>
      <c r="C29" s="17">
        <v>77.36</v>
      </c>
      <c r="D29" s="17">
        <v>77.11</v>
      </c>
    </row>
    <row r="30" spans="1:4" x14ac:dyDescent="0.25">
      <c r="A30" s="8">
        <v>73</v>
      </c>
      <c r="B30" s="17">
        <v>77.455384615384617</v>
      </c>
      <c r="C30" s="17">
        <v>77.180000000000007</v>
      </c>
      <c r="D30" s="17">
        <v>76.849999999999994</v>
      </c>
    </row>
    <row r="31" spans="1:4" x14ac:dyDescent="0.25">
      <c r="A31" s="8">
        <v>72</v>
      </c>
      <c r="B31" s="17">
        <v>77.344230769230776</v>
      </c>
      <c r="C31" s="17">
        <v>77</v>
      </c>
      <c r="D31" s="17">
        <v>76.59</v>
      </c>
    </row>
    <row r="32" spans="1:4" x14ac:dyDescent="0.25">
      <c r="A32" s="8">
        <v>71</v>
      </c>
      <c r="B32" s="17">
        <v>77.233076923076922</v>
      </c>
      <c r="C32" s="17">
        <v>76.819999999999993</v>
      </c>
      <c r="D32" s="17">
        <v>76.319999999999993</v>
      </c>
    </row>
    <row r="33" spans="1:4" x14ac:dyDescent="0.25">
      <c r="A33" s="8">
        <v>70</v>
      </c>
      <c r="B33" s="17">
        <v>77.121923076923082</v>
      </c>
      <c r="C33" s="17">
        <v>76.64</v>
      </c>
      <c r="D33" s="17">
        <v>76.06</v>
      </c>
    </row>
    <row r="34" spans="1:4" x14ac:dyDescent="0.25">
      <c r="A34" s="8">
        <v>69</v>
      </c>
      <c r="B34" s="17">
        <v>77.010769230769242</v>
      </c>
      <c r="C34" s="17">
        <v>76.459999999999994</v>
      </c>
      <c r="D34" s="17">
        <v>75.8</v>
      </c>
    </row>
    <row r="35" spans="1:4" x14ac:dyDescent="0.25">
      <c r="A35" s="8">
        <v>68</v>
      </c>
      <c r="B35" s="17">
        <v>76.899615384615387</v>
      </c>
      <c r="C35" s="17">
        <v>76.27</v>
      </c>
      <c r="D35" s="17">
        <v>75.540000000000006</v>
      </c>
    </row>
    <row r="36" spans="1:4" x14ac:dyDescent="0.25">
      <c r="A36" s="8">
        <v>67</v>
      </c>
      <c r="B36" s="17">
        <v>76.788461538461547</v>
      </c>
      <c r="C36" s="17">
        <v>76.09</v>
      </c>
      <c r="D36" s="17">
        <v>75.27</v>
      </c>
    </row>
    <row r="37" spans="1:4" x14ac:dyDescent="0.25">
      <c r="A37" s="8">
        <v>66</v>
      </c>
      <c r="B37" s="17">
        <v>76.677307692307693</v>
      </c>
      <c r="C37" s="17">
        <v>75.91</v>
      </c>
      <c r="D37" s="17">
        <v>75.010000000000005</v>
      </c>
    </row>
    <row r="38" spans="1:4" x14ac:dyDescent="0.25">
      <c r="A38" s="8">
        <v>65</v>
      </c>
      <c r="B38" s="17">
        <v>76.566153846153853</v>
      </c>
      <c r="C38" s="17">
        <v>75.73</v>
      </c>
      <c r="D38" s="150">
        <v>75</v>
      </c>
    </row>
    <row r="39" spans="1:4" x14ac:dyDescent="0.25">
      <c r="A39" s="8">
        <v>64</v>
      </c>
      <c r="B39" s="17">
        <v>76.455000000000013</v>
      </c>
      <c r="C39" s="17">
        <v>75.55</v>
      </c>
      <c r="D39" s="17">
        <v>74.849999999999994</v>
      </c>
    </row>
    <row r="40" spans="1:4" x14ac:dyDescent="0.25">
      <c r="A40" s="8">
        <v>63</v>
      </c>
      <c r="B40" s="17">
        <v>76.343846153846158</v>
      </c>
      <c r="C40" s="17">
        <v>75.37</v>
      </c>
      <c r="D40" s="17">
        <v>74.69</v>
      </c>
    </row>
    <row r="41" spans="1:4" x14ac:dyDescent="0.25">
      <c r="A41" s="8">
        <v>62</v>
      </c>
      <c r="B41" s="17">
        <v>76.232692307692318</v>
      </c>
      <c r="C41" s="17">
        <v>75.19</v>
      </c>
      <c r="D41" s="17">
        <v>74.540000000000006</v>
      </c>
    </row>
    <row r="42" spans="1:4" x14ac:dyDescent="0.25">
      <c r="A42" s="8">
        <v>61</v>
      </c>
      <c r="B42" s="17">
        <v>76.121538461538464</v>
      </c>
      <c r="C42" s="17">
        <v>75.010000000000005</v>
      </c>
      <c r="D42" s="17">
        <v>74.38</v>
      </c>
    </row>
    <row r="43" spans="1:4" x14ac:dyDescent="0.25">
      <c r="A43" s="96">
        <v>60</v>
      </c>
      <c r="B43" s="17">
        <v>76.010384615384623</v>
      </c>
      <c r="C43" s="96">
        <v>75</v>
      </c>
      <c r="D43" s="17">
        <v>74.23</v>
      </c>
    </row>
    <row r="44" spans="1:4" x14ac:dyDescent="0.25">
      <c r="A44" s="8">
        <v>59</v>
      </c>
      <c r="B44" s="17">
        <v>75.899230769230769</v>
      </c>
      <c r="C44" s="17">
        <v>74.83</v>
      </c>
      <c r="D44" s="17">
        <v>74.08</v>
      </c>
    </row>
    <row r="45" spans="1:4" x14ac:dyDescent="0.25">
      <c r="A45" s="8">
        <v>58</v>
      </c>
      <c r="B45" s="17">
        <v>75.788076923076929</v>
      </c>
      <c r="C45" s="17">
        <v>74.67</v>
      </c>
      <c r="D45" s="17">
        <v>73.92</v>
      </c>
    </row>
    <row r="46" spans="1:4" x14ac:dyDescent="0.25">
      <c r="A46" s="8">
        <v>57</v>
      </c>
      <c r="B46" s="17">
        <v>75.676923076923089</v>
      </c>
      <c r="C46" s="17">
        <v>74.5</v>
      </c>
      <c r="D46" s="17">
        <v>73.77</v>
      </c>
    </row>
    <row r="47" spans="1:4" x14ac:dyDescent="0.25">
      <c r="A47" s="8">
        <v>56</v>
      </c>
      <c r="B47" s="17">
        <v>75.565769230769234</v>
      </c>
      <c r="C47" s="17">
        <v>74.33</v>
      </c>
      <c r="D47" s="17">
        <v>73.62</v>
      </c>
    </row>
    <row r="48" spans="1:4" x14ac:dyDescent="0.25">
      <c r="A48" s="8">
        <v>55</v>
      </c>
      <c r="B48" s="17">
        <v>75.454615384615394</v>
      </c>
      <c r="C48" s="17">
        <v>74.17</v>
      </c>
      <c r="D48" s="17">
        <v>73.459999999999994</v>
      </c>
    </row>
    <row r="49" spans="1:4" x14ac:dyDescent="0.25">
      <c r="A49" s="8">
        <v>54</v>
      </c>
      <c r="B49" s="17">
        <v>75.34346153846154</v>
      </c>
      <c r="C49" s="17">
        <v>74</v>
      </c>
      <c r="D49" s="17">
        <v>73.31</v>
      </c>
    </row>
    <row r="50" spans="1:4" x14ac:dyDescent="0.25">
      <c r="A50" s="8">
        <v>53</v>
      </c>
      <c r="B50" s="17">
        <v>75.2323076923077</v>
      </c>
      <c r="C50" s="17">
        <v>73.83</v>
      </c>
      <c r="D50" s="17">
        <v>73.150000000000006</v>
      </c>
    </row>
    <row r="51" spans="1:4" x14ac:dyDescent="0.25">
      <c r="A51" s="8">
        <v>52</v>
      </c>
      <c r="B51" s="17">
        <v>75.121153846153845</v>
      </c>
      <c r="C51" s="17">
        <v>73.67</v>
      </c>
      <c r="D51" s="17">
        <v>73</v>
      </c>
    </row>
    <row r="52" spans="1:4" x14ac:dyDescent="0.25">
      <c r="A52" s="8">
        <v>51</v>
      </c>
      <c r="B52" s="17">
        <v>75.010000000000005</v>
      </c>
      <c r="C52" s="17">
        <v>73.5</v>
      </c>
      <c r="D52" s="17">
        <v>72.849999999999994</v>
      </c>
    </row>
    <row r="53" spans="1:4" x14ac:dyDescent="0.25">
      <c r="A53" s="95">
        <v>50</v>
      </c>
      <c r="B53" s="95">
        <v>75</v>
      </c>
      <c r="C53" s="17">
        <v>73.33</v>
      </c>
      <c r="D53" s="17">
        <v>72.69</v>
      </c>
    </row>
    <row r="54" spans="1:4" x14ac:dyDescent="0.25">
      <c r="A54" s="8">
        <v>49</v>
      </c>
      <c r="B54" s="17">
        <v>74.8</v>
      </c>
      <c r="C54" s="17">
        <v>73.17</v>
      </c>
      <c r="D54" s="17">
        <v>72.540000000000006</v>
      </c>
    </row>
    <row r="55" spans="1:4" x14ac:dyDescent="0.25">
      <c r="A55" s="8">
        <v>48</v>
      </c>
      <c r="B55" s="17">
        <v>74.599999999999994</v>
      </c>
      <c r="C55" s="17">
        <v>73</v>
      </c>
      <c r="D55" s="17">
        <v>72.38</v>
      </c>
    </row>
    <row r="56" spans="1:4" x14ac:dyDescent="0.25">
      <c r="A56" s="8">
        <v>47</v>
      </c>
      <c r="B56" s="17">
        <v>74.400000000000006</v>
      </c>
      <c r="C56" s="17">
        <v>72.83</v>
      </c>
      <c r="D56" s="17">
        <v>72.23</v>
      </c>
    </row>
    <row r="57" spans="1:4" x14ac:dyDescent="0.25">
      <c r="A57" s="8">
        <v>46</v>
      </c>
      <c r="B57" s="17">
        <v>74.2</v>
      </c>
      <c r="C57" s="17">
        <v>72.67</v>
      </c>
      <c r="D57" s="17">
        <v>72.08</v>
      </c>
    </row>
    <row r="58" spans="1:4" x14ac:dyDescent="0.25">
      <c r="A58" s="8">
        <v>45</v>
      </c>
      <c r="B58" s="17">
        <v>74</v>
      </c>
      <c r="C58" s="17">
        <v>72.5</v>
      </c>
      <c r="D58" s="17">
        <v>71.92</v>
      </c>
    </row>
    <row r="59" spans="1:4" x14ac:dyDescent="0.25">
      <c r="A59" s="8">
        <v>44</v>
      </c>
      <c r="B59" s="17">
        <v>73.8</v>
      </c>
      <c r="C59" s="17">
        <v>72.33</v>
      </c>
      <c r="D59" s="17">
        <v>71.77</v>
      </c>
    </row>
    <row r="60" spans="1:4" x14ac:dyDescent="0.25">
      <c r="A60" s="8">
        <v>43</v>
      </c>
      <c r="B60" s="17">
        <v>73.599999999999994</v>
      </c>
      <c r="C60" s="17">
        <v>72.17</v>
      </c>
      <c r="D60" s="17">
        <v>71.62</v>
      </c>
    </row>
    <row r="61" spans="1:4" x14ac:dyDescent="0.25">
      <c r="A61" s="8">
        <v>42</v>
      </c>
      <c r="B61" s="17">
        <v>73.400000000000006</v>
      </c>
      <c r="C61" s="17">
        <v>72</v>
      </c>
      <c r="D61" s="17">
        <v>71.459999999999994</v>
      </c>
    </row>
    <row r="62" spans="1:4" x14ac:dyDescent="0.25">
      <c r="A62" s="8">
        <v>41</v>
      </c>
      <c r="B62" s="17">
        <v>73.2</v>
      </c>
      <c r="C62" s="17">
        <v>71.83</v>
      </c>
      <c r="D62" s="17">
        <v>71.31</v>
      </c>
    </row>
    <row r="63" spans="1:4" x14ac:dyDescent="0.25">
      <c r="A63" s="8">
        <v>40</v>
      </c>
      <c r="B63" s="17">
        <v>73</v>
      </c>
      <c r="C63" s="17">
        <v>71.67</v>
      </c>
      <c r="D63" s="17">
        <v>71.150000000000006</v>
      </c>
    </row>
    <row r="64" spans="1:4" x14ac:dyDescent="0.25">
      <c r="A64" s="8">
        <v>39</v>
      </c>
      <c r="B64" s="17">
        <v>72.8</v>
      </c>
      <c r="C64" s="17">
        <v>71.5</v>
      </c>
      <c r="D64" s="17">
        <v>71</v>
      </c>
    </row>
    <row r="65" spans="1:4" x14ac:dyDescent="0.25">
      <c r="A65" s="8">
        <v>38</v>
      </c>
      <c r="B65" s="17">
        <v>72.599999999999994</v>
      </c>
      <c r="C65" s="17">
        <v>71.33</v>
      </c>
      <c r="D65" s="17">
        <v>70.849999999999994</v>
      </c>
    </row>
    <row r="66" spans="1:4" x14ac:dyDescent="0.25">
      <c r="A66" s="8">
        <v>37</v>
      </c>
      <c r="B66" s="17">
        <v>72.400000000000006</v>
      </c>
      <c r="C66" s="17">
        <v>71.17</v>
      </c>
      <c r="D66" s="17">
        <v>70.69</v>
      </c>
    </row>
    <row r="67" spans="1:4" x14ac:dyDescent="0.25">
      <c r="A67" s="8">
        <v>36</v>
      </c>
      <c r="B67" s="17">
        <v>72.2</v>
      </c>
      <c r="C67" s="17">
        <v>71</v>
      </c>
      <c r="D67" s="17">
        <v>70.540000000000006</v>
      </c>
    </row>
    <row r="68" spans="1:4" x14ac:dyDescent="0.25">
      <c r="A68" s="8">
        <v>35</v>
      </c>
      <c r="B68" s="17">
        <v>72</v>
      </c>
      <c r="C68" s="17">
        <v>70.83</v>
      </c>
      <c r="D68" s="17">
        <v>70.38</v>
      </c>
    </row>
    <row r="69" spans="1:4" x14ac:dyDescent="0.25">
      <c r="A69" s="8">
        <v>34</v>
      </c>
      <c r="B69" s="17">
        <v>71.8</v>
      </c>
      <c r="C69" s="17">
        <v>70.67</v>
      </c>
      <c r="D69" s="17">
        <v>70.23</v>
      </c>
    </row>
    <row r="70" spans="1:4" x14ac:dyDescent="0.25">
      <c r="A70" s="8">
        <v>33</v>
      </c>
      <c r="B70" s="17">
        <v>71.599999999999994</v>
      </c>
      <c r="C70" s="17">
        <v>70.5</v>
      </c>
      <c r="D70" s="17">
        <v>70.08</v>
      </c>
    </row>
    <row r="71" spans="1:4" x14ac:dyDescent="0.25">
      <c r="A71" s="8">
        <v>32</v>
      </c>
      <c r="B71" s="17">
        <v>71.400000000000006</v>
      </c>
      <c r="C71" s="17">
        <v>70.33</v>
      </c>
      <c r="D71" s="17">
        <v>69.92</v>
      </c>
    </row>
    <row r="72" spans="1:4" x14ac:dyDescent="0.25">
      <c r="A72" s="8">
        <v>31</v>
      </c>
      <c r="B72" s="17">
        <v>71.2</v>
      </c>
      <c r="C72" s="17">
        <v>70.17</v>
      </c>
      <c r="D72" s="17">
        <v>69.77</v>
      </c>
    </row>
    <row r="73" spans="1:4" x14ac:dyDescent="0.25">
      <c r="A73" s="8">
        <v>30</v>
      </c>
      <c r="B73" s="17">
        <v>71</v>
      </c>
      <c r="C73" s="17">
        <v>70</v>
      </c>
      <c r="D73" s="17">
        <v>69.62</v>
      </c>
    </row>
    <row r="74" spans="1:4" x14ac:dyDescent="0.25">
      <c r="A74" s="8">
        <v>29</v>
      </c>
      <c r="B74" s="17">
        <v>70.8</v>
      </c>
      <c r="C74" s="17">
        <v>69.83</v>
      </c>
      <c r="D74" s="17">
        <v>69.459999999999994</v>
      </c>
    </row>
    <row r="75" spans="1:4" x14ac:dyDescent="0.25">
      <c r="A75" s="8">
        <v>28</v>
      </c>
      <c r="B75" s="17">
        <v>70.599999999999994</v>
      </c>
      <c r="C75" s="17">
        <v>69.67</v>
      </c>
      <c r="D75" s="17">
        <v>69.31</v>
      </c>
    </row>
    <row r="76" spans="1:4" x14ac:dyDescent="0.25">
      <c r="A76" s="8">
        <v>27</v>
      </c>
      <c r="B76" s="17">
        <v>70.400000000000006</v>
      </c>
      <c r="C76" s="17">
        <v>69.5</v>
      </c>
      <c r="D76" s="17">
        <v>69.150000000000006</v>
      </c>
    </row>
    <row r="77" spans="1:4" x14ac:dyDescent="0.25">
      <c r="A77" s="8">
        <v>26</v>
      </c>
      <c r="B77" s="17">
        <v>70.2</v>
      </c>
      <c r="C77" s="17">
        <v>69.33</v>
      </c>
      <c r="D77" s="17">
        <v>69</v>
      </c>
    </row>
    <row r="78" spans="1:4" x14ac:dyDescent="0.25">
      <c r="A78" s="8">
        <v>25</v>
      </c>
      <c r="B78" s="17">
        <v>70</v>
      </c>
      <c r="C78" s="17">
        <v>69.17</v>
      </c>
      <c r="D78" s="17">
        <v>68.849999999999994</v>
      </c>
    </row>
    <row r="79" spans="1:4" x14ac:dyDescent="0.25">
      <c r="A79" s="8">
        <v>24</v>
      </c>
      <c r="B79" s="17">
        <v>69.8</v>
      </c>
      <c r="C79" s="17">
        <v>69</v>
      </c>
      <c r="D79" s="17">
        <v>68.69</v>
      </c>
    </row>
    <row r="80" spans="1:4" x14ac:dyDescent="0.25">
      <c r="A80" s="8">
        <v>23</v>
      </c>
      <c r="B80" s="17">
        <v>69.599999999999994</v>
      </c>
      <c r="C80" s="17">
        <v>68.83</v>
      </c>
      <c r="D80" s="17">
        <v>68.540000000000006</v>
      </c>
    </row>
    <row r="81" spans="1:4" x14ac:dyDescent="0.25">
      <c r="A81" s="8">
        <v>22</v>
      </c>
      <c r="B81" s="17">
        <v>69.400000000000006</v>
      </c>
      <c r="C81" s="17">
        <v>68.67</v>
      </c>
      <c r="D81" s="17">
        <v>68.38</v>
      </c>
    </row>
    <row r="82" spans="1:4" x14ac:dyDescent="0.25">
      <c r="A82" s="8">
        <v>21</v>
      </c>
      <c r="B82" s="17">
        <v>69.2</v>
      </c>
      <c r="C82" s="17">
        <v>68.5</v>
      </c>
      <c r="D82" s="17">
        <v>68.23</v>
      </c>
    </row>
    <row r="83" spans="1:4" x14ac:dyDescent="0.25">
      <c r="A83" s="8">
        <v>20</v>
      </c>
      <c r="B83" s="17">
        <v>69</v>
      </c>
      <c r="C83" s="17">
        <v>68.33</v>
      </c>
      <c r="D83" s="17">
        <v>68.08</v>
      </c>
    </row>
    <row r="84" spans="1:4" x14ac:dyDescent="0.25">
      <c r="A84" s="8">
        <v>19</v>
      </c>
      <c r="B84" s="17">
        <v>68.8</v>
      </c>
      <c r="C84" s="17">
        <v>68.17</v>
      </c>
      <c r="D84" s="17">
        <v>67.92</v>
      </c>
    </row>
    <row r="85" spans="1:4" x14ac:dyDescent="0.25">
      <c r="A85" s="8">
        <v>18</v>
      </c>
      <c r="B85" s="17">
        <v>68.599999999999994</v>
      </c>
      <c r="C85" s="17">
        <v>68</v>
      </c>
      <c r="D85" s="17">
        <v>67.77</v>
      </c>
    </row>
    <row r="86" spans="1:4" x14ac:dyDescent="0.25">
      <c r="A86" s="8">
        <v>17</v>
      </c>
      <c r="B86" s="17">
        <v>68.400000000000006</v>
      </c>
      <c r="C86" s="17">
        <v>67.83</v>
      </c>
      <c r="D86" s="17">
        <v>67.62</v>
      </c>
    </row>
    <row r="87" spans="1:4" x14ac:dyDescent="0.25">
      <c r="A87" s="8">
        <v>16</v>
      </c>
      <c r="B87" s="17">
        <v>68.2</v>
      </c>
      <c r="C87" s="17">
        <v>67.67</v>
      </c>
      <c r="D87" s="17">
        <v>67.459999999999994</v>
      </c>
    </row>
    <row r="88" spans="1:4" x14ac:dyDescent="0.25">
      <c r="A88" s="8">
        <v>15</v>
      </c>
      <c r="B88" s="17">
        <v>68</v>
      </c>
      <c r="C88" s="17">
        <v>67.5</v>
      </c>
      <c r="D88" s="17">
        <v>67.31</v>
      </c>
    </row>
    <row r="89" spans="1:4" x14ac:dyDescent="0.25">
      <c r="A89" s="8">
        <v>14</v>
      </c>
      <c r="B89" s="17">
        <v>67.8</v>
      </c>
      <c r="C89" s="17">
        <v>67.33</v>
      </c>
      <c r="D89" s="17">
        <v>67.150000000000006</v>
      </c>
    </row>
    <row r="90" spans="1:4" x14ac:dyDescent="0.25">
      <c r="A90" s="8">
        <v>13</v>
      </c>
      <c r="B90" s="17">
        <v>67.599999999999994</v>
      </c>
      <c r="C90" s="17">
        <v>67.17</v>
      </c>
      <c r="D90" s="17">
        <v>67</v>
      </c>
    </row>
    <row r="91" spans="1:4" x14ac:dyDescent="0.25">
      <c r="A91" s="8">
        <v>12</v>
      </c>
      <c r="B91" s="17">
        <v>67.400000000000006</v>
      </c>
      <c r="C91" s="17">
        <v>67</v>
      </c>
      <c r="D91" s="17">
        <v>66.849999999999994</v>
      </c>
    </row>
    <row r="92" spans="1:4" x14ac:dyDescent="0.25">
      <c r="A92" s="8">
        <v>11</v>
      </c>
      <c r="B92" s="17">
        <v>67.2</v>
      </c>
      <c r="C92" s="17">
        <v>66.83</v>
      </c>
      <c r="D92" s="17">
        <v>66.69</v>
      </c>
    </row>
    <row r="93" spans="1:4" x14ac:dyDescent="0.25">
      <c r="A93" s="8">
        <v>10</v>
      </c>
      <c r="B93" s="17">
        <v>67</v>
      </c>
      <c r="C93" s="17">
        <v>66.67</v>
      </c>
      <c r="D93" s="17">
        <v>66.540000000000006</v>
      </c>
    </row>
    <row r="94" spans="1:4" x14ac:dyDescent="0.25">
      <c r="A94" s="8">
        <v>9</v>
      </c>
      <c r="B94" s="17">
        <v>66.8</v>
      </c>
      <c r="C94" s="17">
        <v>66.5</v>
      </c>
      <c r="D94" s="17">
        <v>66.38</v>
      </c>
    </row>
    <row r="95" spans="1:4" x14ac:dyDescent="0.25">
      <c r="A95" s="8">
        <v>8</v>
      </c>
      <c r="B95" s="17">
        <v>66.599999999999994</v>
      </c>
      <c r="C95" s="17">
        <v>66.33</v>
      </c>
      <c r="D95" s="17">
        <v>66.23</v>
      </c>
    </row>
    <row r="96" spans="1:4" x14ac:dyDescent="0.25">
      <c r="A96" s="8">
        <v>7</v>
      </c>
      <c r="B96" s="17">
        <v>66.400000000000006</v>
      </c>
      <c r="C96" s="17">
        <v>66.17</v>
      </c>
      <c r="D96" s="17">
        <v>66.08</v>
      </c>
    </row>
    <row r="97" spans="1:4" x14ac:dyDescent="0.25">
      <c r="A97" s="8">
        <v>6</v>
      </c>
      <c r="B97" s="17">
        <v>66.2</v>
      </c>
      <c r="C97" s="17">
        <v>66</v>
      </c>
      <c r="D97" s="17">
        <v>65.92</v>
      </c>
    </row>
    <row r="98" spans="1:4" x14ac:dyDescent="0.25">
      <c r="A98" s="8">
        <v>5</v>
      </c>
      <c r="B98" s="17">
        <v>66</v>
      </c>
      <c r="C98" s="17">
        <v>65.83</v>
      </c>
      <c r="D98" s="17">
        <v>65.77</v>
      </c>
    </row>
    <row r="99" spans="1:4" x14ac:dyDescent="0.25">
      <c r="A99" s="8">
        <v>4</v>
      </c>
      <c r="B99" s="17">
        <v>65.8</v>
      </c>
      <c r="C99" s="17">
        <v>65.67</v>
      </c>
      <c r="D99" s="17">
        <v>65.62</v>
      </c>
    </row>
    <row r="100" spans="1:4" x14ac:dyDescent="0.25">
      <c r="A100" s="8">
        <v>3</v>
      </c>
      <c r="B100" s="17">
        <v>65.599999999999994</v>
      </c>
      <c r="C100" s="17">
        <v>65.5</v>
      </c>
      <c r="D100" s="17">
        <v>65.459999999999994</v>
      </c>
    </row>
    <row r="101" spans="1:4" x14ac:dyDescent="0.25">
      <c r="A101" s="8">
        <v>2</v>
      </c>
      <c r="B101" s="17">
        <v>65.400000000000006</v>
      </c>
      <c r="C101" s="17">
        <v>65.33</v>
      </c>
      <c r="D101" s="17">
        <v>65.31</v>
      </c>
    </row>
    <row r="102" spans="1:4" x14ac:dyDescent="0.25">
      <c r="A102" s="8">
        <v>1</v>
      </c>
      <c r="B102" s="17">
        <v>65.2</v>
      </c>
      <c r="C102" s="17">
        <v>65.17</v>
      </c>
      <c r="D102" s="17">
        <v>65.150000000000006</v>
      </c>
    </row>
    <row r="103" spans="1:4" x14ac:dyDescent="0.25">
      <c r="A103" s="8">
        <v>0</v>
      </c>
      <c r="B103" s="17">
        <v>60</v>
      </c>
      <c r="C103" s="17">
        <v>60</v>
      </c>
      <c r="D103" s="17">
        <v>60</v>
      </c>
    </row>
    <row r="104" spans="1:4" x14ac:dyDescent="0.25"/>
    <row r="105" spans="1:4" x14ac:dyDescent="0.25">
      <c r="A105" s="8" t="s">
        <v>277</v>
      </c>
      <c r="B105" s="128">
        <v>0</v>
      </c>
      <c r="C105" s="17">
        <v>0</v>
      </c>
      <c r="D105" s="17">
        <v>0</v>
      </c>
    </row>
    <row r="106" spans="1:4" x14ac:dyDescent="0.25"/>
  </sheetData>
  <sheetProtection algorithmName="SHA-512" hashValue="Tct+IjSa1w7uoZEXsJwB/WKqRdq7tSyBjRi/Xf+0k3dYGovuW7beyl7PF42ZZXWEuloBGf5eBcxBwPNhOFxMbA==" saltValue="8N9KT2rX29okUpN6KBkDaw==" spinCount="100000" sheet="1" objects="1" scenarios="1"/>
  <mergeCells count="1">
    <mergeCell ref="A1:D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5C0F-C574-4C91-A337-B6B329A09CF2}">
  <sheetPr codeName="Sheet16"/>
  <dimension ref="A1:D106"/>
  <sheetViews>
    <sheetView zoomScale="265" zoomScaleNormal="265" workbookViewId="0">
      <selection activeCell="A3" sqref="A3:D1048576"/>
    </sheetView>
  </sheetViews>
  <sheetFormatPr defaultColWidth="0" defaultRowHeight="15" zeroHeight="1" x14ac:dyDescent="0.25"/>
  <cols>
    <col min="1" max="1" width="11.5703125" customWidth="1"/>
    <col min="2" max="2" width="17.7109375" customWidth="1"/>
    <col min="3" max="3" width="14.28515625" style="1" customWidth="1"/>
    <col min="4" max="4" width="13.140625" style="1" customWidth="1"/>
    <col min="5" max="16384" width="9.140625" hidden="1"/>
  </cols>
  <sheetData>
    <row r="1" spans="1:4" x14ac:dyDescent="0.25">
      <c r="A1" s="297" t="s">
        <v>108</v>
      </c>
      <c r="B1" s="299"/>
      <c r="C1" s="299"/>
      <c r="D1" s="299"/>
    </row>
    <row r="2" spans="1:4" x14ac:dyDescent="0.25">
      <c r="A2" s="36" t="s">
        <v>41</v>
      </c>
      <c r="B2" s="35" t="s">
        <v>109</v>
      </c>
      <c r="C2" s="34" t="s">
        <v>110</v>
      </c>
      <c r="D2" s="149" t="s">
        <v>294</v>
      </c>
    </row>
    <row r="3" spans="1:4" x14ac:dyDescent="0.25">
      <c r="A3" s="8">
        <v>100</v>
      </c>
      <c r="B3" s="8">
        <v>100</v>
      </c>
      <c r="C3" s="8">
        <v>100</v>
      </c>
      <c r="D3" s="122">
        <v>100</v>
      </c>
    </row>
    <row r="4" spans="1:4" x14ac:dyDescent="0.25">
      <c r="A4" s="8">
        <v>99</v>
      </c>
      <c r="B4" s="17">
        <v>99</v>
      </c>
      <c r="C4" s="17">
        <v>99</v>
      </c>
      <c r="D4" s="17">
        <v>99</v>
      </c>
    </row>
    <row r="5" spans="1:4" x14ac:dyDescent="0.25">
      <c r="A5" s="8">
        <v>98</v>
      </c>
      <c r="B5" s="17">
        <v>96.9</v>
      </c>
      <c r="C5" s="17">
        <v>96.9</v>
      </c>
      <c r="D5" s="17">
        <v>96.9</v>
      </c>
    </row>
    <row r="6" spans="1:4" x14ac:dyDescent="0.25">
      <c r="A6" s="8">
        <v>97</v>
      </c>
      <c r="B6" s="17">
        <v>96.45</v>
      </c>
      <c r="C6" s="17">
        <v>96.45</v>
      </c>
      <c r="D6" s="17">
        <v>96.45</v>
      </c>
    </row>
    <row r="7" spans="1:4" x14ac:dyDescent="0.25">
      <c r="A7" s="8">
        <v>96</v>
      </c>
      <c r="B7" s="17">
        <v>96</v>
      </c>
      <c r="C7" s="17">
        <v>96</v>
      </c>
      <c r="D7" s="17">
        <v>96</v>
      </c>
    </row>
    <row r="8" spans="1:4" x14ac:dyDescent="0.25">
      <c r="A8" s="8">
        <v>95</v>
      </c>
      <c r="B8" s="17">
        <v>93.9</v>
      </c>
      <c r="C8" s="17">
        <v>93.9</v>
      </c>
      <c r="D8" s="17">
        <v>93.9</v>
      </c>
    </row>
    <row r="9" spans="1:4" x14ac:dyDescent="0.25">
      <c r="A9" s="8">
        <v>94</v>
      </c>
      <c r="B9" s="17">
        <v>93.45</v>
      </c>
      <c r="C9" s="17">
        <v>93.45</v>
      </c>
      <c r="D9" s="17">
        <v>93.45</v>
      </c>
    </row>
    <row r="10" spans="1:4" x14ac:dyDescent="0.25">
      <c r="A10" s="8">
        <v>93</v>
      </c>
      <c r="B10" s="17">
        <v>93</v>
      </c>
      <c r="C10" s="17">
        <v>93</v>
      </c>
      <c r="D10" s="17">
        <v>93</v>
      </c>
    </row>
    <row r="11" spans="1:4" x14ac:dyDescent="0.25">
      <c r="A11" s="8">
        <v>92</v>
      </c>
      <c r="B11" s="17">
        <v>90.9</v>
      </c>
      <c r="C11" s="17">
        <v>90.9</v>
      </c>
      <c r="D11" s="17">
        <v>90.9</v>
      </c>
    </row>
    <row r="12" spans="1:4" x14ac:dyDescent="0.25">
      <c r="A12" s="8">
        <v>91</v>
      </c>
      <c r="B12" s="17">
        <v>90.45</v>
      </c>
      <c r="C12" s="17">
        <v>90.45</v>
      </c>
      <c r="D12" s="17">
        <v>90.45</v>
      </c>
    </row>
    <row r="13" spans="1:4" x14ac:dyDescent="0.25">
      <c r="A13" s="8">
        <v>90</v>
      </c>
      <c r="B13" s="17">
        <v>90</v>
      </c>
      <c r="C13" s="17">
        <v>90</v>
      </c>
      <c r="D13" s="17">
        <v>90</v>
      </c>
    </row>
    <row r="14" spans="1:4" x14ac:dyDescent="0.25">
      <c r="A14" s="8">
        <v>89</v>
      </c>
      <c r="B14" s="17">
        <v>87.9</v>
      </c>
      <c r="C14" s="17">
        <v>87.9</v>
      </c>
      <c r="D14" s="17">
        <v>87.9</v>
      </c>
    </row>
    <row r="15" spans="1:4" x14ac:dyDescent="0.25">
      <c r="A15" s="8">
        <v>88</v>
      </c>
      <c r="B15" s="17">
        <v>87.45</v>
      </c>
      <c r="C15" s="17">
        <v>87.45</v>
      </c>
      <c r="D15" s="17">
        <v>87.45</v>
      </c>
    </row>
    <row r="16" spans="1:4" x14ac:dyDescent="0.25">
      <c r="A16" s="8">
        <v>87</v>
      </c>
      <c r="B16" s="17">
        <v>87</v>
      </c>
      <c r="C16" s="17">
        <v>87</v>
      </c>
      <c r="D16" s="17">
        <v>87</v>
      </c>
    </row>
    <row r="17" spans="1:4" x14ac:dyDescent="0.25">
      <c r="A17" s="8">
        <v>86</v>
      </c>
      <c r="B17" s="17">
        <v>84.9</v>
      </c>
      <c r="C17" s="17">
        <v>84.9</v>
      </c>
      <c r="D17" s="17">
        <v>84.9</v>
      </c>
    </row>
    <row r="18" spans="1:4" x14ac:dyDescent="0.25">
      <c r="A18" s="8">
        <v>85</v>
      </c>
      <c r="B18" s="17">
        <v>84.45</v>
      </c>
      <c r="C18" s="17">
        <v>84.45</v>
      </c>
      <c r="D18" s="17">
        <v>84.45</v>
      </c>
    </row>
    <row r="19" spans="1:4" x14ac:dyDescent="0.25">
      <c r="A19" s="8">
        <v>84</v>
      </c>
      <c r="B19" s="17">
        <v>84</v>
      </c>
      <c r="C19" s="17">
        <v>84</v>
      </c>
      <c r="D19" s="17">
        <v>84</v>
      </c>
    </row>
    <row r="20" spans="1:4" x14ac:dyDescent="0.25">
      <c r="A20" s="8">
        <v>83</v>
      </c>
      <c r="B20" s="17">
        <v>81.900000000000006</v>
      </c>
      <c r="C20" s="17">
        <v>81.900000000000006</v>
      </c>
      <c r="D20" s="17">
        <v>81.900000000000006</v>
      </c>
    </row>
    <row r="21" spans="1:4" x14ac:dyDescent="0.25">
      <c r="A21" s="8">
        <v>82</v>
      </c>
      <c r="B21" s="17">
        <v>81.45</v>
      </c>
      <c r="C21" s="17">
        <v>81.45</v>
      </c>
      <c r="D21" s="17">
        <v>81.45</v>
      </c>
    </row>
    <row r="22" spans="1:4" x14ac:dyDescent="0.25">
      <c r="A22" s="8">
        <v>81</v>
      </c>
      <c r="B22" s="17">
        <v>81</v>
      </c>
      <c r="C22" s="17">
        <v>81</v>
      </c>
      <c r="D22" s="17">
        <v>81</v>
      </c>
    </row>
    <row r="23" spans="1:4" x14ac:dyDescent="0.25">
      <c r="A23" s="8">
        <v>80</v>
      </c>
      <c r="B23" s="17">
        <v>78.900000000000006</v>
      </c>
      <c r="C23" s="17">
        <v>78.900000000000006</v>
      </c>
      <c r="D23" s="17">
        <v>78.900000000000006</v>
      </c>
    </row>
    <row r="24" spans="1:4" x14ac:dyDescent="0.25">
      <c r="A24" s="8">
        <v>79</v>
      </c>
      <c r="B24" s="17">
        <v>78.45</v>
      </c>
      <c r="C24" s="17">
        <v>78.45</v>
      </c>
      <c r="D24" s="17">
        <v>78.45</v>
      </c>
    </row>
    <row r="25" spans="1:4" x14ac:dyDescent="0.25">
      <c r="A25" s="8">
        <v>78</v>
      </c>
      <c r="B25" s="17">
        <v>78</v>
      </c>
      <c r="C25" s="17">
        <v>78</v>
      </c>
      <c r="D25" s="17">
        <v>78</v>
      </c>
    </row>
    <row r="26" spans="1:4" x14ac:dyDescent="0.25">
      <c r="A26" s="8">
        <v>77</v>
      </c>
      <c r="B26" s="17">
        <v>77.900000000000006</v>
      </c>
      <c r="C26" s="17">
        <v>77.900000000000006</v>
      </c>
      <c r="D26" s="17">
        <v>77.900000000000006</v>
      </c>
    </row>
    <row r="27" spans="1:4" x14ac:dyDescent="0.25">
      <c r="A27" s="8">
        <v>76</v>
      </c>
      <c r="B27" s="17">
        <v>77.788846153846166</v>
      </c>
      <c r="C27" s="17">
        <v>77.72</v>
      </c>
      <c r="D27" s="17">
        <v>77.64</v>
      </c>
    </row>
    <row r="28" spans="1:4" x14ac:dyDescent="0.25">
      <c r="A28" s="8">
        <v>75</v>
      </c>
      <c r="B28" s="17">
        <v>77.677692307692311</v>
      </c>
      <c r="C28" s="17">
        <v>77.540000000000006</v>
      </c>
      <c r="D28" s="17">
        <v>77.37</v>
      </c>
    </row>
    <row r="29" spans="1:4" x14ac:dyDescent="0.25">
      <c r="A29" s="8">
        <v>74</v>
      </c>
      <c r="B29" s="17">
        <v>77.566538461538471</v>
      </c>
      <c r="C29" s="17">
        <v>77.36</v>
      </c>
      <c r="D29" s="17">
        <v>77.11</v>
      </c>
    </row>
    <row r="30" spans="1:4" x14ac:dyDescent="0.25">
      <c r="A30" s="8">
        <v>73</v>
      </c>
      <c r="B30" s="17">
        <v>77.455384615384617</v>
      </c>
      <c r="C30" s="17">
        <v>77.180000000000007</v>
      </c>
      <c r="D30" s="17">
        <v>76.849999999999994</v>
      </c>
    </row>
    <row r="31" spans="1:4" x14ac:dyDescent="0.25">
      <c r="A31" s="8">
        <v>72</v>
      </c>
      <c r="B31" s="17">
        <v>77.344230769230776</v>
      </c>
      <c r="C31" s="17">
        <v>77</v>
      </c>
      <c r="D31" s="17">
        <v>76.59</v>
      </c>
    </row>
    <row r="32" spans="1:4" x14ac:dyDescent="0.25">
      <c r="A32" s="8">
        <v>71</v>
      </c>
      <c r="B32" s="17">
        <v>77.233076923076922</v>
      </c>
      <c r="C32" s="17">
        <v>76.819999999999993</v>
      </c>
      <c r="D32" s="17">
        <v>76.319999999999993</v>
      </c>
    </row>
    <row r="33" spans="1:4" x14ac:dyDescent="0.25">
      <c r="A33" s="8">
        <v>70</v>
      </c>
      <c r="B33" s="17">
        <v>77.121923076923082</v>
      </c>
      <c r="C33" s="17">
        <v>76.64</v>
      </c>
      <c r="D33" s="17">
        <v>76.06</v>
      </c>
    </row>
    <row r="34" spans="1:4" x14ac:dyDescent="0.25">
      <c r="A34" s="8">
        <v>69</v>
      </c>
      <c r="B34" s="17">
        <v>77.010769230769242</v>
      </c>
      <c r="C34" s="17">
        <v>76.459999999999994</v>
      </c>
      <c r="D34" s="17">
        <v>75.8</v>
      </c>
    </row>
    <row r="35" spans="1:4" x14ac:dyDescent="0.25">
      <c r="A35" s="8">
        <v>68</v>
      </c>
      <c r="B35" s="17">
        <v>76.899615384615387</v>
      </c>
      <c r="C35" s="17">
        <v>76.27</v>
      </c>
      <c r="D35" s="17">
        <v>75.540000000000006</v>
      </c>
    </row>
    <row r="36" spans="1:4" x14ac:dyDescent="0.25">
      <c r="A36" s="8">
        <v>67</v>
      </c>
      <c r="B36" s="17">
        <v>76.788461538461547</v>
      </c>
      <c r="C36" s="17">
        <v>76.09</v>
      </c>
      <c r="D36" s="17">
        <v>75.27</v>
      </c>
    </row>
    <row r="37" spans="1:4" x14ac:dyDescent="0.25">
      <c r="A37" s="8">
        <v>66</v>
      </c>
      <c r="B37" s="17">
        <v>76.677307692307693</v>
      </c>
      <c r="C37" s="17">
        <v>75.91</v>
      </c>
      <c r="D37" s="17">
        <v>75.010000000000005</v>
      </c>
    </row>
    <row r="38" spans="1:4" x14ac:dyDescent="0.25">
      <c r="A38" s="8">
        <v>65</v>
      </c>
      <c r="B38" s="17">
        <v>76.566153846153853</v>
      </c>
      <c r="C38" s="17">
        <v>75.73</v>
      </c>
      <c r="D38" s="150">
        <v>75</v>
      </c>
    </row>
    <row r="39" spans="1:4" x14ac:dyDescent="0.25">
      <c r="A39" s="8">
        <v>64</v>
      </c>
      <c r="B39" s="17">
        <v>76.455000000000013</v>
      </c>
      <c r="C39" s="17">
        <v>75.55</v>
      </c>
      <c r="D39" s="17">
        <v>74.77</v>
      </c>
    </row>
    <row r="40" spans="1:4" x14ac:dyDescent="0.25">
      <c r="A40" s="8">
        <v>63</v>
      </c>
      <c r="B40" s="17">
        <v>76.343846153846158</v>
      </c>
      <c r="C40" s="17">
        <v>75.37</v>
      </c>
      <c r="D40" s="17">
        <v>74.540000000000006</v>
      </c>
    </row>
    <row r="41" spans="1:4" x14ac:dyDescent="0.25">
      <c r="A41" s="8">
        <v>62</v>
      </c>
      <c r="B41" s="17">
        <v>76.232692307692318</v>
      </c>
      <c r="C41" s="17">
        <v>75.19</v>
      </c>
      <c r="D41" s="17">
        <v>74.31</v>
      </c>
    </row>
    <row r="42" spans="1:4" x14ac:dyDescent="0.25">
      <c r="A42" s="8">
        <v>61</v>
      </c>
      <c r="B42" s="17">
        <v>76.121538461538464</v>
      </c>
      <c r="C42" s="17">
        <v>75.010000000000005</v>
      </c>
      <c r="D42" s="17">
        <v>74.08</v>
      </c>
    </row>
    <row r="43" spans="1:4" x14ac:dyDescent="0.25">
      <c r="A43" s="96">
        <v>60</v>
      </c>
      <c r="B43" s="17">
        <v>76.010384615384623</v>
      </c>
      <c r="C43" s="96">
        <v>75</v>
      </c>
      <c r="D43" s="17">
        <v>73.849999999999994</v>
      </c>
    </row>
    <row r="44" spans="1:4" x14ac:dyDescent="0.25">
      <c r="A44" s="8">
        <v>59</v>
      </c>
      <c r="B44" s="17">
        <v>75.899230769230769</v>
      </c>
      <c r="C44" s="17">
        <v>74.75</v>
      </c>
      <c r="D44" s="17">
        <v>73.62</v>
      </c>
    </row>
    <row r="45" spans="1:4" x14ac:dyDescent="0.25">
      <c r="A45" s="8">
        <v>58</v>
      </c>
      <c r="B45" s="17">
        <v>75.788076923076929</v>
      </c>
      <c r="C45" s="17">
        <v>74.5</v>
      </c>
      <c r="D45" s="17">
        <v>73.38</v>
      </c>
    </row>
    <row r="46" spans="1:4" x14ac:dyDescent="0.25">
      <c r="A46" s="8">
        <v>57</v>
      </c>
      <c r="B46" s="17">
        <v>75.676923076923089</v>
      </c>
      <c r="C46" s="17">
        <v>74.25</v>
      </c>
      <c r="D46" s="17">
        <v>73.150000000000006</v>
      </c>
    </row>
    <row r="47" spans="1:4" x14ac:dyDescent="0.25">
      <c r="A47" s="8">
        <v>56</v>
      </c>
      <c r="B47" s="17">
        <v>75.565769230769234</v>
      </c>
      <c r="C47" s="17">
        <v>74</v>
      </c>
      <c r="D47" s="17">
        <v>72.92</v>
      </c>
    </row>
    <row r="48" spans="1:4" x14ac:dyDescent="0.25">
      <c r="A48" s="8">
        <v>55</v>
      </c>
      <c r="B48" s="17">
        <v>75.454615384615394</v>
      </c>
      <c r="C48" s="17">
        <v>73.75</v>
      </c>
      <c r="D48" s="17">
        <v>72.69</v>
      </c>
    </row>
    <row r="49" spans="1:4" x14ac:dyDescent="0.25">
      <c r="A49" s="8">
        <v>54</v>
      </c>
      <c r="B49" s="17">
        <v>75.34346153846154</v>
      </c>
      <c r="C49" s="17">
        <v>73.5</v>
      </c>
      <c r="D49" s="17">
        <v>72.459999999999994</v>
      </c>
    </row>
    <row r="50" spans="1:4" x14ac:dyDescent="0.25">
      <c r="A50" s="8">
        <v>53</v>
      </c>
      <c r="B50" s="17">
        <v>75.2323076923077</v>
      </c>
      <c r="C50" s="17">
        <v>73.25</v>
      </c>
      <c r="D50" s="17">
        <v>72.23</v>
      </c>
    </row>
    <row r="51" spans="1:4" x14ac:dyDescent="0.25">
      <c r="A51" s="8">
        <v>52</v>
      </c>
      <c r="B51" s="17">
        <v>75.121153846153845</v>
      </c>
      <c r="C51" s="17">
        <v>73</v>
      </c>
      <c r="D51" s="17">
        <v>72</v>
      </c>
    </row>
    <row r="52" spans="1:4" x14ac:dyDescent="0.25">
      <c r="A52" s="8">
        <v>51</v>
      </c>
      <c r="B52" s="17">
        <v>75.010000000000005</v>
      </c>
      <c r="C52" s="17">
        <v>72.75</v>
      </c>
      <c r="D52" s="17">
        <v>71.77</v>
      </c>
    </row>
    <row r="53" spans="1:4" x14ac:dyDescent="0.25">
      <c r="A53" s="95">
        <v>50</v>
      </c>
      <c r="B53" s="95">
        <v>75</v>
      </c>
      <c r="C53" s="17">
        <v>72.5</v>
      </c>
      <c r="D53" s="17">
        <v>71.540000000000006</v>
      </c>
    </row>
    <row r="54" spans="1:4" x14ac:dyDescent="0.25">
      <c r="A54" s="8">
        <v>49</v>
      </c>
      <c r="B54" s="17">
        <v>74.7</v>
      </c>
      <c r="C54" s="17">
        <v>72.25</v>
      </c>
      <c r="D54" s="17">
        <v>71.31</v>
      </c>
    </row>
    <row r="55" spans="1:4" x14ac:dyDescent="0.25">
      <c r="A55" s="8">
        <v>48</v>
      </c>
      <c r="B55" s="17">
        <v>74.400000000000006</v>
      </c>
      <c r="C55" s="17">
        <v>72</v>
      </c>
      <c r="D55" s="17">
        <v>71.08</v>
      </c>
    </row>
    <row r="56" spans="1:4" x14ac:dyDescent="0.25">
      <c r="A56" s="8">
        <v>47</v>
      </c>
      <c r="B56" s="17">
        <v>74.099999999999994</v>
      </c>
      <c r="C56" s="17">
        <v>71.75</v>
      </c>
      <c r="D56" s="17">
        <v>70.849999999999994</v>
      </c>
    </row>
    <row r="57" spans="1:4" x14ac:dyDescent="0.25">
      <c r="A57" s="8">
        <v>46</v>
      </c>
      <c r="B57" s="17">
        <v>73.8</v>
      </c>
      <c r="C57" s="17">
        <v>71.5</v>
      </c>
      <c r="D57" s="17">
        <v>70.62</v>
      </c>
    </row>
    <row r="58" spans="1:4" x14ac:dyDescent="0.25">
      <c r="A58" s="8">
        <v>45</v>
      </c>
      <c r="B58" s="17">
        <v>73.5</v>
      </c>
      <c r="C58" s="17">
        <v>71.25</v>
      </c>
      <c r="D58" s="17">
        <v>70.38</v>
      </c>
    </row>
    <row r="59" spans="1:4" x14ac:dyDescent="0.25">
      <c r="A59" s="8">
        <v>44</v>
      </c>
      <c r="B59" s="17">
        <v>73.2</v>
      </c>
      <c r="C59" s="17">
        <v>71</v>
      </c>
      <c r="D59" s="17">
        <v>70.150000000000006</v>
      </c>
    </row>
    <row r="60" spans="1:4" x14ac:dyDescent="0.25">
      <c r="A60" s="8">
        <v>43</v>
      </c>
      <c r="B60" s="17">
        <v>72.900000000000006</v>
      </c>
      <c r="C60" s="17">
        <v>70.75</v>
      </c>
      <c r="D60" s="17">
        <v>69.92</v>
      </c>
    </row>
    <row r="61" spans="1:4" x14ac:dyDescent="0.25">
      <c r="A61" s="8">
        <v>42</v>
      </c>
      <c r="B61" s="17">
        <v>72.599999999999994</v>
      </c>
      <c r="C61" s="17">
        <v>70.5</v>
      </c>
      <c r="D61" s="17">
        <v>69.69</v>
      </c>
    </row>
    <row r="62" spans="1:4" x14ac:dyDescent="0.25">
      <c r="A62" s="8">
        <v>41</v>
      </c>
      <c r="B62" s="17">
        <v>72.3</v>
      </c>
      <c r="C62" s="17">
        <v>70.25</v>
      </c>
      <c r="D62" s="17">
        <v>69.459999999999994</v>
      </c>
    </row>
    <row r="63" spans="1:4" x14ac:dyDescent="0.25">
      <c r="A63" s="8">
        <v>40</v>
      </c>
      <c r="B63" s="17">
        <v>72</v>
      </c>
      <c r="C63" s="17">
        <v>70</v>
      </c>
      <c r="D63" s="17">
        <v>69.23</v>
      </c>
    </row>
    <row r="64" spans="1:4" x14ac:dyDescent="0.25">
      <c r="A64" s="8">
        <v>39</v>
      </c>
      <c r="B64" s="17">
        <v>71.7</v>
      </c>
      <c r="C64" s="17">
        <v>69.75</v>
      </c>
      <c r="D64" s="17">
        <v>69</v>
      </c>
    </row>
    <row r="65" spans="1:4" x14ac:dyDescent="0.25">
      <c r="A65" s="8">
        <v>38</v>
      </c>
      <c r="B65" s="17">
        <v>71.400000000000006</v>
      </c>
      <c r="C65" s="17">
        <v>69.5</v>
      </c>
      <c r="D65" s="17">
        <v>68.77</v>
      </c>
    </row>
    <row r="66" spans="1:4" x14ac:dyDescent="0.25">
      <c r="A66" s="8">
        <v>37</v>
      </c>
      <c r="B66" s="17">
        <v>71.099999999999994</v>
      </c>
      <c r="C66" s="17">
        <v>69.25</v>
      </c>
      <c r="D66" s="17">
        <v>68.540000000000006</v>
      </c>
    </row>
    <row r="67" spans="1:4" x14ac:dyDescent="0.25">
      <c r="A67" s="8">
        <v>36</v>
      </c>
      <c r="B67" s="17">
        <v>70.8</v>
      </c>
      <c r="C67" s="17">
        <v>69</v>
      </c>
      <c r="D67" s="17">
        <v>68.31</v>
      </c>
    </row>
    <row r="68" spans="1:4" x14ac:dyDescent="0.25">
      <c r="A68" s="8">
        <v>35</v>
      </c>
      <c r="B68" s="17">
        <v>70.5</v>
      </c>
      <c r="C68" s="17">
        <v>68.75</v>
      </c>
      <c r="D68" s="17">
        <v>68.08</v>
      </c>
    </row>
    <row r="69" spans="1:4" x14ac:dyDescent="0.25">
      <c r="A69" s="8">
        <v>34</v>
      </c>
      <c r="B69" s="17">
        <v>70.2</v>
      </c>
      <c r="C69" s="17">
        <v>68.5</v>
      </c>
      <c r="D69" s="17">
        <v>67.849999999999994</v>
      </c>
    </row>
    <row r="70" spans="1:4" x14ac:dyDescent="0.25">
      <c r="A70" s="8">
        <v>33</v>
      </c>
      <c r="B70" s="17">
        <v>69.900000000000006</v>
      </c>
      <c r="C70" s="17">
        <v>68.25</v>
      </c>
      <c r="D70" s="17">
        <v>67.62</v>
      </c>
    </row>
    <row r="71" spans="1:4" x14ac:dyDescent="0.25">
      <c r="A71" s="8">
        <v>32</v>
      </c>
      <c r="B71" s="17">
        <v>69.599999999999994</v>
      </c>
      <c r="C71" s="17">
        <v>68</v>
      </c>
      <c r="D71" s="17">
        <v>67.38</v>
      </c>
    </row>
    <row r="72" spans="1:4" x14ac:dyDescent="0.25">
      <c r="A72" s="8">
        <v>31</v>
      </c>
      <c r="B72" s="17">
        <v>69.3</v>
      </c>
      <c r="C72" s="17">
        <v>67.75</v>
      </c>
      <c r="D72" s="17">
        <v>67.150000000000006</v>
      </c>
    </row>
    <row r="73" spans="1:4" x14ac:dyDescent="0.25">
      <c r="A73" s="8">
        <v>30</v>
      </c>
      <c r="B73" s="17">
        <v>69</v>
      </c>
      <c r="C73" s="17">
        <v>67.5</v>
      </c>
      <c r="D73" s="17">
        <v>66.92</v>
      </c>
    </row>
    <row r="74" spans="1:4" x14ac:dyDescent="0.25">
      <c r="A74" s="8">
        <v>29</v>
      </c>
      <c r="B74" s="17">
        <v>68.7</v>
      </c>
      <c r="C74" s="17">
        <v>67.25</v>
      </c>
      <c r="D74" s="17">
        <v>66.69</v>
      </c>
    </row>
    <row r="75" spans="1:4" x14ac:dyDescent="0.25">
      <c r="A75" s="8">
        <v>28</v>
      </c>
      <c r="B75" s="17">
        <v>68.400000000000006</v>
      </c>
      <c r="C75" s="17">
        <v>67</v>
      </c>
      <c r="D75" s="17">
        <v>66.459999999999994</v>
      </c>
    </row>
    <row r="76" spans="1:4" x14ac:dyDescent="0.25">
      <c r="A76" s="8">
        <v>27</v>
      </c>
      <c r="B76" s="17">
        <v>68.099999999999994</v>
      </c>
      <c r="C76" s="17">
        <v>66.75</v>
      </c>
      <c r="D76" s="17">
        <v>66.23</v>
      </c>
    </row>
    <row r="77" spans="1:4" x14ac:dyDescent="0.25">
      <c r="A77" s="8">
        <v>26</v>
      </c>
      <c r="B77" s="17">
        <v>67.8</v>
      </c>
      <c r="C77" s="17">
        <v>66.5</v>
      </c>
      <c r="D77" s="17">
        <v>66</v>
      </c>
    </row>
    <row r="78" spans="1:4" x14ac:dyDescent="0.25">
      <c r="A78" s="8">
        <v>25</v>
      </c>
      <c r="B78" s="17">
        <v>67.5</v>
      </c>
      <c r="C78" s="17">
        <v>66.25</v>
      </c>
      <c r="D78" s="17">
        <v>65.77</v>
      </c>
    </row>
    <row r="79" spans="1:4" x14ac:dyDescent="0.25">
      <c r="A79" s="8">
        <v>24</v>
      </c>
      <c r="B79" s="17">
        <v>67.2</v>
      </c>
      <c r="C79" s="17">
        <v>66</v>
      </c>
      <c r="D79" s="17">
        <v>65.540000000000006</v>
      </c>
    </row>
    <row r="80" spans="1:4" x14ac:dyDescent="0.25">
      <c r="A80" s="8">
        <v>23</v>
      </c>
      <c r="B80" s="17">
        <v>66.900000000000006</v>
      </c>
      <c r="C80" s="17">
        <v>65.75</v>
      </c>
      <c r="D80" s="17">
        <v>65.31</v>
      </c>
    </row>
    <row r="81" spans="1:4" x14ac:dyDescent="0.25">
      <c r="A81" s="8">
        <v>22</v>
      </c>
      <c r="B81" s="17">
        <v>66.599999999999994</v>
      </c>
      <c r="C81" s="17">
        <v>65.5</v>
      </c>
      <c r="D81" s="17">
        <v>65.08</v>
      </c>
    </row>
    <row r="82" spans="1:4" x14ac:dyDescent="0.25">
      <c r="A82" s="8">
        <v>21</v>
      </c>
      <c r="B82" s="17">
        <v>66.3</v>
      </c>
      <c r="C82" s="17">
        <v>65.25</v>
      </c>
      <c r="D82" s="17">
        <v>64.849999999999994</v>
      </c>
    </row>
    <row r="83" spans="1:4" x14ac:dyDescent="0.25">
      <c r="A83" s="8">
        <v>20</v>
      </c>
      <c r="B83" s="17">
        <v>66</v>
      </c>
      <c r="C83" s="17">
        <v>65</v>
      </c>
      <c r="D83" s="17">
        <v>64.62</v>
      </c>
    </row>
    <row r="84" spans="1:4" x14ac:dyDescent="0.25">
      <c r="A84" s="8">
        <v>19</v>
      </c>
      <c r="B84" s="17">
        <v>65.7</v>
      </c>
      <c r="C84" s="17">
        <v>64.75</v>
      </c>
      <c r="D84" s="17">
        <v>64.38</v>
      </c>
    </row>
    <row r="85" spans="1:4" x14ac:dyDescent="0.25">
      <c r="A85" s="8">
        <v>18</v>
      </c>
      <c r="B85" s="17">
        <v>65.400000000000006</v>
      </c>
      <c r="C85" s="17">
        <v>64.5</v>
      </c>
      <c r="D85" s="17">
        <v>64.150000000000006</v>
      </c>
    </row>
    <row r="86" spans="1:4" x14ac:dyDescent="0.25">
      <c r="A86" s="8">
        <v>17</v>
      </c>
      <c r="B86" s="17">
        <v>65.099999999999994</v>
      </c>
      <c r="C86" s="17">
        <v>64.25</v>
      </c>
      <c r="D86" s="17">
        <v>63.92</v>
      </c>
    </row>
    <row r="87" spans="1:4" x14ac:dyDescent="0.25">
      <c r="A87" s="8">
        <v>16</v>
      </c>
      <c r="B87" s="17">
        <v>64.8</v>
      </c>
      <c r="C87" s="17">
        <v>64</v>
      </c>
      <c r="D87" s="17">
        <v>63.69</v>
      </c>
    </row>
    <row r="88" spans="1:4" x14ac:dyDescent="0.25">
      <c r="A88" s="8">
        <v>15</v>
      </c>
      <c r="B88" s="17">
        <v>64.5</v>
      </c>
      <c r="C88" s="17">
        <v>63.75</v>
      </c>
      <c r="D88" s="17">
        <v>63.46</v>
      </c>
    </row>
    <row r="89" spans="1:4" x14ac:dyDescent="0.25">
      <c r="A89" s="8">
        <v>14</v>
      </c>
      <c r="B89" s="17">
        <v>64.2</v>
      </c>
      <c r="C89" s="17">
        <v>63.5</v>
      </c>
      <c r="D89" s="17">
        <v>63.23</v>
      </c>
    </row>
    <row r="90" spans="1:4" x14ac:dyDescent="0.25">
      <c r="A90" s="8">
        <v>13</v>
      </c>
      <c r="B90" s="17">
        <v>63.9</v>
      </c>
      <c r="C90" s="17">
        <v>63.25</v>
      </c>
      <c r="D90" s="17">
        <v>63</v>
      </c>
    </row>
    <row r="91" spans="1:4" x14ac:dyDescent="0.25">
      <c r="A91" s="8">
        <v>12</v>
      </c>
      <c r="B91" s="17">
        <v>63.6</v>
      </c>
      <c r="C91" s="17">
        <v>63</v>
      </c>
      <c r="D91" s="17">
        <v>62.77</v>
      </c>
    </row>
    <row r="92" spans="1:4" x14ac:dyDescent="0.25">
      <c r="A92" s="8">
        <v>11</v>
      </c>
      <c r="B92" s="17">
        <v>63.3</v>
      </c>
      <c r="C92" s="17">
        <v>62.75</v>
      </c>
      <c r="D92" s="17">
        <v>62.54</v>
      </c>
    </row>
    <row r="93" spans="1:4" x14ac:dyDescent="0.25">
      <c r="A93" s="8">
        <v>10</v>
      </c>
      <c r="B93" s="17">
        <v>63</v>
      </c>
      <c r="C93" s="17">
        <v>62.5</v>
      </c>
      <c r="D93" s="17">
        <v>62.31</v>
      </c>
    </row>
    <row r="94" spans="1:4" x14ac:dyDescent="0.25">
      <c r="A94" s="8">
        <v>9</v>
      </c>
      <c r="B94" s="17">
        <v>62.7</v>
      </c>
      <c r="C94" s="17">
        <v>62.25</v>
      </c>
      <c r="D94" s="17">
        <v>62.08</v>
      </c>
    </row>
    <row r="95" spans="1:4" x14ac:dyDescent="0.25">
      <c r="A95" s="8">
        <v>8</v>
      </c>
      <c r="B95" s="17">
        <v>62.4</v>
      </c>
      <c r="C95" s="17">
        <v>62</v>
      </c>
      <c r="D95" s="17">
        <v>61.85</v>
      </c>
    </row>
    <row r="96" spans="1:4" x14ac:dyDescent="0.25">
      <c r="A96" s="8">
        <v>7</v>
      </c>
      <c r="B96" s="17">
        <v>62.1</v>
      </c>
      <c r="C96" s="17">
        <v>61.75</v>
      </c>
      <c r="D96" s="17">
        <v>61.62</v>
      </c>
    </row>
    <row r="97" spans="1:4" x14ac:dyDescent="0.25">
      <c r="A97" s="8">
        <v>6</v>
      </c>
      <c r="B97" s="17">
        <v>61.8</v>
      </c>
      <c r="C97" s="17">
        <v>61.5</v>
      </c>
      <c r="D97" s="17">
        <v>61.38</v>
      </c>
    </row>
    <row r="98" spans="1:4" x14ac:dyDescent="0.25">
      <c r="A98" s="8">
        <v>5</v>
      </c>
      <c r="B98" s="17">
        <v>61.5</v>
      </c>
      <c r="C98" s="17">
        <v>61.25</v>
      </c>
      <c r="D98" s="17">
        <v>61.15</v>
      </c>
    </row>
    <row r="99" spans="1:4" x14ac:dyDescent="0.25">
      <c r="A99" s="8">
        <v>4</v>
      </c>
      <c r="B99" s="17">
        <v>61.2</v>
      </c>
      <c r="C99" s="17">
        <v>61</v>
      </c>
      <c r="D99" s="17">
        <v>60.92</v>
      </c>
    </row>
    <row r="100" spans="1:4" x14ac:dyDescent="0.25">
      <c r="A100" s="8">
        <v>3</v>
      </c>
      <c r="B100" s="17">
        <v>60.9</v>
      </c>
      <c r="C100" s="17">
        <v>60.75</v>
      </c>
      <c r="D100" s="17">
        <v>60.69</v>
      </c>
    </row>
    <row r="101" spans="1:4" x14ac:dyDescent="0.25">
      <c r="A101" s="8">
        <v>2</v>
      </c>
      <c r="B101" s="17">
        <v>60.6</v>
      </c>
      <c r="C101" s="17">
        <v>60.5</v>
      </c>
      <c r="D101" s="17">
        <v>60.46</v>
      </c>
    </row>
    <row r="102" spans="1:4" x14ac:dyDescent="0.25">
      <c r="A102" s="8">
        <v>1</v>
      </c>
      <c r="B102" s="17">
        <v>60.3</v>
      </c>
      <c r="C102" s="17">
        <v>60.25</v>
      </c>
      <c r="D102" s="17">
        <v>60.23</v>
      </c>
    </row>
    <row r="103" spans="1:4" x14ac:dyDescent="0.25">
      <c r="A103" s="8">
        <v>0</v>
      </c>
      <c r="B103" s="17">
        <v>60</v>
      </c>
      <c r="C103" s="17">
        <v>60</v>
      </c>
      <c r="D103" s="17">
        <v>60</v>
      </c>
    </row>
    <row r="104" spans="1:4" x14ac:dyDescent="0.25"/>
    <row r="105" spans="1:4" x14ac:dyDescent="0.25">
      <c r="A105" s="8" t="s">
        <v>277</v>
      </c>
      <c r="B105" s="128">
        <v>0</v>
      </c>
      <c r="C105" s="17">
        <v>0</v>
      </c>
      <c r="D105" s="17">
        <v>0</v>
      </c>
    </row>
    <row r="106" spans="1:4" x14ac:dyDescent="0.25"/>
  </sheetData>
  <sheetProtection algorithmName="SHA-512" hashValue="e2E6pLVCkRdwYbmcA4KZIhUeAZjQ3O1Q3Njbm1r7YiCVvZRyB7vmUXit260PMNuuFcSMqTOZ4CddFQ/AnaOImg==" saltValue="EKy4Y/AHe34m5qXdafA6yA==" spinCount="100000" sheet="1" objects="1" scenarios="1"/>
  <mergeCells count="1">
    <mergeCell ref="A1:D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C674-869F-4814-A5A5-B7759EB59EEA}">
  <sheetPr codeName="Sheet17"/>
  <dimension ref="A1:T29"/>
  <sheetViews>
    <sheetView showGridLines="0" topLeftCell="A10" zoomScale="130" zoomScaleNormal="130" workbookViewId="0">
      <selection activeCell="H27" sqref="H27"/>
    </sheetView>
  </sheetViews>
  <sheetFormatPr defaultColWidth="0" defaultRowHeight="15" zeroHeight="1" x14ac:dyDescent="0.25"/>
  <cols>
    <col min="1" max="7" width="9.140625" customWidth="1"/>
    <col min="8" max="8" width="98" customWidth="1"/>
    <col min="9" max="14" width="9.140625" customWidth="1"/>
    <col min="15" max="16384" width="9.140625" hidden="1"/>
  </cols>
  <sheetData>
    <row r="1" spans="2:20" x14ac:dyDescent="0.25"/>
    <row r="2" spans="2:20" x14ac:dyDescent="0.25">
      <c r="B2" s="301" t="s">
        <v>171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</row>
    <row r="3" spans="2:20" x14ac:dyDescent="0.25"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</row>
    <row r="4" spans="2:20" x14ac:dyDescent="0.25">
      <c r="B4" s="301"/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T4" t="s">
        <v>169</v>
      </c>
    </row>
    <row r="5" spans="2:20" x14ac:dyDescent="0.25"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T5" t="s">
        <v>287</v>
      </c>
    </row>
    <row r="6" spans="2:20" x14ac:dyDescent="0.25"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T6" t="s">
        <v>168</v>
      </c>
    </row>
    <row r="7" spans="2:20" x14ac:dyDescent="0.25"/>
    <row r="8" spans="2:20" x14ac:dyDescent="0.25"/>
    <row r="9" spans="2:20" ht="23.25" x14ac:dyDescent="0.25">
      <c r="H9" s="90" t="s">
        <v>170</v>
      </c>
    </row>
    <row r="10" spans="2:20" ht="23.25" x14ac:dyDescent="0.35">
      <c r="H10" s="141" t="s">
        <v>287</v>
      </c>
    </row>
    <row r="11" spans="2:20" x14ac:dyDescent="0.25"/>
    <row r="12" spans="2:20" x14ac:dyDescent="0.25"/>
    <row r="13" spans="2:20" ht="23.25" x14ac:dyDescent="0.25">
      <c r="H13" s="90" t="s">
        <v>165</v>
      </c>
    </row>
    <row r="14" spans="2:20" ht="56.25" customHeight="1" x14ac:dyDescent="0.25">
      <c r="H14" s="92">
        <v>2022315989</v>
      </c>
    </row>
    <row r="15" spans="2:20" x14ac:dyDescent="0.25"/>
    <row r="16" spans="2:20" x14ac:dyDescent="0.25"/>
    <row r="17" spans="4:12" ht="23.25" x14ac:dyDescent="0.35">
      <c r="H17" s="89" t="s">
        <v>166</v>
      </c>
    </row>
    <row r="18" spans="4:12" ht="57" customHeight="1" x14ac:dyDescent="0.25">
      <c r="D18" s="300" t="e">
        <f>UPPER(VLOOKUP(H14,Summary!B12:C96,2,FALSE))</f>
        <v>#N/A</v>
      </c>
      <c r="E18" s="300"/>
      <c r="F18" s="300"/>
      <c r="G18" s="300"/>
      <c r="H18" s="300"/>
      <c r="I18" s="300"/>
      <c r="J18" s="300"/>
      <c r="K18" s="300"/>
      <c r="L18" s="300"/>
    </row>
    <row r="19" spans="4:12" ht="18" customHeight="1" x14ac:dyDescent="0.25">
      <c r="D19" s="93"/>
      <c r="E19" s="93"/>
      <c r="F19" s="93"/>
      <c r="G19" s="93"/>
      <c r="H19" s="94">
        <f>Info!B3</f>
        <v>0</v>
      </c>
      <c r="I19" s="93"/>
      <c r="J19" s="93"/>
      <c r="K19" s="93"/>
      <c r="L19" s="93"/>
    </row>
    <row r="20" spans="4:12" ht="19.5" customHeight="1" x14ac:dyDescent="0.25">
      <c r="D20" s="93"/>
      <c r="E20" s="93"/>
      <c r="F20" s="93"/>
      <c r="G20" s="93"/>
      <c r="H20" s="94" t="str">
        <f>Info!B6&amp;": "&amp;Info!B9</f>
        <v>: Modeling and Simulation</v>
      </c>
      <c r="I20" s="93"/>
      <c r="J20" s="93"/>
      <c r="K20" s="93"/>
      <c r="L20" s="93"/>
    </row>
    <row r="21" spans="4:12" ht="15.75" customHeight="1" x14ac:dyDescent="0.25">
      <c r="H21" s="91" t="str">
        <f>Info!B12 &amp; ", Academic Year " &amp; Info!B11</f>
        <v>First Semester, Academic Year 2024-2025</v>
      </c>
    </row>
    <row r="22" spans="4:12" ht="15.75" customHeight="1" x14ac:dyDescent="0.25">
      <c r="H22" s="91"/>
    </row>
    <row r="23" spans="4:12" x14ac:dyDescent="0.25"/>
    <row r="24" spans="4:12" ht="21" customHeight="1" x14ac:dyDescent="0.35">
      <c r="H24" s="89" t="str">
        <f>UPPER(H10)</f>
        <v>FINAL TERM GRADE</v>
      </c>
    </row>
    <row r="25" spans="4:12" ht="51" customHeight="1" x14ac:dyDescent="0.25">
      <c r="H25" s="157" t="e">
        <f>IF(H10="Midterm Grade",VLOOKUP(H14,Summary!B12:P96,6,FALSE),IF(H10="Final Term Grade",VLOOKUP(H14,Summary!B12:P96,10,FALSE),IF(H10="Final Rating",VLOOKUP(H14,Summary!B12:P96,12,FALSE))))</f>
        <v>#N/A</v>
      </c>
    </row>
    <row r="26" spans="4:12" ht="99.75" customHeight="1" x14ac:dyDescent="0.25">
      <c r="H26" s="158" t="e">
        <f>IF(H25&lt;75,"5.00",IF(H25="DRP","DRP",IF(H25="WF","WF",IF(H25="FA","FA",IF(H25="INC","INC",VLOOKUP(_xlfn.FLOOR.MATH(H25),Equivalent,2,FALSE))))))</f>
        <v>#N/A</v>
      </c>
    </row>
    <row r="27" spans="4:12" ht="23.25" x14ac:dyDescent="0.25">
      <c r="H27" s="91" t="e">
        <f>IF(H26="DRP","Dropped",IF(H26="WF","Dropped without Permission",IF(H26="FA","Failed due to Absences",IF(H26="INC","Incomplete",IF(OR(H10="Midterm Grade",H10="Final Term Grade",H10="Final Rating"),
IF(H25&lt;75,"Failed",VLOOKUP(_xlfn.FLOOR.MATH(H25),Equivalent,3)))))))</f>
        <v>#N/A</v>
      </c>
    </row>
    <row r="28" spans="4:12" x14ac:dyDescent="0.25">
      <c r="H28" s="1"/>
    </row>
    <row r="29" spans="4:12" x14ac:dyDescent="0.25"/>
  </sheetData>
  <sheetProtection algorithmName="SHA-512" hashValue="f4/IPZaFdoe3QpoFkh9wEpKpLUEM6LUKsGk0Xw6UenmIOwvPwdNb5n+BjkcVyV7BfXV4YxRGD2KHD7Rc4oza+A==" saltValue="T/Js46Qi+KnSsfiJa4a6gA==" spinCount="100000" sheet="1" objects="1" scenarios="1"/>
  <mergeCells count="2">
    <mergeCell ref="D18:L18"/>
    <mergeCell ref="B2:N6"/>
  </mergeCells>
  <conditionalFormatting sqref="H26">
    <cfRule type="cellIs" dxfId="6" priority="5" operator="equal">
      <formula>"DRP"</formula>
    </cfRule>
    <cfRule type="cellIs" dxfId="5" priority="6" operator="equal">
      <formula>"INC"</formula>
    </cfRule>
    <cfRule type="cellIs" dxfId="4" priority="7" operator="between">
      <formula>1</formula>
      <formula>3</formula>
    </cfRule>
    <cfRule type="cellIs" dxfId="3" priority="8" operator="equal">
      <formula>5</formula>
    </cfRule>
  </conditionalFormatting>
  <conditionalFormatting sqref="H26">
    <cfRule type="containsText" dxfId="2" priority="1" operator="containsText" text="5.00">
      <formula>NOT(ISERROR(SEARCH("5.00",H26)))</formula>
    </cfRule>
    <cfRule type="cellIs" dxfId="1" priority="2" operator="equal">
      <formula>5</formula>
    </cfRule>
    <cfRule type="cellIs" dxfId="0" priority="4" operator="equal">
      <formula>"WF"</formula>
    </cfRule>
  </conditionalFormatting>
  <dataValidations count="1">
    <dataValidation type="list" allowBlank="1" showInputMessage="1" showErrorMessage="1" sqref="H10" xr:uid="{10FABEA1-F906-4032-A122-4795F1BAF894}">
      <formula1>$T$4:$T$6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6E83-0241-4C40-95D0-9E6405DB7877}">
  <sheetPr codeName="Sheet18"/>
  <dimension ref="A1:G9"/>
  <sheetViews>
    <sheetView showGridLines="0" zoomScale="130" zoomScaleNormal="130" workbookViewId="0">
      <selection activeCell="E20" sqref="E20"/>
    </sheetView>
  </sheetViews>
  <sheetFormatPr defaultRowHeight="15" x14ac:dyDescent="0.25"/>
  <cols>
    <col min="1" max="1" width="11.28515625" customWidth="1"/>
    <col min="2" max="2" width="2.85546875" customWidth="1"/>
    <col min="4" max="4" width="2.28515625" customWidth="1"/>
    <col min="5" max="5" width="72.85546875" customWidth="1"/>
  </cols>
  <sheetData>
    <row r="1" spans="1:7" x14ac:dyDescent="0.25">
      <c r="A1" s="41" t="s">
        <v>31</v>
      </c>
      <c r="B1" s="41"/>
      <c r="C1" s="41" t="s">
        <v>173</v>
      </c>
      <c r="D1" s="41"/>
      <c r="E1" s="41" t="s">
        <v>272</v>
      </c>
      <c r="F1" s="41" t="s">
        <v>174</v>
      </c>
      <c r="G1" s="123" t="s">
        <v>273</v>
      </c>
    </row>
    <row r="3" spans="1:7" x14ac:dyDescent="0.25">
      <c r="A3" s="148">
        <v>45533</v>
      </c>
      <c r="C3" t="s">
        <v>288</v>
      </c>
      <c r="E3" t="s">
        <v>289</v>
      </c>
      <c r="F3" t="s">
        <v>290</v>
      </c>
      <c r="G3" t="s">
        <v>291</v>
      </c>
    </row>
    <row r="4" spans="1:7" x14ac:dyDescent="0.25">
      <c r="A4" s="148">
        <v>45533</v>
      </c>
      <c r="C4" t="s">
        <v>288</v>
      </c>
      <c r="E4" t="s">
        <v>292</v>
      </c>
      <c r="F4" t="s">
        <v>290</v>
      </c>
      <c r="G4" t="s">
        <v>291</v>
      </c>
    </row>
    <row r="5" spans="1:7" x14ac:dyDescent="0.25">
      <c r="A5" s="148">
        <v>45533</v>
      </c>
      <c r="C5" t="s">
        <v>288</v>
      </c>
      <c r="E5" t="s">
        <v>293</v>
      </c>
      <c r="F5" t="s">
        <v>290</v>
      </c>
      <c r="G5" t="s">
        <v>291</v>
      </c>
    </row>
    <row r="6" spans="1:7" x14ac:dyDescent="0.25">
      <c r="A6" s="148">
        <v>45535</v>
      </c>
      <c r="C6" t="s">
        <v>305</v>
      </c>
      <c r="E6" t="s">
        <v>306</v>
      </c>
      <c r="F6" t="s">
        <v>290</v>
      </c>
      <c r="G6" t="s">
        <v>291</v>
      </c>
    </row>
    <row r="7" spans="1:7" x14ac:dyDescent="0.25">
      <c r="A7" s="148">
        <v>45568</v>
      </c>
      <c r="C7" t="s">
        <v>359</v>
      </c>
      <c r="E7" t="s">
        <v>360</v>
      </c>
      <c r="F7" t="s">
        <v>290</v>
      </c>
      <c r="G7" t="s">
        <v>291</v>
      </c>
    </row>
    <row r="8" spans="1:7" x14ac:dyDescent="0.25">
      <c r="E8" t="s">
        <v>361</v>
      </c>
      <c r="F8" t="s">
        <v>290</v>
      </c>
      <c r="G8" t="s">
        <v>291</v>
      </c>
    </row>
    <row r="9" spans="1:7" x14ac:dyDescent="0.25">
      <c r="A9" s="148">
        <v>45573</v>
      </c>
      <c r="C9" t="s">
        <v>365</v>
      </c>
      <c r="E9" t="s">
        <v>366</v>
      </c>
      <c r="F9" t="s">
        <v>290</v>
      </c>
      <c r="G9" t="s">
        <v>291</v>
      </c>
    </row>
  </sheetData>
  <sheetProtection algorithmName="SHA-512" hashValue="DpYBLlAKPYp2A7F4dhS6s2yO9ZqcM505ic1du5rKp9ZOqZVhXEyDgzLuh0U/EVoB6keVk04nAgEdScZeUL+o4A==" saltValue="UG4juzORAJV5mkiVFeUqMw==" spinCount="100000"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C86DF-D610-4064-8E1D-126B1495DE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34</vt:i4>
      </vt:variant>
    </vt:vector>
  </HeadingPairs>
  <TitlesOfParts>
    <vt:vector size="52" baseType="lpstr">
      <vt:lpstr>Info</vt:lpstr>
      <vt:lpstr>Student List</vt:lpstr>
      <vt:lpstr>Midterm</vt:lpstr>
      <vt:lpstr>MidCom</vt:lpstr>
      <vt:lpstr>MT Attendance</vt:lpstr>
      <vt:lpstr>Final Term</vt:lpstr>
      <vt:lpstr>FinCom</vt:lpstr>
      <vt:lpstr>FT Attendance</vt:lpstr>
      <vt:lpstr>Summary</vt:lpstr>
      <vt:lpstr>New Grade Equivalent</vt:lpstr>
      <vt:lpstr>Old Grade Equivalent</vt:lpstr>
      <vt:lpstr>Version</vt:lpstr>
      <vt:lpstr>Transmutation 3</vt:lpstr>
      <vt:lpstr>Transmutation 2</vt:lpstr>
      <vt:lpstr>Old Transmutation</vt:lpstr>
      <vt:lpstr>New Transmutation</vt:lpstr>
      <vt:lpstr>View Grades</vt:lpstr>
      <vt:lpstr>Changelog</vt:lpstr>
      <vt:lpstr>beed</vt:lpstr>
      <vt:lpstr>bsba</vt:lpstr>
      <vt:lpstr>bsed</vt:lpstr>
      <vt:lpstr>bsit</vt:lpstr>
      <vt:lpstr>btle</vt:lpstr>
      <vt:lpstr>btvte</vt:lpstr>
      <vt:lpstr>cas</vt:lpstr>
      <vt:lpstr>cbs</vt:lpstr>
      <vt:lpstr>ccs</vt:lpstr>
      <vt:lpstr>cea</vt:lpstr>
      <vt:lpstr>chtm</vt:lpstr>
      <vt:lpstr>cit</vt:lpstr>
      <vt:lpstr>coe</vt:lpstr>
      <vt:lpstr>colleges</vt:lpstr>
      <vt:lpstr>course_type</vt:lpstr>
      <vt:lpstr>cssp</vt:lpstr>
      <vt:lpstr>demo_percent</vt:lpstr>
      <vt:lpstr>Equivalent</vt:lpstr>
      <vt:lpstr>FINAL_GRADE_TRANSMUTATION</vt:lpstr>
      <vt:lpstr>fs_percent</vt:lpstr>
      <vt:lpstr>lab_percent</vt:lpstr>
      <vt:lpstr>lec_percent</vt:lpstr>
      <vt:lpstr>new_transmute</vt:lpstr>
      <vt:lpstr>ojt_percent</vt:lpstr>
      <vt:lpstr>Old_Equivalent</vt:lpstr>
      <vt:lpstr>old_transmute</vt:lpstr>
      <vt:lpstr>pe_percent</vt:lpstr>
      <vt:lpstr>'Transmutation 2'!raw_score_transmu</vt:lpstr>
      <vt:lpstr>'Transmutation 3'!raw_score_transmu</vt:lpstr>
      <vt:lpstr>res_percent</vt:lpstr>
      <vt:lpstr>shop_percent</vt:lpstr>
      <vt:lpstr>'Transmutation 2'!Strict_Transmu</vt:lpstr>
      <vt:lpstr>'Transmutation 3'!Strict_Transmu</vt:lpstr>
      <vt:lpstr>'Old Transmutation'!transmute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Haruki</dc:creator>
  <cp:lastModifiedBy>Haruki</cp:lastModifiedBy>
  <cp:lastPrinted>2025-04-12T13:23:52Z</cp:lastPrinted>
  <dcterms:created xsi:type="dcterms:W3CDTF">2024-05-23T13:20:44Z</dcterms:created>
  <dcterms:modified xsi:type="dcterms:W3CDTF">2025-11-12T00:46:59Z</dcterms:modified>
</cp:coreProperties>
</file>